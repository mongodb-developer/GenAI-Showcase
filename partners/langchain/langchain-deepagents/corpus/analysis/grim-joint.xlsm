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X:\Manufacturing\DOE-BT-Appliance-MIA\01-Product Rulemakings\Air Cleaners\Direct Final Rule 2023\GRIM\GRIMs without base case testing use as of 12.6.22\Locked\"/>
    </mc:Choice>
  </mc:AlternateContent>
  <xr:revisionPtr revIDLastSave="0" documentId="13_ncr:1_{24D78040-5AD3-4767-90D3-0A003C6D3EEC}" xr6:coauthVersionLast="47" xr6:coauthVersionMax="47" xr10:uidLastSave="{00000000-0000-0000-0000-000000000000}"/>
  <bookViews>
    <workbookView xWindow="-110" yWindow="-110" windowWidth="19420" windowHeight="10420" tabRatio="890" firstSheet="8" activeTab="8" xr2:uid="{00000000-000D-0000-FFFF-FFFF00000000}"/>
  </bookViews>
  <sheets>
    <sheet name="Intro" sheetId="1" r:id="rId1"/>
    <sheet name="Instructions" sheetId="42" r:id="rId2"/>
    <sheet name="Navigation" sheetId="70" r:id="rId3"/>
    <sheet name="Glossary" sheetId="79" r:id="rId4"/>
    <sheet name="INPV Calculation" sheetId="57" r:id="rId5"/>
    <sheet name="NAMES" sheetId="44" r:id="rId6"/>
    <sheet name="Scenario" sheetId="43" r:id="rId7"/>
    <sheet name="Financials" sheetId="56" r:id="rId8"/>
    <sheet name="EL and TSL Setup" sheetId="58" r:id="rId9"/>
    <sheet name="MPC Breakdown" sheetId="52" r:id="rId10"/>
    <sheet name="Learning" sheetId="55" r:id="rId11"/>
    <sheet name="Shipments" sheetId="60" r:id="rId12"/>
    <sheet name="Conversion Costs" sheetId="54" r:id="rId13"/>
    <sheet name="Conversion Cost Timing" sheetId="62" r:id="rId14"/>
    <sheet name="Markups" sheetId="59" r:id="rId15"/>
    <sheet name="Employment" sheetId="38" r:id="rId16"/>
    <sheet name="MSP" sheetId="49" r:id="rId17"/>
    <sheet name="No STDs Case Rev &amp; Cost" sheetId="37" r:id="rId18"/>
    <sheet name="Standards Rev &amp; Cost" sheetId="63" r:id="rId19"/>
    <sheet name="No STDs Case DCF" sheetId="64" r:id="rId20"/>
    <sheet name="DCF Results" sheetId="78" r:id="rId21"/>
    <sheet name="Standards Case DCF" sheetId="65" r:id="rId22"/>
    <sheet name="Summary Report" sheetId="12" r:id="rId23"/>
    <sheet name="Data for Graphs" sheetId="18" r:id="rId24"/>
    <sheet name="Dashboard" sheetId="74" r:id="rId25"/>
  </sheets>
  <externalReferences>
    <externalReference r:id="rId26"/>
    <externalReference r:id="rId27"/>
  </externalReferences>
  <definedNames>
    <definedName name="_xlnm._FilterDatabase" localSheetId="8" hidden="1">'EL and TSL Setup'!#REF!</definedName>
    <definedName name="Alternate_Standard_Year">Financials!$E$11</definedName>
    <definedName name="Announcement_Year">Financials!$E$9</definedName>
    <definedName name="Capex">Financials!$E$24</definedName>
    <definedName name="CapEx_NoSTDs">'No STDs Case DCF'!$F$27:$AO$27</definedName>
    <definedName name="CapEx_Standards">'Standards Case DCF'!$F$28:$AO$28</definedName>
    <definedName name="CapitalConversionCost_Table">'Conversion Cost Timing'!$E$35:$M$35</definedName>
    <definedName name="CapitalConversionCosts">'Conversion Costs'!$F$7</definedName>
    <definedName name="CapitalConversionCosts_NoSTDs">'No STDs Case DCF'!$F$28:$AO$28</definedName>
    <definedName name="CapitalConversionCosts_Standards">'Standards Case DCF'!$F$29:$AO$29</definedName>
    <definedName name="Dates">Learning!$C$6:$C$41</definedName>
    <definedName name="Depreciation">Financials!$E$23</definedName>
    <definedName name="Discount_Rate">Financials!$E$16</definedName>
    <definedName name="Dollar_Year">Financials!$E$8</definedName>
    <definedName name="Dynamic_Date_Range">OFFSET('Data for Graphs'!$D$29,0,0,1,COUNTA('Data for Graphs'!$D$29:$BB$29))</definedName>
    <definedName name="EBIT_NoSTDs">'No STDs Case DCF'!$F$14:$AO$14</definedName>
    <definedName name="EBIT_Standards">'Standards Case DCF'!$F$15:$AO$15</definedName>
    <definedName name="EL_List">NAMES!$I$5:$I$104</definedName>
    <definedName name="ELandTSLSetup_Selected">'EL and TSL Setup'!$C$5:$N$5</definedName>
    <definedName name="Employment_Dynamic_Date">OFFSET(Employment!$D$34,0,0,1,COUNTA(Employment!$D$34:$BC$34))</definedName>
    <definedName name="f">[1]Financials!$E$7</definedName>
    <definedName name="FCF_Date_Range">OFFSET('Data for Graphs'!$D$29,0,0,1,MATCH(Standard_Year,'Data for Graphs'!$D$29:$BA$29,0)+10)</definedName>
    <definedName name="FCF_NoSTDs">'No STDs Case DCF'!$F$29:$AO$29</definedName>
    <definedName name="FCF_Standards">'Standards Case DCF'!$F$30:$AO$30</definedName>
    <definedName name="g">'[1]Standards Rev &amp; Cost'!$E$9:$ED$9</definedName>
    <definedName name="Growth_Rate">Financials!$E$27</definedName>
    <definedName name="hhh">[2]Financials!$E$9</definedName>
    <definedName name="INPV_NoSTDs">'No STDs Case DCF'!$D$38</definedName>
    <definedName name="INPV_Standards">'Standards Case DCF'!$D$39</definedName>
    <definedName name="Learning_Scenario_1">NAMES!$Q$6</definedName>
    <definedName name="Learning_Scenario_2">NAMES!$Q$7</definedName>
    <definedName name="Learning_Scenario_3">NAMES!$Q$8</definedName>
    <definedName name="Learning_Scenario_4">NAMES!$Q$9</definedName>
    <definedName name="Learning_Scenario_5">NAMES!$Q$10</definedName>
    <definedName name="Learning_Scenario_List">NAMES!$Q$6:$Q$10</definedName>
    <definedName name="Learning_Scenario_X">Scenario!$F$11</definedName>
    <definedName name="Learning_Selection">Learning!$C$5:$U$5</definedName>
    <definedName name="Markup_Scenario_1">NAMES!$M$6</definedName>
    <definedName name="Markup_Scenario_2">NAMES!$M$7</definedName>
    <definedName name="Markup_Scenario_3">NAMES!$M$8</definedName>
    <definedName name="Markup_Scenario_4">NAMES!$M$9</definedName>
    <definedName name="Markup_Scenario_5">NAMES!$M$10</definedName>
    <definedName name="Markup_Scenario_List">NAMES!$M$6:$M$10</definedName>
    <definedName name="Markup_Scenario_X">Scenario!$F$7</definedName>
    <definedName name="Multipliers_Table">Learning!$C$6:$U$41</definedName>
    <definedName name="NAICS_CODE">Employment!$D$6</definedName>
    <definedName name="NetPPE">Financials!$E$20</definedName>
    <definedName name="NetPPE_NoSTDs">'No STDs Case DCF'!$F$41:$AO$41</definedName>
    <definedName name="NetPPE_PercentRev_NoSTDs">'No STDs Case DCF'!$F$42:$AO$42</definedName>
    <definedName name="NetPPE_PercentRev_Standards">'Standards Case DCF'!$F$43:$AO$43</definedName>
    <definedName name="NetPPE_Standards">'Standards Case DCF'!$F$42:$AO$42</definedName>
    <definedName name="NOPAT_NoSTDs">'No STDs Case DCF'!$F$18:$AO$18</definedName>
    <definedName name="NOPAT_Standards">'Standards Case DCF'!$F$19:$AO$19</definedName>
    <definedName name="OperatingCashflow_NoSTDs">'No STDs Case DCF'!$F$26:$AO$26</definedName>
    <definedName name="OperatingCashflow_Standards">'Standards Case DCF'!$F$27:$AO$27</definedName>
    <definedName name="PC_Table">NAMES!$D$6:$F$104</definedName>
    <definedName name="ProductConversionCost_Table">'Conversion Cost Timing'!$E$41:$M$41</definedName>
    <definedName name="ProductConversionCosts">'Conversion Costs'!$M$7</definedName>
    <definedName name="ProductionHoldFactor">'Conversion Cost Timing'!$E$17</definedName>
    <definedName name="RandD">Financials!$E$22</definedName>
    <definedName name="Reference_Year">Financials!$E$7</definedName>
    <definedName name="Revenue_NoSTDs">'No STDs Case DCF'!$F$7:$AO$7</definedName>
    <definedName name="Revenue_Standards">'Standards Case DCF'!$F$7:$AO$7</definedName>
    <definedName name="ROIC_NoSTDs">'No STDs Case DCF'!$F$45:$AO$45</definedName>
    <definedName name="ROIC_Standards">'Standards Case DCF'!$F$46:$AO$46</definedName>
    <definedName name="SGA">Financials!$E$21</definedName>
    <definedName name="Shipment_Scenario_1">NAMES!$O$6</definedName>
    <definedName name="Shipment_Scenario_2">NAMES!$O$7</definedName>
    <definedName name="Shipment_Scenario_3">NAMES!$O$8</definedName>
    <definedName name="Shipment_Scenario_4">NAMES!$O$9</definedName>
    <definedName name="Shipment_Scenario_5">NAMES!$O$10</definedName>
    <definedName name="Shipments_Scenario_List">NAMES!$O$6:$O$10</definedName>
    <definedName name="Shipments_Scenario_X">Scenario!$F$9</definedName>
    <definedName name="solver_adj" localSheetId="15" hidden="1">Employment!#REF!</definedName>
    <definedName name="solver_cvg" localSheetId="15" hidden="1">0.0001</definedName>
    <definedName name="solver_drv" localSheetId="15" hidden="1">1</definedName>
    <definedName name="solver_est" localSheetId="15" hidden="1">1</definedName>
    <definedName name="solver_itr" localSheetId="15" hidden="1">100</definedName>
    <definedName name="solver_lin" localSheetId="15" hidden="1">2</definedName>
    <definedName name="solver_neg" localSheetId="15" hidden="1">2</definedName>
    <definedName name="solver_num" localSheetId="15" hidden="1">0</definedName>
    <definedName name="solver_nwt" localSheetId="15" hidden="1">1</definedName>
    <definedName name="solver_opt" localSheetId="15" hidden="1">Employment!#REF!</definedName>
    <definedName name="solver_pre" localSheetId="15" hidden="1">0.000001</definedName>
    <definedName name="solver_scl" localSheetId="15" hidden="1">2</definedName>
    <definedName name="solver_sho" localSheetId="15" hidden="1">2</definedName>
    <definedName name="solver_tim" localSheetId="15" hidden="1">100</definedName>
    <definedName name="solver_tol" localSheetId="15" hidden="1">0.05</definedName>
    <definedName name="solver_typ" localSheetId="15" hidden="1">3</definedName>
    <definedName name="solver_val" localSheetId="15" hidden="1">1</definedName>
    <definedName name="Standard_Year">Financials!$E$10</definedName>
    <definedName name="StrandedAssets">'Conversion Costs'!$T$7</definedName>
    <definedName name="Tax_Rate">Financials!$E$15</definedName>
    <definedName name="Terminal_Year">Financials!$E$12</definedName>
    <definedName name="Total_Depreciation_NoSTDs">'No STDs Case Rev &amp; Cost'!$E$13:$EE$13</definedName>
    <definedName name="Total_Depreciation_Standards">'Standards Rev &amp; Cost'!$E$13:$EE$13</definedName>
    <definedName name="Total_Labor_NoSTDs">'No STDs Case Rev &amp; Cost'!$E$12:$EE$12</definedName>
    <definedName name="Total_Labor_Standards">'Standards Rev &amp; Cost'!$E$12:$EE$12</definedName>
    <definedName name="Total_Materials_NoSTDs">'No STDs Case Rev &amp; Cost'!$E$11:$EE$11</definedName>
    <definedName name="Total_Materials_Standards">'Standards Rev &amp; Cost'!$E$11:$EE$11</definedName>
    <definedName name="Total_Overhead_NoSTDs">'No STDs Case Rev &amp; Cost'!$E$14:$EE$14</definedName>
    <definedName name="Total_Overhead_Standards">'Standards Rev &amp; Cost'!$E$14:$EE$14</definedName>
    <definedName name="Total_Revenues_NoSTDs">'No STDs Case Rev &amp; Cost'!$E$9:$EE$9</definedName>
    <definedName name="Total_Revenues_Standards">'Standards Rev &amp; Cost'!$E$9:$EE$9</definedName>
    <definedName name="Total_Unit_Sales_NoSTDs">'No STDs Case Rev &amp; Cost'!$E$8:$EE$8</definedName>
    <definedName name="Total_Unit_Sales_Standards">'Standards Rev &amp; Cost'!$E$8:$EE$8</definedName>
    <definedName name="TSL_Selection_List">NAMES!$K$5:$K$6</definedName>
    <definedName name="TSL_X">Scenario!$F$5</definedName>
    <definedName name="USLaborPercentage">Employment!$D$16</definedName>
    <definedName name="WorkingCapital">Financials!$E$19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47" i="65" l="1"/>
  <c r="AN46" i="64"/>
  <c r="AN24" i="64"/>
  <c r="S40" i="55"/>
  <c r="R40" i="55"/>
  <c r="Q40" i="55"/>
  <c r="P40" i="55"/>
  <c r="O40" i="55"/>
  <c r="N40" i="55"/>
  <c r="M40" i="55"/>
  <c r="L40" i="55"/>
  <c r="K40" i="55"/>
  <c r="J40" i="55"/>
  <c r="I40" i="55"/>
  <c r="H40" i="55"/>
  <c r="G40" i="55"/>
  <c r="F40" i="55"/>
  <c r="E40" i="55"/>
  <c r="E6" i="55"/>
  <c r="S41" i="55" l="1"/>
  <c r="R41" i="55"/>
  <c r="Q41" i="55"/>
  <c r="P41" i="55"/>
  <c r="O41" i="55"/>
  <c r="N41" i="55"/>
  <c r="M41" i="55"/>
  <c r="L41" i="55"/>
  <c r="K41" i="55"/>
  <c r="J41" i="55"/>
  <c r="I41" i="55"/>
  <c r="H41" i="55"/>
  <c r="G41" i="55"/>
  <c r="F41" i="55"/>
  <c r="S39" i="55"/>
  <c r="R39" i="55"/>
  <c r="Q39" i="55"/>
  <c r="P39" i="55"/>
  <c r="O39" i="55"/>
  <c r="N39" i="55"/>
  <c r="M39" i="55"/>
  <c r="L39" i="55"/>
  <c r="K39" i="55"/>
  <c r="J39" i="55"/>
  <c r="I39" i="55"/>
  <c r="H39" i="55"/>
  <c r="G39" i="55"/>
  <c r="F39" i="55"/>
  <c r="S38" i="55"/>
  <c r="R38" i="55"/>
  <c r="Q38" i="55"/>
  <c r="P38" i="55"/>
  <c r="O38" i="55"/>
  <c r="N38" i="55"/>
  <c r="M38" i="55"/>
  <c r="L38" i="55"/>
  <c r="K38" i="55"/>
  <c r="J38" i="55"/>
  <c r="I38" i="55"/>
  <c r="H38" i="55"/>
  <c r="G38" i="55"/>
  <c r="F38" i="55"/>
  <c r="S37" i="55"/>
  <c r="R37" i="55"/>
  <c r="Q37" i="55"/>
  <c r="P37" i="55"/>
  <c r="O37" i="55"/>
  <c r="N37" i="55"/>
  <c r="M37" i="55"/>
  <c r="L37" i="55"/>
  <c r="K37" i="55"/>
  <c r="J37" i="55"/>
  <c r="I37" i="55"/>
  <c r="H37" i="55"/>
  <c r="G37" i="55"/>
  <c r="F37" i="55"/>
  <c r="S36" i="55"/>
  <c r="R36" i="55"/>
  <c r="Q36" i="55"/>
  <c r="P36" i="55"/>
  <c r="O36" i="55"/>
  <c r="N36" i="55"/>
  <c r="M36" i="55"/>
  <c r="L36" i="55"/>
  <c r="K36" i="55"/>
  <c r="J36" i="55"/>
  <c r="I36" i="55"/>
  <c r="H36" i="55"/>
  <c r="G36" i="55"/>
  <c r="F36" i="55"/>
  <c r="S35" i="55"/>
  <c r="R35" i="55"/>
  <c r="Q35" i="55"/>
  <c r="P35" i="55"/>
  <c r="O35" i="55"/>
  <c r="N35" i="55"/>
  <c r="M35" i="55"/>
  <c r="L35" i="55"/>
  <c r="K35" i="55"/>
  <c r="J35" i="55"/>
  <c r="I35" i="55"/>
  <c r="H35" i="55"/>
  <c r="G35" i="55"/>
  <c r="F35" i="55"/>
  <c r="S34" i="55"/>
  <c r="R34" i="55"/>
  <c r="Q34" i="55"/>
  <c r="P34" i="55"/>
  <c r="O34" i="55"/>
  <c r="N34" i="55"/>
  <c r="M34" i="55"/>
  <c r="L34" i="55"/>
  <c r="K34" i="55"/>
  <c r="J34" i="55"/>
  <c r="I34" i="55"/>
  <c r="H34" i="55"/>
  <c r="G34" i="55"/>
  <c r="F34" i="55"/>
  <c r="S33" i="55"/>
  <c r="R33" i="55"/>
  <c r="Q33" i="55"/>
  <c r="P33" i="55"/>
  <c r="O33" i="55"/>
  <c r="N33" i="55"/>
  <c r="M33" i="55"/>
  <c r="L33" i="55"/>
  <c r="K33" i="55"/>
  <c r="J33" i="55"/>
  <c r="I33" i="55"/>
  <c r="H33" i="55"/>
  <c r="G33" i="55"/>
  <c r="F33" i="55"/>
  <c r="S32" i="55"/>
  <c r="R32" i="55"/>
  <c r="Q32" i="55"/>
  <c r="P32" i="55"/>
  <c r="O32" i="55"/>
  <c r="N32" i="55"/>
  <c r="M32" i="55"/>
  <c r="L32" i="55"/>
  <c r="K32" i="55"/>
  <c r="J32" i="55"/>
  <c r="I32" i="55"/>
  <c r="H32" i="55"/>
  <c r="G32" i="55"/>
  <c r="F32" i="55"/>
  <c r="S31" i="55"/>
  <c r="R31" i="55"/>
  <c r="Q31" i="55"/>
  <c r="P31" i="55"/>
  <c r="O31" i="55"/>
  <c r="N31" i="55"/>
  <c r="M31" i="55"/>
  <c r="L31" i="55"/>
  <c r="K31" i="55"/>
  <c r="J31" i="55"/>
  <c r="I31" i="55"/>
  <c r="H31" i="55"/>
  <c r="G31" i="55"/>
  <c r="F31" i="55"/>
  <c r="S30" i="55"/>
  <c r="R30" i="55"/>
  <c r="Q30" i="55"/>
  <c r="P30" i="55"/>
  <c r="O30" i="55"/>
  <c r="N30" i="55"/>
  <c r="M30" i="55"/>
  <c r="L30" i="55"/>
  <c r="K30" i="55"/>
  <c r="J30" i="55"/>
  <c r="I30" i="55"/>
  <c r="H30" i="55"/>
  <c r="G30" i="55"/>
  <c r="F30" i="55"/>
  <c r="S29" i="55"/>
  <c r="R29" i="55"/>
  <c r="Q29" i="55"/>
  <c r="P29" i="55"/>
  <c r="O29" i="55"/>
  <c r="N29" i="55"/>
  <c r="M29" i="55"/>
  <c r="L29" i="55"/>
  <c r="K29" i="55"/>
  <c r="J29" i="55"/>
  <c r="I29" i="55"/>
  <c r="H29" i="55"/>
  <c r="G29" i="55"/>
  <c r="F29" i="55"/>
  <c r="S28" i="55"/>
  <c r="R28" i="55"/>
  <c r="Q28" i="55"/>
  <c r="P28" i="55"/>
  <c r="O28" i="55"/>
  <c r="N28" i="55"/>
  <c r="M28" i="55"/>
  <c r="L28" i="55"/>
  <c r="K28" i="55"/>
  <c r="J28" i="55"/>
  <c r="I28" i="55"/>
  <c r="H28" i="55"/>
  <c r="G28" i="55"/>
  <c r="F28" i="55"/>
  <c r="S27" i="55"/>
  <c r="R27" i="55"/>
  <c r="Q27" i="55"/>
  <c r="P27" i="55"/>
  <c r="O27" i="55"/>
  <c r="N27" i="55"/>
  <c r="M27" i="55"/>
  <c r="L27" i="55"/>
  <c r="K27" i="55"/>
  <c r="J27" i="55"/>
  <c r="I27" i="55"/>
  <c r="H27" i="55"/>
  <c r="G27" i="55"/>
  <c r="F27" i="55"/>
  <c r="S26" i="55"/>
  <c r="R26" i="55"/>
  <c r="Q26" i="55"/>
  <c r="P26" i="55"/>
  <c r="O26" i="55"/>
  <c r="N26" i="55"/>
  <c r="M26" i="55"/>
  <c r="L26" i="55"/>
  <c r="K26" i="55"/>
  <c r="J26" i="55"/>
  <c r="I26" i="55"/>
  <c r="H26" i="55"/>
  <c r="G26" i="55"/>
  <c r="F26" i="55"/>
  <c r="S25" i="55"/>
  <c r="R25" i="55"/>
  <c r="Q25" i="55"/>
  <c r="P25" i="55"/>
  <c r="O25" i="55"/>
  <c r="N25" i="55"/>
  <c r="M25" i="55"/>
  <c r="L25" i="55"/>
  <c r="K25" i="55"/>
  <c r="J25" i="55"/>
  <c r="I25" i="55"/>
  <c r="H25" i="55"/>
  <c r="G25" i="55"/>
  <c r="F25" i="55"/>
  <c r="S24" i="55"/>
  <c r="R24" i="55"/>
  <c r="Q24" i="55"/>
  <c r="P24" i="55"/>
  <c r="O24" i="55"/>
  <c r="N24" i="55"/>
  <c r="M24" i="55"/>
  <c r="L24" i="55"/>
  <c r="K24" i="55"/>
  <c r="J24" i="55"/>
  <c r="I24" i="55"/>
  <c r="H24" i="55"/>
  <c r="G24" i="55"/>
  <c r="F24" i="55"/>
  <c r="S23" i="55"/>
  <c r="R23" i="55"/>
  <c r="Q23" i="55"/>
  <c r="P23" i="55"/>
  <c r="O23" i="55"/>
  <c r="N23" i="55"/>
  <c r="M23" i="55"/>
  <c r="L23" i="55"/>
  <c r="K23" i="55"/>
  <c r="J23" i="55"/>
  <c r="I23" i="55"/>
  <c r="H23" i="55"/>
  <c r="G23" i="55"/>
  <c r="F23" i="55"/>
  <c r="S22" i="55"/>
  <c r="R22" i="55"/>
  <c r="Q22" i="55"/>
  <c r="P22" i="55"/>
  <c r="O22" i="55"/>
  <c r="N22" i="55"/>
  <c r="M22" i="55"/>
  <c r="L22" i="55"/>
  <c r="K22" i="55"/>
  <c r="J22" i="55"/>
  <c r="I22" i="55"/>
  <c r="H22" i="55"/>
  <c r="G22" i="55"/>
  <c r="F22" i="55"/>
  <c r="S21" i="55"/>
  <c r="R21" i="55"/>
  <c r="Q21" i="55"/>
  <c r="P21" i="55"/>
  <c r="O21" i="55"/>
  <c r="N21" i="55"/>
  <c r="M21" i="55"/>
  <c r="L21" i="55"/>
  <c r="K21" i="55"/>
  <c r="J21" i="55"/>
  <c r="I21" i="55"/>
  <c r="H21" i="55"/>
  <c r="G21" i="55"/>
  <c r="F21" i="55"/>
  <c r="S20" i="55"/>
  <c r="R20" i="55"/>
  <c r="Q20" i="55"/>
  <c r="P20" i="55"/>
  <c r="O20" i="55"/>
  <c r="N20" i="55"/>
  <c r="M20" i="55"/>
  <c r="L20" i="55"/>
  <c r="K20" i="55"/>
  <c r="J20" i="55"/>
  <c r="I20" i="55"/>
  <c r="H20" i="55"/>
  <c r="G20" i="55"/>
  <c r="F20" i="55"/>
  <c r="S19" i="55"/>
  <c r="R19" i="55"/>
  <c r="Q19" i="55"/>
  <c r="P19" i="55"/>
  <c r="O19" i="55"/>
  <c r="N19" i="55"/>
  <c r="M19" i="55"/>
  <c r="L19" i="55"/>
  <c r="K19" i="55"/>
  <c r="J19" i="55"/>
  <c r="I19" i="55"/>
  <c r="H19" i="55"/>
  <c r="G19" i="55"/>
  <c r="F19" i="55"/>
  <c r="S18" i="55"/>
  <c r="R18" i="55"/>
  <c r="Q18" i="55"/>
  <c r="P18" i="55"/>
  <c r="O18" i="55"/>
  <c r="N18" i="55"/>
  <c r="M18" i="55"/>
  <c r="L18" i="55"/>
  <c r="K18" i="55"/>
  <c r="J18" i="55"/>
  <c r="I18" i="55"/>
  <c r="H18" i="55"/>
  <c r="G18" i="55"/>
  <c r="F18" i="55"/>
  <c r="S17" i="55"/>
  <c r="R17" i="55"/>
  <c r="Q17" i="55"/>
  <c r="P17" i="55"/>
  <c r="O17" i="55"/>
  <c r="N17" i="55"/>
  <c r="M17" i="55"/>
  <c r="L17" i="55"/>
  <c r="K17" i="55"/>
  <c r="J17" i="55"/>
  <c r="I17" i="55"/>
  <c r="H17" i="55"/>
  <c r="G17" i="55"/>
  <c r="F17" i="55"/>
  <c r="S16" i="55"/>
  <c r="R16" i="55"/>
  <c r="Q16" i="55"/>
  <c r="P16" i="55"/>
  <c r="O16" i="55"/>
  <c r="N16" i="55"/>
  <c r="M16" i="55"/>
  <c r="L16" i="55"/>
  <c r="K16" i="55"/>
  <c r="J16" i="55"/>
  <c r="I16" i="55"/>
  <c r="H16" i="55"/>
  <c r="G16" i="55"/>
  <c r="F16" i="55"/>
  <c r="S15" i="55"/>
  <c r="R15" i="55"/>
  <c r="Q15" i="55"/>
  <c r="P15" i="55"/>
  <c r="O15" i="55"/>
  <c r="N15" i="55"/>
  <c r="M15" i="55"/>
  <c r="L15" i="55"/>
  <c r="K15" i="55"/>
  <c r="J15" i="55"/>
  <c r="I15" i="55"/>
  <c r="H15" i="55"/>
  <c r="G15" i="55"/>
  <c r="F15" i="55"/>
  <c r="S14" i="55"/>
  <c r="R14" i="55"/>
  <c r="Q14" i="55"/>
  <c r="P14" i="55"/>
  <c r="O14" i="55"/>
  <c r="N14" i="55"/>
  <c r="M14" i="55"/>
  <c r="L14" i="55"/>
  <c r="K14" i="55"/>
  <c r="J14" i="55"/>
  <c r="I14" i="55"/>
  <c r="H14" i="55"/>
  <c r="G14" i="55"/>
  <c r="F14" i="55"/>
  <c r="S13" i="55"/>
  <c r="R13" i="55"/>
  <c r="Q13" i="55"/>
  <c r="P13" i="55"/>
  <c r="O13" i="55"/>
  <c r="N13" i="55"/>
  <c r="M13" i="55"/>
  <c r="L13" i="55"/>
  <c r="K13" i="55"/>
  <c r="J13" i="55"/>
  <c r="I13" i="55"/>
  <c r="H13" i="55"/>
  <c r="G13" i="55"/>
  <c r="F13" i="55"/>
  <c r="S12" i="55"/>
  <c r="R12" i="55"/>
  <c r="Q12" i="55"/>
  <c r="P12" i="55"/>
  <c r="O12" i="55"/>
  <c r="N12" i="55"/>
  <c r="M12" i="55"/>
  <c r="L12" i="55"/>
  <c r="K12" i="55"/>
  <c r="J12" i="55"/>
  <c r="I12" i="55"/>
  <c r="H12" i="55"/>
  <c r="G12" i="55"/>
  <c r="F12" i="55"/>
  <c r="S11" i="55"/>
  <c r="R11" i="55"/>
  <c r="Q11" i="55"/>
  <c r="P11" i="55"/>
  <c r="O11" i="55"/>
  <c r="N11" i="55"/>
  <c r="M11" i="55"/>
  <c r="L11" i="55"/>
  <c r="K11" i="55"/>
  <c r="J11" i="55"/>
  <c r="I11" i="55"/>
  <c r="H11" i="55"/>
  <c r="G11" i="55"/>
  <c r="F11" i="55"/>
  <c r="S10" i="55"/>
  <c r="R10" i="55"/>
  <c r="Q10" i="55"/>
  <c r="P10" i="55"/>
  <c r="O10" i="55"/>
  <c r="N10" i="55"/>
  <c r="M10" i="55"/>
  <c r="L10" i="55"/>
  <c r="K10" i="55"/>
  <c r="J10" i="55"/>
  <c r="I10" i="55"/>
  <c r="H10" i="55"/>
  <c r="G10" i="55"/>
  <c r="F10" i="55"/>
  <c r="S9" i="55"/>
  <c r="R9" i="55"/>
  <c r="Q9" i="55"/>
  <c r="P9" i="55"/>
  <c r="O9" i="55"/>
  <c r="N9" i="55"/>
  <c r="M9" i="55"/>
  <c r="L9" i="55"/>
  <c r="K9" i="55"/>
  <c r="J9" i="55"/>
  <c r="I9" i="55"/>
  <c r="H9" i="55"/>
  <c r="G9" i="55"/>
  <c r="F9" i="55"/>
  <c r="S8" i="55"/>
  <c r="R8" i="55"/>
  <c r="Q8" i="55"/>
  <c r="P8" i="55"/>
  <c r="O8" i="55"/>
  <c r="N8" i="55"/>
  <c r="M8" i="55"/>
  <c r="L8" i="55"/>
  <c r="K8" i="55"/>
  <c r="J8" i="55"/>
  <c r="I8" i="55"/>
  <c r="H8" i="55"/>
  <c r="G8" i="55"/>
  <c r="F8" i="55"/>
  <c r="S7" i="55"/>
  <c r="R7" i="55"/>
  <c r="Q7" i="55"/>
  <c r="P7" i="55"/>
  <c r="O7" i="55"/>
  <c r="N7" i="55"/>
  <c r="M7" i="55"/>
  <c r="L7" i="55"/>
  <c r="K7" i="55"/>
  <c r="J7" i="55"/>
  <c r="I7" i="55"/>
  <c r="H7" i="55"/>
  <c r="G7" i="55"/>
  <c r="F7" i="55"/>
  <c r="S6" i="55"/>
  <c r="R6" i="55"/>
  <c r="Q6" i="55"/>
  <c r="P6" i="55"/>
  <c r="O6" i="55"/>
  <c r="N6" i="55"/>
  <c r="M6" i="55"/>
  <c r="L6" i="55"/>
  <c r="K6" i="55"/>
  <c r="J6" i="55"/>
  <c r="I6" i="55"/>
  <c r="H6" i="55"/>
  <c r="G6" i="55"/>
  <c r="F6" i="55"/>
  <c r="E7" i="55"/>
  <c r="E8"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1" i="55"/>
  <c r="C46" i="55"/>
  <c r="C47" i="55" s="1"/>
  <c r="C48" i="55" s="1"/>
  <c r="C49" i="55" s="1"/>
  <c r="C50" i="55" s="1"/>
  <c r="C51" i="55" s="1"/>
  <c r="C52" i="55" s="1"/>
  <c r="C53" i="55" s="1"/>
  <c r="C54" i="55" s="1"/>
  <c r="C55" i="55" s="1"/>
  <c r="C56" i="55" s="1"/>
  <c r="C57" i="55" s="1"/>
  <c r="C58" i="55" s="1"/>
  <c r="C59" i="55" s="1"/>
  <c r="C60" i="55" s="1"/>
  <c r="C61" i="55" s="1"/>
  <c r="C62" i="55" s="1"/>
  <c r="C63" i="55" s="1"/>
  <c r="C64" i="55" s="1"/>
  <c r="C65" i="55" s="1"/>
  <c r="C66" i="55" s="1"/>
  <c r="C67" i="55" s="1"/>
  <c r="C68" i="55" s="1"/>
  <c r="C69" i="55" s="1"/>
  <c r="C70" i="55" s="1"/>
  <c r="C71" i="55" s="1"/>
  <c r="C72" i="55" s="1"/>
  <c r="C73" i="55" s="1"/>
  <c r="C74" i="55" s="1"/>
  <c r="C75" i="55" s="1"/>
  <c r="C76" i="55" s="1"/>
  <c r="C77" i="55" s="1"/>
  <c r="C78" i="55" s="1"/>
  <c r="C79" i="55" s="1"/>
  <c r="D45" i="55"/>
  <c r="E203" i="63"/>
  <c r="F203" i="63" s="1"/>
  <c r="G203" i="63" s="1"/>
  <c r="H203" i="63" s="1"/>
  <c r="I203" i="63" s="1"/>
  <c r="J203" i="63" s="1"/>
  <c r="K203" i="63" s="1"/>
  <c r="L203" i="63" s="1"/>
  <c r="M203" i="63" s="1"/>
  <c r="N203" i="63" s="1"/>
  <c r="O203" i="63" s="1"/>
  <c r="P203" i="63" s="1"/>
  <c r="Q203" i="63" s="1"/>
  <c r="R203" i="63" s="1"/>
  <c r="S203" i="63" s="1"/>
  <c r="T203" i="63" s="1"/>
  <c r="U203" i="63" s="1"/>
  <c r="V203" i="63" s="1"/>
  <c r="W203" i="63" s="1"/>
  <c r="X203" i="63" s="1"/>
  <c r="Y203" i="63" s="1"/>
  <c r="Z203" i="63" s="1"/>
  <c r="AA203" i="63" s="1"/>
  <c r="AB203" i="63" s="1"/>
  <c r="AC203" i="63" s="1"/>
  <c r="AD203" i="63" s="1"/>
  <c r="AE203" i="63" s="1"/>
  <c r="AF203" i="63" s="1"/>
  <c r="AG203" i="63" s="1"/>
  <c r="AH203" i="63" s="1"/>
  <c r="AI203" i="63" s="1"/>
  <c r="AJ203" i="63" s="1"/>
  <c r="AK203" i="63" s="1"/>
  <c r="AL203" i="63" s="1"/>
  <c r="E151" i="63"/>
  <c r="F151" i="63" s="1"/>
  <c r="G151" i="63" s="1"/>
  <c r="C149" i="63"/>
  <c r="E138" i="63"/>
  <c r="F138" i="63" s="1"/>
  <c r="G138" i="63" s="1"/>
  <c r="H138" i="63" s="1"/>
  <c r="I138" i="63" s="1"/>
  <c r="J138" i="63" s="1"/>
  <c r="K138" i="63" s="1"/>
  <c r="L138" i="63" s="1"/>
  <c r="M138" i="63" s="1"/>
  <c r="N138" i="63" s="1"/>
  <c r="O138" i="63" s="1"/>
  <c r="P138" i="63" s="1"/>
  <c r="Q138" i="63" s="1"/>
  <c r="R138" i="63" s="1"/>
  <c r="S138" i="63" s="1"/>
  <c r="T138" i="63" s="1"/>
  <c r="U138" i="63" s="1"/>
  <c r="V138" i="63" s="1"/>
  <c r="W138" i="63" s="1"/>
  <c r="X138" i="63" s="1"/>
  <c r="Y138" i="63" s="1"/>
  <c r="Z138" i="63" s="1"/>
  <c r="AA138" i="63" s="1"/>
  <c r="AB138" i="63" s="1"/>
  <c r="AC138" i="63" s="1"/>
  <c r="AD138" i="63" s="1"/>
  <c r="AE138" i="63" s="1"/>
  <c r="AF138" i="63" s="1"/>
  <c r="AG138" i="63" s="1"/>
  <c r="AH138" i="63" s="1"/>
  <c r="AI138" i="63" s="1"/>
  <c r="AJ138" i="63" s="1"/>
  <c r="AK138" i="63" s="1"/>
  <c r="AL138" i="63" s="1"/>
  <c r="E86" i="63"/>
  <c r="C84" i="63"/>
  <c r="E73" i="63"/>
  <c r="F73" i="63" s="1"/>
  <c r="G73" i="63" s="1"/>
  <c r="H73" i="63" s="1"/>
  <c r="I73" i="63" s="1"/>
  <c r="J73" i="63" s="1"/>
  <c r="K73" i="63" s="1"/>
  <c r="L73" i="63" s="1"/>
  <c r="M73" i="63" s="1"/>
  <c r="N73" i="63" s="1"/>
  <c r="O73" i="63" s="1"/>
  <c r="P73" i="63" s="1"/>
  <c r="Q73" i="63" s="1"/>
  <c r="R73" i="63" s="1"/>
  <c r="S73" i="63" s="1"/>
  <c r="T73" i="63" s="1"/>
  <c r="U73" i="63" s="1"/>
  <c r="V73" i="63" s="1"/>
  <c r="W73" i="63" s="1"/>
  <c r="X73" i="63" s="1"/>
  <c r="Y73" i="63" s="1"/>
  <c r="Z73" i="63" s="1"/>
  <c r="AA73" i="63" s="1"/>
  <c r="AB73" i="63" s="1"/>
  <c r="AC73" i="63" s="1"/>
  <c r="AD73" i="63" s="1"/>
  <c r="AE73" i="63" s="1"/>
  <c r="AF73" i="63" s="1"/>
  <c r="AG73" i="63" s="1"/>
  <c r="AH73" i="63" s="1"/>
  <c r="AI73" i="63" s="1"/>
  <c r="AJ73" i="63" s="1"/>
  <c r="AK73" i="63" s="1"/>
  <c r="AL73" i="63" s="1"/>
  <c r="E21" i="63"/>
  <c r="E20" i="63" s="1"/>
  <c r="C19" i="63"/>
  <c r="E203" i="37"/>
  <c r="F203" i="37" s="1"/>
  <c r="G203" i="37" s="1"/>
  <c r="H203" i="37" s="1"/>
  <c r="I203" i="37" s="1"/>
  <c r="J203" i="37" s="1"/>
  <c r="K203" i="37" s="1"/>
  <c r="L203" i="37" s="1"/>
  <c r="M203" i="37" s="1"/>
  <c r="N203" i="37" s="1"/>
  <c r="O203" i="37" s="1"/>
  <c r="P203" i="37" s="1"/>
  <c r="Q203" i="37" s="1"/>
  <c r="R203" i="37" s="1"/>
  <c r="S203" i="37" s="1"/>
  <c r="T203" i="37" s="1"/>
  <c r="U203" i="37" s="1"/>
  <c r="V203" i="37" s="1"/>
  <c r="W203" i="37" s="1"/>
  <c r="X203" i="37" s="1"/>
  <c r="Y203" i="37" s="1"/>
  <c r="Z203" i="37" s="1"/>
  <c r="AA203" i="37" s="1"/>
  <c r="AB203" i="37" s="1"/>
  <c r="AC203" i="37" s="1"/>
  <c r="AD203" i="37" s="1"/>
  <c r="AE203" i="37" s="1"/>
  <c r="AF203" i="37" s="1"/>
  <c r="AG203" i="37" s="1"/>
  <c r="AH203" i="37" s="1"/>
  <c r="AI203" i="37" s="1"/>
  <c r="AJ203" i="37" s="1"/>
  <c r="AK203" i="37" s="1"/>
  <c r="AL203" i="37" s="1"/>
  <c r="E151" i="37"/>
  <c r="F151" i="37" s="1"/>
  <c r="G151" i="37" s="1"/>
  <c r="G150" i="37" s="1"/>
  <c r="E150" i="37"/>
  <c r="E138" i="37"/>
  <c r="F138" i="37" s="1"/>
  <c r="G138" i="37" s="1"/>
  <c r="H138" i="37" s="1"/>
  <c r="I138" i="37" s="1"/>
  <c r="J138" i="37" s="1"/>
  <c r="K138" i="37" s="1"/>
  <c r="L138" i="37" s="1"/>
  <c r="M138" i="37" s="1"/>
  <c r="N138" i="37" s="1"/>
  <c r="O138" i="37" s="1"/>
  <c r="P138" i="37" s="1"/>
  <c r="Q138" i="37" s="1"/>
  <c r="R138" i="37" s="1"/>
  <c r="S138" i="37" s="1"/>
  <c r="T138" i="37" s="1"/>
  <c r="U138" i="37" s="1"/>
  <c r="V138" i="37" s="1"/>
  <c r="W138" i="37" s="1"/>
  <c r="X138" i="37" s="1"/>
  <c r="Y138" i="37" s="1"/>
  <c r="Z138" i="37" s="1"/>
  <c r="AA138" i="37" s="1"/>
  <c r="AB138" i="37" s="1"/>
  <c r="AC138" i="37" s="1"/>
  <c r="AD138" i="37" s="1"/>
  <c r="AE138" i="37" s="1"/>
  <c r="AF138" i="37" s="1"/>
  <c r="AG138" i="37" s="1"/>
  <c r="AH138" i="37" s="1"/>
  <c r="AI138" i="37" s="1"/>
  <c r="AJ138" i="37" s="1"/>
  <c r="AK138" i="37" s="1"/>
  <c r="AL138" i="37" s="1"/>
  <c r="E86" i="37"/>
  <c r="F86" i="37" s="1"/>
  <c r="G86" i="37" s="1"/>
  <c r="G85" i="37" s="1"/>
  <c r="E85" i="37"/>
  <c r="E73" i="37"/>
  <c r="F73" i="37" s="1"/>
  <c r="G73" i="37" s="1"/>
  <c r="H73" i="37" s="1"/>
  <c r="I73" i="37" s="1"/>
  <c r="J73" i="37" s="1"/>
  <c r="K73" i="37" s="1"/>
  <c r="L73" i="37" s="1"/>
  <c r="M73" i="37" s="1"/>
  <c r="N73" i="37" s="1"/>
  <c r="O73" i="37" s="1"/>
  <c r="P73" i="37" s="1"/>
  <c r="Q73" i="37" s="1"/>
  <c r="R73" i="37" s="1"/>
  <c r="S73" i="37" s="1"/>
  <c r="T73" i="37" s="1"/>
  <c r="U73" i="37" s="1"/>
  <c r="V73" i="37" s="1"/>
  <c r="W73" i="37" s="1"/>
  <c r="X73" i="37" s="1"/>
  <c r="Y73" i="37" s="1"/>
  <c r="Z73" i="37" s="1"/>
  <c r="AA73" i="37" s="1"/>
  <c r="AB73" i="37" s="1"/>
  <c r="AC73" i="37" s="1"/>
  <c r="AD73" i="37" s="1"/>
  <c r="AE73" i="37" s="1"/>
  <c r="AF73" i="37" s="1"/>
  <c r="AG73" i="37" s="1"/>
  <c r="AH73" i="37" s="1"/>
  <c r="AI73" i="37" s="1"/>
  <c r="AJ73" i="37" s="1"/>
  <c r="AK73" i="37" s="1"/>
  <c r="AL73" i="37" s="1"/>
  <c r="E21" i="37"/>
  <c r="E20" i="37" s="1"/>
  <c r="G24" i="64"/>
  <c r="H24" i="64"/>
  <c r="G46" i="64"/>
  <c r="H46" i="64"/>
  <c r="AM73" i="63" l="1"/>
  <c r="AN73" i="63" s="1"/>
  <c r="AM203" i="63"/>
  <c r="AN203" i="63" s="1"/>
  <c r="AM138" i="63"/>
  <c r="AN138" i="63" s="1"/>
  <c r="F21" i="63"/>
  <c r="G21" i="63" s="1"/>
  <c r="E150" i="63"/>
  <c r="AM138" i="37"/>
  <c r="AN138" i="37" s="1"/>
  <c r="AM203" i="37"/>
  <c r="AN203" i="37" s="1"/>
  <c r="AM73" i="37"/>
  <c r="AN73" i="37" s="1"/>
  <c r="C80" i="55"/>
  <c r="C81" i="55" s="1"/>
  <c r="F150" i="63"/>
  <c r="E85" i="63"/>
  <c r="F86" i="63"/>
  <c r="H151" i="63"/>
  <c r="G150" i="63"/>
  <c r="F21" i="37"/>
  <c r="F85" i="37"/>
  <c r="H86" i="37"/>
  <c r="H151" i="37"/>
  <c r="F150" i="37"/>
  <c r="G47" i="65"/>
  <c r="F20" i="63" l="1"/>
  <c r="G20" i="63"/>
  <c r="H21" i="63"/>
  <c r="F85" i="63"/>
  <c r="G86" i="63"/>
  <c r="I151" i="63"/>
  <c r="H150" i="63"/>
  <c r="H150" i="37"/>
  <c r="I151" i="37"/>
  <c r="I86" i="37"/>
  <c r="H85" i="37"/>
  <c r="F20" i="37"/>
  <c r="G21" i="37"/>
  <c r="F47" i="65"/>
  <c r="H47" i="65"/>
  <c r="V30" i="59"/>
  <c r="V18" i="59"/>
  <c r="V6" i="59"/>
  <c r="W2" i="59"/>
  <c r="V2" i="59"/>
  <c r="N30" i="59"/>
  <c r="N18" i="59"/>
  <c r="N6" i="59"/>
  <c r="R36" i="59"/>
  <c r="R35" i="59"/>
  <c r="Q35" i="59"/>
  <c r="R34" i="59"/>
  <c r="Q34" i="59"/>
  <c r="P34" i="59"/>
  <c r="R24" i="59"/>
  <c r="R23" i="59"/>
  <c r="Q23" i="59"/>
  <c r="R22" i="59"/>
  <c r="Q22" i="59"/>
  <c r="P22" i="59"/>
  <c r="R12" i="59"/>
  <c r="R11" i="59"/>
  <c r="Q11" i="59"/>
  <c r="R10" i="59"/>
  <c r="Q10" i="59"/>
  <c r="P10" i="59"/>
  <c r="D55" i="60"/>
  <c r="D47" i="60"/>
  <c r="D39" i="60"/>
  <c r="L11" i="59"/>
  <c r="K11" i="59"/>
  <c r="L12" i="59"/>
  <c r="L23" i="59"/>
  <c r="K23" i="59"/>
  <c r="L24" i="59"/>
  <c r="M15" i="49"/>
  <c r="D19" i="60"/>
  <c r="C16" i="52"/>
  <c r="L22" i="59"/>
  <c r="K22" i="59"/>
  <c r="J22" i="59"/>
  <c r="C19" i="59"/>
  <c r="V19" i="59" s="1"/>
  <c r="H18" i="59"/>
  <c r="L20" i="58"/>
  <c r="I20" i="58"/>
  <c r="C18" i="58"/>
  <c r="J17" i="58"/>
  <c r="K8" i="43"/>
  <c r="L35" i="59"/>
  <c r="K35" i="59"/>
  <c r="L36" i="59"/>
  <c r="M25" i="49"/>
  <c r="D27" i="60"/>
  <c r="C26" i="52"/>
  <c r="L34" i="59"/>
  <c r="K34" i="59"/>
  <c r="J34" i="59"/>
  <c r="C31" i="59"/>
  <c r="V31" i="59" s="1"/>
  <c r="H30" i="59"/>
  <c r="L32" i="58"/>
  <c r="I32" i="58"/>
  <c r="C30" i="58"/>
  <c r="J29" i="58"/>
  <c r="K7" i="43"/>
  <c r="X12" i="12"/>
  <c r="I21" i="63" l="1"/>
  <c r="H20" i="63"/>
  <c r="H86" i="63"/>
  <c r="G85" i="63"/>
  <c r="J151" i="63"/>
  <c r="I150" i="63"/>
  <c r="H21" i="37"/>
  <c r="G20" i="37"/>
  <c r="I85" i="37"/>
  <c r="J86" i="37"/>
  <c r="I150" i="37"/>
  <c r="J151" i="37"/>
  <c r="AB14" i="12"/>
  <c r="AB13" i="12"/>
  <c r="AB12" i="12"/>
  <c r="AB11" i="12"/>
  <c r="AB10" i="12"/>
  <c r="AB9" i="12"/>
  <c r="AB8" i="12"/>
  <c r="AB7" i="12"/>
  <c r="AB6" i="12"/>
  <c r="H49" i="12"/>
  <c r="H48" i="12"/>
  <c r="H47" i="12"/>
  <c r="H45" i="12"/>
  <c r="H44" i="12"/>
  <c r="G41" i="12"/>
  <c r="H40" i="12"/>
  <c r="G40" i="12"/>
  <c r="H39" i="12"/>
  <c r="G39" i="12"/>
  <c r="H38" i="12"/>
  <c r="G38" i="12"/>
  <c r="H37" i="12"/>
  <c r="G37" i="12"/>
  <c r="H36" i="12"/>
  <c r="G36" i="12"/>
  <c r="H35" i="12"/>
  <c r="G35" i="12"/>
  <c r="G33" i="12"/>
  <c r="H32" i="12"/>
  <c r="G32" i="12"/>
  <c r="H31" i="12"/>
  <c r="G31" i="12"/>
  <c r="G30" i="12"/>
  <c r="G29" i="12"/>
  <c r="I86" i="63" l="1"/>
  <c r="H85" i="63"/>
  <c r="J150" i="63"/>
  <c r="K151" i="63"/>
  <c r="I20" i="63"/>
  <c r="J21" i="63"/>
  <c r="J150" i="37"/>
  <c r="K151" i="37"/>
  <c r="J85" i="37"/>
  <c r="K86" i="37"/>
  <c r="I21" i="37"/>
  <c r="H20" i="37"/>
  <c r="K6" i="43"/>
  <c r="J20" i="63" l="1"/>
  <c r="K21" i="63"/>
  <c r="K150" i="63"/>
  <c r="L151" i="63"/>
  <c r="J86" i="63"/>
  <c r="I85" i="63"/>
  <c r="J21" i="37"/>
  <c r="I20" i="37"/>
  <c r="L86" i="37"/>
  <c r="K85" i="37"/>
  <c r="L151" i="37"/>
  <c r="K150" i="37"/>
  <c r="D25" i="78"/>
  <c r="D24" i="78"/>
  <c r="D23" i="78"/>
  <c r="D21" i="78"/>
  <c r="D20" i="78"/>
  <c r="G19" i="78"/>
  <c r="C17" i="78"/>
  <c r="AB16" i="78"/>
  <c r="X16" i="78"/>
  <c r="D16" i="78"/>
  <c r="C16" i="78"/>
  <c r="AB15" i="78"/>
  <c r="AA15" i="78"/>
  <c r="X15" i="78"/>
  <c r="D15" i="78"/>
  <c r="C15" i="78"/>
  <c r="AB14" i="78"/>
  <c r="D14" i="78"/>
  <c r="C14" i="78"/>
  <c r="AB13" i="78"/>
  <c r="D13" i="78"/>
  <c r="C13" i="78"/>
  <c r="AB12" i="78"/>
  <c r="AA12" i="78"/>
  <c r="D12" i="78"/>
  <c r="C12" i="78"/>
  <c r="AB11" i="78"/>
  <c r="D11" i="78"/>
  <c r="C11" i="78"/>
  <c r="AB10" i="78"/>
  <c r="AB9" i="78"/>
  <c r="C9" i="78"/>
  <c r="AB8" i="78"/>
  <c r="D8" i="78"/>
  <c r="C8" i="78"/>
  <c r="AB7" i="78"/>
  <c r="D7" i="78"/>
  <c r="C7" i="78"/>
  <c r="AB6" i="78"/>
  <c r="AA6" i="78"/>
  <c r="C6" i="78"/>
  <c r="C5" i="78"/>
  <c r="G5" i="78"/>
  <c r="L150" i="63" l="1"/>
  <c r="M151" i="63"/>
  <c r="L21" i="63"/>
  <c r="K20" i="63"/>
  <c r="K86" i="63"/>
  <c r="J85" i="63"/>
  <c r="M151" i="37"/>
  <c r="L150" i="37"/>
  <c r="L85" i="37"/>
  <c r="M86" i="37"/>
  <c r="K21" i="37"/>
  <c r="J20" i="37"/>
  <c r="M7" i="38"/>
  <c r="M150" i="63" l="1"/>
  <c r="N151" i="63"/>
  <c r="M21" i="63"/>
  <c r="L20" i="63"/>
  <c r="K85" i="63"/>
  <c r="L86" i="63"/>
  <c r="L21" i="37"/>
  <c r="K20" i="37"/>
  <c r="N86" i="37"/>
  <c r="M85" i="37"/>
  <c r="N151" i="37"/>
  <c r="M150" i="37"/>
  <c r="H6" i="38"/>
  <c r="M20" i="63" l="1"/>
  <c r="N21" i="63"/>
  <c r="L85" i="63"/>
  <c r="M86" i="63"/>
  <c r="O151" i="63"/>
  <c r="N150" i="63"/>
  <c r="O151" i="37"/>
  <c r="N150" i="37"/>
  <c r="O86" i="37"/>
  <c r="N85" i="37"/>
  <c r="L20" i="37"/>
  <c r="M21" i="37"/>
  <c r="D15" i="38"/>
  <c r="J8" i="38"/>
  <c r="J6" i="38"/>
  <c r="M85" i="63" l="1"/>
  <c r="N86" i="63"/>
  <c r="P151" i="63"/>
  <c r="O150" i="63"/>
  <c r="O21" i="63"/>
  <c r="N20" i="63"/>
  <c r="M20" i="37"/>
  <c r="N21" i="37"/>
  <c r="O85" i="37"/>
  <c r="P86" i="37"/>
  <c r="O150" i="37"/>
  <c r="P151" i="37"/>
  <c r="L8" i="38"/>
  <c r="M6" i="38" s="1"/>
  <c r="Q151" i="63" l="1"/>
  <c r="P150" i="63"/>
  <c r="O20" i="63"/>
  <c r="P21" i="63"/>
  <c r="N85" i="63"/>
  <c r="O86" i="63"/>
  <c r="P150" i="37"/>
  <c r="Q151" i="37"/>
  <c r="Q86" i="37"/>
  <c r="P85" i="37"/>
  <c r="N20" i="37"/>
  <c r="O21" i="37"/>
  <c r="C28" i="38"/>
  <c r="C27" i="38"/>
  <c r="R151" i="63" l="1"/>
  <c r="Q150" i="63"/>
  <c r="P20" i="63"/>
  <c r="Q21" i="63"/>
  <c r="P86" i="63"/>
  <c r="O85" i="63"/>
  <c r="P21" i="37"/>
  <c r="O20" i="37"/>
  <c r="Q85" i="37"/>
  <c r="R86" i="37"/>
  <c r="Q150" i="37"/>
  <c r="R151" i="37"/>
  <c r="Q86" i="63" l="1"/>
  <c r="P85" i="63"/>
  <c r="R21" i="63"/>
  <c r="Q20" i="63"/>
  <c r="R150" i="63"/>
  <c r="S151" i="63"/>
  <c r="R150" i="37"/>
  <c r="S151" i="37"/>
  <c r="R85" i="37"/>
  <c r="S86" i="37"/>
  <c r="Q21" i="37"/>
  <c r="P20" i="37"/>
  <c r="AB16" i="12"/>
  <c r="X16" i="12"/>
  <c r="AB15" i="12"/>
  <c r="AA15" i="12"/>
  <c r="X15" i="12"/>
  <c r="AA12" i="12"/>
  <c r="AA6" i="12"/>
  <c r="S150" i="63" l="1"/>
  <c r="T151" i="63"/>
  <c r="R20" i="63"/>
  <c r="S21" i="63"/>
  <c r="R86" i="63"/>
  <c r="Q85" i="63"/>
  <c r="T86" i="37"/>
  <c r="S85" i="37"/>
  <c r="R21" i="37"/>
  <c r="Q20" i="37"/>
  <c r="T151" i="37"/>
  <c r="S150" i="37"/>
  <c r="T150" i="63" l="1"/>
  <c r="U151" i="63"/>
  <c r="S86" i="63"/>
  <c r="R85" i="63"/>
  <c r="T21" i="63"/>
  <c r="S20" i="63"/>
  <c r="S21" i="37"/>
  <c r="R20" i="37"/>
  <c r="U151" i="37"/>
  <c r="T150" i="37"/>
  <c r="T85" i="37"/>
  <c r="U86" i="37"/>
  <c r="H12" i="12"/>
  <c r="G12" i="12"/>
  <c r="S85" i="63" l="1"/>
  <c r="T86" i="63"/>
  <c r="U150" i="63"/>
  <c r="V151" i="63"/>
  <c r="U21" i="63"/>
  <c r="T20" i="63"/>
  <c r="V86" i="37"/>
  <c r="U85" i="37"/>
  <c r="V151" i="37"/>
  <c r="U150" i="37"/>
  <c r="S20" i="37"/>
  <c r="T21" i="37"/>
  <c r="G9" i="12"/>
  <c r="G8" i="12"/>
  <c r="U20" i="63" l="1"/>
  <c r="V21" i="63"/>
  <c r="W151" i="63"/>
  <c r="V150" i="63"/>
  <c r="T85" i="63"/>
  <c r="U86" i="63"/>
  <c r="T20" i="37"/>
  <c r="U21" i="37"/>
  <c r="W151" i="37"/>
  <c r="V150" i="37"/>
  <c r="W86" i="37"/>
  <c r="V85" i="37"/>
  <c r="H8" i="12"/>
  <c r="G17" i="12"/>
  <c r="G16" i="12"/>
  <c r="X151" i="63" l="1"/>
  <c r="W150" i="63"/>
  <c r="W21" i="63"/>
  <c r="V20" i="63"/>
  <c r="U85" i="63"/>
  <c r="V86" i="63"/>
  <c r="X86" i="37"/>
  <c r="W85" i="37"/>
  <c r="W150" i="37"/>
  <c r="X151" i="37"/>
  <c r="U20" i="37"/>
  <c r="V21" i="37"/>
  <c r="C25" i="38"/>
  <c r="W20" i="63" l="1"/>
  <c r="X21" i="63"/>
  <c r="V85" i="63"/>
  <c r="W86" i="63"/>
  <c r="Y151" i="63"/>
  <c r="X150" i="63"/>
  <c r="X150" i="37"/>
  <c r="Y151" i="37"/>
  <c r="V20" i="37"/>
  <c r="W21" i="37"/>
  <c r="Y86" i="37"/>
  <c r="X85" i="37"/>
  <c r="D44" i="18"/>
  <c r="E44" i="18" s="1"/>
  <c r="F44" i="18" s="1"/>
  <c r="G44" i="18" s="1"/>
  <c r="H44" i="18" s="1"/>
  <c r="I44" i="18" s="1"/>
  <c r="J44" i="18" s="1"/>
  <c r="K44" i="18" s="1"/>
  <c r="L44" i="18" s="1"/>
  <c r="M44" i="18" s="1"/>
  <c r="N44" i="18" s="1"/>
  <c r="O44" i="18" s="1"/>
  <c r="P44" i="18" s="1"/>
  <c r="Q44" i="18" s="1"/>
  <c r="R44" i="18" s="1"/>
  <c r="S44" i="18" s="1"/>
  <c r="T44" i="18" s="1"/>
  <c r="U44" i="18" s="1"/>
  <c r="V44" i="18" s="1"/>
  <c r="W44" i="18" s="1"/>
  <c r="X44" i="18" s="1"/>
  <c r="Y44" i="18" s="1"/>
  <c r="Z44" i="18" s="1"/>
  <c r="AA44" i="18" s="1"/>
  <c r="AB44" i="18" s="1"/>
  <c r="AC44" i="18" s="1"/>
  <c r="AD44" i="18" s="1"/>
  <c r="AE44" i="18" s="1"/>
  <c r="AF44" i="18" s="1"/>
  <c r="AG44" i="18" s="1"/>
  <c r="AH44" i="18" s="1"/>
  <c r="AI44" i="18" s="1"/>
  <c r="AJ44" i="18" s="1"/>
  <c r="AK44" i="18" s="1"/>
  <c r="AL44" i="18" s="1"/>
  <c r="C13" i="18"/>
  <c r="X86" i="63" l="1"/>
  <c r="W85" i="63"/>
  <c r="Z151" i="63"/>
  <c r="Y150" i="63"/>
  <c r="X20" i="63"/>
  <c r="Y21" i="63"/>
  <c r="Y85" i="37"/>
  <c r="Z86" i="37"/>
  <c r="X21" i="37"/>
  <c r="W20" i="37"/>
  <c r="Y150" i="37"/>
  <c r="Z151" i="37"/>
  <c r="G7" i="38"/>
  <c r="Y20" i="63" l="1"/>
  <c r="Z21" i="63"/>
  <c r="Z150" i="63"/>
  <c r="AA151" i="63"/>
  <c r="Y86" i="63"/>
  <c r="X85" i="63"/>
  <c r="Z150" i="37"/>
  <c r="AA151" i="37"/>
  <c r="Y21" i="37"/>
  <c r="X20" i="37"/>
  <c r="Z85" i="37"/>
  <c r="AA86" i="37"/>
  <c r="AA150" i="63" l="1"/>
  <c r="AB151" i="63"/>
  <c r="Z86" i="63"/>
  <c r="Y85" i="63"/>
  <c r="Z20" i="63"/>
  <c r="AA21" i="63"/>
  <c r="Z21" i="37"/>
  <c r="Y20" i="37"/>
  <c r="AB151" i="37"/>
  <c r="AA150" i="37"/>
  <c r="AB86" i="37"/>
  <c r="AA85" i="37"/>
  <c r="C6" i="65"/>
  <c r="C6" i="64"/>
  <c r="C34" i="18"/>
  <c r="C24" i="18"/>
  <c r="C29" i="18"/>
  <c r="C11" i="18"/>
  <c r="C9" i="18"/>
  <c r="C10" i="18"/>
  <c r="H25" i="12"/>
  <c r="H24" i="12"/>
  <c r="H23" i="12"/>
  <c r="H21" i="12"/>
  <c r="H20" i="12"/>
  <c r="H16" i="12"/>
  <c r="H15" i="12"/>
  <c r="H14" i="12"/>
  <c r="H13" i="12"/>
  <c r="H11" i="12"/>
  <c r="H7" i="12"/>
  <c r="Q5" i="54"/>
  <c r="J5" i="54"/>
  <c r="C5" i="54"/>
  <c r="I6" i="44"/>
  <c r="I7" i="44"/>
  <c r="I8" i="44"/>
  <c r="I9" i="44"/>
  <c r="H7" i="49"/>
  <c r="C6" i="55"/>
  <c r="C7" i="55" s="1"/>
  <c r="U6" i="55"/>
  <c r="U7" i="55"/>
  <c r="U8"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1" i="55"/>
  <c r="D5" i="55"/>
  <c r="E7" i="63"/>
  <c r="F5" i="60"/>
  <c r="E7" i="37"/>
  <c r="H7" i="52"/>
  <c r="C5" i="42"/>
  <c r="C7" i="18"/>
  <c r="G15" i="12"/>
  <c r="G14" i="12"/>
  <c r="G13" i="12"/>
  <c r="G11" i="12"/>
  <c r="G7" i="12"/>
  <c r="G6" i="12"/>
  <c r="G5" i="12"/>
  <c r="AO24" i="64"/>
  <c r="AM24" i="64"/>
  <c r="AL24" i="64"/>
  <c r="AK24" i="64"/>
  <c r="AJ24" i="64"/>
  <c r="AI24" i="64"/>
  <c r="AH24" i="64"/>
  <c r="AG24" i="64"/>
  <c r="AF24" i="64"/>
  <c r="AE24" i="64"/>
  <c r="AD24" i="64"/>
  <c r="AC24" i="64"/>
  <c r="AB24" i="64"/>
  <c r="AA24" i="64"/>
  <c r="Z24" i="64"/>
  <c r="Y24" i="64"/>
  <c r="X24" i="64"/>
  <c r="W24" i="64"/>
  <c r="V24" i="64"/>
  <c r="U24" i="64"/>
  <c r="T24" i="64"/>
  <c r="S24" i="64"/>
  <c r="R24" i="64"/>
  <c r="Q24" i="64"/>
  <c r="P24" i="64"/>
  <c r="O24" i="64"/>
  <c r="N24" i="64"/>
  <c r="M24" i="64"/>
  <c r="L24" i="64"/>
  <c r="K24" i="64"/>
  <c r="J24" i="64"/>
  <c r="I24" i="64"/>
  <c r="F24" i="64"/>
  <c r="G8" i="38"/>
  <c r="F10" i="60"/>
  <c r="G10" i="60" s="1"/>
  <c r="G9" i="60" s="1"/>
  <c r="D11" i="60"/>
  <c r="D39" i="18"/>
  <c r="E39" i="18" s="1"/>
  <c r="F39" i="18" s="1"/>
  <c r="G39" i="18" s="1"/>
  <c r="H39" i="18" s="1"/>
  <c r="I39" i="18" s="1"/>
  <c r="J39" i="18" s="1"/>
  <c r="K39" i="18" s="1"/>
  <c r="L39" i="18" s="1"/>
  <c r="M39" i="18" s="1"/>
  <c r="N39" i="18" s="1"/>
  <c r="O39" i="18" s="1"/>
  <c r="P39" i="18" s="1"/>
  <c r="Q39" i="18" s="1"/>
  <c r="R39" i="18" s="1"/>
  <c r="S39" i="18" s="1"/>
  <c r="T39" i="18" s="1"/>
  <c r="U39" i="18" s="1"/>
  <c r="V39" i="18" s="1"/>
  <c r="W39" i="18" s="1"/>
  <c r="X39" i="18" s="1"/>
  <c r="Y39" i="18" s="1"/>
  <c r="Z39" i="18" s="1"/>
  <c r="AA39" i="18" s="1"/>
  <c r="AB39" i="18" s="1"/>
  <c r="AC39" i="18" s="1"/>
  <c r="AD39" i="18" s="1"/>
  <c r="AE39" i="18" s="1"/>
  <c r="AF39" i="18" s="1"/>
  <c r="AG39" i="18" s="1"/>
  <c r="AH39" i="18" s="1"/>
  <c r="AI39" i="18" s="1"/>
  <c r="AJ39" i="18" s="1"/>
  <c r="AK39" i="18" s="1"/>
  <c r="AL39" i="18" s="1"/>
  <c r="O4" i="44"/>
  <c r="Q4" i="44"/>
  <c r="M4" i="44"/>
  <c r="E4" i="44"/>
  <c r="B4" i="44" s="1"/>
  <c r="F4" i="44"/>
  <c r="K4" i="44"/>
  <c r="AL47" i="65"/>
  <c r="AL46" i="64"/>
  <c r="AM47" i="65"/>
  <c r="AM46" i="64"/>
  <c r="C21" i="38"/>
  <c r="D34" i="18"/>
  <c r="E34" i="18" s="1"/>
  <c r="F34" i="18" s="1"/>
  <c r="G34" i="18" s="1"/>
  <c r="H34" i="18" s="1"/>
  <c r="I34" i="18" s="1"/>
  <c r="J34" i="18" s="1"/>
  <c r="K34" i="18" s="1"/>
  <c r="L34" i="18" s="1"/>
  <c r="M34" i="18" s="1"/>
  <c r="N34" i="18" s="1"/>
  <c r="O34" i="18" s="1"/>
  <c r="P34" i="18" s="1"/>
  <c r="Q34" i="18" s="1"/>
  <c r="R34" i="18" s="1"/>
  <c r="S34" i="18" s="1"/>
  <c r="T34" i="18" s="1"/>
  <c r="U34" i="18" s="1"/>
  <c r="V34" i="18" s="1"/>
  <c r="W34" i="18" s="1"/>
  <c r="X34" i="18" s="1"/>
  <c r="Y34" i="18" s="1"/>
  <c r="Z34" i="18" s="1"/>
  <c r="AA34" i="18" s="1"/>
  <c r="AB34" i="18" s="1"/>
  <c r="AC34" i="18" s="1"/>
  <c r="AD34" i="18" s="1"/>
  <c r="AE34" i="18" s="1"/>
  <c r="AF34" i="18" s="1"/>
  <c r="AG34" i="18" s="1"/>
  <c r="AH34" i="18" s="1"/>
  <c r="AI34" i="18" s="1"/>
  <c r="AJ34" i="18" s="1"/>
  <c r="AK34" i="18" s="1"/>
  <c r="AL34" i="18" s="1"/>
  <c r="D19" i="18"/>
  <c r="E19" i="18" s="1"/>
  <c r="F19" i="18" s="1"/>
  <c r="G19" i="18" s="1"/>
  <c r="H19" i="18" s="1"/>
  <c r="I19" i="18" s="1"/>
  <c r="J19" i="18" s="1"/>
  <c r="K19" i="18" s="1"/>
  <c r="L19" i="18" s="1"/>
  <c r="M19" i="18" s="1"/>
  <c r="N19" i="18" s="1"/>
  <c r="O19" i="18" s="1"/>
  <c r="P19" i="18" s="1"/>
  <c r="Q19" i="18" s="1"/>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AL19" i="18" s="1"/>
  <c r="D24" i="18"/>
  <c r="E24" i="18" s="1"/>
  <c r="F24" i="18" s="1"/>
  <c r="G24" i="18" s="1"/>
  <c r="H24" i="18" s="1"/>
  <c r="I24" i="18" s="1"/>
  <c r="J24" i="18" s="1"/>
  <c r="K24" i="18" s="1"/>
  <c r="L24" i="18" s="1"/>
  <c r="M24" i="18" s="1"/>
  <c r="N24" i="18" s="1"/>
  <c r="O24" i="18" s="1"/>
  <c r="P24" i="18" s="1"/>
  <c r="Q24" i="18" s="1"/>
  <c r="R24" i="18" s="1"/>
  <c r="S24" i="18" s="1"/>
  <c r="T24" i="18" s="1"/>
  <c r="U24" i="18" s="1"/>
  <c r="V24" i="18" s="1"/>
  <c r="W24" i="18" s="1"/>
  <c r="X24" i="18" s="1"/>
  <c r="Y24" i="18" s="1"/>
  <c r="Z24" i="18" s="1"/>
  <c r="AA24" i="18" s="1"/>
  <c r="AB24" i="18" s="1"/>
  <c r="AC24" i="18" s="1"/>
  <c r="AD24" i="18" s="1"/>
  <c r="AE24" i="18" s="1"/>
  <c r="AF24" i="18" s="1"/>
  <c r="AG24" i="18" s="1"/>
  <c r="AH24" i="18" s="1"/>
  <c r="AI24" i="18" s="1"/>
  <c r="AJ24" i="18" s="1"/>
  <c r="AK24" i="18" s="1"/>
  <c r="AL24" i="18" s="1"/>
  <c r="D29" i="18"/>
  <c r="D7" i="18"/>
  <c r="AJ47" i="65"/>
  <c r="AK47" i="65"/>
  <c r="AO47" i="65"/>
  <c r="F6" i="65"/>
  <c r="AJ46" i="64"/>
  <c r="AK46" i="64"/>
  <c r="AO46" i="64"/>
  <c r="F6" i="64"/>
  <c r="D47" i="38"/>
  <c r="E47" i="38" s="1"/>
  <c r="F47" i="38" s="1"/>
  <c r="G47" i="38" s="1"/>
  <c r="H47" i="38" s="1"/>
  <c r="I47" i="38" s="1"/>
  <c r="J47" i="38" s="1"/>
  <c r="K47" i="38" s="1"/>
  <c r="L47" i="38" s="1"/>
  <c r="M47" i="38" s="1"/>
  <c r="N47" i="38" s="1"/>
  <c r="O47" i="38" s="1"/>
  <c r="P47" i="38" s="1"/>
  <c r="Q47" i="38" s="1"/>
  <c r="R47" i="38" s="1"/>
  <c r="S47" i="38" s="1"/>
  <c r="T47" i="38" s="1"/>
  <c r="U47" i="38" s="1"/>
  <c r="V47" i="38" s="1"/>
  <c r="W47" i="38" s="1"/>
  <c r="X47" i="38" s="1"/>
  <c r="Y47" i="38" s="1"/>
  <c r="Z47" i="38" s="1"/>
  <c r="AA47" i="38" s="1"/>
  <c r="AB47" i="38" s="1"/>
  <c r="AC47" i="38" s="1"/>
  <c r="AD47" i="38" s="1"/>
  <c r="AE47" i="38" s="1"/>
  <c r="AF47" i="38" s="1"/>
  <c r="AG47" i="38" s="1"/>
  <c r="AH47" i="38" s="1"/>
  <c r="AI47" i="38" s="1"/>
  <c r="AJ47" i="38" s="1"/>
  <c r="AK47" i="38" s="1"/>
  <c r="D42" i="38"/>
  <c r="E42" i="38" s="1"/>
  <c r="F42" i="38" s="1"/>
  <c r="G42" i="38" s="1"/>
  <c r="H42" i="38" s="1"/>
  <c r="I42" i="38" s="1"/>
  <c r="J42" i="38" s="1"/>
  <c r="K42" i="38" s="1"/>
  <c r="L42" i="38" s="1"/>
  <c r="M42" i="38" s="1"/>
  <c r="N42" i="38" s="1"/>
  <c r="O42" i="38" s="1"/>
  <c r="P42" i="38" s="1"/>
  <c r="Q42" i="38" s="1"/>
  <c r="R42" i="38" s="1"/>
  <c r="S42" i="38" s="1"/>
  <c r="T42" i="38" s="1"/>
  <c r="U42" i="38" s="1"/>
  <c r="V42" i="38" s="1"/>
  <c r="W42" i="38" s="1"/>
  <c r="X42" i="38" s="1"/>
  <c r="Y42" i="38" s="1"/>
  <c r="Z42" i="38" s="1"/>
  <c r="AA42" i="38" s="1"/>
  <c r="AB42" i="38" s="1"/>
  <c r="AC42" i="38" s="1"/>
  <c r="AD42" i="38" s="1"/>
  <c r="AE42" i="38" s="1"/>
  <c r="AF42" i="38" s="1"/>
  <c r="AG42" i="38" s="1"/>
  <c r="AH42" i="38" s="1"/>
  <c r="AI42" i="38" s="1"/>
  <c r="AJ42" i="38" s="1"/>
  <c r="AK42" i="38" s="1"/>
  <c r="D37" i="38"/>
  <c r="E37" i="38" s="1"/>
  <c r="F37" i="38" s="1"/>
  <c r="G37" i="38" s="1"/>
  <c r="H37" i="38" s="1"/>
  <c r="I37" i="38" s="1"/>
  <c r="J37" i="38" s="1"/>
  <c r="K37" i="38" s="1"/>
  <c r="L37" i="38" s="1"/>
  <c r="M37" i="38" s="1"/>
  <c r="N37" i="38" s="1"/>
  <c r="O37" i="38" s="1"/>
  <c r="P37" i="38" s="1"/>
  <c r="Q37" i="38" s="1"/>
  <c r="R37" i="38" s="1"/>
  <c r="S37" i="38" s="1"/>
  <c r="T37" i="38" s="1"/>
  <c r="U37" i="38" s="1"/>
  <c r="D34" i="38"/>
  <c r="J24" i="62"/>
  <c r="L8" i="58"/>
  <c r="M5" i="49"/>
  <c r="I8" i="58"/>
  <c r="R11" i="54"/>
  <c r="K11" i="54"/>
  <c r="D11" i="54"/>
  <c r="C6" i="58"/>
  <c r="C6" i="52"/>
  <c r="C7" i="59"/>
  <c r="V7" i="59" s="1"/>
  <c r="J5" i="58"/>
  <c r="C35" i="38"/>
  <c r="C39" i="65"/>
  <c r="C19" i="12"/>
  <c r="C5" i="12"/>
  <c r="C24" i="38"/>
  <c r="H6" i="59"/>
  <c r="AI47" i="65"/>
  <c r="AH47" i="65"/>
  <c r="AG47" i="65"/>
  <c r="AF47" i="65"/>
  <c r="AE47" i="65"/>
  <c r="AD47" i="65"/>
  <c r="AC47" i="65"/>
  <c r="AB47" i="65"/>
  <c r="AA47" i="65"/>
  <c r="Z47" i="65"/>
  <c r="Y47" i="65"/>
  <c r="X47" i="65"/>
  <c r="W47" i="65"/>
  <c r="V47" i="65"/>
  <c r="U47" i="65"/>
  <c r="T47" i="65"/>
  <c r="S47" i="65"/>
  <c r="R47" i="65"/>
  <c r="Q47" i="65"/>
  <c r="P47" i="65"/>
  <c r="O47" i="65"/>
  <c r="N47" i="65"/>
  <c r="M47" i="65"/>
  <c r="L47" i="65"/>
  <c r="K47" i="65"/>
  <c r="J47" i="65"/>
  <c r="I47" i="65"/>
  <c r="AI46" i="64"/>
  <c r="AH46" i="64"/>
  <c r="AG46" i="64"/>
  <c r="AF46" i="64"/>
  <c r="AE46" i="64"/>
  <c r="AD46" i="64"/>
  <c r="AC46" i="64"/>
  <c r="AB46" i="64"/>
  <c r="AA46" i="64"/>
  <c r="Z46" i="64"/>
  <c r="Y46" i="64"/>
  <c r="X46" i="64"/>
  <c r="W46" i="64"/>
  <c r="V46" i="64"/>
  <c r="U46" i="64"/>
  <c r="T46" i="64"/>
  <c r="S46" i="64"/>
  <c r="R46" i="64"/>
  <c r="Q46" i="64"/>
  <c r="P46" i="64"/>
  <c r="O46" i="64"/>
  <c r="N46" i="64"/>
  <c r="M46" i="64"/>
  <c r="L46" i="64"/>
  <c r="K46" i="64"/>
  <c r="J46" i="64"/>
  <c r="I46" i="64"/>
  <c r="F46" i="64"/>
  <c r="J34" i="62"/>
  <c r="D41" i="62"/>
  <c r="D35" i="62"/>
  <c r="N8" i="62"/>
  <c r="N9" i="62"/>
  <c r="N10" i="62"/>
  <c r="N11" i="62"/>
  <c r="N12" i="62"/>
  <c r="N13" i="62"/>
  <c r="N14" i="62"/>
  <c r="N7" i="62"/>
  <c r="E28" i="62"/>
  <c r="F27" i="62"/>
  <c r="F28" i="62"/>
  <c r="G26" i="62"/>
  <c r="G27" i="62"/>
  <c r="G28" i="62"/>
  <c r="H25" i="62"/>
  <c r="H26" i="62"/>
  <c r="H27" i="62"/>
  <c r="H28" i="62"/>
  <c r="I24" i="62"/>
  <c r="I25" i="62"/>
  <c r="I26" i="62"/>
  <c r="I27" i="62"/>
  <c r="I28" i="62"/>
  <c r="J23" i="62"/>
  <c r="J25" i="62"/>
  <c r="J26" i="62"/>
  <c r="J27" i="62"/>
  <c r="J28" i="62"/>
  <c r="K22" i="62"/>
  <c r="K23" i="62"/>
  <c r="K24" i="62"/>
  <c r="K25" i="62"/>
  <c r="K26" i="62"/>
  <c r="K27" i="62"/>
  <c r="K28" i="62"/>
  <c r="L22" i="62"/>
  <c r="L23" i="62"/>
  <c r="L24" i="62"/>
  <c r="L25" i="62"/>
  <c r="L26" i="62"/>
  <c r="L27" i="62"/>
  <c r="L28" i="62"/>
  <c r="L21" i="62"/>
  <c r="M22" i="62"/>
  <c r="M23" i="62"/>
  <c r="M24" i="62"/>
  <c r="M25" i="62"/>
  <c r="M26" i="62"/>
  <c r="M27" i="62"/>
  <c r="M28" i="62"/>
  <c r="M21" i="62"/>
  <c r="F34" i="62"/>
  <c r="L40" i="62"/>
  <c r="K40" i="62"/>
  <c r="G40" i="62"/>
  <c r="K34" i="62"/>
  <c r="G34" i="62"/>
  <c r="F40" i="62"/>
  <c r="J40" i="62"/>
  <c r="L34" i="62"/>
  <c r="H34" i="62"/>
  <c r="E40" i="62"/>
  <c r="I40" i="62"/>
  <c r="M40" i="62"/>
  <c r="M39" i="62" s="1"/>
  <c r="M34" i="62"/>
  <c r="M33" i="62" s="1"/>
  <c r="I34" i="62"/>
  <c r="E34" i="62"/>
  <c r="H40" i="62"/>
  <c r="AL44" i="38" l="1"/>
  <c r="AL49" i="38" s="1"/>
  <c r="AL43" i="38"/>
  <c r="AL48" i="38" s="1"/>
  <c r="J18" i="58"/>
  <c r="J30" i="58"/>
  <c r="M20" i="58"/>
  <c r="H9" i="49"/>
  <c r="M32" i="58"/>
  <c r="H33" i="59"/>
  <c r="H34" i="59" s="1"/>
  <c r="N33" i="59"/>
  <c r="N34" i="59" s="1"/>
  <c r="N21" i="59"/>
  <c r="N22" i="59" s="1"/>
  <c r="E22" i="59" s="1"/>
  <c r="H21" i="59"/>
  <c r="H22" i="59" s="1"/>
  <c r="N9" i="59"/>
  <c r="N10" i="59" s="1"/>
  <c r="AL42" i="38"/>
  <c r="AM42" i="38" s="1"/>
  <c r="AL47" i="38"/>
  <c r="AM47" i="38" s="1"/>
  <c r="AA20" i="63"/>
  <c r="AB21" i="63"/>
  <c r="AA86" i="63"/>
  <c r="Z85" i="63"/>
  <c r="AB150" i="63"/>
  <c r="AC151" i="63"/>
  <c r="AB85" i="37"/>
  <c r="AC86" i="37"/>
  <c r="AC151" i="37"/>
  <c r="AB150" i="37"/>
  <c r="AA21" i="37"/>
  <c r="Z20" i="37"/>
  <c r="F14" i="65"/>
  <c r="F25" i="65" s="1"/>
  <c r="F26" i="65"/>
  <c r="F35" i="65"/>
  <c r="F36" i="65"/>
  <c r="I33" i="62"/>
  <c r="F39" i="62"/>
  <c r="K39" i="62"/>
  <c r="E39" i="62"/>
  <c r="J33" i="62"/>
  <c r="H9" i="52"/>
  <c r="I9" i="52" s="1"/>
  <c r="H10" i="49"/>
  <c r="H10" i="52"/>
  <c r="H11" i="49"/>
  <c r="H19" i="52"/>
  <c r="I19" i="52" s="1"/>
  <c r="H11" i="52"/>
  <c r="H19" i="49"/>
  <c r="H21" i="49"/>
  <c r="H20" i="49"/>
  <c r="H20" i="52"/>
  <c r="I20" i="52" s="1"/>
  <c r="H21" i="52"/>
  <c r="I21" i="52" s="1"/>
  <c r="H29" i="49"/>
  <c r="H18" i="49"/>
  <c r="H17" i="49"/>
  <c r="H29" i="52"/>
  <c r="I29" i="52" s="1"/>
  <c r="H18" i="52"/>
  <c r="I18" i="52" s="1"/>
  <c r="H17" i="52"/>
  <c r="I17" i="52" s="1"/>
  <c r="H31" i="49"/>
  <c r="H30" i="49"/>
  <c r="H30" i="52"/>
  <c r="I30" i="52" s="1"/>
  <c r="H31" i="52"/>
  <c r="I31" i="52" s="1"/>
  <c r="H28" i="49"/>
  <c r="H27" i="49"/>
  <c r="H28" i="52"/>
  <c r="I28" i="52" s="1"/>
  <c r="H27" i="52"/>
  <c r="I27" i="52" s="1"/>
  <c r="F7" i="63"/>
  <c r="F7" i="37"/>
  <c r="I7" i="52"/>
  <c r="E34" i="59"/>
  <c r="C19" i="78"/>
  <c r="G43" i="12"/>
  <c r="H9" i="59"/>
  <c r="J39" i="62"/>
  <c r="H8" i="49"/>
  <c r="J6" i="58"/>
  <c r="F13" i="54" s="1"/>
  <c r="D43" i="38"/>
  <c r="D48" i="38" s="1"/>
  <c r="K43" i="38"/>
  <c r="P44" i="38"/>
  <c r="J44" i="38"/>
  <c r="T43" i="38"/>
  <c r="N44" i="38"/>
  <c r="L43" i="38"/>
  <c r="Q44" i="38"/>
  <c r="Q43" i="38"/>
  <c r="D44" i="38"/>
  <c r="I43" i="38"/>
  <c r="O43" i="38"/>
  <c r="H44" i="38"/>
  <c r="S43" i="38"/>
  <c r="F43" i="38"/>
  <c r="R44" i="38"/>
  <c r="G43" i="38"/>
  <c r="M44" i="38"/>
  <c r="M49" i="38" s="1"/>
  <c r="M43" i="38"/>
  <c r="P43" i="38"/>
  <c r="K44" i="38"/>
  <c r="K49" i="38" s="1"/>
  <c r="E44" i="38"/>
  <c r="T44" i="38"/>
  <c r="J43" i="38"/>
  <c r="N43" i="38"/>
  <c r="L44" i="38"/>
  <c r="L49" i="38" s="1"/>
  <c r="E43" i="38"/>
  <c r="I44" i="38"/>
  <c r="O44" i="38"/>
  <c r="F44" i="38"/>
  <c r="S44" i="38"/>
  <c r="H43" i="38"/>
  <c r="G44" i="38"/>
  <c r="R43" i="38"/>
  <c r="U44" i="38"/>
  <c r="U49" i="38" s="1"/>
  <c r="U43" i="38"/>
  <c r="D18" i="18"/>
  <c r="H33" i="62"/>
  <c r="G33" i="62"/>
  <c r="L39" i="62"/>
  <c r="D33" i="38"/>
  <c r="H39" i="62"/>
  <c r="L33" i="62"/>
  <c r="K33" i="62"/>
  <c r="F33" i="62"/>
  <c r="E33" i="62"/>
  <c r="I39" i="62"/>
  <c r="G39" i="62"/>
  <c r="F25" i="64"/>
  <c r="F5" i="64"/>
  <c r="F5" i="65"/>
  <c r="D6" i="18"/>
  <c r="H10" i="60"/>
  <c r="H9" i="60" s="1"/>
  <c r="G6" i="65"/>
  <c r="F35" i="64"/>
  <c r="E34" i="38"/>
  <c r="E7" i="18"/>
  <c r="E6" i="18" s="1"/>
  <c r="N21" i="62"/>
  <c r="H8" i="52"/>
  <c r="N24" i="62"/>
  <c r="N28" i="62"/>
  <c r="N23" i="62"/>
  <c r="M8" i="58"/>
  <c r="N22" i="62"/>
  <c r="N26" i="62"/>
  <c r="N27" i="62"/>
  <c r="G6" i="64"/>
  <c r="N25" i="62"/>
  <c r="G19" i="12"/>
  <c r="E29" i="18"/>
  <c r="E18" i="18" s="1"/>
  <c r="F34" i="64"/>
  <c r="F7" i="49"/>
  <c r="D7" i="49"/>
  <c r="E7" i="49"/>
  <c r="V37" i="38"/>
  <c r="W37" i="38" s="1"/>
  <c r="X37" i="38" s="1"/>
  <c r="Y37" i="38" s="1"/>
  <c r="Z37" i="38" s="1"/>
  <c r="AA37" i="38" s="1"/>
  <c r="AB37" i="38" s="1"/>
  <c r="AC37" i="38" s="1"/>
  <c r="AD37" i="38" s="1"/>
  <c r="AE37" i="38" s="1"/>
  <c r="AF37" i="38" s="1"/>
  <c r="AG37" i="38" s="1"/>
  <c r="AH37" i="38" s="1"/>
  <c r="AI37" i="38" s="1"/>
  <c r="AJ37" i="38" s="1"/>
  <c r="AK37" i="38" s="1"/>
  <c r="C8" i="55"/>
  <c r="E33" i="59" l="1"/>
  <c r="O10" i="59"/>
  <c r="N11" i="59"/>
  <c r="O11" i="59" s="1"/>
  <c r="P11" i="59" s="1"/>
  <c r="N13" i="59"/>
  <c r="O13" i="59" s="1"/>
  <c r="N12" i="59"/>
  <c r="O12" i="59" s="1"/>
  <c r="E21" i="59"/>
  <c r="I22" i="59"/>
  <c r="H23" i="59"/>
  <c r="I23" i="59" s="1"/>
  <c r="J23" i="59" s="1"/>
  <c r="H24" i="59"/>
  <c r="I24" i="59" s="1"/>
  <c r="H25" i="59"/>
  <c r="I25" i="59" s="1"/>
  <c r="O22" i="59"/>
  <c r="N25" i="59"/>
  <c r="N23" i="59"/>
  <c r="N24" i="59"/>
  <c r="O34" i="59"/>
  <c r="N36" i="59"/>
  <c r="N37" i="59"/>
  <c r="N35" i="59"/>
  <c r="I34" i="59"/>
  <c r="H36" i="59"/>
  <c r="I36" i="59" s="1"/>
  <c r="H37" i="59"/>
  <c r="I37" i="59" s="1"/>
  <c r="H35" i="59"/>
  <c r="I35" i="59" s="1"/>
  <c r="J35" i="59" s="1"/>
  <c r="D9" i="49"/>
  <c r="E9" i="49"/>
  <c r="AL37" i="38"/>
  <c r="AM37" i="38" s="1"/>
  <c r="AM43" i="38" s="1"/>
  <c r="AM48" i="38" s="1"/>
  <c r="AA85" i="63"/>
  <c r="AB86" i="63"/>
  <c r="AC21" i="63"/>
  <c r="AB20" i="63"/>
  <c r="AC150" i="63"/>
  <c r="AD151" i="63"/>
  <c r="AB21" i="37"/>
  <c r="AA20" i="37"/>
  <c r="AD151" i="37"/>
  <c r="AC150" i="37"/>
  <c r="AD86" i="37"/>
  <c r="AC85" i="37"/>
  <c r="G36" i="65"/>
  <c r="G35" i="65"/>
  <c r="G34" i="64"/>
  <c r="G35" i="64"/>
  <c r="D21" i="38"/>
  <c r="D24" i="38" s="1"/>
  <c r="D25" i="38" s="1"/>
  <c r="D26" i="38" s="1"/>
  <c r="F19" i="49"/>
  <c r="I10" i="52"/>
  <c r="G9" i="49" s="1"/>
  <c r="F9" i="49"/>
  <c r="D10" i="49"/>
  <c r="E10" i="49"/>
  <c r="I11" i="52"/>
  <c r="G11" i="49" s="1"/>
  <c r="F10" i="49"/>
  <c r="F11" i="49"/>
  <c r="D11" i="49"/>
  <c r="E11" i="49"/>
  <c r="G19" i="49"/>
  <c r="D19" i="49"/>
  <c r="E19" i="49"/>
  <c r="F21" i="49"/>
  <c r="E21" i="49"/>
  <c r="D21" i="49"/>
  <c r="G21" i="49"/>
  <c r="F20" i="49"/>
  <c r="G20" i="49"/>
  <c r="D20" i="49"/>
  <c r="E20" i="49"/>
  <c r="E29" i="49"/>
  <c r="F18" i="49"/>
  <c r="G29" i="49"/>
  <c r="D29" i="49"/>
  <c r="F29" i="49"/>
  <c r="D17" i="49"/>
  <c r="E17" i="49"/>
  <c r="E18" i="49"/>
  <c r="D18" i="49"/>
  <c r="F17" i="49"/>
  <c r="G7" i="49"/>
  <c r="G17" i="49"/>
  <c r="G31" i="49"/>
  <c r="J20" i="58"/>
  <c r="F22" i="59"/>
  <c r="F21" i="59"/>
  <c r="F31" i="49"/>
  <c r="E31" i="49"/>
  <c r="D31" i="49"/>
  <c r="F30" i="49"/>
  <c r="G30" i="49"/>
  <c r="D30" i="49"/>
  <c r="E30" i="49"/>
  <c r="G7" i="37"/>
  <c r="F27" i="49"/>
  <c r="G27" i="49"/>
  <c r="E27" i="49"/>
  <c r="D27" i="49"/>
  <c r="D28" i="49"/>
  <c r="E28" i="49"/>
  <c r="G7" i="63"/>
  <c r="I8" i="52"/>
  <c r="F28" i="49"/>
  <c r="F33" i="59"/>
  <c r="F34" i="59"/>
  <c r="J32" i="58"/>
  <c r="AA44" i="38"/>
  <c r="AA49" i="38" s="1"/>
  <c r="AF44" i="38"/>
  <c r="AF49" i="38" s="1"/>
  <c r="AK44" i="38"/>
  <c r="AK49" i="38" s="1"/>
  <c r="Y44" i="38"/>
  <c r="AJ44" i="38"/>
  <c r="AM44" i="38"/>
  <c r="AM49" i="38" s="1"/>
  <c r="X44" i="38"/>
  <c r="X49" i="38" s="1"/>
  <c r="AC44" i="38"/>
  <c r="Z44" i="38"/>
  <c r="W44" i="38"/>
  <c r="V44" i="38"/>
  <c r="V49" i="38" s="1"/>
  <c r="AE44" i="38"/>
  <c r="AE49" i="38" s="1"/>
  <c r="AB44" i="38"/>
  <c r="AH44" i="38"/>
  <c r="AD44" i="38"/>
  <c r="AG44" i="38"/>
  <c r="AG49" i="38" s="1"/>
  <c r="AI44" i="38"/>
  <c r="AI49" i="38" s="1"/>
  <c r="AE43" i="38"/>
  <c r="AE48" i="38" s="1"/>
  <c r="AD43" i="38"/>
  <c r="AD48" i="38" s="1"/>
  <c r="Y43" i="38"/>
  <c r="W43" i="38"/>
  <c r="W48" i="38" s="1"/>
  <c r="AI43" i="38"/>
  <c r="AI48" i="38" s="1"/>
  <c r="T49" i="38"/>
  <c r="AJ43" i="38"/>
  <c r="X43" i="38"/>
  <c r="X48" i="38" s="1"/>
  <c r="AF43" i="38"/>
  <c r="AF48" i="38" s="1"/>
  <c r="Z43" i="38"/>
  <c r="Z48" i="38" s="1"/>
  <c r="V43" i="38"/>
  <c r="V48" i="38" s="1"/>
  <c r="AK43" i="38"/>
  <c r="AK48" i="38" s="1"/>
  <c r="AC43" i="38"/>
  <c r="AC48" i="38" s="1"/>
  <c r="AB43" i="38"/>
  <c r="AA43" i="38"/>
  <c r="AA48" i="38" s="1"/>
  <c r="F49" i="38"/>
  <c r="AG43" i="38"/>
  <c r="AG48" i="38" s="1"/>
  <c r="AH43" i="38"/>
  <c r="AH48" i="38" s="1"/>
  <c r="P49" i="38"/>
  <c r="M13" i="54"/>
  <c r="G5" i="64"/>
  <c r="J8" i="58"/>
  <c r="G5" i="65"/>
  <c r="F34" i="38"/>
  <c r="E33" i="38"/>
  <c r="I10" i="60"/>
  <c r="I9" i="60" s="1"/>
  <c r="H6" i="65"/>
  <c r="E8" i="49"/>
  <c r="G48" i="38"/>
  <c r="I48" i="38"/>
  <c r="G49" i="38"/>
  <c r="J48" i="38"/>
  <c r="H48" i="38"/>
  <c r="H49" i="38"/>
  <c r="R48" i="38"/>
  <c r="Q48" i="38"/>
  <c r="F48" i="38"/>
  <c r="Q49" i="38"/>
  <c r="D49" i="38"/>
  <c r="E48" i="38"/>
  <c r="N48" i="38"/>
  <c r="U48" i="38"/>
  <c r="N49" i="38"/>
  <c r="R49" i="38"/>
  <c r="O48" i="38"/>
  <c r="P48" i="38"/>
  <c r="J49" i="38"/>
  <c r="E49" i="38"/>
  <c r="M48" i="38"/>
  <c r="T48" i="38"/>
  <c r="S48" i="38"/>
  <c r="L48" i="38"/>
  <c r="O49" i="38"/>
  <c r="S49" i="38"/>
  <c r="K48" i="38"/>
  <c r="I49" i="38"/>
  <c r="F7" i="18"/>
  <c r="F6" i="18" s="1"/>
  <c r="H10" i="59"/>
  <c r="H11" i="59" s="1"/>
  <c r="E9" i="59"/>
  <c r="F9" i="59"/>
  <c r="F29" i="18"/>
  <c r="F18" i="18" s="1"/>
  <c r="H6" i="64"/>
  <c r="D8" i="49"/>
  <c r="F8" i="49"/>
  <c r="C9" i="55"/>
  <c r="C10" i="55" s="1"/>
  <c r="C11" i="55" s="1"/>
  <c r="C12" i="55" s="1"/>
  <c r="C13" i="55" s="1"/>
  <c r="C14" i="55" s="1"/>
  <c r="C15" i="55" s="1"/>
  <c r="C16" i="55" s="1"/>
  <c r="C17" i="55" s="1"/>
  <c r="C18" i="55" s="1"/>
  <c r="C19" i="55" s="1"/>
  <c r="C20" i="55" s="1"/>
  <c r="C21" i="55" s="1"/>
  <c r="C22" i="55" s="1"/>
  <c r="C23" i="55" s="1"/>
  <c r="J17" i="49" l="1"/>
  <c r="K17" i="49" s="1"/>
  <c r="O37" i="59"/>
  <c r="E37" i="59"/>
  <c r="J31" i="49" s="1"/>
  <c r="K31" i="49" s="1"/>
  <c r="K24" i="59"/>
  <c r="J24" i="59"/>
  <c r="O36" i="59"/>
  <c r="E36" i="59"/>
  <c r="J30" i="49" s="1"/>
  <c r="K30" i="49" s="1"/>
  <c r="O24" i="59"/>
  <c r="E24" i="59"/>
  <c r="J20" i="49" s="1"/>
  <c r="K20" i="49" s="1"/>
  <c r="L37" i="59"/>
  <c r="K37" i="59"/>
  <c r="J37" i="59"/>
  <c r="O23" i="59"/>
  <c r="P23" i="59" s="1"/>
  <c r="F23" i="59" s="1"/>
  <c r="M19" i="49" s="1"/>
  <c r="N19" i="49" s="1"/>
  <c r="E23" i="59"/>
  <c r="J19" i="49" s="1"/>
  <c r="K19" i="49" s="1"/>
  <c r="N108" i="37" s="1" a="1"/>
  <c r="N108" i="37" s="1"/>
  <c r="Q12" i="59"/>
  <c r="P12" i="59"/>
  <c r="K36" i="59"/>
  <c r="J36" i="59"/>
  <c r="O25" i="59"/>
  <c r="E25" i="59"/>
  <c r="J21" i="49" s="1"/>
  <c r="K21" i="49" s="1"/>
  <c r="R13" i="59"/>
  <c r="P13" i="59"/>
  <c r="Q13" i="59"/>
  <c r="O35" i="59"/>
  <c r="P35" i="59" s="1"/>
  <c r="F35" i="59" s="1"/>
  <c r="M29" i="49" s="1"/>
  <c r="N29" i="49" s="1"/>
  <c r="E35" i="59"/>
  <c r="J29" i="49" s="1"/>
  <c r="K29" i="49" s="1"/>
  <c r="K25" i="59"/>
  <c r="J25" i="59"/>
  <c r="L25" i="59"/>
  <c r="F184" i="63"/>
  <c r="E21" i="38"/>
  <c r="F119" i="63"/>
  <c r="F109" i="63"/>
  <c r="G194" i="63"/>
  <c r="G174" i="63"/>
  <c r="G184" i="63"/>
  <c r="G164" i="63"/>
  <c r="G129" i="63"/>
  <c r="G119" i="63"/>
  <c r="G109" i="63"/>
  <c r="G99" i="63"/>
  <c r="G154" i="63"/>
  <c r="G89" i="63"/>
  <c r="G54" i="63"/>
  <c r="G44" i="63"/>
  <c r="G64" i="63"/>
  <c r="G34" i="63"/>
  <c r="G24" i="63"/>
  <c r="F34" i="63"/>
  <c r="F129" i="63"/>
  <c r="F24" i="63"/>
  <c r="F44" i="63"/>
  <c r="F174" i="63"/>
  <c r="F54" i="63"/>
  <c r="F154" i="63"/>
  <c r="F64" i="63"/>
  <c r="F164" i="63"/>
  <c r="F89" i="63"/>
  <c r="E194" i="63"/>
  <c r="E184" i="63"/>
  <c r="E174" i="63"/>
  <c r="E164" i="63"/>
  <c r="E154" i="63"/>
  <c r="E109" i="63"/>
  <c r="E119" i="63"/>
  <c r="E99" i="63"/>
  <c r="E129" i="63"/>
  <c r="E89" i="63"/>
  <c r="E64" i="63"/>
  <c r="E54" i="63"/>
  <c r="E44" i="63"/>
  <c r="E24" i="63"/>
  <c r="E34" i="63"/>
  <c r="F99" i="63"/>
  <c r="F194" i="63"/>
  <c r="AE151" i="63"/>
  <c r="AD150" i="63"/>
  <c r="AD21" i="63"/>
  <c r="AC20" i="63"/>
  <c r="AB85" i="63"/>
  <c r="AC86" i="63"/>
  <c r="F164" i="37"/>
  <c r="F169" i="37" s="1" a="1"/>
  <c r="F169" i="37" s="1"/>
  <c r="F169" i="63" s="1" a="1"/>
  <c r="F169" i="63" s="1"/>
  <c r="G194" i="37"/>
  <c r="G184" i="37"/>
  <c r="G174" i="37"/>
  <c r="G164" i="37"/>
  <c r="G154" i="37"/>
  <c r="G119" i="37"/>
  <c r="G129" i="37"/>
  <c r="G109" i="37"/>
  <c r="G99" i="37"/>
  <c r="G89" i="37"/>
  <c r="G64" i="37"/>
  <c r="G54" i="37"/>
  <c r="G44" i="37"/>
  <c r="G34" i="37"/>
  <c r="G24" i="37"/>
  <c r="F109" i="37"/>
  <c r="V88" i="37" a="1"/>
  <c r="V88" i="37" s="1"/>
  <c r="R88" i="37" a="1"/>
  <c r="R88" i="37" s="1"/>
  <c r="N88" i="37" a="1"/>
  <c r="N88" i="37" s="1"/>
  <c r="J88" i="37" a="1"/>
  <c r="J88" i="37" s="1"/>
  <c r="F88" i="37" a="1"/>
  <c r="F88" i="37" s="1"/>
  <c r="F88" i="63" s="1" a="1"/>
  <c r="F88" i="63" s="1"/>
  <c r="U88" i="37" a="1"/>
  <c r="U88" i="37" s="1"/>
  <c r="Q88" i="37" a="1"/>
  <c r="Q88" i="37" s="1"/>
  <c r="M88" i="37" a="1"/>
  <c r="M88" i="37" s="1"/>
  <c r="I88" i="37" a="1"/>
  <c r="I88" i="37" s="1"/>
  <c r="E88" i="37" a="1"/>
  <c r="E88" i="37" s="1"/>
  <c r="E88" i="63" s="1" a="1"/>
  <c r="E88" i="63" s="1"/>
  <c r="T88" i="37" a="1"/>
  <c r="T88" i="37" s="1"/>
  <c r="P88" i="37" a="1"/>
  <c r="P88" i="37" s="1"/>
  <c r="L88" i="37" a="1"/>
  <c r="L88" i="37" s="1"/>
  <c r="H88" i="37" a="1"/>
  <c r="H88" i="37" s="1"/>
  <c r="H88" i="63" s="1" a="1"/>
  <c r="H88" i="63" s="1"/>
  <c r="S88" i="37" a="1"/>
  <c r="S88" i="37" s="1"/>
  <c r="O88" i="37" a="1"/>
  <c r="O88" i="37" s="1"/>
  <c r="K88" i="37" a="1"/>
  <c r="K88" i="37" s="1"/>
  <c r="G88" i="37" a="1"/>
  <c r="G88" i="37" s="1"/>
  <c r="G88" i="63" s="1" a="1"/>
  <c r="G88" i="63" s="1"/>
  <c r="V193" i="37" a="1"/>
  <c r="V193" i="37" s="1"/>
  <c r="I193" i="37" a="1"/>
  <c r="I193" i="37" s="1"/>
  <c r="U193" i="37" a="1"/>
  <c r="U193" i="37" s="1"/>
  <c r="O193" i="37" a="1"/>
  <c r="O193" i="37" s="1"/>
  <c r="H193" i="37" a="1"/>
  <c r="H193" i="37" s="1"/>
  <c r="H193" i="63" s="1" a="1"/>
  <c r="H193" i="63" s="1"/>
  <c r="T193" i="37" a="1"/>
  <c r="T193" i="37" s="1"/>
  <c r="N193" i="37" a="1"/>
  <c r="N193" i="37" s="1"/>
  <c r="M193" i="37" a="1"/>
  <c r="M193" i="37" s="1"/>
  <c r="G193" i="37" a="1"/>
  <c r="G193" i="37" s="1"/>
  <c r="G193" i="63" s="1" a="1"/>
  <c r="G193" i="63" s="1"/>
  <c r="S193" i="37" a="1"/>
  <c r="S193" i="37" s="1"/>
  <c r="L193" i="37" a="1"/>
  <c r="L193" i="37" s="1"/>
  <c r="F193" i="37" a="1"/>
  <c r="F193" i="37" s="1"/>
  <c r="F193" i="63" s="1" a="1"/>
  <c r="F193" i="63" s="1"/>
  <c r="R193" i="37" a="1"/>
  <c r="R193" i="37" s="1"/>
  <c r="E193" i="37" a="1"/>
  <c r="E193" i="37" s="1"/>
  <c r="E193" i="63" s="1" a="1"/>
  <c r="E193" i="63" s="1"/>
  <c r="Q193" i="37" a="1"/>
  <c r="Q193" i="37" s="1"/>
  <c r="K193" i="37" a="1"/>
  <c r="K193" i="37" s="1"/>
  <c r="P193" i="37" a="1"/>
  <c r="P193" i="37" s="1"/>
  <c r="J193" i="37" a="1"/>
  <c r="J193" i="37" s="1"/>
  <c r="S173" i="37" a="1"/>
  <c r="S173" i="37" s="1"/>
  <c r="H173" i="37" a="1"/>
  <c r="H173" i="37" s="1"/>
  <c r="H173" i="63" s="1" a="1"/>
  <c r="H173" i="63" s="1"/>
  <c r="R173" i="37" a="1"/>
  <c r="R173" i="37" s="1"/>
  <c r="M173" i="37" a="1"/>
  <c r="M173" i="37" s="1"/>
  <c r="V173" i="37" a="1"/>
  <c r="V173" i="37" s="1"/>
  <c r="Q173" i="37" a="1"/>
  <c r="Q173" i="37" s="1"/>
  <c r="F173" i="37" a="1"/>
  <c r="F173" i="37" s="1"/>
  <c r="F173" i="63" s="1" a="1"/>
  <c r="F173" i="63" s="1"/>
  <c r="P173" i="37" a="1"/>
  <c r="P173" i="37" s="1"/>
  <c r="K173" i="37" a="1"/>
  <c r="K173" i="37" s="1"/>
  <c r="T173" i="37" a="1"/>
  <c r="T173" i="37" s="1"/>
  <c r="O173" i="37" a="1"/>
  <c r="O173" i="37" s="1"/>
  <c r="N173" i="37" a="1"/>
  <c r="N173" i="37" s="1"/>
  <c r="I173" i="37" a="1"/>
  <c r="I173" i="37" s="1"/>
  <c r="G173" i="37" a="1"/>
  <c r="G173" i="37" s="1"/>
  <c r="G173" i="63" s="1" a="1"/>
  <c r="G173" i="63" s="1"/>
  <c r="E173" i="37" a="1"/>
  <c r="E173" i="37" s="1"/>
  <c r="E173" i="63" s="1" a="1"/>
  <c r="E173" i="63" s="1"/>
  <c r="U173" i="37" a="1"/>
  <c r="U173" i="37" s="1"/>
  <c r="L173" i="37" a="1"/>
  <c r="L173" i="37" s="1"/>
  <c r="J173" i="37" a="1"/>
  <c r="J173" i="37" s="1"/>
  <c r="F34" i="37"/>
  <c r="F129" i="37"/>
  <c r="F54" i="37"/>
  <c r="F119" i="37"/>
  <c r="S118" i="37" a="1"/>
  <c r="S118" i="37" s="1"/>
  <c r="O118" i="37" a="1"/>
  <c r="O118" i="37" s="1"/>
  <c r="K118" i="37" a="1"/>
  <c r="K118" i="37" s="1"/>
  <c r="G118" i="37" a="1"/>
  <c r="G118" i="37" s="1"/>
  <c r="G118" i="63" s="1" a="1"/>
  <c r="G118" i="63" s="1"/>
  <c r="U118" i="37" a="1"/>
  <c r="U118" i="37" s="1"/>
  <c r="Q118" i="37" a="1"/>
  <c r="Q118" i="37" s="1"/>
  <c r="M118" i="37" a="1"/>
  <c r="M118" i="37" s="1"/>
  <c r="I118" i="37" a="1"/>
  <c r="I118" i="37" s="1"/>
  <c r="E118" i="37" a="1"/>
  <c r="E118" i="37" s="1"/>
  <c r="E118" i="63" s="1" a="1"/>
  <c r="E118" i="63" s="1"/>
  <c r="N118" i="37" a="1"/>
  <c r="N118" i="37" s="1"/>
  <c r="L118" i="37" a="1"/>
  <c r="L118" i="37" s="1"/>
  <c r="J118" i="37" a="1"/>
  <c r="J118" i="37" s="1"/>
  <c r="H118" i="37" a="1"/>
  <c r="H118" i="37" s="1"/>
  <c r="H118" i="63" s="1" a="1"/>
  <c r="H118" i="63" s="1"/>
  <c r="V118" i="37" a="1"/>
  <c r="V118" i="37" s="1"/>
  <c r="F118" i="37" a="1"/>
  <c r="F118" i="37" s="1"/>
  <c r="F118" i="63" s="1" a="1"/>
  <c r="F118" i="63" s="1"/>
  <c r="T118" i="37" a="1"/>
  <c r="T118" i="37" s="1"/>
  <c r="R118" i="37" a="1"/>
  <c r="R118" i="37" s="1"/>
  <c r="P118" i="37" a="1"/>
  <c r="P118" i="37" s="1"/>
  <c r="F44" i="37"/>
  <c r="E184" i="37"/>
  <c r="E194" i="37"/>
  <c r="E174" i="37"/>
  <c r="E164" i="37"/>
  <c r="E154" i="37"/>
  <c r="E129" i="37"/>
  <c r="E119" i="37"/>
  <c r="E109" i="37"/>
  <c r="E99" i="37"/>
  <c r="E89" i="37"/>
  <c r="E64" i="37"/>
  <c r="E54" i="37"/>
  <c r="E34" i="37"/>
  <c r="E24" i="37"/>
  <c r="E44" i="37"/>
  <c r="F24" i="37"/>
  <c r="F154" i="37"/>
  <c r="F64" i="37"/>
  <c r="F184" i="37"/>
  <c r="F89" i="37"/>
  <c r="F174" i="37"/>
  <c r="F99" i="37"/>
  <c r="F194" i="37"/>
  <c r="AB20" i="37"/>
  <c r="AC21" i="37"/>
  <c r="AE86" i="37"/>
  <c r="AD85" i="37"/>
  <c r="AE151" i="37"/>
  <c r="AD150" i="37"/>
  <c r="H36" i="65"/>
  <c r="H35" i="65"/>
  <c r="H34" i="64"/>
  <c r="H35" i="64"/>
  <c r="Y49" i="38"/>
  <c r="M17" i="49"/>
  <c r="N17" i="49" s="1"/>
  <c r="O17" i="49" s="1"/>
  <c r="G10" i="49"/>
  <c r="I11" i="59"/>
  <c r="E11" i="59"/>
  <c r="H7" i="37"/>
  <c r="H13" i="59"/>
  <c r="I13" i="59" s="1"/>
  <c r="H12" i="59"/>
  <c r="M23" i="54"/>
  <c r="G28" i="49"/>
  <c r="G18" i="49"/>
  <c r="G8" i="49"/>
  <c r="Y48" i="38"/>
  <c r="M33" i="54"/>
  <c r="H7" i="63"/>
  <c r="J7" i="49"/>
  <c r="K7" i="49" s="1"/>
  <c r="J27" i="49"/>
  <c r="K27" i="49" s="1"/>
  <c r="M7" i="49"/>
  <c r="N7" i="49" s="1"/>
  <c r="O7" i="49" s="1"/>
  <c r="M27" i="49"/>
  <c r="N27" i="49" s="1"/>
  <c r="O27" i="49" s="1"/>
  <c r="AB49" i="38"/>
  <c r="AJ49" i="38"/>
  <c r="W49" i="38"/>
  <c r="AH49" i="38"/>
  <c r="AB48" i="38"/>
  <c r="AD49" i="38"/>
  <c r="AJ48" i="38"/>
  <c r="AC49" i="38"/>
  <c r="Z49" i="38"/>
  <c r="F33" i="38"/>
  <c r="H5" i="64"/>
  <c r="H5" i="65"/>
  <c r="G34" i="38"/>
  <c r="J10" i="60"/>
  <c r="J9" i="60" s="1"/>
  <c r="I6" i="65"/>
  <c r="G7" i="18"/>
  <c r="G6" i="18" s="1"/>
  <c r="I10" i="59"/>
  <c r="E10" i="59"/>
  <c r="J18" i="49" s="1"/>
  <c r="K18" i="49" s="1"/>
  <c r="G29" i="18"/>
  <c r="G18" i="18" s="1"/>
  <c r="I6" i="64"/>
  <c r="C24" i="55"/>
  <c r="G108" i="37" l="1" a="1"/>
  <c r="G108" i="37" s="1"/>
  <c r="G108" i="63" s="1" a="1"/>
  <c r="G108" i="63" s="1"/>
  <c r="M108" i="37" a="1"/>
  <c r="M108" i="37" s="1"/>
  <c r="E108" i="37" a="1"/>
  <c r="E108" i="37" s="1"/>
  <c r="E108" i="63" s="1" a="1"/>
  <c r="E108" i="63" s="1"/>
  <c r="I108" i="37" a="1"/>
  <c r="I108" i="37" s="1"/>
  <c r="R108" i="37" a="1"/>
  <c r="R108" i="37" s="1"/>
  <c r="V108" i="37" a="1"/>
  <c r="V108" i="37" s="1"/>
  <c r="K108" i="37" a="1"/>
  <c r="K108" i="37" s="1"/>
  <c r="O108" i="37" a="1"/>
  <c r="O108" i="37" s="1"/>
  <c r="O29" i="49"/>
  <c r="N173" i="63" a="1"/>
  <c r="N173" i="63" s="1"/>
  <c r="U173" i="63" a="1"/>
  <c r="U173" i="63" s="1"/>
  <c r="O173" i="63" a="1"/>
  <c r="O173" i="63" s="1"/>
  <c r="P173" i="63" a="1"/>
  <c r="P173" i="63" s="1"/>
  <c r="S173" i="63" a="1"/>
  <c r="S173" i="63" s="1"/>
  <c r="T173" i="63" a="1"/>
  <c r="T173" i="63" s="1"/>
  <c r="K173" i="63" a="1"/>
  <c r="K173" i="63" s="1"/>
  <c r="M173" i="63" a="1"/>
  <c r="M173" i="63" s="1"/>
  <c r="L173" i="63" a="1"/>
  <c r="L173" i="63" s="1"/>
  <c r="V173" i="63" a="1"/>
  <c r="V173" i="63" s="1"/>
  <c r="S108" i="37" a="1"/>
  <c r="S108" i="37" s="1"/>
  <c r="Q108" i="37" a="1"/>
  <c r="Q108" i="37" s="1"/>
  <c r="H108" i="37" a="1"/>
  <c r="H108" i="37" s="1"/>
  <c r="H108" i="63" s="1" a="1"/>
  <c r="H108" i="63" s="1"/>
  <c r="U108" i="37" a="1"/>
  <c r="U108" i="37" s="1"/>
  <c r="L108" i="37" a="1"/>
  <c r="L108" i="37" s="1"/>
  <c r="P108" i="37" a="1"/>
  <c r="P108" i="37" s="1"/>
  <c r="J108" i="37" a="1"/>
  <c r="J108" i="37" s="1"/>
  <c r="F108" i="37" a="1"/>
  <c r="F108" i="37" s="1"/>
  <c r="F108" i="63" s="1" a="1"/>
  <c r="F108" i="63" s="1"/>
  <c r="T108" i="37" a="1"/>
  <c r="T108" i="37" s="1"/>
  <c r="O19" i="49"/>
  <c r="O108" i="63" a="1"/>
  <c r="O108" i="63" s="1"/>
  <c r="P108" i="63" a="1"/>
  <c r="P108" i="63" s="1"/>
  <c r="I108" i="63" a="1"/>
  <c r="I108" i="63" s="1"/>
  <c r="Q108" i="63" a="1"/>
  <c r="Q108" i="63" s="1"/>
  <c r="J108" i="63" a="1"/>
  <c r="J108" i="63" s="1"/>
  <c r="R108" i="63" a="1"/>
  <c r="R108" i="63" s="1"/>
  <c r="K108" i="63" a="1"/>
  <c r="K108" i="63" s="1"/>
  <c r="S108" i="63" a="1"/>
  <c r="S108" i="63" s="1"/>
  <c r="L108" i="63" a="1"/>
  <c r="L108" i="63" s="1"/>
  <c r="T108" i="63" a="1"/>
  <c r="T108" i="63" s="1"/>
  <c r="N108" i="63" a="1"/>
  <c r="N108" i="63" s="1"/>
  <c r="M108" i="63" a="1"/>
  <c r="M108" i="63" s="1"/>
  <c r="U108" i="63" a="1"/>
  <c r="U108" i="63" s="1"/>
  <c r="V108" i="63" a="1"/>
  <c r="V108" i="63" s="1"/>
  <c r="I173" i="63" a="1"/>
  <c r="I173" i="63" s="1"/>
  <c r="R173" i="63" a="1"/>
  <c r="R173" i="63" s="1"/>
  <c r="J173" i="63" a="1"/>
  <c r="J173" i="63" s="1"/>
  <c r="Q173" i="63" a="1"/>
  <c r="Q173" i="63" s="1"/>
  <c r="V128" i="37" a="1"/>
  <c r="V128" i="37" s="1"/>
  <c r="M183" i="37" a="1"/>
  <c r="M183" i="37" s="1"/>
  <c r="P183" i="37" a="1"/>
  <c r="P183" i="37" s="1"/>
  <c r="N128" i="37" a="1"/>
  <c r="N128" i="37" s="1"/>
  <c r="I128" i="37" a="1"/>
  <c r="I128" i="37" s="1"/>
  <c r="L128" i="37" a="1"/>
  <c r="L128" i="37" s="1"/>
  <c r="O128" i="37" a="1"/>
  <c r="O128" i="37" s="1"/>
  <c r="S183" i="37" a="1"/>
  <c r="S183" i="37" s="1"/>
  <c r="F183" i="37" a="1"/>
  <c r="F183" i="37" s="1"/>
  <c r="F183" i="63" s="1" a="1"/>
  <c r="F183" i="63" s="1"/>
  <c r="U183" i="37" a="1"/>
  <c r="U183" i="37" s="1"/>
  <c r="E128" i="37" a="1"/>
  <c r="E128" i="37" s="1"/>
  <c r="E128" i="63" s="1" a="1"/>
  <c r="E128" i="63" s="1"/>
  <c r="Q128" i="37" a="1"/>
  <c r="Q128" i="37" s="1"/>
  <c r="T128" i="37" a="1"/>
  <c r="T128" i="37" s="1"/>
  <c r="I183" i="37" a="1"/>
  <c r="I183" i="37" s="1"/>
  <c r="K183" i="37" a="1"/>
  <c r="K183" i="37" s="1"/>
  <c r="K128" i="37" a="1"/>
  <c r="K128" i="37" s="1"/>
  <c r="R128" i="37" a="1"/>
  <c r="R128" i="37" s="1"/>
  <c r="J128" i="37" a="1"/>
  <c r="J128" i="37" s="1"/>
  <c r="T183" i="37" a="1"/>
  <c r="T183" i="37" s="1"/>
  <c r="V183" i="37" a="1"/>
  <c r="V183" i="37" s="1"/>
  <c r="N183" i="37" a="1"/>
  <c r="N183" i="37" s="1"/>
  <c r="P128" i="37" a="1"/>
  <c r="P128" i="37" s="1"/>
  <c r="H128" i="37" a="1"/>
  <c r="H128" i="37" s="1"/>
  <c r="H128" i="63" s="1" a="1"/>
  <c r="H128" i="63" s="1"/>
  <c r="G183" i="37" a="1"/>
  <c r="G183" i="37" s="1"/>
  <c r="G183" i="63" s="1" a="1"/>
  <c r="G183" i="63" s="1"/>
  <c r="J183" i="37" a="1"/>
  <c r="J183" i="37" s="1"/>
  <c r="L183" i="37" a="1"/>
  <c r="L183" i="37" s="1"/>
  <c r="G128" i="37" a="1"/>
  <c r="G128" i="37" s="1"/>
  <c r="G128" i="63" s="1" a="1"/>
  <c r="G128" i="63" s="1"/>
  <c r="U128" i="37" a="1"/>
  <c r="U128" i="37" s="1"/>
  <c r="M128" i="37" a="1"/>
  <c r="M128" i="37" s="1"/>
  <c r="R183" i="37" a="1"/>
  <c r="R183" i="37" s="1"/>
  <c r="O183" i="37" a="1"/>
  <c r="O183" i="37" s="1"/>
  <c r="Q183" i="37" a="1"/>
  <c r="Q183" i="37" s="1"/>
  <c r="F128" i="37" a="1"/>
  <c r="F128" i="37" s="1"/>
  <c r="F128" i="63" s="1" a="1"/>
  <c r="F128" i="63" s="1"/>
  <c r="S128" i="37" a="1"/>
  <c r="S128" i="37" s="1"/>
  <c r="H183" i="37" a="1"/>
  <c r="H183" i="37" s="1"/>
  <c r="H183" i="63" s="1" a="1"/>
  <c r="H183" i="63" s="1"/>
  <c r="E183" i="37" a="1"/>
  <c r="E183" i="37" s="1"/>
  <c r="E183" i="63" s="1" a="1"/>
  <c r="E183" i="63" s="1"/>
  <c r="R25" i="59"/>
  <c r="Q25" i="59"/>
  <c r="P25" i="59"/>
  <c r="F25" i="59" s="1"/>
  <c r="M21" i="49" s="1"/>
  <c r="N21" i="49" s="1"/>
  <c r="O21" i="49" s="1"/>
  <c r="Q36" i="59"/>
  <c r="P36" i="59"/>
  <c r="F36" i="59" s="1"/>
  <c r="M30" i="49" s="1"/>
  <c r="N30" i="49" s="1"/>
  <c r="O30" i="49" s="1"/>
  <c r="Q24" i="59"/>
  <c r="P24" i="59"/>
  <c r="F24" i="59" s="1"/>
  <c r="M20" i="49" s="1"/>
  <c r="N20" i="49" s="1"/>
  <c r="Q118" i="63" s="1" a="1"/>
  <c r="Q118" i="63" s="1"/>
  <c r="R37" i="59"/>
  <c r="P37" i="59"/>
  <c r="F37" i="59" s="1"/>
  <c r="M31" i="49" s="1"/>
  <c r="N31" i="49" s="1"/>
  <c r="Q193" i="63" s="1" a="1"/>
  <c r="Q193" i="63" s="1"/>
  <c r="Q37" i="59"/>
  <c r="G153" i="37" a="1"/>
  <c r="G153" i="37" s="1"/>
  <c r="G153" i="63" s="1" a="1"/>
  <c r="G153" i="63" s="1"/>
  <c r="G98" i="37" a="1"/>
  <c r="G98" i="37" s="1"/>
  <c r="G98" i="63" s="1" a="1"/>
  <c r="G98" i="63" s="1"/>
  <c r="F170" i="37" a="1"/>
  <c r="F170" i="37" s="1"/>
  <c r="F170" i="63" s="1" a="1"/>
  <c r="F170" i="63" s="1"/>
  <c r="V88" i="63" a="1"/>
  <c r="V88" i="63" s="1"/>
  <c r="N88" i="63" a="1"/>
  <c r="N88" i="63" s="1"/>
  <c r="U88" i="63" a="1"/>
  <c r="U88" i="63" s="1"/>
  <c r="M88" i="63" a="1"/>
  <c r="M88" i="63" s="1"/>
  <c r="T88" i="63" a="1"/>
  <c r="T88" i="63" s="1"/>
  <c r="L88" i="63" a="1"/>
  <c r="L88" i="63" s="1"/>
  <c r="S88" i="63" a="1"/>
  <c r="S88" i="63" s="1"/>
  <c r="K88" i="63" a="1"/>
  <c r="K88" i="63" s="1"/>
  <c r="R88" i="63" a="1"/>
  <c r="R88" i="63" s="1"/>
  <c r="J88" i="63" a="1"/>
  <c r="J88" i="63" s="1"/>
  <c r="Q88" i="63" a="1"/>
  <c r="Q88" i="63" s="1"/>
  <c r="I88" i="63" a="1"/>
  <c r="I88" i="63" s="1"/>
  <c r="P88" i="63" a="1"/>
  <c r="P88" i="63" s="1"/>
  <c r="O88" i="63" a="1"/>
  <c r="O88" i="63" s="1"/>
  <c r="G204" i="63"/>
  <c r="F167" i="37" a="1"/>
  <c r="F167" i="37" s="1"/>
  <c r="F167" i="63" s="1" a="1"/>
  <c r="F167" i="63" s="1"/>
  <c r="E204" i="63"/>
  <c r="C25" i="55"/>
  <c r="I23" i="63" a="1"/>
  <c r="I23" i="63" s="1"/>
  <c r="J23" i="63" a="1"/>
  <c r="J23" i="63" s="1"/>
  <c r="K23" i="63" a="1"/>
  <c r="K23" i="63" s="1"/>
  <c r="L23" i="63" a="1"/>
  <c r="L23" i="63" s="1"/>
  <c r="M23" i="63" a="1"/>
  <c r="M23" i="63" s="1"/>
  <c r="N23" i="63" a="1"/>
  <c r="N23" i="63" s="1"/>
  <c r="O23" i="63" a="1"/>
  <c r="O23" i="63" s="1"/>
  <c r="P23" i="63" a="1"/>
  <c r="P23" i="63" s="1"/>
  <c r="Q23" i="63" a="1"/>
  <c r="Q23" i="63" s="1"/>
  <c r="R23" i="63" a="1"/>
  <c r="R23" i="63" s="1"/>
  <c r="S23" i="63" a="1"/>
  <c r="S23" i="63" s="1"/>
  <c r="T23" i="63" a="1"/>
  <c r="T23" i="63" s="1"/>
  <c r="U23" i="63" a="1"/>
  <c r="U23" i="63" s="1"/>
  <c r="V23" i="63" a="1"/>
  <c r="V23" i="63" s="1"/>
  <c r="W23" i="63" a="1"/>
  <c r="W23" i="63" s="1"/>
  <c r="F168" i="37" a="1"/>
  <c r="F168" i="37" s="1"/>
  <c r="F168" i="63" s="1" a="1"/>
  <c r="F168" i="63" s="1"/>
  <c r="W173" i="63" a="1"/>
  <c r="W173" i="63" s="1"/>
  <c r="H194" i="63"/>
  <c r="H184" i="63"/>
  <c r="H164" i="63"/>
  <c r="H174" i="63"/>
  <c r="H129" i="63"/>
  <c r="H119" i="63"/>
  <c r="H99" i="63"/>
  <c r="H154" i="63"/>
  <c r="H89" i="63"/>
  <c r="H109" i="63"/>
  <c r="H44" i="63"/>
  <c r="H64" i="63"/>
  <c r="H34" i="63"/>
  <c r="H54" i="63"/>
  <c r="H24" i="63"/>
  <c r="E139" i="63"/>
  <c r="W108" i="63" a="1"/>
  <c r="W108" i="63" s="1"/>
  <c r="F204" i="63"/>
  <c r="G139" i="63"/>
  <c r="W118" i="63" a="1"/>
  <c r="W118" i="63" s="1"/>
  <c r="F139" i="63"/>
  <c r="F74" i="63"/>
  <c r="I153" i="63" a="1"/>
  <c r="I153" i="63" s="1"/>
  <c r="J153" i="63" a="1"/>
  <c r="J153" i="63" s="1"/>
  <c r="K153" i="63" a="1"/>
  <c r="K153" i="63" s="1"/>
  <c r="L153" i="63" a="1"/>
  <c r="L153" i="63" s="1"/>
  <c r="M153" i="63" a="1"/>
  <c r="M153" i="63" s="1"/>
  <c r="N153" i="63" a="1"/>
  <c r="N153" i="63" s="1"/>
  <c r="O153" i="63" a="1"/>
  <c r="O153" i="63" s="1"/>
  <c r="P153" i="63" a="1"/>
  <c r="P153" i="63" s="1"/>
  <c r="Q153" i="63" a="1"/>
  <c r="Q153" i="63" s="1"/>
  <c r="R153" i="63" a="1"/>
  <c r="R153" i="63" s="1"/>
  <c r="S153" i="63" a="1"/>
  <c r="S153" i="63" s="1"/>
  <c r="T153" i="63" a="1"/>
  <c r="T153" i="63" s="1"/>
  <c r="U153" i="63" a="1"/>
  <c r="U153" i="63" s="1"/>
  <c r="V153" i="63" a="1"/>
  <c r="V153" i="63" s="1"/>
  <c r="W153" i="63" a="1"/>
  <c r="W153" i="63" s="1"/>
  <c r="W88" i="63" a="1"/>
  <c r="W88" i="63" s="1"/>
  <c r="G74" i="63"/>
  <c r="E74" i="63"/>
  <c r="AF151" i="63"/>
  <c r="AE150" i="63"/>
  <c r="AC85" i="63"/>
  <c r="AD86" i="63"/>
  <c r="AE21" i="63"/>
  <c r="AD20" i="63"/>
  <c r="F179" i="37" a="1"/>
  <c r="F179" i="37" s="1"/>
  <c r="F179" i="63" s="1" a="1"/>
  <c r="F179" i="63" s="1"/>
  <c r="F177" i="37" a="1"/>
  <c r="F177" i="37" s="1"/>
  <c r="F177" i="63" s="1" a="1"/>
  <c r="F177" i="63" s="1"/>
  <c r="F180" i="37" a="1"/>
  <c r="F180" i="37" s="1"/>
  <c r="F180" i="63" s="1" a="1"/>
  <c r="F180" i="63" s="1"/>
  <c r="F178" i="37" a="1"/>
  <c r="F178" i="37" s="1"/>
  <c r="F178" i="63" s="1" a="1"/>
  <c r="F178" i="63" s="1"/>
  <c r="F190" i="37" a="1"/>
  <c r="F190" i="37" s="1"/>
  <c r="F190" i="63" s="1" a="1"/>
  <c r="F190" i="63" s="1"/>
  <c r="F187" i="37" a="1"/>
  <c r="F187" i="37" s="1"/>
  <c r="F187" i="63" s="1" a="1"/>
  <c r="F187" i="63" s="1"/>
  <c r="F188" i="37" a="1"/>
  <c r="F188" i="37" s="1"/>
  <c r="F188" i="63" s="1" a="1"/>
  <c r="F188" i="63" s="1"/>
  <c r="F189" i="37" a="1"/>
  <c r="F189" i="37" s="1"/>
  <c r="F189" i="63" s="1" a="1"/>
  <c r="F189" i="63" s="1"/>
  <c r="E69" i="37" a="1"/>
  <c r="E69" i="37" s="1"/>
  <c r="E69" i="63" s="1" a="1"/>
  <c r="E69" i="63" s="1"/>
  <c r="E70" i="37" a="1"/>
  <c r="E70" i="37" s="1"/>
  <c r="E70" i="63" s="1" a="1"/>
  <c r="E70" i="63" s="1"/>
  <c r="E67" i="37" a="1"/>
  <c r="E67" i="37" s="1"/>
  <c r="E67" i="63" s="1" a="1"/>
  <c r="E67" i="63" s="1"/>
  <c r="E68" i="37" a="1"/>
  <c r="E68" i="37" s="1"/>
  <c r="E68" i="63" s="1" a="1"/>
  <c r="E68" i="63" s="1"/>
  <c r="E178" i="37" a="1"/>
  <c r="E178" i="37" s="1"/>
  <c r="E178" i="63" s="1" a="1"/>
  <c r="E178" i="63" s="1"/>
  <c r="E179" i="37" a="1"/>
  <c r="E179" i="37" s="1"/>
  <c r="E179" i="63" s="1" a="1"/>
  <c r="E179" i="63" s="1"/>
  <c r="E180" i="37" a="1"/>
  <c r="E180" i="37" s="1"/>
  <c r="E180" i="63" s="1" a="1"/>
  <c r="E180" i="63" s="1"/>
  <c r="E177" i="37" a="1"/>
  <c r="E177" i="37" s="1"/>
  <c r="E177" i="63" s="1" a="1"/>
  <c r="E177" i="63" s="1"/>
  <c r="F60" i="37" a="1"/>
  <c r="F60" i="37" s="1"/>
  <c r="F60" i="63" s="1" a="1"/>
  <c r="F60" i="63" s="1"/>
  <c r="F57" i="37" a="1"/>
  <c r="F57" i="37" s="1"/>
  <c r="F57" i="63" s="1" a="1"/>
  <c r="F57" i="63" s="1"/>
  <c r="F58" i="37" a="1"/>
  <c r="F58" i="37" s="1"/>
  <c r="F58" i="63" s="1" a="1"/>
  <c r="F58" i="63" s="1"/>
  <c r="F59" i="37" a="1"/>
  <c r="F59" i="37" s="1"/>
  <c r="F59" i="63" s="1" a="1"/>
  <c r="F59" i="63" s="1"/>
  <c r="W193" i="37" a="1"/>
  <c r="W193" i="37" s="1"/>
  <c r="X193" i="37" a="1"/>
  <c r="X193" i="37" s="1"/>
  <c r="G57" i="37" a="1"/>
  <c r="G57" i="37" s="1"/>
  <c r="G57" i="63" s="1" a="1"/>
  <c r="G57" i="63" s="1"/>
  <c r="G58" i="37" a="1"/>
  <c r="G58" i="37" s="1"/>
  <c r="G58" i="63" s="1" a="1"/>
  <c r="G58" i="63" s="1"/>
  <c r="G59" i="37" a="1"/>
  <c r="G59" i="37" s="1"/>
  <c r="G59" i="63" s="1" a="1"/>
  <c r="G59" i="63" s="1"/>
  <c r="G60" i="37" a="1"/>
  <c r="G60" i="37" s="1"/>
  <c r="G60" i="63" s="1" a="1"/>
  <c r="G60" i="63" s="1"/>
  <c r="G169" i="37" a="1"/>
  <c r="G169" i="37" s="1"/>
  <c r="G169" i="63" s="1" a="1"/>
  <c r="G169" i="63" s="1"/>
  <c r="G170" i="37" a="1"/>
  <c r="G170" i="37" s="1"/>
  <c r="G170" i="63" s="1" a="1"/>
  <c r="G170" i="63" s="1"/>
  <c r="G168" i="37" a="1"/>
  <c r="G168" i="37" s="1"/>
  <c r="G168" i="63" s="1" a="1"/>
  <c r="G168" i="63" s="1"/>
  <c r="G167" i="37" a="1"/>
  <c r="G167" i="37" s="1"/>
  <c r="G167" i="63" s="1" a="1"/>
  <c r="G167" i="63" s="1"/>
  <c r="W108" i="37" a="1"/>
  <c r="W108" i="37" s="1"/>
  <c r="F139" i="37"/>
  <c r="F95" i="37" a="1"/>
  <c r="F95" i="37" s="1"/>
  <c r="F95" i="63" s="1" a="1"/>
  <c r="F95" i="63" s="1"/>
  <c r="F92" i="37" a="1"/>
  <c r="F92" i="37" s="1"/>
  <c r="F92" i="63" s="1" a="1"/>
  <c r="F92" i="63" s="1"/>
  <c r="F94" i="37" a="1"/>
  <c r="F94" i="37" s="1"/>
  <c r="F94" i="63" s="1" a="1"/>
  <c r="F94" i="63" s="1"/>
  <c r="F93" i="37" a="1"/>
  <c r="F93" i="37" s="1"/>
  <c r="F93" i="63" s="1" a="1"/>
  <c r="F93" i="63" s="1"/>
  <c r="F70" i="37" a="1"/>
  <c r="F70" i="37" s="1"/>
  <c r="F70" i="63" s="1" a="1"/>
  <c r="F70" i="63" s="1"/>
  <c r="F67" i="37" a="1"/>
  <c r="F67" i="37" s="1"/>
  <c r="F67" i="63" s="1" a="1"/>
  <c r="F67" i="63" s="1"/>
  <c r="F68" i="37" a="1"/>
  <c r="F68" i="37" s="1"/>
  <c r="F68" i="63" s="1" a="1"/>
  <c r="F68" i="63" s="1"/>
  <c r="F69" i="37" a="1"/>
  <c r="F69" i="37" s="1"/>
  <c r="F69" i="63" s="1" a="1"/>
  <c r="F69" i="63" s="1"/>
  <c r="E139" i="37"/>
  <c r="E95" i="37" a="1"/>
  <c r="E95" i="37" s="1"/>
  <c r="E95" i="63" s="1" a="1"/>
  <c r="E95" i="63" s="1"/>
  <c r="E92" i="37" a="1"/>
  <c r="E92" i="37" s="1"/>
  <c r="E92" i="63" s="1" a="1"/>
  <c r="E92" i="63" s="1"/>
  <c r="E94" i="37" a="1"/>
  <c r="E94" i="37" s="1"/>
  <c r="E94" i="63" s="1" a="1"/>
  <c r="E94" i="63" s="1"/>
  <c r="E93" i="37" a="1"/>
  <c r="E93" i="37" s="1"/>
  <c r="E93" i="63" s="1" a="1"/>
  <c r="E93" i="63" s="1"/>
  <c r="E197" i="37" a="1"/>
  <c r="E197" i="37" s="1"/>
  <c r="E197" i="63" s="1" a="1"/>
  <c r="E197" i="63" s="1"/>
  <c r="E198" i="37" a="1"/>
  <c r="E198" i="37" s="1"/>
  <c r="E198" i="63" s="1" a="1"/>
  <c r="E198" i="63" s="1"/>
  <c r="E200" i="37" a="1"/>
  <c r="E200" i="37" s="1"/>
  <c r="E200" i="63" s="1" a="1"/>
  <c r="E200" i="63" s="1"/>
  <c r="E199" i="37" a="1"/>
  <c r="E199" i="37" s="1"/>
  <c r="E199" i="63" s="1" a="1"/>
  <c r="E199" i="63" s="1"/>
  <c r="F133" i="37" a="1"/>
  <c r="F133" i="37" s="1"/>
  <c r="F133" i="63" s="1" a="1"/>
  <c r="F133" i="63" s="1"/>
  <c r="F132" i="37" a="1"/>
  <c r="F132" i="37" s="1"/>
  <c r="F132" i="63" s="1" a="1"/>
  <c r="F132" i="63" s="1"/>
  <c r="F135" i="37" a="1"/>
  <c r="F135" i="37" s="1"/>
  <c r="F135" i="63" s="1" a="1"/>
  <c r="F135" i="63" s="1"/>
  <c r="F134" i="37" a="1"/>
  <c r="F134" i="37" s="1"/>
  <c r="F134" i="63" s="1" a="1"/>
  <c r="F134" i="63" s="1"/>
  <c r="G67" i="37" a="1"/>
  <c r="G67" i="37" s="1"/>
  <c r="G67" i="63" s="1" a="1"/>
  <c r="G67" i="63" s="1"/>
  <c r="G68" i="37" a="1"/>
  <c r="G68" i="37" s="1"/>
  <c r="G68" i="63" s="1" a="1"/>
  <c r="G68" i="63" s="1"/>
  <c r="G69" i="37" a="1"/>
  <c r="G69" i="37" s="1"/>
  <c r="G69" i="63" s="1" a="1"/>
  <c r="G69" i="63" s="1"/>
  <c r="G70" i="37" a="1"/>
  <c r="G70" i="37" s="1"/>
  <c r="G70" i="63" s="1" a="1"/>
  <c r="G70" i="63" s="1"/>
  <c r="G180" i="37" a="1"/>
  <c r="G180" i="37" s="1"/>
  <c r="G180" i="63" s="1" a="1"/>
  <c r="G180" i="63" s="1"/>
  <c r="G178" i="37" a="1"/>
  <c r="G178" i="37" s="1"/>
  <c r="G178" i="63" s="1" a="1"/>
  <c r="G178" i="63" s="1"/>
  <c r="G179" i="37" a="1"/>
  <c r="G179" i="37" s="1"/>
  <c r="G179" i="63" s="1" a="1"/>
  <c r="G179" i="63" s="1"/>
  <c r="G177" i="37" a="1"/>
  <c r="G177" i="37" s="1"/>
  <c r="G177" i="63" s="1" a="1"/>
  <c r="G177" i="63" s="1"/>
  <c r="T23" i="37" a="1"/>
  <c r="T23" i="37" s="1"/>
  <c r="L23" i="37" a="1"/>
  <c r="L23" i="37" s="1"/>
  <c r="P23" i="37" a="1"/>
  <c r="P23" i="37" s="1"/>
  <c r="H23" i="37" a="1"/>
  <c r="H23" i="37" s="1"/>
  <c r="H23" i="63" s="1" a="1"/>
  <c r="H23" i="63" s="1"/>
  <c r="V23" i="37" a="1"/>
  <c r="V23" i="37" s="1"/>
  <c r="R23" i="37" a="1"/>
  <c r="R23" i="37" s="1"/>
  <c r="W23" i="37" a="1"/>
  <c r="W23" i="37" s="1"/>
  <c r="S23" i="37" a="1"/>
  <c r="S23" i="37" s="1"/>
  <c r="O23" i="37" a="1"/>
  <c r="O23" i="37" s="1"/>
  <c r="K23" i="37" a="1"/>
  <c r="K23" i="37" s="1"/>
  <c r="J23" i="37" a="1"/>
  <c r="J23" i="37" s="1"/>
  <c r="F23" i="37" a="1"/>
  <c r="F23" i="37" s="1"/>
  <c r="F23" i="63" s="1" a="1"/>
  <c r="F23" i="63" s="1"/>
  <c r="U23" i="37" a="1"/>
  <c r="U23" i="37" s="1"/>
  <c r="M23" i="37" a="1"/>
  <c r="M23" i="37" s="1"/>
  <c r="E23" i="37" a="1"/>
  <c r="E23" i="37" s="1"/>
  <c r="E23" i="63" s="1" a="1"/>
  <c r="E23" i="63" s="1"/>
  <c r="G23" i="37" a="1"/>
  <c r="G23" i="37" s="1"/>
  <c r="G23" i="63" s="1" a="1"/>
  <c r="G23" i="63" s="1"/>
  <c r="Q23" i="37" a="1"/>
  <c r="Q23" i="37" s="1"/>
  <c r="I23" i="37" a="1"/>
  <c r="I23" i="37" s="1"/>
  <c r="N23" i="37" a="1"/>
  <c r="N23" i="37" s="1"/>
  <c r="V153" i="37" a="1"/>
  <c r="V153" i="37" s="1"/>
  <c r="R153" i="37" a="1"/>
  <c r="R153" i="37" s="1"/>
  <c r="N153" i="37" a="1"/>
  <c r="N153" i="37" s="1"/>
  <c r="J153" i="37" a="1"/>
  <c r="J153" i="37" s="1"/>
  <c r="F153" i="37" a="1"/>
  <c r="F153" i="37" s="1"/>
  <c r="F153" i="63" s="1" a="1"/>
  <c r="F153" i="63" s="1"/>
  <c r="U153" i="37" a="1"/>
  <c r="U153" i="37" s="1"/>
  <c r="Q153" i="37" a="1"/>
  <c r="Q153" i="37" s="1"/>
  <c r="M153" i="37" a="1"/>
  <c r="M153" i="37" s="1"/>
  <c r="I153" i="37" a="1"/>
  <c r="I153" i="37" s="1"/>
  <c r="E153" i="37" a="1"/>
  <c r="E153" i="37" s="1"/>
  <c r="E153" i="63" s="1" a="1"/>
  <c r="E153" i="63" s="1"/>
  <c r="T153" i="37" a="1"/>
  <c r="T153" i="37" s="1"/>
  <c r="P153" i="37" a="1"/>
  <c r="P153" i="37" s="1"/>
  <c r="L153" i="37" a="1"/>
  <c r="L153" i="37" s="1"/>
  <c r="H153" i="37" a="1"/>
  <c r="H153" i="37" s="1"/>
  <c r="H153" i="63" s="1" a="1"/>
  <c r="H153" i="63" s="1"/>
  <c r="W153" i="37" a="1"/>
  <c r="W153" i="37" s="1"/>
  <c r="S153" i="37" a="1"/>
  <c r="S153" i="37" s="1"/>
  <c r="O153" i="37" a="1"/>
  <c r="O153" i="37" s="1"/>
  <c r="K153" i="37" a="1"/>
  <c r="K153" i="37" s="1"/>
  <c r="H194" i="37"/>
  <c r="H184" i="37"/>
  <c r="H189" i="37" s="1" a="1"/>
  <c r="H189" i="37" s="1"/>
  <c r="H164" i="37"/>
  <c r="H174" i="37"/>
  <c r="H154" i="37"/>
  <c r="H129" i="37"/>
  <c r="H119" i="37"/>
  <c r="H109" i="37"/>
  <c r="H99" i="37"/>
  <c r="H89" i="37"/>
  <c r="H64" i="37"/>
  <c r="H54" i="37"/>
  <c r="H44" i="37"/>
  <c r="H34" i="37"/>
  <c r="H24" i="37"/>
  <c r="F204" i="37"/>
  <c r="F157" i="37" a="1"/>
  <c r="F157" i="37" s="1"/>
  <c r="F157" i="63" s="1" a="1"/>
  <c r="F157" i="63" s="1"/>
  <c r="F159" i="37" a="1"/>
  <c r="F159" i="37" s="1"/>
  <c r="F159" i="63" s="1" a="1"/>
  <c r="F159" i="63" s="1"/>
  <c r="F158" i="37" a="1"/>
  <c r="F158" i="37" s="1"/>
  <c r="F158" i="63" s="1" a="1"/>
  <c r="F158" i="63" s="1"/>
  <c r="F160" i="37" a="1"/>
  <c r="F160" i="37" s="1"/>
  <c r="F160" i="63" s="1" a="1"/>
  <c r="F160" i="63" s="1"/>
  <c r="E105" i="37" a="1"/>
  <c r="E105" i="37" s="1"/>
  <c r="E105" i="63" s="1" a="1"/>
  <c r="E105" i="63" s="1"/>
  <c r="E102" i="37" a="1"/>
  <c r="E102" i="37" s="1"/>
  <c r="E102" i="63" s="1" a="1"/>
  <c r="E102" i="63" s="1"/>
  <c r="E103" i="37" a="1"/>
  <c r="E103" i="37" s="1"/>
  <c r="E103" i="63" s="1" a="1"/>
  <c r="E103" i="63" s="1"/>
  <c r="E104" i="37" a="1"/>
  <c r="E104" i="37" s="1"/>
  <c r="E104" i="63" s="1" a="1"/>
  <c r="E104" i="63" s="1"/>
  <c r="E190" i="37" a="1"/>
  <c r="E190" i="37" s="1"/>
  <c r="E190" i="63" s="1" a="1"/>
  <c r="E190" i="63" s="1"/>
  <c r="E189" i="37" a="1"/>
  <c r="E189" i="37" s="1"/>
  <c r="E189" i="63" s="1" a="1"/>
  <c r="E189" i="63" s="1"/>
  <c r="E187" i="37" a="1"/>
  <c r="E187" i="37" s="1"/>
  <c r="E187" i="63" s="1" a="1"/>
  <c r="E187" i="63" s="1"/>
  <c r="E188" i="37" a="1"/>
  <c r="E188" i="37" s="1"/>
  <c r="E188" i="63" s="1" a="1"/>
  <c r="E188" i="63" s="1"/>
  <c r="W118" i="37" a="1"/>
  <c r="W118" i="37" s="1"/>
  <c r="F40" i="37" a="1"/>
  <c r="F40" i="37" s="1"/>
  <c r="F40" i="63" s="1" a="1"/>
  <c r="F40" i="63" s="1"/>
  <c r="F37" i="37" a="1"/>
  <c r="F37" i="37" s="1"/>
  <c r="F37" i="63" s="1" a="1"/>
  <c r="F37" i="63" s="1"/>
  <c r="F38" i="37" a="1"/>
  <c r="F38" i="37" s="1"/>
  <c r="F38" i="63" s="1" a="1"/>
  <c r="F38" i="63" s="1"/>
  <c r="F39" i="37" a="1"/>
  <c r="F39" i="37" s="1"/>
  <c r="F39" i="63" s="1" a="1"/>
  <c r="F39" i="63" s="1"/>
  <c r="G139" i="37"/>
  <c r="G95" i="37" a="1"/>
  <c r="G95" i="37" s="1"/>
  <c r="G95" i="63" s="1" a="1"/>
  <c r="G95" i="63" s="1"/>
  <c r="G92" i="37" a="1"/>
  <c r="G92" i="37" s="1"/>
  <c r="G92" i="63" s="1" a="1"/>
  <c r="G92" i="63" s="1"/>
  <c r="G94" i="37" a="1"/>
  <c r="G94" i="37" s="1"/>
  <c r="G94" i="63" s="1" a="1"/>
  <c r="G94" i="63" s="1"/>
  <c r="G93" i="37" a="1"/>
  <c r="G93" i="37" s="1"/>
  <c r="G93" i="63" s="1" a="1"/>
  <c r="G93" i="63" s="1"/>
  <c r="G187" i="37" a="1"/>
  <c r="G187" i="37" s="1"/>
  <c r="G187" i="63" s="1" a="1"/>
  <c r="G187" i="63" s="1"/>
  <c r="G188" i="37" a="1"/>
  <c r="G188" i="37" s="1"/>
  <c r="G188" i="63" s="1" a="1"/>
  <c r="G188" i="63" s="1"/>
  <c r="G189" i="37" a="1"/>
  <c r="G189" i="37" s="1"/>
  <c r="G189" i="63" s="1" a="1"/>
  <c r="G189" i="63" s="1"/>
  <c r="G190" i="37" a="1"/>
  <c r="G190" i="37" s="1"/>
  <c r="G190" i="63" s="1" a="1"/>
  <c r="G190" i="63" s="1"/>
  <c r="F198" i="37" a="1"/>
  <c r="F198" i="37" s="1"/>
  <c r="F198" i="63" s="1" a="1"/>
  <c r="F198" i="63" s="1"/>
  <c r="F199" i="37" a="1"/>
  <c r="F199" i="37" s="1"/>
  <c r="F199" i="63" s="1" a="1"/>
  <c r="F199" i="63" s="1"/>
  <c r="F197" i="37" a="1"/>
  <c r="F197" i="37" s="1"/>
  <c r="F197" i="63" s="1" a="1"/>
  <c r="F197" i="63" s="1"/>
  <c r="F200" i="37" a="1"/>
  <c r="F200" i="37" s="1"/>
  <c r="F200" i="63" s="1" a="1"/>
  <c r="F200" i="63" s="1"/>
  <c r="F74" i="37"/>
  <c r="F29" i="37" a="1"/>
  <c r="F29" i="37" s="1"/>
  <c r="F29" i="63" s="1" a="1"/>
  <c r="F29" i="63" s="1"/>
  <c r="F30" i="37" a="1"/>
  <c r="F30" i="37" s="1"/>
  <c r="F30" i="63" s="1" a="1"/>
  <c r="F30" i="63" s="1"/>
  <c r="F27" i="37" a="1"/>
  <c r="F27" i="37" s="1"/>
  <c r="F27" i="63" s="1" a="1"/>
  <c r="F27" i="63" s="1"/>
  <c r="F28" i="37" a="1"/>
  <c r="F28" i="37" s="1"/>
  <c r="F28" i="63" s="1" a="1"/>
  <c r="F28" i="63" s="1"/>
  <c r="E114" i="37" a="1"/>
  <c r="E114" i="37" s="1"/>
  <c r="E114" i="63" s="1" a="1"/>
  <c r="E114" i="63" s="1"/>
  <c r="E112" i="37" a="1"/>
  <c r="E112" i="37" s="1"/>
  <c r="E112" i="63" s="1" a="1"/>
  <c r="E112" i="63" s="1"/>
  <c r="E115" i="37" a="1"/>
  <c r="E115" i="37" s="1"/>
  <c r="E115" i="63" s="1" a="1"/>
  <c r="E115" i="63" s="1"/>
  <c r="E113" i="37" a="1"/>
  <c r="E113" i="37" s="1"/>
  <c r="E113" i="63" s="1" a="1"/>
  <c r="E113" i="63" s="1"/>
  <c r="F50" i="37" a="1"/>
  <c r="F50" i="37" s="1"/>
  <c r="F50" i="63" s="1" a="1"/>
  <c r="F50" i="63" s="1"/>
  <c r="F47" i="37" a="1"/>
  <c r="F47" i="37" s="1"/>
  <c r="F47" i="63" s="1" a="1"/>
  <c r="F47" i="63" s="1"/>
  <c r="F48" i="37" a="1"/>
  <c r="F48" i="37" s="1"/>
  <c r="F48" i="63" s="1" a="1"/>
  <c r="F48" i="63" s="1"/>
  <c r="F49" i="37" a="1"/>
  <c r="F49" i="37" s="1"/>
  <c r="F49" i="63" s="1" a="1"/>
  <c r="F49" i="63" s="1"/>
  <c r="G103" i="37" a="1"/>
  <c r="G103" i="37" s="1"/>
  <c r="G103" i="63" s="1" a="1"/>
  <c r="G103" i="63" s="1"/>
  <c r="G104" i="37" a="1"/>
  <c r="G104" i="37" s="1"/>
  <c r="G104" i="63" s="1" a="1"/>
  <c r="G104" i="63" s="1"/>
  <c r="G105" i="37" a="1"/>
  <c r="G105" i="37" s="1"/>
  <c r="G105" i="63" s="1" a="1"/>
  <c r="G105" i="63" s="1"/>
  <c r="G102" i="37" a="1"/>
  <c r="G102" i="37" s="1"/>
  <c r="G102" i="63" s="1" a="1"/>
  <c r="G102" i="63" s="1"/>
  <c r="G199" i="37" a="1"/>
  <c r="G199" i="37" s="1"/>
  <c r="G199" i="63" s="1" a="1"/>
  <c r="G199" i="63" s="1"/>
  <c r="G200" i="37" a="1"/>
  <c r="G200" i="37" s="1"/>
  <c r="G200" i="63" s="1" a="1"/>
  <c r="G200" i="63" s="1"/>
  <c r="G198" i="37" a="1"/>
  <c r="G198" i="37" s="1"/>
  <c r="G198" i="63" s="1" a="1"/>
  <c r="G198" i="63" s="1"/>
  <c r="G197" i="37" a="1"/>
  <c r="G197" i="37" s="1"/>
  <c r="G197" i="63" s="1" a="1"/>
  <c r="G197" i="63" s="1"/>
  <c r="F102" i="37" a="1"/>
  <c r="F102" i="37" s="1"/>
  <c r="F102" i="63" s="1" a="1"/>
  <c r="F102" i="63" s="1"/>
  <c r="F103" i="37" a="1"/>
  <c r="F103" i="37" s="1"/>
  <c r="F103" i="63" s="1" a="1"/>
  <c r="F103" i="63" s="1"/>
  <c r="F104" i="37" a="1"/>
  <c r="F104" i="37" s="1"/>
  <c r="F104" i="63" s="1" a="1"/>
  <c r="F104" i="63" s="1"/>
  <c r="F105" i="37" a="1"/>
  <c r="F105" i="37" s="1"/>
  <c r="F105" i="63" s="1" a="1"/>
  <c r="F105" i="63" s="1"/>
  <c r="E50" i="37" a="1"/>
  <c r="E50" i="37" s="1"/>
  <c r="E50" i="63" s="1" a="1"/>
  <c r="E50" i="63" s="1"/>
  <c r="E47" i="37" a="1"/>
  <c r="E47" i="37" s="1"/>
  <c r="E47" i="63" s="1" a="1"/>
  <c r="E47" i="63" s="1"/>
  <c r="E48" i="37" a="1"/>
  <c r="E48" i="37" s="1"/>
  <c r="E48" i="63" s="1" a="1"/>
  <c r="E48" i="63" s="1"/>
  <c r="E49" i="37" a="1"/>
  <c r="E49" i="37" s="1"/>
  <c r="E49" i="63" s="1" a="1"/>
  <c r="E49" i="63" s="1"/>
  <c r="E124" i="37" a="1"/>
  <c r="E124" i="37" s="1"/>
  <c r="E124" i="63" s="1" a="1"/>
  <c r="E124" i="63" s="1"/>
  <c r="E122" i="37" a="1"/>
  <c r="E122" i="37" s="1"/>
  <c r="E122" i="63" s="1" a="1"/>
  <c r="E122" i="63" s="1"/>
  <c r="E125" i="37" a="1"/>
  <c r="E125" i="37" s="1"/>
  <c r="E125" i="63" s="1" a="1"/>
  <c r="E125" i="63" s="1"/>
  <c r="E123" i="37" a="1"/>
  <c r="E123" i="37" s="1"/>
  <c r="E123" i="63" s="1" a="1"/>
  <c r="E123" i="63" s="1"/>
  <c r="F115" i="37" a="1"/>
  <c r="F115" i="37" s="1"/>
  <c r="F115" i="63" s="1" a="1"/>
  <c r="F115" i="63" s="1"/>
  <c r="F113" i="37" a="1"/>
  <c r="F113" i="37" s="1"/>
  <c r="F113" i="63" s="1" a="1"/>
  <c r="F113" i="63" s="1"/>
  <c r="F112" i="37" a="1"/>
  <c r="F112" i="37" s="1"/>
  <c r="F112" i="63" s="1" a="1"/>
  <c r="F112" i="63" s="1"/>
  <c r="F114" i="37" a="1"/>
  <c r="F114" i="37" s="1"/>
  <c r="F114" i="63" s="1" a="1"/>
  <c r="F114" i="63" s="1"/>
  <c r="G114" i="37" a="1"/>
  <c r="G114" i="37" s="1"/>
  <c r="G114" i="63" s="1" a="1"/>
  <c r="G114" i="63" s="1"/>
  <c r="G112" i="37" a="1"/>
  <c r="G112" i="37" s="1"/>
  <c r="G112" i="63" s="1" a="1"/>
  <c r="G112" i="63" s="1"/>
  <c r="G113" i="37" a="1"/>
  <c r="G113" i="37" s="1"/>
  <c r="G113" i="63" s="1" a="1"/>
  <c r="G113" i="63" s="1"/>
  <c r="G115" i="37" a="1"/>
  <c r="G115" i="37" s="1"/>
  <c r="G115" i="63" s="1" a="1"/>
  <c r="G115" i="63" s="1"/>
  <c r="W128" i="37" a="1"/>
  <c r="W128" i="37" s="1"/>
  <c r="E74" i="37"/>
  <c r="E28" i="37" a="1"/>
  <c r="E28" i="37" s="1"/>
  <c r="E28" i="63" s="1" a="1"/>
  <c r="E28" i="63" s="1"/>
  <c r="E29" i="37" a="1"/>
  <c r="E29" i="37" s="1"/>
  <c r="E29" i="63" s="1" a="1"/>
  <c r="E29" i="63" s="1"/>
  <c r="E30" i="37" a="1"/>
  <c r="E30" i="37" s="1"/>
  <c r="E30" i="63" s="1" a="1"/>
  <c r="E30" i="63" s="1"/>
  <c r="E27" i="37" a="1"/>
  <c r="E27" i="37" s="1"/>
  <c r="E27" i="63" s="1" a="1"/>
  <c r="E27" i="63" s="1"/>
  <c r="E132" i="37" a="1"/>
  <c r="E132" i="37" s="1"/>
  <c r="E132" i="63" s="1" a="1"/>
  <c r="E132" i="63" s="1"/>
  <c r="E135" i="37" a="1"/>
  <c r="E135" i="37" s="1"/>
  <c r="E135" i="63" s="1" a="1"/>
  <c r="E135" i="63" s="1"/>
  <c r="E134" i="37" a="1"/>
  <c r="E134" i="37" s="1"/>
  <c r="E134" i="63" s="1" a="1"/>
  <c r="E134" i="63" s="1"/>
  <c r="E133" i="37" a="1"/>
  <c r="E133" i="37" s="1"/>
  <c r="E133" i="63" s="1" a="1"/>
  <c r="E133" i="63" s="1"/>
  <c r="W88" i="37" a="1"/>
  <c r="W88" i="37" s="1"/>
  <c r="G74" i="37"/>
  <c r="G30" i="37" a="1"/>
  <c r="G30" i="37" s="1"/>
  <c r="G30" i="63" s="1" a="1"/>
  <c r="G30" i="63" s="1"/>
  <c r="G27" i="37" a="1"/>
  <c r="G27" i="37" s="1"/>
  <c r="G27" i="63" s="1" a="1"/>
  <c r="G27" i="63" s="1"/>
  <c r="G28" i="37" a="1"/>
  <c r="G28" i="37" s="1"/>
  <c r="G28" i="63" s="1" a="1"/>
  <c r="G28" i="63" s="1"/>
  <c r="G29" i="37" a="1"/>
  <c r="G29" i="37" s="1"/>
  <c r="G29" i="63" s="1" a="1"/>
  <c r="G29" i="63" s="1"/>
  <c r="G134" i="37" a="1"/>
  <c r="G134" i="37" s="1"/>
  <c r="G134" i="63" s="1" a="1"/>
  <c r="G134" i="63" s="1"/>
  <c r="G133" i="37" a="1"/>
  <c r="G133" i="37" s="1"/>
  <c r="G133" i="63" s="1" a="1"/>
  <c r="G133" i="63" s="1"/>
  <c r="G132" i="37" a="1"/>
  <c r="G132" i="37" s="1"/>
  <c r="G132" i="63" s="1" a="1"/>
  <c r="G132" i="63" s="1"/>
  <c r="G135" i="37" a="1"/>
  <c r="G135" i="37" s="1"/>
  <c r="G135" i="63" s="1" a="1"/>
  <c r="G135" i="63" s="1"/>
  <c r="W98" i="37" a="1"/>
  <c r="W98" i="37" s="1"/>
  <c r="S98" i="37" a="1"/>
  <c r="S98" i="37" s="1"/>
  <c r="O98" i="37" a="1"/>
  <c r="O98" i="37" s="1"/>
  <c r="K98" i="37" a="1"/>
  <c r="K98" i="37" s="1"/>
  <c r="V98" i="37" a="1"/>
  <c r="V98" i="37" s="1"/>
  <c r="R98" i="37" a="1"/>
  <c r="R98" i="37" s="1"/>
  <c r="N98" i="37" a="1"/>
  <c r="N98" i="37" s="1"/>
  <c r="J98" i="37" a="1"/>
  <c r="J98" i="37" s="1"/>
  <c r="F98" i="37" a="1"/>
  <c r="F98" i="37" s="1"/>
  <c r="F98" i="63" s="1" a="1"/>
  <c r="F98" i="63" s="1"/>
  <c r="U98" i="37" a="1"/>
  <c r="U98" i="37" s="1"/>
  <c r="Q98" i="37" a="1"/>
  <c r="Q98" i="37" s="1"/>
  <c r="M98" i="37" a="1"/>
  <c r="M98" i="37" s="1"/>
  <c r="I98" i="37" a="1"/>
  <c r="I98" i="37" s="1"/>
  <c r="E98" i="37" a="1"/>
  <c r="E98" i="37" s="1"/>
  <c r="E98" i="63" s="1" a="1"/>
  <c r="E98" i="63" s="1"/>
  <c r="T98" i="37" a="1"/>
  <c r="T98" i="37" s="1"/>
  <c r="P98" i="37" a="1"/>
  <c r="P98" i="37" s="1"/>
  <c r="L98" i="37" a="1"/>
  <c r="L98" i="37" s="1"/>
  <c r="H98" i="37" a="1"/>
  <c r="H98" i="37" s="1"/>
  <c r="H98" i="63" s="1" a="1"/>
  <c r="H98" i="63" s="1"/>
  <c r="E39" i="37" a="1"/>
  <c r="E39" i="37" s="1"/>
  <c r="E39" i="63" s="1" a="1"/>
  <c r="E39" i="63" s="1"/>
  <c r="E40" i="37" a="1"/>
  <c r="E40" i="37" s="1"/>
  <c r="E40" i="63" s="1" a="1"/>
  <c r="E40" i="63" s="1"/>
  <c r="E37" i="37" a="1"/>
  <c r="E37" i="37" s="1"/>
  <c r="E37" i="63" s="1" a="1"/>
  <c r="E37" i="63" s="1"/>
  <c r="E38" i="37" a="1"/>
  <c r="E38" i="37" s="1"/>
  <c r="E38" i="63" s="1" a="1"/>
  <c r="E38" i="63" s="1"/>
  <c r="E204" i="37"/>
  <c r="E160" i="37" a="1"/>
  <c r="E160" i="37" s="1"/>
  <c r="E160" i="63" s="1" a="1"/>
  <c r="E160" i="63" s="1"/>
  <c r="E158" i="37" a="1"/>
  <c r="E158" i="37" s="1"/>
  <c r="E158" i="63" s="1" a="1"/>
  <c r="E158" i="63" s="1"/>
  <c r="E157" i="37" a="1"/>
  <c r="E157" i="37" s="1"/>
  <c r="E157" i="63" s="1" a="1"/>
  <c r="E157" i="63" s="1"/>
  <c r="E159" i="37" a="1"/>
  <c r="E159" i="37" s="1"/>
  <c r="E159" i="63" s="1" a="1"/>
  <c r="E159" i="63" s="1"/>
  <c r="W173" i="37" a="1"/>
  <c r="W173" i="37" s="1"/>
  <c r="G37" i="37" a="1"/>
  <c r="G37" i="37" s="1"/>
  <c r="G37" i="63" s="1" a="1"/>
  <c r="G37" i="63" s="1"/>
  <c r="G38" i="37" a="1"/>
  <c r="G38" i="37" s="1"/>
  <c r="G38" i="63" s="1" a="1"/>
  <c r="G38" i="63" s="1"/>
  <c r="G39" i="37" a="1"/>
  <c r="G39" i="37" s="1"/>
  <c r="G39" i="63" s="1" a="1"/>
  <c r="G39" i="63" s="1"/>
  <c r="G40" i="37" a="1"/>
  <c r="G40" i="37" s="1"/>
  <c r="G40" i="63" s="1" a="1"/>
  <c r="G40" i="63" s="1"/>
  <c r="G125" i="37" a="1"/>
  <c r="G125" i="37" s="1"/>
  <c r="G125" i="63" s="1" a="1"/>
  <c r="G125" i="63" s="1"/>
  <c r="G123" i="37" a="1"/>
  <c r="G123" i="37" s="1"/>
  <c r="G123" i="63" s="1" a="1"/>
  <c r="G123" i="63" s="1"/>
  <c r="G124" i="37" a="1"/>
  <c r="G124" i="37" s="1"/>
  <c r="G124" i="63" s="1" a="1"/>
  <c r="G124" i="63" s="1"/>
  <c r="G122" i="37" a="1"/>
  <c r="G122" i="37" s="1"/>
  <c r="G122" i="63" s="1" a="1"/>
  <c r="G122" i="63" s="1"/>
  <c r="W183" i="37" a="1"/>
  <c r="W183" i="37" s="1"/>
  <c r="E59" i="37" a="1"/>
  <c r="E59" i="37" s="1"/>
  <c r="E59" i="63" s="1" a="1"/>
  <c r="E59" i="63" s="1"/>
  <c r="E60" i="37" a="1"/>
  <c r="E60" i="37" s="1"/>
  <c r="E60" i="63" s="1" a="1"/>
  <c r="E60" i="63" s="1"/>
  <c r="E57" i="37" a="1"/>
  <c r="E57" i="37" s="1"/>
  <c r="E57" i="63" s="1" a="1"/>
  <c r="E57" i="63" s="1"/>
  <c r="E58" i="37" a="1"/>
  <c r="E58" i="37" s="1"/>
  <c r="E58" i="63" s="1" a="1"/>
  <c r="E58" i="63" s="1"/>
  <c r="E170" i="37" a="1"/>
  <c r="E170" i="37" s="1"/>
  <c r="E170" i="63" s="1" a="1"/>
  <c r="E170" i="63" s="1"/>
  <c r="E167" i="37" a="1"/>
  <c r="E167" i="37" s="1"/>
  <c r="E167" i="63" s="1" a="1"/>
  <c r="E167" i="63" s="1"/>
  <c r="E169" i="37" a="1"/>
  <c r="E169" i="37" s="1"/>
  <c r="E169" i="63" s="1" a="1"/>
  <c r="E169" i="63" s="1"/>
  <c r="E168" i="37" a="1"/>
  <c r="E168" i="37" s="1"/>
  <c r="E168" i="63" s="1" a="1"/>
  <c r="E168" i="63" s="1"/>
  <c r="F122" i="37" a="1"/>
  <c r="F122" i="37" s="1"/>
  <c r="F122" i="63" s="1" a="1"/>
  <c r="F122" i="63" s="1"/>
  <c r="F125" i="37" a="1"/>
  <c r="F125" i="37" s="1"/>
  <c r="F125" i="63" s="1" a="1"/>
  <c r="F125" i="63" s="1"/>
  <c r="F123" i="37" a="1"/>
  <c r="F123" i="37" s="1"/>
  <c r="F123" i="63" s="1" a="1"/>
  <c r="F123" i="63" s="1"/>
  <c r="F124" i="37" a="1"/>
  <c r="F124" i="37" s="1"/>
  <c r="F124" i="63" s="1" a="1"/>
  <c r="F124" i="63" s="1"/>
  <c r="G47" i="37" a="1"/>
  <c r="G47" i="37" s="1"/>
  <c r="G47" i="63" s="1" a="1"/>
  <c r="G47" i="63" s="1"/>
  <c r="G50" i="37" a="1"/>
  <c r="G50" i="37" s="1"/>
  <c r="G50" i="63" s="1" a="1"/>
  <c r="G50" i="63" s="1"/>
  <c r="G48" i="37" a="1"/>
  <c r="G48" i="37" s="1"/>
  <c r="G48" i="63" s="1" a="1"/>
  <c r="G48" i="63" s="1"/>
  <c r="G49" i="37" a="1"/>
  <c r="G49" i="37" s="1"/>
  <c r="G49" i="63" s="1" a="1"/>
  <c r="G49" i="63" s="1"/>
  <c r="G204" i="37"/>
  <c r="G159" i="37" a="1"/>
  <c r="G159" i="37" s="1"/>
  <c r="G159" i="63" s="1" a="1"/>
  <c r="G159" i="63" s="1"/>
  <c r="G157" i="37" a="1"/>
  <c r="G157" i="37" s="1"/>
  <c r="G157" i="63" s="1" a="1"/>
  <c r="G157" i="63" s="1"/>
  <c r="G158" i="37" a="1"/>
  <c r="G158" i="37" s="1"/>
  <c r="G160" i="37" a="1"/>
  <c r="G160" i="37" s="1"/>
  <c r="AE150" i="37"/>
  <c r="AF151" i="37"/>
  <c r="AE85" i="37"/>
  <c r="AF86" i="37"/>
  <c r="AC20" i="37"/>
  <c r="AD21" i="37"/>
  <c r="I14" i="65"/>
  <c r="I25" i="65" s="1"/>
  <c r="E22" i="38"/>
  <c r="E23" i="38" s="1"/>
  <c r="E24" i="38" s="1"/>
  <c r="E25" i="38" s="1"/>
  <c r="E26" i="38" s="1"/>
  <c r="E27" i="38" s="1"/>
  <c r="J11" i="59"/>
  <c r="F11" i="59" s="1"/>
  <c r="I7" i="37"/>
  <c r="E13" i="59"/>
  <c r="I12" i="59"/>
  <c r="E12" i="59"/>
  <c r="J10" i="49" s="1"/>
  <c r="K10" i="49" s="1"/>
  <c r="L13" i="59"/>
  <c r="K13" i="59"/>
  <c r="J13" i="59"/>
  <c r="F13" i="59" s="1"/>
  <c r="M11" i="49" s="1"/>
  <c r="N11" i="49" s="1"/>
  <c r="O11" i="49" s="1"/>
  <c r="M7" i="54"/>
  <c r="L41" i="62" s="1"/>
  <c r="I12" i="65" s="1"/>
  <c r="I7" i="63"/>
  <c r="J8" i="49"/>
  <c r="K8" i="49" s="1"/>
  <c r="J28" i="49"/>
  <c r="K28" i="49" s="1"/>
  <c r="K10" i="59"/>
  <c r="J10" i="59"/>
  <c r="F10" i="59"/>
  <c r="M18" i="49" s="1"/>
  <c r="N18" i="49" s="1"/>
  <c r="O18" i="49" s="1"/>
  <c r="L10" i="59"/>
  <c r="H34" i="38"/>
  <c r="I34" i="38" s="1"/>
  <c r="G33" i="38"/>
  <c r="I5" i="64"/>
  <c r="I5" i="65"/>
  <c r="I35" i="65"/>
  <c r="K10" i="60"/>
  <c r="K9" i="60" s="1"/>
  <c r="I36" i="65"/>
  <c r="J6" i="65"/>
  <c r="H7" i="18"/>
  <c r="H6" i="18" s="1"/>
  <c r="I35" i="64"/>
  <c r="H29" i="18"/>
  <c r="H18" i="18" s="1"/>
  <c r="J6" i="64"/>
  <c r="I34" i="64"/>
  <c r="W128" i="63" l="1" a="1"/>
  <c r="W128" i="63" s="1"/>
  <c r="W183" i="63" a="1"/>
  <c r="W183" i="63" s="1"/>
  <c r="J183" i="63" a="1"/>
  <c r="J183" i="63" s="1"/>
  <c r="N128" i="63" a="1"/>
  <c r="N128" i="63" s="1"/>
  <c r="V128" i="63" a="1"/>
  <c r="V128" i="63" s="1"/>
  <c r="U128" i="63" a="1"/>
  <c r="U128" i="63" s="1"/>
  <c r="O128" i="63" a="1"/>
  <c r="O128" i="63" s="1"/>
  <c r="K183" i="63" a="1"/>
  <c r="K183" i="63" s="1"/>
  <c r="S118" i="63" a="1"/>
  <c r="S118" i="63" s="1"/>
  <c r="R128" i="63" a="1"/>
  <c r="R128" i="63" s="1"/>
  <c r="M128" i="63" a="1"/>
  <c r="M128" i="63" s="1"/>
  <c r="P128" i="63" a="1"/>
  <c r="P128" i="63" s="1"/>
  <c r="S183" i="63" a="1"/>
  <c r="S183" i="63" s="1"/>
  <c r="P183" i="63" a="1"/>
  <c r="P183" i="63" s="1"/>
  <c r="K128" i="63" a="1"/>
  <c r="K128" i="63" s="1"/>
  <c r="Q183" i="63" a="1"/>
  <c r="Q183" i="63" s="1"/>
  <c r="I118" i="63" a="1"/>
  <c r="I118" i="63" s="1"/>
  <c r="T128" i="63" a="1"/>
  <c r="T128" i="63" s="1"/>
  <c r="K118" i="63" a="1"/>
  <c r="K118" i="63" s="1"/>
  <c r="W193" i="63" a="1"/>
  <c r="W193" i="63" s="1"/>
  <c r="I193" i="63" a="1"/>
  <c r="I193" i="63" s="1"/>
  <c r="I128" i="63" a="1"/>
  <c r="I128" i="63" s="1"/>
  <c r="U118" i="63" a="1"/>
  <c r="U118" i="63" s="1"/>
  <c r="O193" i="63" a="1"/>
  <c r="O193" i="63" s="1"/>
  <c r="Q128" i="63" a="1"/>
  <c r="Q128" i="63" s="1"/>
  <c r="S128" i="63" a="1"/>
  <c r="S128" i="63" s="1"/>
  <c r="O31" i="49"/>
  <c r="S193" i="63" a="1"/>
  <c r="S193" i="63" s="1"/>
  <c r="T193" i="63" a="1"/>
  <c r="T193" i="63" s="1"/>
  <c r="U193" i="63" a="1"/>
  <c r="U193" i="63" s="1"/>
  <c r="M193" i="63" a="1"/>
  <c r="M193" i="63" s="1"/>
  <c r="V193" i="63" a="1"/>
  <c r="V193" i="63" s="1"/>
  <c r="K193" i="63" a="1"/>
  <c r="K193" i="63" s="1"/>
  <c r="L193" i="63" a="1"/>
  <c r="L193" i="63" s="1"/>
  <c r="U183" i="63" a="1"/>
  <c r="U183" i="63" s="1"/>
  <c r="X193" i="63" a="1"/>
  <c r="X193" i="63" s="1"/>
  <c r="O20" i="49"/>
  <c r="M118" i="63" a="1"/>
  <c r="M118" i="63" s="1"/>
  <c r="N118" i="63" a="1"/>
  <c r="N118" i="63" s="1"/>
  <c r="V118" i="63" a="1"/>
  <c r="V118" i="63" s="1"/>
  <c r="R118" i="63" a="1"/>
  <c r="R118" i="63" s="1"/>
  <c r="J193" i="63" a="1"/>
  <c r="J193" i="63" s="1"/>
  <c r="J128" i="63" a="1"/>
  <c r="J128" i="63" s="1"/>
  <c r="O183" i="63" a="1"/>
  <c r="O183" i="63" s="1"/>
  <c r="R193" i="63" a="1"/>
  <c r="R193" i="63" s="1"/>
  <c r="O118" i="63" a="1"/>
  <c r="O118" i="63" s="1"/>
  <c r="N193" i="63" a="1"/>
  <c r="N193" i="63" s="1"/>
  <c r="L128" i="63" a="1"/>
  <c r="L128" i="63" s="1"/>
  <c r="I183" i="63" a="1"/>
  <c r="I183" i="63" s="1"/>
  <c r="R183" i="63" a="1"/>
  <c r="R183" i="63" s="1"/>
  <c r="L118" i="63" a="1"/>
  <c r="L118" i="63" s="1"/>
  <c r="L183" i="63" a="1"/>
  <c r="L183" i="63" s="1"/>
  <c r="N183" i="63" a="1"/>
  <c r="N183" i="63" s="1"/>
  <c r="V183" i="63" a="1"/>
  <c r="V183" i="63" s="1"/>
  <c r="P118" i="63" a="1"/>
  <c r="P118" i="63" s="1"/>
  <c r="P193" i="63" a="1"/>
  <c r="P193" i="63" s="1"/>
  <c r="T118" i="63" a="1"/>
  <c r="T118" i="63" s="1"/>
  <c r="T183" i="63" a="1"/>
  <c r="T183" i="63" s="1"/>
  <c r="M183" i="63" a="1"/>
  <c r="M183" i="63" s="1"/>
  <c r="J118" i="63" a="1"/>
  <c r="J118" i="63" s="1"/>
  <c r="X173" i="37" a="1"/>
  <c r="X173" i="37" s="1"/>
  <c r="X118" i="37" a="1"/>
  <c r="X118" i="37" s="1"/>
  <c r="X88" i="37" a="1"/>
  <c r="X88" i="37" s="1"/>
  <c r="X23" i="37" a="1"/>
  <c r="X23" i="37" s="1"/>
  <c r="X128" i="37" a="1"/>
  <c r="X128" i="37" s="1"/>
  <c r="X183" i="37" a="1"/>
  <c r="X183" i="37" s="1"/>
  <c r="X98" i="37" a="1"/>
  <c r="X98" i="37" s="1"/>
  <c r="X153" i="37" a="1"/>
  <c r="X153" i="37" s="1"/>
  <c r="X118" i="63" a="1"/>
  <c r="X118" i="63" s="1"/>
  <c r="X183" i="63" a="1"/>
  <c r="X183" i="63" s="1"/>
  <c r="X153" i="63" a="1"/>
  <c r="X153" i="63" s="1"/>
  <c r="X128" i="63" a="1"/>
  <c r="X128" i="63" s="1"/>
  <c r="X88" i="63" a="1"/>
  <c r="X88" i="63" s="1"/>
  <c r="X108" i="37" a="1"/>
  <c r="X108" i="37" s="1"/>
  <c r="X108" i="63" a="1"/>
  <c r="X108" i="63" s="1"/>
  <c r="W98" i="63" a="1"/>
  <c r="W98" i="63" s="1"/>
  <c r="O98" i="63" a="1"/>
  <c r="O98" i="63" s="1"/>
  <c r="V98" i="63" a="1"/>
  <c r="V98" i="63" s="1"/>
  <c r="N98" i="63" a="1"/>
  <c r="N98" i="63" s="1"/>
  <c r="U98" i="63" a="1"/>
  <c r="U98" i="63" s="1"/>
  <c r="M98" i="63" a="1"/>
  <c r="M98" i="63" s="1"/>
  <c r="T98" i="63" a="1"/>
  <c r="T98" i="63" s="1"/>
  <c r="L98" i="63" a="1"/>
  <c r="L98" i="63" s="1"/>
  <c r="S98" i="63" a="1"/>
  <c r="S98" i="63" s="1"/>
  <c r="K98" i="63" a="1"/>
  <c r="K98" i="63" s="1"/>
  <c r="R98" i="63" a="1"/>
  <c r="R98" i="63" s="1"/>
  <c r="J98" i="63" a="1"/>
  <c r="J98" i="63" s="1"/>
  <c r="Q98" i="63" a="1"/>
  <c r="Q98" i="63" s="1"/>
  <c r="I98" i="63" a="1"/>
  <c r="I98" i="63" s="1"/>
  <c r="X98" i="63" a="1"/>
  <c r="X98" i="63" s="1"/>
  <c r="P98" i="63" a="1"/>
  <c r="P98" i="63" s="1"/>
  <c r="F80" i="63"/>
  <c r="H139" i="63"/>
  <c r="G207" i="63"/>
  <c r="G209" i="63"/>
  <c r="E145" i="63"/>
  <c r="F207" i="63"/>
  <c r="E80" i="63"/>
  <c r="F78" i="63"/>
  <c r="G144" i="63"/>
  <c r="F142" i="63"/>
  <c r="G208" i="37"/>
  <c r="G158" i="63" a="1"/>
  <c r="G158" i="63" s="1"/>
  <c r="G208" i="63" s="1"/>
  <c r="I194" i="63"/>
  <c r="I184" i="63"/>
  <c r="I174" i="63"/>
  <c r="I164" i="63"/>
  <c r="I154" i="63"/>
  <c r="I129" i="63"/>
  <c r="I119" i="63"/>
  <c r="I109" i="63"/>
  <c r="I99" i="63"/>
  <c r="I89" i="63"/>
  <c r="I64" i="63"/>
  <c r="I34" i="63"/>
  <c r="I54" i="63"/>
  <c r="I24" i="63"/>
  <c r="I44" i="63"/>
  <c r="E209" i="63"/>
  <c r="E79" i="63"/>
  <c r="F77" i="63"/>
  <c r="G142" i="63"/>
  <c r="F145" i="63"/>
  <c r="E207" i="63"/>
  <c r="G79" i="63"/>
  <c r="E78" i="63"/>
  <c r="G145" i="63"/>
  <c r="H204" i="63"/>
  <c r="F144" i="63"/>
  <c r="E208" i="63"/>
  <c r="G78" i="63"/>
  <c r="F79" i="63"/>
  <c r="F210" i="63"/>
  <c r="H74" i="63"/>
  <c r="X23" i="63" a="1"/>
  <c r="X23" i="63" s="1"/>
  <c r="E210" i="63"/>
  <c r="G77" i="63"/>
  <c r="F208" i="63"/>
  <c r="E143" i="63"/>
  <c r="G143" i="63"/>
  <c r="G80" i="63"/>
  <c r="F209" i="63"/>
  <c r="E144" i="63"/>
  <c r="E77" i="63"/>
  <c r="G210" i="37"/>
  <c r="G160" i="63" a="1"/>
  <c r="G160" i="63" s="1"/>
  <c r="G210" i="63" s="1"/>
  <c r="E142" i="63"/>
  <c r="F143" i="63"/>
  <c r="C26" i="55"/>
  <c r="Y118" i="63" s="1" a="1"/>
  <c r="Y118" i="63" s="1"/>
  <c r="X173" i="63" a="1"/>
  <c r="X173" i="63" s="1"/>
  <c r="AF21" i="63"/>
  <c r="AE20" i="63"/>
  <c r="AG151" i="63"/>
  <c r="AF150" i="63"/>
  <c r="G80" i="37"/>
  <c r="F209" i="37"/>
  <c r="AD85" i="63"/>
  <c r="AE86" i="63"/>
  <c r="G207" i="37"/>
  <c r="F207" i="37"/>
  <c r="H139" i="37"/>
  <c r="H95" i="37" a="1"/>
  <c r="H95" i="37" s="1"/>
  <c r="H95" i="63" s="1" a="1"/>
  <c r="H95" i="63" s="1"/>
  <c r="H94" i="37" a="1"/>
  <c r="H94" i="37" s="1"/>
  <c r="H94" i="63" s="1" a="1"/>
  <c r="H94" i="63" s="1"/>
  <c r="H93" i="37" a="1"/>
  <c r="H93" i="37" s="1"/>
  <c r="H93" i="63" s="1" a="1"/>
  <c r="H93" i="63" s="1"/>
  <c r="H92" i="37" a="1"/>
  <c r="H92" i="37" s="1"/>
  <c r="H92" i="63" s="1" a="1"/>
  <c r="H92" i="63" s="1"/>
  <c r="H188" i="37" a="1"/>
  <c r="H188" i="37" s="1"/>
  <c r="H188" i="63" s="1" a="1"/>
  <c r="H188" i="63" s="1"/>
  <c r="H189" i="63" a="1"/>
  <c r="H189" i="63" s="1"/>
  <c r="H190" i="37" a="1"/>
  <c r="H190" i="37" s="1"/>
  <c r="H190" i="63" s="1" a="1"/>
  <c r="H190" i="63" s="1"/>
  <c r="H187" i="37" a="1"/>
  <c r="H187" i="37" s="1"/>
  <c r="H187" i="63" s="1" a="1"/>
  <c r="H187" i="63" s="1"/>
  <c r="G209" i="37"/>
  <c r="E209" i="37"/>
  <c r="E77" i="37"/>
  <c r="G143" i="37"/>
  <c r="H104" i="37" a="1"/>
  <c r="H104" i="37" s="1"/>
  <c r="H104" i="63" s="1" a="1"/>
  <c r="H104" i="63" s="1"/>
  <c r="H105" i="37" a="1"/>
  <c r="H105" i="37" s="1"/>
  <c r="H105" i="63" s="1" a="1"/>
  <c r="H105" i="63" s="1"/>
  <c r="H102" i="37" a="1"/>
  <c r="H102" i="37" s="1"/>
  <c r="H102" i="63" s="1" a="1"/>
  <c r="H102" i="63" s="1"/>
  <c r="H103" i="37" a="1"/>
  <c r="H103" i="37" s="1"/>
  <c r="H103" i="63" s="1" a="1"/>
  <c r="H103" i="63" s="1"/>
  <c r="H200" i="37" a="1"/>
  <c r="H200" i="37" s="1"/>
  <c r="H200" i="63" s="1" a="1"/>
  <c r="H200" i="63" s="1"/>
  <c r="H197" i="37" a="1"/>
  <c r="H197" i="37" s="1"/>
  <c r="H197" i="63" s="1" a="1"/>
  <c r="H197" i="63" s="1"/>
  <c r="H199" i="37" a="1"/>
  <c r="H199" i="37" s="1"/>
  <c r="H199" i="63" s="1" a="1"/>
  <c r="H199" i="63" s="1"/>
  <c r="H198" i="37" a="1"/>
  <c r="H198" i="37" s="1"/>
  <c r="H198" i="63" s="1" a="1"/>
  <c r="H198" i="63" s="1"/>
  <c r="E207" i="37"/>
  <c r="E80" i="37"/>
  <c r="F78" i="37"/>
  <c r="G144" i="37"/>
  <c r="H113" i="37" a="1"/>
  <c r="H113" i="37" s="1"/>
  <c r="H113" i="63" s="1" a="1"/>
  <c r="H113" i="63" s="1"/>
  <c r="H115" i="37" a="1"/>
  <c r="H115" i="37" s="1"/>
  <c r="H115" i="63" s="1" a="1"/>
  <c r="H115" i="63" s="1"/>
  <c r="H114" i="37" a="1"/>
  <c r="H114" i="37" s="1"/>
  <c r="H114" i="63" s="1" a="1"/>
  <c r="H114" i="63" s="1"/>
  <c r="H112" i="37" a="1"/>
  <c r="H112" i="37" s="1"/>
  <c r="H112" i="63" s="1" a="1"/>
  <c r="H112" i="63" s="1"/>
  <c r="E143" i="37"/>
  <c r="E208" i="37"/>
  <c r="E79" i="37"/>
  <c r="F77" i="37"/>
  <c r="G142" i="37"/>
  <c r="H74" i="37"/>
  <c r="H27" i="37" a="1"/>
  <c r="H27" i="37" s="1"/>
  <c r="H27" i="63" s="1" a="1"/>
  <c r="H27" i="63" s="1"/>
  <c r="H28" i="37" a="1"/>
  <c r="H28" i="37" s="1"/>
  <c r="H28" i="63" s="1" a="1"/>
  <c r="H28" i="63" s="1"/>
  <c r="H29" i="37" a="1"/>
  <c r="H29" i="37" s="1"/>
  <c r="H29" i="63" s="1" a="1"/>
  <c r="H29" i="63" s="1"/>
  <c r="H30" i="37" a="1"/>
  <c r="H30" i="37" s="1"/>
  <c r="H30" i="63" s="1" a="1"/>
  <c r="H30" i="63" s="1"/>
  <c r="H123" i="37" a="1"/>
  <c r="H123" i="37" s="1"/>
  <c r="H123" i="63" s="1" a="1"/>
  <c r="H123" i="63" s="1"/>
  <c r="H124" i="37" a="1"/>
  <c r="H124" i="37" s="1"/>
  <c r="H124" i="63" s="1" a="1"/>
  <c r="H124" i="63" s="1"/>
  <c r="H122" i="37" a="1"/>
  <c r="H122" i="37" s="1"/>
  <c r="H122" i="63" s="1" a="1"/>
  <c r="H122" i="63" s="1"/>
  <c r="H125" i="37" a="1"/>
  <c r="H125" i="37" s="1"/>
  <c r="H125" i="63" s="1" a="1"/>
  <c r="H125" i="63" s="1"/>
  <c r="E144" i="37"/>
  <c r="F145" i="37"/>
  <c r="X53" i="37" a="1"/>
  <c r="X53" i="37" s="1"/>
  <c r="T53" i="37" a="1"/>
  <c r="T53" i="37" s="1"/>
  <c r="P53" i="37" a="1"/>
  <c r="P53" i="37" s="1"/>
  <c r="V53" i="37" a="1"/>
  <c r="V53" i="37" s="1"/>
  <c r="R53" i="37" a="1"/>
  <c r="R53" i="37" s="1"/>
  <c r="U53" i="37" a="1"/>
  <c r="U53" i="37" s="1"/>
  <c r="Q53" i="37" a="1"/>
  <c r="Q53" i="37" s="1"/>
  <c r="M53" i="37" a="1"/>
  <c r="M53" i="37" s="1"/>
  <c r="W53" i="37" a="1"/>
  <c r="W53" i="37" s="1"/>
  <c r="K53" i="37" a="1"/>
  <c r="K53" i="37" s="1"/>
  <c r="J53" i="37" a="1"/>
  <c r="J53" i="37" s="1"/>
  <c r="S53" i="37" a="1"/>
  <c r="S53" i="37" s="1"/>
  <c r="I53" i="37" a="1"/>
  <c r="I53" i="37" s="1"/>
  <c r="O53" i="37" a="1"/>
  <c r="O53" i="37" s="1"/>
  <c r="H53" i="37" a="1"/>
  <c r="H53" i="37" s="1"/>
  <c r="H53" i="63" s="1" a="1"/>
  <c r="H53" i="63" s="1"/>
  <c r="N53" i="37" a="1"/>
  <c r="N53" i="37" s="1"/>
  <c r="G53" i="37" a="1"/>
  <c r="G53" i="37" s="1"/>
  <c r="G53" i="63" s="1" a="1"/>
  <c r="G53" i="63" s="1"/>
  <c r="F53" i="37" a="1"/>
  <c r="F53" i="37" s="1"/>
  <c r="F53" i="63" s="1" a="1"/>
  <c r="F53" i="63" s="1"/>
  <c r="L53" i="37" a="1"/>
  <c r="L53" i="37" s="1"/>
  <c r="E53" i="37" a="1"/>
  <c r="E53" i="37" s="1"/>
  <c r="E53" i="63" s="1" a="1"/>
  <c r="E53" i="63" s="1"/>
  <c r="E210" i="37"/>
  <c r="G79" i="37"/>
  <c r="E78" i="37"/>
  <c r="F80" i="37"/>
  <c r="G145" i="37"/>
  <c r="H38" i="37" a="1"/>
  <c r="H38" i="37" s="1"/>
  <c r="H38" i="63" s="1" a="1"/>
  <c r="H38" i="63" s="1"/>
  <c r="H39" i="37" a="1"/>
  <c r="H39" i="37" s="1"/>
  <c r="H39" i="63" s="1" a="1"/>
  <c r="H39" i="63" s="1"/>
  <c r="H40" i="37" a="1"/>
  <c r="H40" i="37" s="1"/>
  <c r="H40" i="63" s="1" a="1"/>
  <c r="H40" i="63" s="1"/>
  <c r="H37" i="37" a="1"/>
  <c r="H37" i="37" s="1"/>
  <c r="H37" i="63" s="1" a="1"/>
  <c r="H37" i="63" s="1"/>
  <c r="H134" i="37" a="1"/>
  <c r="H134" i="37" s="1"/>
  <c r="H134" i="63" s="1" a="1"/>
  <c r="H134" i="63" s="1"/>
  <c r="H135" i="37" a="1"/>
  <c r="H135" i="37" s="1"/>
  <c r="H135" i="63" s="1" a="1"/>
  <c r="H135" i="63" s="1"/>
  <c r="H133" i="37" a="1"/>
  <c r="H133" i="37" s="1"/>
  <c r="H133" i="63" s="1" a="1"/>
  <c r="H133" i="63" s="1"/>
  <c r="H132" i="37" a="1"/>
  <c r="H132" i="37" s="1"/>
  <c r="H132" i="63" s="1" a="1"/>
  <c r="H132" i="63" s="1"/>
  <c r="E142" i="37"/>
  <c r="F143" i="37"/>
  <c r="H169" i="37" a="1"/>
  <c r="H169" i="37" s="1"/>
  <c r="H169" i="63" s="1" a="1"/>
  <c r="H169" i="63" s="1"/>
  <c r="H168" i="37" a="1"/>
  <c r="H168" i="37" s="1"/>
  <c r="H168" i="63" s="1" a="1"/>
  <c r="H168" i="63" s="1"/>
  <c r="H170" i="37" a="1"/>
  <c r="H170" i="37" s="1"/>
  <c r="H170" i="63" s="1" a="1"/>
  <c r="H170" i="63" s="1"/>
  <c r="H167" i="37" a="1"/>
  <c r="H167" i="37" s="1"/>
  <c r="H167" i="63" s="1" a="1"/>
  <c r="H167" i="63" s="1"/>
  <c r="U163" i="37" a="1"/>
  <c r="U163" i="37" s="1"/>
  <c r="O163" i="37" a="1"/>
  <c r="O163" i="37" s="1"/>
  <c r="N163" i="37" a="1"/>
  <c r="N163" i="37" s="1"/>
  <c r="H163" i="37" a="1"/>
  <c r="H163" i="37" s="1"/>
  <c r="H163" i="63" s="1" a="1"/>
  <c r="H163" i="63" s="1"/>
  <c r="T163" i="37" a="1"/>
  <c r="T163" i="37" s="1"/>
  <c r="M163" i="37" a="1"/>
  <c r="M163" i="37" s="1"/>
  <c r="G163" i="37" a="1"/>
  <c r="G163" i="37" s="1"/>
  <c r="G163" i="63" s="1" a="1"/>
  <c r="G163" i="63" s="1"/>
  <c r="S163" i="37" a="1"/>
  <c r="S163" i="37" s="1"/>
  <c r="F163" i="37" a="1"/>
  <c r="F163" i="37" s="1"/>
  <c r="F163" i="63" s="1" a="1"/>
  <c r="F163" i="63" s="1"/>
  <c r="R163" i="37" a="1"/>
  <c r="R163" i="37" s="1"/>
  <c r="L163" i="37" a="1"/>
  <c r="L163" i="37" s="1"/>
  <c r="E163" i="37" a="1"/>
  <c r="E163" i="37" s="1"/>
  <c r="E163" i="63" s="1" a="1"/>
  <c r="E163" i="63" s="1"/>
  <c r="X163" i="37" a="1"/>
  <c r="X163" i="37" s="1"/>
  <c r="Q163" i="37" a="1"/>
  <c r="Q163" i="37" s="1"/>
  <c r="K163" i="37" a="1"/>
  <c r="K163" i="37" s="1"/>
  <c r="W163" i="37" a="1"/>
  <c r="W163" i="37" s="1"/>
  <c r="J163" i="37" a="1"/>
  <c r="J163" i="37" s="1"/>
  <c r="V163" i="37" a="1"/>
  <c r="V163" i="37" s="1"/>
  <c r="P163" i="37" a="1"/>
  <c r="P163" i="37" s="1"/>
  <c r="I163" i="37" a="1"/>
  <c r="I163" i="37" s="1"/>
  <c r="G78" i="37"/>
  <c r="F79" i="37"/>
  <c r="F210" i="37"/>
  <c r="H48" i="37" a="1"/>
  <c r="H48" i="37" s="1"/>
  <c r="H48" i="63" s="1" a="1"/>
  <c r="H48" i="63" s="1"/>
  <c r="H49" i="37" a="1"/>
  <c r="H49" i="37" s="1"/>
  <c r="H49" i="63" s="1" a="1"/>
  <c r="H49" i="63" s="1"/>
  <c r="H47" i="37" a="1"/>
  <c r="H47" i="37" s="1"/>
  <c r="H47" i="63" s="1" a="1"/>
  <c r="H47" i="63" s="1"/>
  <c r="H50" i="37" a="1"/>
  <c r="H50" i="37" s="1"/>
  <c r="H50" i="63" s="1" a="1"/>
  <c r="H50" i="63" s="1"/>
  <c r="H204" i="37"/>
  <c r="H159" i="37" a="1"/>
  <c r="H159" i="37" s="1"/>
  <c r="H159" i="63" s="1" a="1"/>
  <c r="H159" i="63" s="1"/>
  <c r="H157" i="37" a="1"/>
  <c r="H157" i="37" s="1"/>
  <c r="H157" i="63" s="1" a="1"/>
  <c r="H157" i="63" s="1"/>
  <c r="H160" i="37" a="1"/>
  <c r="H160" i="37" s="1"/>
  <c r="H160" i="63" s="1" a="1"/>
  <c r="H160" i="63" s="1"/>
  <c r="H158" i="37" a="1"/>
  <c r="H158" i="37" s="1"/>
  <c r="H158" i="63" s="1" a="1"/>
  <c r="H158" i="63" s="1"/>
  <c r="E145" i="37"/>
  <c r="F144" i="37"/>
  <c r="I194" i="37"/>
  <c r="I184" i="37"/>
  <c r="I174" i="37"/>
  <c r="I154" i="37"/>
  <c r="I164" i="37"/>
  <c r="I129" i="37"/>
  <c r="I119" i="37"/>
  <c r="I109" i="37"/>
  <c r="I99" i="37"/>
  <c r="I89" i="37"/>
  <c r="I64" i="37"/>
  <c r="I54" i="37"/>
  <c r="I44" i="37"/>
  <c r="I34" i="37"/>
  <c r="I24" i="37"/>
  <c r="H68" i="37" a="1"/>
  <c r="H68" i="37" s="1"/>
  <c r="H68" i="63" s="1" a="1"/>
  <c r="H68" i="63" s="1"/>
  <c r="H69" i="37" a="1"/>
  <c r="H69" i="37" s="1"/>
  <c r="H69" i="63" s="1" a="1"/>
  <c r="H69" i="63" s="1"/>
  <c r="H70" i="37" a="1"/>
  <c r="H70" i="37" s="1"/>
  <c r="H70" i="63" s="1" a="1"/>
  <c r="H70" i="63" s="1"/>
  <c r="H67" i="37" a="1"/>
  <c r="H67" i="37" s="1"/>
  <c r="H67" i="63" s="1" a="1"/>
  <c r="H67" i="63" s="1"/>
  <c r="X33" i="37" a="1"/>
  <c r="X33" i="37" s="1"/>
  <c r="T33" i="37" a="1"/>
  <c r="T33" i="37" s="1"/>
  <c r="P33" i="37" a="1"/>
  <c r="P33" i="37" s="1"/>
  <c r="L33" i="37" a="1"/>
  <c r="L33" i="37" s="1"/>
  <c r="H33" i="37" a="1"/>
  <c r="H33" i="37" s="1"/>
  <c r="H33" i="63" s="1" a="1"/>
  <c r="H33" i="63" s="1"/>
  <c r="W33" i="37" a="1"/>
  <c r="W33" i="37" s="1"/>
  <c r="S33" i="37" a="1"/>
  <c r="S33" i="37" s="1"/>
  <c r="O33" i="37" a="1"/>
  <c r="O33" i="37" s="1"/>
  <c r="K33" i="37" a="1"/>
  <c r="K33" i="37" s="1"/>
  <c r="G33" i="37" a="1"/>
  <c r="G33" i="37" s="1"/>
  <c r="G33" i="63" s="1" a="1"/>
  <c r="G33" i="63" s="1"/>
  <c r="V33" i="37" a="1"/>
  <c r="V33" i="37" s="1"/>
  <c r="R33" i="37" a="1"/>
  <c r="R33" i="37" s="1"/>
  <c r="N33" i="37" a="1"/>
  <c r="N33" i="37" s="1"/>
  <c r="J33" i="37" a="1"/>
  <c r="J33" i="37" s="1"/>
  <c r="F33" i="37" a="1"/>
  <c r="F33" i="37" s="1"/>
  <c r="F33" i="63" s="1" a="1"/>
  <c r="F33" i="63" s="1"/>
  <c r="U33" i="37" a="1"/>
  <c r="U33" i="37" s="1"/>
  <c r="Q33" i="37" a="1"/>
  <c r="Q33" i="37" s="1"/>
  <c r="M33" i="37" a="1"/>
  <c r="M33" i="37" s="1"/>
  <c r="I33" i="37" a="1"/>
  <c r="I33" i="37" s="1"/>
  <c r="E33" i="37" a="1"/>
  <c r="E33" i="37" s="1"/>
  <c r="E33" i="63" s="1" a="1"/>
  <c r="E33" i="63" s="1"/>
  <c r="G77" i="37"/>
  <c r="F208" i="37"/>
  <c r="H58" i="37" a="1"/>
  <c r="H58" i="37" s="1"/>
  <c r="H58" i="63" s="1" a="1"/>
  <c r="H58" i="63" s="1"/>
  <c r="H59" i="37" a="1"/>
  <c r="H59" i="37" s="1"/>
  <c r="H59" i="63" s="1" a="1"/>
  <c r="H59" i="63" s="1"/>
  <c r="H60" i="37" a="1"/>
  <c r="H60" i="37" s="1"/>
  <c r="H60" i="63" s="1" a="1"/>
  <c r="H60" i="63" s="1"/>
  <c r="H57" i="37" a="1"/>
  <c r="H57" i="37" s="1"/>
  <c r="H57" i="63" s="1" a="1"/>
  <c r="H57" i="63" s="1"/>
  <c r="H177" i="37" a="1"/>
  <c r="H177" i="37" s="1"/>
  <c r="H177" i="63" s="1" a="1"/>
  <c r="H177" i="63" s="1"/>
  <c r="H180" i="37" a="1"/>
  <c r="H180" i="37" s="1"/>
  <c r="H180" i="63" s="1" a="1"/>
  <c r="H180" i="63" s="1"/>
  <c r="H178" i="37" a="1"/>
  <c r="H178" i="37" s="1"/>
  <c r="H178" i="63" s="1" a="1"/>
  <c r="H178" i="63" s="1"/>
  <c r="H179" i="37" a="1"/>
  <c r="H179" i="37" s="1"/>
  <c r="H179" i="63" s="1" a="1"/>
  <c r="H179" i="63" s="1"/>
  <c r="F142" i="37"/>
  <c r="AG86" i="37"/>
  <c r="AF85" i="37"/>
  <c r="AF150" i="37"/>
  <c r="AG151" i="37"/>
  <c r="AD20" i="37"/>
  <c r="AE21" i="37"/>
  <c r="G8" i="63"/>
  <c r="M9" i="49"/>
  <c r="N9" i="49" s="1"/>
  <c r="E8" i="63"/>
  <c r="F8" i="65" s="1"/>
  <c r="E8" i="37"/>
  <c r="F8" i="64" s="1"/>
  <c r="G41" i="62"/>
  <c r="J7" i="37"/>
  <c r="J41" i="62"/>
  <c r="J9" i="49"/>
  <c r="K9" i="49" s="1"/>
  <c r="J11" i="49"/>
  <c r="K11" i="49" s="1"/>
  <c r="C23" i="12"/>
  <c r="I41" i="62"/>
  <c r="H41" i="62"/>
  <c r="K41" i="62"/>
  <c r="G23" i="78"/>
  <c r="M41" i="62"/>
  <c r="F41" i="62"/>
  <c r="E41" i="62"/>
  <c r="K12" i="59"/>
  <c r="J12" i="59"/>
  <c r="F12" i="59" s="1"/>
  <c r="M10" i="49" s="1"/>
  <c r="N10" i="49" s="1"/>
  <c r="O10" i="49" s="1"/>
  <c r="F8" i="63"/>
  <c r="G8" i="37"/>
  <c r="H8" i="64" s="1"/>
  <c r="F8" i="37"/>
  <c r="G8" i="64" s="1"/>
  <c r="J7" i="63"/>
  <c r="M8" i="49"/>
  <c r="N8" i="49" s="1"/>
  <c r="O8" i="49" s="1"/>
  <c r="M28" i="49"/>
  <c r="N28" i="49" s="1"/>
  <c r="O28" i="49" s="1"/>
  <c r="H33" i="38"/>
  <c r="I33" i="38"/>
  <c r="J5" i="64"/>
  <c r="E28" i="38"/>
  <c r="J5" i="65"/>
  <c r="J36" i="65"/>
  <c r="L10" i="60"/>
  <c r="L9" i="60" s="1"/>
  <c r="J35" i="65"/>
  <c r="K6" i="65"/>
  <c r="I7" i="18"/>
  <c r="I6" i="18" s="1"/>
  <c r="J34" i="38"/>
  <c r="I29" i="18"/>
  <c r="I18" i="18" s="1"/>
  <c r="J34" i="64"/>
  <c r="K6" i="64"/>
  <c r="J35" i="64"/>
  <c r="Y163" i="37" l="1" a="1"/>
  <c r="Y163" i="37" s="1"/>
  <c r="Y53" i="37" a="1"/>
  <c r="Y53" i="37" s="1"/>
  <c r="Y33" i="37" a="1"/>
  <c r="Y33" i="37" s="1"/>
  <c r="S53" i="63" a="1"/>
  <c r="S53" i="63" s="1"/>
  <c r="K53" i="63" a="1"/>
  <c r="K53" i="63" s="1"/>
  <c r="X163" i="63" a="1"/>
  <c r="X163" i="63" s="1"/>
  <c r="P163" i="63" a="1"/>
  <c r="P163" i="63" s="1"/>
  <c r="R33" i="63" a="1"/>
  <c r="R33" i="63" s="1"/>
  <c r="J33" i="63" a="1"/>
  <c r="J33" i="63" s="1"/>
  <c r="R53" i="63" a="1"/>
  <c r="R53" i="63" s="1"/>
  <c r="J53" i="63" a="1"/>
  <c r="J53" i="63" s="1"/>
  <c r="W163" i="63" a="1"/>
  <c r="W163" i="63" s="1"/>
  <c r="O163" i="63" a="1"/>
  <c r="O163" i="63" s="1"/>
  <c r="Q33" i="63" a="1"/>
  <c r="Q33" i="63" s="1"/>
  <c r="I33" i="63" a="1"/>
  <c r="I33" i="63" s="1"/>
  <c r="Q53" i="63" a="1"/>
  <c r="Q53" i="63" s="1"/>
  <c r="I53" i="63" a="1"/>
  <c r="I53" i="63" s="1"/>
  <c r="V163" i="63" a="1"/>
  <c r="V163" i="63" s="1"/>
  <c r="N163" i="63" a="1"/>
  <c r="N163" i="63" s="1"/>
  <c r="X33" i="63" a="1"/>
  <c r="X33" i="63" s="1"/>
  <c r="P33" i="63" a="1"/>
  <c r="P33" i="63" s="1"/>
  <c r="X53" i="63" a="1"/>
  <c r="X53" i="63" s="1"/>
  <c r="P53" i="63" a="1"/>
  <c r="P53" i="63" s="1"/>
  <c r="U163" i="63" a="1"/>
  <c r="U163" i="63" s="1"/>
  <c r="M163" i="63" a="1"/>
  <c r="M163" i="63" s="1"/>
  <c r="W33" i="63" a="1"/>
  <c r="W33" i="63" s="1"/>
  <c r="O33" i="63" a="1"/>
  <c r="O33" i="63" s="1"/>
  <c r="W53" i="63" a="1"/>
  <c r="W53" i="63" s="1"/>
  <c r="O53" i="63" a="1"/>
  <c r="O53" i="63" s="1"/>
  <c r="T163" i="63" a="1"/>
  <c r="T163" i="63" s="1"/>
  <c r="L163" i="63" a="1"/>
  <c r="L163" i="63" s="1"/>
  <c r="V33" i="63" a="1"/>
  <c r="V33" i="63" s="1"/>
  <c r="N33" i="63" a="1"/>
  <c r="N33" i="63" s="1"/>
  <c r="V53" i="63" a="1"/>
  <c r="V53" i="63" s="1"/>
  <c r="N53" i="63" a="1"/>
  <c r="N53" i="63" s="1"/>
  <c r="S163" i="63" a="1"/>
  <c r="S163" i="63" s="1"/>
  <c r="K163" i="63" a="1"/>
  <c r="K163" i="63" s="1"/>
  <c r="U33" i="63" a="1"/>
  <c r="U33" i="63" s="1"/>
  <c r="M33" i="63" a="1"/>
  <c r="M33" i="63" s="1"/>
  <c r="U53" i="63" a="1"/>
  <c r="U53" i="63" s="1"/>
  <c r="M53" i="63" a="1"/>
  <c r="M53" i="63" s="1"/>
  <c r="R163" i="63" a="1"/>
  <c r="R163" i="63" s="1"/>
  <c r="J163" i="63" a="1"/>
  <c r="J163" i="63" s="1"/>
  <c r="T33" i="63" a="1"/>
  <c r="T33" i="63" s="1"/>
  <c r="L33" i="63" a="1"/>
  <c r="L33" i="63" s="1"/>
  <c r="T53" i="63" a="1"/>
  <c r="T53" i="63" s="1"/>
  <c r="L53" i="63" a="1"/>
  <c r="L53" i="63" s="1"/>
  <c r="Q163" i="63" a="1"/>
  <c r="Q163" i="63" s="1"/>
  <c r="I163" i="63" a="1"/>
  <c r="I163" i="63" s="1"/>
  <c r="S33" i="63" a="1"/>
  <c r="S33" i="63" s="1"/>
  <c r="K33" i="63" a="1"/>
  <c r="K33" i="63" s="1"/>
  <c r="Y53" i="63" a="1"/>
  <c r="Y53" i="63" s="1"/>
  <c r="H209" i="63"/>
  <c r="H80" i="63"/>
  <c r="Y108" i="63" a="1"/>
  <c r="Y108" i="63" s="1"/>
  <c r="H78" i="63"/>
  <c r="H79" i="63"/>
  <c r="I112" i="63" a="1"/>
  <c r="I112" i="63" s="1"/>
  <c r="I113" i="63" a="1"/>
  <c r="I113" i="63" s="1"/>
  <c r="I114" i="63" a="1"/>
  <c r="I114" i="63" s="1"/>
  <c r="I115" i="63" a="1"/>
  <c r="I115" i="63" s="1"/>
  <c r="I197" i="63" a="1"/>
  <c r="I197" i="63" s="1"/>
  <c r="I198" i="63" a="1"/>
  <c r="I198" i="63" s="1"/>
  <c r="I199" i="63" a="1"/>
  <c r="I199" i="63" s="1"/>
  <c r="I200" i="63" a="1"/>
  <c r="I200" i="63" s="1"/>
  <c r="I125" i="63" a="1"/>
  <c r="I125" i="63" s="1"/>
  <c r="I124" i="63" a="1"/>
  <c r="I124" i="63" s="1"/>
  <c r="I122" i="63" a="1"/>
  <c r="I122" i="63" s="1"/>
  <c r="I123" i="63" a="1"/>
  <c r="I123" i="63" s="1"/>
  <c r="H77" i="63"/>
  <c r="H142" i="63"/>
  <c r="I74" i="63"/>
  <c r="I27" i="63" a="1"/>
  <c r="I27" i="63" s="1"/>
  <c r="I29" i="63" a="1"/>
  <c r="I29" i="63" s="1"/>
  <c r="I28" i="63" a="1"/>
  <c r="I28" i="63" s="1"/>
  <c r="I30" i="63" a="1"/>
  <c r="I30" i="63" s="1"/>
  <c r="I133" i="63" a="1"/>
  <c r="I133" i="63" s="1"/>
  <c r="I135" i="63" a="1"/>
  <c r="I135" i="63" s="1"/>
  <c r="I132" i="63" a="1"/>
  <c r="I132" i="63" s="1"/>
  <c r="I134" i="63" a="1"/>
  <c r="I134" i="63" s="1"/>
  <c r="I63" i="63" a="1"/>
  <c r="I63" i="63" s="1"/>
  <c r="J63" i="63" a="1"/>
  <c r="J63" i="63" s="1"/>
  <c r="K63" i="63" a="1"/>
  <c r="K63" i="63" s="1"/>
  <c r="L63" i="63" a="1"/>
  <c r="L63" i="63" s="1"/>
  <c r="M63" i="63" a="1"/>
  <c r="M63" i="63" s="1"/>
  <c r="N63" i="63" a="1"/>
  <c r="N63" i="63" s="1"/>
  <c r="O63" i="63" a="1"/>
  <c r="O63" i="63" s="1"/>
  <c r="P63" i="63" a="1"/>
  <c r="P63" i="63" s="1"/>
  <c r="Q63" i="63" a="1"/>
  <c r="Q63" i="63" s="1"/>
  <c r="R63" i="63" a="1"/>
  <c r="R63" i="63" s="1"/>
  <c r="S63" i="63" a="1"/>
  <c r="S63" i="63" s="1"/>
  <c r="T63" i="63" a="1"/>
  <c r="T63" i="63" s="1"/>
  <c r="U63" i="63" a="1"/>
  <c r="U63" i="63" s="1"/>
  <c r="V63" i="63" a="1"/>
  <c r="V63" i="63" s="1"/>
  <c r="W63" i="63" a="1"/>
  <c r="W63" i="63" s="1"/>
  <c r="X63" i="63" a="1"/>
  <c r="X63" i="63" s="1"/>
  <c r="Y63" i="63" a="1"/>
  <c r="Y63" i="63" s="1"/>
  <c r="I43" i="63" a="1"/>
  <c r="I43" i="63" s="1"/>
  <c r="J43" i="63" a="1"/>
  <c r="J43" i="63" s="1"/>
  <c r="K43" i="63" a="1"/>
  <c r="K43" i="63" s="1"/>
  <c r="L43" i="63" a="1"/>
  <c r="L43" i="63" s="1"/>
  <c r="M43" i="63" a="1"/>
  <c r="M43" i="63" s="1"/>
  <c r="N43" i="63" a="1"/>
  <c r="N43" i="63" s="1"/>
  <c r="O43" i="63" a="1"/>
  <c r="O43" i="63" s="1"/>
  <c r="P43" i="63" a="1"/>
  <c r="P43" i="63" s="1"/>
  <c r="Q43" i="63" a="1"/>
  <c r="Q43" i="63" s="1"/>
  <c r="R43" i="63" a="1"/>
  <c r="R43" i="63" s="1"/>
  <c r="S43" i="63" a="1"/>
  <c r="S43" i="63" s="1"/>
  <c r="T43" i="63" a="1"/>
  <c r="T43" i="63" s="1"/>
  <c r="U43" i="63" a="1"/>
  <c r="U43" i="63" s="1"/>
  <c r="V43" i="63" a="1"/>
  <c r="V43" i="63" s="1"/>
  <c r="W43" i="63" a="1"/>
  <c r="W43" i="63" s="1"/>
  <c r="X43" i="63" a="1"/>
  <c r="X43" i="63" s="1"/>
  <c r="Y43" i="63" a="1"/>
  <c r="Y43" i="63" s="1"/>
  <c r="H143" i="63"/>
  <c r="Y163" i="63" a="1"/>
  <c r="Y163" i="63" s="1"/>
  <c r="I57" i="63" a="1"/>
  <c r="I57" i="63" s="1"/>
  <c r="I59" i="63" a="1"/>
  <c r="I59" i="63" s="1"/>
  <c r="I60" i="63" a="1"/>
  <c r="I60" i="63" s="1"/>
  <c r="I58" i="63" a="1"/>
  <c r="I58" i="63" s="1"/>
  <c r="I204" i="63"/>
  <c r="I159" i="63" a="1"/>
  <c r="I159" i="63" s="1"/>
  <c r="I157" i="63" a="1"/>
  <c r="I157" i="63" s="1"/>
  <c r="I160" i="63" a="1"/>
  <c r="I160" i="63" s="1"/>
  <c r="I158" i="63" a="1"/>
  <c r="I158" i="63" s="1"/>
  <c r="Y128" i="63" a="1"/>
  <c r="Y128" i="63" s="1"/>
  <c r="I48" i="63" a="1"/>
  <c r="I48" i="63" s="1"/>
  <c r="I49" i="63" a="1"/>
  <c r="I49" i="63" s="1"/>
  <c r="I47" i="63" a="1"/>
  <c r="I47" i="63" s="1"/>
  <c r="I50" i="63" a="1"/>
  <c r="I50" i="63" s="1"/>
  <c r="J194" i="63"/>
  <c r="J184" i="63"/>
  <c r="J164" i="63"/>
  <c r="J174" i="63"/>
  <c r="J154" i="63"/>
  <c r="J119" i="63"/>
  <c r="J109" i="63"/>
  <c r="J129" i="63"/>
  <c r="J99" i="63"/>
  <c r="J89" i="63"/>
  <c r="J64" i="63"/>
  <c r="J34" i="63"/>
  <c r="J54" i="63"/>
  <c r="J24" i="63"/>
  <c r="J44" i="63"/>
  <c r="H208" i="63"/>
  <c r="H144" i="63"/>
  <c r="C27" i="55"/>
  <c r="Z23" i="63" s="1" a="1"/>
  <c r="Z23" i="63" s="1"/>
  <c r="Y88" i="63" a="1"/>
  <c r="Y88" i="63" s="1"/>
  <c r="Y118" i="37" a="1"/>
  <c r="Y118" i="37" s="1"/>
  <c r="Y128" i="37" a="1"/>
  <c r="Y128" i="37" s="1"/>
  <c r="Y183" i="37" a="1"/>
  <c r="Y183" i="37" s="1"/>
  <c r="Y108" i="37" a="1"/>
  <c r="Y108" i="37" s="1"/>
  <c r="Y23" i="37" a="1"/>
  <c r="Y23" i="37" s="1"/>
  <c r="Y88" i="37" a="1"/>
  <c r="Y88" i="37" s="1"/>
  <c r="Y98" i="63" a="1"/>
  <c r="Y98" i="63" s="1"/>
  <c r="Y173" i="63" a="1"/>
  <c r="Y173" i="63" s="1"/>
  <c r="Y23" i="63" a="1"/>
  <c r="Y23" i="63" s="1"/>
  <c r="Y173" i="37" a="1"/>
  <c r="Y173" i="37" s="1"/>
  <c r="Y153" i="37" a="1"/>
  <c r="Y153" i="37" s="1"/>
  <c r="Y193" i="37" a="1"/>
  <c r="Y193" i="37" s="1"/>
  <c r="Y183" i="63" a="1"/>
  <c r="Y183" i="63" s="1"/>
  <c r="Y193" i="63" a="1"/>
  <c r="Y193" i="63" s="1"/>
  <c r="Y98" i="37" a="1"/>
  <c r="Y98" i="37" s="1"/>
  <c r="Y153" i="63" a="1"/>
  <c r="Y153" i="63" s="1"/>
  <c r="I38" i="63" a="1"/>
  <c r="I38" i="63" s="1"/>
  <c r="I40" i="63" a="1"/>
  <c r="I40" i="63" s="1"/>
  <c r="I37" i="63" a="1"/>
  <c r="I37" i="63" s="1"/>
  <c r="I39" i="63" a="1"/>
  <c r="I39" i="63" s="1"/>
  <c r="I170" i="63" a="1"/>
  <c r="I170" i="63" s="1"/>
  <c r="I167" i="63" a="1"/>
  <c r="I167" i="63" s="1"/>
  <c r="I168" i="63" a="1"/>
  <c r="I168" i="63" s="1"/>
  <c r="I169" i="63" a="1"/>
  <c r="I169" i="63" s="1"/>
  <c r="Y33" i="63" a="1"/>
  <c r="Y33" i="63" s="1"/>
  <c r="H210" i="63"/>
  <c r="H145" i="63"/>
  <c r="I70" i="63" a="1"/>
  <c r="I70" i="63" s="1"/>
  <c r="I68" i="63" a="1"/>
  <c r="I68" i="63" s="1"/>
  <c r="I67" i="63" a="1"/>
  <c r="I67" i="63" s="1"/>
  <c r="I69" i="63" a="1"/>
  <c r="I69" i="63" s="1"/>
  <c r="I179" i="63" a="1"/>
  <c r="I179" i="63" s="1"/>
  <c r="I178" i="63" a="1"/>
  <c r="I178" i="63" s="1"/>
  <c r="I180" i="63" a="1"/>
  <c r="I180" i="63" s="1"/>
  <c r="I177" i="63" a="1"/>
  <c r="I177" i="63" s="1"/>
  <c r="I104" i="63" a="1"/>
  <c r="I104" i="63" s="1"/>
  <c r="I105" i="63" a="1"/>
  <c r="I105" i="63" s="1"/>
  <c r="I103" i="63" a="1"/>
  <c r="I103" i="63" s="1"/>
  <c r="I102" i="63" a="1"/>
  <c r="I102" i="63" s="1"/>
  <c r="H207" i="63"/>
  <c r="I139" i="63"/>
  <c r="I94" i="63" a="1"/>
  <c r="I94" i="63" s="1"/>
  <c r="I92" i="63" a="1"/>
  <c r="I92" i="63" s="1"/>
  <c r="I93" i="63" a="1"/>
  <c r="I93" i="63" s="1"/>
  <c r="I95" i="63" a="1"/>
  <c r="I95" i="63" s="1"/>
  <c r="I190" i="63" a="1"/>
  <c r="I190" i="63" s="1"/>
  <c r="I189" i="63" a="1"/>
  <c r="I189" i="63" s="1"/>
  <c r="I188" i="63" a="1"/>
  <c r="I188" i="63" s="1"/>
  <c r="I187" i="63" a="1"/>
  <c r="I187" i="63" s="1"/>
  <c r="AH151" i="63"/>
  <c r="AG150" i="63"/>
  <c r="AF86" i="63"/>
  <c r="AE85" i="63"/>
  <c r="AF20" i="63"/>
  <c r="AG21" i="63"/>
  <c r="I114" i="37" a="1"/>
  <c r="I114" i="37" s="1"/>
  <c r="I113" i="37" a="1"/>
  <c r="I113" i="37" s="1"/>
  <c r="I115" i="37" a="1"/>
  <c r="I115" i="37" s="1"/>
  <c r="I112" i="37" a="1"/>
  <c r="I112" i="37" s="1"/>
  <c r="H79" i="37"/>
  <c r="I74" i="37"/>
  <c r="I28" i="37" a="1"/>
  <c r="I28" i="37" s="1"/>
  <c r="I29" i="37" a="1"/>
  <c r="I29" i="37" s="1"/>
  <c r="I30" i="37" a="1"/>
  <c r="I30" i="37" s="1"/>
  <c r="I27" i="37" a="1"/>
  <c r="I27" i="37" s="1"/>
  <c r="I124" i="37" a="1"/>
  <c r="I124" i="37" s="1"/>
  <c r="I122" i="37" a="1"/>
  <c r="I122" i="37" s="1"/>
  <c r="I125" i="37" a="1"/>
  <c r="I125" i="37" s="1"/>
  <c r="I123" i="37" a="1"/>
  <c r="I123" i="37" s="1"/>
  <c r="H78" i="37"/>
  <c r="I39" i="37" a="1"/>
  <c r="I39" i="37" s="1"/>
  <c r="I40" i="37" a="1"/>
  <c r="I40" i="37" s="1"/>
  <c r="I37" i="37" a="1"/>
  <c r="I37" i="37" s="1"/>
  <c r="I38" i="37" a="1"/>
  <c r="I38" i="37" s="1"/>
  <c r="I132" i="37" a="1"/>
  <c r="I132" i="37" s="1"/>
  <c r="I135" i="37" a="1"/>
  <c r="I135" i="37" s="1"/>
  <c r="I134" i="37" a="1"/>
  <c r="I134" i="37" s="1"/>
  <c r="I133" i="37" a="1"/>
  <c r="I133" i="37" s="1"/>
  <c r="H208" i="37"/>
  <c r="H77" i="37"/>
  <c r="H142" i="37"/>
  <c r="J194" i="37"/>
  <c r="J174" i="37"/>
  <c r="J184" i="37"/>
  <c r="J164" i="37"/>
  <c r="J154" i="37"/>
  <c r="J129" i="37"/>
  <c r="J119" i="37"/>
  <c r="J99" i="37"/>
  <c r="J109" i="37"/>
  <c r="J89" i="37"/>
  <c r="J64" i="37"/>
  <c r="J54" i="37"/>
  <c r="J44" i="37"/>
  <c r="J34" i="37"/>
  <c r="J24" i="37"/>
  <c r="I49" i="37" a="1"/>
  <c r="I49" i="37" s="1"/>
  <c r="I47" i="37" a="1"/>
  <c r="I47" i="37" s="1"/>
  <c r="I50" i="37" a="1"/>
  <c r="I50" i="37" s="1"/>
  <c r="I48" i="37" a="1"/>
  <c r="I48" i="37" s="1"/>
  <c r="I169" i="37" a="1"/>
  <c r="I169" i="37" s="1"/>
  <c r="I170" i="37" a="1"/>
  <c r="I170" i="37" s="1"/>
  <c r="I167" i="37" a="1"/>
  <c r="I167" i="37" s="1"/>
  <c r="I168" i="37" a="1"/>
  <c r="I168" i="37" s="1"/>
  <c r="H210" i="37"/>
  <c r="H143" i="37"/>
  <c r="X63" i="37" a="1"/>
  <c r="X63" i="37" s="1"/>
  <c r="T63" i="37" a="1"/>
  <c r="T63" i="37" s="1"/>
  <c r="P63" i="37" a="1"/>
  <c r="P63" i="37" s="1"/>
  <c r="L63" i="37" a="1"/>
  <c r="L63" i="37" s="1"/>
  <c r="H63" i="37" a="1"/>
  <c r="H63" i="37" s="1"/>
  <c r="H63" i="63" s="1" a="1"/>
  <c r="H63" i="63" s="1"/>
  <c r="W63" i="37" a="1"/>
  <c r="W63" i="37" s="1"/>
  <c r="S63" i="37" a="1"/>
  <c r="S63" i="37" s="1"/>
  <c r="O63" i="37" a="1"/>
  <c r="O63" i="37" s="1"/>
  <c r="K63" i="37" a="1"/>
  <c r="K63" i="37" s="1"/>
  <c r="G63" i="37" a="1"/>
  <c r="G63" i="37" s="1"/>
  <c r="G63" i="63" s="1" a="1"/>
  <c r="G63" i="63" s="1"/>
  <c r="V63" i="37" a="1"/>
  <c r="V63" i="37" s="1"/>
  <c r="R63" i="37" a="1"/>
  <c r="R63" i="37" s="1"/>
  <c r="N63" i="37" a="1"/>
  <c r="N63" i="37" s="1"/>
  <c r="J63" i="37" a="1"/>
  <c r="J63" i="37" s="1"/>
  <c r="F63" i="37" a="1"/>
  <c r="F63" i="37" s="1"/>
  <c r="F63" i="63" s="1" a="1"/>
  <c r="F63" i="63" s="1"/>
  <c r="Y63" i="37" a="1"/>
  <c r="Y63" i="37" s="1"/>
  <c r="U63" i="37" a="1"/>
  <c r="U63" i="37" s="1"/>
  <c r="Q63" i="37" a="1"/>
  <c r="Q63" i="37" s="1"/>
  <c r="M63" i="37" a="1"/>
  <c r="M63" i="37" s="1"/>
  <c r="I63" i="37" a="1"/>
  <c r="I63" i="37" s="1"/>
  <c r="E63" i="37" a="1"/>
  <c r="E63" i="37" s="1"/>
  <c r="E63" i="63" s="1" a="1"/>
  <c r="E63" i="63" s="1"/>
  <c r="I59" i="37" a="1"/>
  <c r="I59" i="37" s="1"/>
  <c r="I60" i="37" a="1"/>
  <c r="I60" i="37" s="1"/>
  <c r="I57" i="37" a="1"/>
  <c r="I57" i="37" s="1"/>
  <c r="I58" i="37" a="1"/>
  <c r="I58" i="37" s="1"/>
  <c r="I204" i="37"/>
  <c r="I160" i="37" a="1"/>
  <c r="I160" i="37" s="1"/>
  <c r="I158" i="37" a="1"/>
  <c r="I158" i="37" s="1"/>
  <c r="I157" i="37" a="1"/>
  <c r="I157" i="37" s="1"/>
  <c r="I159" i="37" a="1"/>
  <c r="I159" i="37" s="1"/>
  <c r="H207" i="37"/>
  <c r="H144" i="37"/>
  <c r="W43" i="37" a="1"/>
  <c r="W43" i="37" s="1"/>
  <c r="S43" i="37" a="1"/>
  <c r="S43" i="37" s="1"/>
  <c r="O43" i="37" a="1"/>
  <c r="O43" i="37" s="1"/>
  <c r="K43" i="37" a="1"/>
  <c r="K43" i="37" s="1"/>
  <c r="G43" i="37" a="1"/>
  <c r="G43" i="37" s="1"/>
  <c r="G43" i="63" s="1" a="1"/>
  <c r="G43" i="63" s="1"/>
  <c r="V43" i="37" a="1"/>
  <c r="V43" i="37" s="1"/>
  <c r="R43" i="37" a="1"/>
  <c r="R43" i="37" s="1"/>
  <c r="N43" i="37" a="1"/>
  <c r="N43" i="37" s="1"/>
  <c r="J43" i="37" a="1"/>
  <c r="J43" i="37" s="1"/>
  <c r="F43" i="37" a="1"/>
  <c r="F43" i="37" s="1"/>
  <c r="F43" i="63" s="1" a="1"/>
  <c r="F43" i="63" s="1"/>
  <c r="Y43" i="37" a="1"/>
  <c r="Y43" i="37" s="1"/>
  <c r="U43" i="37" a="1"/>
  <c r="U43" i="37" s="1"/>
  <c r="Q43" i="37" a="1"/>
  <c r="Q43" i="37" s="1"/>
  <c r="M43" i="37" a="1"/>
  <c r="M43" i="37" s="1"/>
  <c r="I43" i="37" a="1"/>
  <c r="I43" i="37" s="1"/>
  <c r="E43" i="37" a="1"/>
  <c r="E43" i="37" s="1"/>
  <c r="E43" i="63" s="1" a="1"/>
  <c r="E43" i="63" s="1"/>
  <c r="X43" i="37" a="1"/>
  <c r="X43" i="37" s="1"/>
  <c r="T43" i="37" a="1"/>
  <c r="T43" i="37" s="1"/>
  <c r="P43" i="37" a="1"/>
  <c r="P43" i="37" s="1"/>
  <c r="L43" i="37" a="1"/>
  <c r="L43" i="37" s="1"/>
  <c r="H43" i="37" a="1"/>
  <c r="H43" i="37" s="1"/>
  <c r="H43" i="63" s="1" a="1"/>
  <c r="H43" i="63" s="1"/>
  <c r="I69" i="37" a="1"/>
  <c r="I69" i="37" s="1"/>
  <c r="I70" i="37" a="1"/>
  <c r="I70" i="37" s="1"/>
  <c r="I67" i="37" a="1"/>
  <c r="I67" i="37" s="1"/>
  <c r="I68" i="37" a="1"/>
  <c r="I68" i="37" s="1"/>
  <c r="I178" i="37" a="1"/>
  <c r="I178" i="37" s="1"/>
  <c r="I180" i="37" a="1"/>
  <c r="I180" i="37" s="1"/>
  <c r="I179" i="37" a="1"/>
  <c r="I179" i="37" s="1"/>
  <c r="I177" i="37" a="1"/>
  <c r="I177" i="37" s="1"/>
  <c r="H209" i="37"/>
  <c r="H145" i="37"/>
  <c r="I139" i="37"/>
  <c r="I95" i="37" a="1"/>
  <c r="I95" i="37" s="1"/>
  <c r="I94" i="37" a="1"/>
  <c r="I94" i="37" s="1"/>
  <c r="I93" i="37" a="1"/>
  <c r="I93" i="37" s="1"/>
  <c r="I92" i="37" a="1"/>
  <c r="I92" i="37" s="1"/>
  <c r="I189" i="37" a="1"/>
  <c r="I189" i="37" s="1"/>
  <c r="I190" i="37" a="1"/>
  <c r="I190" i="37" s="1"/>
  <c r="I187" i="37" a="1"/>
  <c r="I187" i="37" s="1"/>
  <c r="I188" i="37" a="1"/>
  <c r="I188" i="37" s="1"/>
  <c r="I105" i="37" a="1"/>
  <c r="I105" i="37" s="1"/>
  <c r="I102" i="37" a="1"/>
  <c r="I102" i="37" s="1"/>
  <c r="I103" i="37" a="1"/>
  <c r="I103" i="37" s="1"/>
  <c r="I104" i="37" a="1"/>
  <c r="I104" i="37" s="1"/>
  <c r="I197" i="37" a="1"/>
  <c r="I197" i="37" s="1"/>
  <c r="I198" i="37" a="1"/>
  <c r="I198" i="37" s="1"/>
  <c r="I200" i="37" a="1"/>
  <c r="I200" i="37" s="1"/>
  <c r="I199" i="37" a="1"/>
  <c r="I199" i="37" s="1"/>
  <c r="H80" i="37"/>
  <c r="AG85" i="37"/>
  <c r="AH86" i="37"/>
  <c r="AG150" i="37"/>
  <c r="AH151" i="37"/>
  <c r="AF21" i="37"/>
  <c r="AE20" i="37"/>
  <c r="H12" i="65"/>
  <c r="H16" i="65" s="1"/>
  <c r="F12" i="65"/>
  <c r="F8" i="18"/>
  <c r="O9" i="49"/>
  <c r="D8" i="18"/>
  <c r="E8" i="18"/>
  <c r="J12" i="65"/>
  <c r="K7" i="37"/>
  <c r="H8" i="37"/>
  <c r="I8" i="64" s="1"/>
  <c r="H8" i="63"/>
  <c r="I8" i="65" s="1"/>
  <c r="K7" i="63"/>
  <c r="J33" i="38"/>
  <c r="K5" i="64"/>
  <c r="K12" i="65"/>
  <c r="K5" i="65"/>
  <c r="K29" i="65"/>
  <c r="K35" i="65"/>
  <c r="M10" i="60"/>
  <c r="M9" i="60" s="1"/>
  <c r="K14" i="65"/>
  <c r="K25" i="65" s="1"/>
  <c r="K36" i="65"/>
  <c r="L6" i="65"/>
  <c r="J7" i="18"/>
  <c r="K34" i="38"/>
  <c r="J29" i="18"/>
  <c r="J18" i="18" s="1"/>
  <c r="K34" i="64"/>
  <c r="L6" i="64"/>
  <c r="K35" i="64"/>
  <c r="Z63" i="37" l="1" a="1"/>
  <c r="Z63" i="37" s="1"/>
  <c r="Z88" i="37" a="1"/>
  <c r="Z88" i="37" s="1"/>
  <c r="Z43" i="37" a="1"/>
  <c r="Z43" i="37" s="1"/>
  <c r="I208" i="63"/>
  <c r="J67" i="63" a="1"/>
  <c r="J67" i="63" s="1"/>
  <c r="J69" i="63" a="1"/>
  <c r="J69" i="63" s="1"/>
  <c r="J68" i="63" a="1"/>
  <c r="J68" i="63" s="1"/>
  <c r="J70" i="63" a="1"/>
  <c r="J70" i="63" s="1"/>
  <c r="J190" i="63" a="1"/>
  <c r="J190" i="63" s="1"/>
  <c r="J188" i="63" a="1"/>
  <c r="J188" i="63" s="1"/>
  <c r="J189" i="63" a="1"/>
  <c r="J189" i="63" s="1"/>
  <c r="J187" i="63" a="1"/>
  <c r="J187" i="63" s="1"/>
  <c r="I143" i="63"/>
  <c r="Z193" i="63" a="1"/>
  <c r="Z193" i="63" s="1"/>
  <c r="J105" i="63" a="1"/>
  <c r="J105" i="63" s="1"/>
  <c r="J102" i="63" a="1"/>
  <c r="J102" i="63" s="1"/>
  <c r="J103" i="63" a="1"/>
  <c r="J103" i="63" s="1"/>
  <c r="J104" i="63" a="1"/>
  <c r="J104" i="63" s="1"/>
  <c r="J198" i="63" a="1"/>
  <c r="J198" i="63" s="1"/>
  <c r="J199" i="63" a="1"/>
  <c r="J199" i="63" s="1"/>
  <c r="J197" i="63" a="1"/>
  <c r="J197" i="63" s="1"/>
  <c r="J200" i="63" a="1"/>
  <c r="J200" i="63" s="1"/>
  <c r="I207" i="63"/>
  <c r="Z63" i="63" a="1"/>
  <c r="Z63" i="63" s="1"/>
  <c r="I80" i="63"/>
  <c r="J168" i="63" a="1"/>
  <c r="J168" i="63" s="1"/>
  <c r="J169" i="63" a="1"/>
  <c r="J169" i="63" s="1"/>
  <c r="J167" i="63" a="1"/>
  <c r="J167" i="63" s="1"/>
  <c r="J170" i="63" a="1"/>
  <c r="J170" i="63" s="1"/>
  <c r="I142" i="63"/>
  <c r="Z118" i="37" a="1"/>
  <c r="Z118" i="37" s="1"/>
  <c r="Z183" i="37" a="1"/>
  <c r="Z183" i="37" s="1"/>
  <c r="Z173" i="63" a="1"/>
  <c r="Z173" i="63" s="1"/>
  <c r="J133" i="63" a="1"/>
  <c r="J133" i="63" s="1"/>
  <c r="J135" i="63" a="1"/>
  <c r="J135" i="63" s="1"/>
  <c r="J132" i="63" a="1"/>
  <c r="J132" i="63" s="1"/>
  <c r="J134" i="63" a="1"/>
  <c r="J134" i="63" s="1"/>
  <c r="I209" i="63"/>
  <c r="I78" i="63"/>
  <c r="C28" i="55"/>
  <c r="AA23" i="37" s="1" a="1"/>
  <c r="AA23" i="37" s="1"/>
  <c r="Z53" i="63" a="1"/>
  <c r="Z53" i="63" s="1"/>
  <c r="Z128" i="63" a="1"/>
  <c r="Z128" i="63" s="1"/>
  <c r="Z33" i="37" a="1"/>
  <c r="Z33" i="37" s="1"/>
  <c r="Z53" i="37" a="1"/>
  <c r="Z53" i="37" s="1"/>
  <c r="Z163" i="63" a="1"/>
  <c r="Z163" i="63" s="1"/>
  <c r="Z163" i="37" a="1"/>
  <c r="Z163" i="37" s="1"/>
  <c r="Z108" i="63" a="1"/>
  <c r="Z108" i="63" s="1"/>
  <c r="I144" i="63"/>
  <c r="Z108" i="37" a="1"/>
  <c r="Z108" i="37" s="1"/>
  <c r="Z173" i="37" a="1"/>
  <c r="Z173" i="37" s="1"/>
  <c r="Z193" i="37" a="1"/>
  <c r="Z193" i="37" s="1"/>
  <c r="J48" i="63" a="1"/>
  <c r="J48" i="63" s="1"/>
  <c r="J50" i="63" a="1"/>
  <c r="J50" i="63" s="1"/>
  <c r="J47" i="63" a="1"/>
  <c r="J47" i="63" s="1"/>
  <c r="J49" i="63" a="1"/>
  <c r="J49" i="63" s="1"/>
  <c r="J113" i="63" a="1"/>
  <c r="J113" i="63" s="1"/>
  <c r="J114" i="63" a="1"/>
  <c r="J114" i="63" s="1"/>
  <c r="J112" i="63" a="1"/>
  <c r="J112" i="63" s="1"/>
  <c r="J115" i="63" a="1"/>
  <c r="J115" i="63" s="1"/>
  <c r="Z43" i="63" a="1"/>
  <c r="Z43" i="63" s="1"/>
  <c r="I79" i="63"/>
  <c r="I145" i="63"/>
  <c r="J139" i="63"/>
  <c r="J93" i="63" a="1"/>
  <c r="J93" i="63" s="1"/>
  <c r="J95" i="63" a="1"/>
  <c r="J95" i="63" s="1"/>
  <c r="J94" i="63" a="1"/>
  <c r="J94" i="63" s="1"/>
  <c r="J92" i="63" a="1"/>
  <c r="J92" i="63" s="1"/>
  <c r="Z153" i="37" a="1"/>
  <c r="Z153" i="37" s="1"/>
  <c r="Z98" i="63" a="1"/>
  <c r="Z98" i="63" s="1"/>
  <c r="Z23" i="37" a="1"/>
  <c r="Z23" i="37" s="1"/>
  <c r="J74" i="63"/>
  <c r="J30" i="63" a="1"/>
  <c r="J30" i="63" s="1"/>
  <c r="J29" i="63" a="1"/>
  <c r="J29" i="63" s="1"/>
  <c r="J27" i="63" a="1"/>
  <c r="J27" i="63" s="1"/>
  <c r="J28" i="63" a="1"/>
  <c r="J28" i="63" s="1"/>
  <c r="J122" i="63" a="1"/>
  <c r="J122" i="63" s="1"/>
  <c r="J123" i="63" a="1"/>
  <c r="J123" i="63" s="1"/>
  <c r="J125" i="63" a="1"/>
  <c r="J125" i="63" s="1"/>
  <c r="J124" i="63" a="1"/>
  <c r="J124" i="63" s="1"/>
  <c r="I77" i="63"/>
  <c r="I210" i="63"/>
  <c r="K194" i="63"/>
  <c r="K184" i="63"/>
  <c r="K174" i="63"/>
  <c r="K154" i="63"/>
  <c r="K164" i="63"/>
  <c r="K129" i="63"/>
  <c r="K109" i="63"/>
  <c r="K99" i="63"/>
  <c r="K119" i="63"/>
  <c r="K89" i="63"/>
  <c r="K64" i="63"/>
  <c r="K54" i="63"/>
  <c r="K44" i="63"/>
  <c r="K24" i="63"/>
  <c r="K34" i="63"/>
  <c r="Z118" i="63" a="1"/>
  <c r="Z118" i="63" s="1"/>
  <c r="Z153" i="63" a="1"/>
  <c r="Z153" i="63" s="1"/>
  <c r="J59" i="63" a="1"/>
  <c r="J59" i="63" s="1"/>
  <c r="J60" i="63" a="1"/>
  <c r="J60" i="63" s="1"/>
  <c r="J57" i="63" a="1"/>
  <c r="J57" i="63" s="1"/>
  <c r="J58" i="63" a="1"/>
  <c r="J58" i="63" s="1"/>
  <c r="J204" i="63"/>
  <c r="J159" i="63" a="1"/>
  <c r="J159" i="63" s="1"/>
  <c r="J160" i="63" a="1"/>
  <c r="J160" i="63" s="1"/>
  <c r="J158" i="63" a="1"/>
  <c r="J158" i="63" s="1"/>
  <c r="J157" i="63" a="1"/>
  <c r="J157" i="63" s="1"/>
  <c r="Z88" i="63" a="1"/>
  <c r="Z88" i="63" s="1"/>
  <c r="Z128" i="37" a="1"/>
  <c r="Z128" i="37" s="1"/>
  <c r="Z98" i="37" a="1"/>
  <c r="Z98" i="37" s="1"/>
  <c r="Z183" i="63" a="1"/>
  <c r="Z183" i="63" s="1"/>
  <c r="J39" i="63" a="1"/>
  <c r="J39" i="63" s="1"/>
  <c r="J37" i="63" a="1"/>
  <c r="J37" i="63" s="1"/>
  <c r="J38" i="63" a="1"/>
  <c r="J38" i="63" s="1"/>
  <c r="J40" i="63" a="1"/>
  <c r="J40" i="63" s="1"/>
  <c r="J179" i="63" a="1"/>
  <c r="J179" i="63" s="1"/>
  <c r="J177" i="63" a="1"/>
  <c r="J177" i="63" s="1"/>
  <c r="J180" i="63" a="1"/>
  <c r="J180" i="63" s="1"/>
  <c r="J178" i="63" a="1"/>
  <c r="J178" i="63" s="1"/>
  <c r="Z33" i="63" a="1"/>
  <c r="Z33" i="63" s="1"/>
  <c r="AG86" i="63"/>
  <c r="AF85" i="63"/>
  <c r="AG20" i="63"/>
  <c r="AH21" i="63"/>
  <c r="I144" i="37"/>
  <c r="AH150" i="63"/>
  <c r="AI151" i="63"/>
  <c r="I208" i="37"/>
  <c r="J70" i="37" a="1"/>
  <c r="J70" i="37" s="1"/>
  <c r="J67" i="37" a="1"/>
  <c r="J67" i="37" s="1"/>
  <c r="J68" i="37" a="1"/>
  <c r="J68" i="37" s="1"/>
  <c r="J69" i="37" a="1"/>
  <c r="J69" i="37" s="1"/>
  <c r="J190" i="37" a="1"/>
  <c r="J190" i="37" s="1"/>
  <c r="J187" i="37" a="1"/>
  <c r="J187" i="37" s="1"/>
  <c r="J188" i="37" a="1"/>
  <c r="J188" i="37" s="1"/>
  <c r="J189" i="37" a="1"/>
  <c r="J189" i="37" s="1"/>
  <c r="I210" i="37"/>
  <c r="J139" i="37"/>
  <c r="J95" i="37" a="1"/>
  <c r="J95" i="37" s="1"/>
  <c r="J93" i="37" a="1"/>
  <c r="J93" i="37" s="1"/>
  <c r="J92" i="37" a="1"/>
  <c r="J92" i="37" s="1"/>
  <c r="J94" i="37" a="1"/>
  <c r="J94" i="37" s="1"/>
  <c r="J179" i="37" a="1"/>
  <c r="J179" i="37" s="1"/>
  <c r="J177" i="37" a="1"/>
  <c r="J177" i="37" s="1"/>
  <c r="J180" i="37" a="1"/>
  <c r="J180" i="37" s="1"/>
  <c r="J178" i="37" a="1"/>
  <c r="J178" i="37" s="1"/>
  <c r="K184" i="37"/>
  <c r="K194" i="37"/>
  <c r="K174" i="37"/>
  <c r="K164" i="37"/>
  <c r="K154" i="37"/>
  <c r="K119" i="37"/>
  <c r="K129" i="37"/>
  <c r="K99" i="37"/>
  <c r="K109" i="37"/>
  <c r="K89" i="37"/>
  <c r="K64" i="37"/>
  <c r="K44" i="37"/>
  <c r="K34" i="37"/>
  <c r="K24" i="37"/>
  <c r="K54" i="37"/>
  <c r="I142" i="37"/>
  <c r="J115" i="37" a="1"/>
  <c r="J115" i="37" s="1"/>
  <c r="J113" i="37" a="1"/>
  <c r="J113" i="37" s="1"/>
  <c r="J112" i="37" a="1"/>
  <c r="J112" i="37" s="1"/>
  <c r="J114" i="37" a="1"/>
  <c r="J114" i="37" s="1"/>
  <c r="J198" i="37" a="1"/>
  <c r="J198" i="37" s="1"/>
  <c r="J199" i="37" a="1"/>
  <c r="J199" i="37" s="1"/>
  <c r="J197" i="37" a="1"/>
  <c r="J197" i="37" s="1"/>
  <c r="J200" i="37" a="1"/>
  <c r="J200" i="37" s="1"/>
  <c r="I143" i="37"/>
  <c r="J102" i="37" a="1"/>
  <c r="J102" i="37" s="1"/>
  <c r="J103" i="37" a="1"/>
  <c r="J103" i="37" s="1"/>
  <c r="J104" i="37" a="1"/>
  <c r="J104" i="37" s="1"/>
  <c r="J105" i="37" a="1"/>
  <c r="J105" i="37" s="1"/>
  <c r="J74" i="37"/>
  <c r="J29" i="37" a="1"/>
  <c r="J29" i="37" s="1"/>
  <c r="J30" i="37" a="1"/>
  <c r="J30" i="37" s="1"/>
  <c r="J27" i="37" a="1"/>
  <c r="J27" i="37" s="1"/>
  <c r="J28" i="37" a="1"/>
  <c r="J28" i="37" s="1"/>
  <c r="J124" i="37" a="1"/>
  <c r="J124" i="37" s="1"/>
  <c r="J122" i="37" a="1"/>
  <c r="J122" i="37" s="1"/>
  <c r="J125" i="37" a="1"/>
  <c r="J125" i="37" s="1"/>
  <c r="J123" i="37" a="1"/>
  <c r="J123" i="37" s="1"/>
  <c r="I77" i="37"/>
  <c r="I145" i="37"/>
  <c r="J40" i="37" a="1"/>
  <c r="J40" i="37" s="1"/>
  <c r="J37" i="37" a="1"/>
  <c r="J37" i="37" s="1"/>
  <c r="J38" i="37" a="1"/>
  <c r="J38" i="37" s="1"/>
  <c r="J39" i="37" a="1"/>
  <c r="J39" i="37" s="1"/>
  <c r="J133" i="37" a="1"/>
  <c r="J133" i="37" s="1"/>
  <c r="J132" i="37" a="1"/>
  <c r="J132" i="37" s="1"/>
  <c r="J134" i="37" a="1"/>
  <c r="J134" i="37" s="1"/>
  <c r="J135" i="37" a="1"/>
  <c r="J135" i="37" s="1"/>
  <c r="I80" i="37"/>
  <c r="I209" i="37"/>
  <c r="J49" i="37" a="1"/>
  <c r="J49" i="37" s="1"/>
  <c r="J47" i="37" a="1"/>
  <c r="J47" i="37" s="1"/>
  <c r="J48" i="37" a="1"/>
  <c r="J48" i="37" s="1"/>
  <c r="J50" i="37" a="1"/>
  <c r="J50" i="37" s="1"/>
  <c r="J204" i="37"/>
  <c r="J158" i="37" a="1"/>
  <c r="J158" i="37" s="1"/>
  <c r="J160" i="37" a="1"/>
  <c r="J160" i="37" s="1"/>
  <c r="J157" i="37" a="1"/>
  <c r="J157" i="37" s="1"/>
  <c r="J159" i="37" a="1"/>
  <c r="J159" i="37" s="1"/>
  <c r="I79" i="37"/>
  <c r="I207" i="37"/>
  <c r="J60" i="37" a="1"/>
  <c r="J60" i="37" s="1"/>
  <c r="J57" i="37" a="1"/>
  <c r="J57" i="37" s="1"/>
  <c r="J58" i="37" a="1"/>
  <c r="J58" i="37" s="1"/>
  <c r="J59" i="37" a="1"/>
  <c r="J59" i="37" s="1"/>
  <c r="J167" i="37" a="1"/>
  <c r="J167" i="37" s="1"/>
  <c r="J168" i="37" a="1"/>
  <c r="J168" i="37" s="1"/>
  <c r="J169" i="37" a="1"/>
  <c r="J169" i="37" s="1"/>
  <c r="J170" i="37" a="1"/>
  <c r="J170" i="37" s="1"/>
  <c r="I78" i="37"/>
  <c r="AH150" i="37"/>
  <c r="AI151" i="37"/>
  <c r="AG21" i="37"/>
  <c r="AF20" i="37"/>
  <c r="AH85" i="37"/>
  <c r="AI86" i="37"/>
  <c r="L7" i="37"/>
  <c r="I8" i="37"/>
  <c r="J8" i="64" s="1"/>
  <c r="G8" i="18"/>
  <c r="I8" i="63"/>
  <c r="L7" i="63"/>
  <c r="K33" i="38"/>
  <c r="L5" i="64"/>
  <c r="L5" i="65"/>
  <c r="K7" i="18"/>
  <c r="K6" i="18" s="1"/>
  <c r="J6" i="18"/>
  <c r="L14" i="65"/>
  <c r="L25" i="65" s="1"/>
  <c r="L29" i="65"/>
  <c r="N10" i="60"/>
  <c r="N9" i="60" s="1"/>
  <c r="M6" i="65"/>
  <c r="L35" i="65"/>
  <c r="L36" i="65"/>
  <c r="L12" i="65"/>
  <c r="L34" i="38"/>
  <c r="K29" i="18"/>
  <c r="K18" i="18" s="1"/>
  <c r="L35" i="64"/>
  <c r="M6" i="64"/>
  <c r="L34" i="64"/>
  <c r="AA173" i="37" l="1" a="1"/>
  <c r="AA173" i="37" s="1"/>
  <c r="AA33" i="63" a="1"/>
  <c r="AA33" i="63" s="1"/>
  <c r="AA53" i="63" a="1"/>
  <c r="AA53" i="63" s="1"/>
  <c r="AA33" i="37" a="1"/>
  <c r="AA33" i="37" s="1"/>
  <c r="J142" i="63"/>
  <c r="L194" i="63"/>
  <c r="L184" i="63"/>
  <c r="L174" i="63"/>
  <c r="L154" i="63"/>
  <c r="L164" i="63"/>
  <c r="L119" i="63"/>
  <c r="L89" i="63"/>
  <c r="L129" i="63"/>
  <c r="L109" i="63"/>
  <c r="L99" i="63"/>
  <c r="L64" i="63"/>
  <c r="L54" i="63"/>
  <c r="L44" i="63"/>
  <c r="L34" i="63"/>
  <c r="L24" i="63"/>
  <c r="K139" i="63"/>
  <c r="K93" i="63" a="1"/>
  <c r="K93" i="63" s="1"/>
  <c r="K94" i="63" a="1"/>
  <c r="K94" i="63" s="1"/>
  <c r="K95" i="63" a="1"/>
  <c r="K95" i="63" s="1"/>
  <c r="K92" i="63" a="1"/>
  <c r="K92" i="63" s="1"/>
  <c r="K123" i="63" a="1"/>
  <c r="K123" i="63" s="1"/>
  <c r="K124" i="63" a="1"/>
  <c r="K124" i="63" s="1"/>
  <c r="K122" i="63" a="1"/>
  <c r="K122" i="63" s="1"/>
  <c r="K125" i="63" a="1"/>
  <c r="K125" i="63" s="1"/>
  <c r="K200" i="63" a="1"/>
  <c r="K200" i="63" s="1"/>
  <c r="K198" i="63" a="1"/>
  <c r="K198" i="63" s="1"/>
  <c r="K197" i="63" a="1"/>
  <c r="K197" i="63" s="1"/>
  <c r="K199" i="63" a="1"/>
  <c r="K199" i="63" s="1"/>
  <c r="J144" i="63"/>
  <c r="AA128" i="37" a="1"/>
  <c r="AA128" i="37" s="1"/>
  <c r="K70" i="63" a="1"/>
  <c r="K70" i="63" s="1"/>
  <c r="K68" i="63" a="1"/>
  <c r="K68" i="63" s="1"/>
  <c r="K69" i="63" a="1"/>
  <c r="K69" i="63" s="1"/>
  <c r="K67" i="63" a="1"/>
  <c r="K67" i="63" s="1"/>
  <c r="K102" i="63" a="1"/>
  <c r="K102" i="63" s="1"/>
  <c r="K104" i="63" a="1"/>
  <c r="K104" i="63" s="1"/>
  <c r="K103" i="63" a="1"/>
  <c r="K103" i="63" s="1"/>
  <c r="K105" i="63" a="1"/>
  <c r="K105" i="63" s="1"/>
  <c r="AA63" i="63" a="1"/>
  <c r="AA63" i="63" s="1"/>
  <c r="J145" i="63"/>
  <c r="AA163" i="63" a="1"/>
  <c r="AA163" i="63" s="1"/>
  <c r="AA108" i="37" a="1"/>
  <c r="AA108" i="37" s="1"/>
  <c r="C29" i="55"/>
  <c r="AB153" i="37" s="1" a="1"/>
  <c r="AB153" i="37" s="1"/>
  <c r="AA43" i="37" a="1"/>
  <c r="AA43" i="37" s="1"/>
  <c r="AA193" i="37" a="1"/>
  <c r="AA193" i="37" s="1"/>
  <c r="AA118" i="37" a="1"/>
  <c r="AA118" i="37" s="1"/>
  <c r="AA88" i="63" a="1"/>
  <c r="AA88" i="63" s="1"/>
  <c r="AA88" i="37" a="1"/>
  <c r="AA88" i="37" s="1"/>
  <c r="AA63" i="37" a="1"/>
  <c r="AA63" i="37" s="1"/>
  <c r="J208" i="37"/>
  <c r="J207" i="63"/>
  <c r="K38" i="63" a="1"/>
  <c r="K38" i="63" s="1"/>
  <c r="K40" i="63" a="1"/>
  <c r="K40" i="63" s="1"/>
  <c r="K37" i="63" a="1"/>
  <c r="K37" i="63" s="1"/>
  <c r="K39" i="63" a="1"/>
  <c r="K39" i="63" s="1"/>
  <c r="K115" i="63" a="1"/>
  <c r="K115" i="63" s="1"/>
  <c r="K112" i="63" a="1"/>
  <c r="K112" i="63" s="1"/>
  <c r="K114" i="63" a="1"/>
  <c r="K114" i="63" s="1"/>
  <c r="K113" i="63" a="1"/>
  <c r="K113" i="63" s="1"/>
  <c r="J78" i="63"/>
  <c r="AA183" i="37" a="1"/>
  <c r="AA183" i="37" s="1"/>
  <c r="J143" i="63"/>
  <c r="AA163" i="37" a="1"/>
  <c r="AA163" i="37" s="1"/>
  <c r="J208" i="63"/>
  <c r="AA98" i="63" a="1"/>
  <c r="AA98" i="63" s="1"/>
  <c r="K74" i="63"/>
  <c r="K27" i="63" a="1"/>
  <c r="K27" i="63" s="1"/>
  <c r="K29" i="63" a="1"/>
  <c r="K29" i="63" s="1"/>
  <c r="K30" i="63" a="1"/>
  <c r="K30" i="63" s="1"/>
  <c r="K28" i="63" a="1"/>
  <c r="K28" i="63" s="1"/>
  <c r="K135" i="63" a="1"/>
  <c r="K135" i="63" s="1"/>
  <c r="K132" i="63" a="1"/>
  <c r="K132" i="63" s="1"/>
  <c r="K134" i="63" a="1"/>
  <c r="K134" i="63" s="1"/>
  <c r="K133" i="63" a="1"/>
  <c r="K133" i="63" s="1"/>
  <c r="J77" i="63"/>
  <c r="AA53" i="37" a="1"/>
  <c r="AA53" i="37" s="1"/>
  <c r="K188" i="63" a="1"/>
  <c r="K188" i="63" s="1"/>
  <c r="K189" i="63" a="1"/>
  <c r="K189" i="63" s="1"/>
  <c r="K187" i="63" a="1"/>
  <c r="K187" i="63" s="1"/>
  <c r="K190" i="63" a="1"/>
  <c r="K190" i="63" s="1"/>
  <c r="J210" i="63"/>
  <c r="AA153" i="63" a="1"/>
  <c r="AA153" i="63" s="1"/>
  <c r="K49" i="63" a="1"/>
  <c r="K49" i="63" s="1"/>
  <c r="K47" i="63" a="1"/>
  <c r="K47" i="63" s="1"/>
  <c r="K50" i="63" a="1"/>
  <c r="K50" i="63" s="1"/>
  <c r="K48" i="63" a="1"/>
  <c r="K48" i="63" s="1"/>
  <c r="K168" i="63" a="1"/>
  <c r="K168" i="63" s="1"/>
  <c r="K167" i="63" a="1"/>
  <c r="K167" i="63" s="1"/>
  <c r="K170" i="63" a="1"/>
  <c r="K170" i="63" s="1"/>
  <c r="K169" i="63" a="1"/>
  <c r="K169" i="63" s="1"/>
  <c r="J79" i="63"/>
  <c r="AA98" i="37" a="1"/>
  <c r="AA98" i="37" s="1"/>
  <c r="K179" i="63" a="1"/>
  <c r="K179" i="63" s="1"/>
  <c r="K177" i="63" a="1"/>
  <c r="K177" i="63" s="1"/>
  <c r="K180" i="63" a="1"/>
  <c r="K180" i="63" s="1"/>
  <c r="K178" i="63" a="1"/>
  <c r="K178" i="63" s="1"/>
  <c r="J209" i="63"/>
  <c r="AA153" i="37" a="1"/>
  <c r="AA153" i="37" s="1"/>
  <c r="K60" i="63" a="1"/>
  <c r="K60" i="63" s="1"/>
  <c r="K57" i="63" a="1"/>
  <c r="K57" i="63" s="1"/>
  <c r="K58" i="63" a="1"/>
  <c r="K58" i="63" s="1"/>
  <c r="K59" i="63" a="1"/>
  <c r="K59" i="63" s="1"/>
  <c r="K204" i="63"/>
  <c r="K160" i="63" a="1"/>
  <c r="K160" i="63" s="1"/>
  <c r="K158" i="63" a="1"/>
  <c r="K158" i="63" s="1"/>
  <c r="K157" i="63" a="1"/>
  <c r="K157" i="63" s="1"/>
  <c r="K159" i="63" a="1"/>
  <c r="K159" i="63" s="1"/>
  <c r="J80" i="63"/>
  <c r="AA128" i="63" a="1"/>
  <c r="AA128" i="63" s="1"/>
  <c r="AA43" i="63" a="1"/>
  <c r="AA43" i="63" s="1"/>
  <c r="AI150" i="63"/>
  <c r="AJ151" i="63"/>
  <c r="AH20" i="63"/>
  <c r="AI21" i="63"/>
  <c r="AH86" i="63"/>
  <c r="AG85" i="63"/>
  <c r="L184" i="37"/>
  <c r="L194" i="37"/>
  <c r="L174" i="37"/>
  <c r="L164" i="37"/>
  <c r="L154" i="37"/>
  <c r="L129" i="37"/>
  <c r="L119" i="37"/>
  <c r="L109" i="37"/>
  <c r="L99" i="37"/>
  <c r="L89" i="37"/>
  <c r="L64" i="37"/>
  <c r="L54" i="37"/>
  <c r="L44" i="37"/>
  <c r="L34" i="37"/>
  <c r="L24" i="37"/>
  <c r="K37" i="37" a="1"/>
  <c r="K37" i="37" s="1"/>
  <c r="K38" i="37" a="1"/>
  <c r="K38" i="37" s="1"/>
  <c r="K39" i="37" a="1"/>
  <c r="K39" i="37" s="1"/>
  <c r="K40" i="37" a="1"/>
  <c r="K40" i="37" s="1"/>
  <c r="K204" i="37"/>
  <c r="K158" i="37" a="1"/>
  <c r="K158" i="37" s="1"/>
  <c r="K160" i="37" a="1"/>
  <c r="K160" i="37" s="1"/>
  <c r="K159" i="37" a="1"/>
  <c r="K159" i="37" s="1"/>
  <c r="K157" i="37" a="1"/>
  <c r="K157" i="37" s="1"/>
  <c r="K47" i="37" a="1"/>
  <c r="K47" i="37" s="1"/>
  <c r="K48" i="37" a="1"/>
  <c r="K48" i="37" s="1"/>
  <c r="K50" i="37" a="1"/>
  <c r="K50" i="37" s="1"/>
  <c r="K49" i="37" a="1"/>
  <c r="K49" i="37" s="1"/>
  <c r="K170" i="37" a="1"/>
  <c r="K170" i="37" s="1"/>
  <c r="K168" i="37" a="1"/>
  <c r="K168" i="37" s="1"/>
  <c r="K167" i="37" a="1"/>
  <c r="K167" i="37" s="1"/>
  <c r="K169" i="37" a="1"/>
  <c r="K169" i="37" s="1"/>
  <c r="J144" i="37"/>
  <c r="K67" i="37" a="1"/>
  <c r="K67" i="37" s="1"/>
  <c r="K68" i="37" a="1"/>
  <c r="K68" i="37" s="1"/>
  <c r="K69" i="37" a="1"/>
  <c r="K69" i="37" s="1"/>
  <c r="K70" i="37" a="1"/>
  <c r="K70" i="37" s="1"/>
  <c r="K178" i="37" a="1"/>
  <c r="K178" i="37" s="1"/>
  <c r="K180" i="37" a="1"/>
  <c r="K180" i="37" s="1"/>
  <c r="K179" i="37" a="1"/>
  <c r="K179" i="37" s="1"/>
  <c r="K177" i="37" a="1"/>
  <c r="K177" i="37" s="1"/>
  <c r="J142" i="37"/>
  <c r="J78" i="37"/>
  <c r="K139" i="37"/>
  <c r="K95" i="37" a="1"/>
  <c r="K95" i="37" s="1"/>
  <c r="K93" i="37" a="1"/>
  <c r="K93" i="37" s="1"/>
  <c r="K92" i="37" a="1"/>
  <c r="K92" i="37" s="1"/>
  <c r="K94" i="37" a="1"/>
  <c r="K94" i="37" s="1"/>
  <c r="K199" i="37" a="1"/>
  <c r="K199" i="37" s="1"/>
  <c r="K200" i="37" a="1"/>
  <c r="K200" i="37" s="1"/>
  <c r="K198" i="37" a="1"/>
  <c r="K198" i="37" s="1"/>
  <c r="K197" i="37" a="1"/>
  <c r="K197" i="37" s="1"/>
  <c r="J143" i="37"/>
  <c r="J77" i="37"/>
  <c r="K114" i="37" a="1"/>
  <c r="K114" i="37" s="1"/>
  <c r="K113" i="37" a="1"/>
  <c r="K113" i="37" s="1"/>
  <c r="K112" i="37" a="1"/>
  <c r="K112" i="37" s="1"/>
  <c r="K115" i="37" a="1"/>
  <c r="K115" i="37" s="1"/>
  <c r="K190" i="37" a="1"/>
  <c r="K190" i="37" s="1"/>
  <c r="K187" i="37" a="1"/>
  <c r="K187" i="37" s="1"/>
  <c r="K188" i="37" a="1"/>
  <c r="K188" i="37" s="1"/>
  <c r="K189" i="37" a="1"/>
  <c r="K189" i="37" s="1"/>
  <c r="J145" i="37"/>
  <c r="J209" i="37"/>
  <c r="J80" i="37"/>
  <c r="K103" i="37" a="1"/>
  <c r="K103" i="37" s="1"/>
  <c r="K104" i="37" a="1"/>
  <c r="K104" i="37" s="1"/>
  <c r="K105" i="37" a="1"/>
  <c r="K105" i="37" s="1"/>
  <c r="K102" i="37" a="1"/>
  <c r="K102" i="37" s="1"/>
  <c r="J207" i="37"/>
  <c r="J79" i="37"/>
  <c r="K57" i="37" a="1"/>
  <c r="K57" i="37" s="1"/>
  <c r="K58" i="37" a="1"/>
  <c r="K58" i="37" s="1"/>
  <c r="K59" i="37" a="1"/>
  <c r="K59" i="37" s="1"/>
  <c r="K60" i="37" a="1"/>
  <c r="K60" i="37" s="1"/>
  <c r="K134" i="37" a="1"/>
  <c r="K134" i="37" s="1"/>
  <c r="K135" i="37" a="1"/>
  <c r="K135" i="37" s="1"/>
  <c r="K133" i="37" a="1"/>
  <c r="K133" i="37" s="1"/>
  <c r="K132" i="37" a="1"/>
  <c r="K132" i="37" s="1"/>
  <c r="J210" i="37"/>
  <c r="K74" i="37"/>
  <c r="K30" i="37" a="1"/>
  <c r="K30" i="37" s="1"/>
  <c r="K27" i="37" a="1"/>
  <c r="K27" i="37" s="1"/>
  <c r="K28" i="37" a="1"/>
  <c r="K28" i="37" s="1"/>
  <c r="K29" i="37" a="1"/>
  <c r="K29" i="37" s="1"/>
  <c r="K122" i="37" a="1"/>
  <c r="K122" i="37" s="1"/>
  <c r="K125" i="37" a="1"/>
  <c r="K125" i="37" s="1"/>
  <c r="K123" i="37" a="1"/>
  <c r="K123" i="37" s="1"/>
  <c r="K124" i="37" a="1"/>
  <c r="K124" i="37" s="1"/>
  <c r="AH21" i="37"/>
  <c r="AG20" i="37"/>
  <c r="AJ86" i="37"/>
  <c r="AI85" i="37"/>
  <c r="AJ151" i="37"/>
  <c r="AI150" i="37"/>
  <c r="M7" i="37"/>
  <c r="J8" i="37"/>
  <c r="K8" i="64" s="1"/>
  <c r="J8" i="63"/>
  <c r="K8" i="65" s="1"/>
  <c r="J8" i="65"/>
  <c r="H8" i="18"/>
  <c r="M7" i="63"/>
  <c r="L33" i="38"/>
  <c r="M5" i="64"/>
  <c r="L7" i="18"/>
  <c r="M7" i="18" s="1"/>
  <c r="M6" i="18" s="1"/>
  <c r="M35" i="65"/>
  <c r="M5" i="65"/>
  <c r="M36" i="65"/>
  <c r="N6" i="65"/>
  <c r="M14" i="65"/>
  <c r="M25" i="65" s="1"/>
  <c r="M29" i="65"/>
  <c r="M12" i="65"/>
  <c r="O10" i="60"/>
  <c r="O9" i="60" s="1"/>
  <c r="M34" i="38"/>
  <c r="L29" i="18"/>
  <c r="L18" i="18" s="1"/>
  <c r="M35" i="64"/>
  <c r="N6" i="64"/>
  <c r="M34" i="64"/>
  <c r="AB128" i="37" l="1" a="1"/>
  <c r="AB128" i="37" s="1"/>
  <c r="AB118" i="37" a="1"/>
  <c r="AB118" i="37" s="1"/>
  <c r="AB53" i="63" a="1"/>
  <c r="AB53" i="63" s="1"/>
  <c r="AB63" i="63" a="1"/>
  <c r="AB63" i="63" s="1"/>
  <c r="AB163" i="63" a="1"/>
  <c r="AB163" i="63" s="1"/>
  <c r="AB53" i="37" a="1"/>
  <c r="AB53" i="37" s="1"/>
  <c r="AB173" i="37" a="1"/>
  <c r="AB173" i="37" s="1"/>
  <c r="AB98" i="63" a="1"/>
  <c r="AB98" i="63" s="1"/>
  <c r="AB193" i="37" a="1"/>
  <c r="AB193" i="37" s="1"/>
  <c r="AB43" i="37" a="1"/>
  <c r="AB43" i="37" s="1"/>
  <c r="AB183" i="37" a="1"/>
  <c r="AB183" i="37" s="1"/>
  <c r="AB98" i="37" a="1"/>
  <c r="AB98" i="37" s="1"/>
  <c r="AB163" i="37" a="1"/>
  <c r="AB163" i="37" s="1"/>
  <c r="AB23" i="37" a="1"/>
  <c r="AB23" i="37" s="1"/>
  <c r="AB88" i="37" a="1"/>
  <c r="AB88" i="37" s="1"/>
  <c r="AB23" i="63" a="1"/>
  <c r="AB23" i="63" s="1"/>
  <c r="AB33" i="63" a="1"/>
  <c r="AB33" i="63" s="1"/>
  <c r="AB193" i="63" a="1"/>
  <c r="AB193" i="63" s="1"/>
  <c r="AB153" i="63" a="1"/>
  <c r="AB153" i="63" s="1"/>
  <c r="K208" i="63"/>
  <c r="AB43" i="63" a="1"/>
  <c r="AB43" i="63" s="1"/>
  <c r="K210" i="63"/>
  <c r="K142" i="63"/>
  <c r="L123" i="63" a="1"/>
  <c r="L123" i="63" s="1"/>
  <c r="L124" i="63" a="1"/>
  <c r="L124" i="63" s="1"/>
  <c r="L122" i="63" a="1"/>
  <c r="L122" i="63" s="1"/>
  <c r="L125" i="63" a="1"/>
  <c r="L125" i="63" s="1"/>
  <c r="AB33" i="37" a="1"/>
  <c r="AB33" i="37" s="1"/>
  <c r="K145" i="63"/>
  <c r="L47" i="63" a="1"/>
  <c r="L47" i="63" s="1"/>
  <c r="L50" i="63" a="1"/>
  <c r="L50" i="63" s="1"/>
  <c r="L48" i="63" a="1"/>
  <c r="L48" i="63" s="1"/>
  <c r="L49" i="63" a="1"/>
  <c r="L49" i="63" s="1"/>
  <c r="L167" i="63" a="1"/>
  <c r="L167" i="63" s="1"/>
  <c r="L169" i="63" a="1"/>
  <c r="L169" i="63" s="1"/>
  <c r="L170" i="63" a="1"/>
  <c r="L170" i="63" s="1"/>
  <c r="L168" i="63" a="1"/>
  <c r="L168" i="63" s="1"/>
  <c r="L37" i="63" a="1"/>
  <c r="L37" i="63" s="1"/>
  <c r="L39" i="63" a="1"/>
  <c r="L39" i="63" s="1"/>
  <c r="L40" i="63" a="1"/>
  <c r="L40" i="63" s="1"/>
  <c r="L38" i="63" a="1"/>
  <c r="L38" i="63" s="1"/>
  <c r="K78" i="63"/>
  <c r="K144" i="63"/>
  <c r="L60" i="63" a="1"/>
  <c r="L60" i="63" s="1"/>
  <c r="L58" i="63" a="1"/>
  <c r="L58" i="63" s="1"/>
  <c r="L57" i="63" a="1"/>
  <c r="L57" i="63" s="1"/>
  <c r="L59" i="63" a="1"/>
  <c r="L59" i="63" s="1"/>
  <c r="L204" i="63"/>
  <c r="L160" i="63" a="1"/>
  <c r="L160" i="63" s="1"/>
  <c r="L157" i="63" a="1"/>
  <c r="L157" i="63" s="1"/>
  <c r="L159" i="63" a="1"/>
  <c r="L159" i="63" s="1"/>
  <c r="L158" i="63" a="1"/>
  <c r="L158" i="63" s="1"/>
  <c r="L74" i="63"/>
  <c r="L30" i="63" a="1"/>
  <c r="L30" i="63" s="1"/>
  <c r="L27" i="63" a="1"/>
  <c r="L27" i="63" s="1"/>
  <c r="L28" i="63" a="1"/>
  <c r="L28" i="63" s="1"/>
  <c r="L29" i="63" a="1"/>
  <c r="L29" i="63" s="1"/>
  <c r="M194" i="63"/>
  <c r="M184" i="63"/>
  <c r="M174" i="63"/>
  <c r="M164" i="63"/>
  <c r="M154" i="63"/>
  <c r="M109" i="63"/>
  <c r="M119" i="63"/>
  <c r="M99" i="63"/>
  <c r="M89" i="63"/>
  <c r="M129" i="63"/>
  <c r="M64" i="63"/>
  <c r="M54" i="63"/>
  <c r="M44" i="63"/>
  <c r="M24" i="63"/>
  <c r="M34" i="63"/>
  <c r="K80" i="63"/>
  <c r="C30" i="55"/>
  <c r="AC163" i="63" s="1" a="1"/>
  <c r="AC163" i="63" s="1"/>
  <c r="K143" i="63"/>
  <c r="L67" i="63" a="1"/>
  <c r="L67" i="63" s="1"/>
  <c r="L68" i="63" a="1"/>
  <c r="L68" i="63" s="1"/>
  <c r="L70" i="63" a="1"/>
  <c r="L70" i="63" s="1"/>
  <c r="L69" i="63" a="1"/>
  <c r="L69" i="63" s="1"/>
  <c r="L179" i="63" a="1"/>
  <c r="L179" i="63" s="1"/>
  <c r="L177" i="63" a="1"/>
  <c r="L177" i="63" s="1"/>
  <c r="L180" i="63" a="1"/>
  <c r="L180" i="63" s="1"/>
  <c r="L178" i="63" a="1"/>
  <c r="L178" i="63" s="1"/>
  <c r="K79" i="63"/>
  <c r="AB108" i="37" a="1"/>
  <c r="AB108" i="37" s="1"/>
  <c r="L103" i="63" a="1"/>
  <c r="L103" i="63" s="1"/>
  <c r="L102" i="63" a="1"/>
  <c r="L102" i="63" s="1"/>
  <c r="L104" i="63" a="1"/>
  <c r="L104" i="63" s="1"/>
  <c r="L105" i="63" a="1"/>
  <c r="L105" i="63" s="1"/>
  <c r="L188" i="63" a="1"/>
  <c r="L188" i="63" s="1"/>
  <c r="L187" i="63" a="1"/>
  <c r="L187" i="63" s="1"/>
  <c r="L189" i="63" a="1"/>
  <c r="L189" i="63" s="1"/>
  <c r="L190" i="63" a="1"/>
  <c r="L190" i="63" s="1"/>
  <c r="L139" i="63"/>
  <c r="L93" i="63" a="1"/>
  <c r="L93" i="63" s="1"/>
  <c r="L94" i="63" a="1"/>
  <c r="L94" i="63" s="1"/>
  <c r="L92" i="63" a="1"/>
  <c r="L92" i="63" s="1"/>
  <c r="L95" i="63" a="1"/>
  <c r="L95" i="63" s="1"/>
  <c r="K209" i="63"/>
  <c r="K77" i="63"/>
  <c r="AB63" i="37" a="1"/>
  <c r="AB63" i="37" s="1"/>
  <c r="L112" i="63" a="1"/>
  <c r="L112" i="63" s="1"/>
  <c r="L113" i="63" a="1"/>
  <c r="L113" i="63" s="1"/>
  <c r="L115" i="63" a="1"/>
  <c r="L115" i="63" s="1"/>
  <c r="L114" i="63" a="1"/>
  <c r="L114" i="63" s="1"/>
  <c r="L200" i="63" a="1"/>
  <c r="L200" i="63" s="1"/>
  <c r="L197" i="63" a="1"/>
  <c r="L197" i="63" s="1"/>
  <c r="L199" i="63" a="1"/>
  <c r="L199" i="63" s="1"/>
  <c r="L198" i="63" a="1"/>
  <c r="L198" i="63" s="1"/>
  <c r="K207" i="63"/>
  <c r="L132" i="63" a="1"/>
  <c r="L132" i="63" s="1"/>
  <c r="L134" i="63" a="1"/>
  <c r="L134" i="63" s="1"/>
  <c r="L135" i="63" a="1"/>
  <c r="L135" i="63" s="1"/>
  <c r="L133" i="63" a="1"/>
  <c r="L133" i="63" s="1"/>
  <c r="K80" i="37"/>
  <c r="AI86" i="63"/>
  <c r="AH85" i="63"/>
  <c r="K143" i="37"/>
  <c r="K210" i="37"/>
  <c r="AJ150" i="63"/>
  <c r="AK151" i="63"/>
  <c r="AI20" i="63"/>
  <c r="AJ21" i="63"/>
  <c r="K79" i="37"/>
  <c r="K78" i="37"/>
  <c r="M184" i="37"/>
  <c r="M194" i="37"/>
  <c r="M174" i="37"/>
  <c r="M164" i="37"/>
  <c r="M154" i="37"/>
  <c r="M129" i="37"/>
  <c r="M119" i="37"/>
  <c r="M109" i="37"/>
  <c r="M99" i="37"/>
  <c r="M89" i="37"/>
  <c r="M64" i="37"/>
  <c r="M54" i="37"/>
  <c r="M34" i="37"/>
  <c r="M24" i="37"/>
  <c r="M44" i="37"/>
  <c r="K144" i="37"/>
  <c r="K207" i="37"/>
  <c r="L113" i="37" a="1"/>
  <c r="L113" i="37" s="1"/>
  <c r="L115" i="37" a="1"/>
  <c r="L115" i="37" s="1"/>
  <c r="L112" i="37" a="1"/>
  <c r="L112" i="37" s="1"/>
  <c r="L114" i="37" a="1"/>
  <c r="L114" i="37" s="1"/>
  <c r="K142" i="37"/>
  <c r="K209" i="37"/>
  <c r="L74" i="37"/>
  <c r="L27" i="37" a="1"/>
  <c r="L27" i="37" s="1"/>
  <c r="L28" i="37" a="1"/>
  <c r="L28" i="37" s="1"/>
  <c r="L29" i="37" a="1"/>
  <c r="L29" i="37" s="1"/>
  <c r="L30" i="37" a="1"/>
  <c r="L30" i="37" s="1"/>
  <c r="L125" i="37" a="1"/>
  <c r="L125" i="37" s="1"/>
  <c r="L123" i="37" a="1"/>
  <c r="L123" i="37" s="1"/>
  <c r="L124" i="37" a="1"/>
  <c r="L124" i="37" s="1"/>
  <c r="L122" i="37" a="1"/>
  <c r="L122" i="37" s="1"/>
  <c r="L38" i="37" a="1"/>
  <c r="L38" i="37" s="1"/>
  <c r="L39" i="37" a="1"/>
  <c r="L39" i="37" s="1"/>
  <c r="L40" i="37" a="1"/>
  <c r="L40" i="37" s="1"/>
  <c r="L37" i="37" a="1"/>
  <c r="L37" i="37" s="1"/>
  <c r="L134" i="37" a="1"/>
  <c r="L134" i="37" s="1"/>
  <c r="L135" i="37" a="1"/>
  <c r="L135" i="37" s="1"/>
  <c r="L133" i="37" a="1"/>
  <c r="L133" i="37" s="1"/>
  <c r="L132" i="37" a="1"/>
  <c r="L132" i="37" s="1"/>
  <c r="K145" i="37"/>
  <c r="K208" i="37"/>
  <c r="L50" i="37" a="1"/>
  <c r="L50" i="37" s="1"/>
  <c r="L48" i="37" a="1"/>
  <c r="L48" i="37" s="1"/>
  <c r="L49" i="37" a="1"/>
  <c r="L49" i="37" s="1"/>
  <c r="L47" i="37" a="1"/>
  <c r="L47" i="37" s="1"/>
  <c r="L204" i="37"/>
  <c r="L159" i="37" a="1"/>
  <c r="L159" i="37" s="1"/>
  <c r="L157" i="37" a="1"/>
  <c r="L157" i="37" s="1"/>
  <c r="L160" i="37" a="1"/>
  <c r="L160" i="37" s="1"/>
  <c r="L158" i="37" a="1"/>
  <c r="L158" i="37" s="1"/>
  <c r="L58" i="37" a="1"/>
  <c r="L58" i="37" s="1"/>
  <c r="L59" i="37" a="1"/>
  <c r="L59" i="37" s="1"/>
  <c r="L60" i="37" a="1"/>
  <c r="L60" i="37" s="1"/>
  <c r="L57" i="37" a="1"/>
  <c r="L57" i="37" s="1"/>
  <c r="L168" i="37" a="1"/>
  <c r="L168" i="37" s="1"/>
  <c r="L169" i="37" a="1"/>
  <c r="L169" i="37" s="1"/>
  <c r="L170" i="37" a="1"/>
  <c r="L170" i="37" s="1"/>
  <c r="L167" i="37" a="1"/>
  <c r="L167" i="37" s="1"/>
  <c r="L68" i="37" a="1"/>
  <c r="L68" i="37" s="1"/>
  <c r="L69" i="37" a="1"/>
  <c r="L69" i="37" s="1"/>
  <c r="L70" i="37" a="1"/>
  <c r="L70" i="37" s="1"/>
  <c r="L67" i="37" a="1"/>
  <c r="L67" i="37" s="1"/>
  <c r="L177" i="37" a="1"/>
  <c r="L177" i="37" s="1"/>
  <c r="L178" i="37" a="1"/>
  <c r="L178" i="37" s="1"/>
  <c r="L180" i="37" a="1"/>
  <c r="L180" i="37" s="1"/>
  <c r="L179" i="37" a="1"/>
  <c r="L179" i="37" s="1"/>
  <c r="K77" i="37"/>
  <c r="L139" i="37"/>
  <c r="L95" i="37" a="1"/>
  <c r="L95" i="37" s="1"/>
  <c r="L93" i="37" a="1"/>
  <c r="L93" i="37" s="1"/>
  <c r="L92" i="37" a="1"/>
  <c r="L92" i="37" s="1"/>
  <c r="L94" i="37" a="1"/>
  <c r="L94" i="37" s="1"/>
  <c r="L200" i="37" a="1"/>
  <c r="L200" i="37" s="1"/>
  <c r="L197" i="37" a="1"/>
  <c r="L197" i="37" s="1"/>
  <c r="L199" i="37" a="1"/>
  <c r="L199" i="37" s="1"/>
  <c r="L198" i="37" a="1"/>
  <c r="L198" i="37" s="1"/>
  <c r="L104" i="37" a="1"/>
  <c r="L104" i="37" s="1"/>
  <c r="L105" i="37" a="1"/>
  <c r="L105" i="37" s="1"/>
  <c r="L102" i="37" a="1"/>
  <c r="L102" i="37" s="1"/>
  <c r="L103" i="37" a="1"/>
  <c r="L103" i="37" s="1"/>
  <c r="L190" i="37" a="1"/>
  <c r="L190" i="37" s="1"/>
  <c r="L188" i="37" a="1"/>
  <c r="L188" i="37" s="1"/>
  <c r="L189" i="37" a="1"/>
  <c r="L189" i="37" s="1"/>
  <c r="L187" i="37" a="1"/>
  <c r="L187" i="37" s="1"/>
  <c r="AJ85" i="37"/>
  <c r="AK86" i="37"/>
  <c r="AK151" i="37"/>
  <c r="AJ150" i="37"/>
  <c r="AI21" i="37"/>
  <c r="AH20" i="37"/>
  <c r="H24" i="65"/>
  <c r="H28" i="65"/>
  <c r="H26" i="65"/>
  <c r="G45" i="65"/>
  <c r="N7" i="37"/>
  <c r="H45" i="65"/>
  <c r="K8" i="37"/>
  <c r="L8" i="64" s="1"/>
  <c r="I8" i="18"/>
  <c r="K8" i="63"/>
  <c r="L8" i="65" s="1"/>
  <c r="N7" i="63"/>
  <c r="M33" i="38"/>
  <c r="N5" i="64"/>
  <c r="N5" i="65"/>
  <c r="O6" i="65"/>
  <c r="L6" i="18"/>
  <c r="N7" i="18"/>
  <c r="N6" i="18" s="1"/>
  <c r="N36" i="65"/>
  <c r="N12" i="65"/>
  <c r="N35" i="65"/>
  <c r="N29" i="65"/>
  <c r="N14" i="65"/>
  <c r="N25" i="65" s="1"/>
  <c r="P10" i="60"/>
  <c r="P9" i="60" s="1"/>
  <c r="N34" i="38"/>
  <c r="M29" i="18"/>
  <c r="M18" i="18" s="1"/>
  <c r="N34" i="64"/>
  <c r="O6" i="64"/>
  <c r="N35" i="64"/>
  <c r="AC193" i="63" l="1" a="1"/>
  <c r="AC193" i="63" s="1"/>
  <c r="AC88" i="63" a="1"/>
  <c r="AC88" i="63" s="1"/>
  <c r="AC33" i="37" a="1"/>
  <c r="AC33" i="37" s="1"/>
  <c r="AC193" i="37" a="1"/>
  <c r="AC193" i="37" s="1"/>
  <c r="AC63" i="37" a="1"/>
  <c r="AC63" i="37" s="1"/>
  <c r="L80" i="63"/>
  <c r="M204" i="63"/>
  <c r="M157" i="63" a="1"/>
  <c r="M157" i="63" s="1"/>
  <c r="M158" i="63" a="1"/>
  <c r="M158" i="63" s="1"/>
  <c r="M159" i="63" a="1"/>
  <c r="M159" i="63" s="1"/>
  <c r="M160" i="63" a="1"/>
  <c r="M160" i="63" s="1"/>
  <c r="L145" i="63"/>
  <c r="M57" i="63" a="1"/>
  <c r="M57" i="63" s="1"/>
  <c r="M59" i="63" a="1"/>
  <c r="M59" i="63" s="1"/>
  <c r="M60" i="63" a="1"/>
  <c r="M60" i="63" s="1"/>
  <c r="M58" i="63" a="1"/>
  <c r="M58" i="63" s="1"/>
  <c r="M168" i="63" a="1"/>
  <c r="M168" i="63" s="1"/>
  <c r="M169" i="63" a="1"/>
  <c r="M169" i="63" s="1"/>
  <c r="M167" i="63" a="1"/>
  <c r="M167" i="63" s="1"/>
  <c r="M170" i="63" a="1"/>
  <c r="M170" i="63" s="1"/>
  <c r="M47" i="63" a="1"/>
  <c r="M47" i="63" s="1"/>
  <c r="M49" i="63" a="1"/>
  <c r="M49" i="63" s="1"/>
  <c r="M50" i="63" a="1"/>
  <c r="M50" i="63" s="1"/>
  <c r="M48" i="63" a="1"/>
  <c r="M48" i="63" s="1"/>
  <c r="L142" i="63"/>
  <c r="M70" i="63" a="1"/>
  <c r="M70" i="63" s="1"/>
  <c r="M67" i="63" a="1"/>
  <c r="M67" i="63" s="1"/>
  <c r="M68" i="63" a="1"/>
  <c r="M68" i="63" s="1"/>
  <c r="M69" i="63" a="1"/>
  <c r="M69" i="63" s="1"/>
  <c r="M178" i="63" a="1"/>
  <c r="M178" i="63" s="1"/>
  <c r="M180" i="63" a="1"/>
  <c r="M180" i="63" s="1"/>
  <c r="M177" i="63" a="1"/>
  <c r="M177" i="63" s="1"/>
  <c r="M179" i="63" a="1"/>
  <c r="M179" i="63" s="1"/>
  <c r="L208" i="63"/>
  <c r="L144" i="63"/>
  <c r="M134" i="63" a="1"/>
  <c r="M134" i="63" s="1"/>
  <c r="M135" i="63" a="1"/>
  <c r="M135" i="63" s="1"/>
  <c r="M132" i="63" a="1"/>
  <c r="M132" i="63" s="1"/>
  <c r="M133" i="63" a="1"/>
  <c r="M133" i="63" s="1"/>
  <c r="M189" i="63" a="1"/>
  <c r="M189" i="63" s="1"/>
  <c r="M187" i="63" a="1"/>
  <c r="M187" i="63" s="1"/>
  <c r="M190" i="63" a="1"/>
  <c r="M190" i="63" s="1"/>
  <c r="M188" i="63" a="1"/>
  <c r="M188" i="63" s="1"/>
  <c r="L209" i="63"/>
  <c r="L143" i="63"/>
  <c r="C31" i="55"/>
  <c r="AD118" i="37" s="1" a="1"/>
  <c r="AD118" i="37" s="1"/>
  <c r="AC128" i="63" a="1"/>
  <c r="AC128" i="63" s="1"/>
  <c r="AC153" i="63" a="1"/>
  <c r="AC153" i="63" s="1"/>
  <c r="AC63" i="63" a="1"/>
  <c r="AC63" i="63" s="1"/>
  <c r="AC23" i="37" a="1"/>
  <c r="AC23" i="37" s="1"/>
  <c r="AC43" i="63" a="1"/>
  <c r="AC43" i="63" s="1"/>
  <c r="AC53" i="37" a="1"/>
  <c r="AC53" i="37" s="1"/>
  <c r="AC98" i="37" a="1"/>
  <c r="AC98" i="37" s="1"/>
  <c r="AD88" i="63" a="1"/>
  <c r="AD88" i="63" s="1"/>
  <c r="AC88" i="37" a="1"/>
  <c r="AC88" i="37" s="1"/>
  <c r="AC118" i="37" a="1"/>
  <c r="AC118" i="37" s="1"/>
  <c r="AC43" i="37" a="1"/>
  <c r="AC43" i="37" s="1"/>
  <c r="AC153" i="37" a="1"/>
  <c r="AC153" i="37" s="1"/>
  <c r="AC128" i="37" a="1"/>
  <c r="AC128" i="37" s="1"/>
  <c r="AC163" i="37" a="1"/>
  <c r="AC163" i="37" s="1"/>
  <c r="AC173" i="37" a="1"/>
  <c r="AC173" i="37" s="1"/>
  <c r="AC108" i="37" a="1"/>
  <c r="AC108" i="37" s="1"/>
  <c r="M139" i="63"/>
  <c r="M94" i="63" a="1"/>
  <c r="M94" i="63" s="1"/>
  <c r="M95" i="63" a="1"/>
  <c r="M95" i="63" s="1"/>
  <c r="M93" i="63" a="1"/>
  <c r="M93" i="63" s="1"/>
  <c r="M92" i="63" a="1"/>
  <c r="M92" i="63" s="1"/>
  <c r="M197" i="63" a="1"/>
  <c r="M197" i="63" s="1"/>
  <c r="M198" i="63" a="1"/>
  <c r="M198" i="63" s="1"/>
  <c r="M200" i="63" a="1"/>
  <c r="M200" i="63" s="1"/>
  <c r="M199" i="63" a="1"/>
  <c r="M199" i="63" s="1"/>
  <c r="L207" i="63"/>
  <c r="N194" i="63"/>
  <c r="N184" i="63"/>
  <c r="N174" i="63"/>
  <c r="N154" i="63"/>
  <c r="N164" i="63"/>
  <c r="N129" i="63"/>
  <c r="N109" i="63"/>
  <c r="N89" i="63"/>
  <c r="N119" i="63"/>
  <c r="N64" i="63"/>
  <c r="N54" i="63"/>
  <c r="N99" i="63"/>
  <c r="N44" i="63"/>
  <c r="N34" i="63"/>
  <c r="N24" i="63"/>
  <c r="M104" i="63" a="1"/>
  <c r="M104" i="63" s="1"/>
  <c r="M102" i="63" a="1"/>
  <c r="M102" i="63" s="1"/>
  <c r="M103" i="63" a="1"/>
  <c r="M103" i="63" s="1"/>
  <c r="M105" i="63" a="1"/>
  <c r="M105" i="63" s="1"/>
  <c r="L79" i="63"/>
  <c r="L210" i="63"/>
  <c r="M38" i="63" a="1"/>
  <c r="M38" i="63" s="1"/>
  <c r="M37" i="63" a="1"/>
  <c r="M37" i="63" s="1"/>
  <c r="M40" i="63" a="1"/>
  <c r="M40" i="63" s="1"/>
  <c r="M39" i="63" a="1"/>
  <c r="M39" i="63" s="1"/>
  <c r="M123" i="63" a="1"/>
  <c r="M123" i="63" s="1"/>
  <c r="M122" i="63" a="1"/>
  <c r="M122" i="63" s="1"/>
  <c r="M125" i="63" a="1"/>
  <c r="M125" i="63" s="1"/>
  <c r="M124" i="63" a="1"/>
  <c r="M124" i="63" s="1"/>
  <c r="L78" i="63"/>
  <c r="M74" i="63"/>
  <c r="M28" i="63" a="1"/>
  <c r="M28" i="63" s="1"/>
  <c r="M27" i="63" a="1"/>
  <c r="M27" i="63" s="1"/>
  <c r="M30" i="63" a="1"/>
  <c r="M30" i="63" s="1"/>
  <c r="M29" i="63" a="1"/>
  <c r="M29" i="63" s="1"/>
  <c r="M115" i="63" a="1"/>
  <c r="M115" i="63" s="1"/>
  <c r="M114" i="63" a="1"/>
  <c r="M114" i="63" s="1"/>
  <c r="M113" i="63" a="1"/>
  <c r="M113" i="63" s="1"/>
  <c r="M112" i="63" a="1"/>
  <c r="M112" i="63" s="1"/>
  <c r="L77" i="63"/>
  <c r="AK150" i="63"/>
  <c r="AL151" i="63"/>
  <c r="AM151" i="63" s="1"/>
  <c r="AM150" i="63" s="1"/>
  <c r="L79" i="37"/>
  <c r="AK21" i="63"/>
  <c r="AJ20" i="63"/>
  <c r="L142" i="37"/>
  <c r="AI85" i="63"/>
  <c r="AJ86" i="63"/>
  <c r="L209" i="37"/>
  <c r="M114" i="37" a="1"/>
  <c r="M114" i="37" s="1"/>
  <c r="M115" i="37" a="1"/>
  <c r="M115" i="37" s="1"/>
  <c r="M113" i="37" a="1"/>
  <c r="M113" i="37" s="1"/>
  <c r="M112" i="37" a="1"/>
  <c r="M112" i="37" s="1"/>
  <c r="N194" i="37"/>
  <c r="N174" i="37"/>
  <c r="N184" i="37"/>
  <c r="N164" i="37"/>
  <c r="N154" i="37"/>
  <c r="N129" i="37"/>
  <c r="N119" i="37"/>
  <c r="N99" i="37"/>
  <c r="N109" i="37"/>
  <c r="N89" i="37"/>
  <c r="N64" i="37"/>
  <c r="N24" i="37"/>
  <c r="N54" i="37"/>
  <c r="N44" i="37"/>
  <c r="N34" i="37"/>
  <c r="L143" i="37"/>
  <c r="M50" i="37" a="1"/>
  <c r="M50" i="37" s="1"/>
  <c r="M48" i="37" a="1"/>
  <c r="M48" i="37" s="1"/>
  <c r="M47" i="37" a="1"/>
  <c r="M47" i="37" s="1"/>
  <c r="M49" i="37" a="1"/>
  <c r="M49" i="37" s="1"/>
  <c r="M125" i="37" a="1"/>
  <c r="M125" i="37" s="1"/>
  <c r="M123" i="37" a="1"/>
  <c r="M123" i="37" s="1"/>
  <c r="M124" i="37" a="1"/>
  <c r="M124" i="37" s="1"/>
  <c r="M122" i="37" a="1"/>
  <c r="M122" i="37" s="1"/>
  <c r="L145" i="37"/>
  <c r="M74" i="37"/>
  <c r="M28" i="37" a="1"/>
  <c r="M28" i="37" s="1"/>
  <c r="M29" i="37" a="1"/>
  <c r="M29" i="37" s="1"/>
  <c r="M30" i="37" a="1"/>
  <c r="M30" i="37" s="1"/>
  <c r="M27" i="37" a="1"/>
  <c r="M27" i="37" s="1"/>
  <c r="M135" i="37" a="1"/>
  <c r="M135" i="37" s="1"/>
  <c r="M132" i="37" a="1"/>
  <c r="M132" i="37" s="1"/>
  <c r="M134" i="37" a="1"/>
  <c r="M134" i="37" s="1"/>
  <c r="M133" i="37" a="1"/>
  <c r="M133" i="37" s="1"/>
  <c r="M39" i="37" a="1"/>
  <c r="M39" i="37" s="1"/>
  <c r="M40" i="37" a="1"/>
  <c r="M40" i="37" s="1"/>
  <c r="M37" i="37" a="1"/>
  <c r="M37" i="37" s="1"/>
  <c r="M38" i="37" a="1"/>
  <c r="M38" i="37" s="1"/>
  <c r="M204" i="37"/>
  <c r="M157" i="37" a="1"/>
  <c r="M157" i="37" s="1"/>
  <c r="M159" i="37" a="1"/>
  <c r="M159" i="37" s="1"/>
  <c r="M160" i="37" a="1"/>
  <c r="M160" i="37" s="1"/>
  <c r="M158" i="37" a="1"/>
  <c r="M158" i="37" s="1"/>
  <c r="L80" i="37"/>
  <c r="M59" i="37" a="1"/>
  <c r="M59" i="37" s="1"/>
  <c r="M60" i="37" a="1"/>
  <c r="M60" i="37" s="1"/>
  <c r="M57" i="37" a="1"/>
  <c r="M57" i="37" s="1"/>
  <c r="M58" i="37" a="1"/>
  <c r="M58" i="37" s="1"/>
  <c r="M167" i="37" a="1"/>
  <c r="M167" i="37" s="1"/>
  <c r="M168" i="37" a="1"/>
  <c r="M168" i="37" s="1"/>
  <c r="M169" i="37" a="1"/>
  <c r="M169" i="37" s="1"/>
  <c r="M170" i="37" a="1"/>
  <c r="M170" i="37" s="1"/>
  <c r="L208" i="37"/>
  <c r="M69" i="37" a="1"/>
  <c r="M69" i="37" s="1"/>
  <c r="M70" i="37" a="1"/>
  <c r="M70" i="37" s="1"/>
  <c r="M67" i="37" a="1"/>
  <c r="M67" i="37" s="1"/>
  <c r="M68" i="37" a="1"/>
  <c r="M68" i="37" s="1"/>
  <c r="M178" i="37" a="1"/>
  <c r="M178" i="37" s="1"/>
  <c r="M179" i="37" a="1"/>
  <c r="M179" i="37" s="1"/>
  <c r="M180" i="37" a="1"/>
  <c r="M180" i="37" s="1"/>
  <c r="M177" i="37" a="1"/>
  <c r="M177" i="37" s="1"/>
  <c r="L210" i="37"/>
  <c r="L78" i="37"/>
  <c r="M139" i="37"/>
  <c r="M95" i="37" a="1"/>
  <c r="M95" i="37" s="1"/>
  <c r="M92" i="37" a="1"/>
  <c r="M92" i="37" s="1"/>
  <c r="M94" i="37" a="1"/>
  <c r="M94" i="37" s="1"/>
  <c r="M93" i="37" a="1"/>
  <c r="M93" i="37" s="1"/>
  <c r="M197" i="37" a="1"/>
  <c r="M197" i="37" s="1"/>
  <c r="M198" i="37" a="1"/>
  <c r="M198" i="37" s="1"/>
  <c r="M200" i="37" a="1"/>
  <c r="M200" i="37" s="1"/>
  <c r="M199" i="37" a="1"/>
  <c r="M199" i="37" s="1"/>
  <c r="L144" i="37"/>
  <c r="L207" i="37"/>
  <c r="L77" i="37"/>
  <c r="M105" i="37" a="1"/>
  <c r="M105" i="37" s="1"/>
  <c r="M102" i="37" a="1"/>
  <c r="M102" i="37" s="1"/>
  <c r="M103" i="37" a="1"/>
  <c r="M103" i="37" s="1"/>
  <c r="M104" i="37" a="1"/>
  <c r="M104" i="37" s="1"/>
  <c r="M189" i="37" a="1"/>
  <c r="M189" i="37" s="1"/>
  <c r="M187" i="37" a="1"/>
  <c r="M187" i="37" s="1"/>
  <c r="M190" i="37" a="1"/>
  <c r="M190" i="37" s="1"/>
  <c r="M188" i="37" a="1"/>
  <c r="M188" i="37" s="1"/>
  <c r="AJ21" i="37"/>
  <c r="AI20" i="37"/>
  <c r="AL86" i="37"/>
  <c r="AM86" i="37" s="1"/>
  <c r="AM85" i="37" s="1"/>
  <c r="AK85" i="37"/>
  <c r="AL151" i="37"/>
  <c r="AM151" i="37" s="1"/>
  <c r="AM150" i="37" s="1"/>
  <c r="AK150" i="37"/>
  <c r="O7" i="37"/>
  <c r="L8" i="37"/>
  <c r="M8" i="64" s="1"/>
  <c r="J8" i="18"/>
  <c r="L8" i="63"/>
  <c r="M8" i="65" s="1"/>
  <c r="O7" i="63"/>
  <c r="N33" i="38"/>
  <c r="O5" i="64"/>
  <c r="O5" i="65"/>
  <c r="O14" i="65"/>
  <c r="O25" i="65" s="1"/>
  <c r="O12" i="65"/>
  <c r="O29" i="65"/>
  <c r="O36" i="65"/>
  <c r="O35" i="65"/>
  <c r="P6" i="65"/>
  <c r="O7" i="18"/>
  <c r="O6" i="18" s="1"/>
  <c r="Q10" i="60"/>
  <c r="Q9" i="60" s="1"/>
  <c r="O34" i="38"/>
  <c r="N29" i="18"/>
  <c r="N18" i="18" s="1"/>
  <c r="O35" i="64"/>
  <c r="O34" i="64"/>
  <c r="P6" i="64"/>
  <c r="AD173" i="37" l="1" a="1"/>
  <c r="AD173" i="37" s="1"/>
  <c r="AD43" i="37" a="1"/>
  <c r="AD43" i="37" s="1"/>
  <c r="AD193" i="63" a="1"/>
  <c r="AD193" i="63" s="1"/>
  <c r="AD23" i="63" a="1"/>
  <c r="AD23" i="63" s="1"/>
  <c r="AD63" i="37" a="1"/>
  <c r="AD63" i="37" s="1"/>
  <c r="AD43" i="63" a="1"/>
  <c r="AD43" i="63" s="1"/>
  <c r="AD153" i="63" a="1"/>
  <c r="AD153" i="63" s="1"/>
  <c r="AD128" i="37" a="1"/>
  <c r="AD128" i="37" s="1"/>
  <c r="AD33" i="37" a="1"/>
  <c r="AD33" i="37" s="1"/>
  <c r="AD88" i="37" a="1"/>
  <c r="AD88" i="37" s="1"/>
  <c r="AD163" i="37" a="1"/>
  <c r="AD163" i="37" s="1"/>
  <c r="AD33" i="63" a="1"/>
  <c r="AD33" i="63" s="1"/>
  <c r="AD98" i="37" a="1"/>
  <c r="AD98" i="37" s="1"/>
  <c r="AD183" i="63" a="1"/>
  <c r="AD183" i="63" s="1"/>
  <c r="AD193" i="37" a="1"/>
  <c r="AD193" i="37" s="1"/>
  <c r="AD183" i="37" a="1"/>
  <c r="AD183" i="37" s="1"/>
  <c r="AD53" i="63" a="1"/>
  <c r="AD53" i="63" s="1"/>
  <c r="M78" i="63"/>
  <c r="M79" i="63"/>
  <c r="M210" i="63"/>
  <c r="O194" i="63"/>
  <c r="O184" i="63"/>
  <c r="O174" i="63"/>
  <c r="O164" i="63"/>
  <c r="O154" i="63"/>
  <c r="O129" i="63"/>
  <c r="O119" i="63"/>
  <c r="O99" i="63"/>
  <c r="O109" i="63"/>
  <c r="O89" i="63"/>
  <c r="O54" i="63"/>
  <c r="O44" i="63"/>
  <c r="O34" i="63"/>
  <c r="O24" i="63"/>
  <c r="O64" i="63"/>
  <c r="N67" i="63" a="1"/>
  <c r="N67" i="63" s="1"/>
  <c r="N69" i="63" a="1"/>
  <c r="N69" i="63" s="1"/>
  <c r="N68" i="63" a="1"/>
  <c r="N68" i="63" s="1"/>
  <c r="N70" i="63" a="1"/>
  <c r="N70" i="63" s="1"/>
  <c r="N189" i="63" a="1"/>
  <c r="N189" i="63" s="1"/>
  <c r="N190" i="63" a="1"/>
  <c r="N190" i="63" s="1"/>
  <c r="N187" i="63" a="1"/>
  <c r="N187" i="63" s="1"/>
  <c r="N188" i="63" a="1"/>
  <c r="N188" i="63" s="1"/>
  <c r="M142" i="63"/>
  <c r="AD173" i="63" a="1"/>
  <c r="AD173" i="63" s="1"/>
  <c r="M145" i="63"/>
  <c r="N125" i="63" a="1"/>
  <c r="N125" i="63" s="1"/>
  <c r="N123" i="63" a="1"/>
  <c r="N123" i="63" s="1"/>
  <c r="N124" i="63" a="1"/>
  <c r="N124" i="63" s="1"/>
  <c r="N122" i="63" a="1"/>
  <c r="N122" i="63" s="1"/>
  <c r="N198" i="63" a="1"/>
  <c r="N198" i="63" s="1"/>
  <c r="N199" i="63" a="1"/>
  <c r="N199" i="63" s="1"/>
  <c r="N197" i="63" a="1"/>
  <c r="N197" i="63" s="1"/>
  <c r="N200" i="63" a="1"/>
  <c r="N200" i="63" s="1"/>
  <c r="M143" i="63"/>
  <c r="AD53" i="37" a="1"/>
  <c r="AD53" i="37" s="1"/>
  <c r="M80" i="63"/>
  <c r="N74" i="63"/>
  <c r="N29" i="63" a="1"/>
  <c r="N29" i="63" s="1"/>
  <c r="N28" i="63" a="1"/>
  <c r="N28" i="63" s="1"/>
  <c r="N27" i="63" a="1"/>
  <c r="N27" i="63" s="1"/>
  <c r="N30" i="63" a="1"/>
  <c r="N30" i="63" s="1"/>
  <c r="N115" i="63" a="1"/>
  <c r="N115" i="63" s="1"/>
  <c r="N114" i="63" a="1"/>
  <c r="N114" i="63" s="1"/>
  <c r="N112" i="63" a="1"/>
  <c r="N112" i="63" s="1"/>
  <c r="N113" i="63" a="1"/>
  <c r="N113" i="63" s="1"/>
  <c r="M144" i="63"/>
  <c r="M209" i="63"/>
  <c r="N139" i="63"/>
  <c r="N93" i="63" a="1"/>
  <c r="N93" i="63" s="1"/>
  <c r="N92" i="63" a="1"/>
  <c r="N92" i="63" s="1"/>
  <c r="N95" i="63" a="1"/>
  <c r="N95" i="63" s="1"/>
  <c r="N94" i="63" a="1"/>
  <c r="N94" i="63" s="1"/>
  <c r="M77" i="63"/>
  <c r="N38" i="63" a="1"/>
  <c r="N38" i="63" s="1"/>
  <c r="N40" i="63" a="1"/>
  <c r="N40" i="63" s="1"/>
  <c r="N37" i="63" a="1"/>
  <c r="N37" i="63" s="1"/>
  <c r="N39" i="63" a="1"/>
  <c r="N39" i="63" s="1"/>
  <c r="N135" i="63" a="1"/>
  <c r="N135" i="63" s="1"/>
  <c r="N132" i="63" a="1"/>
  <c r="N132" i="63" s="1"/>
  <c r="N134" i="63" a="1"/>
  <c r="N134" i="63" s="1"/>
  <c r="N133" i="63" a="1"/>
  <c r="N133" i="63" s="1"/>
  <c r="M208" i="63"/>
  <c r="N50" i="63" a="1"/>
  <c r="N50" i="63" s="1"/>
  <c r="N47" i="63" a="1"/>
  <c r="N47" i="63" s="1"/>
  <c r="N48" i="63" a="1"/>
  <c r="N48" i="63" s="1"/>
  <c r="N49" i="63" a="1"/>
  <c r="N49" i="63" s="1"/>
  <c r="N169" i="63" a="1"/>
  <c r="N169" i="63" s="1"/>
  <c r="N168" i="63" a="1"/>
  <c r="N168" i="63" s="1"/>
  <c r="N170" i="63" a="1"/>
  <c r="N170" i="63" s="1"/>
  <c r="N167" i="63" a="1"/>
  <c r="N167" i="63" s="1"/>
  <c r="AD108" i="37" a="1"/>
  <c r="AD108" i="37" s="1"/>
  <c r="M207" i="63"/>
  <c r="N102" i="63" a="1"/>
  <c r="N102" i="63" s="1"/>
  <c r="N105" i="63" a="1"/>
  <c r="N105" i="63" s="1"/>
  <c r="N104" i="63" a="1"/>
  <c r="N104" i="63" s="1"/>
  <c r="N103" i="63" a="1"/>
  <c r="N103" i="63" s="1"/>
  <c r="N204" i="63"/>
  <c r="N159" i="63" a="1"/>
  <c r="N159" i="63" s="1"/>
  <c r="N160" i="63" a="1"/>
  <c r="N160" i="63" s="1"/>
  <c r="N157" i="63" a="1"/>
  <c r="N157" i="63" s="1"/>
  <c r="N158" i="63" a="1"/>
  <c r="N158" i="63" s="1"/>
  <c r="N59" i="63" a="1"/>
  <c r="N59" i="63" s="1"/>
  <c r="N57" i="63" a="1"/>
  <c r="N57" i="63" s="1"/>
  <c r="N58" i="63" a="1"/>
  <c r="N58" i="63" s="1"/>
  <c r="N60" i="63" a="1"/>
  <c r="N60" i="63" s="1"/>
  <c r="N178" i="63" a="1"/>
  <c r="N178" i="63" s="1"/>
  <c r="N180" i="63" a="1"/>
  <c r="N180" i="63" s="1"/>
  <c r="N179" i="63" a="1"/>
  <c r="N179" i="63" s="1"/>
  <c r="N177" i="63" a="1"/>
  <c r="N177" i="63" s="1"/>
  <c r="C32" i="55"/>
  <c r="AE153" i="37" s="1" a="1"/>
  <c r="AE153" i="37" s="1"/>
  <c r="AD23" i="37" a="1"/>
  <c r="AD23" i="37" s="1"/>
  <c r="AD98" i="63" a="1"/>
  <c r="AD98" i="63" s="1"/>
  <c r="AD153" i="37" a="1"/>
  <c r="AD153" i="37" s="1"/>
  <c r="AJ85" i="63"/>
  <c r="AK86" i="63"/>
  <c r="AN151" i="63"/>
  <c r="AN150" i="63" s="1"/>
  <c r="AL150" i="63"/>
  <c r="AL21" i="63"/>
  <c r="AM21" i="63" s="1"/>
  <c r="AK20" i="63"/>
  <c r="M144" i="37"/>
  <c r="M208" i="37"/>
  <c r="M78" i="37"/>
  <c r="N70" i="37" a="1"/>
  <c r="N70" i="37" s="1"/>
  <c r="N67" i="37" a="1"/>
  <c r="N67" i="37" s="1"/>
  <c r="N68" i="37" a="1"/>
  <c r="N68" i="37" s="1"/>
  <c r="N69" i="37" a="1"/>
  <c r="N69" i="37" s="1"/>
  <c r="N187" i="37" a="1"/>
  <c r="N187" i="37" s="1"/>
  <c r="N188" i="37" a="1"/>
  <c r="N188" i="37" s="1"/>
  <c r="N190" i="37" a="1"/>
  <c r="N190" i="37" s="1"/>
  <c r="N189" i="37" a="1"/>
  <c r="N189" i="37" s="1"/>
  <c r="M142" i="37"/>
  <c r="M210" i="37"/>
  <c r="N139" i="37"/>
  <c r="N95" i="37" a="1"/>
  <c r="N95" i="37" s="1"/>
  <c r="N92" i="37" a="1"/>
  <c r="N92" i="37" s="1"/>
  <c r="N94" i="37" a="1"/>
  <c r="N94" i="37" s="1"/>
  <c r="N93" i="37" a="1"/>
  <c r="N93" i="37" s="1"/>
  <c r="N179" i="37" a="1"/>
  <c r="N179" i="37" s="1"/>
  <c r="N180" i="37" a="1"/>
  <c r="N180" i="37" s="1"/>
  <c r="N177" i="37" a="1"/>
  <c r="N177" i="37" s="1"/>
  <c r="N178" i="37" a="1"/>
  <c r="N178" i="37" s="1"/>
  <c r="O194" i="37"/>
  <c r="O184" i="37"/>
  <c r="O174" i="37"/>
  <c r="O164" i="37"/>
  <c r="O154" i="37"/>
  <c r="O129" i="37"/>
  <c r="O119" i="37"/>
  <c r="O99" i="37"/>
  <c r="O89" i="37"/>
  <c r="O109" i="37"/>
  <c r="O64" i="37"/>
  <c r="O54" i="37"/>
  <c r="O44" i="37"/>
  <c r="O34" i="37"/>
  <c r="O24" i="37"/>
  <c r="M145" i="37"/>
  <c r="M209" i="37"/>
  <c r="N115" i="37" a="1"/>
  <c r="N115" i="37" s="1"/>
  <c r="N113" i="37" a="1"/>
  <c r="N113" i="37" s="1"/>
  <c r="N114" i="37" a="1"/>
  <c r="N114" i="37" s="1"/>
  <c r="N112" i="37" a="1"/>
  <c r="N112" i="37" s="1"/>
  <c r="N198" i="37" a="1"/>
  <c r="N198" i="37" s="1"/>
  <c r="N199" i="37" a="1"/>
  <c r="N199" i="37" s="1"/>
  <c r="N197" i="37" a="1"/>
  <c r="N197" i="37" s="1"/>
  <c r="N200" i="37" a="1"/>
  <c r="N200" i="37" s="1"/>
  <c r="M207" i="37"/>
  <c r="N102" i="37" a="1"/>
  <c r="N102" i="37" s="1"/>
  <c r="N103" i="37" a="1"/>
  <c r="N103" i="37" s="1"/>
  <c r="N104" i="37" a="1"/>
  <c r="N104" i="37" s="1"/>
  <c r="N105" i="37" a="1"/>
  <c r="N105" i="37" s="1"/>
  <c r="N40" i="37" a="1"/>
  <c r="N40" i="37" s="1"/>
  <c r="N37" i="37" a="1"/>
  <c r="N37" i="37" s="1"/>
  <c r="N38" i="37" a="1"/>
  <c r="N38" i="37" s="1"/>
  <c r="N39" i="37" a="1"/>
  <c r="N39" i="37" s="1"/>
  <c r="N124" i="37" a="1"/>
  <c r="N124" i="37" s="1"/>
  <c r="N122" i="37" a="1"/>
  <c r="N122" i="37" s="1"/>
  <c r="N125" i="37" a="1"/>
  <c r="N125" i="37" s="1"/>
  <c r="N123" i="37" a="1"/>
  <c r="N123" i="37" s="1"/>
  <c r="M77" i="37"/>
  <c r="N50" i="37" a="1"/>
  <c r="N50" i="37" s="1"/>
  <c r="N47" i="37" a="1"/>
  <c r="N47" i="37" s="1"/>
  <c r="N49" i="37" a="1"/>
  <c r="N49" i="37" s="1"/>
  <c r="N48" i="37" a="1"/>
  <c r="N48" i="37" s="1"/>
  <c r="N133" i="37" a="1"/>
  <c r="N133" i="37" s="1"/>
  <c r="N135" i="37" a="1"/>
  <c r="N135" i="37" s="1"/>
  <c r="N132" i="37" a="1"/>
  <c r="N132" i="37" s="1"/>
  <c r="N134" i="37" a="1"/>
  <c r="N134" i="37" s="1"/>
  <c r="M80" i="37"/>
  <c r="N60" i="37" a="1"/>
  <c r="N60" i="37" s="1"/>
  <c r="N57" i="37" a="1"/>
  <c r="N57" i="37" s="1"/>
  <c r="N58" i="37" a="1"/>
  <c r="N58" i="37" s="1"/>
  <c r="N59" i="37" a="1"/>
  <c r="N59" i="37" s="1"/>
  <c r="N204" i="37"/>
  <c r="N157" i="37" a="1"/>
  <c r="N157" i="37" s="1"/>
  <c r="N159" i="37" a="1"/>
  <c r="N159" i="37" s="1"/>
  <c r="N158" i="37" a="1"/>
  <c r="N158" i="37" s="1"/>
  <c r="N160" i="37" a="1"/>
  <c r="N160" i="37" s="1"/>
  <c r="M143" i="37"/>
  <c r="M79" i="37"/>
  <c r="N74" i="37"/>
  <c r="N29" i="37" a="1"/>
  <c r="N29" i="37" s="1"/>
  <c r="N30" i="37" a="1"/>
  <c r="N30" i="37" s="1"/>
  <c r="N27" i="37" a="1"/>
  <c r="N27" i="37" s="1"/>
  <c r="N28" i="37" a="1"/>
  <c r="N28" i="37" s="1"/>
  <c r="N169" i="37" a="1"/>
  <c r="N169" i="37" s="1"/>
  <c r="N167" i="37" a="1"/>
  <c r="N167" i="37" s="1"/>
  <c r="N170" i="37" a="1"/>
  <c r="N170" i="37" s="1"/>
  <c r="N168" i="37" a="1"/>
  <c r="N168" i="37" s="1"/>
  <c r="AN86" i="37"/>
  <c r="AN85" i="37" s="1"/>
  <c r="AL85" i="37"/>
  <c r="AN151" i="37"/>
  <c r="AN150" i="37" s="1"/>
  <c r="AL150" i="37"/>
  <c r="AJ20" i="37"/>
  <c r="AK21" i="37"/>
  <c r="G48" i="65"/>
  <c r="P7" i="37"/>
  <c r="M8" i="37"/>
  <c r="N8" i="64" s="1"/>
  <c r="K8" i="18"/>
  <c r="M8" i="63"/>
  <c r="L8" i="18" s="1"/>
  <c r="P7" i="63"/>
  <c r="O33" i="38"/>
  <c r="P5" i="64"/>
  <c r="P5" i="65"/>
  <c r="Q6" i="65"/>
  <c r="P36" i="65"/>
  <c r="P35" i="65"/>
  <c r="P7" i="18"/>
  <c r="P6" i="18" s="1"/>
  <c r="P29" i="65"/>
  <c r="P12" i="65"/>
  <c r="P14" i="65"/>
  <c r="P25" i="65" s="1"/>
  <c r="R10" i="60"/>
  <c r="R9" i="60" s="1"/>
  <c r="P34" i="38"/>
  <c r="O29" i="18"/>
  <c r="O18" i="18" s="1"/>
  <c r="P35" i="64"/>
  <c r="P34" i="64"/>
  <c r="Q6" i="64"/>
  <c r="AM20" i="63" l="1"/>
  <c r="AE88" i="63" a="1"/>
  <c r="AE88" i="63" s="1"/>
  <c r="AE183" i="37" a="1"/>
  <c r="AE183" i="37" s="1"/>
  <c r="AE128" i="37" a="1"/>
  <c r="AE128" i="37" s="1"/>
  <c r="AE33" i="37" a="1"/>
  <c r="AE33" i="37" s="1"/>
  <c r="AE118" i="37" a="1"/>
  <c r="AE118" i="37" s="1"/>
  <c r="AE108" i="63" a="1"/>
  <c r="AE108" i="63" s="1"/>
  <c r="AE173" i="37" a="1"/>
  <c r="AE173" i="37" s="1"/>
  <c r="AE183" i="63" a="1"/>
  <c r="AE183" i="63" s="1"/>
  <c r="N78" i="37"/>
  <c r="N143" i="63"/>
  <c r="N80" i="63"/>
  <c r="O74" i="63"/>
  <c r="O29" i="63" a="1"/>
  <c r="O29" i="63" s="1"/>
  <c r="O27" i="63" a="1"/>
  <c r="O27" i="63" s="1"/>
  <c r="O28" i="63" a="1"/>
  <c r="O28" i="63" s="1"/>
  <c r="O30" i="63" a="1"/>
  <c r="O30" i="63" s="1"/>
  <c r="O132" i="63" a="1"/>
  <c r="O132" i="63" s="1"/>
  <c r="O133" i="63" a="1"/>
  <c r="O133" i="63" s="1"/>
  <c r="O135" i="63" a="1"/>
  <c r="O135" i="63" s="1"/>
  <c r="O134" i="63" a="1"/>
  <c r="O134" i="63" s="1"/>
  <c r="O68" i="63" a="1"/>
  <c r="O68" i="63" s="1"/>
  <c r="O70" i="63" a="1"/>
  <c r="O70" i="63" s="1"/>
  <c r="O67" i="63" a="1"/>
  <c r="O67" i="63" s="1"/>
  <c r="O69" i="63" a="1"/>
  <c r="O69" i="63" s="1"/>
  <c r="N77" i="63"/>
  <c r="O40" i="63" a="1"/>
  <c r="O40" i="63" s="1"/>
  <c r="O39" i="63" a="1"/>
  <c r="O39" i="63" s="1"/>
  <c r="O38" i="63" a="1"/>
  <c r="O38" i="63" s="1"/>
  <c r="O37" i="63" a="1"/>
  <c r="O37" i="63" s="1"/>
  <c r="O204" i="63"/>
  <c r="O158" i="63" a="1"/>
  <c r="O158" i="63" s="1"/>
  <c r="O159" i="63" a="1"/>
  <c r="O159" i="63" s="1"/>
  <c r="O160" i="63" a="1"/>
  <c r="O160" i="63" s="1"/>
  <c r="O157" i="63" a="1"/>
  <c r="O157" i="63" s="1"/>
  <c r="O122" i="63" a="1"/>
  <c r="O122" i="63" s="1"/>
  <c r="O123" i="63" a="1"/>
  <c r="O123" i="63" s="1"/>
  <c r="O124" i="63" a="1"/>
  <c r="O124" i="63" s="1"/>
  <c r="O125" i="63" a="1"/>
  <c r="O125" i="63" s="1"/>
  <c r="C33" i="55"/>
  <c r="AF43" i="63" s="1" a="1"/>
  <c r="AF43" i="63" s="1"/>
  <c r="AE23" i="37" a="1"/>
  <c r="AE23" i="37" s="1"/>
  <c r="AE173" i="63" a="1"/>
  <c r="AE173" i="63" s="1"/>
  <c r="AE108" i="37" a="1"/>
  <c r="AE108" i="37" s="1"/>
  <c r="AE128" i="63" a="1"/>
  <c r="AE128" i="63" s="1"/>
  <c r="AE43" i="37" a="1"/>
  <c r="AE43" i="37" s="1"/>
  <c r="AE53" i="37" a="1"/>
  <c r="AE53" i="37" s="1"/>
  <c r="AE63" i="63" a="1"/>
  <c r="AE63" i="63" s="1"/>
  <c r="AE193" i="37" a="1"/>
  <c r="AE193" i="37" s="1"/>
  <c r="AE163" i="37" a="1"/>
  <c r="AE163" i="37" s="1"/>
  <c r="AE33" i="63" a="1"/>
  <c r="AE33" i="63" s="1"/>
  <c r="AE153" i="63" a="1"/>
  <c r="AE153" i="63" s="1"/>
  <c r="AE98" i="37" a="1"/>
  <c r="AE98" i="37" s="1"/>
  <c r="AE63" i="37" a="1"/>
  <c r="AE63" i="37" s="1"/>
  <c r="AE88" i="37" a="1"/>
  <c r="AE88" i="37" s="1"/>
  <c r="N78" i="63"/>
  <c r="O47" i="63" a="1"/>
  <c r="O47" i="63" s="1"/>
  <c r="O49" i="63" a="1"/>
  <c r="O49" i="63" s="1"/>
  <c r="O48" i="63" a="1"/>
  <c r="O48" i="63" s="1"/>
  <c r="O50" i="63" a="1"/>
  <c r="O50" i="63" s="1"/>
  <c r="O169" i="63" a="1"/>
  <c r="O169" i="63" s="1"/>
  <c r="O170" i="63" a="1"/>
  <c r="O170" i="63" s="1"/>
  <c r="O167" i="63" a="1"/>
  <c r="O167" i="63" s="1"/>
  <c r="O168" i="63" a="1"/>
  <c r="O168" i="63" s="1"/>
  <c r="P194" i="63"/>
  <c r="P184" i="63"/>
  <c r="P174" i="63"/>
  <c r="P164" i="63"/>
  <c r="P154" i="63"/>
  <c r="P129" i="63"/>
  <c r="P119" i="63"/>
  <c r="P99" i="63"/>
  <c r="P109" i="63"/>
  <c r="P89" i="63"/>
  <c r="P44" i="63"/>
  <c r="P34" i="63"/>
  <c r="P24" i="63"/>
  <c r="P64" i="63"/>
  <c r="P54" i="63"/>
  <c r="N208" i="63"/>
  <c r="N79" i="63"/>
  <c r="O57" i="63" a="1"/>
  <c r="O57" i="63" s="1"/>
  <c r="O59" i="63" a="1"/>
  <c r="O59" i="63" s="1"/>
  <c r="O60" i="63" a="1"/>
  <c r="O60" i="63" s="1"/>
  <c r="O58" i="63" a="1"/>
  <c r="O58" i="63" s="1"/>
  <c r="O180" i="63" a="1"/>
  <c r="O180" i="63" s="1"/>
  <c r="O179" i="63" a="1"/>
  <c r="O179" i="63" s="1"/>
  <c r="O178" i="63" a="1"/>
  <c r="O178" i="63" s="1"/>
  <c r="O177" i="63" a="1"/>
  <c r="O177" i="63" s="1"/>
  <c r="N207" i="63"/>
  <c r="N144" i="63"/>
  <c r="O139" i="63"/>
  <c r="O94" i="63" a="1"/>
  <c r="O94" i="63" s="1"/>
  <c r="O95" i="63" a="1"/>
  <c r="O95" i="63" s="1"/>
  <c r="O93" i="63" a="1"/>
  <c r="O93" i="63" s="1"/>
  <c r="O92" i="63" a="1"/>
  <c r="O92" i="63" s="1"/>
  <c r="O187" i="63" a="1"/>
  <c r="O187" i="63" s="1"/>
  <c r="O188" i="63" a="1"/>
  <c r="O188" i="63" s="1"/>
  <c r="O189" i="63" a="1"/>
  <c r="O189" i="63" s="1"/>
  <c r="O190" i="63" a="1"/>
  <c r="O190" i="63" s="1"/>
  <c r="N210" i="63"/>
  <c r="N145" i="63"/>
  <c r="O112" i="63" a="1"/>
  <c r="O112" i="63" s="1"/>
  <c r="O114" i="63" a="1"/>
  <c r="O114" i="63" s="1"/>
  <c r="O115" i="63" a="1"/>
  <c r="O115" i="63" s="1"/>
  <c r="O113" i="63" a="1"/>
  <c r="O113" i="63" s="1"/>
  <c r="O199" i="63" a="1"/>
  <c r="O199" i="63" s="1"/>
  <c r="O200" i="63" a="1"/>
  <c r="O200" i="63" s="1"/>
  <c r="O198" i="63" a="1"/>
  <c r="O198" i="63" s="1"/>
  <c r="O197" i="63" a="1"/>
  <c r="O197" i="63" s="1"/>
  <c r="N209" i="63"/>
  <c r="N142" i="63"/>
  <c r="O103" i="63" a="1"/>
  <c r="O103" i="63" s="1"/>
  <c r="O102" i="63" a="1"/>
  <c r="O102" i="63" s="1"/>
  <c r="O105" i="63" a="1"/>
  <c r="O105" i="63" s="1"/>
  <c r="O104" i="63" a="1"/>
  <c r="O104" i="63" s="1"/>
  <c r="AN21" i="63"/>
  <c r="AL20" i="63"/>
  <c r="AK85" i="63"/>
  <c r="AL86" i="63"/>
  <c r="AM86" i="63" s="1"/>
  <c r="AM85" i="63" s="1"/>
  <c r="N77" i="37"/>
  <c r="N80" i="37"/>
  <c r="N79" i="37"/>
  <c r="O67" i="37" a="1"/>
  <c r="O67" i="37" s="1"/>
  <c r="O68" i="37" a="1"/>
  <c r="O68" i="37" s="1"/>
  <c r="O69" i="37" a="1"/>
  <c r="O69" i="37" s="1"/>
  <c r="O70" i="37" a="1"/>
  <c r="O70" i="37" s="1"/>
  <c r="O180" i="37" a="1"/>
  <c r="O180" i="37" s="1"/>
  <c r="O178" i="37" a="1"/>
  <c r="O178" i="37" s="1"/>
  <c r="O179" i="37" a="1"/>
  <c r="O179" i="37" s="1"/>
  <c r="O177" i="37" a="1"/>
  <c r="O177" i="37" s="1"/>
  <c r="N144" i="37"/>
  <c r="O114" i="37" a="1"/>
  <c r="O114" i="37" s="1"/>
  <c r="O115" i="37" a="1"/>
  <c r="O115" i="37" s="1"/>
  <c r="O113" i="37" a="1"/>
  <c r="O113" i="37" s="1"/>
  <c r="O112" i="37" a="1"/>
  <c r="O112" i="37" s="1"/>
  <c r="O187" i="37" a="1"/>
  <c r="O187" i="37" s="1"/>
  <c r="O188" i="37" a="1"/>
  <c r="O188" i="37" s="1"/>
  <c r="O190" i="37" a="1"/>
  <c r="O190" i="37" s="1"/>
  <c r="O189" i="37" a="1"/>
  <c r="O189" i="37" s="1"/>
  <c r="N142" i="37"/>
  <c r="N210" i="37"/>
  <c r="O139" i="37"/>
  <c r="O95" i="37" a="1"/>
  <c r="O95" i="37" s="1"/>
  <c r="O92" i="37" a="1"/>
  <c r="O92" i="37" s="1"/>
  <c r="O94" i="37" a="1"/>
  <c r="O94" i="37" s="1"/>
  <c r="O93" i="37" a="1"/>
  <c r="O93" i="37" s="1"/>
  <c r="O199" i="37" a="1"/>
  <c r="O199" i="37" s="1"/>
  <c r="O200" i="37" a="1"/>
  <c r="O200" i="37" s="1"/>
  <c r="O198" i="37" a="1"/>
  <c r="O198" i="37" s="1"/>
  <c r="O197" i="37" a="1"/>
  <c r="O197" i="37" s="1"/>
  <c r="N145" i="37"/>
  <c r="N208" i="37"/>
  <c r="O103" i="37" a="1"/>
  <c r="O103" i="37" s="1"/>
  <c r="O104" i="37" a="1"/>
  <c r="O104" i="37" s="1"/>
  <c r="O105" i="37" a="1"/>
  <c r="O105" i="37" s="1"/>
  <c r="O102" i="37" a="1"/>
  <c r="O102" i="37" s="1"/>
  <c r="N209" i="37"/>
  <c r="O74" i="37"/>
  <c r="O30" i="37" a="1"/>
  <c r="O30" i="37" s="1"/>
  <c r="O27" i="37" a="1"/>
  <c r="O27" i="37" s="1"/>
  <c r="O28" i="37" a="1"/>
  <c r="O28" i="37" s="1"/>
  <c r="O29" i="37" a="1"/>
  <c r="O29" i="37" s="1"/>
  <c r="O124" i="37" a="1"/>
  <c r="O124" i="37" s="1"/>
  <c r="O122" i="37" a="1"/>
  <c r="O122" i="37" s="1"/>
  <c r="O125" i="37" a="1"/>
  <c r="O125" i="37" s="1"/>
  <c r="O123" i="37" a="1"/>
  <c r="O123" i="37" s="1"/>
  <c r="N207" i="37"/>
  <c r="O37" i="37" a="1"/>
  <c r="O37" i="37" s="1"/>
  <c r="O38" i="37" a="1"/>
  <c r="O38" i="37" s="1"/>
  <c r="O39" i="37" a="1"/>
  <c r="O39" i="37" s="1"/>
  <c r="O40" i="37" a="1"/>
  <c r="O40" i="37" s="1"/>
  <c r="O134" i="37" a="1"/>
  <c r="O134" i="37" s="1"/>
  <c r="O133" i="37" a="1"/>
  <c r="O133" i="37" s="1"/>
  <c r="O135" i="37" a="1"/>
  <c r="O135" i="37" s="1"/>
  <c r="O132" i="37" a="1"/>
  <c r="O132" i="37" s="1"/>
  <c r="O47" i="37" a="1"/>
  <c r="O47" i="37" s="1"/>
  <c r="O49" i="37" a="1"/>
  <c r="O49" i="37" s="1"/>
  <c r="O48" i="37" a="1"/>
  <c r="O48" i="37" s="1"/>
  <c r="O50" i="37" a="1"/>
  <c r="O50" i="37" s="1"/>
  <c r="O204" i="37"/>
  <c r="O158" i="37" a="1"/>
  <c r="O158" i="37" s="1"/>
  <c r="O160" i="37" a="1"/>
  <c r="O160" i="37" s="1"/>
  <c r="O159" i="37" a="1"/>
  <c r="O159" i="37" s="1"/>
  <c r="O157" i="37" a="1"/>
  <c r="O157" i="37" s="1"/>
  <c r="P194" i="37"/>
  <c r="P184" i="37"/>
  <c r="P164" i="37"/>
  <c r="P154" i="37"/>
  <c r="P174" i="37"/>
  <c r="P129" i="37"/>
  <c r="P119" i="37"/>
  <c r="P99" i="37"/>
  <c r="P109" i="37"/>
  <c r="P64" i="37"/>
  <c r="P89" i="37"/>
  <c r="P54" i="37"/>
  <c r="P44" i="37"/>
  <c r="P34" i="37"/>
  <c r="P24" i="37"/>
  <c r="O57" i="37" a="1"/>
  <c r="O57" i="37" s="1"/>
  <c r="O58" i="37" a="1"/>
  <c r="O58" i="37" s="1"/>
  <c r="O59" i="37" a="1"/>
  <c r="O59" i="37" s="1"/>
  <c r="O60" i="37" a="1"/>
  <c r="O60" i="37" s="1"/>
  <c r="O167" i="37" a="1"/>
  <c r="O167" i="37" s="1"/>
  <c r="O168" i="37" a="1"/>
  <c r="O168" i="37" s="1"/>
  <c r="O169" i="37" a="1"/>
  <c r="O169" i="37" s="1"/>
  <c r="O170" i="37" a="1"/>
  <c r="O170" i="37" s="1"/>
  <c r="N143" i="37"/>
  <c r="AK20" i="37"/>
  <c r="AL21" i="37"/>
  <c r="AM21" i="37" s="1"/>
  <c r="Q7" i="37"/>
  <c r="N8" i="37"/>
  <c r="O8" i="64" s="1"/>
  <c r="N8" i="65"/>
  <c r="N8" i="63"/>
  <c r="O8" i="65" s="1"/>
  <c r="Q7" i="63"/>
  <c r="P33" i="38"/>
  <c r="Q5" i="64"/>
  <c r="Q5" i="65"/>
  <c r="Q14" i="65"/>
  <c r="Q25" i="65" s="1"/>
  <c r="Q35" i="65"/>
  <c r="Q12" i="65"/>
  <c r="Q29" i="65"/>
  <c r="R6" i="65"/>
  <c r="Q36" i="65"/>
  <c r="Q7" i="18"/>
  <c r="Q6" i="18" s="1"/>
  <c r="S10" i="60"/>
  <c r="S9" i="60" s="1"/>
  <c r="Q34" i="38"/>
  <c r="P29" i="18"/>
  <c r="P18" i="18" s="1"/>
  <c r="Q34" i="64"/>
  <c r="R6" i="64"/>
  <c r="Q35" i="64"/>
  <c r="AM20" i="37" l="1"/>
  <c r="AF108" i="63" a="1"/>
  <c r="AF108" i="63" s="1"/>
  <c r="AF118" i="37" a="1"/>
  <c r="AF118" i="37" s="1"/>
  <c r="AF33" i="37" a="1"/>
  <c r="AF33" i="37" s="1"/>
  <c r="AF43" i="37" a="1"/>
  <c r="AF43" i="37" s="1"/>
  <c r="AF88" i="63" a="1"/>
  <c r="AF88" i="63" s="1"/>
  <c r="AF183" i="63" a="1"/>
  <c r="AF183" i="63" s="1"/>
  <c r="AF98" i="37" a="1"/>
  <c r="AF98" i="37" s="1"/>
  <c r="AF108" i="37" a="1"/>
  <c r="AF108" i="37" s="1"/>
  <c r="AF98" i="63" a="1"/>
  <c r="AF98" i="63" s="1"/>
  <c r="AF63" i="37" a="1"/>
  <c r="AF63" i="37" s="1"/>
  <c r="AF193" i="37" a="1"/>
  <c r="AF193" i="37" s="1"/>
  <c r="AF173" i="37" a="1"/>
  <c r="AF173" i="37" s="1"/>
  <c r="AF53" i="63" a="1"/>
  <c r="AF53" i="63" s="1"/>
  <c r="AF153" i="37" a="1"/>
  <c r="AF153" i="37" s="1"/>
  <c r="AF163" i="37" a="1"/>
  <c r="AF163" i="37" s="1"/>
  <c r="AF118" i="63" a="1"/>
  <c r="AF118" i="63" s="1"/>
  <c r="AF128" i="63" a="1"/>
  <c r="AF128" i="63" s="1"/>
  <c r="AF23" i="63" a="1"/>
  <c r="AF23" i="63" s="1"/>
  <c r="AF183" i="37" a="1"/>
  <c r="AF183" i="37" s="1"/>
  <c r="AF193" i="63" a="1"/>
  <c r="AF193" i="63" s="1"/>
  <c r="AF173" i="63" a="1"/>
  <c r="AF173" i="63" s="1"/>
  <c r="AF53" i="37" a="1"/>
  <c r="AF53" i="37" s="1"/>
  <c r="AF88" i="37" a="1"/>
  <c r="AF88" i="37" s="1"/>
  <c r="O143" i="63"/>
  <c r="O77" i="63"/>
  <c r="O79" i="63"/>
  <c r="O145" i="63"/>
  <c r="P123" i="63" a="1"/>
  <c r="P123" i="63" s="1"/>
  <c r="P122" i="63" a="1"/>
  <c r="P122" i="63" s="1"/>
  <c r="P125" i="63" a="1"/>
  <c r="P125" i="63" s="1"/>
  <c r="P124" i="63" a="1"/>
  <c r="P124" i="63" s="1"/>
  <c r="O144" i="63"/>
  <c r="P70" i="63" a="1"/>
  <c r="P70" i="63" s="1"/>
  <c r="P67" i="63" a="1"/>
  <c r="P67" i="63" s="1"/>
  <c r="P69" i="63" a="1"/>
  <c r="P69" i="63" s="1"/>
  <c r="P68" i="63" a="1"/>
  <c r="P68" i="63" s="1"/>
  <c r="P133" i="63" a="1"/>
  <c r="P133" i="63" s="1"/>
  <c r="P134" i="63" a="1"/>
  <c r="P134" i="63" s="1"/>
  <c r="P135" i="63" a="1"/>
  <c r="P135" i="63" s="1"/>
  <c r="P132" i="63" a="1"/>
  <c r="P132" i="63" s="1"/>
  <c r="O207" i="63"/>
  <c r="P60" i="63" a="1"/>
  <c r="P60" i="63" s="1"/>
  <c r="P57" i="63" a="1"/>
  <c r="P57" i="63" s="1"/>
  <c r="P59" i="63" a="1"/>
  <c r="P59" i="63" s="1"/>
  <c r="P58" i="63" a="1"/>
  <c r="P58" i="63" s="1"/>
  <c r="P74" i="63"/>
  <c r="P28" i="63" a="1"/>
  <c r="P28" i="63" s="1"/>
  <c r="P30" i="63" a="1"/>
  <c r="P30" i="63" s="1"/>
  <c r="P27" i="63" a="1"/>
  <c r="P27" i="63" s="1"/>
  <c r="P29" i="63" a="1"/>
  <c r="P29" i="63" s="1"/>
  <c r="P204" i="63"/>
  <c r="P159" i="63" a="1"/>
  <c r="P159" i="63" s="1"/>
  <c r="P157" i="63" a="1"/>
  <c r="P157" i="63" s="1"/>
  <c r="P160" i="63" a="1"/>
  <c r="P160" i="63" s="1"/>
  <c r="P158" i="63" a="1"/>
  <c r="P158" i="63" s="1"/>
  <c r="O210" i="63"/>
  <c r="P37" i="63" a="1"/>
  <c r="P37" i="63" s="1"/>
  <c r="P40" i="63" a="1"/>
  <c r="P40" i="63" s="1"/>
  <c r="P39" i="63" a="1"/>
  <c r="P39" i="63" s="1"/>
  <c r="P38" i="63" a="1"/>
  <c r="P38" i="63" s="1"/>
  <c r="P168" i="63" a="1"/>
  <c r="P168" i="63" s="1"/>
  <c r="P170" i="63" a="1"/>
  <c r="P170" i="63" s="1"/>
  <c r="P167" i="63" a="1"/>
  <c r="P167" i="63" s="1"/>
  <c r="P169" i="63" a="1"/>
  <c r="P169" i="63" s="1"/>
  <c r="O209" i="63"/>
  <c r="P47" i="63" a="1"/>
  <c r="P47" i="63" s="1"/>
  <c r="P49" i="63" a="1"/>
  <c r="P49" i="63" s="1"/>
  <c r="P50" i="63" a="1"/>
  <c r="P50" i="63" s="1"/>
  <c r="P48" i="63" a="1"/>
  <c r="P48" i="63" s="1"/>
  <c r="P180" i="63" a="1"/>
  <c r="P180" i="63" s="1"/>
  <c r="P177" i="63" a="1"/>
  <c r="P177" i="63" s="1"/>
  <c r="P179" i="63" a="1"/>
  <c r="P179" i="63" s="1"/>
  <c r="P178" i="63" a="1"/>
  <c r="P178" i="63" s="1"/>
  <c r="C34" i="55"/>
  <c r="AG98" i="63" s="1" a="1"/>
  <c r="AG98" i="63" s="1"/>
  <c r="AF128" i="37" a="1"/>
  <c r="AF128" i="37" s="1"/>
  <c r="AF23" i="37" a="1"/>
  <c r="AF23" i="37" s="1"/>
  <c r="AF63" i="63" a="1"/>
  <c r="AF63" i="63" s="1"/>
  <c r="AF33" i="63" a="1"/>
  <c r="AF33" i="63" s="1"/>
  <c r="O208" i="63"/>
  <c r="Q194" i="63"/>
  <c r="Q174" i="63"/>
  <c r="Q164" i="63"/>
  <c r="Q154" i="63"/>
  <c r="Q184" i="63"/>
  <c r="Q129" i="63"/>
  <c r="Q119" i="63"/>
  <c r="Q109" i="63"/>
  <c r="Q99" i="63"/>
  <c r="Q89" i="63"/>
  <c r="Q34" i="63"/>
  <c r="Q24" i="63"/>
  <c r="Q54" i="63"/>
  <c r="Q64" i="63"/>
  <c r="Q44" i="63"/>
  <c r="P139" i="63"/>
  <c r="P92" i="63" a="1"/>
  <c r="P92" i="63" s="1"/>
  <c r="P93" i="63" a="1"/>
  <c r="P93" i="63" s="1"/>
  <c r="P94" i="63" a="1"/>
  <c r="P94" i="63" s="1"/>
  <c r="P95" i="63" a="1"/>
  <c r="P95" i="63" s="1"/>
  <c r="P190" i="63" a="1"/>
  <c r="P190" i="63" s="1"/>
  <c r="P189" i="63" a="1"/>
  <c r="P189" i="63" s="1"/>
  <c r="P188" i="63" a="1"/>
  <c r="P188" i="63" s="1"/>
  <c r="P187" i="63" a="1"/>
  <c r="P187" i="63" s="1"/>
  <c r="O80" i="63"/>
  <c r="P103" i="63" a="1"/>
  <c r="P103" i="63" s="1"/>
  <c r="P104" i="63" a="1"/>
  <c r="P104" i="63" s="1"/>
  <c r="P105" i="63" a="1"/>
  <c r="P105" i="63" s="1"/>
  <c r="P102" i="63" a="1"/>
  <c r="P102" i="63" s="1"/>
  <c r="O142" i="63"/>
  <c r="P112" i="63" a="1"/>
  <c r="P112" i="63" s="1"/>
  <c r="P113" i="63" a="1"/>
  <c r="P113" i="63" s="1"/>
  <c r="P114" i="63" a="1"/>
  <c r="P114" i="63" s="1"/>
  <c r="P115" i="63" a="1"/>
  <c r="P115" i="63" s="1"/>
  <c r="P200" i="63" a="1"/>
  <c r="P200" i="63" s="1"/>
  <c r="P197" i="63" a="1"/>
  <c r="P197" i="63" s="1"/>
  <c r="P199" i="63" a="1"/>
  <c r="P199" i="63" s="1"/>
  <c r="P198" i="63" a="1"/>
  <c r="P198" i="63" s="1"/>
  <c r="O78" i="63"/>
  <c r="O144" i="37"/>
  <c r="AN20" i="63"/>
  <c r="O207" i="37"/>
  <c r="O142" i="37"/>
  <c r="AL85" i="63"/>
  <c r="AN86" i="63"/>
  <c r="AN85" i="63" s="1"/>
  <c r="Q194" i="37"/>
  <c r="Q184" i="37"/>
  <c r="Q174" i="37"/>
  <c r="Q154" i="37"/>
  <c r="Q164" i="37"/>
  <c r="Q129" i="37"/>
  <c r="Q119" i="37"/>
  <c r="Q109" i="37"/>
  <c r="Q99" i="37"/>
  <c r="Q89" i="37"/>
  <c r="Q64" i="37"/>
  <c r="Q54" i="37"/>
  <c r="Q44" i="37"/>
  <c r="Q34" i="37"/>
  <c r="Q24" i="37"/>
  <c r="P139" i="37"/>
  <c r="P95" i="37" a="1"/>
  <c r="P95" i="37" s="1"/>
  <c r="P94" i="37" a="1"/>
  <c r="P94" i="37" s="1"/>
  <c r="P93" i="37" a="1"/>
  <c r="P93" i="37" s="1"/>
  <c r="P92" i="37" a="1"/>
  <c r="P92" i="37" s="1"/>
  <c r="P170" i="37" a="1"/>
  <c r="P170" i="37" s="1"/>
  <c r="P167" i="37" a="1"/>
  <c r="P167" i="37" s="1"/>
  <c r="P168" i="37" a="1"/>
  <c r="P168" i="37" s="1"/>
  <c r="P169" i="37" a="1"/>
  <c r="P169" i="37" s="1"/>
  <c r="P68" i="37" a="1"/>
  <c r="P68" i="37" s="1"/>
  <c r="P69" i="37" a="1"/>
  <c r="P69" i="37" s="1"/>
  <c r="P70" i="37" a="1"/>
  <c r="P70" i="37" s="1"/>
  <c r="P67" i="37" a="1"/>
  <c r="P67" i="37" s="1"/>
  <c r="P188" i="37" a="1"/>
  <c r="P188" i="37" s="1"/>
  <c r="P190" i="37" a="1"/>
  <c r="P190" i="37" s="1"/>
  <c r="P189" i="37" a="1"/>
  <c r="P189" i="37" s="1"/>
  <c r="P187" i="37" a="1"/>
  <c r="P187" i="37" s="1"/>
  <c r="O79" i="37"/>
  <c r="O143" i="37"/>
  <c r="P113" i="37" a="1"/>
  <c r="P113" i="37" s="1"/>
  <c r="P115" i="37" a="1"/>
  <c r="P115" i="37" s="1"/>
  <c r="P114" i="37" a="1"/>
  <c r="P114" i="37" s="1"/>
  <c r="P112" i="37" a="1"/>
  <c r="P112" i="37" s="1"/>
  <c r="O78" i="37"/>
  <c r="P104" i="37" a="1"/>
  <c r="P104" i="37" s="1"/>
  <c r="P105" i="37" a="1"/>
  <c r="P105" i="37" s="1"/>
  <c r="P102" i="37" a="1"/>
  <c r="P102" i="37" s="1"/>
  <c r="P103" i="37" a="1"/>
  <c r="P103" i="37" s="1"/>
  <c r="O77" i="37"/>
  <c r="P74" i="37"/>
  <c r="P27" i="37" a="1"/>
  <c r="P27" i="37" s="1"/>
  <c r="P28" i="37" a="1"/>
  <c r="P28" i="37" s="1"/>
  <c r="P29" i="37" a="1"/>
  <c r="P29" i="37" s="1"/>
  <c r="P30" i="37" a="1"/>
  <c r="P30" i="37" s="1"/>
  <c r="P124" i="37" a="1"/>
  <c r="P124" i="37" s="1"/>
  <c r="P122" i="37" a="1"/>
  <c r="P122" i="37" s="1"/>
  <c r="P125" i="37" a="1"/>
  <c r="P125" i="37" s="1"/>
  <c r="P123" i="37" a="1"/>
  <c r="P123" i="37" s="1"/>
  <c r="O209" i="37"/>
  <c r="O80" i="37"/>
  <c r="O145" i="37"/>
  <c r="P200" i="37" a="1"/>
  <c r="P200" i="37" s="1"/>
  <c r="P197" i="37" a="1"/>
  <c r="P197" i="37" s="1"/>
  <c r="P199" i="37" a="1"/>
  <c r="P199" i="37" s="1"/>
  <c r="P198" i="37" a="1"/>
  <c r="P198" i="37" s="1"/>
  <c r="P38" i="37" a="1"/>
  <c r="P38" i="37" s="1"/>
  <c r="P39" i="37" a="1"/>
  <c r="P39" i="37" s="1"/>
  <c r="P40" i="37" a="1"/>
  <c r="P40" i="37" s="1"/>
  <c r="P37" i="37" a="1"/>
  <c r="P37" i="37" s="1"/>
  <c r="P135" i="37" a="1"/>
  <c r="P135" i="37" s="1"/>
  <c r="P134" i="37" a="1"/>
  <c r="P134" i="37" s="1"/>
  <c r="P133" i="37" a="1"/>
  <c r="P133" i="37" s="1"/>
  <c r="P132" i="37" a="1"/>
  <c r="P132" i="37" s="1"/>
  <c r="O210" i="37"/>
  <c r="P49" i="37" a="1"/>
  <c r="P49" i="37" s="1"/>
  <c r="P50" i="37" a="1"/>
  <c r="P50" i="37" s="1"/>
  <c r="P48" i="37" a="1"/>
  <c r="P48" i="37" s="1"/>
  <c r="P47" i="37" a="1"/>
  <c r="P47" i="37" s="1"/>
  <c r="P177" i="37" a="1"/>
  <c r="P177" i="37" s="1"/>
  <c r="P178" i="37" a="1"/>
  <c r="P178" i="37" s="1"/>
  <c r="P179" i="37" a="1"/>
  <c r="P179" i="37" s="1"/>
  <c r="P180" i="37" a="1"/>
  <c r="P180" i="37" s="1"/>
  <c r="O208" i="37"/>
  <c r="P58" i="37" a="1"/>
  <c r="P58" i="37" s="1"/>
  <c r="P59" i="37" a="1"/>
  <c r="P59" i="37" s="1"/>
  <c r="P60" i="37" a="1"/>
  <c r="P60" i="37" s="1"/>
  <c r="P57" i="37" a="1"/>
  <c r="P57" i="37" s="1"/>
  <c r="P204" i="37"/>
  <c r="P160" i="37" a="1"/>
  <c r="P160" i="37" s="1"/>
  <c r="P158" i="37" a="1"/>
  <c r="P158" i="37" s="1"/>
  <c r="P159" i="37" a="1"/>
  <c r="P159" i="37" s="1"/>
  <c r="P157" i="37" a="1"/>
  <c r="P157" i="37" s="1"/>
  <c r="AL20" i="37"/>
  <c r="AN21" i="37"/>
  <c r="R7" i="37"/>
  <c r="O8" i="37"/>
  <c r="P8" i="64" s="1"/>
  <c r="O8" i="63"/>
  <c r="N8" i="18" s="1"/>
  <c r="M8" i="18"/>
  <c r="R7" i="63"/>
  <c r="Q33" i="38"/>
  <c r="R5" i="64"/>
  <c r="R5" i="65"/>
  <c r="R35" i="65"/>
  <c r="R12" i="65"/>
  <c r="R36" i="65"/>
  <c r="R14" i="65"/>
  <c r="R25" i="65" s="1"/>
  <c r="S6" i="65"/>
  <c r="R29" i="65"/>
  <c r="R7" i="18"/>
  <c r="R6" i="18" s="1"/>
  <c r="T10" i="60"/>
  <c r="T9" i="60" s="1"/>
  <c r="R34" i="38"/>
  <c r="Q29" i="18"/>
  <c r="Q18" i="18" s="1"/>
  <c r="R34" i="64"/>
  <c r="R35" i="64"/>
  <c r="S6" i="64"/>
  <c r="P208" i="63" l="1"/>
  <c r="P78" i="63"/>
  <c r="P210" i="63"/>
  <c r="P210" i="37"/>
  <c r="P142" i="63"/>
  <c r="Q115" i="63" a="1"/>
  <c r="Q115" i="63" s="1"/>
  <c r="Q113" i="63" a="1"/>
  <c r="Q113" i="63" s="1"/>
  <c r="Q114" i="63" a="1"/>
  <c r="Q114" i="63" s="1"/>
  <c r="Q112" i="63" a="1"/>
  <c r="Q112" i="63" s="1"/>
  <c r="Q48" i="63" a="1"/>
  <c r="Q48" i="63" s="1"/>
  <c r="Q49" i="63" a="1"/>
  <c r="Q49" i="63" s="1"/>
  <c r="Q50" i="63" a="1"/>
  <c r="Q50" i="63" s="1"/>
  <c r="Q47" i="63" a="1"/>
  <c r="Q47" i="63" s="1"/>
  <c r="Q125" i="63" a="1"/>
  <c r="Q125" i="63" s="1"/>
  <c r="Q123" i="63" a="1"/>
  <c r="Q123" i="63" s="1"/>
  <c r="Q124" i="63" a="1"/>
  <c r="Q124" i="63" s="1"/>
  <c r="Q122" i="63" a="1"/>
  <c r="Q122" i="63" s="1"/>
  <c r="AG53" i="37" a="1"/>
  <c r="AG53" i="37" s="1"/>
  <c r="P207" i="63"/>
  <c r="Q197" i="63" a="1"/>
  <c r="Q197" i="63" s="1"/>
  <c r="Q198" i="63" a="1"/>
  <c r="Q198" i="63" s="1"/>
  <c r="Q200" i="63" a="1"/>
  <c r="Q200" i="63" s="1"/>
  <c r="Q199" i="63" a="1"/>
  <c r="Q199" i="63" s="1"/>
  <c r="C35" i="55"/>
  <c r="AH23" i="37" s="1" a="1"/>
  <c r="AH23" i="37" s="1"/>
  <c r="AG193" i="37" a="1"/>
  <c r="AG193" i="37" s="1"/>
  <c r="AG163" i="63" a="1"/>
  <c r="AG163" i="63" s="1"/>
  <c r="AG173" i="37" a="1"/>
  <c r="AG173" i="37" s="1"/>
  <c r="AG163" i="37" a="1"/>
  <c r="AG163" i="37" s="1"/>
  <c r="AG63" i="63" a="1"/>
  <c r="AG63" i="63" s="1"/>
  <c r="AG23" i="37" a="1"/>
  <c r="AG23" i="37" s="1"/>
  <c r="AG153" i="37" a="1"/>
  <c r="AG153" i="37" s="1"/>
  <c r="AG88" i="63" a="1"/>
  <c r="AG88" i="63" s="1"/>
  <c r="AG98" i="37" a="1"/>
  <c r="AG98" i="37" s="1"/>
  <c r="AG128" i="37" a="1"/>
  <c r="AG128" i="37" s="1"/>
  <c r="AG43" i="63" a="1"/>
  <c r="AG43" i="63" s="1"/>
  <c r="AG33" i="63" a="1"/>
  <c r="AG33" i="63" s="1"/>
  <c r="AG118" i="37" a="1"/>
  <c r="AG118" i="37" s="1"/>
  <c r="AG183" i="63" a="1"/>
  <c r="AG183" i="63" s="1"/>
  <c r="AG63" i="37" a="1"/>
  <c r="AG63" i="37" s="1"/>
  <c r="AG183" i="37" a="1"/>
  <c r="AG183" i="37" s="1"/>
  <c r="AG23" i="63" a="1"/>
  <c r="AG23" i="63" s="1"/>
  <c r="AG118" i="63" a="1"/>
  <c r="AG118" i="63" s="1"/>
  <c r="AG128" i="63" a="1"/>
  <c r="AG128" i="63" s="1"/>
  <c r="AG43" i="37" a="1"/>
  <c r="AG43" i="37" s="1"/>
  <c r="R194" i="63"/>
  <c r="R184" i="63"/>
  <c r="R174" i="63"/>
  <c r="R164" i="63"/>
  <c r="R154" i="63"/>
  <c r="R119" i="63"/>
  <c r="R109" i="63"/>
  <c r="R129" i="63"/>
  <c r="R89" i="63"/>
  <c r="R99" i="63"/>
  <c r="R34" i="63"/>
  <c r="R24" i="63"/>
  <c r="R64" i="63"/>
  <c r="R44" i="63"/>
  <c r="R54" i="63"/>
  <c r="Q70" i="63" a="1"/>
  <c r="Q70" i="63" s="1"/>
  <c r="Q68" i="63" a="1"/>
  <c r="Q68" i="63" s="1"/>
  <c r="Q69" i="63" a="1"/>
  <c r="Q69" i="63" s="1"/>
  <c r="Q67" i="63" a="1"/>
  <c r="Q67" i="63" s="1"/>
  <c r="Q132" i="63" a="1"/>
  <c r="Q132" i="63" s="1"/>
  <c r="Q134" i="63" a="1"/>
  <c r="Q134" i="63" s="1"/>
  <c r="Q135" i="63" a="1"/>
  <c r="Q135" i="63" s="1"/>
  <c r="Q133" i="63" a="1"/>
  <c r="Q133" i="63" s="1"/>
  <c r="P209" i="63"/>
  <c r="Q59" i="63" a="1"/>
  <c r="Q59" i="63" s="1"/>
  <c r="Q60" i="63" a="1"/>
  <c r="Q60" i="63" s="1"/>
  <c r="Q57" i="63" a="1"/>
  <c r="Q57" i="63" s="1"/>
  <c r="Q58" i="63" a="1"/>
  <c r="Q58" i="63" s="1"/>
  <c r="Q190" i="63" a="1"/>
  <c r="Q190" i="63" s="1"/>
  <c r="Q189" i="63" a="1"/>
  <c r="Q189" i="63" s="1"/>
  <c r="Q187" i="63" a="1"/>
  <c r="Q187" i="63" s="1"/>
  <c r="Q188" i="63" a="1"/>
  <c r="Q188" i="63" s="1"/>
  <c r="AG108" i="37" a="1"/>
  <c r="AG108" i="37" s="1"/>
  <c r="P145" i="63"/>
  <c r="Q74" i="63"/>
  <c r="Q29" i="63" a="1"/>
  <c r="Q29" i="63" s="1"/>
  <c r="Q28" i="63" a="1"/>
  <c r="Q28" i="63" s="1"/>
  <c r="Q30" i="63" a="1"/>
  <c r="Q30" i="63" s="1"/>
  <c r="Q27" i="63" a="1"/>
  <c r="Q27" i="63" s="1"/>
  <c r="Q204" i="63"/>
  <c r="Q158" i="63" a="1"/>
  <c r="Q158" i="63" s="1"/>
  <c r="Q159" i="63" a="1"/>
  <c r="Q159" i="63" s="1"/>
  <c r="Q157" i="63" a="1"/>
  <c r="Q157" i="63" s="1"/>
  <c r="Q160" i="63" a="1"/>
  <c r="Q160" i="63" s="1"/>
  <c r="P79" i="63"/>
  <c r="P208" i="37"/>
  <c r="P144" i="63"/>
  <c r="Q40" i="63" a="1"/>
  <c r="Q40" i="63" s="1"/>
  <c r="Q38" i="63" a="1"/>
  <c r="Q38" i="63" s="1"/>
  <c r="Q37" i="63" a="1"/>
  <c r="Q37" i="63" s="1"/>
  <c r="Q39" i="63" a="1"/>
  <c r="Q39" i="63" s="1"/>
  <c r="Q169" i="63" a="1"/>
  <c r="Q169" i="63" s="1"/>
  <c r="Q168" i="63" a="1"/>
  <c r="Q168" i="63" s="1"/>
  <c r="Q170" i="63" a="1"/>
  <c r="Q170" i="63" s="1"/>
  <c r="Q167" i="63" a="1"/>
  <c r="Q167" i="63" s="1"/>
  <c r="AG33" i="37" a="1"/>
  <c r="AG33" i="37" s="1"/>
  <c r="P77" i="63"/>
  <c r="Q105" i="63" a="1"/>
  <c r="Q105" i="63" s="1"/>
  <c r="Q104" i="63" a="1"/>
  <c r="Q104" i="63" s="1"/>
  <c r="Q103" i="63" a="1"/>
  <c r="Q103" i="63" s="1"/>
  <c r="Q102" i="63" a="1"/>
  <c r="Q102" i="63" s="1"/>
  <c r="AG88" i="37" a="1"/>
  <c r="AG88" i="37" s="1"/>
  <c r="P143" i="63"/>
  <c r="Q139" i="63"/>
  <c r="Q93" i="63" a="1"/>
  <c r="Q93" i="63" s="1"/>
  <c r="Q92" i="63" a="1"/>
  <c r="Q92" i="63" s="1"/>
  <c r="Q94" i="63" a="1"/>
  <c r="Q94" i="63" s="1"/>
  <c r="Q95" i="63" a="1"/>
  <c r="Q95" i="63" s="1"/>
  <c r="Q177" i="63" a="1"/>
  <c r="Q177" i="63" s="1"/>
  <c r="Q179" i="63" a="1"/>
  <c r="Q179" i="63" s="1"/>
  <c r="Q180" i="63" a="1"/>
  <c r="Q180" i="63" s="1"/>
  <c r="Q178" i="63" a="1"/>
  <c r="Q178" i="63" s="1"/>
  <c r="AG53" i="63" a="1"/>
  <c r="AG53" i="63" s="1"/>
  <c r="P80" i="63"/>
  <c r="P207" i="37"/>
  <c r="AN20" i="37"/>
  <c r="P80" i="37"/>
  <c r="Q114" i="37" a="1"/>
  <c r="Q114" i="37" s="1"/>
  <c r="Q115" i="37" a="1"/>
  <c r="Q115" i="37" s="1"/>
  <c r="Q112" i="37" a="1"/>
  <c r="Q112" i="37" s="1"/>
  <c r="Q113" i="37" a="1"/>
  <c r="Q113" i="37" s="1"/>
  <c r="P79" i="37"/>
  <c r="Q74" i="37"/>
  <c r="Q28" i="37" a="1"/>
  <c r="Q28" i="37" s="1"/>
  <c r="Q29" i="37" a="1"/>
  <c r="Q29" i="37" s="1"/>
  <c r="Q30" i="37" a="1"/>
  <c r="Q30" i="37" s="1"/>
  <c r="Q27" i="37" a="1"/>
  <c r="Q27" i="37" s="1"/>
  <c r="Q125" i="37" a="1"/>
  <c r="Q125" i="37" s="1"/>
  <c r="Q123" i="37" a="1"/>
  <c r="Q123" i="37" s="1"/>
  <c r="Q124" i="37" a="1"/>
  <c r="Q124" i="37" s="1"/>
  <c r="Q122" i="37" a="1"/>
  <c r="Q122" i="37" s="1"/>
  <c r="Q132" i="37" a="1"/>
  <c r="Q132" i="37" s="1"/>
  <c r="Q134" i="37" a="1"/>
  <c r="Q134" i="37" s="1"/>
  <c r="Q135" i="37" a="1"/>
  <c r="Q135" i="37" s="1"/>
  <c r="Q133" i="37" a="1"/>
  <c r="Q133" i="37" s="1"/>
  <c r="P209" i="37"/>
  <c r="P77" i="37"/>
  <c r="Q49" i="37" a="1"/>
  <c r="Q49" i="37" s="1"/>
  <c r="Q50" i="37" a="1"/>
  <c r="Q50" i="37" s="1"/>
  <c r="Q48" i="37" a="1"/>
  <c r="Q48" i="37" s="1"/>
  <c r="Q47" i="37" a="1"/>
  <c r="Q47" i="37" s="1"/>
  <c r="Q168" i="37" a="1"/>
  <c r="Q168" i="37" s="1"/>
  <c r="Q169" i="37" a="1"/>
  <c r="Q169" i="37" s="1"/>
  <c r="Q170" i="37" a="1"/>
  <c r="Q170" i="37" s="1"/>
  <c r="Q167" i="37" a="1"/>
  <c r="Q167" i="37" s="1"/>
  <c r="Q39" i="37" a="1"/>
  <c r="Q39" i="37" s="1"/>
  <c r="Q40" i="37" a="1"/>
  <c r="Q40" i="37" s="1"/>
  <c r="Q37" i="37" a="1"/>
  <c r="Q37" i="37" s="1"/>
  <c r="Q38" i="37" a="1"/>
  <c r="Q38" i="37" s="1"/>
  <c r="P142" i="37"/>
  <c r="Q59" i="37" a="1"/>
  <c r="Q59" i="37" s="1"/>
  <c r="Q60" i="37" a="1"/>
  <c r="Q60" i="37" s="1"/>
  <c r="Q57" i="37" a="1"/>
  <c r="Q57" i="37" s="1"/>
  <c r="Q58" i="37" a="1"/>
  <c r="Q58" i="37" s="1"/>
  <c r="Q204" i="37"/>
  <c r="Q160" i="37" a="1"/>
  <c r="Q160" i="37" s="1"/>
  <c r="Q158" i="37" a="1"/>
  <c r="Q158" i="37" s="1"/>
  <c r="Q157" i="37" a="1"/>
  <c r="Q157" i="37" s="1"/>
  <c r="Q159" i="37" a="1"/>
  <c r="Q159" i="37" s="1"/>
  <c r="P78" i="37"/>
  <c r="P143" i="37"/>
  <c r="Q69" i="37" a="1"/>
  <c r="Q69" i="37" s="1"/>
  <c r="Q70" i="37" a="1"/>
  <c r="Q70" i="37" s="1"/>
  <c r="Q67" i="37" a="1"/>
  <c r="Q67" i="37" s="1"/>
  <c r="Q68" i="37" a="1"/>
  <c r="Q68" i="37" s="1"/>
  <c r="Q178" i="37" a="1"/>
  <c r="Q178" i="37" s="1"/>
  <c r="Q179" i="37" a="1"/>
  <c r="Q179" i="37" s="1"/>
  <c r="Q180" i="37" a="1"/>
  <c r="Q180" i="37" s="1"/>
  <c r="Q177" i="37" a="1"/>
  <c r="Q177" i="37" s="1"/>
  <c r="P144" i="37"/>
  <c r="Q139" i="37"/>
  <c r="Q95" i="37" a="1"/>
  <c r="Q95" i="37" s="1"/>
  <c r="Q94" i="37" a="1"/>
  <c r="Q94" i="37" s="1"/>
  <c r="Q93" i="37" a="1"/>
  <c r="Q93" i="37" s="1"/>
  <c r="Q92" i="37" a="1"/>
  <c r="Q92" i="37" s="1"/>
  <c r="Q189" i="37" a="1"/>
  <c r="Q189" i="37" s="1"/>
  <c r="Q190" i="37" a="1"/>
  <c r="Q190" i="37" s="1"/>
  <c r="Q187" i="37" a="1"/>
  <c r="Q187" i="37" s="1"/>
  <c r="Q188" i="37" a="1"/>
  <c r="Q188" i="37" s="1"/>
  <c r="R194" i="37"/>
  <c r="R184" i="37"/>
  <c r="R174" i="37"/>
  <c r="R164" i="37"/>
  <c r="R154" i="37"/>
  <c r="R129" i="37"/>
  <c r="R119" i="37"/>
  <c r="R99" i="37"/>
  <c r="R109" i="37"/>
  <c r="R64" i="37"/>
  <c r="R54" i="37"/>
  <c r="R89" i="37"/>
  <c r="R44" i="37"/>
  <c r="R34" i="37"/>
  <c r="R24" i="37"/>
  <c r="P145" i="37"/>
  <c r="Q105" i="37" a="1"/>
  <c r="Q105" i="37" s="1"/>
  <c r="Q102" i="37" a="1"/>
  <c r="Q102" i="37" s="1"/>
  <c r="Q103" i="37" a="1"/>
  <c r="Q103" i="37" s="1"/>
  <c r="Q104" i="37" a="1"/>
  <c r="Q104" i="37" s="1"/>
  <c r="Q197" i="37" a="1"/>
  <c r="Q197" i="37" s="1"/>
  <c r="Q198" i="37" a="1"/>
  <c r="Q198" i="37" s="1"/>
  <c r="Q200" i="37" a="1"/>
  <c r="Q200" i="37" s="1"/>
  <c r="Q199" i="37" a="1"/>
  <c r="Q199" i="37" s="1"/>
  <c r="S7" i="37"/>
  <c r="P8" i="37"/>
  <c r="Q8" i="64" s="1"/>
  <c r="P8" i="65"/>
  <c r="P8" i="63"/>
  <c r="O8" i="18" s="1"/>
  <c r="S7" i="63"/>
  <c r="R33" i="38"/>
  <c r="S5" i="64"/>
  <c r="S5" i="65"/>
  <c r="S14" i="65"/>
  <c r="S25" i="65" s="1"/>
  <c r="T6" i="65"/>
  <c r="S12" i="65"/>
  <c r="S36" i="65"/>
  <c r="S35" i="65"/>
  <c r="S29" i="65"/>
  <c r="S7" i="18"/>
  <c r="S6" i="18" s="1"/>
  <c r="U10" i="60"/>
  <c r="U9" i="60" s="1"/>
  <c r="S34" i="38"/>
  <c r="R29" i="18"/>
  <c r="R18" i="18" s="1"/>
  <c r="S35" i="64"/>
  <c r="T6" i="64"/>
  <c r="S34" i="64"/>
  <c r="AH43" i="63" l="1" a="1"/>
  <c r="AH43" i="63" s="1"/>
  <c r="AH118" i="63" a="1"/>
  <c r="AH118" i="63" s="1"/>
  <c r="AH163" i="63" a="1"/>
  <c r="AH163" i="63" s="1"/>
  <c r="AH23" i="63" a="1"/>
  <c r="AH23" i="63" s="1"/>
  <c r="AH98" i="37" a="1"/>
  <c r="AH98" i="37" s="1"/>
  <c r="AH88" i="37" a="1"/>
  <c r="AH88" i="37" s="1"/>
  <c r="AH193" i="63" a="1"/>
  <c r="AH193" i="63" s="1"/>
  <c r="AH108" i="37" a="1"/>
  <c r="AH108" i="37" s="1"/>
  <c r="AH43" i="37" a="1"/>
  <c r="AH43" i="37" s="1"/>
  <c r="AH153" i="63" a="1"/>
  <c r="AH153" i="63" s="1"/>
  <c r="Q144" i="63"/>
  <c r="AH108" i="63" a="1"/>
  <c r="AH108" i="63" s="1"/>
  <c r="AH98" i="63" a="1"/>
  <c r="AH98" i="63" s="1"/>
  <c r="AH193" i="37" a="1"/>
  <c r="AH193" i="37" s="1"/>
  <c r="AH88" i="63" a="1"/>
  <c r="AH88" i="63" s="1"/>
  <c r="AH63" i="37" a="1"/>
  <c r="AH63" i="37" s="1"/>
  <c r="AH153" i="37" a="1"/>
  <c r="AH153" i="37" s="1"/>
  <c r="AH63" i="63" a="1"/>
  <c r="AH63" i="63" s="1"/>
  <c r="AH128" i="63" a="1"/>
  <c r="AH128" i="63" s="1"/>
  <c r="AH173" i="37" a="1"/>
  <c r="AH173" i="37" s="1"/>
  <c r="AH163" i="37" a="1"/>
  <c r="AH163" i="37" s="1"/>
  <c r="AH33" i="37" a="1"/>
  <c r="AH33" i="37" s="1"/>
  <c r="AH53" i="63" a="1"/>
  <c r="AH53" i="63" s="1"/>
  <c r="AH183" i="63" a="1"/>
  <c r="AH183" i="63" s="1"/>
  <c r="AH173" i="63" a="1"/>
  <c r="AH173" i="63" s="1"/>
  <c r="Q78" i="63"/>
  <c r="Q142" i="63"/>
  <c r="R40" i="63" a="1"/>
  <c r="R40" i="63" s="1"/>
  <c r="R39" i="63" a="1"/>
  <c r="R39" i="63" s="1"/>
  <c r="R37" i="63" a="1"/>
  <c r="R37" i="63" s="1"/>
  <c r="R38" i="63" a="1"/>
  <c r="R38" i="63" s="1"/>
  <c r="Q207" i="63"/>
  <c r="R104" i="63" a="1"/>
  <c r="R104" i="63" s="1"/>
  <c r="R105" i="63" a="1"/>
  <c r="R105" i="63" s="1"/>
  <c r="R103" i="63" a="1"/>
  <c r="R103" i="63" s="1"/>
  <c r="R102" i="63" a="1"/>
  <c r="R102" i="63" s="1"/>
  <c r="R190" i="63" a="1"/>
  <c r="R190" i="63" s="1"/>
  <c r="R187" i="63" a="1"/>
  <c r="R187" i="63" s="1"/>
  <c r="R188" i="63" a="1"/>
  <c r="R188" i="63" s="1"/>
  <c r="R189" i="63" a="1"/>
  <c r="R189" i="63" s="1"/>
  <c r="R177" i="63" a="1"/>
  <c r="R177" i="63" s="1"/>
  <c r="R178" i="63" a="1"/>
  <c r="R178" i="63" s="1"/>
  <c r="R180" i="63" a="1"/>
  <c r="R180" i="63" s="1"/>
  <c r="R179" i="63" a="1"/>
  <c r="R179" i="63" s="1"/>
  <c r="Q145" i="63"/>
  <c r="Q209" i="63"/>
  <c r="R139" i="63"/>
  <c r="R93" i="63" a="1"/>
  <c r="R93" i="63" s="1"/>
  <c r="R95" i="63" a="1"/>
  <c r="R95" i="63" s="1"/>
  <c r="R94" i="63" a="1"/>
  <c r="R94" i="63" s="1"/>
  <c r="R92" i="63" a="1"/>
  <c r="R92" i="63" s="1"/>
  <c r="R198" i="63" a="1"/>
  <c r="R198" i="63" s="1"/>
  <c r="R199" i="63" a="1"/>
  <c r="R199" i="63" s="1"/>
  <c r="R200" i="63" a="1"/>
  <c r="R200" i="63" s="1"/>
  <c r="R197" i="63" a="1"/>
  <c r="R197" i="63" s="1"/>
  <c r="C36" i="55"/>
  <c r="AI98" i="63" s="1" a="1"/>
  <c r="AI98" i="63" s="1"/>
  <c r="AH53" i="37" a="1"/>
  <c r="AH53" i="37" s="1"/>
  <c r="AH183" i="37" a="1"/>
  <c r="AH183" i="37" s="1"/>
  <c r="AH128" i="37" a="1"/>
  <c r="AH128" i="37" s="1"/>
  <c r="AH118" i="37" a="1"/>
  <c r="AH118" i="37" s="1"/>
  <c r="Q208" i="63"/>
  <c r="R135" i="63" a="1"/>
  <c r="R135" i="63" s="1"/>
  <c r="R133" i="63" a="1"/>
  <c r="R133" i="63" s="1"/>
  <c r="R132" i="63" a="1"/>
  <c r="R132" i="63" s="1"/>
  <c r="R134" i="63" a="1"/>
  <c r="R134" i="63" s="1"/>
  <c r="R74" i="63"/>
  <c r="R30" i="63" a="1"/>
  <c r="R30" i="63" s="1"/>
  <c r="R29" i="63" a="1"/>
  <c r="R29" i="63" s="1"/>
  <c r="R27" i="63" a="1"/>
  <c r="R27" i="63" s="1"/>
  <c r="R28" i="63" a="1"/>
  <c r="R28" i="63" s="1"/>
  <c r="R57" i="63" a="1"/>
  <c r="R57" i="63" s="1"/>
  <c r="R59" i="63" a="1"/>
  <c r="R59" i="63" s="1"/>
  <c r="R60" i="63" a="1"/>
  <c r="R60" i="63" s="1"/>
  <c r="R58" i="63" a="1"/>
  <c r="R58" i="63" s="1"/>
  <c r="R114" i="63" a="1"/>
  <c r="R114" i="63" s="1"/>
  <c r="R112" i="63" a="1"/>
  <c r="R112" i="63" s="1"/>
  <c r="R115" i="63" a="1"/>
  <c r="R115" i="63" s="1"/>
  <c r="R113" i="63" a="1"/>
  <c r="R113" i="63" s="1"/>
  <c r="R169" i="63" a="1"/>
  <c r="R169" i="63" s="1"/>
  <c r="R168" i="63" a="1"/>
  <c r="R168" i="63" s="1"/>
  <c r="R170" i="63" a="1"/>
  <c r="R170" i="63" s="1"/>
  <c r="R167" i="63" a="1"/>
  <c r="R167" i="63" s="1"/>
  <c r="Q210" i="63"/>
  <c r="Q143" i="63"/>
  <c r="Q77" i="63"/>
  <c r="R50" i="63" a="1"/>
  <c r="R50" i="63" s="1"/>
  <c r="R49" i="63" a="1"/>
  <c r="R49" i="63" s="1"/>
  <c r="R48" i="63" a="1"/>
  <c r="R48" i="63" s="1"/>
  <c r="R47" i="63" a="1"/>
  <c r="R47" i="63" s="1"/>
  <c r="R125" i="63" a="1"/>
  <c r="R125" i="63" s="1"/>
  <c r="R122" i="63" a="1"/>
  <c r="R122" i="63" s="1"/>
  <c r="R124" i="63" a="1"/>
  <c r="R124" i="63" s="1"/>
  <c r="R123" i="63" a="1"/>
  <c r="R123" i="63" s="1"/>
  <c r="Q79" i="63"/>
  <c r="S194" i="63"/>
  <c r="S184" i="63"/>
  <c r="S174" i="63"/>
  <c r="S164" i="63"/>
  <c r="S154" i="63"/>
  <c r="S129" i="63"/>
  <c r="S109" i="63"/>
  <c r="S99" i="63"/>
  <c r="S119" i="63"/>
  <c r="S89" i="63"/>
  <c r="S64" i="63"/>
  <c r="S54" i="63"/>
  <c r="S34" i="63"/>
  <c r="S24" i="63"/>
  <c r="S44" i="63"/>
  <c r="Q80" i="63"/>
  <c r="R67" i="63" a="1"/>
  <c r="R67" i="63" s="1"/>
  <c r="R70" i="63" a="1"/>
  <c r="R70" i="63" s="1"/>
  <c r="R69" i="63" a="1"/>
  <c r="R69" i="63" s="1"/>
  <c r="R68" i="63" a="1"/>
  <c r="R68" i="63" s="1"/>
  <c r="R204" i="63"/>
  <c r="R160" i="63" a="1"/>
  <c r="R160" i="63" s="1"/>
  <c r="R157" i="63" a="1"/>
  <c r="R157" i="63" s="1"/>
  <c r="R158" i="63" a="1"/>
  <c r="R158" i="63" s="1"/>
  <c r="R159" i="63" a="1"/>
  <c r="R159" i="63" s="1"/>
  <c r="S194" i="37"/>
  <c r="S184" i="37"/>
  <c r="S174" i="37"/>
  <c r="S164" i="37"/>
  <c r="S154" i="37"/>
  <c r="S119" i="37"/>
  <c r="S129" i="37"/>
  <c r="S99" i="37"/>
  <c r="S89" i="37"/>
  <c r="S109" i="37"/>
  <c r="S64" i="37"/>
  <c r="S44" i="37"/>
  <c r="S34" i="37"/>
  <c r="S24" i="37"/>
  <c r="S54" i="37"/>
  <c r="R115" i="37" a="1"/>
  <c r="R115" i="37" s="1"/>
  <c r="R113" i="37" a="1"/>
  <c r="R113" i="37" s="1"/>
  <c r="R112" i="37" a="1"/>
  <c r="R112" i="37" s="1"/>
  <c r="R114" i="37" a="1"/>
  <c r="R114" i="37" s="1"/>
  <c r="R198" i="37" a="1"/>
  <c r="R198" i="37" s="1"/>
  <c r="R199" i="37" a="1"/>
  <c r="R199" i="37" s="1"/>
  <c r="R197" i="37" a="1"/>
  <c r="R197" i="37" s="1"/>
  <c r="R200" i="37" a="1"/>
  <c r="R200" i="37" s="1"/>
  <c r="Q145" i="37"/>
  <c r="Q210" i="37"/>
  <c r="Q78" i="37"/>
  <c r="R125" i="37" a="1"/>
  <c r="R125" i="37" s="1"/>
  <c r="R123" i="37" a="1"/>
  <c r="R123" i="37" s="1"/>
  <c r="R124" i="37" a="1"/>
  <c r="R124" i="37" s="1"/>
  <c r="R122" i="37" a="1"/>
  <c r="R122" i="37" s="1"/>
  <c r="R102" i="37" a="1"/>
  <c r="R102" i="37" s="1"/>
  <c r="R103" i="37" a="1"/>
  <c r="R103" i="37" s="1"/>
  <c r="R104" i="37" a="1"/>
  <c r="R104" i="37" s="1"/>
  <c r="R105" i="37" a="1"/>
  <c r="R105" i="37" s="1"/>
  <c r="R40" i="37" a="1"/>
  <c r="R40" i="37" s="1"/>
  <c r="R37" i="37" a="1"/>
  <c r="R37" i="37" s="1"/>
  <c r="R38" i="37" a="1"/>
  <c r="R38" i="37" s="1"/>
  <c r="R39" i="37" a="1"/>
  <c r="R39" i="37" s="1"/>
  <c r="R135" i="37" a="1"/>
  <c r="R135" i="37" s="1"/>
  <c r="R133" i="37" a="1"/>
  <c r="R133" i="37" s="1"/>
  <c r="R132" i="37" a="1"/>
  <c r="R132" i="37" s="1"/>
  <c r="R134" i="37" a="1"/>
  <c r="R134" i="37" s="1"/>
  <c r="R48" i="37" a="1"/>
  <c r="R48" i="37" s="1"/>
  <c r="R47" i="37" a="1"/>
  <c r="R47" i="37" s="1"/>
  <c r="R50" i="37" a="1"/>
  <c r="R50" i="37" s="1"/>
  <c r="R49" i="37" a="1"/>
  <c r="R49" i="37" s="1"/>
  <c r="R204" i="37"/>
  <c r="R160" i="37" a="1"/>
  <c r="R160" i="37" s="1"/>
  <c r="R157" i="37" a="1"/>
  <c r="R157" i="37" s="1"/>
  <c r="R159" i="37" a="1"/>
  <c r="R159" i="37" s="1"/>
  <c r="R158" i="37" a="1"/>
  <c r="R158" i="37" s="1"/>
  <c r="R74" i="37"/>
  <c r="R29" i="37" a="1"/>
  <c r="R29" i="37" s="1"/>
  <c r="R30" i="37" a="1"/>
  <c r="R30" i="37" s="1"/>
  <c r="R27" i="37" a="1"/>
  <c r="R27" i="37" s="1"/>
  <c r="R28" i="37" a="1"/>
  <c r="R28" i="37" s="1"/>
  <c r="R139" i="37"/>
  <c r="R95" i="37" a="1"/>
  <c r="R95" i="37" s="1"/>
  <c r="R93" i="37" a="1"/>
  <c r="R93" i="37" s="1"/>
  <c r="R92" i="37" a="1"/>
  <c r="R92" i="37" s="1"/>
  <c r="R94" i="37" a="1"/>
  <c r="R94" i="37" s="1"/>
  <c r="R167" i="37" a="1"/>
  <c r="R167" i="37" s="1"/>
  <c r="R170" i="37" a="1"/>
  <c r="R170" i="37" s="1"/>
  <c r="R168" i="37" a="1"/>
  <c r="R168" i="37" s="1"/>
  <c r="R169" i="37" a="1"/>
  <c r="R169" i="37" s="1"/>
  <c r="Q142" i="37"/>
  <c r="Q209" i="37"/>
  <c r="Q77" i="37"/>
  <c r="R60" i="37" a="1"/>
  <c r="R60" i="37" s="1"/>
  <c r="R57" i="37" a="1"/>
  <c r="R57" i="37" s="1"/>
  <c r="R58" i="37" a="1"/>
  <c r="R58" i="37" s="1"/>
  <c r="R59" i="37" a="1"/>
  <c r="R59" i="37" s="1"/>
  <c r="R179" i="37" a="1"/>
  <c r="R179" i="37" s="1"/>
  <c r="R180" i="37" a="1"/>
  <c r="R180" i="37" s="1"/>
  <c r="R177" i="37" a="1"/>
  <c r="R177" i="37" s="1"/>
  <c r="R178" i="37" a="1"/>
  <c r="R178" i="37" s="1"/>
  <c r="Q143" i="37"/>
  <c r="Q207" i="37"/>
  <c r="Q80" i="37"/>
  <c r="R70" i="37" a="1"/>
  <c r="R70" i="37" s="1"/>
  <c r="R67" i="37" a="1"/>
  <c r="R67" i="37" s="1"/>
  <c r="R68" i="37" a="1"/>
  <c r="R68" i="37" s="1"/>
  <c r="R69" i="37" a="1"/>
  <c r="R69" i="37" s="1"/>
  <c r="R190" i="37" a="1"/>
  <c r="R190" i="37" s="1"/>
  <c r="R187" i="37" a="1"/>
  <c r="R187" i="37" s="1"/>
  <c r="R188" i="37" a="1"/>
  <c r="R188" i="37" s="1"/>
  <c r="R189" i="37" a="1"/>
  <c r="R189" i="37" s="1"/>
  <c r="Q144" i="37"/>
  <c r="Q208" i="37"/>
  <c r="Q79" i="37"/>
  <c r="T7" i="37"/>
  <c r="U7" i="37" s="1"/>
  <c r="Q8" i="37"/>
  <c r="R8" i="64" s="1"/>
  <c r="Q8" i="65"/>
  <c r="Q8" i="63"/>
  <c r="R8" i="65" s="1"/>
  <c r="T7" i="63"/>
  <c r="S33" i="38"/>
  <c r="T5" i="64"/>
  <c r="T5" i="65"/>
  <c r="T35" i="65"/>
  <c r="T29" i="65"/>
  <c r="T14" i="65"/>
  <c r="T25" i="65" s="1"/>
  <c r="T12" i="65"/>
  <c r="T36" i="65"/>
  <c r="U6" i="65"/>
  <c r="T7" i="18"/>
  <c r="T6" i="18" s="1"/>
  <c r="V10" i="60"/>
  <c r="V9" i="60" s="1"/>
  <c r="T34" i="38"/>
  <c r="S29" i="18"/>
  <c r="S18" i="18" s="1"/>
  <c r="U6" i="64"/>
  <c r="T35" i="64"/>
  <c r="T34" i="64"/>
  <c r="AI88" i="63" l="1" a="1"/>
  <c r="AI88" i="63" s="1"/>
  <c r="R207" i="63"/>
  <c r="R209" i="63"/>
  <c r="AI128" i="63" a="1"/>
  <c r="AI128" i="63" s="1"/>
  <c r="AI63" i="63" a="1"/>
  <c r="AI63" i="63" s="1"/>
  <c r="R145" i="37"/>
  <c r="R144" i="63"/>
  <c r="S124" i="63" a="1"/>
  <c r="S124" i="63" s="1"/>
  <c r="S122" i="63" a="1"/>
  <c r="S122" i="63" s="1"/>
  <c r="S123" i="63" a="1"/>
  <c r="S123" i="63" s="1"/>
  <c r="S125" i="63" a="1"/>
  <c r="S125" i="63" s="1"/>
  <c r="S199" i="63" a="1"/>
  <c r="S199" i="63" s="1"/>
  <c r="S200" i="63" a="1"/>
  <c r="S200" i="63" s="1"/>
  <c r="S198" i="63" a="1"/>
  <c r="S198" i="63" s="1"/>
  <c r="S197" i="63" a="1"/>
  <c r="S197" i="63" s="1"/>
  <c r="R145" i="63"/>
  <c r="T184" i="63"/>
  <c r="T174" i="63"/>
  <c r="T194" i="63"/>
  <c r="T164" i="63"/>
  <c r="T154" i="63"/>
  <c r="T119" i="63"/>
  <c r="T129" i="63"/>
  <c r="T109" i="63"/>
  <c r="T99" i="63"/>
  <c r="T89" i="63"/>
  <c r="T64" i="63"/>
  <c r="T54" i="63"/>
  <c r="T44" i="63"/>
  <c r="T34" i="63"/>
  <c r="T24" i="63"/>
  <c r="R208" i="63"/>
  <c r="S103" i="63" a="1"/>
  <c r="S103" i="63" s="1"/>
  <c r="S102" i="63" a="1"/>
  <c r="S102" i="63" s="1"/>
  <c r="S105" i="63" a="1"/>
  <c r="S105" i="63" s="1"/>
  <c r="S104" i="63" a="1"/>
  <c r="S104" i="63" s="1"/>
  <c r="C37" i="55"/>
  <c r="AI43" i="63" a="1"/>
  <c r="AI43" i="63" s="1"/>
  <c r="AI128" i="37" a="1"/>
  <c r="AI128" i="37" s="1"/>
  <c r="AI153" i="63" a="1"/>
  <c r="AI153" i="63" s="1"/>
  <c r="AI88" i="37" a="1"/>
  <c r="AI88" i="37" s="1"/>
  <c r="AI153" i="37" a="1"/>
  <c r="AI153" i="37" s="1"/>
  <c r="AI23" i="63" a="1"/>
  <c r="AI23" i="63" s="1"/>
  <c r="AI98" i="37" a="1"/>
  <c r="AI98" i="37" s="1"/>
  <c r="AI183" i="37" a="1"/>
  <c r="AI183" i="37" s="1"/>
  <c r="AI118" i="63" a="1"/>
  <c r="AI118" i="63" s="1"/>
  <c r="AI118" i="37" a="1"/>
  <c r="AI118" i="37" s="1"/>
  <c r="AI63" i="37" a="1"/>
  <c r="AI63" i="37" s="1"/>
  <c r="AI163" i="63" a="1"/>
  <c r="AI163" i="63" s="1"/>
  <c r="AI33" i="37" a="1"/>
  <c r="AI33" i="37" s="1"/>
  <c r="AI173" i="37" a="1"/>
  <c r="AI173" i="37" s="1"/>
  <c r="AI163" i="37" a="1"/>
  <c r="AI163" i="37" s="1"/>
  <c r="AI23" i="37" a="1"/>
  <c r="AI23" i="37" s="1"/>
  <c r="AI193" i="63" a="1"/>
  <c r="AI193" i="63" s="1"/>
  <c r="AI183" i="63" a="1"/>
  <c r="AI183" i="63" s="1"/>
  <c r="AI53" i="37" a="1"/>
  <c r="AI53" i="37" s="1"/>
  <c r="AI33" i="63" a="1"/>
  <c r="AI33" i="63" s="1"/>
  <c r="AI108" i="37" a="1"/>
  <c r="AI108" i="37" s="1"/>
  <c r="AI173" i="63" a="1"/>
  <c r="AI173" i="63" s="1"/>
  <c r="AI53" i="63" a="1"/>
  <c r="AI53" i="63" s="1"/>
  <c r="AI43" i="37" a="1"/>
  <c r="AI43" i="37" s="1"/>
  <c r="AI193" i="37" a="1"/>
  <c r="AI193" i="37" s="1"/>
  <c r="AI108" i="63" a="1"/>
  <c r="AI108" i="63" s="1"/>
  <c r="R143" i="63"/>
  <c r="S190" i="63" a="1"/>
  <c r="S190" i="63" s="1"/>
  <c r="S188" i="63" a="1"/>
  <c r="S188" i="63" s="1"/>
  <c r="S187" i="63" a="1"/>
  <c r="S187" i="63" s="1"/>
  <c r="S189" i="63" a="1"/>
  <c r="S189" i="63" s="1"/>
  <c r="S48" i="63" a="1"/>
  <c r="S48" i="63" s="1"/>
  <c r="S49" i="63" a="1"/>
  <c r="S49" i="63" s="1"/>
  <c r="S47" i="63" a="1"/>
  <c r="S47" i="63" s="1"/>
  <c r="S50" i="63" a="1"/>
  <c r="S50" i="63" s="1"/>
  <c r="S115" i="63" a="1"/>
  <c r="S115" i="63" s="1"/>
  <c r="S114" i="63" a="1"/>
  <c r="S114" i="63" s="1"/>
  <c r="S113" i="63" a="1"/>
  <c r="S113" i="63" s="1"/>
  <c r="S112" i="63" a="1"/>
  <c r="S112" i="63" s="1"/>
  <c r="R78" i="63"/>
  <c r="S139" i="63"/>
  <c r="S94" i="63" a="1"/>
  <c r="S94" i="63" s="1"/>
  <c r="S95" i="63" a="1"/>
  <c r="S95" i="63" s="1"/>
  <c r="S93" i="63" a="1"/>
  <c r="S93" i="63" s="1"/>
  <c r="S92" i="63" a="1"/>
  <c r="S92" i="63" s="1"/>
  <c r="R210" i="63"/>
  <c r="S74" i="63"/>
  <c r="S28" i="63" a="1"/>
  <c r="S28" i="63" s="1"/>
  <c r="S27" i="63" a="1"/>
  <c r="S27" i="63" s="1"/>
  <c r="S29" i="63" a="1"/>
  <c r="S29" i="63" s="1"/>
  <c r="S30" i="63" a="1"/>
  <c r="S30" i="63" s="1"/>
  <c r="S132" i="63" a="1"/>
  <c r="S132" i="63" s="1"/>
  <c r="S135" i="63" a="1"/>
  <c r="S135" i="63" s="1"/>
  <c r="S133" i="63" a="1"/>
  <c r="S133" i="63" s="1"/>
  <c r="S134" i="63" a="1"/>
  <c r="S134" i="63" s="1"/>
  <c r="R77" i="63"/>
  <c r="S40" i="63" a="1"/>
  <c r="S40" i="63" s="1"/>
  <c r="S39" i="63" a="1"/>
  <c r="S39" i="63" s="1"/>
  <c r="S38" i="63" a="1"/>
  <c r="S38" i="63" s="1"/>
  <c r="S37" i="63" a="1"/>
  <c r="S37" i="63" s="1"/>
  <c r="S204" i="63"/>
  <c r="S159" i="63" a="1"/>
  <c r="S159" i="63" s="1"/>
  <c r="S157" i="63" a="1"/>
  <c r="S157" i="63" s="1"/>
  <c r="S160" i="63" a="1"/>
  <c r="S160" i="63" s="1"/>
  <c r="S158" i="63" a="1"/>
  <c r="S158" i="63" s="1"/>
  <c r="R79" i="63"/>
  <c r="S57" i="63" a="1"/>
  <c r="S57" i="63" s="1"/>
  <c r="S59" i="63" a="1"/>
  <c r="S59" i="63" s="1"/>
  <c r="S60" i="63" a="1"/>
  <c r="S60" i="63" s="1"/>
  <c r="S58" i="63" a="1"/>
  <c r="S58" i="63" s="1"/>
  <c r="S167" i="63" a="1"/>
  <c r="S167" i="63" s="1"/>
  <c r="S169" i="63" a="1"/>
  <c r="S169" i="63" s="1"/>
  <c r="S170" i="63" a="1"/>
  <c r="S170" i="63" s="1"/>
  <c r="S168" i="63" a="1"/>
  <c r="S168" i="63" s="1"/>
  <c r="R80" i="63"/>
  <c r="S70" i="63" a="1"/>
  <c r="S70" i="63" s="1"/>
  <c r="S68" i="63" a="1"/>
  <c r="S68" i="63" s="1"/>
  <c r="S69" i="63" a="1"/>
  <c r="S69" i="63" s="1"/>
  <c r="S67" i="63" a="1"/>
  <c r="S67" i="63" s="1"/>
  <c r="S179" i="63" a="1"/>
  <c r="S179" i="63" s="1"/>
  <c r="S178" i="63" a="1"/>
  <c r="S178" i="63" s="1"/>
  <c r="S180" i="63" a="1"/>
  <c r="S180" i="63" s="1"/>
  <c r="S177" i="63" a="1"/>
  <c r="S177" i="63" s="1"/>
  <c r="R142" i="63"/>
  <c r="R80" i="37"/>
  <c r="R144" i="37"/>
  <c r="R143" i="37"/>
  <c r="R78" i="37"/>
  <c r="R210" i="37"/>
  <c r="S103" i="37" a="1"/>
  <c r="S103" i="37" s="1"/>
  <c r="S104" i="37" a="1"/>
  <c r="S104" i="37" s="1"/>
  <c r="S105" i="37" a="1"/>
  <c r="S105" i="37" s="1"/>
  <c r="S102" i="37" a="1"/>
  <c r="S102" i="37" s="1"/>
  <c r="S123" i="37" a="1"/>
  <c r="S123" i="37" s="1"/>
  <c r="S124" i="37" a="1"/>
  <c r="S124" i="37" s="1"/>
  <c r="S122" i="37" a="1"/>
  <c r="S122" i="37" s="1"/>
  <c r="S125" i="37" a="1"/>
  <c r="S125" i="37" s="1"/>
  <c r="U184" i="37"/>
  <c r="U194" i="37"/>
  <c r="U174" i="37"/>
  <c r="U164" i="37"/>
  <c r="U154" i="37"/>
  <c r="U129" i="37"/>
  <c r="U119" i="37"/>
  <c r="U109" i="37"/>
  <c r="U99" i="37"/>
  <c r="U89" i="37"/>
  <c r="U64" i="37"/>
  <c r="U54" i="37"/>
  <c r="U34" i="37"/>
  <c r="U24" i="37"/>
  <c r="U44" i="37"/>
  <c r="R77" i="37"/>
  <c r="S57" i="37" a="1"/>
  <c r="S57" i="37" s="1"/>
  <c r="S58" i="37" a="1"/>
  <c r="S58" i="37" s="1"/>
  <c r="S59" i="37" a="1"/>
  <c r="S59" i="37" s="1"/>
  <c r="S60" i="37" a="1"/>
  <c r="S60" i="37" s="1"/>
  <c r="S134" i="37" a="1"/>
  <c r="S134" i="37" s="1"/>
  <c r="S133" i="37" a="1"/>
  <c r="S133" i="37" s="1"/>
  <c r="S135" i="37" a="1"/>
  <c r="S135" i="37" s="1"/>
  <c r="S132" i="37" a="1"/>
  <c r="S132" i="37" s="1"/>
  <c r="R79" i="37"/>
  <c r="S37" i="37" a="1"/>
  <c r="S37" i="37" s="1"/>
  <c r="S38" i="37" a="1"/>
  <c r="S38" i="37" s="1"/>
  <c r="S39" i="37" a="1"/>
  <c r="S39" i="37" s="1"/>
  <c r="S40" i="37" a="1"/>
  <c r="S40" i="37" s="1"/>
  <c r="S204" i="37"/>
  <c r="S159" i="37" a="1"/>
  <c r="S159" i="37" s="1"/>
  <c r="S157" i="37" a="1"/>
  <c r="S157" i="37" s="1"/>
  <c r="S158" i="37" a="1"/>
  <c r="S158" i="37" s="1"/>
  <c r="S160" i="37" a="1"/>
  <c r="S160" i="37" s="1"/>
  <c r="R142" i="37"/>
  <c r="S47" i="37" a="1"/>
  <c r="S47" i="37" s="1"/>
  <c r="S48" i="37" a="1"/>
  <c r="S48" i="37" s="1"/>
  <c r="S50" i="37" a="1"/>
  <c r="S50" i="37" s="1"/>
  <c r="S49" i="37" a="1"/>
  <c r="S49" i="37" s="1"/>
  <c r="S169" i="37" a="1"/>
  <c r="S169" i="37" s="1"/>
  <c r="S170" i="37" a="1"/>
  <c r="S170" i="37" s="1"/>
  <c r="S167" i="37" a="1"/>
  <c r="S167" i="37" s="1"/>
  <c r="S168" i="37" a="1"/>
  <c r="S168" i="37" s="1"/>
  <c r="S74" i="37"/>
  <c r="S30" i="37" a="1"/>
  <c r="S30" i="37" s="1"/>
  <c r="S27" i="37" a="1"/>
  <c r="S27" i="37" s="1"/>
  <c r="S28" i="37" a="1"/>
  <c r="S28" i="37" s="1"/>
  <c r="S29" i="37" a="1"/>
  <c r="S29" i="37" s="1"/>
  <c r="T194" i="37"/>
  <c r="T184" i="37"/>
  <c r="T174" i="37"/>
  <c r="T164" i="37"/>
  <c r="T154" i="37"/>
  <c r="T129" i="37"/>
  <c r="T119" i="37"/>
  <c r="T109" i="37"/>
  <c r="T99" i="37"/>
  <c r="T64" i="37"/>
  <c r="T54" i="37"/>
  <c r="T89" i="37"/>
  <c r="T44" i="37"/>
  <c r="T34" i="37"/>
  <c r="T24" i="37"/>
  <c r="R208" i="37"/>
  <c r="S67" i="37" a="1"/>
  <c r="S67" i="37" s="1"/>
  <c r="S68" i="37" a="1"/>
  <c r="S68" i="37" s="1"/>
  <c r="S69" i="37" a="1"/>
  <c r="S69" i="37" s="1"/>
  <c r="S70" i="37" a="1"/>
  <c r="S70" i="37" s="1"/>
  <c r="S180" i="37" a="1"/>
  <c r="S180" i="37" s="1"/>
  <c r="S177" i="37" a="1"/>
  <c r="S177" i="37" s="1"/>
  <c r="S178" i="37" a="1"/>
  <c r="S178" i="37" s="1"/>
  <c r="S179" i="37" a="1"/>
  <c r="S179" i="37" s="1"/>
  <c r="R209" i="37"/>
  <c r="S114" i="37" a="1"/>
  <c r="S114" i="37" s="1"/>
  <c r="S113" i="37" a="1"/>
  <c r="S113" i="37" s="1"/>
  <c r="S112" i="37" a="1"/>
  <c r="S112" i="37" s="1"/>
  <c r="S115" i="37" a="1"/>
  <c r="S115" i="37" s="1"/>
  <c r="S187" i="37" a="1"/>
  <c r="S187" i="37" s="1"/>
  <c r="S188" i="37" a="1"/>
  <c r="S188" i="37" s="1"/>
  <c r="S189" i="37" a="1"/>
  <c r="S189" i="37" s="1"/>
  <c r="S190" i="37" a="1"/>
  <c r="S190" i="37" s="1"/>
  <c r="R207" i="37"/>
  <c r="S139" i="37"/>
  <c r="S95" i="37" a="1"/>
  <c r="S95" i="37" s="1"/>
  <c r="S93" i="37" a="1"/>
  <c r="S93" i="37" s="1"/>
  <c r="S92" i="37" a="1"/>
  <c r="S92" i="37" s="1"/>
  <c r="S94" i="37" a="1"/>
  <c r="S94" i="37" s="1"/>
  <c r="S199" i="37" a="1"/>
  <c r="S199" i="37" s="1"/>
  <c r="S200" i="37" a="1"/>
  <c r="S200" i="37" s="1"/>
  <c r="S198" i="37" a="1"/>
  <c r="S198" i="37" s="1"/>
  <c r="S197" i="37" a="1"/>
  <c r="S197" i="37" s="1"/>
  <c r="R8" i="37"/>
  <c r="S8" i="64" s="1"/>
  <c r="P8" i="18"/>
  <c r="U7" i="63"/>
  <c r="R8" i="63"/>
  <c r="T33" i="38"/>
  <c r="U5" i="64"/>
  <c r="U5" i="65"/>
  <c r="U14" i="65"/>
  <c r="U25" i="65" s="1"/>
  <c r="U35" i="65"/>
  <c r="U36" i="65"/>
  <c r="V6" i="65"/>
  <c r="U12" i="65"/>
  <c r="U29" i="65"/>
  <c r="U7" i="18"/>
  <c r="U6" i="18" s="1"/>
  <c r="W10" i="60"/>
  <c r="W9" i="60" s="1"/>
  <c r="U34" i="38"/>
  <c r="T29" i="18"/>
  <c r="T18" i="18" s="1"/>
  <c r="U34" i="64"/>
  <c r="U35" i="64"/>
  <c r="V6" i="64"/>
  <c r="V7" i="37"/>
  <c r="AJ63" i="63" l="1" a="1"/>
  <c r="AJ63" i="63" s="1"/>
  <c r="AJ183" i="63" a="1"/>
  <c r="AJ183" i="63" s="1"/>
  <c r="AJ163" i="63" a="1"/>
  <c r="AJ163" i="63" s="1"/>
  <c r="AJ33" i="37" a="1"/>
  <c r="AJ33" i="37" s="1"/>
  <c r="AJ193" i="63" a="1"/>
  <c r="AJ193" i="63" s="1"/>
  <c r="AJ108" i="37" a="1"/>
  <c r="AJ108" i="37" s="1"/>
  <c r="AJ23" i="37" a="1"/>
  <c r="AJ23" i="37" s="1"/>
  <c r="AJ98" i="63" a="1"/>
  <c r="AJ98" i="63" s="1"/>
  <c r="AJ153" i="63" a="1"/>
  <c r="AJ153" i="63" s="1"/>
  <c r="AJ43" i="37" a="1"/>
  <c r="AJ43" i="37" s="1"/>
  <c r="AJ108" i="63" a="1"/>
  <c r="AJ108" i="63" s="1"/>
  <c r="AJ128" i="37" a="1"/>
  <c r="AJ128" i="37" s="1"/>
  <c r="AJ33" i="63" a="1"/>
  <c r="AJ33" i="63" s="1"/>
  <c r="AJ23" i="63" a="1"/>
  <c r="AJ23" i="63" s="1"/>
  <c r="AJ88" i="63" a="1"/>
  <c r="AJ88" i="63" s="1"/>
  <c r="AJ53" i="63" a="1"/>
  <c r="AJ53" i="63" s="1"/>
  <c r="AJ153" i="37" a="1"/>
  <c r="AJ153" i="37" s="1"/>
  <c r="AJ118" i="63" a="1"/>
  <c r="AJ118" i="63" s="1"/>
  <c r="S8" i="37"/>
  <c r="T8" i="64" s="1"/>
  <c r="AJ88" i="37" a="1"/>
  <c r="AJ88" i="37" s="1"/>
  <c r="AJ118" i="37" a="1"/>
  <c r="AJ118" i="37" s="1"/>
  <c r="AJ173" i="63" a="1"/>
  <c r="AJ173" i="63" s="1"/>
  <c r="AJ128" i="63" a="1"/>
  <c r="AJ128" i="63" s="1"/>
  <c r="AJ43" i="63" a="1"/>
  <c r="AJ43" i="63" s="1"/>
  <c r="AJ63" i="37" a="1"/>
  <c r="AJ63" i="37" s="1"/>
  <c r="AJ98" i="37" a="1"/>
  <c r="AJ98" i="37" s="1"/>
  <c r="S144" i="63"/>
  <c r="S143" i="37"/>
  <c r="S142" i="63"/>
  <c r="S79" i="63"/>
  <c r="T37" i="63" a="1"/>
  <c r="T37" i="63" s="1"/>
  <c r="T39" i="63" a="1"/>
  <c r="T39" i="63" s="1"/>
  <c r="T38" i="63" a="1"/>
  <c r="T38" i="63" s="1"/>
  <c r="T40" i="63" a="1"/>
  <c r="T40" i="63" s="1"/>
  <c r="S210" i="63"/>
  <c r="S78" i="63"/>
  <c r="C38" i="55"/>
  <c r="AJ163" i="37" a="1"/>
  <c r="AJ163" i="37" s="1"/>
  <c r="AJ193" i="37" a="1"/>
  <c r="AJ193" i="37" s="1"/>
  <c r="AJ173" i="37" a="1"/>
  <c r="AJ173" i="37" s="1"/>
  <c r="AJ183" i="37" a="1"/>
  <c r="AJ183" i="37" s="1"/>
  <c r="AJ53" i="37" a="1"/>
  <c r="AJ53" i="37" s="1"/>
  <c r="T47" i="63" a="1"/>
  <c r="T47" i="63" s="1"/>
  <c r="T50" i="63" a="1"/>
  <c r="T50" i="63" s="1"/>
  <c r="T48" i="63" a="1"/>
  <c r="T48" i="63" s="1"/>
  <c r="T49" i="63" a="1"/>
  <c r="T49" i="63" s="1"/>
  <c r="T204" i="63"/>
  <c r="T158" i="63" a="1"/>
  <c r="T158" i="63" s="1"/>
  <c r="T159" i="63" a="1"/>
  <c r="T159" i="63" s="1"/>
  <c r="T160" i="63" a="1"/>
  <c r="T160" i="63" s="1"/>
  <c r="T157" i="63" a="1"/>
  <c r="T157" i="63" s="1"/>
  <c r="S77" i="63"/>
  <c r="S207" i="63"/>
  <c r="T60" i="63" a="1"/>
  <c r="T60" i="63" s="1"/>
  <c r="T59" i="63" a="1"/>
  <c r="T59" i="63" s="1"/>
  <c r="T57" i="63" a="1"/>
  <c r="T57" i="63" s="1"/>
  <c r="T58" i="63" a="1"/>
  <c r="T58" i="63" s="1"/>
  <c r="T169" i="63" a="1"/>
  <c r="T169" i="63" s="1"/>
  <c r="T167" i="63" a="1"/>
  <c r="T167" i="63" s="1"/>
  <c r="T168" i="63" a="1"/>
  <c r="T168" i="63" s="1"/>
  <c r="T170" i="63" a="1"/>
  <c r="T170" i="63" s="1"/>
  <c r="T74" i="63"/>
  <c r="T30" i="63" a="1"/>
  <c r="T30" i="63" s="1"/>
  <c r="T27" i="63" a="1"/>
  <c r="T27" i="63" s="1"/>
  <c r="T28" i="63" a="1"/>
  <c r="T28" i="63" s="1"/>
  <c r="T29" i="63" a="1"/>
  <c r="T29" i="63" s="1"/>
  <c r="U194" i="63"/>
  <c r="U184" i="63"/>
  <c r="U174" i="63"/>
  <c r="U164" i="63"/>
  <c r="U154" i="63"/>
  <c r="U109" i="63"/>
  <c r="U119" i="63"/>
  <c r="U89" i="63"/>
  <c r="U129" i="63"/>
  <c r="U99" i="63"/>
  <c r="U64" i="63"/>
  <c r="U54" i="63"/>
  <c r="U44" i="63"/>
  <c r="U24" i="63"/>
  <c r="U34" i="63"/>
  <c r="S208" i="63"/>
  <c r="S209" i="63"/>
  <c r="T67" i="63" a="1"/>
  <c r="T67" i="63" s="1"/>
  <c r="T69" i="63" a="1"/>
  <c r="T69" i="63" s="1"/>
  <c r="T68" i="63" a="1"/>
  <c r="T68" i="63" s="1"/>
  <c r="T70" i="63" a="1"/>
  <c r="T70" i="63" s="1"/>
  <c r="T197" i="63" a="1"/>
  <c r="T197" i="63" s="1"/>
  <c r="T199" i="63" a="1"/>
  <c r="T199" i="63" s="1"/>
  <c r="T198" i="63" a="1"/>
  <c r="T198" i="63" s="1"/>
  <c r="T200" i="63" a="1"/>
  <c r="T200" i="63" s="1"/>
  <c r="T139" i="63"/>
  <c r="T93" i="63" a="1"/>
  <c r="T93" i="63" s="1"/>
  <c r="T94" i="63" a="1"/>
  <c r="T94" i="63" s="1"/>
  <c r="T95" i="63" a="1"/>
  <c r="T95" i="63" s="1"/>
  <c r="T92" i="63" a="1"/>
  <c r="T92" i="63" s="1"/>
  <c r="T178" i="63" a="1"/>
  <c r="T178" i="63" s="1"/>
  <c r="T180" i="63" a="1"/>
  <c r="T180" i="63" s="1"/>
  <c r="T177" i="63" a="1"/>
  <c r="T177" i="63" s="1"/>
  <c r="T179" i="63" a="1"/>
  <c r="T179" i="63" s="1"/>
  <c r="T123" i="63" a="1"/>
  <c r="T123" i="63" s="1"/>
  <c r="T122" i="63" a="1"/>
  <c r="T122" i="63" s="1"/>
  <c r="T124" i="63" a="1"/>
  <c r="T124" i="63" s="1"/>
  <c r="T125" i="63" a="1"/>
  <c r="T125" i="63" s="1"/>
  <c r="S143" i="63"/>
  <c r="T104" i="63" a="1"/>
  <c r="T104" i="63" s="1"/>
  <c r="T103" i="63" a="1"/>
  <c r="T103" i="63" s="1"/>
  <c r="T105" i="63" a="1"/>
  <c r="T105" i="63" s="1"/>
  <c r="T102" i="63" a="1"/>
  <c r="T102" i="63" s="1"/>
  <c r="T190" i="63" a="1"/>
  <c r="T190" i="63" s="1"/>
  <c r="T188" i="63" a="1"/>
  <c r="T188" i="63" s="1"/>
  <c r="T187" i="63" a="1"/>
  <c r="T187" i="63" s="1"/>
  <c r="T189" i="63" a="1"/>
  <c r="T189" i="63" s="1"/>
  <c r="T135" i="63" a="1"/>
  <c r="T135" i="63" s="1"/>
  <c r="T134" i="63" a="1"/>
  <c r="T134" i="63" s="1"/>
  <c r="T132" i="63" a="1"/>
  <c r="T132" i="63" s="1"/>
  <c r="T133" i="63" a="1"/>
  <c r="T133" i="63" s="1"/>
  <c r="S80" i="63"/>
  <c r="S145" i="63"/>
  <c r="T113" i="63" a="1"/>
  <c r="T113" i="63" s="1"/>
  <c r="T112" i="63" a="1"/>
  <c r="T112" i="63" s="1"/>
  <c r="T114" i="63" a="1"/>
  <c r="T114" i="63" s="1"/>
  <c r="T115" i="63" a="1"/>
  <c r="T115" i="63" s="1"/>
  <c r="S145" i="37"/>
  <c r="S144" i="37"/>
  <c r="T167" i="37" a="1"/>
  <c r="T167" i="37" s="1"/>
  <c r="T170" i="37" a="1"/>
  <c r="T170" i="37" s="1"/>
  <c r="T168" i="37" a="1"/>
  <c r="T168" i="37" s="1"/>
  <c r="T169" i="37" a="1"/>
  <c r="T169" i="37" s="1"/>
  <c r="S142" i="37"/>
  <c r="T38" i="37" a="1"/>
  <c r="T38" i="37" s="1"/>
  <c r="T39" i="37" a="1"/>
  <c r="T39" i="37" s="1"/>
  <c r="T40" i="37" a="1"/>
  <c r="T40" i="37" s="1"/>
  <c r="T37" i="37" a="1"/>
  <c r="T37" i="37" s="1"/>
  <c r="T134" i="37" a="1"/>
  <c r="T134" i="37" s="1"/>
  <c r="T133" i="37" a="1"/>
  <c r="T133" i="37" s="1"/>
  <c r="T135" i="37" a="1"/>
  <c r="T135" i="37" s="1"/>
  <c r="T132" i="37" a="1"/>
  <c r="T132" i="37" s="1"/>
  <c r="S77" i="37"/>
  <c r="U74" i="37"/>
  <c r="U28" i="37" a="1"/>
  <c r="U28" i="37" s="1"/>
  <c r="U29" i="37" a="1"/>
  <c r="U29" i="37" s="1"/>
  <c r="U30" i="37" a="1"/>
  <c r="U30" i="37" s="1"/>
  <c r="U27" i="37" a="1"/>
  <c r="U27" i="37" s="1"/>
  <c r="U132" i="37" a="1"/>
  <c r="U132" i="37" s="1"/>
  <c r="U134" i="37" a="1"/>
  <c r="U134" i="37" s="1"/>
  <c r="U133" i="37" a="1"/>
  <c r="U133" i="37" s="1"/>
  <c r="U135" i="37" a="1"/>
  <c r="U135" i="37" s="1"/>
  <c r="T50" i="37" a="1"/>
  <c r="T50" i="37" s="1"/>
  <c r="T48" i="37" a="1"/>
  <c r="T48" i="37" s="1"/>
  <c r="T49" i="37" a="1"/>
  <c r="T49" i="37" s="1"/>
  <c r="T47" i="37" a="1"/>
  <c r="T47" i="37" s="1"/>
  <c r="T204" i="37"/>
  <c r="T159" i="37" a="1"/>
  <c r="T159" i="37" s="1"/>
  <c r="T157" i="37" a="1"/>
  <c r="T157" i="37" s="1"/>
  <c r="T160" i="37" a="1"/>
  <c r="T160" i="37" s="1"/>
  <c r="T158" i="37" a="1"/>
  <c r="T158" i="37" s="1"/>
  <c r="S80" i="37"/>
  <c r="U39" i="37" a="1"/>
  <c r="U39" i="37" s="1"/>
  <c r="U40" i="37" a="1"/>
  <c r="U40" i="37" s="1"/>
  <c r="U37" i="37" a="1"/>
  <c r="U37" i="37" s="1"/>
  <c r="U38" i="37" a="1"/>
  <c r="U38" i="37" s="1"/>
  <c r="U204" i="37"/>
  <c r="U159" i="37" a="1"/>
  <c r="U159" i="37" s="1"/>
  <c r="U160" i="37" a="1"/>
  <c r="U160" i="37" s="1"/>
  <c r="U158" i="37" a="1"/>
  <c r="U158" i="37" s="1"/>
  <c r="U157" i="37" a="1"/>
  <c r="U157" i="37" s="1"/>
  <c r="T58" i="37" a="1"/>
  <c r="T58" i="37" s="1"/>
  <c r="T59" i="37" a="1"/>
  <c r="T59" i="37" s="1"/>
  <c r="T60" i="37" a="1"/>
  <c r="T60" i="37" s="1"/>
  <c r="T57" i="37" a="1"/>
  <c r="T57" i="37" s="1"/>
  <c r="T180" i="37" a="1"/>
  <c r="T180" i="37" s="1"/>
  <c r="T177" i="37" a="1"/>
  <c r="T177" i="37" s="1"/>
  <c r="T178" i="37" a="1"/>
  <c r="T178" i="37" s="1"/>
  <c r="T179" i="37" a="1"/>
  <c r="T179" i="37" s="1"/>
  <c r="U69" i="37" a="1"/>
  <c r="U69" i="37" s="1"/>
  <c r="U70" i="37" a="1"/>
  <c r="U70" i="37" s="1"/>
  <c r="U67" i="37" a="1"/>
  <c r="U67" i="37" s="1"/>
  <c r="U68" i="37" a="1"/>
  <c r="U68" i="37" s="1"/>
  <c r="U178" i="37" a="1"/>
  <c r="U178" i="37" s="1"/>
  <c r="U179" i="37" a="1"/>
  <c r="U179" i="37" s="1"/>
  <c r="U180" i="37" a="1"/>
  <c r="U180" i="37" s="1"/>
  <c r="U177" i="37" a="1"/>
  <c r="U177" i="37" s="1"/>
  <c r="U170" i="37" a="1"/>
  <c r="U170" i="37" s="1"/>
  <c r="U169" i="37" a="1"/>
  <c r="U169" i="37" s="1"/>
  <c r="U167" i="37" a="1"/>
  <c r="U167" i="37" s="1"/>
  <c r="U168" i="37" a="1"/>
  <c r="U168" i="37" s="1"/>
  <c r="T68" i="37" a="1"/>
  <c r="T68" i="37" s="1"/>
  <c r="T69" i="37" a="1"/>
  <c r="T69" i="37" s="1"/>
  <c r="T70" i="37" a="1"/>
  <c r="T70" i="37" s="1"/>
  <c r="T67" i="37" a="1"/>
  <c r="T67" i="37" s="1"/>
  <c r="T188" i="37" a="1"/>
  <c r="T188" i="37" s="1"/>
  <c r="T189" i="37" a="1"/>
  <c r="T189" i="37" s="1"/>
  <c r="T190" i="37" a="1"/>
  <c r="T190" i="37" s="1"/>
  <c r="T187" i="37" a="1"/>
  <c r="T187" i="37" s="1"/>
  <c r="S210" i="37"/>
  <c r="U139" i="37"/>
  <c r="U95" i="37" a="1"/>
  <c r="U95" i="37" s="1"/>
  <c r="U92" i="37" a="1"/>
  <c r="U92" i="37" s="1"/>
  <c r="U94" i="37" a="1"/>
  <c r="U94" i="37" s="1"/>
  <c r="U93" i="37" a="1"/>
  <c r="U93" i="37" s="1"/>
  <c r="U197" i="37" a="1"/>
  <c r="U197" i="37" s="1"/>
  <c r="U198" i="37" a="1"/>
  <c r="U198" i="37" s="1"/>
  <c r="U200" i="37" a="1"/>
  <c r="U200" i="37" s="1"/>
  <c r="U199" i="37" a="1"/>
  <c r="U199" i="37" s="1"/>
  <c r="U59" i="37" a="1"/>
  <c r="U59" i="37" s="1"/>
  <c r="U60" i="37" a="1"/>
  <c r="U60" i="37" s="1"/>
  <c r="U57" i="37" a="1"/>
  <c r="U57" i="37" s="1"/>
  <c r="U58" i="37" a="1"/>
  <c r="U58" i="37" s="1"/>
  <c r="T104" i="37" a="1"/>
  <c r="T104" i="37" s="1"/>
  <c r="T105" i="37" a="1"/>
  <c r="T105" i="37" s="1"/>
  <c r="T102" i="37" a="1"/>
  <c r="T102" i="37" s="1"/>
  <c r="T103" i="37" a="1"/>
  <c r="T103" i="37" s="1"/>
  <c r="T200" i="37" a="1"/>
  <c r="T200" i="37" s="1"/>
  <c r="T197" i="37" a="1"/>
  <c r="T197" i="37" s="1"/>
  <c r="T199" i="37" a="1"/>
  <c r="T199" i="37" s="1"/>
  <c r="T198" i="37" a="1"/>
  <c r="T198" i="37" s="1"/>
  <c r="S208" i="37"/>
  <c r="U105" i="37" a="1"/>
  <c r="U105" i="37" s="1"/>
  <c r="U102" i="37" a="1"/>
  <c r="U102" i="37" s="1"/>
  <c r="U103" i="37" a="1"/>
  <c r="U103" i="37" s="1"/>
  <c r="U104" i="37" a="1"/>
  <c r="U104" i="37" s="1"/>
  <c r="U189" i="37" a="1"/>
  <c r="U189" i="37" s="1"/>
  <c r="U190" i="37" a="1"/>
  <c r="U190" i="37" s="1"/>
  <c r="U187" i="37" a="1"/>
  <c r="U187" i="37" s="1"/>
  <c r="U188" i="37" a="1"/>
  <c r="U188" i="37" s="1"/>
  <c r="V194" i="37"/>
  <c r="V174" i="37"/>
  <c r="V184" i="37"/>
  <c r="V164" i="37"/>
  <c r="V154" i="37"/>
  <c r="V119" i="37"/>
  <c r="V129" i="37"/>
  <c r="V109" i="37"/>
  <c r="V99" i="37"/>
  <c r="V89" i="37"/>
  <c r="V64" i="37"/>
  <c r="V24" i="37"/>
  <c r="V54" i="37"/>
  <c r="V44" i="37"/>
  <c r="V34" i="37"/>
  <c r="T113" i="37" a="1"/>
  <c r="T113" i="37" s="1"/>
  <c r="T115" i="37" a="1"/>
  <c r="T115" i="37" s="1"/>
  <c r="T114" i="37" a="1"/>
  <c r="T114" i="37" s="1"/>
  <c r="T112" i="37" a="1"/>
  <c r="T112" i="37" s="1"/>
  <c r="S79" i="37"/>
  <c r="S207" i="37"/>
  <c r="U114" i="37" a="1"/>
  <c r="U114" i="37" s="1"/>
  <c r="U112" i="37" a="1"/>
  <c r="U112" i="37" s="1"/>
  <c r="U115" i="37" a="1"/>
  <c r="U115" i="37" s="1"/>
  <c r="U113" i="37" a="1"/>
  <c r="U113" i="37" s="1"/>
  <c r="T139" i="37"/>
  <c r="T95" i="37" a="1"/>
  <c r="T95" i="37" s="1"/>
  <c r="T93" i="37" a="1"/>
  <c r="T93" i="37" s="1"/>
  <c r="T92" i="37" a="1"/>
  <c r="T92" i="37" s="1"/>
  <c r="T94" i="37" a="1"/>
  <c r="T94" i="37" s="1"/>
  <c r="T74" i="37"/>
  <c r="T27" i="37" a="1"/>
  <c r="T27" i="37" s="1"/>
  <c r="T28" i="37" a="1"/>
  <c r="T28" i="37" s="1"/>
  <c r="T29" i="37" a="1"/>
  <c r="T29" i="37" s="1"/>
  <c r="T30" i="37" a="1"/>
  <c r="T30" i="37" s="1"/>
  <c r="T124" i="37" a="1"/>
  <c r="T124" i="37" s="1"/>
  <c r="T122" i="37" a="1"/>
  <c r="T122" i="37" s="1"/>
  <c r="T125" i="37" a="1"/>
  <c r="T125" i="37" s="1"/>
  <c r="T123" i="37" a="1"/>
  <c r="T123" i="37" s="1"/>
  <c r="S78" i="37"/>
  <c r="S209" i="37"/>
  <c r="U49" i="37" a="1"/>
  <c r="U49" i="37" s="1"/>
  <c r="U47" i="37" a="1"/>
  <c r="U47" i="37" s="1"/>
  <c r="U50" i="37" a="1"/>
  <c r="U50" i="37" s="1"/>
  <c r="U48" i="37" a="1"/>
  <c r="U48" i="37" s="1"/>
  <c r="U124" i="37" a="1"/>
  <c r="U124" i="37" s="1"/>
  <c r="U122" i="37" a="1"/>
  <c r="U122" i="37" s="1"/>
  <c r="U125" i="37" a="1"/>
  <c r="U125" i="37" s="1"/>
  <c r="U123" i="37" a="1"/>
  <c r="U123" i="37" s="1"/>
  <c r="S8" i="63"/>
  <c r="T8" i="65" s="1"/>
  <c r="Q8" i="18"/>
  <c r="S8" i="65"/>
  <c r="V7" i="63"/>
  <c r="U33" i="38"/>
  <c r="V5" i="65"/>
  <c r="V5" i="64"/>
  <c r="V36" i="65"/>
  <c r="V35" i="65"/>
  <c r="W6" i="65"/>
  <c r="V14" i="65"/>
  <c r="V25" i="65" s="1"/>
  <c r="V7" i="18"/>
  <c r="V6" i="18" s="1"/>
  <c r="V29" i="65"/>
  <c r="V12" i="65"/>
  <c r="X10" i="60"/>
  <c r="X9" i="60" s="1"/>
  <c r="V34" i="38"/>
  <c r="U29" i="18"/>
  <c r="U18" i="18" s="1"/>
  <c r="V34" i="64"/>
  <c r="V35" i="64"/>
  <c r="W6" i="64"/>
  <c r="W7" i="37"/>
  <c r="T145" i="37" l="1"/>
  <c r="T145" i="63"/>
  <c r="T144" i="63"/>
  <c r="T80" i="37"/>
  <c r="T143" i="63"/>
  <c r="U178" i="63" a="1"/>
  <c r="U178" i="63" s="1"/>
  <c r="U180" i="63" a="1"/>
  <c r="U180" i="63" s="1"/>
  <c r="U177" i="63" a="1"/>
  <c r="U177" i="63" s="1"/>
  <c r="U179" i="63" a="1"/>
  <c r="U179" i="63" s="1"/>
  <c r="C39" i="55"/>
  <c r="AK153" i="37" a="1"/>
  <c r="AK153" i="37" s="1"/>
  <c r="AK118" i="37" a="1"/>
  <c r="AK118" i="37" s="1"/>
  <c r="AK183" i="63" a="1"/>
  <c r="AK183" i="63" s="1"/>
  <c r="AK53" i="37" a="1"/>
  <c r="AK53" i="37" s="1"/>
  <c r="AK163" i="37" a="1"/>
  <c r="AK163" i="37" s="1"/>
  <c r="AK63" i="63" a="1"/>
  <c r="AK63" i="63" s="1"/>
  <c r="AK163" i="63" a="1"/>
  <c r="AK163" i="63" s="1"/>
  <c r="AK173" i="63" a="1"/>
  <c r="AK173" i="63" s="1"/>
  <c r="AK33" i="37" a="1"/>
  <c r="AK33" i="37" s="1"/>
  <c r="AK23" i="37" a="1"/>
  <c r="AK23" i="37" s="1"/>
  <c r="AK128" i="37" a="1"/>
  <c r="AK128" i="37" s="1"/>
  <c r="AK108" i="37" a="1"/>
  <c r="AK108" i="37" s="1"/>
  <c r="AK88" i="37" a="1"/>
  <c r="AK88" i="37" s="1"/>
  <c r="AK118" i="63" a="1"/>
  <c r="AK118" i="63" s="1"/>
  <c r="AK108" i="63" a="1"/>
  <c r="AK108" i="63" s="1"/>
  <c r="AK98" i="37" a="1"/>
  <c r="AK98" i="37" s="1"/>
  <c r="AK98" i="63" a="1"/>
  <c r="AK98" i="63" s="1"/>
  <c r="AK193" i="37" a="1"/>
  <c r="AK193" i="37" s="1"/>
  <c r="AK53" i="63" a="1"/>
  <c r="AK53" i="63" s="1"/>
  <c r="AK173" i="37" a="1"/>
  <c r="AK173" i="37" s="1"/>
  <c r="AK63" i="37" a="1"/>
  <c r="AK63" i="37" s="1"/>
  <c r="AK153" i="63" a="1"/>
  <c r="AK153" i="63" s="1"/>
  <c r="AK193" i="63" a="1"/>
  <c r="AK193" i="63" s="1"/>
  <c r="AK88" i="63" a="1"/>
  <c r="AK88" i="63" s="1"/>
  <c r="AK183" i="37" a="1"/>
  <c r="AK183" i="37" s="1"/>
  <c r="AK43" i="37" a="1"/>
  <c r="AK43" i="37" s="1"/>
  <c r="AK33" i="63" a="1"/>
  <c r="AK33" i="63" s="1"/>
  <c r="U105" i="63" a="1"/>
  <c r="U105" i="63" s="1"/>
  <c r="U104" i="63" a="1"/>
  <c r="U104" i="63" s="1"/>
  <c r="U103" i="63" a="1"/>
  <c r="U103" i="63" s="1"/>
  <c r="U102" i="63" a="1"/>
  <c r="U102" i="63" s="1"/>
  <c r="U190" i="63" a="1"/>
  <c r="U190" i="63" s="1"/>
  <c r="U189" i="63" a="1"/>
  <c r="U189" i="63" s="1"/>
  <c r="U187" i="63" a="1"/>
  <c r="U187" i="63" s="1"/>
  <c r="U188" i="63" a="1"/>
  <c r="U188" i="63" s="1"/>
  <c r="T78" i="37"/>
  <c r="U134" i="63" a="1"/>
  <c r="U134" i="63" s="1"/>
  <c r="U132" i="63" a="1"/>
  <c r="U132" i="63" s="1"/>
  <c r="U133" i="63" a="1"/>
  <c r="U133" i="63" s="1"/>
  <c r="U135" i="63" a="1"/>
  <c r="U135" i="63" s="1"/>
  <c r="U197" i="63" a="1"/>
  <c r="U197" i="63" s="1"/>
  <c r="U199" i="63" a="1"/>
  <c r="U199" i="63" s="1"/>
  <c r="U198" i="63" a="1"/>
  <c r="U198" i="63" s="1"/>
  <c r="U200" i="63" a="1"/>
  <c r="U200" i="63" s="1"/>
  <c r="T207" i="63"/>
  <c r="U60" i="63" a="1"/>
  <c r="U60" i="63" s="1"/>
  <c r="U57" i="63" a="1"/>
  <c r="U57" i="63" s="1"/>
  <c r="U59" i="63" a="1"/>
  <c r="U59" i="63" s="1"/>
  <c r="U58" i="63" a="1"/>
  <c r="U58" i="63" s="1"/>
  <c r="U78" i="37"/>
  <c r="U68" i="63" a="1"/>
  <c r="U68" i="63" s="1"/>
  <c r="U70" i="63" a="1"/>
  <c r="U70" i="63" s="1"/>
  <c r="U67" i="63" a="1"/>
  <c r="U67" i="63" s="1"/>
  <c r="U69" i="63" a="1"/>
  <c r="U69" i="63" s="1"/>
  <c r="T77" i="37"/>
  <c r="U139" i="63"/>
  <c r="U94" i="63" a="1"/>
  <c r="U94" i="63" s="1"/>
  <c r="U92" i="63" a="1"/>
  <c r="U92" i="63" s="1"/>
  <c r="U95" i="63" a="1"/>
  <c r="U95" i="63" s="1"/>
  <c r="U93" i="63" a="1"/>
  <c r="U93" i="63" s="1"/>
  <c r="T79" i="63"/>
  <c r="T210" i="63"/>
  <c r="U210" i="37"/>
  <c r="U39" i="63" a="1"/>
  <c r="U39" i="63" s="1"/>
  <c r="U38" i="63" a="1"/>
  <c r="U38" i="63" s="1"/>
  <c r="U37" i="63" a="1"/>
  <c r="U37" i="63" s="1"/>
  <c r="U40" i="63" a="1"/>
  <c r="U40" i="63" s="1"/>
  <c r="U124" i="63" a="1"/>
  <c r="U124" i="63" s="1"/>
  <c r="U125" i="63" a="1"/>
  <c r="U125" i="63" s="1"/>
  <c r="U123" i="63" a="1"/>
  <c r="U123" i="63" s="1"/>
  <c r="U122" i="63" a="1"/>
  <c r="U122" i="63" s="1"/>
  <c r="T78" i="63"/>
  <c r="T209" i="63"/>
  <c r="U167" i="63" a="1"/>
  <c r="U167" i="63" s="1"/>
  <c r="U170" i="63" a="1"/>
  <c r="U170" i="63" s="1"/>
  <c r="U169" i="63" a="1"/>
  <c r="U169" i="63" s="1"/>
  <c r="U168" i="63" a="1"/>
  <c r="U168" i="63" s="1"/>
  <c r="T208" i="37"/>
  <c r="T142" i="63"/>
  <c r="U74" i="63"/>
  <c r="U27" i="63" a="1"/>
  <c r="U27" i="63" s="1"/>
  <c r="U29" i="63" a="1"/>
  <c r="U29" i="63" s="1"/>
  <c r="U28" i="63" a="1"/>
  <c r="U28" i="63" s="1"/>
  <c r="U30" i="63" a="1"/>
  <c r="U30" i="63" s="1"/>
  <c r="U112" i="63" a="1"/>
  <c r="U112" i="63" s="1"/>
  <c r="U114" i="63" a="1"/>
  <c r="U114" i="63" s="1"/>
  <c r="U113" i="63" a="1"/>
  <c r="U113" i="63" s="1"/>
  <c r="U115" i="63" a="1"/>
  <c r="U115" i="63" s="1"/>
  <c r="T77" i="63"/>
  <c r="T208" i="63"/>
  <c r="V194" i="63"/>
  <c r="V184" i="63"/>
  <c r="V174" i="63"/>
  <c r="V154" i="63"/>
  <c r="V164" i="63"/>
  <c r="V129" i="63"/>
  <c r="V109" i="63"/>
  <c r="V119" i="63"/>
  <c r="V89" i="63"/>
  <c r="V99" i="63"/>
  <c r="V64" i="63"/>
  <c r="V54" i="63"/>
  <c r="V44" i="63"/>
  <c r="V34" i="63"/>
  <c r="V24" i="63"/>
  <c r="U49" i="63" a="1"/>
  <c r="U49" i="63" s="1"/>
  <c r="U47" i="63" a="1"/>
  <c r="U47" i="63" s="1"/>
  <c r="U50" i="63" a="1"/>
  <c r="U50" i="63" s="1"/>
  <c r="U48" i="63" a="1"/>
  <c r="U48" i="63" s="1"/>
  <c r="U204" i="63"/>
  <c r="U157" i="63" a="1"/>
  <c r="U157" i="63" s="1"/>
  <c r="U158" i="63" a="1"/>
  <c r="U158" i="63" s="1"/>
  <c r="U160" i="63" a="1"/>
  <c r="U160" i="63" s="1"/>
  <c r="U159" i="63" a="1"/>
  <c r="U159" i="63" s="1"/>
  <c r="T80" i="63"/>
  <c r="V70" i="37" a="1"/>
  <c r="V70" i="37" s="1"/>
  <c r="V67" i="37" a="1"/>
  <c r="V67" i="37" s="1"/>
  <c r="V68" i="37" a="1"/>
  <c r="V68" i="37" s="1"/>
  <c r="V69" i="37" a="1"/>
  <c r="V69" i="37" s="1"/>
  <c r="T79" i="37"/>
  <c r="V139" i="37"/>
  <c r="V95" i="37" a="1"/>
  <c r="V95" i="37" s="1"/>
  <c r="V92" i="37" a="1"/>
  <c r="V92" i="37" s="1"/>
  <c r="V94" i="37" a="1"/>
  <c r="V94" i="37" s="1"/>
  <c r="V93" i="37" a="1"/>
  <c r="V93" i="37" s="1"/>
  <c r="V179" i="37" a="1"/>
  <c r="V179" i="37" s="1"/>
  <c r="V177" i="37" a="1"/>
  <c r="V177" i="37" s="1"/>
  <c r="V180" i="37" a="1"/>
  <c r="V180" i="37" s="1"/>
  <c r="V178" i="37" a="1"/>
  <c r="V178" i="37" s="1"/>
  <c r="U209" i="37"/>
  <c r="T210" i="37"/>
  <c r="W194" i="37"/>
  <c r="W184" i="37"/>
  <c r="W174" i="37"/>
  <c r="W164" i="37"/>
  <c r="W154" i="37"/>
  <c r="W119" i="37"/>
  <c r="W129" i="37"/>
  <c r="W109" i="37"/>
  <c r="W99" i="37"/>
  <c r="W89" i="37"/>
  <c r="W64" i="37"/>
  <c r="W54" i="37"/>
  <c r="W44" i="37"/>
  <c r="W34" i="37"/>
  <c r="W24" i="37"/>
  <c r="V102" i="37" a="1"/>
  <c r="V102" i="37" s="1"/>
  <c r="V103" i="37" a="1"/>
  <c r="V103" i="37" s="1"/>
  <c r="V104" i="37" a="1"/>
  <c r="V104" i="37" s="1"/>
  <c r="V105" i="37" a="1"/>
  <c r="V105" i="37" s="1"/>
  <c r="V198" i="37" a="1"/>
  <c r="V198" i="37" s="1"/>
  <c r="V199" i="37" a="1"/>
  <c r="V199" i="37" s="1"/>
  <c r="V197" i="37" a="1"/>
  <c r="V197" i="37" s="1"/>
  <c r="V200" i="37" a="1"/>
  <c r="V200" i="37" s="1"/>
  <c r="T207" i="37"/>
  <c r="V115" i="37" a="1"/>
  <c r="V115" i="37" s="1"/>
  <c r="V113" i="37" a="1"/>
  <c r="V113" i="37" s="1"/>
  <c r="V112" i="37" a="1"/>
  <c r="V112" i="37" s="1"/>
  <c r="V114" i="37" a="1"/>
  <c r="V114" i="37" s="1"/>
  <c r="T209" i="37"/>
  <c r="V187" i="37" a="1"/>
  <c r="V187" i="37" s="1"/>
  <c r="V190" i="37" a="1"/>
  <c r="V190" i="37" s="1"/>
  <c r="V188" i="37" a="1"/>
  <c r="V188" i="37" s="1"/>
  <c r="V189" i="37" a="1"/>
  <c r="V189" i="37" s="1"/>
  <c r="V40" i="37" a="1"/>
  <c r="V40" i="37" s="1"/>
  <c r="V37" i="37" a="1"/>
  <c r="V37" i="37" s="1"/>
  <c r="V38" i="37" a="1"/>
  <c r="V38" i="37" s="1"/>
  <c r="V39" i="37" a="1"/>
  <c r="V39" i="37" s="1"/>
  <c r="V133" i="37" a="1"/>
  <c r="V133" i="37" s="1"/>
  <c r="V132" i="37" a="1"/>
  <c r="V132" i="37" s="1"/>
  <c r="V135" i="37" a="1"/>
  <c r="V135" i="37" s="1"/>
  <c r="V134" i="37" a="1"/>
  <c r="V134" i="37" s="1"/>
  <c r="U143" i="37"/>
  <c r="T144" i="37"/>
  <c r="V49" i="37" a="1"/>
  <c r="V49" i="37" s="1"/>
  <c r="V47" i="37" a="1"/>
  <c r="V47" i="37" s="1"/>
  <c r="V48" i="37" a="1"/>
  <c r="V48" i="37" s="1"/>
  <c r="V50" i="37" a="1"/>
  <c r="V50" i="37" s="1"/>
  <c r="V122" i="37" a="1"/>
  <c r="V122" i="37" s="1"/>
  <c r="V125" i="37" a="1"/>
  <c r="V125" i="37" s="1"/>
  <c r="V123" i="37" a="1"/>
  <c r="V123" i="37" s="1"/>
  <c r="V124" i="37" a="1"/>
  <c r="V124" i="37" s="1"/>
  <c r="U144" i="37"/>
  <c r="U77" i="37"/>
  <c r="T142" i="37"/>
  <c r="V60" i="37" a="1"/>
  <c r="V60" i="37" s="1"/>
  <c r="V57" i="37" a="1"/>
  <c r="V57" i="37" s="1"/>
  <c r="V58" i="37" a="1"/>
  <c r="V58" i="37" s="1"/>
  <c r="V59" i="37" a="1"/>
  <c r="V59" i="37" s="1"/>
  <c r="V204" i="37"/>
  <c r="V158" i="37" a="1"/>
  <c r="V158" i="37" s="1"/>
  <c r="V160" i="37" a="1"/>
  <c r="V160" i="37" s="1"/>
  <c r="V157" i="37" a="1"/>
  <c r="V157" i="37" s="1"/>
  <c r="V159" i="37" a="1"/>
  <c r="V159" i="37" s="1"/>
  <c r="U142" i="37"/>
  <c r="U207" i="37"/>
  <c r="U80" i="37"/>
  <c r="T143" i="37"/>
  <c r="V74" i="37"/>
  <c r="V29" i="37" a="1"/>
  <c r="V29" i="37" s="1"/>
  <c r="V30" i="37" a="1"/>
  <c r="V30" i="37" s="1"/>
  <c r="V27" i="37" a="1"/>
  <c r="V27" i="37" s="1"/>
  <c r="V28" i="37" a="1"/>
  <c r="V28" i="37" s="1"/>
  <c r="V170" i="37" a="1"/>
  <c r="V170" i="37" s="1"/>
  <c r="V168" i="37" a="1"/>
  <c r="V168" i="37" s="1"/>
  <c r="V169" i="37" a="1"/>
  <c r="V169" i="37" s="1"/>
  <c r="V167" i="37" a="1"/>
  <c r="V167" i="37" s="1"/>
  <c r="U145" i="37"/>
  <c r="U208" i="37"/>
  <c r="U79" i="37"/>
  <c r="T8" i="37"/>
  <c r="U8" i="64" s="1"/>
  <c r="U8" i="37"/>
  <c r="V8" i="64" s="1"/>
  <c r="T8" i="63"/>
  <c r="U8" i="65" s="1"/>
  <c r="R8" i="18"/>
  <c r="W7" i="63"/>
  <c r="V33" i="38"/>
  <c r="W5" i="64"/>
  <c r="W5" i="65"/>
  <c r="W7" i="18"/>
  <c r="W6" i="18" s="1"/>
  <c r="W36" i="65"/>
  <c r="W29" i="65"/>
  <c r="W35" i="65"/>
  <c r="X6" i="65"/>
  <c r="W14" i="65"/>
  <c r="W25" i="65" s="1"/>
  <c r="W12" i="65"/>
  <c r="Y10" i="60"/>
  <c r="Y9" i="60" s="1"/>
  <c r="W34" i="38"/>
  <c r="V29" i="18"/>
  <c r="V18" i="18" s="1"/>
  <c r="W34" i="64"/>
  <c r="W35" i="64"/>
  <c r="X6" i="64"/>
  <c r="X7" i="37"/>
  <c r="AL128" i="37" l="1" a="1"/>
  <c r="AL128" i="37" s="1"/>
  <c r="C40" i="55"/>
  <c r="C41" i="55" s="1"/>
  <c r="AL118" i="37" a="1"/>
  <c r="AL118" i="37" s="1"/>
  <c r="AL153" i="37" a="1"/>
  <c r="AL153" i="37" s="1"/>
  <c r="AL118" i="63" a="1"/>
  <c r="AL118" i="63" s="1"/>
  <c r="AL53" i="37" a="1"/>
  <c r="AL53" i="37" s="1"/>
  <c r="AL33" i="37" a="1"/>
  <c r="AL33" i="37" s="1"/>
  <c r="AL88" i="63" a="1"/>
  <c r="AL88" i="63" s="1"/>
  <c r="AL108" i="37" a="1"/>
  <c r="AL108" i="37" s="1"/>
  <c r="AL128" i="63" a="1"/>
  <c r="AL128" i="63" s="1"/>
  <c r="AL183" i="37" a="1"/>
  <c r="AL183" i="37" s="1"/>
  <c r="AL33" i="63" a="1"/>
  <c r="AL33" i="63" s="1"/>
  <c r="AL183" i="63" a="1"/>
  <c r="AL183" i="63" s="1"/>
  <c r="AL23" i="63" a="1"/>
  <c r="AL23" i="63" s="1"/>
  <c r="AL153" i="63" a="1"/>
  <c r="AL153" i="63" s="1"/>
  <c r="AL53" i="63" a="1"/>
  <c r="AL53" i="63" s="1"/>
  <c r="AL43" i="37" a="1"/>
  <c r="AL43" i="37" s="1"/>
  <c r="AL163" i="63" a="1"/>
  <c r="AL163" i="63" s="1"/>
  <c r="AL108" i="63" a="1"/>
  <c r="AL108" i="63" s="1"/>
  <c r="U209" i="63"/>
  <c r="AL173" i="63" a="1"/>
  <c r="AL173" i="63" s="1"/>
  <c r="AL88" i="37" a="1"/>
  <c r="AL88" i="37" s="1"/>
  <c r="AL43" i="63" a="1"/>
  <c r="AL43" i="63" s="1"/>
  <c r="AL98" i="37" a="1"/>
  <c r="AL98" i="37" s="1"/>
  <c r="AL193" i="63" a="1"/>
  <c r="AL193" i="63" s="1"/>
  <c r="AL63" i="63" a="1"/>
  <c r="AL63" i="63" s="1"/>
  <c r="AL63" i="37" a="1"/>
  <c r="AL63" i="37" s="1"/>
  <c r="AL173" i="37" a="1"/>
  <c r="AL173" i="37" s="1"/>
  <c r="AL163" i="37" a="1"/>
  <c r="AL163" i="37" s="1"/>
  <c r="AL98" i="63" a="1"/>
  <c r="AL98" i="63" s="1"/>
  <c r="AL193" i="37" a="1"/>
  <c r="AL193" i="37" s="1"/>
  <c r="U208" i="63"/>
  <c r="U207" i="63"/>
  <c r="U145" i="63"/>
  <c r="V57" i="63" a="1"/>
  <c r="V57" i="63" s="1"/>
  <c r="V58" i="63" a="1"/>
  <c r="V58" i="63" s="1"/>
  <c r="V59" i="63" a="1"/>
  <c r="V59" i="63" s="1"/>
  <c r="V60" i="63" a="1"/>
  <c r="V60" i="63" s="1"/>
  <c r="V204" i="63"/>
  <c r="V159" i="63" a="1"/>
  <c r="V159" i="63" s="1"/>
  <c r="V160" i="63" a="1"/>
  <c r="V160" i="63" s="1"/>
  <c r="V157" i="63" a="1"/>
  <c r="V157" i="63" s="1"/>
  <c r="V158" i="63" a="1"/>
  <c r="V158" i="63" s="1"/>
  <c r="U142" i="63"/>
  <c r="AL23" i="37" a="1"/>
  <c r="AL23" i="37" s="1"/>
  <c r="V67" i="63" a="1"/>
  <c r="V67" i="63" s="1"/>
  <c r="V69" i="63" a="1"/>
  <c r="V69" i="63" s="1"/>
  <c r="V70" i="63" a="1"/>
  <c r="V70" i="63" s="1"/>
  <c r="V68" i="63" a="1"/>
  <c r="V68" i="63" s="1"/>
  <c r="V178" i="63" a="1"/>
  <c r="V178" i="63" s="1"/>
  <c r="V179" i="63" a="1"/>
  <c r="V179" i="63" s="1"/>
  <c r="V180" i="63" a="1"/>
  <c r="V180" i="63" s="1"/>
  <c r="V177" i="63" a="1"/>
  <c r="V177" i="63" s="1"/>
  <c r="U144" i="63"/>
  <c r="V105" i="63" a="1"/>
  <c r="V105" i="63" s="1"/>
  <c r="V104" i="63" a="1"/>
  <c r="V104" i="63" s="1"/>
  <c r="V102" i="63" a="1"/>
  <c r="V102" i="63" s="1"/>
  <c r="V103" i="63" a="1"/>
  <c r="V103" i="63" s="1"/>
  <c r="V190" i="63" a="1"/>
  <c r="V190" i="63" s="1"/>
  <c r="V187" i="63" a="1"/>
  <c r="V187" i="63" s="1"/>
  <c r="V188" i="63" a="1"/>
  <c r="V188" i="63" s="1"/>
  <c r="V189" i="63" a="1"/>
  <c r="V189" i="63" s="1"/>
  <c r="V167" i="63" a="1"/>
  <c r="V167" i="63" s="1"/>
  <c r="V169" i="63" a="1"/>
  <c r="V169" i="63" s="1"/>
  <c r="V170" i="63" a="1"/>
  <c r="V170" i="63" s="1"/>
  <c r="V168" i="63" a="1"/>
  <c r="V168" i="63" s="1"/>
  <c r="V139" i="63"/>
  <c r="V93" i="63" a="1"/>
  <c r="V93" i="63" s="1"/>
  <c r="V94" i="63" a="1"/>
  <c r="V94" i="63" s="1"/>
  <c r="V92" i="63" a="1"/>
  <c r="V92" i="63" s="1"/>
  <c r="V95" i="63" a="1"/>
  <c r="V95" i="63" s="1"/>
  <c r="V200" i="63" a="1"/>
  <c r="V200" i="63" s="1"/>
  <c r="V198" i="63" a="1"/>
  <c r="V198" i="63" s="1"/>
  <c r="V199" i="63" a="1"/>
  <c r="V199" i="63" s="1"/>
  <c r="V197" i="63" a="1"/>
  <c r="V197" i="63" s="1"/>
  <c r="U80" i="63"/>
  <c r="W194" i="63"/>
  <c r="W174" i="63"/>
  <c r="W184" i="63"/>
  <c r="W154" i="63"/>
  <c r="W164" i="63"/>
  <c r="W129" i="63"/>
  <c r="W119" i="63"/>
  <c r="W99" i="63"/>
  <c r="W89" i="63"/>
  <c r="W109" i="63"/>
  <c r="W54" i="63"/>
  <c r="W44" i="63"/>
  <c r="W64" i="63"/>
  <c r="W34" i="63"/>
  <c r="W24" i="63"/>
  <c r="V123" i="63" a="1"/>
  <c r="V123" i="63" s="1"/>
  <c r="V122" i="63" a="1"/>
  <c r="V122" i="63" s="1"/>
  <c r="V124" i="63" a="1"/>
  <c r="V124" i="63" s="1"/>
  <c r="V125" i="63" a="1"/>
  <c r="V125" i="63" s="1"/>
  <c r="U78" i="63"/>
  <c r="V50" i="63" a="1"/>
  <c r="V50" i="63" s="1"/>
  <c r="V48" i="63" a="1"/>
  <c r="V48" i="63" s="1"/>
  <c r="V47" i="63" a="1"/>
  <c r="V47" i="63" s="1"/>
  <c r="V49" i="63" a="1"/>
  <c r="V49" i="63" s="1"/>
  <c r="U210" i="63"/>
  <c r="V74" i="63"/>
  <c r="V28" i="63" a="1"/>
  <c r="V28" i="63" s="1"/>
  <c r="V29" i="63" a="1"/>
  <c r="V29" i="63" s="1"/>
  <c r="V27" i="63" a="1"/>
  <c r="V27" i="63" s="1"/>
  <c r="V30" i="63" a="1"/>
  <c r="V30" i="63" s="1"/>
  <c r="V115" i="63" a="1"/>
  <c r="V115" i="63" s="1"/>
  <c r="V114" i="63" a="1"/>
  <c r="V114" i="63" s="1"/>
  <c r="V113" i="63" a="1"/>
  <c r="V113" i="63" s="1"/>
  <c r="V112" i="63" a="1"/>
  <c r="V112" i="63" s="1"/>
  <c r="U79" i="63"/>
  <c r="V37" i="63" a="1"/>
  <c r="V37" i="63" s="1"/>
  <c r="V40" i="63" a="1"/>
  <c r="V40" i="63" s="1"/>
  <c r="V39" i="63" a="1"/>
  <c r="V39" i="63" s="1"/>
  <c r="V38" i="63" a="1"/>
  <c r="V38" i="63" s="1"/>
  <c r="V134" i="63" a="1"/>
  <c r="V134" i="63" s="1"/>
  <c r="V132" i="63" a="1"/>
  <c r="V132" i="63" s="1"/>
  <c r="V133" i="63" a="1"/>
  <c r="V133" i="63" s="1"/>
  <c r="V135" i="63" a="1"/>
  <c r="V135" i="63" s="1"/>
  <c r="U77" i="63"/>
  <c r="U143" i="63"/>
  <c r="V77" i="37"/>
  <c r="V80" i="37"/>
  <c r="V207" i="37"/>
  <c r="V79" i="37"/>
  <c r="X194" i="37"/>
  <c r="X184" i="37"/>
  <c r="X174" i="37"/>
  <c r="X164" i="37"/>
  <c r="X154" i="37"/>
  <c r="X129" i="37"/>
  <c r="X119" i="37"/>
  <c r="X99" i="37"/>
  <c r="X109" i="37"/>
  <c r="X89" i="37"/>
  <c r="X64" i="37"/>
  <c r="X54" i="37"/>
  <c r="X44" i="37"/>
  <c r="X34" i="37"/>
  <c r="X24" i="37"/>
  <c r="V78" i="37"/>
  <c r="W114" i="37" a="1"/>
  <c r="W114" i="37" s="1"/>
  <c r="W112" i="37" a="1"/>
  <c r="W112" i="37" s="1"/>
  <c r="W113" i="37" a="1"/>
  <c r="W113" i="37" s="1"/>
  <c r="W115" i="37" a="1"/>
  <c r="W115" i="37" s="1"/>
  <c r="V142" i="37"/>
  <c r="W37" i="37" a="1"/>
  <c r="W37" i="37" s="1"/>
  <c r="W38" i="37" a="1"/>
  <c r="W38" i="37" s="1"/>
  <c r="W39" i="37" a="1"/>
  <c r="W39" i="37" s="1"/>
  <c r="W40" i="37" a="1"/>
  <c r="W40" i="37" s="1"/>
  <c r="V209" i="37"/>
  <c r="W74" i="37"/>
  <c r="W30" i="37" a="1"/>
  <c r="W30" i="37" s="1"/>
  <c r="W27" i="37" a="1"/>
  <c r="W27" i="37" s="1"/>
  <c r="W28" i="37" a="1"/>
  <c r="W28" i="37" s="1"/>
  <c r="W29" i="37" a="1"/>
  <c r="W29" i="37" s="1"/>
  <c r="W134" i="37" a="1"/>
  <c r="W134" i="37" s="1"/>
  <c r="W133" i="37" a="1"/>
  <c r="W133" i="37" s="1"/>
  <c r="W135" i="37" a="1"/>
  <c r="W135" i="37" s="1"/>
  <c r="W132" i="37" a="1"/>
  <c r="W132" i="37" s="1"/>
  <c r="V145" i="37"/>
  <c r="V210" i="37"/>
  <c r="W49" i="37" a="1"/>
  <c r="W49" i="37" s="1"/>
  <c r="W47" i="37" a="1"/>
  <c r="W47" i="37" s="1"/>
  <c r="W48" i="37" a="1"/>
  <c r="W48" i="37" s="1"/>
  <c r="W50" i="37" a="1"/>
  <c r="W50" i="37" s="1"/>
  <c r="W204" i="37"/>
  <c r="W158" i="37" a="1"/>
  <c r="W158" i="37" s="1"/>
  <c r="W160" i="37" a="1"/>
  <c r="W160" i="37" s="1"/>
  <c r="W159" i="37" a="1"/>
  <c r="W159" i="37" s="1"/>
  <c r="W157" i="37" a="1"/>
  <c r="W157" i="37" s="1"/>
  <c r="W125" i="37" a="1"/>
  <c r="W125" i="37" s="1"/>
  <c r="W123" i="37" a="1"/>
  <c r="W123" i="37" s="1"/>
  <c r="W124" i="37" a="1"/>
  <c r="W124" i="37" s="1"/>
  <c r="W122" i="37" a="1"/>
  <c r="W122" i="37" s="1"/>
  <c r="V208" i="37"/>
  <c r="W57" i="37" a="1"/>
  <c r="W57" i="37" s="1"/>
  <c r="W58" i="37" a="1"/>
  <c r="W58" i="37" s="1"/>
  <c r="W59" i="37" a="1"/>
  <c r="W59" i="37" s="1"/>
  <c r="W60" i="37" a="1"/>
  <c r="W60" i="37" s="1"/>
  <c r="W169" i="37" a="1"/>
  <c r="W169" i="37" s="1"/>
  <c r="W167" i="37" a="1"/>
  <c r="W167" i="37" s="1"/>
  <c r="W170" i="37" a="1"/>
  <c r="W170" i="37" s="1"/>
  <c r="W168" i="37" a="1"/>
  <c r="W168" i="37" s="1"/>
  <c r="W67" i="37" a="1"/>
  <c r="W67" i="37" s="1"/>
  <c r="W68" i="37" a="1"/>
  <c r="W68" i="37" s="1"/>
  <c r="W69" i="37" a="1"/>
  <c r="W69" i="37" s="1"/>
  <c r="W70" i="37" a="1"/>
  <c r="W70" i="37" s="1"/>
  <c r="W179" i="37" a="1"/>
  <c r="W179" i="37" s="1"/>
  <c r="W177" i="37" a="1"/>
  <c r="W177" i="37" s="1"/>
  <c r="W180" i="37" a="1"/>
  <c r="W180" i="37" s="1"/>
  <c r="W178" i="37" a="1"/>
  <c r="W178" i="37" s="1"/>
  <c r="W139" i="37"/>
  <c r="W95" i="37" a="1"/>
  <c r="W95" i="37" s="1"/>
  <c r="W92" i="37" a="1"/>
  <c r="W92" i="37" s="1"/>
  <c r="W94" i="37" a="1"/>
  <c r="W94" i="37" s="1"/>
  <c r="W93" i="37" a="1"/>
  <c r="W93" i="37" s="1"/>
  <c r="W187" i="37" a="1"/>
  <c r="W187" i="37" s="1"/>
  <c r="W190" i="37" a="1"/>
  <c r="W190" i="37" s="1"/>
  <c r="W188" i="37" a="1"/>
  <c r="W188" i="37" s="1"/>
  <c r="W189" i="37" a="1"/>
  <c r="W189" i="37" s="1"/>
  <c r="V143" i="37"/>
  <c r="W103" i="37" a="1"/>
  <c r="W103" i="37" s="1"/>
  <c r="W104" i="37" a="1"/>
  <c r="W104" i="37" s="1"/>
  <c r="W105" i="37" a="1"/>
  <c r="W105" i="37" s="1"/>
  <c r="W102" i="37" a="1"/>
  <c r="W102" i="37" s="1"/>
  <c r="W199" i="37" a="1"/>
  <c r="W199" i="37" s="1"/>
  <c r="W200" i="37" a="1"/>
  <c r="W200" i="37" s="1"/>
  <c r="W198" i="37" a="1"/>
  <c r="W198" i="37" s="1"/>
  <c r="W197" i="37" a="1"/>
  <c r="W197" i="37" s="1"/>
  <c r="V144" i="37"/>
  <c r="S8" i="18"/>
  <c r="U8" i="63"/>
  <c r="T8" i="18" s="1"/>
  <c r="V8" i="37"/>
  <c r="W8" i="64" s="1"/>
  <c r="X7" i="63"/>
  <c r="W33" i="38"/>
  <c r="X5" i="64"/>
  <c r="X5" i="65"/>
  <c r="X7" i="18"/>
  <c r="X6" i="18" s="1"/>
  <c r="X36" i="65"/>
  <c r="X12" i="65"/>
  <c r="X35" i="65"/>
  <c r="X29" i="65"/>
  <c r="X14" i="65"/>
  <c r="X25" i="65" s="1"/>
  <c r="Y6" i="65"/>
  <c r="Z10" i="60"/>
  <c r="Z9" i="60" s="1"/>
  <c r="X34" i="38"/>
  <c r="W29" i="18"/>
  <c r="W18" i="18" s="1"/>
  <c r="Y6" i="64"/>
  <c r="X34" i="64"/>
  <c r="X35" i="64"/>
  <c r="Y7" i="37"/>
  <c r="AM98" i="63" l="1" a="1"/>
  <c r="AM98" i="63" s="1"/>
  <c r="AM63" i="63" a="1"/>
  <c r="AM63" i="63" s="1"/>
  <c r="AM88" i="63" a="1"/>
  <c r="AM88" i="63" s="1"/>
  <c r="AM173" i="63" a="1"/>
  <c r="AM173" i="63" s="1"/>
  <c r="AM128" i="63" a="1"/>
  <c r="AM128" i="63" s="1"/>
  <c r="AM43" i="63" a="1"/>
  <c r="AM43" i="63" s="1"/>
  <c r="AM53" i="63" a="1"/>
  <c r="AM53" i="63" s="1"/>
  <c r="AM153" i="63" a="1"/>
  <c r="AM153" i="63" s="1"/>
  <c r="AM118" i="63" a="1"/>
  <c r="AM118" i="63" s="1"/>
  <c r="AM108" i="63" a="1"/>
  <c r="AM108" i="63" s="1"/>
  <c r="AM23" i="63" a="1"/>
  <c r="AM23" i="63" s="1"/>
  <c r="AM183" i="63" a="1"/>
  <c r="AM183" i="63" s="1"/>
  <c r="AM193" i="63" a="1"/>
  <c r="AM193" i="63" s="1"/>
  <c r="AM163" i="63" a="1"/>
  <c r="AM163" i="63" s="1"/>
  <c r="AM33" i="63" a="1"/>
  <c r="AM33" i="63" s="1"/>
  <c r="AM183" i="37" a="1"/>
  <c r="AM183" i="37" s="1"/>
  <c r="AM193" i="37" a="1"/>
  <c r="AM193" i="37" s="1"/>
  <c r="AM163" i="37" a="1"/>
  <c r="AM163" i="37" s="1"/>
  <c r="AM63" i="37" a="1"/>
  <c r="AM63" i="37" s="1"/>
  <c r="AM128" i="37" a="1"/>
  <c r="AM128" i="37" s="1"/>
  <c r="AM108" i="37" a="1"/>
  <c r="AM108" i="37" s="1"/>
  <c r="AM173" i="37" a="1"/>
  <c r="AM173" i="37" s="1"/>
  <c r="AM118" i="37" a="1"/>
  <c r="AM118" i="37" s="1"/>
  <c r="AM53" i="37" a="1"/>
  <c r="AM53" i="37" s="1"/>
  <c r="AM23" i="37" a="1"/>
  <c r="AM23" i="37" s="1"/>
  <c r="AM33" i="37" a="1"/>
  <c r="AM33" i="37" s="1"/>
  <c r="AM43" i="37" a="1"/>
  <c r="AM43" i="37" s="1"/>
  <c r="AM88" i="37" a="1"/>
  <c r="AM88" i="37" s="1"/>
  <c r="AM98" i="37" a="1"/>
  <c r="AM98" i="37" s="1"/>
  <c r="AM153" i="37" a="1"/>
  <c r="AM153" i="37" s="1"/>
  <c r="V79" i="63"/>
  <c r="V207" i="63"/>
  <c r="X194" i="63"/>
  <c r="X184" i="63"/>
  <c r="X174" i="63"/>
  <c r="X164" i="63"/>
  <c r="X154" i="63"/>
  <c r="X129" i="63"/>
  <c r="X119" i="63"/>
  <c r="X109" i="63"/>
  <c r="X99" i="63"/>
  <c r="X89" i="63"/>
  <c r="X44" i="63"/>
  <c r="X64" i="63"/>
  <c r="X34" i="63"/>
  <c r="X54" i="63"/>
  <c r="X24" i="63"/>
  <c r="V78" i="63"/>
  <c r="W57" i="63" a="1"/>
  <c r="W57" i="63" s="1"/>
  <c r="W58" i="63" a="1"/>
  <c r="W58" i="63" s="1"/>
  <c r="W60" i="63" a="1"/>
  <c r="W60" i="63" s="1"/>
  <c r="W59" i="63" a="1"/>
  <c r="W59" i="63" s="1"/>
  <c r="W187" i="63" a="1"/>
  <c r="W187" i="63" s="1"/>
  <c r="W189" i="63" a="1"/>
  <c r="W189" i="63" s="1"/>
  <c r="W188" i="63" a="1"/>
  <c r="W188" i="63" s="1"/>
  <c r="W190" i="63" a="1"/>
  <c r="W190" i="63" s="1"/>
  <c r="V145" i="63"/>
  <c r="V210" i="63"/>
  <c r="W114" i="63" a="1"/>
  <c r="W114" i="63" s="1"/>
  <c r="W112" i="63" a="1"/>
  <c r="W112" i="63" s="1"/>
  <c r="W115" i="63" a="1"/>
  <c r="W115" i="63" s="1"/>
  <c r="W113" i="63" a="1"/>
  <c r="W113" i="63" s="1"/>
  <c r="W180" i="63" a="1"/>
  <c r="W180" i="63" s="1"/>
  <c r="W178" i="63" a="1"/>
  <c r="W178" i="63" s="1"/>
  <c r="W177" i="63" a="1"/>
  <c r="W177" i="63" s="1"/>
  <c r="W179" i="63" a="1"/>
  <c r="W179" i="63" s="1"/>
  <c r="V142" i="63"/>
  <c r="V209" i="63"/>
  <c r="W49" i="63" a="1"/>
  <c r="W49" i="63" s="1"/>
  <c r="W47" i="63" a="1"/>
  <c r="W47" i="63" s="1"/>
  <c r="W48" i="63" a="1"/>
  <c r="W48" i="63" s="1"/>
  <c r="W50" i="63" a="1"/>
  <c r="W50" i="63" s="1"/>
  <c r="W139" i="63"/>
  <c r="W95" i="63" a="1"/>
  <c r="W95" i="63" s="1"/>
  <c r="W93" i="63" a="1"/>
  <c r="W93" i="63" s="1"/>
  <c r="W94" i="63" a="1"/>
  <c r="W94" i="63" s="1"/>
  <c r="W92" i="63" a="1"/>
  <c r="W92" i="63" s="1"/>
  <c r="W199" i="63" a="1"/>
  <c r="W199" i="63" s="1"/>
  <c r="W200" i="63" a="1"/>
  <c r="W200" i="63" s="1"/>
  <c r="W198" i="63" a="1"/>
  <c r="W198" i="63" s="1"/>
  <c r="W197" i="63" a="1"/>
  <c r="W197" i="63" s="1"/>
  <c r="V144" i="63"/>
  <c r="W103" i="63" a="1"/>
  <c r="W103" i="63" s="1"/>
  <c r="W104" i="63" a="1"/>
  <c r="W104" i="63" s="1"/>
  <c r="W102" i="63" a="1"/>
  <c r="W102" i="63" s="1"/>
  <c r="W105" i="63" a="1"/>
  <c r="W105" i="63" s="1"/>
  <c r="V143" i="63"/>
  <c r="W142" i="37"/>
  <c r="W74" i="63"/>
  <c r="W29" i="63" a="1"/>
  <c r="W29" i="63" s="1"/>
  <c r="W30" i="63" a="1"/>
  <c r="W30" i="63" s="1"/>
  <c r="W27" i="63" a="1"/>
  <c r="W27" i="63" s="1"/>
  <c r="W28" i="63" a="1"/>
  <c r="W28" i="63" s="1"/>
  <c r="W122" i="63" a="1"/>
  <c r="W122" i="63" s="1"/>
  <c r="W124" i="63" a="1"/>
  <c r="W124" i="63" s="1"/>
  <c r="W123" i="63" a="1"/>
  <c r="W123" i="63" s="1"/>
  <c r="W125" i="63" a="1"/>
  <c r="W125" i="63" s="1"/>
  <c r="AB128" i="63" a="1"/>
  <c r="AB128" i="63" s="1"/>
  <c r="AB173" i="63" a="1"/>
  <c r="AB173" i="63" s="1"/>
  <c r="AB118" i="63" a="1"/>
  <c r="AB118" i="63" s="1"/>
  <c r="AA118" i="63" a="1"/>
  <c r="AA118" i="63" s="1"/>
  <c r="AA183" i="63" a="1"/>
  <c r="AA183" i="63" s="1"/>
  <c r="AA173" i="63" a="1"/>
  <c r="AA173" i="63" s="1"/>
  <c r="AA23" i="63" a="1"/>
  <c r="AA23" i="63" s="1"/>
  <c r="AB88" i="63" a="1"/>
  <c r="AB88" i="63" s="1"/>
  <c r="AA108" i="63" a="1"/>
  <c r="AA108" i="63" s="1"/>
  <c r="AD163" i="63" a="1"/>
  <c r="AD163" i="63" s="1"/>
  <c r="AA193" i="63" a="1"/>
  <c r="AA193" i="63" s="1"/>
  <c r="AB108" i="63" a="1"/>
  <c r="AB108" i="63" s="1"/>
  <c r="AB183" i="63" a="1"/>
  <c r="AB183" i="63" s="1"/>
  <c r="AC183" i="63" a="1"/>
  <c r="AC183" i="63" s="1"/>
  <c r="AC23" i="63" a="1"/>
  <c r="AC23" i="63" s="1"/>
  <c r="AC173" i="63" a="1"/>
  <c r="AC173" i="63" s="1"/>
  <c r="AC108" i="63" a="1"/>
  <c r="AC108" i="63" s="1"/>
  <c r="AC98" i="63" a="1"/>
  <c r="AC98" i="63" s="1"/>
  <c r="AC53" i="63" a="1"/>
  <c r="AC53" i="63" s="1"/>
  <c r="AC33" i="63" a="1"/>
  <c r="AC33" i="63" s="1"/>
  <c r="AC118" i="63" a="1"/>
  <c r="AC118" i="63" s="1"/>
  <c r="AC183" i="37" a="1"/>
  <c r="AC183" i="37" s="1"/>
  <c r="AD108" i="63" a="1"/>
  <c r="AD108" i="63" s="1"/>
  <c r="AD63" i="63" a="1"/>
  <c r="AD63" i="63" s="1"/>
  <c r="AD118" i="63" a="1"/>
  <c r="AD118" i="63" s="1"/>
  <c r="AE163" i="63" a="1"/>
  <c r="AE163" i="63" s="1"/>
  <c r="AE98" i="63" a="1"/>
  <c r="AE98" i="63" s="1"/>
  <c r="AE23" i="63" a="1"/>
  <c r="AE23" i="63" s="1"/>
  <c r="AE193" i="63" a="1"/>
  <c r="AE193" i="63" s="1"/>
  <c r="AE118" i="63" a="1"/>
  <c r="AE118" i="63" s="1"/>
  <c r="AD128" i="63" a="1"/>
  <c r="AD128" i="63" s="1"/>
  <c r="AE53" i="63" a="1"/>
  <c r="AE53" i="63" s="1"/>
  <c r="AG108" i="63" a="1"/>
  <c r="AG108" i="63" s="1"/>
  <c r="AE43" i="63" a="1"/>
  <c r="AE43" i="63" s="1"/>
  <c r="AF153" i="63" a="1"/>
  <c r="AF153" i="63" s="1"/>
  <c r="AF163" i="63" a="1"/>
  <c r="AF163" i="63" s="1"/>
  <c r="AG193" i="63" a="1"/>
  <c r="AG193" i="63" s="1"/>
  <c r="AG153" i="63" a="1"/>
  <c r="AG153" i="63" s="1"/>
  <c r="AG173" i="63" a="1"/>
  <c r="AG173" i="63" s="1"/>
  <c r="AH33" i="63" a="1"/>
  <c r="AH33" i="63" s="1"/>
  <c r="AK43" i="63" a="1"/>
  <c r="AK43" i="63" s="1"/>
  <c r="AK23" i="63" a="1"/>
  <c r="AK23" i="63" s="1"/>
  <c r="AK128" i="63" a="1"/>
  <c r="AK128" i="63" s="1"/>
  <c r="AN108" i="37" a="1"/>
  <c r="AN108" i="37" s="1"/>
  <c r="AN173" i="63" a="1"/>
  <c r="AN173" i="63" s="1"/>
  <c r="AN173" i="37" a="1"/>
  <c r="AN173" i="37" s="1"/>
  <c r="AN183" i="37" a="1"/>
  <c r="AN183" i="37" s="1"/>
  <c r="AN53" i="37" a="1"/>
  <c r="AN53" i="37" s="1"/>
  <c r="AN53" i="63" s="1" a="1"/>
  <c r="AN53" i="63" s="1"/>
  <c r="AN98" i="37" a="1"/>
  <c r="AN98" i="37" s="1"/>
  <c r="AN98" i="63" s="1" a="1"/>
  <c r="AN98" i="63" s="1"/>
  <c r="AN193" i="37" a="1"/>
  <c r="AN193" i="37" s="1"/>
  <c r="AN193" i="63" s="1" a="1"/>
  <c r="AN193" i="63" s="1"/>
  <c r="AN23" i="37" a="1"/>
  <c r="AN23" i="37" s="1"/>
  <c r="AN33" i="37" a="1"/>
  <c r="AN33" i="37" s="1"/>
  <c r="AN33" i="63" s="1" a="1"/>
  <c r="AN33" i="63" s="1"/>
  <c r="AN43" i="37" a="1"/>
  <c r="AN43" i="37" s="1"/>
  <c r="AN43" i="63" s="1" a="1"/>
  <c r="AN43" i="63" s="1"/>
  <c r="AN163" i="63" a="1"/>
  <c r="AN163" i="63" s="1"/>
  <c r="AN163" i="37" a="1"/>
  <c r="AN163" i="37" s="1"/>
  <c r="AN183" i="63" a="1"/>
  <c r="AN183" i="63" s="1"/>
  <c r="AN88" i="37" a="1"/>
  <c r="AN88" i="37" s="1"/>
  <c r="AN88" i="63" s="1" a="1"/>
  <c r="AN88" i="63" s="1"/>
  <c r="AN108" i="63" a="1"/>
  <c r="AN108" i="63" s="1"/>
  <c r="AN153" i="37" a="1"/>
  <c r="AN153" i="37" s="1"/>
  <c r="AN153" i="63" s="1" a="1"/>
  <c r="AN153" i="63" s="1"/>
  <c r="AN118" i="37" a="1"/>
  <c r="AN118" i="37" s="1"/>
  <c r="AN118" i="63" s="1" a="1"/>
  <c r="AN118" i="63" s="1"/>
  <c r="AN63" i="37" a="1"/>
  <c r="AN63" i="37" s="1"/>
  <c r="AN63" i="63" s="1" a="1"/>
  <c r="AN63" i="63" s="1"/>
  <c r="AN23" i="63" a="1"/>
  <c r="AN23" i="63" s="1"/>
  <c r="AN128" i="37" a="1"/>
  <c r="AN128" i="37" s="1"/>
  <c r="AN128" i="63" s="1" a="1"/>
  <c r="AN128" i="63" s="1"/>
  <c r="V80" i="63"/>
  <c r="W40" i="63" a="1"/>
  <c r="W40" i="63" s="1"/>
  <c r="W39" i="63" a="1"/>
  <c r="W39" i="63" s="1"/>
  <c r="W38" i="63" a="1"/>
  <c r="W38" i="63" s="1"/>
  <c r="W37" i="63" a="1"/>
  <c r="W37" i="63" s="1"/>
  <c r="W132" i="63" a="1"/>
  <c r="W132" i="63" s="1"/>
  <c r="W135" i="63" a="1"/>
  <c r="W135" i="63" s="1"/>
  <c r="W133" i="63" a="1"/>
  <c r="W133" i="63" s="1"/>
  <c r="W134" i="63" a="1"/>
  <c r="W134" i="63" s="1"/>
  <c r="W204" i="63"/>
  <c r="W159" i="63" a="1"/>
  <c r="W159" i="63" s="1"/>
  <c r="W160" i="63" a="1"/>
  <c r="W160" i="63" s="1"/>
  <c r="W157" i="63" a="1"/>
  <c r="W157" i="63" s="1"/>
  <c r="W158" i="63" a="1"/>
  <c r="W158" i="63" s="1"/>
  <c r="V77" i="63"/>
  <c r="W70" i="63" a="1"/>
  <c r="W70" i="63" s="1"/>
  <c r="W68" i="63" a="1"/>
  <c r="W68" i="63" s="1"/>
  <c r="W67" i="63" a="1"/>
  <c r="W67" i="63" s="1"/>
  <c r="W69" i="63" a="1"/>
  <c r="W69" i="63" s="1"/>
  <c r="W167" i="63" a="1"/>
  <c r="W167" i="63" s="1"/>
  <c r="W169" i="63" a="1"/>
  <c r="W169" i="63" s="1"/>
  <c r="W168" i="63" a="1"/>
  <c r="W168" i="63" s="1"/>
  <c r="W170" i="63" a="1"/>
  <c r="W170" i="63" s="1"/>
  <c r="V208" i="63"/>
  <c r="W143" i="37"/>
  <c r="X104" i="37" a="1"/>
  <c r="X104" i="37" s="1"/>
  <c r="X105" i="37" a="1"/>
  <c r="X105" i="37" s="1"/>
  <c r="X102" i="37" a="1"/>
  <c r="X102" i="37" s="1"/>
  <c r="X103" i="37" a="1"/>
  <c r="X103" i="37" s="1"/>
  <c r="W144" i="37"/>
  <c r="W79" i="37"/>
  <c r="X74" i="37"/>
  <c r="X27" i="37" a="1"/>
  <c r="X27" i="37" s="1"/>
  <c r="X28" i="37" a="1"/>
  <c r="X28" i="37" s="1"/>
  <c r="X29" i="37" a="1"/>
  <c r="X29" i="37" s="1"/>
  <c r="X30" i="37" a="1"/>
  <c r="X30" i="37" s="1"/>
  <c r="X123" i="37" a="1"/>
  <c r="X123" i="37" s="1"/>
  <c r="X124" i="37" a="1"/>
  <c r="X124" i="37" s="1"/>
  <c r="X122" i="37" a="1"/>
  <c r="X122" i="37" s="1"/>
  <c r="X125" i="37" a="1"/>
  <c r="X125" i="37" s="1"/>
  <c r="W207" i="37"/>
  <c r="W78" i="37"/>
  <c r="X38" i="37" a="1"/>
  <c r="X38" i="37" s="1"/>
  <c r="X39" i="37" a="1"/>
  <c r="X39" i="37" s="1"/>
  <c r="X40" i="37" a="1"/>
  <c r="X40" i="37" s="1"/>
  <c r="X37" i="37" a="1"/>
  <c r="X37" i="37" s="1"/>
  <c r="X134" i="37" a="1"/>
  <c r="X134" i="37" s="1"/>
  <c r="X135" i="37" a="1"/>
  <c r="X135" i="37" s="1"/>
  <c r="X133" i="37" a="1"/>
  <c r="X133" i="37" s="1"/>
  <c r="X132" i="37" a="1"/>
  <c r="X132" i="37" s="1"/>
  <c r="W145" i="37"/>
  <c r="W209" i="37"/>
  <c r="W77" i="37"/>
  <c r="X50" i="37" a="1"/>
  <c r="X50" i="37" s="1"/>
  <c r="X48" i="37" a="1"/>
  <c r="X48" i="37" s="1"/>
  <c r="X47" i="37" a="1"/>
  <c r="X47" i="37" s="1"/>
  <c r="X49" i="37" a="1"/>
  <c r="X49" i="37" s="1"/>
  <c r="X204" i="37"/>
  <c r="X160" i="37" a="1"/>
  <c r="X160" i="37" s="1"/>
  <c r="X158" i="37" a="1"/>
  <c r="X158" i="37" s="1"/>
  <c r="X159" i="37" a="1"/>
  <c r="X159" i="37" s="1"/>
  <c r="X157" i="37" a="1"/>
  <c r="X157" i="37" s="1"/>
  <c r="W210" i="37"/>
  <c r="W80" i="37"/>
  <c r="X58" i="37" a="1"/>
  <c r="X58" i="37" s="1"/>
  <c r="X59" i="37" a="1"/>
  <c r="X59" i="37" s="1"/>
  <c r="X60" i="37" a="1"/>
  <c r="X60" i="37" s="1"/>
  <c r="X57" i="37" a="1"/>
  <c r="X57" i="37" s="1"/>
  <c r="X169" i="37" a="1"/>
  <c r="X169" i="37" s="1"/>
  <c r="X168" i="37" a="1"/>
  <c r="X168" i="37" s="1"/>
  <c r="X167" i="37" a="1"/>
  <c r="X167" i="37" s="1"/>
  <c r="X170" i="37" a="1"/>
  <c r="X170" i="37" s="1"/>
  <c r="W208" i="37"/>
  <c r="X68" i="37" a="1"/>
  <c r="X68" i="37" s="1"/>
  <c r="X69" i="37" a="1"/>
  <c r="X69" i="37" s="1"/>
  <c r="X70" i="37" a="1"/>
  <c r="X70" i="37" s="1"/>
  <c r="X67" i="37" a="1"/>
  <c r="X67" i="37" s="1"/>
  <c r="X177" i="37" a="1"/>
  <c r="X177" i="37" s="1"/>
  <c r="X180" i="37" a="1"/>
  <c r="X180" i="37" s="1"/>
  <c r="X178" i="37" a="1"/>
  <c r="X178" i="37" s="1"/>
  <c r="X179" i="37" a="1"/>
  <c r="X179" i="37" s="1"/>
  <c r="Y194" i="37"/>
  <c r="Y184" i="37"/>
  <c r="Y174" i="37"/>
  <c r="Y154" i="37"/>
  <c r="Y164" i="37"/>
  <c r="Y129" i="37"/>
  <c r="Y119" i="37"/>
  <c r="Y109" i="37"/>
  <c r="Y99" i="37"/>
  <c r="Y89" i="37"/>
  <c r="Y64" i="37"/>
  <c r="Y54" i="37"/>
  <c r="Y44" i="37"/>
  <c r="Y34" i="37"/>
  <c r="Y24" i="37"/>
  <c r="X139" i="37"/>
  <c r="X95" i="37" a="1"/>
  <c r="X95" i="37" s="1"/>
  <c r="X94" i="37" a="1"/>
  <c r="X94" i="37" s="1"/>
  <c r="X93" i="37" a="1"/>
  <c r="X93" i="37" s="1"/>
  <c r="X92" i="37" a="1"/>
  <c r="X92" i="37" s="1"/>
  <c r="X190" i="37" a="1"/>
  <c r="X190" i="37" s="1"/>
  <c r="X188" i="37" a="1"/>
  <c r="X188" i="37" s="1"/>
  <c r="X189" i="37" a="1"/>
  <c r="X189" i="37" s="1"/>
  <c r="X187" i="37" a="1"/>
  <c r="X187" i="37" s="1"/>
  <c r="X113" i="37" a="1"/>
  <c r="X113" i="37" s="1"/>
  <c r="X115" i="37" a="1"/>
  <c r="X115" i="37" s="1"/>
  <c r="X114" i="37" a="1"/>
  <c r="X114" i="37" s="1"/>
  <c r="X112" i="37" a="1"/>
  <c r="X112" i="37" s="1"/>
  <c r="X200" i="37" a="1"/>
  <c r="X200" i="37" s="1"/>
  <c r="X197" i="37" a="1"/>
  <c r="X197" i="37" s="1"/>
  <c r="X199" i="37" a="1"/>
  <c r="X199" i="37" s="1"/>
  <c r="X198" i="37" a="1"/>
  <c r="X198" i="37" s="1"/>
  <c r="V8" i="65"/>
  <c r="V8" i="63"/>
  <c r="W8" i="65" s="1"/>
  <c r="W8" i="37"/>
  <c r="X8" i="64" s="1"/>
  <c r="Y7" i="63"/>
  <c r="X33" i="38"/>
  <c r="Y5" i="64"/>
  <c r="Y5" i="65"/>
  <c r="Y7" i="18"/>
  <c r="Y6" i="18" s="1"/>
  <c r="Y29" i="65"/>
  <c r="Y12" i="65"/>
  <c r="Y14" i="65"/>
  <c r="Y25" i="65" s="1"/>
  <c r="Z6" i="65"/>
  <c r="Y36" i="65"/>
  <c r="Y35" i="65"/>
  <c r="AA10" i="60"/>
  <c r="AA9" i="60" s="1"/>
  <c r="Y34" i="38"/>
  <c r="X29" i="18"/>
  <c r="X18" i="18" s="1"/>
  <c r="Y35" i="64"/>
  <c r="Z6" i="64"/>
  <c r="Y34" i="64"/>
  <c r="Z7" i="37"/>
  <c r="W209" i="63" l="1"/>
  <c r="W208" i="63"/>
  <c r="X74" i="63"/>
  <c r="X29" i="63" a="1"/>
  <c r="X29" i="63" s="1"/>
  <c r="X30" i="63" a="1"/>
  <c r="X30" i="63" s="1"/>
  <c r="X28" i="63" a="1"/>
  <c r="X28" i="63" s="1"/>
  <c r="X27" i="63" a="1"/>
  <c r="X27" i="63" s="1"/>
  <c r="X123" i="63" a="1"/>
  <c r="X123" i="63" s="1"/>
  <c r="X124" i="63" a="1"/>
  <c r="X124" i="63" s="1"/>
  <c r="X122" i="63" a="1"/>
  <c r="X122" i="63" s="1"/>
  <c r="X125" i="63" a="1"/>
  <c r="X125" i="63" s="1"/>
  <c r="Y194" i="63"/>
  <c r="Y184" i="63"/>
  <c r="Y164" i="63"/>
  <c r="Y174" i="63"/>
  <c r="Y154" i="63"/>
  <c r="Y129" i="63"/>
  <c r="Y119" i="63"/>
  <c r="Y109" i="63"/>
  <c r="Y99" i="63"/>
  <c r="Y89" i="63"/>
  <c r="Y64" i="63"/>
  <c r="Y34" i="63"/>
  <c r="Y54" i="63"/>
  <c r="Y24" i="63"/>
  <c r="Y44" i="63"/>
  <c r="W207" i="63"/>
  <c r="X60" i="63" a="1"/>
  <c r="X60" i="63" s="1"/>
  <c r="X59" i="63" a="1"/>
  <c r="X59" i="63" s="1"/>
  <c r="X58" i="63" a="1"/>
  <c r="X58" i="63" s="1"/>
  <c r="X57" i="63" a="1"/>
  <c r="X57" i="63" s="1"/>
  <c r="X135" i="63" a="1"/>
  <c r="X135" i="63" s="1"/>
  <c r="X133" i="63" a="1"/>
  <c r="X133" i="63" s="1"/>
  <c r="X134" i="63" a="1"/>
  <c r="X134" i="63" s="1"/>
  <c r="X132" i="63" a="1"/>
  <c r="X132" i="63" s="1"/>
  <c r="W210" i="63"/>
  <c r="W78" i="63"/>
  <c r="W142" i="63"/>
  <c r="X40" i="63" a="1"/>
  <c r="X40" i="63" s="1"/>
  <c r="X37" i="63" a="1"/>
  <c r="X37" i="63" s="1"/>
  <c r="X39" i="63" a="1"/>
  <c r="X39" i="63" s="1"/>
  <c r="X38" i="63" a="1"/>
  <c r="X38" i="63" s="1"/>
  <c r="X204" i="63"/>
  <c r="X160" i="63" a="1"/>
  <c r="X160" i="63" s="1"/>
  <c r="X159" i="63" a="1"/>
  <c r="X159" i="63" s="1"/>
  <c r="X158" i="63" a="1"/>
  <c r="X158" i="63" s="1"/>
  <c r="X157" i="63" a="1"/>
  <c r="X157" i="63" s="1"/>
  <c r="W77" i="63"/>
  <c r="W144" i="63"/>
  <c r="X67" i="63" a="1"/>
  <c r="X67" i="63" s="1"/>
  <c r="X69" i="63" a="1"/>
  <c r="X69" i="63" s="1"/>
  <c r="X70" i="63" a="1"/>
  <c r="X70" i="63" s="1"/>
  <c r="X68" i="63" a="1"/>
  <c r="X68" i="63" s="1"/>
  <c r="X168" i="63" a="1"/>
  <c r="X168" i="63" s="1"/>
  <c r="X169" i="63" a="1"/>
  <c r="X169" i="63" s="1"/>
  <c r="X167" i="63" a="1"/>
  <c r="X167" i="63" s="1"/>
  <c r="X170" i="63" a="1"/>
  <c r="X170" i="63" s="1"/>
  <c r="X113" i="63" a="1"/>
  <c r="X113" i="63" s="1"/>
  <c r="X112" i="63" a="1"/>
  <c r="X112" i="63" s="1"/>
  <c r="X114" i="63" a="1"/>
  <c r="X114" i="63" s="1"/>
  <c r="X115" i="63" a="1"/>
  <c r="X115" i="63" s="1"/>
  <c r="W80" i="63"/>
  <c r="W143" i="63"/>
  <c r="X47" i="63" a="1"/>
  <c r="X47" i="63" s="1"/>
  <c r="X49" i="63" a="1"/>
  <c r="X49" i="63" s="1"/>
  <c r="X50" i="63" a="1"/>
  <c r="X50" i="63" s="1"/>
  <c r="X48" i="63" a="1"/>
  <c r="X48" i="63" s="1"/>
  <c r="X180" i="63" a="1"/>
  <c r="X180" i="63" s="1"/>
  <c r="X177" i="63" a="1"/>
  <c r="X177" i="63" s="1"/>
  <c r="X179" i="63" a="1"/>
  <c r="X179" i="63" s="1"/>
  <c r="X178" i="63" a="1"/>
  <c r="X178" i="63" s="1"/>
  <c r="W79" i="63"/>
  <c r="W145" i="63"/>
  <c r="X139" i="63"/>
  <c r="X93" i="63" a="1"/>
  <c r="X93" i="63" s="1"/>
  <c r="X95" i="63" a="1"/>
  <c r="X95" i="63" s="1"/>
  <c r="X92" i="63" a="1"/>
  <c r="X92" i="63" s="1"/>
  <c r="X94" i="63" a="1"/>
  <c r="X94" i="63" s="1"/>
  <c r="X190" i="63" a="1"/>
  <c r="X190" i="63" s="1"/>
  <c r="X189" i="63" a="1"/>
  <c r="X189" i="63" s="1"/>
  <c r="X188" i="63" a="1"/>
  <c r="X188" i="63" s="1"/>
  <c r="X187" i="63" a="1"/>
  <c r="X187" i="63" s="1"/>
  <c r="X103" i="63" a="1"/>
  <c r="X103" i="63" s="1"/>
  <c r="X105" i="63" a="1"/>
  <c r="X105" i="63" s="1"/>
  <c r="X102" i="63" a="1"/>
  <c r="X102" i="63" s="1"/>
  <c r="X104" i="63" a="1"/>
  <c r="X104" i="63" s="1"/>
  <c r="X200" i="63" a="1"/>
  <c r="X200" i="63" s="1"/>
  <c r="X197" i="63" a="1"/>
  <c r="X197" i="63" s="1"/>
  <c r="X198" i="63" a="1"/>
  <c r="X198" i="63" s="1"/>
  <c r="X199" i="63" a="1"/>
  <c r="X199" i="63" s="1"/>
  <c r="Y39" i="37" a="1"/>
  <c r="Y39" i="37" s="1"/>
  <c r="Y40" i="37" a="1"/>
  <c r="Y40" i="37" s="1"/>
  <c r="Y37" i="37" a="1"/>
  <c r="Y37" i="37" s="1"/>
  <c r="Y38" i="37" a="1"/>
  <c r="Y38" i="37" s="1"/>
  <c r="Y132" i="37" a="1"/>
  <c r="Y132" i="37" s="1"/>
  <c r="Y135" i="37" a="1"/>
  <c r="Y135" i="37" s="1"/>
  <c r="Y134" i="37" a="1"/>
  <c r="Y134" i="37" s="1"/>
  <c r="Y133" i="37" a="1"/>
  <c r="Y133" i="37" s="1"/>
  <c r="Y124" i="37" a="1"/>
  <c r="Y124" i="37" s="1"/>
  <c r="Y122" i="37" a="1"/>
  <c r="Y122" i="37" s="1"/>
  <c r="Y125" i="37" a="1"/>
  <c r="Y125" i="37" s="1"/>
  <c r="Y123" i="37" a="1"/>
  <c r="Y123" i="37" s="1"/>
  <c r="Y50" i="37" a="1"/>
  <c r="Y50" i="37" s="1"/>
  <c r="Y48" i="37" a="1"/>
  <c r="Y48" i="37" s="1"/>
  <c r="Y47" i="37" a="1"/>
  <c r="Y47" i="37" s="1"/>
  <c r="Y49" i="37" a="1"/>
  <c r="Y49" i="37" s="1"/>
  <c r="Y169" i="37" a="1"/>
  <c r="Y169" i="37" s="1"/>
  <c r="Y167" i="37" a="1"/>
  <c r="Y167" i="37" s="1"/>
  <c r="Y170" i="37" a="1"/>
  <c r="Y170" i="37" s="1"/>
  <c r="Y168" i="37" a="1"/>
  <c r="Y168" i="37" s="1"/>
  <c r="X207" i="37"/>
  <c r="X142" i="37"/>
  <c r="Y59" i="37" a="1"/>
  <c r="Y59" i="37" s="1"/>
  <c r="Y60" i="37" a="1"/>
  <c r="Y60" i="37" s="1"/>
  <c r="Y57" i="37" a="1"/>
  <c r="Y57" i="37" s="1"/>
  <c r="Y58" i="37" a="1"/>
  <c r="Y58" i="37" s="1"/>
  <c r="Y204" i="37"/>
  <c r="Y157" i="37" a="1"/>
  <c r="Y157" i="37" s="1"/>
  <c r="Y159" i="37" a="1"/>
  <c r="Y159" i="37" s="1"/>
  <c r="Y160" i="37" a="1"/>
  <c r="Y160" i="37" s="1"/>
  <c r="Y158" i="37" a="1"/>
  <c r="Y158" i="37" s="1"/>
  <c r="X209" i="37"/>
  <c r="Y74" i="37"/>
  <c r="Y28" i="37" a="1"/>
  <c r="Y28" i="37" s="1"/>
  <c r="Y29" i="37" a="1"/>
  <c r="Y29" i="37" s="1"/>
  <c r="Y30" i="37" a="1"/>
  <c r="Y30" i="37" s="1"/>
  <c r="Y27" i="37" a="1"/>
  <c r="Y27" i="37" s="1"/>
  <c r="Z194" i="37"/>
  <c r="Z184" i="37"/>
  <c r="Z174" i="37"/>
  <c r="Z164" i="37"/>
  <c r="Z154" i="37"/>
  <c r="Z129" i="37"/>
  <c r="Z119" i="37"/>
  <c r="Z99" i="37"/>
  <c r="Z109" i="37"/>
  <c r="Z89" i="37"/>
  <c r="Z64" i="37"/>
  <c r="Z54" i="37"/>
  <c r="Z44" i="37"/>
  <c r="Z34" i="37"/>
  <c r="Z24" i="37"/>
  <c r="X143" i="37"/>
  <c r="Y69" i="37" a="1"/>
  <c r="Y69" i="37" s="1"/>
  <c r="Y70" i="37" a="1"/>
  <c r="Y70" i="37" s="1"/>
  <c r="Y67" i="37" a="1"/>
  <c r="Y67" i="37" s="1"/>
  <c r="Y68" i="37" a="1"/>
  <c r="Y68" i="37" s="1"/>
  <c r="Y178" i="37" a="1"/>
  <c r="Y178" i="37" s="1"/>
  <c r="Y180" i="37" a="1"/>
  <c r="Y180" i="37" s="1"/>
  <c r="Y179" i="37" a="1"/>
  <c r="Y179" i="37" s="1"/>
  <c r="Y177" i="37" a="1"/>
  <c r="Y177" i="37" s="1"/>
  <c r="X208" i="37"/>
  <c r="X80" i="37"/>
  <c r="X144" i="37"/>
  <c r="Y139" i="37"/>
  <c r="Y95" i="37" a="1"/>
  <c r="Y95" i="37" s="1"/>
  <c r="Y94" i="37" a="1"/>
  <c r="Y94" i="37" s="1"/>
  <c r="Y93" i="37" a="1"/>
  <c r="Y93" i="37" s="1"/>
  <c r="Y92" i="37" a="1"/>
  <c r="Y92" i="37" s="1"/>
  <c r="Y190" i="37" a="1"/>
  <c r="Y190" i="37" s="1"/>
  <c r="Y189" i="37" a="1"/>
  <c r="Y189" i="37" s="1"/>
  <c r="Y187" i="37" a="1"/>
  <c r="Y187" i="37" s="1"/>
  <c r="Y188" i="37" a="1"/>
  <c r="Y188" i="37" s="1"/>
  <c r="X210" i="37"/>
  <c r="X79" i="37"/>
  <c r="X145" i="37"/>
  <c r="Y105" i="37" a="1"/>
  <c r="Y105" i="37" s="1"/>
  <c r="Y102" i="37" a="1"/>
  <c r="Y102" i="37" s="1"/>
  <c r="Y103" i="37" a="1"/>
  <c r="Y103" i="37" s="1"/>
  <c r="Y104" i="37" a="1"/>
  <c r="Y104" i="37" s="1"/>
  <c r="Y197" i="37" a="1"/>
  <c r="Y197" i="37" s="1"/>
  <c r="Y198" i="37" a="1"/>
  <c r="Y198" i="37" s="1"/>
  <c r="Y200" i="37" a="1"/>
  <c r="Y200" i="37" s="1"/>
  <c r="Y199" i="37" a="1"/>
  <c r="Y199" i="37" s="1"/>
  <c r="X78" i="37"/>
  <c r="Y114" i="37" a="1"/>
  <c r="Y114" i="37" s="1"/>
  <c r="Y113" i="37" a="1"/>
  <c r="Y113" i="37" s="1"/>
  <c r="Y115" i="37" a="1"/>
  <c r="Y115" i="37" s="1"/>
  <c r="Y112" i="37" a="1"/>
  <c r="Y112" i="37" s="1"/>
  <c r="X77" i="37"/>
  <c r="U8" i="18"/>
  <c r="W8" i="63"/>
  <c r="X8" i="65" s="1"/>
  <c r="X8" i="37"/>
  <c r="Y8" i="64" s="1"/>
  <c r="Z7" i="63"/>
  <c r="Y33" i="38"/>
  <c r="Z5" i="64"/>
  <c r="Z5" i="65"/>
  <c r="Z7" i="18"/>
  <c r="Z6" i="18" s="1"/>
  <c r="Z35" i="65"/>
  <c r="AA6" i="65"/>
  <c r="Z36" i="65"/>
  <c r="Z29" i="65"/>
  <c r="Z12" i="65"/>
  <c r="Z14" i="65"/>
  <c r="Z25" i="65" s="1"/>
  <c r="AB10" i="60"/>
  <c r="AB9" i="60" s="1"/>
  <c r="Z34" i="38"/>
  <c r="Y29" i="18"/>
  <c r="Y18" i="18" s="1"/>
  <c r="Z34" i="64"/>
  <c r="Z35" i="64"/>
  <c r="AA6" i="64"/>
  <c r="AA7" i="37"/>
  <c r="Z194" i="63" l="1"/>
  <c r="Z184" i="63"/>
  <c r="Z164" i="63"/>
  <c r="Z154" i="63"/>
  <c r="Z119" i="63"/>
  <c r="Z109" i="63"/>
  <c r="Z174" i="63"/>
  <c r="Z129" i="63"/>
  <c r="Z99" i="63"/>
  <c r="Z89" i="63"/>
  <c r="Z64" i="63"/>
  <c r="Z34" i="63"/>
  <c r="Z54" i="63"/>
  <c r="Z24" i="63"/>
  <c r="Z44" i="63"/>
  <c r="Y60" i="63" a="1"/>
  <c r="Y60" i="63" s="1"/>
  <c r="Y57" i="63" a="1"/>
  <c r="Y57" i="63" s="1"/>
  <c r="Y59" i="63" a="1"/>
  <c r="Y59" i="63" s="1"/>
  <c r="Y58" i="63" a="1"/>
  <c r="Y58" i="63" s="1"/>
  <c r="Y204" i="63"/>
  <c r="Y158" i="63" a="1"/>
  <c r="Y158" i="63" s="1"/>
  <c r="Y157" i="63" a="1"/>
  <c r="Y157" i="63" s="1"/>
  <c r="Y159" i="63" a="1"/>
  <c r="Y159" i="63" s="1"/>
  <c r="Y160" i="63" a="1"/>
  <c r="Y160" i="63" s="1"/>
  <c r="X207" i="63"/>
  <c r="Y37" i="63" a="1"/>
  <c r="Y37" i="63" s="1"/>
  <c r="Y38" i="63" a="1"/>
  <c r="Y38" i="63" s="1"/>
  <c r="Y40" i="63" a="1"/>
  <c r="Y40" i="63" s="1"/>
  <c r="Y39" i="63" a="1"/>
  <c r="Y39" i="63" s="1"/>
  <c r="Y179" i="63" a="1"/>
  <c r="Y179" i="63" s="1"/>
  <c r="Y177" i="63" a="1"/>
  <c r="Y177" i="63" s="1"/>
  <c r="Y178" i="63" a="1"/>
  <c r="Y178" i="63" s="1"/>
  <c r="Y180" i="63" a="1"/>
  <c r="Y180" i="63" s="1"/>
  <c r="X77" i="63"/>
  <c r="Y143" i="37"/>
  <c r="X144" i="63"/>
  <c r="X208" i="63"/>
  <c r="Y70" i="63" a="1"/>
  <c r="Y70" i="63" s="1"/>
  <c r="Y68" i="63" a="1"/>
  <c r="Y68" i="63" s="1"/>
  <c r="Y67" i="63" a="1"/>
  <c r="Y67" i="63" s="1"/>
  <c r="Y69" i="63" a="1"/>
  <c r="Y69" i="63" s="1"/>
  <c r="Y167" i="63" a="1"/>
  <c r="Y167" i="63" s="1"/>
  <c r="Y170" i="63" a="1"/>
  <c r="Y170" i="63" s="1"/>
  <c r="Y169" i="63" a="1"/>
  <c r="Y169" i="63" s="1"/>
  <c r="Y168" i="63" a="1"/>
  <c r="Y168" i="63" s="1"/>
  <c r="X78" i="63"/>
  <c r="Y74" i="63"/>
  <c r="Y27" i="63" a="1"/>
  <c r="Y27" i="63" s="1"/>
  <c r="Y28" i="63" a="1"/>
  <c r="Y28" i="63" s="1"/>
  <c r="Y30" i="63" a="1"/>
  <c r="Y30" i="63" s="1"/>
  <c r="Y29" i="63" a="1"/>
  <c r="Y29" i="63" s="1"/>
  <c r="X142" i="63"/>
  <c r="X209" i="63"/>
  <c r="Y139" i="63"/>
  <c r="Y94" i="63" a="1"/>
  <c r="Y94" i="63" s="1"/>
  <c r="Y93" i="63" a="1"/>
  <c r="Y93" i="63" s="1"/>
  <c r="Y95" i="63" a="1"/>
  <c r="Y95" i="63" s="1"/>
  <c r="Y92" i="63" a="1"/>
  <c r="Y92" i="63" s="1"/>
  <c r="Y190" i="63" a="1"/>
  <c r="Y190" i="63" s="1"/>
  <c r="Y188" i="63" a="1"/>
  <c r="Y188" i="63" s="1"/>
  <c r="Y189" i="63" a="1"/>
  <c r="Y189" i="63" s="1"/>
  <c r="Y187" i="63" a="1"/>
  <c r="Y187" i="63" s="1"/>
  <c r="X80" i="63"/>
  <c r="X145" i="63"/>
  <c r="X210" i="63"/>
  <c r="Y104" i="63" a="1"/>
  <c r="Y104" i="63" s="1"/>
  <c r="Y105" i="63" a="1"/>
  <c r="Y105" i="63" s="1"/>
  <c r="Y102" i="63" a="1"/>
  <c r="Y102" i="63" s="1"/>
  <c r="Y103" i="63" a="1"/>
  <c r="Y103" i="63" s="1"/>
  <c r="Y197" i="63" a="1"/>
  <c r="Y197" i="63" s="1"/>
  <c r="Y198" i="63" a="1"/>
  <c r="Y198" i="63" s="1"/>
  <c r="Y200" i="63" a="1"/>
  <c r="Y200" i="63" s="1"/>
  <c r="Y199" i="63" a="1"/>
  <c r="Y199" i="63" s="1"/>
  <c r="X79" i="63"/>
  <c r="Y134" i="63" a="1"/>
  <c r="Y134" i="63" s="1"/>
  <c r="Y132" i="63" a="1"/>
  <c r="Y132" i="63" s="1"/>
  <c r="Y135" i="63" a="1"/>
  <c r="Y135" i="63" s="1"/>
  <c r="Y133" i="63" a="1"/>
  <c r="Y133" i="63" s="1"/>
  <c r="X143" i="63"/>
  <c r="Y113" i="63" a="1"/>
  <c r="Y113" i="63" s="1"/>
  <c r="Y115" i="63" a="1"/>
  <c r="Y115" i="63" s="1"/>
  <c r="Y112" i="63" a="1"/>
  <c r="Y112" i="63" s="1"/>
  <c r="Y114" i="63" a="1"/>
  <c r="Y114" i="63" s="1"/>
  <c r="Y48" i="63" a="1"/>
  <c r="Y48" i="63" s="1"/>
  <c r="Y49" i="63" a="1"/>
  <c r="Y49" i="63" s="1"/>
  <c r="Y47" i="63" a="1"/>
  <c r="Y47" i="63" s="1"/>
  <c r="Y50" i="63" a="1"/>
  <c r="Y50" i="63" s="1"/>
  <c r="Y125" i="63" a="1"/>
  <c r="Y125" i="63" s="1"/>
  <c r="Y124" i="63" a="1"/>
  <c r="Y124" i="63" s="1"/>
  <c r="Y122" i="63" a="1"/>
  <c r="Y122" i="63" s="1"/>
  <c r="Y123" i="63" a="1"/>
  <c r="Y123" i="63" s="1"/>
  <c r="Y210" i="37"/>
  <c r="Y80" i="37"/>
  <c r="Z70" i="37" a="1"/>
  <c r="Z70" i="37" s="1"/>
  <c r="Z67" i="37" a="1"/>
  <c r="Z67" i="37" s="1"/>
  <c r="Z68" i="37" a="1"/>
  <c r="Z68" i="37" s="1"/>
  <c r="Z69" i="37" a="1"/>
  <c r="Z69" i="37" s="1"/>
  <c r="Z179" i="37" a="1"/>
  <c r="Z179" i="37" s="1"/>
  <c r="Z177" i="37" a="1"/>
  <c r="Z177" i="37" s="1"/>
  <c r="Z178" i="37" a="1"/>
  <c r="Z178" i="37" s="1"/>
  <c r="Z180" i="37" a="1"/>
  <c r="Z180" i="37" s="1"/>
  <c r="Z139" i="37"/>
  <c r="Z95" i="37" a="1"/>
  <c r="Z95" i="37" s="1"/>
  <c r="Z93" i="37" a="1"/>
  <c r="Z93" i="37" s="1"/>
  <c r="Z92" i="37" a="1"/>
  <c r="Z92" i="37" s="1"/>
  <c r="Z94" i="37" a="1"/>
  <c r="Z94" i="37" s="1"/>
  <c r="Z187" i="37" a="1"/>
  <c r="Z187" i="37" s="1"/>
  <c r="Z188" i="37" a="1"/>
  <c r="Z188" i="37" s="1"/>
  <c r="Z190" i="37" a="1"/>
  <c r="Z190" i="37" s="1"/>
  <c r="Z189" i="37" a="1"/>
  <c r="Z189" i="37" s="1"/>
  <c r="Y208" i="37"/>
  <c r="Y142" i="37"/>
  <c r="Z102" i="37" a="1"/>
  <c r="Z102" i="37" s="1"/>
  <c r="Z103" i="37" a="1"/>
  <c r="Z103" i="37" s="1"/>
  <c r="Z104" i="37" a="1"/>
  <c r="Z104" i="37" s="1"/>
  <c r="Z105" i="37" a="1"/>
  <c r="Z105" i="37" s="1"/>
  <c r="Y77" i="37"/>
  <c r="Y209" i="37"/>
  <c r="Z115" i="37" a="1"/>
  <c r="Z115" i="37" s="1"/>
  <c r="Z113" i="37" a="1"/>
  <c r="Z113" i="37" s="1"/>
  <c r="Z112" i="37" a="1"/>
  <c r="Z112" i="37" s="1"/>
  <c r="Z114" i="37" a="1"/>
  <c r="Z114" i="37" s="1"/>
  <c r="Z74" i="37"/>
  <c r="Z29" i="37" a="1"/>
  <c r="Z29" i="37" s="1"/>
  <c r="Z30" i="37" a="1"/>
  <c r="Z30" i="37" s="1"/>
  <c r="Z27" i="37" a="1"/>
  <c r="Z27" i="37" s="1"/>
  <c r="Z28" i="37" a="1"/>
  <c r="Z28" i="37" s="1"/>
  <c r="Z124" i="37" a="1"/>
  <c r="Z124" i="37" s="1"/>
  <c r="Z122" i="37" a="1"/>
  <c r="Z122" i="37" s="1"/>
  <c r="Z125" i="37" a="1"/>
  <c r="Z125" i="37" s="1"/>
  <c r="Z123" i="37" a="1"/>
  <c r="Z123" i="37" s="1"/>
  <c r="Y207" i="37"/>
  <c r="AA184" i="37"/>
  <c r="AA194" i="37"/>
  <c r="AA174" i="37"/>
  <c r="AA164" i="37"/>
  <c r="AA154" i="37"/>
  <c r="AA119" i="37"/>
  <c r="AA129" i="37"/>
  <c r="AA99" i="37"/>
  <c r="AA89" i="37"/>
  <c r="AA109" i="37"/>
  <c r="AA64" i="37"/>
  <c r="AA44" i="37"/>
  <c r="AA54" i="37"/>
  <c r="AA34" i="37"/>
  <c r="AA24" i="37"/>
  <c r="Y144" i="37"/>
  <c r="Z40" i="37" a="1"/>
  <c r="Z40" i="37" s="1"/>
  <c r="Z37" i="37" a="1"/>
  <c r="Z37" i="37" s="1"/>
  <c r="Z38" i="37" a="1"/>
  <c r="Z38" i="37" s="1"/>
  <c r="Z39" i="37" a="1"/>
  <c r="Z39" i="37" s="1"/>
  <c r="Z133" i="37" a="1"/>
  <c r="Z133" i="37" s="1"/>
  <c r="Z134" i="37" a="1"/>
  <c r="Z134" i="37" s="1"/>
  <c r="Z132" i="37" a="1"/>
  <c r="Z132" i="37" s="1"/>
  <c r="Z135" i="37" a="1"/>
  <c r="Z135" i="37" s="1"/>
  <c r="Y79" i="37"/>
  <c r="Z198" i="37" a="1"/>
  <c r="Z198" i="37" s="1"/>
  <c r="Z199" i="37" a="1"/>
  <c r="Z199" i="37" s="1"/>
  <c r="Z197" i="37" a="1"/>
  <c r="Z197" i="37" s="1"/>
  <c r="Z200" i="37" a="1"/>
  <c r="Z200" i="37" s="1"/>
  <c r="Y145" i="37"/>
  <c r="Z48" i="37" a="1"/>
  <c r="Z48" i="37" s="1"/>
  <c r="Z50" i="37" a="1"/>
  <c r="Z50" i="37" s="1"/>
  <c r="Z47" i="37" a="1"/>
  <c r="Z47" i="37" s="1"/>
  <c r="Z49" i="37" a="1"/>
  <c r="Z49" i="37" s="1"/>
  <c r="Z204" i="37"/>
  <c r="Z157" i="37" a="1"/>
  <c r="Z157" i="37" s="1"/>
  <c r="Z159" i="37" a="1"/>
  <c r="Z159" i="37" s="1"/>
  <c r="Z158" i="37" a="1"/>
  <c r="Z158" i="37" s="1"/>
  <c r="Z160" i="37" a="1"/>
  <c r="Z160" i="37" s="1"/>
  <c r="Y78" i="37"/>
  <c r="Z60" i="37" a="1"/>
  <c r="Z60" i="37" s="1"/>
  <c r="Z57" i="37" a="1"/>
  <c r="Z57" i="37" s="1"/>
  <c r="Z58" i="37" a="1"/>
  <c r="Z58" i="37" s="1"/>
  <c r="Z59" i="37" a="1"/>
  <c r="Z59" i="37" s="1"/>
  <c r="Z168" i="37" a="1"/>
  <c r="Z168" i="37" s="1"/>
  <c r="Z169" i="37" a="1"/>
  <c r="Z169" i="37" s="1"/>
  <c r="Z167" i="37" a="1"/>
  <c r="Z167" i="37" s="1"/>
  <c r="Z170" i="37" a="1"/>
  <c r="Z170" i="37" s="1"/>
  <c r="Y8" i="37"/>
  <c r="Z8" i="64" s="1"/>
  <c r="X8" i="63"/>
  <c r="Y8" i="65" s="1"/>
  <c r="V8" i="18"/>
  <c r="AA7" i="63"/>
  <c r="Z33" i="38"/>
  <c r="AA5" i="64"/>
  <c r="AA5" i="65"/>
  <c r="AA7" i="18"/>
  <c r="AA6" i="18" s="1"/>
  <c r="AA36" i="65"/>
  <c r="AA14" i="65"/>
  <c r="AA25" i="65" s="1"/>
  <c r="AA35" i="65"/>
  <c r="AA12" i="65"/>
  <c r="AB6" i="65"/>
  <c r="AA29" i="65"/>
  <c r="AC10" i="60"/>
  <c r="AC9" i="60" s="1"/>
  <c r="AA34" i="38"/>
  <c r="Z29" i="18"/>
  <c r="Z18" i="18" s="1"/>
  <c r="AA34" i="64"/>
  <c r="AA35" i="64"/>
  <c r="AB6" i="64"/>
  <c r="AB7" i="37"/>
  <c r="Y77" i="63" l="1"/>
  <c r="Z135" i="63" a="1"/>
  <c r="Z135" i="63" s="1"/>
  <c r="Z134" i="63" a="1"/>
  <c r="Z134" i="63" s="1"/>
  <c r="Z133" i="63" a="1"/>
  <c r="Z133" i="63" s="1"/>
  <c r="Z132" i="63" a="1"/>
  <c r="Z132" i="63" s="1"/>
  <c r="Y144" i="63"/>
  <c r="Y209" i="63"/>
  <c r="Z48" i="63" a="1"/>
  <c r="Z48" i="63" s="1"/>
  <c r="Z50" i="63" a="1"/>
  <c r="Z50" i="63" s="1"/>
  <c r="Z49" i="63" a="1"/>
  <c r="Z49" i="63" s="1"/>
  <c r="Z47" i="63" a="1"/>
  <c r="Z47" i="63" s="1"/>
  <c r="Z179" i="63" a="1"/>
  <c r="Z179" i="63" s="1"/>
  <c r="Z178" i="63" a="1"/>
  <c r="Z178" i="63" s="1"/>
  <c r="Z180" i="63" a="1"/>
  <c r="Z180" i="63" s="1"/>
  <c r="Z177" i="63" a="1"/>
  <c r="Z177" i="63" s="1"/>
  <c r="Y210" i="63"/>
  <c r="Y207" i="63"/>
  <c r="Z74" i="63"/>
  <c r="Z30" i="63" a="1"/>
  <c r="Z30" i="63" s="1"/>
  <c r="Z29" i="63" a="1"/>
  <c r="Z29" i="63" s="1"/>
  <c r="Z28" i="63" a="1"/>
  <c r="Z28" i="63" s="1"/>
  <c r="Z27" i="63" a="1"/>
  <c r="Z27" i="63" s="1"/>
  <c r="Z114" i="63" a="1"/>
  <c r="Z114" i="63" s="1"/>
  <c r="Z113" i="63" a="1"/>
  <c r="Z113" i="63" s="1"/>
  <c r="Z115" i="63" a="1"/>
  <c r="Z115" i="63" s="1"/>
  <c r="Z112" i="63" a="1"/>
  <c r="Z112" i="63" s="1"/>
  <c r="Y208" i="63"/>
  <c r="Z58" i="63" a="1"/>
  <c r="Z58" i="63" s="1"/>
  <c r="Z57" i="63" a="1"/>
  <c r="Z57" i="63" s="1"/>
  <c r="Z59" i="63" a="1"/>
  <c r="Z59" i="63" s="1"/>
  <c r="Z60" i="63" a="1"/>
  <c r="Z60" i="63" s="1"/>
  <c r="Z125" i="63" a="1"/>
  <c r="Z125" i="63" s="1"/>
  <c r="Z122" i="63" a="1"/>
  <c r="Z122" i="63" s="1"/>
  <c r="Z124" i="63" a="1"/>
  <c r="Z124" i="63" s="1"/>
  <c r="Z123" i="63" a="1"/>
  <c r="Z123" i="63" s="1"/>
  <c r="AA194" i="63"/>
  <c r="AA184" i="63"/>
  <c r="AA174" i="63"/>
  <c r="AA154" i="63"/>
  <c r="AA164" i="63"/>
  <c r="AA129" i="63"/>
  <c r="AA109" i="63"/>
  <c r="AA99" i="63"/>
  <c r="AA119" i="63"/>
  <c r="AA89" i="63"/>
  <c r="AA64" i="63"/>
  <c r="AA54" i="63"/>
  <c r="AA44" i="63"/>
  <c r="AA34" i="63"/>
  <c r="AA24" i="63"/>
  <c r="Z37" i="63" a="1"/>
  <c r="Z37" i="63" s="1"/>
  <c r="Z40" i="63" a="1"/>
  <c r="Z40" i="63" s="1"/>
  <c r="Z39" i="63" a="1"/>
  <c r="Z39" i="63" s="1"/>
  <c r="Z38" i="63" a="1"/>
  <c r="Z38" i="63" s="1"/>
  <c r="Z204" i="63"/>
  <c r="Z158" i="63" a="1"/>
  <c r="Z158" i="63" s="1"/>
  <c r="Z159" i="63" a="1"/>
  <c r="Z159" i="63" s="1"/>
  <c r="Z160" i="63" a="1"/>
  <c r="Z160" i="63" s="1"/>
  <c r="Z157" i="63" a="1"/>
  <c r="Z157" i="63" s="1"/>
  <c r="Y79" i="63"/>
  <c r="Z69" i="63" a="1"/>
  <c r="Z69" i="63" s="1"/>
  <c r="Z67" i="63" a="1"/>
  <c r="Z67" i="63" s="1"/>
  <c r="Z68" i="63" a="1"/>
  <c r="Z68" i="63" s="1"/>
  <c r="Z70" i="63" a="1"/>
  <c r="Z70" i="63" s="1"/>
  <c r="Z167" i="63" a="1"/>
  <c r="Z167" i="63" s="1"/>
  <c r="Z169" i="63" a="1"/>
  <c r="Z169" i="63" s="1"/>
  <c r="Z168" i="63" a="1"/>
  <c r="Z168" i="63" s="1"/>
  <c r="Z170" i="63" a="1"/>
  <c r="Z170" i="63" s="1"/>
  <c r="Y143" i="63"/>
  <c r="Y142" i="63"/>
  <c r="Y80" i="63"/>
  <c r="Z139" i="63"/>
  <c r="Z92" i="63" a="1"/>
  <c r="Z92" i="63" s="1"/>
  <c r="Z95" i="63" a="1"/>
  <c r="Z95" i="63" s="1"/>
  <c r="Z93" i="63" a="1"/>
  <c r="Z93" i="63" s="1"/>
  <c r="Z94" i="63" a="1"/>
  <c r="Z94" i="63" s="1"/>
  <c r="Z189" i="63" a="1"/>
  <c r="Z189" i="63" s="1"/>
  <c r="Z190" i="63" a="1"/>
  <c r="Z190" i="63" s="1"/>
  <c r="Z187" i="63" a="1"/>
  <c r="Z187" i="63" s="1"/>
  <c r="Z188" i="63" a="1"/>
  <c r="Z188" i="63" s="1"/>
  <c r="Y145" i="63"/>
  <c r="Y78" i="63"/>
  <c r="Z102" i="63" a="1"/>
  <c r="Z102" i="63" s="1"/>
  <c r="Z105" i="63" a="1"/>
  <c r="Z105" i="63" s="1"/>
  <c r="Z103" i="63" a="1"/>
  <c r="Z103" i="63" s="1"/>
  <c r="Z104" i="63" a="1"/>
  <c r="Z104" i="63" s="1"/>
  <c r="Z198" i="63" a="1"/>
  <c r="Z198" i="63" s="1"/>
  <c r="Z199" i="63" a="1"/>
  <c r="Z199" i="63" s="1"/>
  <c r="Z197" i="63" a="1"/>
  <c r="Z197" i="63" s="1"/>
  <c r="Z200" i="63" a="1"/>
  <c r="Z200" i="63" s="1"/>
  <c r="AB184" i="37"/>
  <c r="AB194" i="37"/>
  <c r="AB164" i="37"/>
  <c r="AB154" i="37"/>
  <c r="AB174" i="37"/>
  <c r="AB129" i="37"/>
  <c r="AB119" i="37"/>
  <c r="AB109" i="37"/>
  <c r="AB99" i="37"/>
  <c r="AB89" i="37"/>
  <c r="AB64" i="37"/>
  <c r="AB54" i="37"/>
  <c r="AB44" i="37"/>
  <c r="AB34" i="37"/>
  <c r="AB24" i="37"/>
  <c r="AA139" i="37"/>
  <c r="AA95" i="37" a="1"/>
  <c r="AA95" i="37" s="1"/>
  <c r="AA93" i="37" a="1"/>
  <c r="AA93" i="37" s="1"/>
  <c r="AA92" i="37" a="1"/>
  <c r="AA92" i="37" s="1"/>
  <c r="AA94" i="37" a="1"/>
  <c r="AA94" i="37" s="1"/>
  <c r="AA187" i="37" a="1"/>
  <c r="AA187" i="37" s="1"/>
  <c r="AA188" i="37" a="1"/>
  <c r="AA188" i="37" s="1"/>
  <c r="AA190" i="37" a="1"/>
  <c r="AA190" i="37" s="1"/>
  <c r="AA189" i="37" a="1"/>
  <c r="AA189" i="37" s="1"/>
  <c r="Z80" i="37"/>
  <c r="AA103" i="37" a="1"/>
  <c r="AA103" i="37" s="1"/>
  <c r="AA104" i="37" a="1"/>
  <c r="AA104" i="37" s="1"/>
  <c r="AA105" i="37" a="1"/>
  <c r="AA105" i="37" s="1"/>
  <c r="AA102" i="37" a="1"/>
  <c r="AA102" i="37" s="1"/>
  <c r="Z79" i="37"/>
  <c r="Z210" i="37"/>
  <c r="AA74" i="37"/>
  <c r="AA30" i="37" a="1"/>
  <c r="AA30" i="37" s="1"/>
  <c r="AA27" i="37" a="1"/>
  <c r="AA27" i="37" s="1"/>
  <c r="AA28" i="37" a="1"/>
  <c r="AA28" i="37" s="1"/>
  <c r="AA29" i="37" a="1"/>
  <c r="AA29" i="37" s="1"/>
  <c r="AA135" i="37" a="1"/>
  <c r="AA135" i="37" s="1"/>
  <c r="AA133" i="37" a="1"/>
  <c r="AA133" i="37" s="1"/>
  <c r="AA132" i="37" a="1"/>
  <c r="AA132" i="37" s="1"/>
  <c r="AA134" i="37" a="1"/>
  <c r="AA134" i="37" s="1"/>
  <c r="Z208" i="37"/>
  <c r="AA37" i="37" a="1"/>
  <c r="AA37" i="37" s="1"/>
  <c r="AA38" i="37" a="1"/>
  <c r="AA38" i="37" s="1"/>
  <c r="AA39" i="37" a="1"/>
  <c r="AA39" i="37" s="1"/>
  <c r="AA40" i="37" a="1"/>
  <c r="AA40" i="37" s="1"/>
  <c r="AA122" i="37" a="1"/>
  <c r="AA122" i="37" s="1"/>
  <c r="AA125" i="37" a="1"/>
  <c r="AA125" i="37" s="1"/>
  <c r="AA123" i="37" a="1"/>
  <c r="AA123" i="37" s="1"/>
  <c r="AA124" i="37" a="1"/>
  <c r="AA124" i="37" s="1"/>
  <c r="Z144" i="37"/>
  <c r="Z209" i="37"/>
  <c r="AA57" i="37" a="1"/>
  <c r="AA57" i="37" s="1"/>
  <c r="AA58" i="37" a="1"/>
  <c r="AA58" i="37" s="1"/>
  <c r="AA59" i="37" a="1"/>
  <c r="AA59" i="37" s="1"/>
  <c r="AA60" i="37" a="1"/>
  <c r="AA60" i="37" s="1"/>
  <c r="AA204" i="37"/>
  <c r="AA159" i="37" a="1"/>
  <c r="AA159" i="37" s="1"/>
  <c r="AA157" i="37" a="1"/>
  <c r="AA157" i="37" s="1"/>
  <c r="AA158" i="37" a="1"/>
  <c r="AA158" i="37" s="1"/>
  <c r="AA160" i="37" a="1"/>
  <c r="AA160" i="37" s="1"/>
  <c r="Z142" i="37"/>
  <c r="Z207" i="37"/>
  <c r="AA50" i="37" a="1"/>
  <c r="AA50" i="37" s="1"/>
  <c r="AA47" i="37" a="1"/>
  <c r="AA47" i="37" s="1"/>
  <c r="AA49" i="37" a="1"/>
  <c r="AA49" i="37" s="1"/>
  <c r="AA48" i="37" a="1"/>
  <c r="AA48" i="37" s="1"/>
  <c r="AA170" i="37" a="1"/>
  <c r="AA170" i="37" s="1"/>
  <c r="AA168" i="37" a="1"/>
  <c r="AA168" i="37" s="1"/>
  <c r="AA167" i="37" a="1"/>
  <c r="AA167" i="37" s="1"/>
  <c r="AA169" i="37" a="1"/>
  <c r="AA169" i="37" s="1"/>
  <c r="Z143" i="37"/>
  <c r="AA67" i="37" a="1"/>
  <c r="AA67" i="37" s="1"/>
  <c r="AA68" i="37" a="1"/>
  <c r="AA68" i="37" s="1"/>
  <c r="AA69" i="37" a="1"/>
  <c r="AA69" i="37" s="1"/>
  <c r="AA70" i="37" a="1"/>
  <c r="AA70" i="37" s="1"/>
  <c r="AA179" i="37" a="1"/>
  <c r="AA179" i="37" s="1"/>
  <c r="AA177" i="37" a="1"/>
  <c r="AA177" i="37" s="1"/>
  <c r="AA178" i="37" a="1"/>
  <c r="AA178" i="37" s="1"/>
  <c r="AA180" i="37" a="1"/>
  <c r="AA180" i="37" s="1"/>
  <c r="Z78" i="37"/>
  <c r="Z145" i="37"/>
  <c r="AA112" i="37" a="1"/>
  <c r="AA112" i="37" s="1"/>
  <c r="AA114" i="37" a="1"/>
  <c r="AA114" i="37" s="1"/>
  <c r="AA113" i="37" a="1"/>
  <c r="AA113" i="37" s="1"/>
  <c r="AA115" i="37" a="1"/>
  <c r="AA115" i="37" s="1"/>
  <c r="AA199" i="37" a="1"/>
  <c r="AA199" i="37" s="1"/>
  <c r="AA200" i="37" a="1"/>
  <c r="AA200" i="37" s="1"/>
  <c r="AA198" i="37" a="1"/>
  <c r="AA198" i="37" s="1"/>
  <c r="AA197" i="37" a="1"/>
  <c r="AA197" i="37" s="1"/>
  <c r="Z77" i="37"/>
  <c r="W8" i="18"/>
  <c r="Z8" i="37"/>
  <c r="AA8" i="64" s="1"/>
  <c r="Y8" i="63"/>
  <c r="Z8" i="65" s="1"/>
  <c r="AB7" i="63"/>
  <c r="AA33" i="38"/>
  <c r="AB5" i="64"/>
  <c r="AB5" i="65"/>
  <c r="AB12" i="65"/>
  <c r="AB7" i="18"/>
  <c r="AB6" i="18" s="1"/>
  <c r="AB29" i="65"/>
  <c r="AC6" i="65"/>
  <c r="AB35" i="65"/>
  <c r="AB36" i="65"/>
  <c r="AB14" i="65"/>
  <c r="AB25" i="65" s="1"/>
  <c r="AD10" i="60"/>
  <c r="AD9" i="60" s="1"/>
  <c r="AB34" i="38"/>
  <c r="AA29" i="18"/>
  <c r="AA18" i="18" s="1"/>
  <c r="AB34" i="64"/>
  <c r="AC6" i="64"/>
  <c r="AB35" i="64"/>
  <c r="AC7" i="37"/>
  <c r="Z208" i="63" l="1"/>
  <c r="Z142" i="63"/>
  <c r="Z209" i="63"/>
  <c r="AA48" i="63" a="1"/>
  <c r="AA48" i="63" s="1"/>
  <c r="AA49" i="63" a="1"/>
  <c r="AA49" i="63" s="1"/>
  <c r="AA47" i="63" a="1"/>
  <c r="AA47" i="63" s="1"/>
  <c r="AA50" i="63" a="1"/>
  <c r="AA50" i="63" s="1"/>
  <c r="AA57" i="63" a="1"/>
  <c r="AA57" i="63" s="1"/>
  <c r="AA59" i="63" a="1"/>
  <c r="AA59" i="63" s="1"/>
  <c r="AA60" i="63" a="1"/>
  <c r="AA60" i="63" s="1"/>
  <c r="AA58" i="63" a="1"/>
  <c r="AA58" i="63" s="1"/>
  <c r="AA204" i="63"/>
  <c r="AA159" i="63" a="1"/>
  <c r="AA159" i="63" s="1"/>
  <c r="AA160" i="63" a="1"/>
  <c r="AA160" i="63" s="1"/>
  <c r="AA158" i="63" a="1"/>
  <c r="AA158" i="63" s="1"/>
  <c r="AA157" i="63" a="1"/>
  <c r="AA157" i="63" s="1"/>
  <c r="AA40" i="63" a="1"/>
  <c r="AA40" i="63" s="1"/>
  <c r="AA39" i="63" a="1"/>
  <c r="AA39" i="63" s="1"/>
  <c r="AA38" i="63" a="1"/>
  <c r="AA38" i="63" s="1"/>
  <c r="AA37" i="63" a="1"/>
  <c r="AA37" i="63" s="1"/>
  <c r="AA70" i="63" a="1"/>
  <c r="AA70" i="63" s="1"/>
  <c r="AA68" i="63" a="1"/>
  <c r="AA68" i="63" s="1"/>
  <c r="AA69" i="63" a="1"/>
  <c r="AA69" i="63" s="1"/>
  <c r="AA67" i="63" a="1"/>
  <c r="AA67" i="63" s="1"/>
  <c r="AA179" i="63" a="1"/>
  <c r="AA179" i="63" s="1"/>
  <c r="AA178" i="63" a="1"/>
  <c r="AA178" i="63" s="1"/>
  <c r="AA180" i="63" a="1"/>
  <c r="AA180" i="63" s="1"/>
  <c r="AA177" i="63" a="1"/>
  <c r="AA177" i="63" s="1"/>
  <c r="Z77" i="63"/>
  <c r="AA133" i="63" a="1"/>
  <c r="AA133" i="63" s="1"/>
  <c r="AA132" i="63" a="1"/>
  <c r="AA132" i="63" s="1"/>
  <c r="AA135" i="63" a="1"/>
  <c r="AA135" i="63" s="1"/>
  <c r="AA134" i="63" a="1"/>
  <c r="AA134" i="63" s="1"/>
  <c r="AA139" i="63"/>
  <c r="AA94" i="63" a="1"/>
  <c r="AA94" i="63" s="1"/>
  <c r="AA95" i="63" a="1"/>
  <c r="AA95" i="63" s="1"/>
  <c r="AA93" i="63" a="1"/>
  <c r="AA93" i="63" s="1"/>
  <c r="AA92" i="63" a="1"/>
  <c r="AA92" i="63" s="1"/>
  <c r="AA188" i="63" a="1"/>
  <c r="AA188" i="63" s="1"/>
  <c r="AA190" i="63" a="1"/>
  <c r="AA190" i="63" s="1"/>
  <c r="AA187" i="63" a="1"/>
  <c r="AA187" i="63" s="1"/>
  <c r="AA189" i="63" a="1"/>
  <c r="AA189" i="63" s="1"/>
  <c r="Z78" i="63"/>
  <c r="Z144" i="63"/>
  <c r="AA124" i="63" a="1"/>
  <c r="AA124" i="63" s="1"/>
  <c r="AA122" i="63" a="1"/>
  <c r="AA122" i="63" s="1"/>
  <c r="AA123" i="63" a="1"/>
  <c r="AA123" i="63" s="1"/>
  <c r="AA125" i="63" a="1"/>
  <c r="AA125" i="63" s="1"/>
  <c r="AA199" i="63" a="1"/>
  <c r="AA199" i="63" s="1"/>
  <c r="AA200" i="63" a="1"/>
  <c r="AA200" i="63" s="1"/>
  <c r="AA198" i="63" a="1"/>
  <c r="AA198" i="63" s="1"/>
  <c r="AA197" i="63" a="1"/>
  <c r="AA197" i="63" s="1"/>
  <c r="Z79" i="63"/>
  <c r="Z143" i="63"/>
  <c r="Z207" i="63"/>
  <c r="AA102" i="63" a="1"/>
  <c r="AA102" i="63" s="1"/>
  <c r="AA105" i="63" a="1"/>
  <c r="AA105" i="63" s="1"/>
  <c r="AA103" i="63" a="1"/>
  <c r="AA103" i="63" s="1"/>
  <c r="AA104" i="63" a="1"/>
  <c r="AA104" i="63" s="1"/>
  <c r="Z80" i="63"/>
  <c r="AB194" i="63"/>
  <c r="AB184" i="63"/>
  <c r="AB174" i="63"/>
  <c r="AB164" i="63"/>
  <c r="AB154" i="63"/>
  <c r="AB119" i="63"/>
  <c r="AB109" i="63"/>
  <c r="AB99" i="63"/>
  <c r="AB129" i="63"/>
  <c r="AB89" i="63"/>
  <c r="AB64" i="63"/>
  <c r="AB54" i="63"/>
  <c r="AB44" i="63"/>
  <c r="AB34" i="63"/>
  <c r="AB24" i="63"/>
  <c r="AA167" i="63" a="1"/>
  <c r="AA167" i="63" s="1"/>
  <c r="AA169" i="63" a="1"/>
  <c r="AA169" i="63" s="1"/>
  <c r="AA170" i="63" a="1"/>
  <c r="AA170" i="63" s="1"/>
  <c r="AA168" i="63" a="1"/>
  <c r="AA168" i="63" s="1"/>
  <c r="Z145" i="63"/>
  <c r="Z210" i="63"/>
  <c r="AA74" i="63"/>
  <c r="AA27" i="63" a="1"/>
  <c r="AA27" i="63" s="1"/>
  <c r="AA29" i="63" a="1"/>
  <c r="AA29" i="63" s="1"/>
  <c r="AA30" i="63" a="1"/>
  <c r="AA30" i="63" s="1"/>
  <c r="AA28" i="63" a="1"/>
  <c r="AA28" i="63" s="1"/>
  <c r="AA115" i="63" a="1"/>
  <c r="AA115" i="63" s="1"/>
  <c r="AA113" i="63" a="1"/>
  <c r="AA113" i="63" s="1"/>
  <c r="AA112" i="63" a="1"/>
  <c r="AA112" i="63" s="1"/>
  <c r="AA114" i="63" a="1"/>
  <c r="AA114" i="63" s="1"/>
  <c r="AC184" i="37"/>
  <c r="AC194" i="37"/>
  <c r="AC174" i="37"/>
  <c r="AC164" i="37"/>
  <c r="AC154" i="37"/>
  <c r="AC129" i="37"/>
  <c r="AC119" i="37"/>
  <c r="AC109" i="37"/>
  <c r="AC99" i="37"/>
  <c r="AC89" i="37"/>
  <c r="AC64" i="37"/>
  <c r="AC54" i="37"/>
  <c r="AC34" i="37"/>
  <c r="AC24" i="37"/>
  <c r="AC44" i="37"/>
  <c r="AB113" i="37" a="1"/>
  <c r="AB113" i="37" s="1"/>
  <c r="AB115" i="37" a="1"/>
  <c r="AB115" i="37" s="1"/>
  <c r="AB112" i="37" a="1"/>
  <c r="AB112" i="37" s="1"/>
  <c r="AB114" i="37" a="1"/>
  <c r="AB114" i="37" s="1"/>
  <c r="AB74" i="37"/>
  <c r="AB27" i="37" a="1"/>
  <c r="AB27" i="37" s="1"/>
  <c r="AB28" i="37" a="1"/>
  <c r="AB28" i="37" s="1"/>
  <c r="AB29" i="37" a="1"/>
  <c r="AB29" i="37" s="1"/>
  <c r="AB30" i="37" a="1"/>
  <c r="AB30" i="37" s="1"/>
  <c r="AB125" i="37" a="1"/>
  <c r="AB125" i="37" s="1"/>
  <c r="AB123" i="37" a="1"/>
  <c r="AB123" i="37" s="1"/>
  <c r="AB124" i="37" a="1"/>
  <c r="AB124" i="37" s="1"/>
  <c r="AB122" i="37" a="1"/>
  <c r="AB122" i="37" s="1"/>
  <c r="AB38" i="37" a="1"/>
  <c r="AB38" i="37" s="1"/>
  <c r="AB39" i="37" a="1"/>
  <c r="AB39" i="37" s="1"/>
  <c r="AB40" i="37" a="1"/>
  <c r="AB40" i="37" s="1"/>
  <c r="AB37" i="37" a="1"/>
  <c r="AB37" i="37" s="1"/>
  <c r="AB134" i="37" a="1"/>
  <c r="AB134" i="37" s="1"/>
  <c r="AB133" i="37" a="1"/>
  <c r="AB133" i="37" s="1"/>
  <c r="AB135" i="37" a="1"/>
  <c r="AB135" i="37" s="1"/>
  <c r="AB132" i="37" a="1"/>
  <c r="AB132" i="37" s="1"/>
  <c r="AB49" i="37" a="1"/>
  <c r="AB49" i="37" s="1"/>
  <c r="AB50" i="37" a="1"/>
  <c r="AB50" i="37" s="1"/>
  <c r="AB48" i="37" a="1"/>
  <c r="AB48" i="37" s="1"/>
  <c r="AB47" i="37" a="1"/>
  <c r="AB47" i="37" s="1"/>
  <c r="AB177" i="37" a="1"/>
  <c r="AB177" i="37" s="1"/>
  <c r="AB179" i="37" a="1"/>
  <c r="AB179" i="37" s="1"/>
  <c r="AB178" i="37" a="1"/>
  <c r="AB178" i="37" s="1"/>
  <c r="AB180" i="37" a="1"/>
  <c r="AB180" i="37" s="1"/>
  <c r="AA210" i="37"/>
  <c r="AA79" i="37"/>
  <c r="AA144" i="37"/>
  <c r="AB58" i="37" a="1"/>
  <c r="AB58" i="37" s="1"/>
  <c r="AB59" i="37" a="1"/>
  <c r="AB59" i="37" s="1"/>
  <c r="AB60" i="37" a="1"/>
  <c r="AB60" i="37" s="1"/>
  <c r="AB57" i="37" a="1"/>
  <c r="AB57" i="37" s="1"/>
  <c r="AB204" i="37"/>
  <c r="AB160" i="37" a="1"/>
  <c r="AB160" i="37" s="1"/>
  <c r="AB158" i="37" a="1"/>
  <c r="AB158" i="37" s="1"/>
  <c r="AB159" i="37" a="1"/>
  <c r="AB159" i="37" s="1"/>
  <c r="AB157" i="37" a="1"/>
  <c r="AB157" i="37" s="1"/>
  <c r="AA208" i="37"/>
  <c r="AA78" i="37"/>
  <c r="AA142" i="37"/>
  <c r="AB68" i="37" a="1"/>
  <c r="AB68" i="37" s="1"/>
  <c r="AB69" i="37" a="1"/>
  <c r="AB69" i="37" s="1"/>
  <c r="AB70" i="37" a="1"/>
  <c r="AB70" i="37" s="1"/>
  <c r="AB67" i="37" a="1"/>
  <c r="AB67" i="37" s="1"/>
  <c r="AB168" i="37" a="1"/>
  <c r="AB168" i="37" s="1"/>
  <c r="AB169" i="37" a="1"/>
  <c r="AB169" i="37" s="1"/>
  <c r="AB167" i="37" a="1"/>
  <c r="AB167" i="37" s="1"/>
  <c r="AB170" i="37" a="1"/>
  <c r="AB170" i="37" s="1"/>
  <c r="AA207" i="37"/>
  <c r="AA77" i="37"/>
  <c r="AA143" i="37"/>
  <c r="AB139" i="37"/>
  <c r="AB95" i="37" a="1"/>
  <c r="AB95" i="37" s="1"/>
  <c r="AB93" i="37" a="1"/>
  <c r="AB93" i="37" s="1"/>
  <c r="AB92" i="37" a="1"/>
  <c r="AB92" i="37" s="1"/>
  <c r="AB94" i="37" a="1"/>
  <c r="AB94" i="37" s="1"/>
  <c r="AB200" i="37" a="1"/>
  <c r="AB200" i="37" s="1"/>
  <c r="AB197" i="37" a="1"/>
  <c r="AB197" i="37" s="1"/>
  <c r="AB199" i="37" a="1"/>
  <c r="AB199" i="37" s="1"/>
  <c r="AB198" i="37" a="1"/>
  <c r="AB198" i="37" s="1"/>
  <c r="AA209" i="37"/>
  <c r="AA80" i="37"/>
  <c r="AA145" i="37"/>
  <c r="AB104" i="37" a="1"/>
  <c r="AB104" i="37" s="1"/>
  <c r="AB105" i="37" a="1"/>
  <c r="AB105" i="37" s="1"/>
  <c r="AB102" i="37" a="1"/>
  <c r="AB102" i="37" s="1"/>
  <c r="AB103" i="37" a="1"/>
  <c r="AB103" i="37" s="1"/>
  <c r="AB188" i="37" a="1"/>
  <c r="AB188" i="37" s="1"/>
  <c r="AB189" i="37" a="1"/>
  <c r="AB189" i="37" s="1"/>
  <c r="AB190" i="37" a="1"/>
  <c r="AB190" i="37" s="1"/>
  <c r="AB187" i="37" a="1"/>
  <c r="AB187" i="37" s="1"/>
  <c r="AA8" i="37"/>
  <c r="AB8" i="64" s="1"/>
  <c r="Z8" i="63"/>
  <c r="AA8" i="65" s="1"/>
  <c r="X8" i="18"/>
  <c r="AC7" i="63"/>
  <c r="AB33" i="38"/>
  <c r="AC5" i="64"/>
  <c r="AC5" i="65"/>
  <c r="AC7" i="18"/>
  <c r="AC6" i="18" s="1"/>
  <c r="AC36" i="65"/>
  <c r="AC35" i="65"/>
  <c r="AD6" i="65"/>
  <c r="AC29" i="65"/>
  <c r="AC12" i="65"/>
  <c r="AC14" i="65"/>
  <c r="AC25" i="65" s="1"/>
  <c r="AE10" i="60"/>
  <c r="AE9" i="60" s="1"/>
  <c r="AC34" i="38"/>
  <c r="AB29" i="18"/>
  <c r="AB18" i="18" s="1"/>
  <c r="AC34" i="64"/>
  <c r="AD6" i="64"/>
  <c r="AC35" i="64"/>
  <c r="AD7" i="37"/>
  <c r="AA77" i="63" l="1"/>
  <c r="AA144" i="63"/>
  <c r="AB145" i="37"/>
  <c r="AB123" i="63" a="1"/>
  <c r="AB123" i="63" s="1"/>
  <c r="AB124" i="63" a="1"/>
  <c r="AB124" i="63" s="1"/>
  <c r="AB125" i="63" a="1"/>
  <c r="AB125" i="63" s="1"/>
  <c r="AB122" i="63" a="1"/>
  <c r="AB122" i="63" s="1"/>
  <c r="AB47" i="63" a="1"/>
  <c r="AB47" i="63" s="1"/>
  <c r="AB50" i="63" a="1"/>
  <c r="AB50" i="63" s="1"/>
  <c r="AB48" i="63" a="1"/>
  <c r="AB48" i="63" s="1"/>
  <c r="AB49" i="63" a="1"/>
  <c r="AB49" i="63" s="1"/>
  <c r="AB204" i="63"/>
  <c r="AB160" i="63" a="1"/>
  <c r="AB160" i="63" s="1"/>
  <c r="AB158" i="63" a="1"/>
  <c r="AB158" i="63" s="1"/>
  <c r="AB159" i="63" a="1"/>
  <c r="AB159" i="63" s="1"/>
  <c r="AB157" i="63" a="1"/>
  <c r="AB157" i="63" s="1"/>
  <c r="AB112" i="63" a="1"/>
  <c r="AB112" i="63" s="1"/>
  <c r="AB114" i="63" a="1"/>
  <c r="AB114" i="63" s="1"/>
  <c r="AB113" i="63" a="1"/>
  <c r="AB113" i="63" s="1"/>
  <c r="AB115" i="63" a="1"/>
  <c r="AB115" i="63" s="1"/>
  <c r="AB37" i="63" a="1"/>
  <c r="AB37" i="63" s="1"/>
  <c r="AB39" i="63" a="1"/>
  <c r="AB39" i="63" s="1"/>
  <c r="AB38" i="63" a="1"/>
  <c r="AB38" i="63" s="1"/>
  <c r="AB40" i="63" a="1"/>
  <c r="AB40" i="63" s="1"/>
  <c r="AC194" i="63"/>
  <c r="AC184" i="63"/>
  <c r="AC174" i="63"/>
  <c r="AC164" i="63"/>
  <c r="AC154" i="63"/>
  <c r="AC109" i="63"/>
  <c r="AC99" i="63"/>
  <c r="AC129" i="63"/>
  <c r="AC89" i="63"/>
  <c r="AC64" i="63"/>
  <c r="AC54" i="63"/>
  <c r="AC119" i="63"/>
  <c r="AC44" i="63"/>
  <c r="AC24" i="63"/>
  <c r="AC34" i="63"/>
  <c r="AB58" i="63" a="1"/>
  <c r="AB58" i="63" s="1"/>
  <c r="AB60" i="63" a="1"/>
  <c r="AB60" i="63" s="1"/>
  <c r="AB57" i="63" a="1"/>
  <c r="AB57" i="63" s="1"/>
  <c r="AB59" i="63" a="1"/>
  <c r="AB59" i="63" s="1"/>
  <c r="AB170" i="63" a="1"/>
  <c r="AB170" i="63" s="1"/>
  <c r="AB168" i="63" a="1"/>
  <c r="AB168" i="63" s="1"/>
  <c r="AB169" i="63" a="1"/>
  <c r="AB169" i="63" s="1"/>
  <c r="AB167" i="63" a="1"/>
  <c r="AB167" i="63" s="1"/>
  <c r="AA207" i="63"/>
  <c r="AB74" i="63"/>
  <c r="AB30" i="63" a="1"/>
  <c r="AB30" i="63" s="1"/>
  <c r="AB27" i="63" a="1"/>
  <c r="AB27" i="63" s="1"/>
  <c r="AB29" i="63" a="1"/>
  <c r="AB29" i="63" s="1"/>
  <c r="AB28" i="63" a="1"/>
  <c r="AB28" i="63" s="1"/>
  <c r="AB178" i="63" a="1"/>
  <c r="AB178" i="63" s="1"/>
  <c r="AB177" i="63" a="1"/>
  <c r="AB177" i="63" s="1"/>
  <c r="AB180" i="63" a="1"/>
  <c r="AB180" i="63" s="1"/>
  <c r="AB179" i="63" a="1"/>
  <c r="AB179" i="63" s="1"/>
  <c r="AA78" i="63"/>
  <c r="AB139" i="63"/>
  <c r="AB93" i="63" a="1"/>
  <c r="AB93" i="63" s="1"/>
  <c r="AB94" i="63" a="1"/>
  <c r="AB94" i="63" s="1"/>
  <c r="AB92" i="63" a="1"/>
  <c r="AB92" i="63" s="1"/>
  <c r="AB95" i="63" a="1"/>
  <c r="AB95" i="63" s="1"/>
  <c r="AB190" i="63" a="1"/>
  <c r="AB190" i="63" s="1"/>
  <c r="AB188" i="63" a="1"/>
  <c r="AB188" i="63" s="1"/>
  <c r="AB189" i="63" a="1"/>
  <c r="AB189" i="63" s="1"/>
  <c r="AB187" i="63" a="1"/>
  <c r="AB187" i="63" s="1"/>
  <c r="AA142" i="63"/>
  <c r="AA210" i="63"/>
  <c r="AB67" i="63" a="1"/>
  <c r="AB67" i="63" s="1"/>
  <c r="AB69" i="63" a="1"/>
  <c r="AB69" i="63" s="1"/>
  <c r="AB68" i="63" a="1"/>
  <c r="AB68" i="63" s="1"/>
  <c r="AB70" i="63" a="1"/>
  <c r="AB70" i="63" s="1"/>
  <c r="AA208" i="63"/>
  <c r="AA80" i="63"/>
  <c r="AB133" i="63" a="1"/>
  <c r="AB133" i="63" s="1"/>
  <c r="AB134" i="63" a="1"/>
  <c r="AB134" i="63" s="1"/>
  <c r="AB135" i="63" a="1"/>
  <c r="AB135" i="63" s="1"/>
  <c r="AB132" i="63" a="1"/>
  <c r="AB132" i="63" s="1"/>
  <c r="AB197" i="63" a="1"/>
  <c r="AB197" i="63" s="1"/>
  <c r="AB199" i="63" a="1"/>
  <c r="AB199" i="63" s="1"/>
  <c r="AB200" i="63" a="1"/>
  <c r="AB200" i="63" s="1"/>
  <c r="AB198" i="63" a="1"/>
  <c r="AB198" i="63" s="1"/>
  <c r="AA143" i="63"/>
  <c r="AA209" i="63"/>
  <c r="AA79" i="63"/>
  <c r="AB104" i="63" a="1"/>
  <c r="AB104" i="63" s="1"/>
  <c r="AB105" i="63" a="1"/>
  <c r="AB105" i="63" s="1"/>
  <c r="AB103" i="63" a="1"/>
  <c r="AB103" i="63" s="1"/>
  <c r="AB102" i="63" a="1"/>
  <c r="AB102" i="63" s="1"/>
  <c r="AA145" i="63"/>
  <c r="AB207" i="37"/>
  <c r="AB80" i="37"/>
  <c r="AB209" i="37"/>
  <c r="AB79" i="37"/>
  <c r="AC49" i="37" a="1"/>
  <c r="AC49" i="37" s="1"/>
  <c r="AC47" i="37" a="1"/>
  <c r="AC47" i="37" s="1"/>
  <c r="AC50" i="37" a="1"/>
  <c r="AC50" i="37" s="1"/>
  <c r="AC48" i="37" a="1"/>
  <c r="AC48" i="37" s="1"/>
  <c r="AC125" i="37" a="1"/>
  <c r="AC125" i="37" s="1"/>
  <c r="AC123" i="37" a="1"/>
  <c r="AC123" i="37" s="1"/>
  <c r="AC124" i="37" a="1"/>
  <c r="AC124" i="37" s="1"/>
  <c r="AC122" i="37" a="1"/>
  <c r="AC122" i="37" s="1"/>
  <c r="AB208" i="37"/>
  <c r="AB78" i="37"/>
  <c r="AC74" i="37"/>
  <c r="AC28" i="37" a="1"/>
  <c r="AC28" i="37" s="1"/>
  <c r="AC29" i="37" a="1"/>
  <c r="AC29" i="37" s="1"/>
  <c r="AC30" i="37" a="1"/>
  <c r="AC30" i="37" s="1"/>
  <c r="AC27" i="37" a="1"/>
  <c r="AC27" i="37" s="1"/>
  <c r="AC135" i="37" a="1"/>
  <c r="AC135" i="37" s="1"/>
  <c r="AC132" i="37" a="1"/>
  <c r="AC132" i="37" s="1"/>
  <c r="AC134" i="37" a="1"/>
  <c r="AC134" i="37" s="1"/>
  <c r="AC133" i="37" a="1"/>
  <c r="AC133" i="37" s="1"/>
  <c r="AB210" i="37"/>
  <c r="AB77" i="37"/>
  <c r="AC39" i="37" a="1"/>
  <c r="AC39" i="37" s="1"/>
  <c r="AC40" i="37" a="1"/>
  <c r="AC40" i="37" s="1"/>
  <c r="AC37" i="37" a="1"/>
  <c r="AC37" i="37" s="1"/>
  <c r="AC38" i="37" a="1"/>
  <c r="AC38" i="37" s="1"/>
  <c r="AC204" i="37"/>
  <c r="AC160" i="37" a="1"/>
  <c r="AC160" i="37" s="1"/>
  <c r="AC158" i="37" a="1"/>
  <c r="AC158" i="37" s="1"/>
  <c r="AC157" i="37" a="1"/>
  <c r="AC157" i="37" s="1"/>
  <c r="AC159" i="37" a="1"/>
  <c r="AC159" i="37" s="1"/>
  <c r="AD194" i="37"/>
  <c r="AD184" i="37"/>
  <c r="AD174" i="37"/>
  <c r="AD164" i="37"/>
  <c r="AD154" i="37"/>
  <c r="AD129" i="37"/>
  <c r="AD119" i="37"/>
  <c r="AD109" i="37"/>
  <c r="AD99" i="37"/>
  <c r="AD89" i="37"/>
  <c r="AD64" i="37"/>
  <c r="AD24" i="37"/>
  <c r="AD54" i="37"/>
  <c r="AD44" i="37"/>
  <c r="AD34" i="37"/>
  <c r="AC59" i="37" a="1"/>
  <c r="AC59" i="37" s="1"/>
  <c r="AC60" i="37" a="1"/>
  <c r="AC60" i="37" s="1"/>
  <c r="AC57" i="37" a="1"/>
  <c r="AC57" i="37" s="1"/>
  <c r="AC58" i="37" a="1"/>
  <c r="AC58" i="37" s="1"/>
  <c r="AC167" i="37" a="1"/>
  <c r="AC167" i="37" s="1"/>
  <c r="AC168" i="37" a="1"/>
  <c r="AC168" i="37" s="1"/>
  <c r="AC169" i="37" a="1"/>
  <c r="AC169" i="37" s="1"/>
  <c r="AC170" i="37" a="1"/>
  <c r="AC170" i="37" s="1"/>
  <c r="AC114" i="37" a="1"/>
  <c r="AC114" i="37" s="1"/>
  <c r="AC112" i="37" a="1"/>
  <c r="AC112" i="37" s="1"/>
  <c r="AC115" i="37" a="1"/>
  <c r="AC115" i="37" s="1"/>
  <c r="AC113" i="37" a="1"/>
  <c r="AC113" i="37" s="1"/>
  <c r="AB144" i="37"/>
  <c r="AC69" i="37" a="1"/>
  <c r="AC69" i="37" s="1"/>
  <c r="AC70" i="37" a="1"/>
  <c r="AC70" i="37" s="1"/>
  <c r="AC67" i="37" a="1"/>
  <c r="AC67" i="37" s="1"/>
  <c r="AC68" i="37" a="1"/>
  <c r="AC68" i="37" s="1"/>
  <c r="AC178" i="37" a="1"/>
  <c r="AC178" i="37" s="1"/>
  <c r="AC180" i="37" a="1"/>
  <c r="AC180" i="37" s="1"/>
  <c r="AC179" i="37" a="1"/>
  <c r="AC179" i="37" s="1"/>
  <c r="AC177" i="37" a="1"/>
  <c r="AC177" i="37" s="1"/>
  <c r="AB142" i="37"/>
  <c r="AC139" i="37"/>
  <c r="AC95" i="37" a="1"/>
  <c r="AC95" i="37" s="1"/>
  <c r="AC92" i="37" a="1"/>
  <c r="AC92" i="37" s="1"/>
  <c r="AC94" i="37" a="1"/>
  <c r="AC94" i="37" s="1"/>
  <c r="AC93" i="37" a="1"/>
  <c r="AC93" i="37" s="1"/>
  <c r="AC197" i="37" a="1"/>
  <c r="AC197" i="37" s="1"/>
  <c r="AC198" i="37" a="1"/>
  <c r="AC198" i="37" s="1"/>
  <c r="AC200" i="37" a="1"/>
  <c r="AC200" i="37" s="1"/>
  <c r="AC199" i="37" a="1"/>
  <c r="AC199" i="37" s="1"/>
  <c r="AB143" i="37"/>
  <c r="AC105" i="37" a="1"/>
  <c r="AC105" i="37" s="1"/>
  <c r="AC102" i="37" a="1"/>
  <c r="AC102" i="37" s="1"/>
  <c r="AC103" i="37" a="1"/>
  <c r="AC103" i="37" s="1"/>
  <c r="AC104" i="37" a="1"/>
  <c r="AC104" i="37" s="1"/>
  <c r="AC189" i="37" a="1"/>
  <c r="AC189" i="37" s="1"/>
  <c r="AC190" i="37" a="1"/>
  <c r="AC190" i="37" s="1"/>
  <c r="AC187" i="37" a="1"/>
  <c r="AC187" i="37" s="1"/>
  <c r="AC188" i="37" a="1"/>
  <c r="AC188" i="37" s="1"/>
  <c r="AB8" i="37"/>
  <c r="AC8" i="64" s="1"/>
  <c r="Y8" i="18"/>
  <c r="AA8" i="63"/>
  <c r="AB8" i="65" s="1"/>
  <c r="AD7" i="63"/>
  <c r="AC33" i="38"/>
  <c r="AD5" i="64"/>
  <c r="AD5" i="65"/>
  <c r="AD7" i="18"/>
  <c r="AD6" i="18" s="1"/>
  <c r="AD29" i="65"/>
  <c r="AD36" i="65"/>
  <c r="AD14" i="65"/>
  <c r="AD25" i="65" s="1"/>
  <c r="AD35" i="65"/>
  <c r="AE6" i="65"/>
  <c r="AD12" i="65"/>
  <c r="AF10" i="60"/>
  <c r="AF9" i="60" s="1"/>
  <c r="AD34" i="38"/>
  <c r="AC29" i="18"/>
  <c r="AC18" i="18" s="1"/>
  <c r="AD34" i="64"/>
  <c r="AD35" i="64"/>
  <c r="AE6" i="64"/>
  <c r="AE7" i="37"/>
  <c r="AB80" i="63" l="1"/>
  <c r="AC67" i="63" a="1"/>
  <c r="AC67" i="63" s="1"/>
  <c r="AC69" i="63" a="1"/>
  <c r="AC69" i="63" s="1"/>
  <c r="AC68" i="63" a="1"/>
  <c r="AC68" i="63" s="1"/>
  <c r="AC70" i="63" a="1"/>
  <c r="AC70" i="63" s="1"/>
  <c r="AC199" i="63" a="1"/>
  <c r="AC199" i="63" s="1"/>
  <c r="AC197" i="63" a="1"/>
  <c r="AC197" i="63" s="1"/>
  <c r="AC200" i="63" a="1"/>
  <c r="AC200" i="63" s="1"/>
  <c r="AC198" i="63" a="1"/>
  <c r="AC198" i="63" s="1"/>
  <c r="AD194" i="63"/>
  <c r="AD184" i="63"/>
  <c r="AD154" i="63"/>
  <c r="AD164" i="63"/>
  <c r="AD174" i="63"/>
  <c r="AD129" i="63"/>
  <c r="AD89" i="63"/>
  <c r="AD99" i="63"/>
  <c r="AD109" i="63"/>
  <c r="AD119" i="63"/>
  <c r="AD64" i="63"/>
  <c r="AD54" i="63"/>
  <c r="AD44" i="63"/>
  <c r="AD34" i="63"/>
  <c r="AD24" i="63"/>
  <c r="AC133" i="63" a="1"/>
  <c r="AC133" i="63" s="1"/>
  <c r="AC135" i="63" a="1"/>
  <c r="AC135" i="63" s="1"/>
  <c r="AC134" i="63" a="1"/>
  <c r="AC134" i="63" s="1"/>
  <c r="AC132" i="63" a="1"/>
  <c r="AC132" i="63" s="1"/>
  <c r="AB207" i="63"/>
  <c r="AC187" i="63" a="1"/>
  <c r="AC187" i="63" s="1"/>
  <c r="AC188" i="63" a="1"/>
  <c r="AC188" i="63" s="1"/>
  <c r="AC190" i="63" a="1"/>
  <c r="AC190" i="63" s="1"/>
  <c r="AC189" i="63" a="1"/>
  <c r="AC189" i="63" s="1"/>
  <c r="AB145" i="63"/>
  <c r="AC38" i="63" a="1"/>
  <c r="AC38" i="63" s="1"/>
  <c r="AC40" i="63" a="1"/>
  <c r="AC40" i="63" s="1"/>
  <c r="AC39" i="63" a="1"/>
  <c r="AC39" i="63" s="1"/>
  <c r="AC37" i="63" a="1"/>
  <c r="AC37" i="63" s="1"/>
  <c r="AC102" i="63" a="1"/>
  <c r="AC102" i="63" s="1"/>
  <c r="AC105" i="63" a="1"/>
  <c r="AC105" i="63" s="1"/>
  <c r="AC103" i="63" a="1"/>
  <c r="AC103" i="63" s="1"/>
  <c r="AC104" i="63" a="1"/>
  <c r="AC104" i="63" s="1"/>
  <c r="AB209" i="63"/>
  <c r="AC139" i="63"/>
  <c r="AC94" i="63" a="1"/>
  <c r="AC94" i="63" s="1"/>
  <c r="AC92" i="63" a="1"/>
  <c r="AC92" i="63" s="1"/>
  <c r="AC95" i="63" a="1"/>
  <c r="AC95" i="63" s="1"/>
  <c r="AC93" i="63" a="1"/>
  <c r="AC93" i="63" s="1"/>
  <c r="AB142" i="63"/>
  <c r="AC74" i="63"/>
  <c r="AC29" i="63" a="1"/>
  <c r="AC29" i="63" s="1"/>
  <c r="AC28" i="63" a="1"/>
  <c r="AC28" i="63" s="1"/>
  <c r="AC27" i="63" a="1"/>
  <c r="AC27" i="63" s="1"/>
  <c r="AC30" i="63" a="1"/>
  <c r="AC30" i="63" s="1"/>
  <c r="AC112" i="63" a="1"/>
  <c r="AC112" i="63" s="1"/>
  <c r="AC113" i="63" a="1"/>
  <c r="AC113" i="63" s="1"/>
  <c r="AC114" i="63" a="1"/>
  <c r="AC114" i="63" s="1"/>
  <c r="AC115" i="63" a="1"/>
  <c r="AC115" i="63" s="1"/>
  <c r="AB208" i="63"/>
  <c r="AC142" i="37"/>
  <c r="AC209" i="37"/>
  <c r="AC80" i="37"/>
  <c r="AB144" i="63"/>
  <c r="AB78" i="63"/>
  <c r="AC50" i="63" a="1"/>
  <c r="AC50" i="63" s="1"/>
  <c r="AC48" i="63" a="1"/>
  <c r="AC48" i="63" s="1"/>
  <c r="AC49" i="63" a="1"/>
  <c r="AC49" i="63" s="1"/>
  <c r="AC47" i="63" a="1"/>
  <c r="AC47" i="63" s="1"/>
  <c r="AC204" i="63"/>
  <c r="AC159" i="63" a="1"/>
  <c r="AC159" i="63" s="1"/>
  <c r="AC160" i="63" a="1"/>
  <c r="AC160" i="63" s="1"/>
  <c r="AC157" i="63" a="1"/>
  <c r="AC157" i="63" s="1"/>
  <c r="AC158" i="63" a="1"/>
  <c r="AC158" i="63" s="1"/>
  <c r="AB210" i="63"/>
  <c r="AB143" i="63"/>
  <c r="AB79" i="63"/>
  <c r="AC123" i="63" a="1"/>
  <c r="AC123" i="63" s="1"/>
  <c r="AC122" i="63" a="1"/>
  <c r="AC122" i="63" s="1"/>
  <c r="AC124" i="63" a="1"/>
  <c r="AC124" i="63" s="1"/>
  <c r="AC125" i="63" a="1"/>
  <c r="AC125" i="63" s="1"/>
  <c r="AC169" i="63" a="1"/>
  <c r="AC169" i="63" s="1"/>
  <c r="AC167" i="63" a="1"/>
  <c r="AC167" i="63" s="1"/>
  <c r="AC168" i="63" a="1"/>
  <c r="AC168" i="63" s="1"/>
  <c r="AC170" i="63" a="1"/>
  <c r="AC170" i="63" s="1"/>
  <c r="AB77" i="63"/>
  <c r="AC58" i="63" a="1"/>
  <c r="AC58" i="63" s="1"/>
  <c r="AC59" i="63" a="1"/>
  <c r="AC59" i="63" s="1"/>
  <c r="AC57" i="63" a="1"/>
  <c r="AC57" i="63" s="1"/>
  <c r="AC60" i="63" a="1"/>
  <c r="AC60" i="63" s="1"/>
  <c r="AC179" i="63" a="1"/>
  <c r="AC179" i="63" s="1"/>
  <c r="AC178" i="63" a="1"/>
  <c r="AC178" i="63" s="1"/>
  <c r="AC180" i="63" a="1"/>
  <c r="AC180" i="63" s="1"/>
  <c r="AC177" i="63" a="1"/>
  <c r="AC177" i="63" s="1"/>
  <c r="AC145" i="37"/>
  <c r="AD40" i="37" a="1"/>
  <c r="AD40" i="37" s="1"/>
  <c r="AD37" i="37" a="1"/>
  <c r="AD37" i="37" s="1"/>
  <c r="AD38" i="37" a="1"/>
  <c r="AD38" i="37" s="1"/>
  <c r="AD39" i="37" a="1"/>
  <c r="AD39" i="37" s="1"/>
  <c r="AD124" i="37" a="1"/>
  <c r="AD124" i="37" s="1"/>
  <c r="AD122" i="37" a="1"/>
  <c r="AD122" i="37" s="1"/>
  <c r="AD125" i="37" a="1"/>
  <c r="AD125" i="37" s="1"/>
  <c r="AD123" i="37" a="1"/>
  <c r="AD123" i="37" s="1"/>
  <c r="AC207" i="37"/>
  <c r="AC79" i="37"/>
  <c r="AD49" i="37" a="1"/>
  <c r="AD49" i="37" s="1"/>
  <c r="AD47" i="37" a="1"/>
  <c r="AD47" i="37" s="1"/>
  <c r="AD48" i="37" a="1"/>
  <c r="AD48" i="37" s="1"/>
  <c r="AD50" i="37" a="1"/>
  <c r="AD50" i="37" s="1"/>
  <c r="AD133" i="37" a="1"/>
  <c r="AD133" i="37" s="1"/>
  <c r="AD135" i="37" a="1"/>
  <c r="AD135" i="37" s="1"/>
  <c r="AD132" i="37" a="1"/>
  <c r="AD132" i="37" s="1"/>
  <c r="AD134" i="37" a="1"/>
  <c r="AD134" i="37" s="1"/>
  <c r="AC208" i="37"/>
  <c r="AC78" i="37"/>
  <c r="AD115" i="37" a="1"/>
  <c r="AD115" i="37" s="1"/>
  <c r="AD113" i="37" a="1"/>
  <c r="AD113" i="37" s="1"/>
  <c r="AD112" i="37" a="1"/>
  <c r="AD112" i="37" s="1"/>
  <c r="AD114" i="37" a="1"/>
  <c r="AD114" i="37" s="1"/>
  <c r="AD60" i="37" a="1"/>
  <c r="AD60" i="37" s="1"/>
  <c r="AD57" i="37" a="1"/>
  <c r="AD57" i="37" s="1"/>
  <c r="AD58" i="37" a="1"/>
  <c r="AD58" i="37" s="1"/>
  <c r="AD59" i="37" a="1"/>
  <c r="AD59" i="37" s="1"/>
  <c r="AD204" i="37"/>
  <c r="AD158" i="37" a="1"/>
  <c r="AD158" i="37" s="1"/>
  <c r="AD160" i="37" a="1"/>
  <c r="AD160" i="37" s="1"/>
  <c r="AD157" i="37" a="1"/>
  <c r="AD157" i="37" s="1"/>
  <c r="AD159" i="37" a="1"/>
  <c r="AD159" i="37" s="1"/>
  <c r="AC210" i="37"/>
  <c r="AD74" i="37"/>
  <c r="AD29" i="37" a="1"/>
  <c r="AD29" i="37" s="1"/>
  <c r="AD30" i="37" a="1"/>
  <c r="AD30" i="37" s="1"/>
  <c r="AD27" i="37" a="1"/>
  <c r="AD27" i="37" s="1"/>
  <c r="AD28" i="37" a="1"/>
  <c r="AD28" i="37" s="1"/>
  <c r="AD169" i="37" a="1"/>
  <c r="AD169" i="37" s="1"/>
  <c r="AD167" i="37" a="1"/>
  <c r="AD167" i="37" s="1"/>
  <c r="AD170" i="37" a="1"/>
  <c r="AD170" i="37" s="1"/>
  <c r="AD168" i="37" a="1"/>
  <c r="AD168" i="37" s="1"/>
  <c r="AD70" i="37" a="1"/>
  <c r="AD70" i="37" s="1"/>
  <c r="AD67" i="37" a="1"/>
  <c r="AD67" i="37" s="1"/>
  <c r="AD68" i="37" a="1"/>
  <c r="AD68" i="37" s="1"/>
  <c r="AD69" i="37" a="1"/>
  <c r="AD69" i="37" s="1"/>
  <c r="AD180" i="37" a="1"/>
  <c r="AD180" i="37" s="1"/>
  <c r="AD177" i="37" a="1"/>
  <c r="AD177" i="37" s="1"/>
  <c r="AD179" i="37" a="1"/>
  <c r="AD179" i="37" s="1"/>
  <c r="AD178" i="37" a="1"/>
  <c r="AD178" i="37" s="1"/>
  <c r="AC143" i="37"/>
  <c r="AD139" i="37"/>
  <c r="AD95" i="37" a="1"/>
  <c r="AD95" i="37" s="1"/>
  <c r="AD92" i="37" a="1"/>
  <c r="AD92" i="37" s="1"/>
  <c r="AD94" i="37" a="1"/>
  <c r="AD94" i="37" s="1"/>
  <c r="AD93" i="37" a="1"/>
  <c r="AD93" i="37" s="1"/>
  <c r="AD190" i="37" a="1"/>
  <c r="AD190" i="37" s="1"/>
  <c r="AD187" i="37" a="1"/>
  <c r="AD187" i="37" s="1"/>
  <c r="AD188" i="37" a="1"/>
  <c r="AD188" i="37" s="1"/>
  <c r="AD189" i="37" a="1"/>
  <c r="AD189" i="37" s="1"/>
  <c r="AE194" i="37"/>
  <c r="AE184" i="37"/>
  <c r="AE174" i="37"/>
  <c r="AE164" i="37"/>
  <c r="AE154" i="37"/>
  <c r="AE129" i="37"/>
  <c r="AE119" i="37"/>
  <c r="AE109" i="37"/>
  <c r="AE99" i="37"/>
  <c r="AE89" i="37"/>
  <c r="AE64" i="37"/>
  <c r="AE54" i="37"/>
  <c r="AE44" i="37"/>
  <c r="AE34" i="37"/>
  <c r="AE24" i="37"/>
  <c r="AC144" i="37"/>
  <c r="AD102" i="37" a="1"/>
  <c r="AD102" i="37" s="1"/>
  <c r="AD103" i="37" a="1"/>
  <c r="AD103" i="37" s="1"/>
  <c r="AD104" i="37" a="1"/>
  <c r="AD104" i="37" s="1"/>
  <c r="AD105" i="37" a="1"/>
  <c r="AD105" i="37" s="1"/>
  <c r="AD198" i="37" a="1"/>
  <c r="AD198" i="37" s="1"/>
  <c r="AD199" i="37" a="1"/>
  <c r="AD199" i="37" s="1"/>
  <c r="AD197" i="37" a="1"/>
  <c r="AD197" i="37" s="1"/>
  <c r="AD200" i="37" a="1"/>
  <c r="AD200" i="37" s="1"/>
  <c r="AC77" i="37"/>
  <c r="AC8" i="37"/>
  <c r="AD8" i="64" s="1"/>
  <c r="Z8" i="18"/>
  <c r="AB8" i="63"/>
  <c r="AA8" i="18" s="1"/>
  <c r="AE7" i="63"/>
  <c r="AD33" i="38"/>
  <c r="AE5" i="64"/>
  <c r="AE5" i="65"/>
  <c r="AE7" i="18"/>
  <c r="AE6" i="18" s="1"/>
  <c r="AE35" i="65"/>
  <c r="AE29" i="65"/>
  <c r="AE14" i="65"/>
  <c r="AE25" i="65" s="1"/>
  <c r="AE12" i="65"/>
  <c r="AE36" i="65"/>
  <c r="AF6" i="65"/>
  <c r="AG10" i="60"/>
  <c r="AG9" i="60" s="1"/>
  <c r="AE34" i="38"/>
  <c r="AD29" i="18"/>
  <c r="AD18" i="18" s="1"/>
  <c r="AF6" i="64"/>
  <c r="AE34" i="64"/>
  <c r="AE35" i="64"/>
  <c r="AF7" i="37"/>
  <c r="AC208" i="63" l="1"/>
  <c r="AC207" i="63"/>
  <c r="AC143" i="63"/>
  <c r="AD74" i="63"/>
  <c r="AD27" i="63" a="1"/>
  <c r="AD27" i="63" s="1"/>
  <c r="AD30" i="63" a="1"/>
  <c r="AD30" i="63" s="1"/>
  <c r="AD28" i="63" a="1"/>
  <c r="AD28" i="63" s="1"/>
  <c r="AD29" i="63" a="1"/>
  <c r="AD29" i="63" s="1"/>
  <c r="AD139" i="63"/>
  <c r="AD93" i="63" a="1"/>
  <c r="AD93" i="63" s="1"/>
  <c r="AD94" i="63" a="1"/>
  <c r="AD94" i="63" s="1"/>
  <c r="AD95" i="63" a="1"/>
  <c r="AD95" i="63" s="1"/>
  <c r="AD92" i="63" a="1"/>
  <c r="AD92" i="63" s="1"/>
  <c r="AC210" i="63"/>
  <c r="AC145" i="63"/>
  <c r="AD38" i="63" a="1"/>
  <c r="AD38" i="63" s="1"/>
  <c r="AD40" i="63" a="1"/>
  <c r="AD40" i="63" s="1"/>
  <c r="AD37" i="63" a="1"/>
  <c r="AD37" i="63" s="1"/>
  <c r="AD39" i="63" a="1"/>
  <c r="AD39" i="63" s="1"/>
  <c r="AD135" i="63" a="1"/>
  <c r="AD135" i="63" s="1"/>
  <c r="AD134" i="63" a="1"/>
  <c r="AD134" i="63" s="1"/>
  <c r="AD132" i="63" a="1"/>
  <c r="AD132" i="63" s="1"/>
  <c r="AD133" i="63" a="1"/>
  <c r="AD133" i="63" s="1"/>
  <c r="AC209" i="63"/>
  <c r="AC80" i="63"/>
  <c r="AC142" i="63"/>
  <c r="AD49" i="63" a="1"/>
  <c r="AD49" i="63" s="1"/>
  <c r="AD47" i="63" a="1"/>
  <c r="AD47" i="63" s="1"/>
  <c r="AD50" i="63" a="1"/>
  <c r="AD50" i="63" s="1"/>
  <c r="AD48" i="63" a="1"/>
  <c r="AD48" i="63" s="1"/>
  <c r="AD178" i="63" a="1"/>
  <c r="AD178" i="63" s="1"/>
  <c r="AD179" i="63" a="1"/>
  <c r="AD179" i="63" s="1"/>
  <c r="AD177" i="63" a="1"/>
  <c r="AD177" i="63" s="1"/>
  <c r="AD180" i="63" a="1"/>
  <c r="AD180" i="63" s="1"/>
  <c r="AC77" i="63"/>
  <c r="AC144" i="63"/>
  <c r="AD60" i="63" a="1"/>
  <c r="AD60" i="63" s="1"/>
  <c r="AD57" i="63" a="1"/>
  <c r="AD57" i="63" s="1"/>
  <c r="AD58" i="63" a="1"/>
  <c r="AD58" i="63" s="1"/>
  <c r="AD59" i="63" a="1"/>
  <c r="AD59" i="63" s="1"/>
  <c r="AD167" i="63" a="1"/>
  <c r="AD167" i="63" s="1"/>
  <c r="AD170" i="63" a="1"/>
  <c r="AD170" i="63" s="1"/>
  <c r="AD168" i="63" a="1"/>
  <c r="AD168" i="63" s="1"/>
  <c r="AD169" i="63" a="1"/>
  <c r="AD169" i="63" s="1"/>
  <c r="AC78" i="63"/>
  <c r="AD70" i="63" a="1"/>
  <c r="AD70" i="63" s="1"/>
  <c r="AD67" i="63" a="1"/>
  <c r="AD67" i="63" s="1"/>
  <c r="AD68" i="63" a="1"/>
  <c r="AD68" i="63" s="1"/>
  <c r="AD69" i="63" a="1"/>
  <c r="AD69" i="63" s="1"/>
  <c r="AD204" i="63"/>
  <c r="AD157" i="63" a="1"/>
  <c r="AD157" i="63" s="1"/>
  <c r="AD158" i="63" a="1"/>
  <c r="AD158" i="63" s="1"/>
  <c r="AD159" i="63" a="1"/>
  <c r="AD159" i="63" s="1"/>
  <c r="AD160" i="63" a="1"/>
  <c r="AD160" i="63" s="1"/>
  <c r="AC79" i="63"/>
  <c r="AD123" i="63" a="1"/>
  <c r="AD123" i="63" s="1"/>
  <c r="AD124" i="63" a="1"/>
  <c r="AD124" i="63" s="1"/>
  <c r="AD125" i="63" a="1"/>
  <c r="AD125" i="63" s="1"/>
  <c r="AD122" i="63" a="1"/>
  <c r="AD122" i="63" s="1"/>
  <c r="AD187" i="63" a="1"/>
  <c r="AD187" i="63" s="1"/>
  <c r="AD188" i="63" a="1"/>
  <c r="AD188" i="63" s="1"/>
  <c r="AD189" i="63" a="1"/>
  <c r="AD189" i="63" s="1"/>
  <c r="AD190" i="63" a="1"/>
  <c r="AD190" i="63" s="1"/>
  <c r="AD103" i="63" a="1"/>
  <c r="AD103" i="63" s="1"/>
  <c r="AD102" i="63" a="1"/>
  <c r="AD102" i="63" s="1"/>
  <c r="AD105" i="63" a="1"/>
  <c r="AD105" i="63" s="1"/>
  <c r="AD104" i="63" a="1"/>
  <c r="AD104" i="63" s="1"/>
  <c r="AE194" i="63"/>
  <c r="AE184" i="63"/>
  <c r="AE174" i="63"/>
  <c r="AE154" i="63"/>
  <c r="AE164" i="63"/>
  <c r="AE129" i="63"/>
  <c r="AE119" i="63"/>
  <c r="AE99" i="63"/>
  <c r="AE109" i="63"/>
  <c r="AE89" i="63"/>
  <c r="AE54" i="63"/>
  <c r="AE44" i="63"/>
  <c r="AE34" i="63"/>
  <c r="AE24" i="63"/>
  <c r="AE64" i="63"/>
  <c r="AD112" i="63" a="1"/>
  <c r="AD112" i="63" s="1"/>
  <c r="AD113" i="63" a="1"/>
  <c r="AD113" i="63" s="1"/>
  <c r="AD114" i="63" a="1"/>
  <c r="AD114" i="63" s="1"/>
  <c r="AD115" i="63" a="1"/>
  <c r="AD115" i="63" s="1"/>
  <c r="AD197" i="63" a="1"/>
  <c r="AD197" i="63" s="1"/>
  <c r="AD200" i="63" a="1"/>
  <c r="AD200" i="63" s="1"/>
  <c r="AD198" i="63" a="1"/>
  <c r="AD198" i="63" s="1"/>
  <c r="AD199" i="63" a="1"/>
  <c r="AD199" i="63" s="1"/>
  <c r="AD142" i="37"/>
  <c r="AD78" i="37"/>
  <c r="AD210" i="37"/>
  <c r="AE103" i="37" a="1"/>
  <c r="AE103" i="37" s="1"/>
  <c r="AE104" i="37" a="1"/>
  <c r="AE104" i="37" s="1"/>
  <c r="AE105" i="37" a="1"/>
  <c r="AE105" i="37" s="1"/>
  <c r="AE102" i="37" a="1"/>
  <c r="AE102" i="37" s="1"/>
  <c r="AE199" i="37" a="1"/>
  <c r="AE199" i="37" s="1"/>
  <c r="AE200" i="37" a="1"/>
  <c r="AE200" i="37" s="1"/>
  <c r="AE198" i="37" a="1"/>
  <c r="AE198" i="37" s="1"/>
  <c r="AE197" i="37" a="1"/>
  <c r="AE197" i="37" s="1"/>
  <c r="AD145" i="37"/>
  <c r="AD77" i="37"/>
  <c r="AD208" i="37"/>
  <c r="AE190" i="37" a="1"/>
  <c r="AE190" i="37" s="1"/>
  <c r="AE187" i="37" a="1"/>
  <c r="AE187" i="37" s="1"/>
  <c r="AE188" i="37" a="1"/>
  <c r="AE188" i="37" s="1"/>
  <c r="AE189" i="37" a="1"/>
  <c r="AE189" i="37" s="1"/>
  <c r="AE112" i="37" a="1"/>
  <c r="AE112" i="37" s="1"/>
  <c r="AE114" i="37" a="1"/>
  <c r="AE114" i="37" s="1"/>
  <c r="AE115" i="37" a="1"/>
  <c r="AE115" i="37" s="1"/>
  <c r="AE113" i="37" a="1"/>
  <c r="AE113" i="37" s="1"/>
  <c r="AD80" i="37"/>
  <c r="AE74" i="37"/>
  <c r="AE30" i="37" a="1"/>
  <c r="AE30" i="37" s="1"/>
  <c r="AE27" i="37" a="1"/>
  <c r="AE27" i="37" s="1"/>
  <c r="AE28" i="37" a="1"/>
  <c r="AE28" i="37" s="1"/>
  <c r="AE29" i="37" a="1"/>
  <c r="AE29" i="37" s="1"/>
  <c r="AE124" i="37" a="1"/>
  <c r="AE124" i="37" s="1"/>
  <c r="AE122" i="37" a="1"/>
  <c r="AE122" i="37" s="1"/>
  <c r="AE125" i="37" a="1"/>
  <c r="AE125" i="37" s="1"/>
  <c r="AE123" i="37" a="1"/>
  <c r="AE123" i="37" s="1"/>
  <c r="AD79" i="37"/>
  <c r="AE139" i="37"/>
  <c r="AE95" i="37" a="1"/>
  <c r="AE95" i="37" s="1"/>
  <c r="AE92" i="37" a="1"/>
  <c r="AE92" i="37" s="1"/>
  <c r="AE94" i="37" a="1"/>
  <c r="AE94" i="37" s="1"/>
  <c r="AE93" i="37" a="1"/>
  <c r="AE93" i="37" s="1"/>
  <c r="AE37" i="37" a="1"/>
  <c r="AE37" i="37" s="1"/>
  <c r="AE38" i="37" a="1"/>
  <c r="AE38" i="37" s="1"/>
  <c r="AE39" i="37" a="1"/>
  <c r="AE39" i="37" s="1"/>
  <c r="AE40" i="37" a="1"/>
  <c r="AE40" i="37" s="1"/>
  <c r="AE133" i="37" a="1"/>
  <c r="AE133" i="37" s="1"/>
  <c r="AE132" i="37" a="1"/>
  <c r="AE132" i="37" s="1"/>
  <c r="AE135" i="37" a="1"/>
  <c r="AE135" i="37" s="1"/>
  <c r="AE134" i="37" a="1"/>
  <c r="AE134" i="37" s="1"/>
  <c r="AE47" i="37" a="1"/>
  <c r="AE47" i="37" s="1"/>
  <c r="AE48" i="37" a="1"/>
  <c r="AE48" i="37" s="1"/>
  <c r="AE50" i="37" a="1"/>
  <c r="AE50" i="37" s="1"/>
  <c r="AE49" i="37" a="1"/>
  <c r="AE49" i="37" s="1"/>
  <c r="AE204" i="37"/>
  <c r="AE160" i="37" a="1"/>
  <c r="AE160" i="37" s="1"/>
  <c r="AE159" i="37" a="1"/>
  <c r="AE159" i="37" s="1"/>
  <c r="AE157" i="37" a="1"/>
  <c r="AE157" i="37" s="1"/>
  <c r="AE158" i="37" a="1"/>
  <c r="AE158" i="37" s="1"/>
  <c r="AE57" i="37" a="1"/>
  <c r="AE57" i="37" s="1"/>
  <c r="AE58" i="37" a="1"/>
  <c r="AE58" i="37" s="1"/>
  <c r="AE59" i="37" a="1"/>
  <c r="AE59" i="37" s="1"/>
  <c r="AE60" i="37" a="1"/>
  <c r="AE60" i="37" s="1"/>
  <c r="AE167" i="37" a="1"/>
  <c r="AE167" i="37" s="1"/>
  <c r="AE168" i="37" a="1"/>
  <c r="AE168" i="37" s="1"/>
  <c r="AE169" i="37" a="1"/>
  <c r="AE169" i="37" s="1"/>
  <c r="AE170" i="37" a="1"/>
  <c r="AE170" i="37" s="1"/>
  <c r="AD143" i="37"/>
  <c r="AD209" i="37"/>
  <c r="AF194" i="37"/>
  <c r="AF184" i="37"/>
  <c r="AF174" i="37"/>
  <c r="AF164" i="37"/>
  <c r="AF154" i="37"/>
  <c r="AF129" i="37"/>
  <c r="AF119" i="37"/>
  <c r="AF109" i="37"/>
  <c r="AF99" i="37"/>
  <c r="AF64" i="37"/>
  <c r="AF89" i="37"/>
  <c r="AF54" i="37"/>
  <c r="AF44" i="37"/>
  <c r="AF34" i="37"/>
  <c r="AF24" i="37"/>
  <c r="AE67" i="37" a="1"/>
  <c r="AE67" i="37" s="1"/>
  <c r="AE68" i="37" a="1"/>
  <c r="AE68" i="37" s="1"/>
  <c r="AE69" i="37" a="1"/>
  <c r="AE69" i="37" s="1"/>
  <c r="AE70" i="37" a="1"/>
  <c r="AE70" i="37" s="1"/>
  <c r="AE180" i="37" a="1"/>
  <c r="AE180" i="37" s="1"/>
  <c r="AE177" i="37" a="1"/>
  <c r="AE177" i="37" s="1"/>
  <c r="AE179" i="37" a="1"/>
  <c r="AE179" i="37" s="1"/>
  <c r="AE178" i="37" a="1"/>
  <c r="AE178" i="37" s="1"/>
  <c r="AD144" i="37"/>
  <c r="AD207" i="37"/>
  <c r="AD8" i="37"/>
  <c r="AE8" i="64" s="1"/>
  <c r="AC8" i="65"/>
  <c r="AC8" i="63"/>
  <c r="AD8" i="65" s="1"/>
  <c r="AF7" i="63"/>
  <c r="AE33" i="38"/>
  <c r="AF5" i="64"/>
  <c r="AF5" i="65"/>
  <c r="AF7" i="18"/>
  <c r="AF6" i="18" s="1"/>
  <c r="AF14" i="65"/>
  <c r="AF25" i="65" s="1"/>
  <c r="AF35" i="65"/>
  <c r="AF12" i="65"/>
  <c r="AG6" i="65"/>
  <c r="AF36" i="65"/>
  <c r="AF29" i="65"/>
  <c r="AH10" i="60"/>
  <c r="AH9" i="60" s="1"/>
  <c r="AF34" i="38"/>
  <c r="AE29" i="18"/>
  <c r="AE18" i="18" s="1"/>
  <c r="AG6" i="64"/>
  <c r="AF35" i="64"/>
  <c r="AF34" i="64"/>
  <c r="AG7" i="37"/>
  <c r="AD210" i="63" l="1"/>
  <c r="AF194" i="63"/>
  <c r="AF184" i="63"/>
  <c r="AF174" i="63"/>
  <c r="AF164" i="63"/>
  <c r="AF154" i="63"/>
  <c r="AF129" i="63"/>
  <c r="AF119" i="63"/>
  <c r="AF99" i="63"/>
  <c r="AF109" i="63"/>
  <c r="AF89" i="63"/>
  <c r="AF44" i="63"/>
  <c r="AF34" i="63"/>
  <c r="AF24" i="63"/>
  <c r="AF64" i="63"/>
  <c r="AF54" i="63"/>
  <c r="AE40" i="63" a="1"/>
  <c r="AE40" i="63" s="1"/>
  <c r="AE38" i="63" a="1"/>
  <c r="AE38" i="63" s="1"/>
  <c r="AE37" i="63" a="1"/>
  <c r="AE37" i="63" s="1"/>
  <c r="AE39" i="63" a="1"/>
  <c r="AE39" i="63" s="1"/>
  <c r="AE167" i="63" a="1"/>
  <c r="AE167" i="63" s="1"/>
  <c r="AE169" i="63" a="1"/>
  <c r="AE169" i="63" s="1"/>
  <c r="AE168" i="63" a="1"/>
  <c r="AE168" i="63" s="1"/>
  <c r="AE170" i="63" a="1"/>
  <c r="AE170" i="63" s="1"/>
  <c r="AD79" i="63"/>
  <c r="AE133" i="63" a="1"/>
  <c r="AE133" i="63" s="1"/>
  <c r="AE132" i="63" a="1"/>
  <c r="AE132" i="63" s="1"/>
  <c r="AE134" i="63" a="1"/>
  <c r="AE134" i="63" s="1"/>
  <c r="AE135" i="63" a="1"/>
  <c r="AE135" i="63" s="1"/>
  <c r="AE49" i="63" a="1"/>
  <c r="AE49" i="63" s="1"/>
  <c r="AE47" i="63" a="1"/>
  <c r="AE47" i="63" s="1"/>
  <c r="AE48" i="63" a="1"/>
  <c r="AE48" i="63" s="1"/>
  <c r="AE50" i="63" a="1"/>
  <c r="AE50" i="63" s="1"/>
  <c r="AE204" i="63"/>
  <c r="AE159" i="63" a="1"/>
  <c r="AE159" i="63" s="1"/>
  <c r="AE160" i="63" a="1"/>
  <c r="AE160" i="63" s="1"/>
  <c r="AE158" i="63" a="1"/>
  <c r="AE158" i="63" s="1"/>
  <c r="AE157" i="63" a="1"/>
  <c r="AE157" i="63" s="1"/>
  <c r="AD78" i="63"/>
  <c r="AE74" i="63"/>
  <c r="AE29" i="63" a="1"/>
  <c r="AE29" i="63" s="1"/>
  <c r="AE30" i="63" a="1"/>
  <c r="AE30" i="63" s="1"/>
  <c r="AE27" i="63" a="1"/>
  <c r="AE27" i="63" s="1"/>
  <c r="AE28" i="63" a="1"/>
  <c r="AE28" i="63" s="1"/>
  <c r="AE57" i="63" a="1"/>
  <c r="AE57" i="63" s="1"/>
  <c r="AE58" i="63" a="1"/>
  <c r="AE58" i="63" s="1"/>
  <c r="AE60" i="63" a="1"/>
  <c r="AE60" i="63" s="1"/>
  <c r="AE59" i="63" a="1"/>
  <c r="AE59" i="63" s="1"/>
  <c r="AE180" i="63" a="1"/>
  <c r="AE180" i="63" s="1"/>
  <c r="AE177" i="63" a="1"/>
  <c r="AE177" i="63" s="1"/>
  <c r="AE179" i="63" a="1"/>
  <c r="AE179" i="63" s="1"/>
  <c r="AE178" i="63" a="1"/>
  <c r="AE178" i="63" s="1"/>
  <c r="AD80" i="63"/>
  <c r="AE139" i="63"/>
  <c r="AE92" i="63" a="1"/>
  <c r="AE92" i="63" s="1"/>
  <c r="AE95" i="63" a="1"/>
  <c r="AE95" i="63" s="1"/>
  <c r="AE93" i="63" a="1"/>
  <c r="AE93" i="63" s="1"/>
  <c r="AE94" i="63" a="1"/>
  <c r="AE94" i="63" s="1"/>
  <c r="AE188" i="63" a="1"/>
  <c r="AE188" i="63" s="1"/>
  <c r="AE187" i="63" a="1"/>
  <c r="AE187" i="63" s="1"/>
  <c r="AE190" i="63" a="1"/>
  <c r="AE190" i="63" s="1"/>
  <c r="AE189" i="63" a="1"/>
  <c r="AE189" i="63" s="1"/>
  <c r="AD209" i="63"/>
  <c r="AD142" i="63"/>
  <c r="AD77" i="63"/>
  <c r="AE112" i="63" a="1"/>
  <c r="AE112" i="63" s="1"/>
  <c r="AE114" i="63" a="1"/>
  <c r="AE114" i="63" s="1"/>
  <c r="AE115" i="63" a="1"/>
  <c r="AE115" i="63" s="1"/>
  <c r="AE113" i="63" a="1"/>
  <c r="AE113" i="63" s="1"/>
  <c r="AE199" i="63" a="1"/>
  <c r="AE199" i="63" s="1"/>
  <c r="AE200" i="63" a="1"/>
  <c r="AE200" i="63" s="1"/>
  <c r="AE198" i="63" a="1"/>
  <c r="AE198" i="63" s="1"/>
  <c r="AE197" i="63" a="1"/>
  <c r="AE197" i="63" s="1"/>
  <c r="AD208" i="63"/>
  <c r="AD145" i="63"/>
  <c r="AE103" i="63" a="1"/>
  <c r="AE103" i="63" s="1"/>
  <c r="AE105" i="63" a="1"/>
  <c r="AE105" i="63" s="1"/>
  <c r="AE104" i="63" a="1"/>
  <c r="AE104" i="63" s="1"/>
  <c r="AE102" i="63" a="1"/>
  <c r="AE102" i="63" s="1"/>
  <c r="AD207" i="63"/>
  <c r="AD144" i="63"/>
  <c r="AE70" i="63" a="1"/>
  <c r="AE70" i="63" s="1"/>
  <c r="AE68" i="63" a="1"/>
  <c r="AE68" i="63" s="1"/>
  <c r="AE67" i="63" a="1"/>
  <c r="AE67" i="63" s="1"/>
  <c r="AE69" i="63" a="1"/>
  <c r="AE69" i="63" s="1"/>
  <c r="AE124" i="63" a="1"/>
  <c r="AE124" i="63" s="1"/>
  <c r="AE122" i="63" a="1"/>
  <c r="AE122" i="63" s="1"/>
  <c r="AE123" i="63" a="1"/>
  <c r="AE123" i="63" s="1"/>
  <c r="AE125" i="63" a="1"/>
  <c r="AE125" i="63" s="1"/>
  <c r="AD143" i="63"/>
  <c r="AE145" i="37"/>
  <c r="AE78" i="37"/>
  <c r="AF104" i="37" a="1"/>
  <c r="AF104" i="37" s="1"/>
  <c r="AF105" i="37" a="1"/>
  <c r="AF105" i="37" s="1"/>
  <c r="AF102" i="37" a="1"/>
  <c r="AF102" i="37" s="1"/>
  <c r="AF103" i="37" a="1"/>
  <c r="AF103" i="37" s="1"/>
  <c r="AF200" i="37" a="1"/>
  <c r="AF200" i="37" s="1"/>
  <c r="AF197" i="37" a="1"/>
  <c r="AF197" i="37" s="1"/>
  <c r="AF199" i="37" a="1"/>
  <c r="AF199" i="37" s="1"/>
  <c r="AF198" i="37" a="1"/>
  <c r="AF198" i="37" s="1"/>
  <c r="AE77" i="37"/>
  <c r="AG194" i="37"/>
  <c r="AG184" i="37"/>
  <c r="AG174" i="37"/>
  <c r="AG154" i="37"/>
  <c r="AG164" i="37"/>
  <c r="AG129" i="37"/>
  <c r="AG119" i="37"/>
  <c r="AG109" i="37"/>
  <c r="AG99" i="37"/>
  <c r="AG89" i="37"/>
  <c r="AG64" i="37"/>
  <c r="AG54" i="37"/>
  <c r="AG44" i="37"/>
  <c r="AG34" i="37"/>
  <c r="AG24" i="37"/>
  <c r="AF113" i="37" a="1"/>
  <c r="AF113" i="37" s="1"/>
  <c r="AF115" i="37" a="1"/>
  <c r="AF115" i="37" s="1"/>
  <c r="AF114" i="37" a="1"/>
  <c r="AF114" i="37" s="1"/>
  <c r="AF112" i="37" a="1"/>
  <c r="AF112" i="37" s="1"/>
  <c r="AE80" i="37"/>
  <c r="AF74" i="37"/>
  <c r="AF27" i="37" a="1"/>
  <c r="AF27" i="37" s="1"/>
  <c r="AF28" i="37" a="1"/>
  <c r="AF28" i="37" s="1"/>
  <c r="AF29" i="37" a="1"/>
  <c r="AF29" i="37" s="1"/>
  <c r="AF30" i="37" a="1"/>
  <c r="AF30" i="37" s="1"/>
  <c r="AF124" i="37" a="1"/>
  <c r="AF124" i="37" s="1"/>
  <c r="AF122" i="37" a="1"/>
  <c r="AF122" i="37" s="1"/>
  <c r="AF125" i="37" a="1"/>
  <c r="AF125" i="37" s="1"/>
  <c r="AF123" i="37" a="1"/>
  <c r="AF123" i="37" s="1"/>
  <c r="AF68" i="37" a="1"/>
  <c r="AF68" i="37" s="1"/>
  <c r="AF69" i="37" a="1"/>
  <c r="AF69" i="37" s="1"/>
  <c r="AF70" i="37" a="1"/>
  <c r="AF70" i="37" s="1"/>
  <c r="AF67" i="37" a="1"/>
  <c r="AF67" i="37" s="1"/>
  <c r="AF38" i="37" a="1"/>
  <c r="AF38" i="37" s="1"/>
  <c r="AF39" i="37" a="1"/>
  <c r="AF39" i="37" s="1"/>
  <c r="AF40" i="37" a="1"/>
  <c r="AF40" i="37" s="1"/>
  <c r="AF37" i="37" a="1"/>
  <c r="AF37" i="37" s="1"/>
  <c r="AF134" i="37" a="1"/>
  <c r="AF134" i="37" s="1"/>
  <c r="AF135" i="37" a="1"/>
  <c r="AF135" i="37" s="1"/>
  <c r="AF133" i="37" a="1"/>
  <c r="AF133" i="37" s="1"/>
  <c r="AF132" i="37" a="1"/>
  <c r="AF132" i="37" s="1"/>
  <c r="AE208" i="37"/>
  <c r="AF50" i="37" a="1"/>
  <c r="AF50" i="37" s="1"/>
  <c r="AF48" i="37" a="1"/>
  <c r="AF48" i="37" s="1"/>
  <c r="AF49" i="37" a="1"/>
  <c r="AF49" i="37" s="1"/>
  <c r="AF47" i="37" a="1"/>
  <c r="AF47" i="37" s="1"/>
  <c r="AF204" i="37"/>
  <c r="AF159" i="37" a="1"/>
  <c r="AF159" i="37" s="1"/>
  <c r="AF157" i="37" a="1"/>
  <c r="AF157" i="37" s="1"/>
  <c r="AF160" i="37" a="1"/>
  <c r="AF160" i="37" s="1"/>
  <c r="AF158" i="37" a="1"/>
  <c r="AF158" i="37" s="1"/>
  <c r="AE207" i="37"/>
  <c r="AE143" i="37"/>
  <c r="AF58" i="37" a="1"/>
  <c r="AF58" i="37" s="1"/>
  <c r="AF59" i="37" a="1"/>
  <c r="AF59" i="37" s="1"/>
  <c r="AF60" i="37" a="1"/>
  <c r="AF60" i="37" s="1"/>
  <c r="AF57" i="37" a="1"/>
  <c r="AF57" i="37" s="1"/>
  <c r="AF170" i="37" a="1"/>
  <c r="AF170" i="37" s="1"/>
  <c r="AF167" i="37" a="1"/>
  <c r="AF167" i="37" s="1"/>
  <c r="AF169" i="37" a="1"/>
  <c r="AF169" i="37" s="1"/>
  <c r="AF168" i="37" a="1"/>
  <c r="AF168" i="37" s="1"/>
  <c r="AE209" i="37"/>
  <c r="AE144" i="37"/>
  <c r="AF188" i="37" a="1"/>
  <c r="AF188" i="37" s="1"/>
  <c r="AF189" i="37" a="1"/>
  <c r="AF189" i="37" s="1"/>
  <c r="AF190" i="37" a="1"/>
  <c r="AF190" i="37" s="1"/>
  <c r="AF187" i="37" a="1"/>
  <c r="AF187" i="37" s="1"/>
  <c r="AF139" i="37"/>
  <c r="AF95" i="37" a="1"/>
  <c r="AF95" i="37" s="1"/>
  <c r="AF94" i="37" a="1"/>
  <c r="AF94" i="37" s="1"/>
  <c r="AF93" i="37" a="1"/>
  <c r="AF93" i="37" s="1"/>
  <c r="AF92" i="37" a="1"/>
  <c r="AF92" i="37" s="1"/>
  <c r="AF177" i="37" a="1"/>
  <c r="AF177" i="37" s="1"/>
  <c r="AF178" i="37" a="1"/>
  <c r="AF178" i="37" s="1"/>
  <c r="AF179" i="37" a="1"/>
  <c r="AF179" i="37" s="1"/>
  <c r="AF180" i="37" a="1"/>
  <c r="AF180" i="37" s="1"/>
  <c r="AE210" i="37"/>
  <c r="AE142" i="37"/>
  <c r="AE79" i="37"/>
  <c r="AE8" i="37"/>
  <c r="AF8" i="64" s="1"/>
  <c r="AD8" i="63"/>
  <c r="AE8" i="65" s="1"/>
  <c r="AB8" i="18"/>
  <c r="AG7" i="63"/>
  <c r="AF33" i="38"/>
  <c r="AG5" i="64"/>
  <c r="AG5" i="65"/>
  <c r="AG7" i="18"/>
  <c r="AG6" i="18" s="1"/>
  <c r="AG14" i="65"/>
  <c r="AG25" i="65" s="1"/>
  <c r="AG35" i="65"/>
  <c r="AG29" i="65"/>
  <c r="AH6" i="65"/>
  <c r="AG12" i="65"/>
  <c r="AG36" i="65"/>
  <c r="AI10" i="60"/>
  <c r="AI9" i="60" s="1"/>
  <c r="AG34" i="38"/>
  <c r="AF29" i="18"/>
  <c r="AF18" i="18" s="1"/>
  <c r="AG34" i="64"/>
  <c r="AG35" i="64"/>
  <c r="AH6" i="64"/>
  <c r="AH7" i="37"/>
  <c r="AF142" i="37" l="1"/>
  <c r="AF144" i="37"/>
  <c r="AE143" i="63"/>
  <c r="AE79" i="63"/>
  <c r="AE77" i="63"/>
  <c r="AF104" i="63" a="1"/>
  <c r="AF104" i="63" s="1"/>
  <c r="AF103" i="63" a="1"/>
  <c r="AF103" i="63" s="1"/>
  <c r="AF105" i="63" a="1"/>
  <c r="AF105" i="63" s="1"/>
  <c r="AF102" i="63" a="1"/>
  <c r="AF102" i="63" s="1"/>
  <c r="AG194" i="63"/>
  <c r="AG184" i="63"/>
  <c r="AG174" i="63"/>
  <c r="AG164" i="63"/>
  <c r="AG154" i="63"/>
  <c r="AG129" i="63"/>
  <c r="AG119" i="63"/>
  <c r="AG109" i="63"/>
  <c r="AG99" i="63"/>
  <c r="AG89" i="63"/>
  <c r="AG34" i="63"/>
  <c r="AG24" i="63"/>
  <c r="AG54" i="63"/>
  <c r="AG64" i="63"/>
  <c r="AG44" i="63"/>
  <c r="AE145" i="63"/>
  <c r="AF58" i="63" a="1"/>
  <c r="AF58" i="63" s="1"/>
  <c r="AF60" i="63" a="1"/>
  <c r="AF60" i="63" s="1"/>
  <c r="AF57" i="63" a="1"/>
  <c r="AF57" i="63" s="1"/>
  <c r="AF59" i="63" a="1"/>
  <c r="AF59" i="63" s="1"/>
  <c r="AF123" i="63" a="1"/>
  <c r="AF123" i="63" s="1"/>
  <c r="AF124" i="63" a="1"/>
  <c r="AF124" i="63" s="1"/>
  <c r="AF125" i="63" a="1"/>
  <c r="AF125" i="63" s="1"/>
  <c r="AF122" i="63" a="1"/>
  <c r="AF122" i="63" s="1"/>
  <c r="AE142" i="63"/>
  <c r="AF67" i="63" a="1"/>
  <c r="AF67" i="63" s="1"/>
  <c r="AF68" i="63" a="1"/>
  <c r="AF68" i="63" s="1"/>
  <c r="AF69" i="63" a="1"/>
  <c r="AF69" i="63" s="1"/>
  <c r="AF70" i="63" a="1"/>
  <c r="AF70" i="63" s="1"/>
  <c r="AF134" i="63" a="1"/>
  <c r="AF134" i="63" s="1"/>
  <c r="AF132" i="63" a="1"/>
  <c r="AF132" i="63" s="1"/>
  <c r="AF135" i="63" a="1"/>
  <c r="AF135" i="63" s="1"/>
  <c r="AF133" i="63" a="1"/>
  <c r="AF133" i="63" s="1"/>
  <c r="AE207" i="63"/>
  <c r="AF74" i="63"/>
  <c r="AF30" i="63" a="1"/>
  <c r="AF30" i="63" s="1"/>
  <c r="AF27" i="63" a="1"/>
  <c r="AF27" i="63" s="1"/>
  <c r="AF28" i="63" a="1"/>
  <c r="AF28" i="63" s="1"/>
  <c r="AF29" i="63" a="1"/>
  <c r="AF29" i="63" s="1"/>
  <c r="AF204" i="63"/>
  <c r="AF160" i="63" a="1"/>
  <c r="AF160" i="63" s="1"/>
  <c r="AF157" i="63" a="1"/>
  <c r="AF157" i="63" s="1"/>
  <c r="AF158" i="63" a="1"/>
  <c r="AF158" i="63" s="1"/>
  <c r="AF159" i="63" a="1"/>
  <c r="AF159" i="63" s="1"/>
  <c r="AE208" i="63"/>
  <c r="AF37" i="63" a="1"/>
  <c r="AF37" i="63" s="1"/>
  <c r="AF39" i="63" a="1"/>
  <c r="AF39" i="63" s="1"/>
  <c r="AF38" i="63" a="1"/>
  <c r="AF38" i="63" s="1"/>
  <c r="AF40" i="63" a="1"/>
  <c r="AF40" i="63" s="1"/>
  <c r="AF169" i="63" a="1"/>
  <c r="AF169" i="63" s="1"/>
  <c r="AF167" i="63" a="1"/>
  <c r="AF167" i="63" s="1"/>
  <c r="AF168" i="63" a="1"/>
  <c r="AF168" i="63" s="1"/>
  <c r="AF170" i="63" a="1"/>
  <c r="AF170" i="63" s="1"/>
  <c r="AE78" i="63"/>
  <c r="AE210" i="63"/>
  <c r="AF47" i="63" a="1"/>
  <c r="AF47" i="63" s="1"/>
  <c r="AF49" i="63" a="1"/>
  <c r="AF49" i="63" s="1"/>
  <c r="AF48" i="63" a="1"/>
  <c r="AF48" i="63" s="1"/>
  <c r="AF50" i="63" a="1"/>
  <c r="AF50" i="63" s="1"/>
  <c r="AF180" i="63" a="1"/>
  <c r="AF180" i="63" s="1"/>
  <c r="AF179" i="63" a="1"/>
  <c r="AF179" i="63" s="1"/>
  <c r="AF178" i="63" a="1"/>
  <c r="AF178" i="63" s="1"/>
  <c r="AF177" i="63" a="1"/>
  <c r="AF177" i="63" s="1"/>
  <c r="AE209" i="63"/>
  <c r="AF139" i="63"/>
  <c r="AF94" i="63" a="1"/>
  <c r="AF94" i="63" s="1"/>
  <c r="AF95" i="63" a="1"/>
  <c r="AF95" i="63" s="1"/>
  <c r="AF93" i="63" a="1"/>
  <c r="AF93" i="63" s="1"/>
  <c r="AF92" i="63" a="1"/>
  <c r="AF92" i="63" s="1"/>
  <c r="AF190" i="63" a="1"/>
  <c r="AF190" i="63" s="1"/>
  <c r="AF187" i="63" a="1"/>
  <c r="AF187" i="63" s="1"/>
  <c r="AF189" i="63" a="1"/>
  <c r="AF189" i="63" s="1"/>
  <c r="AF188" i="63" a="1"/>
  <c r="AF188" i="63" s="1"/>
  <c r="AE144" i="63"/>
  <c r="AE80" i="63"/>
  <c r="AF113" i="63" a="1"/>
  <c r="AF113" i="63" s="1"/>
  <c r="AF112" i="63" a="1"/>
  <c r="AF112" i="63" s="1"/>
  <c r="AF114" i="63" a="1"/>
  <c r="AF114" i="63" s="1"/>
  <c r="AF115" i="63" a="1"/>
  <c r="AF115" i="63" s="1"/>
  <c r="AF197" i="63" a="1"/>
  <c r="AF197" i="63" s="1"/>
  <c r="AF199" i="63" a="1"/>
  <c r="AF199" i="63" s="1"/>
  <c r="AF198" i="63" a="1"/>
  <c r="AF198" i="63" s="1"/>
  <c r="AF200" i="63" a="1"/>
  <c r="AF200" i="63" s="1"/>
  <c r="AF145" i="37"/>
  <c r="AF143" i="37"/>
  <c r="AF78" i="37"/>
  <c r="AG74" i="37"/>
  <c r="AG28" i="37" a="1"/>
  <c r="AG28" i="37" s="1"/>
  <c r="AG29" i="37" a="1"/>
  <c r="AG29" i="37" s="1"/>
  <c r="AG30" i="37" a="1"/>
  <c r="AG30" i="37" s="1"/>
  <c r="AG27" i="37" a="1"/>
  <c r="AG27" i="37" s="1"/>
  <c r="AG125" i="37" a="1"/>
  <c r="AG125" i="37" s="1"/>
  <c r="AG123" i="37" a="1"/>
  <c r="AG123" i="37" s="1"/>
  <c r="AG124" i="37" a="1"/>
  <c r="AG124" i="37" s="1"/>
  <c r="AG122" i="37" a="1"/>
  <c r="AG122" i="37" s="1"/>
  <c r="AF77" i="37"/>
  <c r="AG39" i="37" a="1"/>
  <c r="AG39" i="37" s="1"/>
  <c r="AG40" i="37" a="1"/>
  <c r="AG40" i="37" s="1"/>
  <c r="AG37" i="37" a="1"/>
  <c r="AG37" i="37" s="1"/>
  <c r="AG38" i="37" a="1"/>
  <c r="AG38" i="37" s="1"/>
  <c r="AG132" i="37" a="1"/>
  <c r="AG132" i="37" s="1"/>
  <c r="AG134" i="37" a="1"/>
  <c r="AG134" i="37" s="1"/>
  <c r="AG135" i="37" a="1"/>
  <c r="AG135" i="37" s="1"/>
  <c r="AG133" i="37" a="1"/>
  <c r="AG133" i="37" s="1"/>
  <c r="AG50" i="37" a="1"/>
  <c r="AG50" i="37" s="1"/>
  <c r="AG48" i="37" a="1"/>
  <c r="AG48" i="37" s="1"/>
  <c r="AG49" i="37" a="1"/>
  <c r="AG49" i="37" s="1"/>
  <c r="AG47" i="37" a="1"/>
  <c r="AG47" i="37" s="1"/>
  <c r="AG59" i="37" a="1"/>
  <c r="AG59" i="37" s="1"/>
  <c r="AG60" i="37" a="1"/>
  <c r="AG60" i="37" s="1"/>
  <c r="AG57" i="37" a="1"/>
  <c r="AG57" i="37" s="1"/>
  <c r="AG58" i="37" a="1"/>
  <c r="AG58" i="37" s="1"/>
  <c r="AG204" i="37"/>
  <c r="AG157" i="37" a="1"/>
  <c r="AG157" i="37" s="1"/>
  <c r="AG159" i="37" a="1"/>
  <c r="AG159" i="37" s="1"/>
  <c r="AG160" i="37" a="1"/>
  <c r="AG160" i="37" s="1"/>
  <c r="AG158" i="37" a="1"/>
  <c r="AG158" i="37" s="1"/>
  <c r="AF208" i="37"/>
  <c r="AG69" i="37" a="1"/>
  <c r="AG69" i="37" s="1"/>
  <c r="AG70" i="37" a="1"/>
  <c r="AG70" i="37" s="1"/>
  <c r="AG67" i="37" a="1"/>
  <c r="AG67" i="37" s="1"/>
  <c r="AG68" i="37" a="1"/>
  <c r="AG68" i="37" s="1"/>
  <c r="AG178" i="37" a="1"/>
  <c r="AG178" i="37" s="1"/>
  <c r="AG179" i="37" a="1"/>
  <c r="AG179" i="37" s="1"/>
  <c r="AG180" i="37" a="1"/>
  <c r="AG180" i="37" s="1"/>
  <c r="AG177" i="37" a="1"/>
  <c r="AG177" i="37" s="1"/>
  <c r="AG168" i="37" a="1"/>
  <c r="AG168" i="37" s="1"/>
  <c r="AG169" i="37" a="1"/>
  <c r="AG169" i="37" s="1"/>
  <c r="AG170" i="37" a="1"/>
  <c r="AG170" i="37" s="1"/>
  <c r="AG167" i="37" a="1"/>
  <c r="AG167" i="37" s="1"/>
  <c r="AH194" i="37"/>
  <c r="AH174" i="37"/>
  <c r="AH184" i="37"/>
  <c r="AH164" i="37"/>
  <c r="AH154" i="37"/>
  <c r="AH129" i="37"/>
  <c r="AH119" i="37"/>
  <c r="AH109" i="37"/>
  <c r="AH99" i="37"/>
  <c r="AH64" i="37"/>
  <c r="AH54" i="37"/>
  <c r="AH89" i="37"/>
  <c r="AH44" i="37"/>
  <c r="AH34" i="37"/>
  <c r="AH24" i="37"/>
  <c r="AF210" i="37"/>
  <c r="AG139" i="37"/>
  <c r="AG95" i="37" a="1"/>
  <c r="AG95" i="37" s="1"/>
  <c r="AG94" i="37" a="1"/>
  <c r="AG94" i="37" s="1"/>
  <c r="AG93" i="37" a="1"/>
  <c r="AG93" i="37" s="1"/>
  <c r="AG92" i="37" a="1"/>
  <c r="AG92" i="37" s="1"/>
  <c r="AG189" i="37" a="1"/>
  <c r="AG189" i="37" s="1"/>
  <c r="AG187" i="37" a="1"/>
  <c r="AG187" i="37" s="1"/>
  <c r="AG190" i="37" a="1"/>
  <c r="AG190" i="37" s="1"/>
  <c r="AG188" i="37" a="1"/>
  <c r="AG188" i="37" s="1"/>
  <c r="AF207" i="37"/>
  <c r="AF80" i="37"/>
  <c r="AG105" i="37" a="1"/>
  <c r="AG105" i="37" s="1"/>
  <c r="AG102" i="37" a="1"/>
  <c r="AG102" i="37" s="1"/>
  <c r="AG103" i="37" a="1"/>
  <c r="AG103" i="37" s="1"/>
  <c r="AG104" i="37" a="1"/>
  <c r="AG104" i="37" s="1"/>
  <c r="AG197" i="37" a="1"/>
  <c r="AG197" i="37" s="1"/>
  <c r="AG198" i="37" a="1"/>
  <c r="AG198" i="37" s="1"/>
  <c r="AG200" i="37" a="1"/>
  <c r="AG200" i="37" s="1"/>
  <c r="AG199" i="37" a="1"/>
  <c r="AG199" i="37" s="1"/>
  <c r="AF209" i="37"/>
  <c r="AF79" i="37"/>
  <c r="AG114" i="37" a="1"/>
  <c r="AG114" i="37" s="1"/>
  <c r="AG112" i="37" a="1"/>
  <c r="AG112" i="37" s="1"/>
  <c r="AG115" i="37" a="1"/>
  <c r="AG115" i="37" s="1"/>
  <c r="AG113" i="37" a="1"/>
  <c r="AG113" i="37" s="1"/>
  <c r="AF8" i="37"/>
  <c r="AG8" i="64" s="1"/>
  <c r="AC8" i="18"/>
  <c r="AE8" i="63"/>
  <c r="AF8" i="65" s="1"/>
  <c r="AH7" i="63"/>
  <c r="AG33" i="38"/>
  <c r="AH5" i="64"/>
  <c r="AH5" i="65"/>
  <c r="AH7" i="18"/>
  <c r="AH12" i="65"/>
  <c r="AH14" i="65"/>
  <c r="AH25" i="65" s="1"/>
  <c r="AI6" i="65"/>
  <c r="AH36" i="65"/>
  <c r="AH29" i="65"/>
  <c r="AH35" i="65"/>
  <c r="AJ10" i="60"/>
  <c r="AJ9" i="60" s="1"/>
  <c r="AH34" i="38"/>
  <c r="AG29" i="18"/>
  <c r="AG18" i="18" s="1"/>
  <c r="AH35" i="64"/>
  <c r="AH34" i="64"/>
  <c r="AI6" i="64"/>
  <c r="AI7" i="37"/>
  <c r="AG144" i="37" l="1"/>
  <c r="AG145" i="37"/>
  <c r="AF209" i="63"/>
  <c r="AF80" i="63"/>
  <c r="AF143" i="63"/>
  <c r="AG74" i="63"/>
  <c r="AG29" i="63" a="1"/>
  <c r="AG29" i="63" s="1"/>
  <c r="AG30" i="63" a="1"/>
  <c r="AG30" i="63" s="1"/>
  <c r="AG28" i="63" a="1"/>
  <c r="AG28" i="63" s="1"/>
  <c r="AG27" i="63" a="1"/>
  <c r="AG27" i="63" s="1"/>
  <c r="AF145" i="63"/>
  <c r="AF208" i="63"/>
  <c r="AG37" i="63" a="1"/>
  <c r="AG37" i="63" s="1"/>
  <c r="AG39" i="63" a="1"/>
  <c r="AG39" i="63" s="1"/>
  <c r="AG40" i="63" a="1"/>
  <c r="AG40" i="63" s="1"/>
  <c r="AG38" i="63" a="1"/>
  <c r="AG38" i="63" s="1"/>
  <c r="AG180" i="63" a="1"/>
  <c r="AG180" i="63" s="1"/>
  <c r="AG177" i="63" a="1"/>
  <c r="AG177" i="63" s="1"/>
  <c r="AG179" i="63" a="1"/>
  <c r="AG179" i="63" s="1"/>
  <c r="AG178" i="63" a="1"/>
  <c r="AG178" i="63" s="1"/>
  <c r="AG167" i="63" a="1"/>
  <c r="AG167" i="63" s="1"/>
  <c r="AG168" i="63" a="1"/>
  <c r="AG168" i="63" s="1"/>
  <c r="AG170" i="63" a="1"/>
  <c r="AG170" i="63" s="1"/>
  <c r="AG169" i="63" a="1"/>
  <c r="AG169" i="63" s="1"/>
  <c r="AF144" i="63"/>
  <c r="AF207" i="63"/>
  <c r="AG139" i="63"/>
  <c r="AG95" i="63" a="1"/>
  <c r="AG95" i="63" s="1"/>
  <c r="AG93" i="63" a="1"/>
  <c r="AG93" i="63" s="1"/>
  <c r="AG92" i="63" a="1"/>
  <c r="AG92" i="63" s="1"/>
  <c r="AG94" i="63" a="1"/>
  <c r="AG94" i="63" s="1"/>
  <c r="AG189" i="63" a="1"/>
  <c r="AG189" i="63" s="1"/>
  <c r="AG187" i="63" a="1"/>
  <c r="AG187" i="63" s="1"/>
  <c r="AG190" i="63" a="1"/>
  <c r="AG190" i="63" s="1"/>
  <c r="AG188" i="63" a="1"/>
  <c r="AG188" i="63" s="1"/>
  <c r="AF210" i="63"/>
  <c r="AG102" i="63" a="1"/>
  <c r="AG102" i="63" s="1"/>
  <c r="AG104" i="63" a="1"/>
  <c r="AG104" i="63" s="1"/>
  <c r="AG105" i="63" a="1"/>
  <c r="AG105" i="63" s="1"/>
  <c r="AG103" i="63" a="1"/>
  <c r="AG103" i="63" s="1"/>
  <c r="AG198" i="63" a="1"/>
  <c r="AG198" i="63" s="1"/>
  <c r="AG200" i="63" a="1"/>
  <c r="AG200" i="63" s="1"/>
  <c r="AG197" i="63" a="1"/>
  <c r="AG197" i="63" s="1"/>
  <c r="AG199" i="63" a="1"/>
  <c r="AG199" i="63" s="1"/>
  <c r="AG113" i="63" a="1"/>
  <c r="AG113" i="63" s="1"/>
  <c r="AG115" i="63" a="1"/>
  <c r="AG115" i="63" s="1"/>
  <c r="AG114" i="63" a="1"/>
  <c r="AG114" i="63" s="1"/>
  <c r="AG112" i="63" a="1"/>
  <c r="AG112" i="63" s="1"/>
  <c r="AH194" i="63"/>
  <c r="AH184" i="63"/>
  <c r="AH174" i="63"/>
  <c r="AH164" i="63"/>
  <c r="AH154" i="63"/>
  <c r="AH119" i="63"/>
  <c r="AH109" i="63"/>
  <c r="AH129" i="63"/>
  <c r="AH99" i="63"/>
  <c r="AH89" i="63"/>
  <c r="AH34" i="63"/>
  <c r="AH24" i="63"/>
  <c r="AH64" i="63"/>
  <c r="AH44" i="63"/>
  <c r="AH54" i="63"/>
  <c r="AF79" i="63"/>
  <c r="AG47" i="63" a="1"/>
  <c r="AG47" i="63" s="1"/>
  <c r="AG50" i="63" a="1"/>
  <c r="AG50" i="63" s="1"/>
  <c r="AG49" i="63" a="1"/>
  <c r="AG49" i="63" s="1"/>
  <c r="AG48" i="63" a="1"/>
  <c r="AG48" i="63" s="1"/>
  <c r="AG122" i="63" a="1"/>
  <c r="AG122" i="63" s="1"/>
  <c r="AG123" i="63" a="1"/>
  <c r="AG123" i="63" s="1"/>
  <c r="AG125" i="63" a="1"/>
  <c r="AG125" i="63" s="1"/>
  <c r="AG124" i="63" a="1"/>
  <c r="AG124" i="63" s="1"/>
  <c r="AF78" i="63"/>
  <c r="AG68" i="63" a="1"/>
  <c r="AG68" i="63" s="1"/>
  <c r="AG67" i="63" a="1"/>
  <c r="AG67" i="63" s="1"/>
  <c r="AG69" i="63" a="1"/>
  <c r="AG69" i="63" s="1"/>
  <c r="AG70" i="63" a="1"/>
  <c r="AG70" i="63" s="1"/>
  <c r="AG132" i="63" a="1"/>
  <c r="AG132" i="63" s="1"/>
  <c r="AG135" i="63" a="1"/>
  <c r="AG135" i="63" s="1"/>
  <c r="AG134" i="63" a="1"/>
  <c r="AG134" i="63" s="1"/>
  <c r="AG133" i="63" a="1"/>
  <c r="AG133" i="63" s="1"/>
  <c r="AG208" i="37"/>
  <c r="AF142" i="63"/>
  <c r="AF77" i="63"/>
  <c r="AG58" i="63" a="1"/>
  <c r="AG58" i="63" s="1"/>
  <c r="AG60" i="63" a="1"/>
  <c r="AG60" i="63" s="1"/>
  <c r="AG59" i="63" a="1"/>
  <c r="AG59" i="63" s="1"/>
  <c r="AG57" i="63" a="1"/>
  <c r="AG57" i="63" s="1"/>
  <c r="AG204" i="63"/>
  <c r="AG159" i="63" a="1"/>
  <c r="AG159" i="63" s="1"/>
  <c r="AG160" i="63" a="1"/>
  <c r="AG160" i="63" s="1"/>
  <c r="AG158" i="63" a="1"/>
  <c r="AG158" i="63" s="1"/>
  <c r="AG157" i="63" a="1"/>
  <c r="AG157" i="63" s="1"/>
  <c r="AG143" i="37"/>
  <c r="AH70" i="37" a="1"/>
  <c r="AH70" i="37" s="1"/>
  <c r="AH67" i="37" a="1"/>
  <c r="AH67" i="37" s="1"/>
  <c r="AH68" i="37" a="1"/>
  <c r="AH68" i="37" s="1"/>
  <c r="AH69" i="37" a="1"/>
  <c r="AH69" i="37" s="1"/>
  <c r="AH179" i="37" a="1"/>
  <c r="AH179" i="37" s="1"/>
  <c r="AH180" i="37" a="1"/>
  <c r="AH180" i="37" s="1"/>
  <c r="AH177" i="37" a="1"/>
  <c r="AH177" i="37" s="1"/>
  <c r="AH178" i="37" a="1"/>
  <c r="AH178" i="37" s="1"/>
  <c r="AG210" i="37"/>
  <c r="AH102" i="37" a="1"/>
  <c r="AH102" i="37" s="1"/>
  <c r="AH103" i="37" a="1"/>
  <c r="AH103" i="37" s="1"/>
  <c r="AH104" i="37" a="1"/>
  <c r="AH104" i="37" s="1"/>
  <c r="AH105" i="37" a="1"/>
  <c r="AH105" i="37" s="1"/>
  <c r="AH198" i="37" a="1"/>
  <c r="AH198" i="37" s="1"/>
  <c r="AH199" i="37" a="1"/>
  <c r="AH199" i="37" s="1"/>
  <c r="AH197" i="37" a="1"/>
  <c r="AH197" i="37" s="1"/>
  <c r="AH200" i="37" a="1"/>
  <c r="AH200" i="37" s="1"/>
  <c r="AG209" i="37"/>
  <c r="AG77" i="37"/>
  <c r="AI184" i="37"/>
  <c r="AI194" i="37"/>
  <c r="AI174" i="37"/>
  <c r="AI164" i="37"/>
  <c r="AI154" i="37"/>
  <c r="AI119" i="37"/>
  <c r="AI129" i="37"/>
  <c r="AI99" i="37"/>
  <c r="AI89" i="37"/>
  <c r="AI109" i="37"/>
  <c r="AI64" i="37"/>
  <c r="AI54" i="37"/>
  <c r="AI44" i="37"/>
  <c r="AI34" i="37"/>
  <c r="AI24" i="37"/>
  <c r="AH115" i="37" a="1"/>
  <c r="AH115" i="37" s="1"/>
  <c r="AH113" i="37" a="1"/>
  <c r="AH113" i="37" s="1"/>
  <c r="AH114" i="37" a="1"/>
  <c r="AH114" i="37" s="1"/>
  <c r="AH112" i="37" a="1"/>
  <c r="AH112" i="37" s="1"/>
  <c r="AG207" i="37"/>
  <c r="AG80" i="37"/>
  <c r="AH74" i="37"/>
  <c r="AH29" i="37" a="1"/>
  <c r="AH29" i="37" s="1"/>
  <c r="AH30" i="37" a="1"/>
  <c r="AH30" i="37" s="1"/>
  <c r="AH27" i="37" a="1"/>
  <c r="AH27" i="37" s="1"/>
  <c r="AH28" i="37" a="1"/>
  <c r="AH28" i="37" s="1"/>
  <c r="AH125" i="37" a="1"/>
  <c r="AH125" i="37" s="1"/>
  <c r="AH123" i="37" a="1"/>
  <c r="AH123" i="37" s="1"/>
  <c r="AH124" i="37" a="1"/>
  <c r="AH124" i="37" s="1"/>
  <c r="AH122" i="37" a="1"/>
  <c r="AH122" i="37" s="1"/>
  <c r="AG79" i="37"/>
  <c r="AH40" i="37" a="1"/>
  <c r="AH40" i="37" s="1"/>
  <c r="AH37" i="37" a="1"/>
  <c r="AH37" i="37" s="1"/>
  <c r="AH38" i="37" a="1"/>
  <c r="AH38" i="37" s="1"/>
  <c r="AH39" i="37" a="1"/>
  <c r="AH39" i="37" s="1"/>
  <c r="AH135" i="37" a="1"/>
  <c r="AH135" i="37" s="1"/>
  <c r="AH133" i="37" a="1"/>
  <c r="AH133" i="37" s="1"/>
  <c r="AH132" i="37" a="1"/>
  <c r="AH132" i="37" s="1"/>
  <c r="AH134" i="37" a="1"/>
  <c r="AH134" i="37" s="1"/>
  <c r="AG78" i="37"/>
  <c r="AG142" i="37"/>
  <c r="AH47" i="37" a="1"/>
  <c r="AH47" i="37" s="1"/>
  <c r="AH49" i="37" a="1"/>
  <c r="AH49" i="37" s="1"/>
  <c r="AH48" i="37" a="1"/>
  <c r="AH48" i="37" s="1"/>
  <c r="AH50" i="37" a="1"/>
  <c r="AH50" i="37" s="1"/>
  <c r="AH204" i="37"/>
  <c r="AH159" i="37" a="1"/>
  <c r="AH159" i="37" s="1"/>
  <c r="AH158" i="37" a="1"/>
  <c r="AH158" i="37" s="1"/>
  <c r="AH160" i="37" a="1"/>
  <c r="AH160" i="37" s="1"/>
  <c r="AH157" i="37" a="1"/>
  <c r="AH157" i="37" s="1"/>
  <c r="AH139" i="37"/>
  <c r="AH95" i="37" a="1"/>
  <c r="AH95" i="37" s="1"/>
  <c r="AH94" i="37" a="1"/>
  <c r="AH94" i="37" s="1"/>
  <c r="AH93" i="37" a="1"/>
  <c r="AH93" i="37" s="1"/>
  <c r="AH92" i="37" a="1"/>
  <c r="AH92" i="37" s="1"/>
  <c r="AH167" i="37" a="1"/>
  <c r="AH167" i="37" s="1"/>
  <c r="AH170" i="37" a="1"/>
  <c r="AH170" i="37" s="1"/>
  <c r="AH168" i="37" a="1"/>
  <c r="AH168" i="37" s="1"/>
  <c r="AH169" i="37" a="1"/>
  <c r="AH169" i="37" s="1"/>
  <c r="AH60" i="37" a="1"/>
  <c r="AH60" i="37" s="1"/>
  <c r="AH57" i="37" a="1"/>
  <c r="AH57" i="37" s="1"/>
  <c r="AH58" i="37" a="1"/>
  <c r="AH58" i="37" s="1"/>
  <c r="AH59" i="37" a="1"/>
  <c r="AH59" i="37" s="1"/>
  <c r="AH189" i="37" a="1"/>
  <c r="AH189" i="37" s="1"/>
  <c r="AH187" i="37" a="1"/>
  <c r="AH187" i="37" s="1"/>
  <c r="AH190" i="37" a="1"/>
  <c r="AH190" i="37" s="1"/>
  <c r="AH188" i="37" a="1"/>
  <c r="AH188" i="37" s="1"/>
  <c r="AD8" i="18"/>
  <c r="AG8" i="37"/>
  <c r="AH8" i="64" s="1"/>
  <c r="AF8" i="63"/>
  <c r="AE8" i="18" s="1"/>
  <c r="AI7" i="63"/>
  <c r="AI34" i="38"/>
  <c r="AI5" i="64"/>
  <c r="AI5" i="65"/>
  <c r="AI7" i="18"/>
  <c r="AI6" i="18" s="1"/>
  <c r="AJ6" i="65"/>
  <c r="AI29" i="65"/>
  <c r="AI12" i="65"/>
  <c r="AI14" i="65"/>
  <c r="AI25" i="65" s="1"/>
  <c r="AI36" i="65"/>
  <c r="AI35" i="65"/>
  <c r="AK10" i="60"/>
  <c r="AK9" i="60" s="1"/>
  <c r="AH29" i="18"/>
  <c r="AH18" i="18" s="1"/>
  <c r="AI34" i="64"/>
  <c r="AJ6" i="64"/>
  <c r="AI35" i="64"/>
  <c r="AJ7" i="37"/>
  <c r="AG207" i="63" l="1"/>
  <c r="AG208" i="63"/>
  <c r="AH144" i="37"/>
  <c r="AG145" i="63"/>
  <c r="AG210" i="63"/>
  <c r="AH37" i="63" a="1"/>
  <c r="AH37" i="63" s="1"/>
  <c r="AH39" i="63" a="1"/>
  <c r="AH39" i="63" s="1"/>
  <c r="AH40" i="63" a="1"/>
  <c r="AH40" i="63" s="1"/>
  <c r="AH38" i="63" a="1"/>
  <c r="AH38" i="63" s="1"/>
  <c r="AH179" i="63" a="1"/>
  <c r="AH179" i="63" s="1"/>
  <c r="AH178" i="63" a="1"/>
  <c r="AH178" i="63" s="1"/>
  <c r="AH177" i="63" a="1"/>
  <c r="AH177" i="63" s="1"/>
  <c r="AH180" i="63" a="1"/>
  <c r="AH180" i="63" s="1"/>
  <c r="AG209" i="63"/>
  <c r="AH139" i="63"/>
  <c r="AH92" i="63" a="1"/>
  <c r="AH92" i="63" s="1"/>
  <c r="AH93" i="63" a="1"/>
  <c r="AH93" i="63" s="1"/>
  <c r="AH95" i="63" a="1"/>
  <c r="AH95" i="63" s="1"/>
  <c r="AH94" i="63" a="1"/>
  <c r="AH94" i="63" s="1"/>
  <c r="AH189" i="63" a="1"/>
  <c r="AH189" i="63" s="1"/>
  <c r="AH190" i="63" a="1"/>
  <c r="AH190" i="63" s="1"/>
  <c r="AH187" i="63" a="1"/>
  <c r="AH187" i="63" s="1"/>
  <c r="AH188" i="63" a="1"/>
  <c r="AH188" i="63" s="1"/>
  <c r="AG77" i="63"/>
  <c r="AH170" i="63" a="1"/>
  <c r="AH170" i="63" s="1"/>
  <c r="AH168" i="63" a="1"/>
  <c r="AH168" i="63" s="1"/>
  <c r="AH167" i="63" a="1"/>
  <c r="AH167" i="63" s="1"/>
  <c r="AH169" i="63" a="1"/>
  <c r="AH169" i="63" s="1"/>
  <c r="AH104" i="63" a="1"/>
  <c r="AH104" i="63" s="1"/>
  <c r="AH105" i="63" a="1"/>
  <c r="AH105" i="63" s="1"/>
  <c r="AH102" i="63" a="1"/>
  <c r="AH102" i="63" s="1"/>
  <c r="AH103" i="63" a="1"/>
  <c r="AH103" i="63" s="1"/>
  <c r="AH198" i="63" a="1"/>
  <c r="AH198" i="63" s="1"/>
  <c r="AH199" i="63" a="1"/>
  <c r="AH199" i="63" s="1"/>
  <c r="AH200" i="63" a="1"/>
  <c r="AH200" i="63" s="1"/>
  <c r="AH197" i="63" a="1"/>
  <c r="AH197" i="63" s="1"/>
  <c r="AG78" i="63"/>
  <c r="AH74" i="63"/>
  <c r="AH30" i="63" a="1"/>
  <c r="AH30" i="63" s="1"/>
  <c r="AH29" i="63" a="1"/>
  <c r="AH29" i="63" s="1"/>
  <c r="AH27" i="63" a="1"/>
  <c r="AH27" i="63" s="1"/>
  <c r="AH28" i="63" a="1"/>
  <c r="AH28" i="63" s="1"/>
  <c r="AI194" i="63"/>
  <c r="AI184" i="63"/>
  <c r="AI174" i="63"/>
  <c r="AI164" i="63"/>
  <c r="AI154" i="63"/>
  <c r="AI129" i="63"/>
  <c r="AI109" i="63"/>
  <c r="AI99" i="63"/>
  <c r="AI119" i="63"/>
  <c r="AI89" i="63"/>
  <c r="AI64" i="63"/>
  <c r="AI54" i="63"/>
  <c r="AI24" i="63"/>
  <c r="AI44" i="63"/>
  <c r="AI34" i="63"/>
  <c r="AH134" i="63" a="1"/>
  <c r="AH134" i="63" s="1"/>
  <c r="AH135" i="63" a="1"/>
  <c r="AH135" i="63" s="1"/>
  <c r="AH133" i="63" a="1"/>
  <c r="AH133" i="63" s="1"/>
  <c r="AH132" i="63" a="1"/>
  <c r="AH132" i="63" s="1"/>
  <c r="AG80" i="63"/>
  <c r="AH58" i="63" a="1"/>
  <c r="AH58" i="63" s="1"/>
  <c r="AH57" i="63" a="1"/>
  <c r="AH57" i="63" s="1"/>
  <c r="AH60" i="63" a="1"/>
  <c r="AH60" i="63" s="1"/>
  <c r="AH59" i="63" a="1"/>
  <c r="AH59" i="63" s="1"/>
  <c r="AH113" i="63" a="1"/>
  <c r="AH113" i="63" s="1"/>
  <c r="AH115" i="63" a="1"/>
  <c r="AH115" i="63" s="1"/>
  <c r="AH114" i="63" a="1"/>
  <c r="AH114" i="63" s="1"/>
  <c r="AH112" i="63" a="1"/>
  <c r="AH112" i="63" s="1"/>
  <c r="AG144" i="63"/>
  <c r="AG79" i="63"/>
  <c r="AH47" i="63" a="1"/>
  <c r="AH47" i="63" s="1"/>
  <c r="AH48" i="63" a="1"/>
  <c r="AH48" i="63" s="1"/>
  <c r="AH49" i="63" a="1"/>
  <c r="AH49" i="63" s="1"/>
  <c r="AH50" i="63" a="1"/>
  <c r="AH50" i="63" s="1"/>
  <c r="AH125" i="63" a="1"/>
  <c r="AH125" i="63" s="1"/>
  <c r="AH124" i="63" a="1"/>
  <c r="AH124" i="63" s="1"/>
  <c r="AH122" i="63" a="1"/>
  <c r="AH122" i="63" s="1"/>
  <c r="AH123" i="63" a="1"/>
  <c r="AH123" i="63" s="1"/>
  <c r="AG142" i="63"/>
  <c r="AH145" i="37"/>
  <c r="AH69" i="63" a="1"/>
  <c r="AH69" i="63" s="1"/>
  <c r="AH68" i="63" a="1"/>
  <c r="AH68" i="63" s="1"/>
  <c r="AH67" i="63" a="1"/>
  <c r="AH67" i="63" s="1"/>
  <c r="AH70" i="63" a="1"/>
  <c r="AH70" i="63" s="1"/>
  <c r="AH204" i="63"/>
  <c r="AH158" i="63" a="1"/>
  <c r="AH158" i="63" s="1"/>
  <c r="AH159" i="63" a="1"/>
  <c r="AH159" i="63" s="1"/>
  <c r="AH160" i="63" a="1"/>
  <c r="AH160" i="63" s="1"/>
  <c r="AH157" i="63" a="1"/>
  <c r="AH157" i="63" s="1"/>
  <c r="AG143" i="63"/>
  <c r="AH142" i="37"/>
  <c r="AI47" i="37" a="1"/>
  <c r="AI47" i="37" s="1"/>
  <c r="AI49" i="37" a="1"/>
  <c r="AI49" i="37" s="1"/>
  <c r="AI48" i="37" a="1"/>
  <c r="AI48" i="37" s="1"/>
  <c r="AI50" i="37" a="1"/>
  <c r="AI50" i="37" s="1"/>
  <c r="AI204" i="37"/>
  <c r="AI158" i="37" a="1"/>
  <c r="AI158" i="37" s="1"/>
  <c r="AI160" i="37" a="1"/>
  <c r="AI160" i="37" s="1"/>
  <c r="AI159" i="37" a="1"/>
  <c r="AI159" i="37" s="1"/>
  <c r="AI157" i="37" a="1"/>
  <c r="AI157" i="37" s="1"/>
  <c r="AI57" i="37" a="1"/>
  <c r="AI57" i="37" s="1"/>
  <c r="AI58" i="37" a="1"/>
  <c r="AI58" i="37" s="1"/>
  <c r="AI59" i="37" a="1"/>
  <c r="AI59" i="37" s="1"/>
  <c r="AI60" i="37" a="1"/>
  <c r="AI60" i="37" s="1"/>
  <c r="AI169" i="37" a="1"/>
  <c r="AI169" i="37" s="1"/>
  <c r="AI170" i="37" a="1"/>
  <c r="AI170" i="37" s="1"/>
  <c r="AI167" i="37" a="1"/>
  <c r="AI167" i="37" s="1"/>
  <c r="AI168" i="37" a="1"/>
  <c r="AI168" i="37" s="1"/>
  <c r="AI67" i="37" a="1"/>
  <c r="AI67" i="37" s="1"/>
  <c r="AI68" i="37" a="1"/>
  <c r="AI68" i="37" s="1"/>
  <c r="AI69" i="37" a="1"/>
  <c r="AI69" i="37" s="1"/>
  <c r="AI70" i="37" a="1"/>
  <c r="AI70" i="37" s="1"/>
  <c r="AI180" i="37" a="1"/>
  <c r="AI180" i="37" s="1"/>
  <c r="AI177" i="37" a="1"/>
  <c r="AI177" i="37" s="1"/>
  <c r="AI178" i="37" a="1"/>
  <c r="AI178" i="37" s="1"/>
  <c r="AI179" i="37" a="1"/>
  <c r="AI179" i="37" s="1"/>
  <c r="AH207" i="37"/>
  <c r="AH78" i="37"/>
  <c r="AI112" i="37" a="1"/>
  <c r="AI112" i="37" s="1"/>
  <c r="AI114" i="37" a="1"/>
  <c r="AI114" i="37" s="1"/>
  <c r="AI113" i="37" a="1"/>
  <c r="AI113" i="37" s="1"/>
  <c r="AI115" i="37" a="1"/>
  <c r="AI115" i="37" s="1"/>
  <c r="AI199" i="37" a="1"/>
  <c r="AI199" i="37" s="1"/>
  <c r="AI200" i="37" a="1"/>
  <c r="AI200" i="37" s="1"/>
  <c r="AI198" i="37" a="1"/>
  <c r="AI198" i="37" s="1"/>
  <c r="AI197" i="37" a="1"/>
  <c r="AI197" i="37" s="1"/>
  <c r="AJ184" i="37"/>
  <c r="AJ194" i="37"/>
  <c r="AJ174" i="37"/>
  <c r="AJ164" i="37"/>
  <c r="AJ154" i="37"/>
  <c r="AJ129" i="37"/>
  <c r="AJ119" i="37"/>
  <c r="AJ109" i="37"/>
  <c r="AJ99" i="37"/>
  <c r="AJ64" i="37"/>
  <c r="AJ54" i="37"/>
  <c r="AJ89" i="37"/>
  <c r="AJ44" i="37"/>
  <c r="AJ34" i="37"/>
  <c r="AJ24" i="37"/>
  <c r="AH210" i="37"/>
  <c r="AH77" i="37"/>
  <c r="AI139" i="37"/>
  <c r="AI94" i="37" a="1"/>
  <c r="AI94" i="37" s="1"/>
  <c r="AI95" i="37" a="1"/>
  <c r="AI95" i="37" s="1"/>
  <c r="AI93" i="37" a="1"/>
  <c r="AI93" i="37" s="1"/>
  <c r="AI92" i="37" a="1"/>
  <c r="AI92" i="37" s="1"/>
  <c r="AI187" i="37" a="1"/>
  <c r="AI187" i="37" s="1"/>
  <c r="AI190" i="37" a="1"/>
  <c r="AI190" i="37" s="1"/>
  <c r="AI188" i="37" a="1"/>
  <c r="AI188" i="37" s="1"/>
  <c r="AI189" i="37" a="1"/>
  <c r="AI189" i="37" s="1"/>
  <c r="AH208" i="37"/>
  <c r="AH80" i="37"/>
  <c r="AI103" i="37" a="1"/>
  <c r="AI103" i="37" s="1"/>
  <c r="AI104" i="37" a="1"/>
  <c r="AI104" i="37" s="1"/>
  <c r="AI105" i="37" a="1"/>
  <c r="AI105" i="37" s="1"/>
  <c r="AI102" i="37" a="1"/>
  <c r="AI102" i="37" s="1"/>
  <c r="AH209" i="37"/>
  <c r="AH79" i="37"/>
  <c r="AI74" i="37"/>
  <c r="AI30" i="37" a="1"/>
  <c r="AI30" i="37" s="1"/>
  <c r="AI27" i="37" a="1"/>
  <c r="AI27" i="37" s="1"/>
  <c r="AI28" i="37" a="1"/>
  <c r="AI28" i="37" s="1"/>
  <c r="AI29" i="37" a="1"/>
  <c r="AI29" i="37" s="1"/>
  <c r="AI134" i="37" a="1"/>
  <c r="AI134" i="37" s="1"/>
  <c r="AI133" i="37" a="1"/>
  <c r="AI133" i="37" s="1"/>
  <c r="AI135" i="37" a="1"/>
  <c r="AI135" i="37" s="1"/>
  <c r="AI132" i="37" a="1"/>
  <c r="AI132" i="37" s="1"/>
  <c r="AH143" i="37"/>
  <c r="AI37" i="37" a="1"/>
  <c r="AI37" i="37" s="1"/>
  <c r="AI38" i="37" a="1"/>
  <c r="AI38" i="37" s="1"/>
  <c r="AI39" i="37" a="1"/>
  <c r="AI39" i="37" s="1"/>
  <c r="AI40" i="37" a="1"/>
  <c r="AI40" i="37" s="1"/>
  <c r="AI123" i="37" a="1"/>
  <c r="AI123" i="37" s="1"/>
  <c r="AI124" i="37" a="1"/>
  <c r="AI124" i="37" s="1"/>
  <c r="AI122" i="37" a="1"/>
  <c r="AI122" i="37" s="1"/>
  <c r="AI125" i="37" a="1"/>
  <c r="AI125" i="37" s="1"/>
  <c r="AG8" i="65"/>
  <c r="AG8" i="63"/>
  <c r="AF8" i="18" s="1"/>
  <c r="AH8" i="37"/>
  <c r="AI8" i="64" s="1"/>
  <c r="AJ7" i="63"/>
  <c r="AJ34" i="38"/>
  <c r="AK6" i="65"/>
  <c r="AK36" i="65" s="1"/>
  <c r="AJ7" i="18"/>
  <c r="AJ6" i="18" s="1"/>
  <c r="AJ12" i="65"/>
  <c r="AJ29" i="65"/>
  <c r="AJ36" i="65"/>
  <c r="AJ14" i="65"/>
  <c r="AJ25" i="65" s="1"/>
  <c r="AL10" i="60"/>
  <c r="AL9" i="60" s="1"/>
  <c r="AI29" i="18"/>
  <c r="AI18" i="18" s="1"/>
  <c r="AJ35" i="64"/>
  <c r="AK6" i="64"/>
  <c r="AK7" i="37"/>
  <c r="AH207" i="63" l="1"/>
  <c r="AH208" i="63"/>
  <c r="AH209" i="63"/>
  <c r="AI69" i="63" a="1"/>
  <c r="AI69" i="63" s="1"/>
  <c r="AI67" i="63" a="1"/>
  <c r="AI67" i="63" s="1"/>
  <c r="AI70" i="63" a="1"/>
  <c r="AI70" i="63" s="1"/>
  <c r="AI68" i="63" a="1"/>
  <c r="AI68" i="63" s="1"/>
  <c r="AI139" i="63"/>
  <c r="AI93" i="63" a="1"/>
  <c r="AI93" i="63" s="1"/>
  <c r="AI95" i="63" a="1"/>
  <c r="AI95" i="63" s="1"/>
  <c r="AI94" i="63" a="1"/>
  <c r="AI94" i="63" s="1"/>
  <c r="AI92" i="63" a="1"/>
  <c r="AI92" i="63" s="1"/>
  <c r="AI188" i="63" a="1"/>
  <c r="AI188" i="63" s="1"/>
  <c r="AI187" i="63" a="1"/>
  <c r="AI187" i="63" s="1"/>
  <c r="AI189" i="63" a="1"/>
  <c r="AI189" i="63" s="1"/>
  <c r="AI190" i="63" a="1"/>
  <c r="AI190" i="63" s="1"/>
  <c r="AI180" i="63" a="1"/>
  <c r="AI180" i="63" s="1"/>
  <c r="AI178" i="63" a="1"/>
  <c r="AI178" i="63" s="1"/>
  <c r="AI179" i="63" a="1"/>
  <c r="AI179" i="63" s="1"/>
  <c r="AI177" i="63" a="1"/>
  <c r="AI177" i="63" s="1"/>
  <c r="AI123" i="63" a="1"/>
  <c r="AI123" i="63" s="1"/>
  <c r="AI124" i="63" a="1"/>
  <c r="AI124" i="63" s="1"/>
  <c r="AI125" i="63" a="1"/>
  <c r="AI125" i="63" s="1"/>
  <c r="AI122" i="63" a="1"/>
  <c r="AI122" i="63" s="1"/>
  <c r="AI197" i="63" a="1"/>
  <c r="AI197" i="63" s="1"/>
  <c r="AI198" i="63" a="1"/>
  <c r="AI198" i="63" s="1"/>
  <c r="AI199" i="63" a="1"/>
  <c r="AI199" i="63" s="1"/>
  <c r="AI200" i="63" a="1"/>
  <c r="AI200" i="63" s="1"/>
  <c r="AH144" i="63"/>
  <c r="AH210" i="63"/>
  <c r="AI102" i="63" a="1"/>
  <c r="AI102" i="63" s="1"/>
  <c r="AI104" i="63" a="1"/>
  <c r="AI104" i="63" s="1"/>
  <c r="AI103" i="63" a="1"/>
  <c r="AI103" i="63" s="1"/>
  <c r="AI105" i="63" a="1"/>
  <c r="AI105" i="63" s="1"/>
  <c r="AH78" i="63"/>
  <c r="AH145" i="63"/>
  <c r="AI38" i="63" a="1"/>
  <c r="AI38" i="63" s="1"/>
  <c r="AI37" i="63" a="1"/>
  <c r="AI37" i="63" s="1"/>
  <c r="AI40" i="63" a="1"/>
  <c r="AI40" i="63" s="1"/>
  <c r="AI39" i="63" a="1"/>
  <c r="AI39" i="63" s="1"/>
  <c r="AI115" i="63" a="1"/>
  <c r="AI115" i="63" s="1"/>
  <c r="AI112" i="63" a="1"/>
  <c r="AI112" i="63" s="1"/>
  <c r="AI113" i="63" a="1"/>
  <c r="AI113" i="63" s="1"/>
  <c r="AI114" i="63" a="1"/>
  <c r="AI114" i="63" s="1"/>
  <c r="AH77" i="63"/>
  <c r="AH143" i="63"/>
  <c r="AJ194" i="63"/>
  <c r="AJ184" i="63"/>
  <c r="AJ174" i="63"/>
  <c r="AJ164" i="63"/>
  <c r="AJ154" i="63"/>
  <c r="AJ119" i="63"/>
  <c r="AJ129" i="63"/>
  <c r="AJ109" i="63"/>
  <c r="AJ99" i="63"/>
  <c r="AJ64" i="63"/>
  <c r="AJ54" i="63"/>
  <c r="AJ44" i="63"/>
  <c r="AJ34" i="63"/>
  <c r="AJ24" i="63"/>
  <c r="AJ89" i="63"/>
  <c r="AI50" i="63" a="1"/>
  <c r="AI50" i="63" s="1"/>
  <c r="AI47" i="63" a="1"/>
  <c r="AI47" i="63" s="1"/>
  <c r="AI48" i="63" a="1"/>
  <c r="AI48" i="63" s="1"/>
  <c r="AI49" i="63" a="1"/>
  <c r="AI49" i="63" s="1"/>
  <c r="AI133" i="63" a="1"/>
  <c r="AI133" i="63" s="1"/>
  <c r="AI134" i="63" a="1"/>
  <c r="AI134" i="63" s="1"/>
  <c r="AI132" i="63" a="1"/>
  <c r="AI132" i="63" s="1"/>
  <c r="AI135" i="63" a="1"/>
  <c r="AI135" i="63" s="1"/>
  <c r="AH79" i="63"/>
  <c r="AH142" i="63"/>
  <c r="AI74" i="63"/>
  <c r="AI27" i="63" a="1"/>
  <c r="AI27" i="63" s="1"/>
  <c r="AI28" i="63" a="1"/>
  <c r="AI28" i="63" s="1"/>
  <c r="AI30" i="63" a="1"/>
  <c r="AI30" i="63" s="1"/>
  <c r="AI29" i="63" a="1"/>
  <c r="AI29" i="63" s="1"/>
  <c r="AI204" i="63"/>
  <c r="AI158" i="63" a="1"/>
  <c r="AI158" i="63" s="1"/>
  <c r="AI159" i="63" a="1"/>
  <c r="AI159" i="63" s="1"/>
  <c r="AI157" i="63" a="1"/>
  <c r="AI157" i="63" s="1"/>
  <c r="AI160" i="63" a="1"/>
  <c r="AI160" i="63" s="1"/>
  <c r="AH80" i="63"/>
  <c r="AI60" i="63" a="1"/>
  <c r="AI60" i="63" s="1"/>
  <c r="AI58" i="63" a="1"/>
  <c r="AI58" i="63" s="1"/>
  <c r="AI57" i="63" a="1"/>
  <c r="AI57" i="63" s="1"/>
  <c r="AI59" i="63" a="1"/>
  <c r="AI59" i="63" s="1"/>
  <c r="AI170" i="63" a="1"/>
  <c r="AI170" i="63" s="1"/>
  <c r="AI169" i="63" a="1"/>
  <c r="AI169" i="63" s="1"/>
  <c r="AI167" i="63" a="1"/>
  <c r="AI167" i="63" s="1"/>
  <c r="AI168" i="63" a="1"/>
  <c r="AI168" i="63" s="1"/>
  <c r="AI80" i="37"/>
  <c r="AI77" i="37"/>
  <c r="AI143" i="37"/>
  <c r="AJ49" i="37" a="1"/>
  <c r="AJ49" i="37" s="1"/>
  <c r="AJ50" i="37" a="1"/>
  <c r="AJ50" i="37" s="1"/>
  <c r="AJ48" i="37" a="1"/>
  <c r="AJ48" i="37" s="1"/>
  <c r="AJ47" i="37" a="1"/>
  <c r="AJ47" i="37" s="1"/>
  <c r="AJ204" i="37"/>
  <c r="AJ160" i="37" a="1"/>
  <c r="AJ160" i="37" s="1"/>
  <c r="AJ158" i="37" a="1"/>
  <c r="AJ158" i="37" s="1"/>
  <c r="AJ159" i="37" a="1"/>
  <c r="AJ159" i="37" s="1"/>
  <c r="AJ157" i="37" a="1"/>
  <c r="AJ157" i="37" s="1"/>
  <c r="AI209" i="37"/>
  <c r="AI145" i="37"/>
  <c r="AJ139" i="37"/>
  <c r="AJ94" i="37" a="1"/>
  <c r="AJ94" i="37" s="1"/>
  <c r="AJ95" i="37" a="1"/>
  <c r="AJ95" i="37" s="1"/>
  <c r="AJ93" i="37" a="1"/>
  <c r="AJ93" i="37" s="1"/>
  <c r="AJ92" i="37" a="1"/>
  <c r="AJ92" i="37" s="1"/>
  <c r="AJ167" i="37" a="1"/>
  <c r="AJ167" i="37" s="1"/>
  <c r="AJ170" i="37" a="1"/>
  <c r="AJ170" i="37" s="1"/>
  <c r="AJ168" i="37" a="1"/>
  <c r="AJ168" i="37" s="1"/>
  <c r="AJ169" i="37" a="1"/>
  <c r="AJ169" i="37" s="1"/>
  <c r="AI210" i="37"/>
  <c r="AI144" i="37"/>
  <c r="AJ58" i="37" a="1"/>
  <c r="AJ58" i="37" s="1"/>
  <c r="AJ59" i="37" a="1"/>
  <c r="AJ59" i="37" s="1"/>
  <c r="AJ60" i="37" a="1"/>
  <c r="AJ60" i="37" s="1"/>
  <c r="AJ57" i="37" a="1"/>
  <c r="AJ57" i="37" s="1"/>
  <c r="AJ180" i="37" a="1"/>
  <c r="AJ180" i="37" s="1"/>
  <c r="AJ177" i="37" a="1"/>
  <c r="AJ177" i="37" s="1"/>
  <c r="AJ178" i="37" a="1"/>
  <c r="AJ178" i="37" s="1"/>
  <c r="AJ179" i="37" a="1"/>
  <c r="AJ179" i="37" s="1"/>
  <c r="AI208" i="37"/>
  <c r="AJ68" i="37" a="1"/>
  <c r="AJ68" i="37" s="1"/>
  <c r="AJ69" i="37" a="1"/>
  <c r="AJ69" i="37" s="1"/>
  <c r="AJ70" i="37" a="1"/>
  <c r="AJ70" i="37" s="1"/>
  <c r="AJ67" i="37" a="1"/>
  <c r="AJ67" i="37" s="1"/>
  <c r="AJ200" i="37" a="1"/>
  <c r="AJ200" i="37" s="1"/>
  <c r="AJ197" i="37" a="1"/>
  <c r="AJ197" i="37" s="1"/>
  <c r="AJ199" i="37" a="1"/>
  <c r="AJ199" i="37" s="1"/>
  <c r="AJ198" i="37" a="1"/>
  <c r="AJ198" i="37" s="1"/>
  <c r="AK184" i="37"/>
  <c r="AK194" i="37"/>
  <c r="AK174" i="37"/>
  <c r="AK164" i="37"/>
  <c r="AK154" i="37"/>
  <c r="AK129" i="37"/>
  <c r="AK119" i="37"/>
  <c r="AK109" i="37"/>
  <c r="AK99" i="37"/>
  <c r="AK89" i="37"/>
  <c r="AK64" i="37"/>
  <c r="AK54" i="37"/>
  <c r="AK34" i="37"/>
  <c r="AK24" i="37"/>
  <c r="AK44" i="37"/>
  <c r="AJ104" i="37" a="1"/>
  <c r="AJ104" i="37" s="1"/>
  <c r="AJ105" i="37" a="1"/>
  <c r="AJ105" i="37" s="1"/>
  <c r="AJ102" i="37" a="1"/>
  <c r="AJ102" i="37" s="1"/>
  <c r="AJ103" i="37" a="1"/>
  <c r="AJ103" i="37" s="1"/>
  <c r="AJ188" i="37" a="1"/>
  <c r="AJ188" i="37" s="1"/>
  <c r="AJ190" i="37" a="1"/>
  <c r="AJ190" i="37" s="1"/>
  <c r="AJ189" i="37" a="1"/>
  <c r="AJ189" i="37" s="1"/>
  <c r="AJ187" i="37" a="1"/>
  <c r="AJ187" i="37" s="1"/>
  <c r="AJ113" i="37" a="1"/>
  <c r="AJ113" i="37" s="1"/>
  <c r="AJ115" i="37" a="1"/>
  <c r="AJ115" i="37" s="1"/>
  <c r="AJ114" i="37" a="1"/>
  <c r="AJ114" i="37" s="1"/>
  <c r="AJ112" i="37" a="1"/>
  <c r="AJ112" i="37" s="1"/>
  <c r="AI79" i="37"/>
  <c r="AJ74" i="37"/>
  <c r="AJ27" i="37" a="1"/>
  <c r="AJ27" i="37" s="1"/>
  <c r="AJ28" i="37" a="1"/>
  <c r="AJ28" i="37" s="1"/>
  <c r="AJ29" i="37" a="1"/>
  <c r="AJ29" i="37" s="1"/>
  <c r="AJ30" i="37" a="1"/>
  <c r="AJ30" i="37" s="1"/>
  <c r="AJ124" i="37" a="1"/>
  <c r="AJ124" i="37" s="1"/>
  <c r="AJ122" i="37" a="1"/>
  <c r="AJ122" i="37" s="1"/>
  <c r="AJ125" i="37" a="1"/>
  <c r="AJ125" i="37" s="1"/>
  <c r="AJ123" i="37" a="1"/>
  <c r="AJ123" i="37" s="1"/>
  <c r="AI78" i="37"/>
  <c r="AI142" i="37"/>
  <c r="AJ38" i="37" a="1"/>
  <c r="AJ38" i="37" s="1"/>
  <c r="AJ39" i="37" a="1"/>
  <c r="AJ39" i="37" s="1"/>
  <c r="AJ40" i="37" a="1"/>
  <c r="AJ40" i="37" s="1"/>
  <c r="AJ37" i="37" a="1"/>
  <c r="AJ37" i="37" s="1"/>
  <c r="AJ135" i="37" a="1"/>
  <c r="AJ135" i="37" s="1"/>
  <c r="AJ134" i="37" a="1"/>
  <c r="AJ134" i="37" s="1"/>
  <c r="AJ133" i="37" a="1"/>
  <c r="AJ133" i="37" s="1"/>
  <c r="AJ132" i="37" a="1"/>
  <c r="AJ132" i="37" s="1"/>
  <c r="AI207" i="37"/>
  <c r="AH8" i="65"/>
  <c r="AI8" i="37"/>
  <c r="AJ8" i="64" s="1"/>
  <c r="AL6" i="65"/>
  <c r="AL5" i="65" s="1"/>
  <c r="AH8" i="63"/>
  <c r="AI8" i="65" s="1"/>
  <c r="AK7" i="63"/>
  <c r="AK14" i="65"/>
  <c r="AK25" i="65" s="1"/>
  <c r="AK12" i="65"/>
  <c r="AK29" i="65"/>
  <c r="AK34" i="38"/>
  <c r="AL34" i="38" s="1"/>
  <c r="AK5" i="64"/>
  <c r="AK5" i="65"/>
  <c r="AK7" i="18"/>
  <c r="AK6" i="18" s="1"/>
  <c r="AM10" i="60"/>
  <c r="AJ29" i="18"/>
  <c r="AJ18" i="18" s="1"/>
  <c r="AL6" i="64"/>
  <c r="AK35" i="64"/>
  <c r="AL7" i="37"/>
  <c r="AM7" i="37" s="1"/>
  <c r="AM194" i="37" l="1"/>
  <c r="AM174" i="37"/>
  <c r="AM154" i="37"/>
  <c r="AM119" i="37"/>
  <c r="AM99" i="37"/>
  <c r="AM44" i="37"/>
  <c r="AM64" i="37"/>
  <c r="AM24" i="37"/>
  <c r="AM184" i="37"/>
  <c r="AM164" i="37"/>
  <c r="AM129" i="37"/>
  <c r="AM109" i="37"/>
  <c r="AM89" i="37"/>
  <c r="AM54" i="37"/>
  <c r="AM34" i="37"/>
  <c r="AM9" i="60"/>
  <c r="AI210" i="63"/>
  <c r="AI79" i="63"/>
  <c r="AJ145" i="37"/>
  <c r="AJ210" i="37"/>
  <c r="AI80" i="63"/>
  <c r="AJ204" i="63"/>
  <c r="AJ159" i="63" a="1"/>
  <c r="AJ159" i="63" s="1"/>
  <c r="AJ158" i="63" a="1"/>
  <c r="AJ158" i="63" s="1"/>
  <c r="AJ157" i="63" a="1"/>
  <c r="AJ157" i="63" s="1"/>
  <c r="AJ160" i="63" a="1"/>
  <c r="AJ160" i="63" s="1"/>
  <c r="AI144" i="63"/>
  <c r="AI78" i="63"/>
  <c r="AJ48" i="63" a="1"/>
  <c r="AJ48" i="63" s="1"/>
  <c r="AJ49" i="63" a="1"/>
  <c r="AJ49" i="63" s="1"/>
  <c r="AJ50" i="63" a="1"/>
  <c r="AJ50" i="63" s="1"/>
  <c r="AJ47" i="63" a="1"/>
  <c r="AJ47" i="63" s="1"/>
  <c r="AJ167" i="63" a="1"/>
  <c r="AJ167" i="63" s="1"/>
  <c r="AJ169" i="63" a="1"/>
  <c r="AJ169" i="63" s="1"/>
  <c r="AJ168" i="63" a="1"/>
  <c r="AJ168" i="63" s="1"/>
  <c r="AJ170" i="63" a="1"/>
  <c r="AJ170" i="63" s="1"/>
  <c r="AI145" i="63"/>
  <c r="AK194" i="63"/>
  <c r="AK184" i="63"/>
  <c r="AK174" i="63"/>
  <c r="AK164" i="63"/>
  <c r="AK154" i="63"/>
  <c r="AK109" i="63"/>
  <c r="AK119" i="63"/>
  <c r="AK129" i="63"/>
  <c r="AK89" i="63"/>
  <c r="AK99" i="63"/>
  <c r="AK64" i="63"/>
  <c r="AK54" i="63"/>
  <c r="AK44" i="63"/>
  <c r="AK24" i="63"/>
  <c r="AK34" i="63"/>
  <c r="AI77" i="63"/>
  <c r="AJ57" i="63" a="1"/>
  <c r="AJ57" i="63" s="1"/>
  <c r="AJ60" i="63" a="1"/>
  <c r="AJ60" i="63" s="1"/>
  <c r="AJ59" i="63" a="1"/>
  <c r="AJ59" i="63" s="1"/>
  <c r="AJ58" i="63" a="1"/>
  <c r="AJ58" i="63" s="1"/>
  <c r="AJ180" i="63" a="1"/>
  <c r="AJ180" i="63" s="1"/>
  <c r="AJ179" i="63" a="1"/>
  <c r="AJ179" i="63" s="1"/>
  <c r="AJ178" i="63" a="1"/>
  <c r="AJ178" i="63" s="1"/>
  <c r="AJ177" i="63" a="1"/>
  <c r="AJ177" i="63" s="1"/>
  <c r="AI143" i="63"/>
  <c r="AI207" i="63"/>
  <c r="AJ68" i="63" a="1"/>
  <c r="AJ68" i="63" s="1"/>
  <c r="AJ70" i="63" a="1"/>
  <c r="AJ70" i="63" s="1"/>
  <c r="AJ67" i="63" a="1"/>
  <c r="AJ67" i="63" s="1"/>
  <c r="AJ69" i="63" a="1"/>
  <c r="AJ69" i="63" s="1"/>
  <c r="AJ189" i="63" a="1"/>
  <c r="AJ189" i="63" s="1"/>
  <c r="AJ187" i="63" a="1"/>
  <c r="AJ187" i="63" s="1"/>
  <c r="AJ190" i="63" a="1"/>
  <c r="AJ190" i="63" s="1"/>
  <c r="AJ188" i="63" a="1"/>
  <c r="AJ188" i="63" s="1"/>
  <c r="AJ37" i="63" a="1"/>
  <c r="AJ37" i="63" s="1"/>
  <c r="AJ40" i="63" a="1"/>
  <c r="AJ40" i="63" s="1"/>
  <c r="AJ39" i="63" a="1"/>
  <c r="AJ39" i="63" s="1"/>
  <c r="AJ38" i="63" a="1"/>
  <c r="AJ38" i="63" s="1"/>
  <c r="AI209" i="63"/>
  <c r="AJ104" i="63" a="1"/>
  <c r="AJ104" i="63" s="1"/>
  <c r="AJ103" i="63" a="1"/>
  <c r="AJ103" i="63" s="1"/>
  <c r="AJ105" i="63" a="1"/>
  <c r="AJ105" i="63" s="1"/>
  <c r="AJ102" i="63" a="1"/>
  <c r="AJ102" i="63" s="1"/>
  <c r="AJ199" i="63" a="1"/>
  <c r="AJ199" i="63" s="1"/>
  <c r="AJ198" i="63" a="1"/>
  <c r="AJ198" i="63" s="1"/>
  <c r="AJ200" i="63" a="1"/>
  <c r="AJ200" i="63" s="1"/>
  <c r="AJ197" i="63" a="1"/>
  <c r="AJ197" i="63" s="1"/>
  <c r="AI208" i="63"/>
  <c r="AJ115" i="63" a="1"/>
  <c r="AJ115" i="63" s="1"/>
  <c r="AJ114" i="63" a="1"/>
  <c r="AJ114" i="63" s="1"/>
  <c r="AJ112" i="63" a="1"/>
  <c r="AJ112" i="63" s="1"/>
  <c r="AJ113" i="63" a="1"/>
  <c r="AJ113" i="63" s="1"/>
  <c r="AJ139" i="63"/>
  <c r="AJ94" i="63" a="1"/>
  <c r="AJ94" i="63" s="1"/>
  <c r="AJ95" i="63" a="1"/>
  <c r="AJ95" i="63" s="1"/>
  <c r="AJ93" i="63" a="1"/>
  <c r="AJ93" i="63" s="1"/>
  <c r="AJ92" i="63" a="1"/>
  <c r="AJ92" i="63" s="1"/>
  <c r="AJ135" i="63" a="1"/>
  <c r="AJ135" i="63" s="1"/>
  <c r="AJ134" i="63" a="1"/>
  <c r="AJ134" i="63" s="1"/>
  <c r="AJ133" i="63" a="1"/>
  <c r="AJ133" i="63" s="1"/>
  <c r="AJ132" i="63" a="1"/>
  <c r="AJ132" i="63" s="1"/>
  <c r="AJ74" i="63"/>
  <c r="AJ29" i="63" a="1"/>
  <c r="AJ29" i="63" s="1"/>
  <c r="AJ28" i="63" a="1"/>
  <c r="AJ28" i="63" s="1"/>
  <c r="AJ30" i="63" a="1"/>
  <c r="AJ30" i="63" s="1"/>
  <c r="AJ27" i="63" a="1"/>
  <c r="AJ27" i="63" s="1"/>
  <c r="AJ124" i="63" a="1"/>
  <c r="AJ124" i="63" s="1"/>
  <c r="AJ123" i="63" a="1"/>
  <c r="AJ123" i="63" s="1"/>
  <c r="AJ125" i="63" a="1"/>
  <c r="AJ125" i="63" s="1"/>
  <c r="AJ122" i="63" a="1"/>
  <c r="AJ122" i="63" s="1"/>
  <c r="AI142" i="63"/>
  <c r="AJ78" i="37"/>
  <c r="AJ77" i="37"/>
  <c r="AK74" i="37"/>
  <c r="AK28" i="37" a="1"/>
  <c r="AK28" i="37" s="1"/>
  <c r="AK29" i="37" a="1"/>
  <c r="AK29" i="37" s="1"/>
  <c r="AK30" i="37" a="1"/>
  <c r="AK30" i="37" s="1"/>
  <c r="AK27" i="37" a="1"/>
  <c r="AK27" i="37" s="1"/>
  <c r="AK134" i="37" a="1"/>
  <c r="AK134" i="37" s="1"/>
  <c r="AK132" i="37" a="1"/>
  <c r="AK132" i="37" s="1"/>
  <c r="AK135" i="37" a="1"/>
  <c r="AK135" i="37" s="1"/>
  <c r="AK133" i="37" a="1"/>
  <c r="AK133" i="37" s="1"/>
  <c r="AJ144" i="37"/>
  <c r="AK39" i="37" a="1"/>
  <c r="AK39" i="37" s="1"/>
  <c r="AK40" i="37" a="1"/>
  <c r="AK40" i="37" s="1"/>
  <c r="AK37" i="37" a="1"/>
  <c r="AK37" i="37" s="1"/>
  <c r="AK38" i="37" a="1"/>
  <c r="AK38" i="37" s="1"/>
  <c r="AK204" i="37"/>
  <c r="AK160" i="37" a="1"/>
  <c r="AK160" i="37" s="1"/>
  <c r="AK158" i="37" a="1"/>
  <c r="AK158" i="37" s="1"/>
  <c r="AK157" i="37" a="1"/>
  <c r="AK157" i="37" s="1"/>
  <c r="AK159" i="37" a="1"/>
  <c r="AK159" i="37" s="1"/>
  <c r="AK59" i="37" a="1"/>
  <c r="AK59" i="37" s="1"/>
  <c r="AK60" i="37" a="1"/>
  <c r="AK60" i="37" s="1"/>
  <c r="AK57" i="37" a="1"/>
  <c r="AK57" i="37" s="1"/>
  <c r="AK58" i="37" a="1"/>
  <c r="AK58" i="37" s="1"/>
  <c r="AK170" i="37" a="1"/>
  <c r="AK170" i="37" s="1"/>
  <c r="AK169" i="37" a="1"/>
  <c r="AK169" i="37" s="1"/>
  <c r="AK167" i="37" a="1"/>
  <c r="AK167" i="37" s="1"/>
  <c r="AK168" i="37" a="1"/>
  <c r="AK168" i="37" s="1"/>
  <c r="AK50" i="37" a="1"/>
  <c r="AK50" i="37" s="1"/>
  <c r="AK48" i="37" a="1"/>
  <c r="AK48" i="37" s="1"/>
  <c r="AK47" i="37" a="1"/>
  <c r="AK47" i="37" s="1"/>
  <c r="AK49" i="37" a="1"/>
  <c r="AK49" i="37" s="1"/>
  <c r="AK69" i="37" a="1"/>
  <c r="AK69" i="37" s="1"/>
  <c r="AK70" i="37" a="1"/>
  <c r="AK70" i="37" s="1"/>
  <c r="AK67" i="37" a="1"/>
  <c r="AK67" i="37" s="1"/>
  <c r="AK68" i="37" a="1"/>
  <c r="AK68" i="37" s="1"/>
  <c r="AK178" i="37" a="1"/>
  <c r="AK178" i="37" s="1"/>
  <c r="AK179" i="37" a="1"/>
  <c r="AK179" i="37" s="1"/>
  <c r="AK180" i="37" a="1"/>
  <c r="AK180" i="37" s="1"/>
  <c r="AK177" i="37" a="1"/>
  <c r="AK177" i="37" s="1"/>
  <c r="AK139" i="37"/>
  <c r="AK94" i="37" a="1"/>
  <c r="AK94" i="37" s="1"/>
  <c r="AK95" i="37" a="1"/>
  <c r="AK95" i="37" s="1"/>
  <c r="AK92" i="37" a="1"/>
  <c r="AK92" i="37" s="1"/>
  <c r="AK93" i="37" a="1"/>
  <c r="AK93" i="37" s="1"/>
  <c r="AK197" i="37" a="1"/>
  <c r="AK197" i="37" s="1"/>
  <c r="AK198" i="37" a="1"/>
  <c r="AK198" i="37" s="1"/>
  <c r="AK200" i="37" a="1"/>
  <c r="AK200" i="37" s="1"/>
  <c r="AK199" i="37" a="1"/>
  <c r="AK199" i="37" s="1"/>
  <c r="AJ207" i="37"/>
  <c r="AL194" i="37"/>
  <c r="AL174" i="37"/>
  <c r="AL184" i="37"/>
  <c r="AL154" i="37"/>
  <c r="AL164" i="37"/>
  <c r="AL119" i="37"/>
  <c r="AL129" i="37"/>
  <c r="AL109" i="37"/>
  <c r="AL99" i="37"/>
  <c r="AL89" i="37"/>
  <c r="AL64" i="37"/>
  <c r="AL24" i="37"/>
  <c r="AL44" i="37"/>
  <c r="AL54" i="37"/>
  <c r="AL34" i="37"/>
  <c r="AK124" i="37" a="1"/>
  <c r="AK124" i="37" s="1"/>
  <c r="AK122" i="37" a="1"/>
  <c r="AK122" i="37" s="1"/>
  <c r="AK125" i="37" a="1"/>
  <c r="AK125" i="37" s="1"/>
  <c r="AK123" i="37" a="1"/>
  <c r="AK123" i="37" s="1"/>
  <c r="AJ80" i="37"/>
  <c r="AK105" i="37" a="1"/>
  <c r="AK105" i="37" s="1"/>
  <c r="AK102" i="37" a="1"/>
  <c r="AK102" i="37" s="1"/>
  <c r="AK103" i="37" a="1"/>
  <c r="AK103" i="37" s="1"/>
  <c r="AK104" i="37" a="1"/>
  <c r="AK104" i="37" s="1"/>
  <c r="AK190" i="37" a="1"/>
  <c r="AK190" i="37" s="1"/>
  <c r="AK189" i="37" a="1"/>
  <c r="AK189" i="37" s="1"/>
  <c r="AK187" i="37" a="1"/>
  <c r="AK187" i="37" s="1"/>
  <c r="AK188" i="37" a="1"/>
  <c r="AK188" i="37" s="1"/>
  <c r="AJ142" i="37"/>
  <c r="AJ209" i="37"/>
  <c r="AJ79" i="37"/>
  <c r="AK114" i="37" a="1"/>
  <c r="AK114" i="37" s="1"/>
  <c r="AK112" i="37" a="1"/>
  <c r="AK112" i="37" s="1"/>
  <c r="AK113" i="37" a="1"/>
  <c r="AK113" i="37" s="1"/>
  <c r="AK115" i="37" a="1"/>
  <c r="AK115" i="37" s="1"/>
  <c r="AJ143" i="37"/>
  <c r="AJ208" i="37"/>
  <c r="AM6" i="65"/>
  <c r="AL29" i="65"/>
  <c r="AL12" i="65"/>
  <c r="AL36" i="65"/>
  <c r="AL14" i="65"/>
  <c r="AL25" i="65" s="1"/>
  <c r="AJ8" i="37"/>
  <c r="AK8" i="64" s="1"/>
  <c r="AG8" i="18"/>
  <c r="AI8" i="63"/>
  <c r="AH8" i="18" s="1"/>
  <c r="AL7" i="63"/>
  <c r="AM7" i="63" s="1"/>
  <c r="AM34" i="38"/>
  <c r="AM35" i="38" s="1"/>
  <c r="AL5" i="64"/>
  <c r="AL7" i="18"/>
  <c r="AL6" i="18" s="1"/>
  <c r="AK29" i="18"/>
  <c r="AK18" i="18" s="1"/>
  <c r="AM6" i="64"/>
  <c r="AN6" i="64" s="1"/>
  <c r="AL35" i="64"/>
  <c r="AN7" i="37"/>
  <c r="AM14" i="65" l="1"/>
  <c r="AM25" i="65" s="1"/>
  <c r="AN6" i="65"/>
  <c r="AN5" i="64"/>
  <c r="AN35" i="64"/>
  <c r="AN34" i="64"/>
  <c r="AM194" i="63"/>
  <c r="AM174" i="63"/>
  <c r="AM154" i="63"/>
  <c r="AM119" i="63"/>
  <c r="AM99" i="63"/>
  <c r="AM64" i="63"/>
  <c r="AM44" i="63"/>
  <c r="AM24" i="63"/>
  <c r="AM184" i="63"/>
  <c r="AM164" i="63"/>
  <c r="AM129" i="63"/>
  <c r="AM109" i="63"/>
  <c r="AM89" i="63"/>
  <c r="AM54" i="63"/>
  <c r="AM34" i="63"/>
  <c r="AM27" i="37" a="1"/>
  <c r="AM27" i="37" s="1"/>
  <c r="AM30" i="37" a="1"/>
  <c r="AM30" i="37" s="1"/>
  <c r="AM74" i="37"/>
  <c r="AM29" i="37" a="1"/>
  <c r="AM29" i="37" s="1"/>
  <c r="AM28" i="37" a="1"/>
  <c r="AM28" i="37" s="1"/>
  <c r="AM25" i="37"/>
  <c r="AM39" i="37" a="1"/>
  <c r="AM39" i="37" s="1"/>
  <c r="AM38" i="37" a="1"/>
  <c r="AM38" i="37" s="1"/>
  <c r="AM37" i="37" a="1"/>
  <c r="AM37" i="37" s="1"/>
  <c r="AM40" i="37" a="1"/>
  <c r="AM40" i="37" s="1"/>
  <c r="AM35" i="37"/>
  <c r="AM67" i="37" a="1"/>
  <c r="AM67" i="37" s="1"/>
  <c r="AM70" i="37" a="1"/>
  <c r="AM70" i="37" s="1"/>
  <c r="AM69" i="37" a="1"/>
  <c r="AM69" i="37" s="1"/>
  <c r="AM68" i="37" a="1"/>
  <c r="AM68" i="37" s="1"/>
  <c r="AM65" i="37"/>
  <c r="AM59" i="37" a="1"/>
  <c r="AM59" i="37" s="1"/>
  <c r="AM58" i="37" a="1"/>
  <c r="AM58" i="37" s="1"/>
  <c r="AM57" i="37" a="1"/>
  <c r="AM57" i="37" s="1"/>
  <c r="AM60" i="37" a="1"/>
  <c r="AM60" i="37" s="1"/>
  <c r="AM55" i="37"/>
  <c r="AM47" i="37" a="1"/>
  <c r="AM47" i="37" s="1"/>
  <c r="AM50" i="37" a="1"/>
  <c r="AM50" i="37" s="1"/>
  <c r="AM49" i="37" a="1"/>
  <c r="AM49" i="37" s="1"/>
  <c r="AM48" i="37" a="1"/>
  <c r="AM48" i="37" s="1"/>
  <c r="AM45" i="37"/>
  <c r="AM139" i="37"/>
  <c r="AM93" i="37" a="1"/>
  <c r="AM93" i="37" s="1"/>
  <c r="AM92" i="37" a="1"/>
  <c r="AM92" i="37" s="1"/>
  <c r="AM94" i="37" a="1"/>
  <c r="AM94" i="37" s="1"/>
  <c r="AM95" i="37" a="1"/>
  <c r="AM95" i="37" s="1"/>
  <c r="AM90" i="37"/>
  <c r="AM105" i="37" a="1"/>
  <c r="AM105" i="37" s="1"/>
  <c r="AM104" i="37" a="1"/>
  <c r="AM104" i="37" s="1"/>
  <c r="AM102" i="37" a="1"/>
  <c r="AM102" i="37" s="1"/>
  <c r="AM103" i="37" a="1"/>
  <c r="AM103" i="37" s="1"/>
  <c r="AM100" i="37"/>
  <c r="AM113" i="37" a="1"/>
  <c r="AM113" i="37" s="1"/>
  <c r="AM112" i="37" a="1"/>
  <c r="AM112" i="37" s="1"/>
  <c r="AM114" i="37" a="1"/>
  <c r="AM114" i="37" s="1"/>
  <c r="AM115" i="37" a="1"/>
  <c r="AM115" i="37" s="1"/>
  <c r="AM110" i="37"/>
  <c r="AM125" i="37" a="1"/>
  <c r="AM125" i="37" s="1"/>
  <c r="AM124" i="37" a="1"/>
  <c r="AM124" i="37" s="1"/>
  <c r="AM123" i="37" a="1"/>
  <c r="AM123" i="37" s="1"/>
  <c r="AM122" i="37" a="1"/>
  <c r="AM122" i="37" s="1"/>
  <c r="AM120" i="37"/>
  <c r="AM133" i="37" a="1"/>
  <c r="AM133" i="37" s="1"/>
  <c r="AM132" i="37" a="1"/>
  <c r="AM132" i="37" s="1"/>
  <c r="AM135" i="37" a="1"/>
  <c r="AM135" i="37" s="1"/>
  <c r="AM134" i="37" a="1"/>
  <c r="AM134" i="37" s="1"/>
  <c r="AM130" i="37"/>
  <c r="AM160" i="37" a="1"/>
  <c r="AM160" i="37" s="1"/>
  <c r="AM159" i="37" a="1"/>
  <c r="AM159" i="37" s="1"/>
  <c r="AM158" i="37" a="1"/>
  <c r="AM158" i="37" s="1"/>
  <c r="AM204" i="37"/>
  <c r="AM157" i="37" a="1"/>
  <c r="AM157" i="37" s="1"/>
  <c r="AM155" i="37"/>
  <c r="AM168" i="37" a="1"/>
  <c r="AM168" i="37" s="1"/>
  <c r="AM167" i="37" a="1"/>
  <c r="AM167" i="37" s="1"/>
  <c r="AM170" i="37" a="1"/>
  <c r="AM170" i="37" s="1"/>
  <c r="AM169" i="37" a="1"/>
  <c r="AM169" i="37" s="1"/>
  <c r="AM165" i="37"/>
  <c r="AM180" i="37" a="1"/>
  <c r="AM180" i="37" s="1"/>
  <c r="AM179" i="37" a="1"/>
  <c r="AM179" i="37" s="1"/>
  <c r="AM178" i="37" a="1"/>
  <c r="AM178" i="37" s="1"/>
  <c r="AM177" i="37" a="1"/>
  <c r="AM177" i="37" s="1"/>
  <c r="AM175" i="37"/>
  <c r="AM188" i="37" a="1"/>
  <c r="AM188" i="37" s="1"/>
  <c r="AM187" i="37" a="1"/>
  <c r="AM187" i="37" s="1"/>
  <c r="AM190" i="37" a="1"/>
  <c r="AM190" i="37" s="1"/>
  <c r="AM189" i="37" a="1"/>
  <c r="AM189" i="37" s="1"/>
  <c r="AM185" i="37"/>
  <c r="AM200" i="37" a="1"/>
  <c r="AM200" i="37" s="1"/>
  <c r="AM199" i="37" a="1"/>
  <c r="AM199" i="37" s="1"/>
  <c r="AM198" i="37" a="1"/>
  <c r="AM198" i="37" s="1"/>
  <c r="AM197" i="37" a="1"/>
  <c r="AM197" i="37" s="1"/>
  <c r="AM195" i="37"/>
  <c r="AJ80" i="63"/>
  <c r="AJ78" i="63"/>
  <c r="AJ77" i="63"/>
  <c r="AJ143" i="63"/>
  <c r="AK135" i="63" a="1"/>
  <c r="AK135" i="63" s="1"/>
  <c r="AK134" i="63" a="1"/>
  <c r="AK134" i="63" s="1"/>
  <c r="AK132" i="63" a="1"/>
  <c r="AK132" i="63" s="1"/>
  <c r="AK133" i="63" a="1"/>
  <c r="AK133" i="63" s="1"/>
  <c r="AJ79" i="63"/>
  <c r="AJ145" i="63"/>
  <c r="AK38" i="63" a="1"/>
  <c r="AK38" i="63" s="1"/>
  <c r="AK39" i="63" a="1"/>
  <c r="AK39" i="63" s="1"/>
  <c r="AK37" i="63" a="1"/>
  <c r="AK37" i="63" s="1"/>
  <c r="AK40" i="63" a="1"/>
  <c r="AK40" i="63" s="1"/>
  <c r="AK124" i="63" a="1"/>
  <c r="AK124" i="63" s="1"/>
  <c r="AK125" i="63" a="1"/>
  <c r="AK125" i="63" s="1"/>
  <c r="AK122" i="63" a="1"/>
  <c r="AK122" i="63" s="1"/>
  <c r="AK123" i="63" a="1"/>
  <c r="AK123" i="63" s="1"/>
  <c r="AJ144" i="63"/>
  <c r="AK74" i="63"/>
  <c r="AK29" i="63" a="1"/>
  <c r="AK29" i="63" s="1"/>
  <c r="AK27" i="63" a="1"/>
  <c r="AK27" i="63" s="1"/>
  <c r="AK28" i="63" a="1"/>
  <c r="AK28" i="63" s="1"/>
  <c r="AK30" i="63" a="1"/>
  <c r="AK30" i="63" s="1"/>
  <c r="AK112" i="63" a="1"/>
  <c r="AK112" i="63" s="1"/>
  <c r="AK115" i="63" a="1"/>
  <c r="AK115" i="63" s="1"/>
  <c r="AK114" i="63" a="1"/>
  <c r="AK114" i="63" s="1"/>
  <c r="AK113" i="63" a="1"/>
  <c r="AK113" i="63" s="1"/>
  <c r="AL194" i="63"/>
  <c r="AL184" i="63"/>
  <c r="AL164" i="63"/>
  <c r="AL174" i="63"/>
  <c r="AL154" i="63"/>
  <c r="AL129" i="63"/>
  <c r="AL109" i="63"/>
  <c r="AL119" i="63"/>
  <c r="AL89" i="63"/>
  <c r="AL99" i="63"/>
  <c r="AL64" i="63"/>
  <c r="AL54" i="63"/>
  <c r="AL44" i="63"/>
  <c r="AL34" i="63"/>
  <c r="AL24" i="63"/>
  <c r="AK48" i="63" a="1"/>
  <c r="AK48" i="63" s="1"/>
  <c r="AK49" i="63" a="1"/>
  <c r="AK49" i="63" s="1"/>
  <c r="AK47" i="63" a="1"/>
  <c r="AK47" i="63" s="1"/>
  <c r="AK50" i="63" a="1"/>
  <c r="AK50" i="63" s="1"/>
  <c r="AK204" i="63"/>
  <c r="AK157" i="63" a="1"/>
  <c r="AK157" i="63" s="1"/>
  <c r="AK158" i="63" a="1"/>
  <c r="AK158" i="63" s="1"/>
  <c r="AK160" i="63" a="1"/>
  <c r="AK160" i="63" s="1"/>
  <c r="AK159" i="63" a="1"/>
  <c r="AK159" i="63" s="1"/>
  <c r="AJ210" i="63"/>
  <c r="AK57" i="63" a="1"/>
  <c r="AK57" i="63" s="1"/>
  <c r="AK59" i="63" a="1"/>
  <c r="AK59" i="63" s="1"/>
  <c r="AK60" i="63" a="1"/>
  <c r="AK60" i="63" s="1"/>
  <c r="AK58" i="63" a="1"/>
  <c r="AK58" i="63" s="1"/>
  <c r="AK169" i="63" a="1"/>
  <c r="AK169" i="63" s="1"/>
  <c r="AK170" i="63" a="1"/>
  <c r="AK170" i="63" s="1"/>
  <c r="AK167" i="63" a="1"/>
  <c r="AK167" i="63" s="1"/>
  <c r="AK168" i="63" a="1"/>
  <c r="AK168" i="63" s="1"/>
  <c r="AJ207" i="63"/>
  <c r="AK68" i="63" a="1"/>
  <c r="AK68" i="63" s="1"/>
  <c r="AK70" i="63" a="1"/>
  <c r="AK70" i="63" s="1"/>
  <c r="AK69" i="63" a="1"/>
  <c r="AK69" i="63" s="1"/>
  <c r="AK67" i="63" a="1"/>
  <c r="AK67" i="63" s="1"/>
  <c r="AK177" i="63" a="1"/>
  <c r="AK177" i="63" s="1"/>
  <c r="AK180" i="63" a="1"/>
  <c r="AK180" i="63" s="1"/>
  <c r="AK178" i="63" a="1"/>
  <c r="AK178" i="63" s="1"/>
  <c r="AK179" i="63" a="1"/>
  <c r="AK179" i="63" s="1"/>
  <c r="AJ208" i="63"/>
  <c r="AK105" i="63" a="1"/>
  <c r="AK105" i="63" s="1"/>
  <c r="AK103" i="63" a="1"/>
  <c r="AK103" i="63" s="1"/>
  <c r="AK104" i="63" a="1"/>
  <c r="AK104" i="63" s="1"/>
  <c r="AK102" i="63" a="1"/>
  <c r="AK102" i="63" s="1"/>
  <c r="AK190" i="63" a="1"/>
  <c r="AK190" i="63" s="1"/>
  <c r="AK188" i="63" a="1"/>
  <c r="AK188" i="63" s="1"/>
  <c r="AK187" i="63" a="1"/>
  <c r="AK187" i="63" s="1"/>
  <c r="AK189" i="63" a="1"/>
  <c r="AK189" i="63" s="1"/>
  <c r="AJ209" i="63"/>
  <c r="AJ142" i="63"/>
  <c r="AK139" i="63"/>
  <c r="AK94" i="63" a="1"/>
  <c r="AK94" i="63" s="1"/>
  <c r="AK92" i="63" a="1"/>
  <c r="AK92" i="63" s="1"/>
  <c r="AK95" i="63" a="1"/>
  <c r="AK95" i="63" s="1"/>
  <c r="AK93" i="63" a="1"/>
  <c r="AK93" i="63" s="1"/>
  <c r="AK197" i="63" a="1"/>
  <c r="AK197" i="63" s="1"/>
  <c r="AK198" i="63" a="1"/>
  <c r="AK198" i="63" s="1"/>
  <c r="AK200" i="63" a="1"/>
  <c r="AK200" i="63" s="1"/>
  <c r="AK199" i="63" a="1"/>
  <c r="AK199" i="63" s="1"/>
  <c r="AL60" i="37" a="1"/>
  <c r="AL60" i="37" s="1"/>
  <c r="AL57" i="37" a="1"/>
  <c r="AL57" i="37" s="1"/>
  <c r="AL58" i="37" a="1"/>
  <c r="AL58" i="37" s="1"/>
  <c r="AL59" i="37" a="1"/>
  <c r="AL59" i="37" s="1"/>
  <c r="AL122" i="37" a="1"/>
  <c r="AL122" i="37" s="1"/>
  <c r="AL125" i="37" a="1"/>
  <c r="AL125" i="37" s="1"/>
  <c r="AL123" i="37" a="1"/>
  <c r="AL123" i="37" s="1"/>
  <c r="AL124" i="37" a="1"/>
  <c r="AL124" i="37" s="1"/>
  <c r="AL48" i="37" a="1"/>
  <c r="AL48" i="37" s="1"/>
  <c r="AL50" i="37" a="1"/>
  <c r="AL50" i="37" s="1"/>
  <c r="AL47" i="37" a="1"/>
  <c r="AL47" i="37" s="1"/>
  <c r="AL49" i="37" a="1"/>
  <c r="AL49" i="37" s="1"/>
  <c r="AL170" i="37" a="1"/>
  <c r="AL170" i="37" s="1"/>
  <c r="AL168" i="37" a="1"/>
  <c r="AL168" i="37" s="1"/>
  <c r="AL169" i="37" a="1"/>
  <c r="AL169" i="37" s="1"/>
  <c r="AL167" i="37" a="1"/>
  <c r="AL167" i="37" s="1"/>
  <c r="AL74" i="37"/>
  <c r="AL29" i="37" a="1"/>
  <c r="AL29" i="37" s="1"/>
  <c r="AL30" i="37" a="1"/>
  <c r="AL30" i="37" s="1"/>
  <c r="AL27" i="37" a="1"/>
  <c r="AL27" i="37" s="1"/>
  <c r="AL28" i="37" a="1"/>
  <c r="AL28" i="37" s="1"/>
  <c r="AL204" i="37"/>
  <c r="AL157" i="37" a="1"/>
  <c r="AL157" i="37" s="1"/>
  <c r="AL159" i="37" a="1"/>
  <c r="AL159" i="37" s="1"/>
  <c r="AL158" i="37" a="1"/>
  <c r="AL158" i="37" s="1"/>
  <c r="AL160" i="37" a="1"/>
  <c r="AL160" i="37" s="1"/>
  <c r="AK77" i="37"/>
  <c r="AL70" i="37" a="1"/>
  <c r="AL70" i="37" s="1"/>
  <c r="AL67" i="37" a="1"/>
  <c r="AL67" i="37" s="1"/>
  <c r="AL68" i="37" a="1"/>
  <c r="AL68" i="37" s="1"/>
  <c r="AL69" i="37" a="1"/>
  <c r="AL69" i="37" s="1"/>
  <c r="AL190" i="37" a="1"/>
  <c r="AL190" i="37" s="1"/>
  <c r="AL189" i="37" a="1"/>
  <c r="AL189" i="37" s="1"/>
  <c r="AL187" i="37" a="1"/>
  <c r="AL187" i="37" s="1"/>
  <c r="AL188" i="37" a="1"/>
  <c r="AL188" i="37" s="1"/>
  <c r="AK143" i="37"/>
  <c r="AK80" i="37"/>
  <c r="AL139" i="37"/>
  <c r="AL95" i="37" a="1"/>
  <c r="AL95" i="37" s="1"/>
  <c r="AL94" i="37" a="1"/>
  <c r="AL94" i="37" s="1"/>
  <c r="AL92" i="37" a="1"/>
  <c r="AL92" i="37" s="1"/>
  <c r="AL93" i="37" a="1"/>
  <c r="AL93" i="37" s="1"/>
  <c r="AL179" i="37" a="1"/>
  <c r="AL179" i="37" s="1"/>
  <c r="AL177" i="37" a="1"/>
  <c r="AL177" i="37" s="1"/>
  <c r="AL180" i="37" a="1"/>
  <c r="AL180" i="37" s="1"/>
  <c r="AL178" i="37" a="1"/>
  <c r="AL178" i="37" s="1"/>
  <c r="AK142" i="37"/>
  <c r="AK209" i="37"/>
  <c r="AK79" i="37"/>
  <c r="AL102" i="37" a="1"/>
  <c r="AL102" i="37" s="1"/>
  <c r="AL103" i="37" a="1"/>
  <c r="AL103" i="37" s="1"/>
  <c r="AL104" i="37" a="1"/>
  <c r="AL104" i="37" s="1"/>
  <c r="AL105" i="37" a="1"/>
  <c r="AL105" i="37" s="1"/>
  <c r="AL198" i="37" a="1"/>
  <c r="AL198" i="37" s="1"/>
  <c r="AL199" i="37" a="1"/>
  <c r="AL199" i="37" s="1"/>
  <c r="AL197" i="37" a="1"/>
  <c r="AL197" i="37" s="1"/>
  <c r="AL200" i="37" a="1"/>
  <c r="AL200" i="37" s="1"/>
  <c r="AK145" i="37"/>
  <c r="AK207" i="37"/>
  <c r="AK78" i="37"/>
  <c r="AL115" i="37" a="1"/>
  <c r="AL115" i="37" s="1"/>
  <c r="AL113" i="37" a="1"/>
  <c r="AL113" i="37" s="1"/>
  <c r="AL112" i="37" a="1"/>
  <c r="AL112" i="37" s="1"/>
  <c r="AL114" i="37" a="1"/>
  <c r="AL114" i="37" s="1"/>
  <c r="AK144" i="37"/>
  <c r="AK208" i="37"/>
  <c r="AL40" i="37" a="1"/>
  <c r="AL40" i="37" s="1"/>
  <c r="AL37" i="37" a="1"/>
  <c r="AL37" i="37" s="1"/>
  <c r="AL38" i="37" a="1"/>
  <c r="AL38" i="37" s="1"/>
  <c r="AL39" i="37" a="1"/>
  <c r="AL39" i="37" s="1"/>
  <c r="AL133" i="37" a="1"/>
  <c r="AL133" i="37" s="1"/>
  <c r="AL132" i="37" a="1"/>
  <c r="AL132" i="37" s="1"/>
  <c r="AL134" i="37" a="1"/>
  <c r="AL134" i="37" s="1"/>
  <c r="AL135" i="37" a="1"/>
  <c r="AL135" i="37" s="1"/>
  <c r="AK210" i="37"/>
  <c r="AM36" i="65"/>
  <c r="AM12" i="65"/>
  <c r="AO6" i="65"/>
  <c r="AO5" i="65" s="1"/>
  <c r="AM29" i="65"/>
  <c r="AM5" i="65"/>
  <c r="AK8" i="37"/>
  <c r="AL8" i="64" s="1"/>
  <c r="AJ8" i="65"/>
  <c r="AJ8" i="63"/>
  <c r="AK8" i="65" s="1"/>
  <c r="AN7" i="63"/>
  <c r="AM33" i="38"/>
  <c r="AM5" i="64"/>
  <c r="F9" i="60"/>
  <c r="AL29" i="18"/>
  <c r="AL18" i="18" s="1"/>
  <c r="AM35" i="64"/>
  <c r="AO6" i="64"/>
  <c r="AN35" i="65" l="1"/>
  <c r="AN12" i="65"/>
  <c r="AN5" i="65"/>
  <c r="AN29" i="65"/>
  <c r="AN36" i="65"/>
  <c r="AN14" i="65"/>
  <c r="AN25" i="65" s="1"/>
  <c r="AM74" i="63"/>
  <c r="AM29" i="63" a="1"/>
  <c r="AM29" i="63" s="1"/>
  <c r="AM28" i="63" a="1"/>
  <c r="AM28" i="63" s="1"/>
  <c r="AM27" i="63" a="1"/>
  <c r="AM27" i="63" s="1"/>
  <c r="AM30" i="63" a="1"/>
  <c r="AM30" i="63" s="1"/>
  <c r="AM25" i="63"/>
  <c r="AM39" i="63" a="1"/>
  <c r="AM39" i="63" s="1"/>
  <c r="AM40" i="63" a="1"/>
  <c r="AM40" i="63" s="1"/>
  <c r="AM38" i="63" a="1"/>
  <c r="AM38" i="63" s="1"/>
  <c r="AM37" i="63" a="1"/>
  <c r="AM37" i="63" s="1"/>
  <c r="AM35" i="63"/>
  <c r="AM47" i="63" a="1"/>
  <c r="AM47" i="63" s="1"/>
  <c r="AM48" i="63" a="1"/>
  <c r="AM48" i="63" s="1"/>
  <c r="AM50" i="63" a="1"/>
  <c r="AM50" i="63" s="1"/>
  <c r="AM49" i="63" a="1"/>
  <c r="AM49" i="63" s="1"/>
  <c r="AM45" i="63"/>
  <c r="AM58" i="63" a="1"/>
  <c r="AM58" i="63" s="1"/>
  <c r="AM57" i="63" a="1"/>
  <c r="AM57" i="63" s="1"/>
  <c r="AM59" i="63" a="1"/>
  <c r="AM59" i="63" s="1"/>
  <c r="AM60" i="63" a="1"/>
  <c r="AM60" i="63" s="1"/>
  <c r="AM55" i="63"/>
  <c r="AM70" i="63" a="1"/>
  <c r="AM70" i="63" s="1"/>
  <c r="AM69" i="63" a="1"/>
  <c r="AM69" i="63" s="1"/>
  <c r="AM67" i="63" a="1"/>
  <c r="AM67" i="63" s="1"/>
  <c r="AM68" i="63" a="1"/>
  <c r="AM68" i="63" s="1"/>
  <c r="AM65" i="63"/>
  <c r="AM139" i="63"/>
  <c r="AM93" i="63" a="1"/>
  <c r="AM93" i="63" s="1"/>
  <c r="AM94" i="63" a="1"/>
  <c r="AM94" i="63" s="1"/>
  <c r="AM92" i="63" a="1"/>
  <c r="AM92" i="63" s="1"/>
  <c r="AM95" i="63" a="1"/>
  <c r="AM95" i="63" s="1"/>
  <c r="AM90" i="63"/>
  <c r="AM102" i="63" a="1"/>
  <c r="AM102" i="63" s="1"/>
  <c r="AM104" i="63" a="1"/>
  <c r="AM104" i="63" s="1"/>
  <c r="AM103" i="63" a="1"/>
  <c r="AM103" i="63" s="1"/>
  <c r="AM105" i="63" a="1"/>
  <c r="AM105" i="63" s="1"/>
  <c r="AM100" i="63"/>
  <c r="AM112" i="63" a="1"/>
  <c r="AM112" i="63" s="1"/>
  <c r="AM115" i="63" a="1"/>
  <c r="AM115" i="63" s="1"/>
  <c r="AM113" i="63" a="1"/>
  <c r="AM113" i="63" s="1"/>
  <c r="AM114" i="63" a="1"/>
  <c r="AM114" i="63" s="1"/>
  <c r="AM110" i="63"/>
  <c r="AM123" i="63" a="1"/>
  <c r="AM123" i="63" s="1"/>
  <c r="AM125" i="63" a="1"/>
  <c r="AM125" i="63" s="1"/>
  <c r="AM122" i="63" a="1"/>
  <c r="AM122" i="63" s="1"/>
  <c r="AM124" i="63" a="1"/>
  <c r="AM124" i="63" s="1"/>
  <c r="AM120" i="63"/>
  <c r="AM135" i="63" a="1"/>
  <c r="AM135" i="63" s="1"/>
  <c r="AM133" i="63" a="1"/>
  <c r="AM133" i="63" s="1"/>
  <c r="AM134" i="63" a="1"/>
  <c r="AM134" i="63" s="1"/>
  <c r="AM132" i="63" a="1"/>
  <c r="AM132" i="63" s="1"/>
  <c r="AM130" i="63"/>
  <c r="AM204" i="63"/>
  <c r="AM158" i="63" a="1"/>
  <c r="AM158" i="63" s="1"/>
  <c r="AM160" i="63" a="1"/>
  <c r="AM160" i="63" s="1"/>
  <c r="AM157" i="63" a="1"/>
  <c r="AM157" i="63" s="1"/>
  <c r="AM159" i="63" a="1"/>
  <c r="AM159" i="63" s="1"/>
  <c r="AM155" i="63"/>
  <c r="AM170" i="63" a="1"/>
  <c r="AM170" i="63" s="1"/>
  <c r="AM168" i="63" a="1"/>
  <c r="AM168" i="63" s="1"/>
  <c r="AM169" i="63" a="1"/>
  <c r="AM169" i="63" s="1"/>
  <c r="AM167" i="63" a="1"/>
  <c r="AM167" i="63" s="1"/>
  <c r="AM165" i="63"/>
  <c r="AM180" i="63" a="1"/>
  <c r="AM180" i="63" s="1"/>
  <c r="AM177" i="63" a="1"/>
  <c r="AM177" i="63" s="1"/>
  <c r="AM179" i="63" a="1"/>
  <c r="AM179" i="63" s="1"/>
  <c r="AM178" i="63" a="1"/>
  <c r="AM178" i="63" s="1"/>
  <c r="AM175" i="63"/>
  <c r="AM189" i="63" a="1"/>
  <c r="AM189" i="63" s="1"/>
  <c r="AM188" i="63" a="1"/>
  <c r="AM188" i="63" s="1"/>
  <c r="AM187" i="63" a="1"/>
  <c r="AM187" i="63" s="1"/>
  <c r="AM190" i="63" a="1"/>
  <c r="AM190" i="63" s="1"/>
  <c r="AM185" i="63"/>
  <c r="AM200" i="63" a="1"/>
  <c r="AM200" i="63" s="1"/>
  <c r="AM199" i="63" a="1"/>
  <c r="AM199" i="63" s="1"/>
  <c r="AM198" i="63" a="1"/>
  <c r="AM198" i="63" s="1"/>
  <c r="AM197" i="63" a="1"/>
  <c r="AM197" i="63" s="1"/>
  <c r="AM195" i="63"/>
  <c r="AM140" i="37"/>
  <c r="AM208" i="37"/>
  <c r="AM145" i="37"/>
  <c r="AM209" i="37"/>
  <c r="AM144" i="37"/>
  <c r="AM75" i="37"/>
  <c r="AM210" i="37"/>
  <c r="AM142" i="37"/>
  <c r="AM78" i="37"/>
  <c r="AM143" i="37"/>
  <c r="AM79" i="37"/>
  <c r="AM8" i="37"/>
  <c r="AN8" i="64" s="1"/>
  <c r="AM205" i="37"/>
  <c r="AM80" i="37"/>
  <c r="AM207" i="37"/>
  <c r="AM77" i="37"/>
  <c r="AK142" i="63"/>
  <c r="AK144" i="63"/>
  <c r="AK145" i="63"/>
  <c r="AK209" i="63"/>
  <c r="AK210" i="63"/>
  <c r="AL74" i="63"/>
  <c r="AL28" i="63" a="1"/>
  <c r="AL28" i="63" s="1"/>
  <c r="AL29" i="63" a="1"/>
  <c r="AL29" i="63" s="1"/>
  <c r="AL30" i="63" a="1"/>
  <c r="AL30" i="63" s="1"/>
  <c r="AL27" i="63" a="1"/>
  <c r="AL27" i="63" s="1"/>
  <c r="AL113" i="63" a="1"/>
  <c r="AL113" i="63" s="1"/>
  <c r="AL112" i="63" a="1"/>
  <c r="AL112" i="63" s="1"/>
  <c r="AL115" i="63" a="1"/>
  <c r="AL115" i="63" s="1"/>
  <c r="AL114" i="63" a="1"/>
  <c r="AL114" i="63" s="1"/>
  <c r="AL125" i="63" a="1"/>
  <c r="AL125" i="63" s="1"/>
  <c r="AL122" i="63" a="1"/>
  <c r="AL122" i="63" s="1"/>
  <c r="AL123" i="63" a="1"/>
  <c r="AL123" i="63" s="1"/>
  <c r="AL124" i="63" a="1"/>
  <c r="AL124" i="63" s="1"/>
  <c r="AK208" i="63"/>
  <c r="AL37" i="63" a="1"/>
  <c r="AL37" i="63" s="1"/>
  <c r="AL40" i="63" a="1"/>
  <c r="AL40" i="63" s="1"/>
  <c r="AL38" i="63" a="1"/>
  <c r="AL38" i="63" s="1"/>
  <c r="AL39" i="63" a="1"/>
  <c r="AL39" i="63" s="1"/>
  <c r="AL134" i="63" a="1"/>
  <c r="AL134" i="63" s="1"/>
  <c r="AL133" i="63" a="1"/>
  <c r="AL133" i="63" s="1"/>
  <c r="AL132" i="63" a="1"/>
  <c r="AL132" i="63" s="1"/>
  <c r="AL135" i="63" a="1"/>
  <c r="AL135" i="63" s="1"/>
  <c r="AK207" i="63"/>
  <c r="AL50" i="63" a="1"/>
  <c r="AL50" i="63" s="1"/>
  <c r="AL48" i="63" a="1"/>
  <c r="AL48" i="63" s="1"/>
  <c r="AL49" i="63" a="1"/>
  <c r="AL49" i="63" s="1"/>
  <c r="AL47" i="63" a="1"/>
  <c r="AL47" i="63" s="1"/>
  <c r="AL204" i="63"/>
  <c r="AL160" i="63" a="1"/>
  <c r="AL160" i="63" s="1"/>
  <c r="AL158" i="63" a="1"/>
  <c r="AL158" i="63" s="1"/>
  <c r="AL157" i="63" a="1"/>
  <c r="AL157" i="63" s="1"/>
  <c r="AL159" i="63" a="1"/>
  <c r="AL159" i="63" s="1"/>
  <c r="AL58" i="63" a="1"/>
  <c r="AL58" i="63" s="1"/>
  <c r="AL60" i="63" a="1"/>
  <c r="AL60" i="63" s="1"/>
  <c r="AL57" i="63" a="1"/>
  <c r="AL57" i="63" s="1"/>
  <c r="AL59" i="63" a="1"/>
  <c r="AL59" i="63" s="1"/>
  <c r="AL180" i="63" a="1"/>
  <c r="AL180" i="63" s="1"/>
  <c r="AL178" i="63" a="1"/>
  <c r="AL178" i="63" s="1"/>
  <c r="AL177" i="63" a="1"/>
  <c r="AL177" i="63" s="1"/>
  <c r="AL179" i="63" a="1"/>
  <c r="AL179" i="63" s="1"/>
  <c r="AK80" i="63"/>
  <c r="AL69" i="63" a="1"/>
  <c r="AL69" i="63" s="1"/>
  <c r="AL67" i="63" a="1"/>
  <c r="AL67" i="63" s="1"/>
  <c r="AL68" i="63" a="1"/>
  <c r="AL68" i="63" s="1"/>
  <c r="AL70" i="63" a="1"/>
  <c r="AL70" i="63" s="1"/>
  <c r="AL169" i="63" a="1"/>
  <c r="AL169" i="63" s="1"/>
  <c r="AL168" i="63" a="1"/>
  <c r="AL168" i="63" s="1"/>
  <c r="AL170" i="63" a="1"/>
  <c r="AL170" i="63" s="1"/>
  <c r="AL167" i="63" a="1"/>
  <c r="AL167" i="63" s="1"/>
  <c r="AK78" i="63"/>
  <c r="AK143" i="63"/>
  <c r="AL102" i="63" a="1"/>
  <c r="AL102" i="63" s="1"/>
  <c r="AL103" i="63" a="1"/>
  <c r="AL103" i="63" s="1"/>
  <c r="AL104" i="63" a="1"/>
  <c r="AL104" i="63" s="1"/>
  <c r="AL105" i="63" a="1"/>
  <c r="AL105" i="63" s="1"/>
  <c r="AL190" i="63" a="1"/>
  <c r="AL190" i="63" s="1"/>
  <c r="AL188" i="63" a="1"/>
  <c r="AL188" i="63" s="1"/>
  <c r="AL187" i="63" a="1"/>
  <c r="AL187" i="63" s="1"/>
  <c r="AL189" i="63" a="1"/>
  <c r="AL189" i="63" s="1"/>
  <c r="AK77" i="63"/>
  <c r="AL139" i="63"/>
  <c r="AL93" i="63" a="1"/>
  <c r="AL93" i="63" s="1"/>
  <c r="AL95" i="63" a="1"/>
  <c r="AL95" i="63" s="1"/>
  <c r="AL92" i="63" a="1"/>
  <c r="AL92" i="63" s="1"/>
  <c r="AL94" i="63" a="1"/>
  <c r="AL94" i="63" s="1"/>
  <c r="AL198" i="63" a="1"/>
  <c r="AL198" i="63" s="1"/>
  <c r="AL199" i="63" a="1"/>
  <c r="AL199" i="63" s="1"/>
  <c r="AL197" i="63" a="1"/>
  <c r="AL197" i="63" s="1"/>
  <c r="AL200" i="63" a="1"/>
  <c r="AL200" i="63" s="1"/>
  <c r="AK79" i="63"/>
  <c r="AL142" i="37"/>
  <c r="AL208" i="37"/>
  <c r="AL145" i="37"/>
  <c r="AL207" i="37"/>
  <c r="AL144" i="37"/>
  <c r="AL209" i="37"/>
  <c r="AL78" i="37"/>
  <c r="AL77" i="37"/>
  <c r="AL80" i="37"/>
  <c r="AL143" i="37"/>
  <c r="AL210" i="37"/>
  <c r="AL79" i="37"/>
  <c r="AO36" i="65"/>
  <c r="AO14" i="65"/>
  <c r="AO25" i="65" s="1"/>
  <c r="AO12" i="65"/>
  <c r="AO29" i="65"/>
  <c r="AK8" i="63"/>
  <c r="AL8" i="65" s="1"/>
  <c r="AL8" i="37"/>
  <c r="AM8" i="64" s="1"/>
  <c r="AI8" i="18"/>
  <c r="AO5" i="64"/>
  <c r="AO35" i="64"/>
  <c r="AM12" i="37" l="1"/>
  <c r="AM207" i="63"/>
  <c r="AM140" i="63"/>
  <c r="AM210" i="63"/>
  <c r="AM145" i="63"/>
  <c r="AM208" i="63"/>
  <c r="AM142" i="63"/>
  <c r="AM75" i="63"/>
  <c r="AM144" i="63"/>
  <c r="AM80" i="63"/>
  <c r="AM14" i="37"/>
  <c r="AM143" i="63"/>
  <c r="AM77" i="63"/>
  <c r="AM78" i="63"/>
  <c r="AM205" i="63"/>
  <c r="AM79" i="63"/>
  <c r="AM209" i="63"/>
  <c r="AM8" i="63"/>
  <c r="AN8" i="65" s="1"/>
  <c r="AM11" i="37"/>
  <c r="AM9" i="37"/>
  <c r="AN7" i="64" s="1"/>
  <c r="AM13" i="37"/>
  <c r="AL143" i="63"/>
  <c r="AL144" i="63"/>
  <c r="AL142" i="63"/>
  <c r="AL145" i="63"/>
  <c r="AL208" i="63"/>
  <c r="AL207" i="63"/>
  <c r="AL210" i="63"/>
  <c r="AL77" i="63"/>
  <c r="AL80" i="63"/>
  <c r="AL79" i="63"/>
  <c r="AL78" i="63"/>
  <c r="AL209" i="63"/>
  <c r="AJ8" i="18"/>
  <c r="AL8" i="63"/>
  <c r="AK8" i="18" s="1"/>
  <c r="AJ35" i="65"/>
  <c r="AN9" i="64" l="1"/>
  <c r="AM14" i="63"/>
  <c r="AM12" i="63"/>
  <c r="AN44" i="64"/>
  <c r="AN27" i="64"/>
  <c r="AN23" i="64"/>
  <c r="AN10" i="64"/>
  <c r="AN11" i="64"/>
  <c r="AM13" i="63"/>
  <c r="AM9" i="63"/>
  <c r="AN7" i="65" s="1"/>
  <c r="AM11" i="63"/>
  <c r="AM8" i="65"/>
  <c r="AN9" i="65" l="1"/>
  <c r="AN24" i="65"/>
  <c r="AN11" i="65"/>
  <c r="AN10" i="65"/>
  <c r="AN45" i="65"/>
  <c r="AN28" i="65"/>
  <c r="AN14" i="64"/>
  <c r="AN16" i="64" s="1"/>
  <c r="C6" i="12"/>
  <c r="G6" i="78"/>
  <c r="AK34" i="64"/>
  <c r="AL35" i="65"/>
  <c r="AN15" i="65" l="1"/>
  <c r="AN48" i="65" s="1"/>
  <c r="AN16" i="65"/>
  <c r="AN47" i="64"/>
  <c r="AN17" i="64"/>
  <c r="AN18" i="64" s="1"/>
  <c r="AN22" i="64" s="1"/>
  <c r="AN15" i="64"/>
  <c r="AK35" i="65"/>
  <c r="AN17" i="65" l="1"/>
  <c r="AN18" i="65"/>
  <c r="AN19" i="65" s="1"/>
  <c r="AN23" i="65" s="1"/>
  <c r="T33" i="54"/>
  <c r="F33" i="54"/>
  <c r="T23" i="54" l="1"/>
  <c r="F23" i="54"/>
  <c r="T13" i="54"/>
  <c r="F7" i="54" l="1"/>
  <c r="G35" i="62" s="1"/>
  <c r="T7" i="54"/>
  <c r="H15" i="65" l="1"/>
  <c r="J14" i="65"/>
  <c r="J25" i="65" s="1"/>
  <c r="G24" i="78"/>
  <c r="G25" i="78" s="1"/>
  <c r="M35" i="62"/>
  <c r="E35" i="62"/>
  <c r="H35" i="62"/>
  <c r="K35" i="62"/>
  <c r="L35" i="62"/>
  <c r="C24" i="12"/>
  <c r="C25" i="12" s="1"/>
  <c r="F35" i="62"/>
  <c r="J35" i="62"/>
  <c r="I35" i="62"/>
  <c r="H18" i="65" l="1"/>
  <c r="H19" i="65" s="1"/>
  <c r="H23" i="65" s="1"/>
  <c r="H17" i="65"/>
  <c r="J29" i="65"/>
  <c r="H29" i="65"/>
  <c r="F11" i="18" s="1"/>
  <c r="H25" i="65"/>
  <c r="G34" i="65"/>
  <c r="G37" i="65" s="1"/>
  <c r="H48" i="65"/>
  <c r="I29" i="65"/>
  <c r="F29" i="65"/>
  <c r="H27" i="65" l="1"/>
  <c r="H30" i="65" s="1"/>
  <c r="F10" i="18" s="1"/>
  <c r="E11" i="18"/>
  <c r="H34" i="65" l="1"/>
  <c r="H37" i="65" s="1"/>
  <c r="E10" i="18"/>
  <c r="I90" i="63" l="1"/>
  <c r="J90" i="63"/>
  <c r="K90" i="63"/>
  <c r="L90" i="63"/>
  <c r="M90" i="63"/>
  <c r="N90" i="63"/>
  <c r="O90" i="63"/>
  <c r="P90" i="63"/>
  <c r="Q90" i="63"/>
  <c r="R90" i="63"/>
  <c r="S90" i="63"/>
  <c r="T90" i="63"/>
  <c r="U90" i="63"/>
  <c r="V90" i="63"/>
  <c r="W90" i="63"/>
  <c r="X90" i="63"/>
  <c r="Y90" i="63"/>
  <c r="Z90" i="63"/>
  <c r="AA90" i="63"/>
  <c r="AB90" i="63"/>
  <c r="AC90" i="63"/>
  <c r="AD90" i="63"/>
  <c r="AE90" i="63"/>
  <c r="AF90" i="63"/>
  <c r="AG90" i="63"/>
  <c r="AH90" i="63"/>
  <c r="AI90" i="63"/>
  <c r="AJ90" i="63"/>
  <c r="AK90" i="63"/>
  <c r="AL90" i="63"/>
  <c r="I120" i="63"/>
  <c r="J120" i="63"/>
  <c r="K120" i="63"/>
  <c r="L120" i="63"/>
  <c r="M120" i="63"/>
  <c r="N120" i="63"/>
  <c r="O120" i="63"/>
  <c r="P120" i="63"/>
  <c r="Q120" i="63"/>
  <c r="R120" i="63"/>
  <c r="S120" i="63"/>
  <c r="T120" i="63"/>
  <c r="U120" i="63"/>
  <c r="V120" i="63"/>
  <c r="W120" i="63"/>
  <c r="X120" i="63"/>
  <c r="Y120" i="63"/>
  <c r="Z120" i="63"/>
  <c r="AA120" i="63"/>
  <c r="AB120" i="63"/>
  <c r="AC120" i="63"/>
  <c r="AD120" i="63"/>
  <c r="AE120" i="63"/>
  <c r="AF120" i="63"/>
  <c r="AG120" i="63"/>
  <c r="AH120" i="63"/>
  <c r="AI120" i="63"/>
  <c r="AJ120" i="63"/>
  <c r="AK120" i="63"/>
  <c r="AL120" i="63"/>
  <c r="I185" i="63"/>
  <c r="J185" i="63"/>
  <c r="K185" i="63"/>
  <c r="L185" i="63"/>
  <c r="M185" i="63"/>
  <c r="N185" i="63"/>
  <c r="O185" i="63"/>
  <c r="P185" i="63"/>
  <c r="Q185" i="63"/>
  <c r="R185" i="63"/>
  <c r="S185" i="63"/>
  <c r="T185" i="63"/>
  <c r="U185" i="63"/>
  <c r="V185" i="63"/>
  <c r="W185" i="63"/>
  <c r="X185" i="63"/>
  <c r="Y185" i="63"/>
  <c r="Z185" i="63"/>
  <c r="AA185" i="63"/>
  <c r="AB185" i="63"/>
  <c r="AC185" i="63"/>
  <c r="AD185" i="63"/>
  <c r="AE185" i="63"/>
  <c r="AF185" i="63"/>
  <c r="AG185" i="63"/>
  <c r="AH185" i="63"/>
  <c r="AI185" i="63"/>
  <c r="AJ185" i="63"/>
  <c r="AK185" i="63"/>
  <c r="AL185" i="63"/>
  <c r="I130" i="63"/>
  <c r="J130" i="63"/>
  <c r="K130" i="63"/>
  <c r="L130" i="63"/>
  <c r="M130" i="63"/>
  <c r="N130" i="63"/>
  <c r="O130" i="63"/>
  <c r="P130" i="63"/>
  <c r="Q130" i="63"/>
  <c r="R130" i="63"/>
  <c r="S130" i="63"/>
  <c r="T130" i="63"/>
  <c r="U130" i="63"/>
  <c r="V130" i="63"/>
  <c r="W130" i="63"/>
  <c r="X130" i="63"/>
  <c r="Y130" i="63"/>
  <c r="Z130" i="63"/>
  <c r="AA130" i="63"/>
  <c r="AB130" i="63"/>
  <c r="AC130" i="63"/>
  <c r="AD130" i="63"/>
  <c r="AE130" i="63"/>
  <c r="AF130" i="63"/>
  <c r="AG130" i="63"/>
  <c r="AH130" i="63"/>
  <c r="AI130" i="63"/>
  <c r="AJ130" i="63"/>
  <c r="AK130" i="63"/>
  <c r="AL130" i="63"/>
  <c r="I195" i="63"/>
  <c r="J195" i="63"/>
  <c r="K195" i="63"/>
  <c r="L195" i="63"/>
  <c r="M195" i="63"/>
  <c r="N195" i="63"/>
  <c r="O195" i="63"/>
  <c r="P195" i="63"/>
  <c r="Q195" i="63"/>
  <c r="R195" i="63"/>
  <c r="S195" i="63"/>
  <c r="T195" i="63"/>
  <c r="U195" i="63"/>
  <c r="V195" i="63"/>
  <c r="W195" i="63"/>
  <c r="X195" i="63"/>
  <c r="Y195" i="63"/>
  <c r="Z195" i="63"/>
  <c r="AA195" i="63"/>
  <c r="AB195" i="63"/>
  <c r="AC195" i="63"/>
  <c r="AD195" i="63"/>
  <c r="AE195" i="63"/>
  <c r="AF195" i="63"/>
  <c r="AG195" i="63"/>
  <c r="AH195" i="63"/>
  <c r="AI195" i="63"/>
  <c r="AJ195" i="63"/>
  <c r="AK195" i="63"/>
  <c r="AL195" i="63"/>
  <c r="I110" i="63"/>
  <c r="J110" i="63"/>
  <c r="K110" i="63"/>
  <c r="L110" i="63"/>
  <c r="M110" i="63"/>
  <c r="N110" i="63"/>
  <c r="O110" i="63"/>
  <c r="P110" i="63"/>
  <c r="Q110" i="63"/>
  <c r="R110" i="63"/>
  <c r="S110" i="63"/>
  <c r="T110" i="63"/>
  <c r="U110" i="63"/>
  <c r="V110" i="63"/>
  <c r="W110" i="63"/>
  <c r="X110" i="63"/>
  <c r="Y110" i="63"/>
  <c r="Z110" i="63"/>
  <c r="AA110" i="63"/>
  <c r="AB110" i="63"/>
  <c r="AC110" i="63"/>
  <c r="AD110" i="63"/>
  <c r="AE110" i="63"/>
  <c r="AF110" i="63"/>
  <c r="AG110" i="63"/>
  <c r="AH110" i="63"/>
  <c r="AI110" i="63"/>
  <c r="AJ110" i="63"/>
  <c r="AK110" i="63"/>
  <c r="AL110" i="63"/>
  <c r="I175" i="63"/>
  <c r="J175" i="63"/>
  <c r="K175" i="63"/>
  <c r="L175" i="63"/>
  <c r="M175" i="63"/>
  <c r="N175" i="63"/>
  <c r="O175" i="63"/>
  <c r="P175" i="63"/>
  <c r="Q175" i="63"/>
  <c r="R175" i="63"/>
  <c r="S175" i="63"/>
  <c r="T175" i="63"/>
  <c r="U175" i="63"/>
  <c r="V175" i="63"/>
  <c r="W175" i="63"/>
  <c r="X175" i="63"/>
  <c r="Y175" i="63"/>
  <c r="Z175" i="63"/>
  <c r="AA175" i="63"/>
  <c r="AB175" i="63"/>
  <c r="AC175" i="63"/>
  <c r="AD175" i="63"/>
  <c r="AE175" i="63"/>
  <c r="AF175" i="63"/>
  <c r="AG175" i="63"/>
  <c r="AH175" i="63"/>
  <c r="AI175" i="63"/>
  <c r="AJ175" i="63"/>
  <c r="AK175" i="63"/>
  <c r="AL175" i="63"/>
  <c r="AK130" i="37"/>
  <c r="AG130" i="37"/>
  <c r="AC130" i="37"/>
  <c r="AJ130" i="37"/>
  <c r="AF130" i="37"/>
  <c r="AB130" i="37"/>
  <c r="AI130" i="37"/>
  <c r="AE130" i="37"/>
  <c r="X130" i="37"/>
  <c r="R130" i="37"/>
  <c r="K130" i="37"/>
  <c r="AH130" i="37"/>
  <c r="W130" i="37"/>
  <c r="Q130" i="37"/>
  <c r="P130" i="37"/>
  <c r="J130" i="37"/>
  <c r="AD130" i="37"/>
  <c r="V130" i="37"/>
  <c r="O130" i="37"/>
  <c r="I130" i="37"/>
  <c r="Z130" i="37"/>
  <c r="S130" i="37"/>
  <c r="M130" i="37"/>
  <c r="AL130" i="37"/>
  <c r="Y130" i="37"/>
  <c r="L130" i="37"/>
  <c r="AA130" i="37"/>
  <c r="U130" i="37"/>
  <c r="T130" i="37"/>
  <c r="N130" i="37"/>
  <c r="AH195" i="37"/>
  <c r="Z195" i="37"/>
  <c r="R195" i="37"/>
  <c r="J195" i="37"/>
  <c r="AG195" i="37"/>
  <c r="Y195" i="37"/>
  <c r="Q195" i="37"/>
  <c r="I195" i="37"/>
  <c r="AF195" i="37"/>
  <c r="X195" i="37"/>
  <c r="P195" i="37"/>
  <c r="AE195" i="37"/>
  <c r="W195" i="37"/>
  <c r="O195" i="37"/>
  <c r="AL195" i="37"/>
  <c r="AD195" i="37"/>
  <c r="V195" i="37"/>
  <c r="N195" i="37"/>
  <c r="AK195" i="37"/>
  <c r="AC195" i="37"/>
  <c r="U195" i="37"/>
  <c r="M195" i="37"/>
  <c r="AJ195" i="37"/>
  <c r="AB195" i="37"/>
  <c r="T195" i="37"/>
  <c r="L195" i="37"/>
  <c r="AI195" i="37"/>
  <c r="AA195" i="37"/>
  <c r="S195" i="37"/>
  <c r="K195" i="37"/>
  <c r="AI110" i="37"/>
  <c r="AH110" i="37"/>
  <c r="W110" i="37"/>
  <c r="AE110" i="37"/>
  <c r="Z110" i="37"/>
  <c r="AK110" i="37"/>
  <c r="AC110" i="37"/>
  <c r="V110" i="37"/>
  <c r="R110" i="37"/>
  <c r="N110" i="37"/>
  <c r="J110" i="37"/>
  <c r="AJ110" i="37"/>
  <c r="AB110" i="37"/>
  <c r="AA110" i="37"/>
  <c r="U110" i="37"/>
  <c r="Q110" i="37"/>
  <c r="M110" i="37"/>
  <c r="I110" i="37"/>
  <c r="AG110" i="37"/>
  <c r="Y110" i="37"/>
  <c r="T110" i="37"/>
  <c r="P110" i="37"/>
  <c r="L110" i="37"/>
  <c r="AF110" i="37"/>
  <c r="X110" i="37"/>
  <c r="S110" i="37"/>
  <c r="O110" i="37"/>
  <c r="K110" i="37"/>
  <c r="AD110" i="37"/>
  <c r="AL110" i="37"/>
  <c r="AE175" i="37"/>
  <c r="O175" i="37"/>
  <c r="AJ175" i="37"/>
  <c r="AD175" i="37"/>
  <c r="Y175" i="37"/>
  <c r="T175" i="37"/>
  <c r="N175" i="37"/>
  <c r="I175" i="37"/>
  <c r="AI175" i="37"/>
  <c r="S175" i="37"/>
  <c r="AH175" i="37"/>
  <c r="AC175" i="37"/>
  <c r="X175" i="37"/>
  <c r="R175" i="37"/>
  <c r="M175" i="37"/>
  <c r="W175" i="37"/>
  <c r="AL175" i="37"/>
  <c r="AG175" i="37"/>
  <c r="AB175" i="37"/>
  <c r="V175" i="37"/>
  <c r="Q175" i="37"/>
  <c r="L175" i="37"/>
  <c r="AA175" i="37"/>
  <c r="K175" i="37"/>
  <c r="AF175" i="37"/>
  <c r="Z175" i="37"/>
  <c r="U175" i="37"/>
  <c r="P175" i="37"/>
  <c r="J175" i="37"/>
  <c r="AK175" i="37"/>
  <c r="AI90" i="37"/>
  <c r="AC90" i="37"/>
  <c r="P90" i="37"/>
  <c r="J90" i="37"/>
  <c r="AB90" i="37"/>
  <c r="V90" i="37"/>
  <c r="O90" i="37"/>
  <c r="I90" i="37"/>
  <c r="AH90" i="37"/>
  <c r="AA90" i="37"/>
  <c r="U90" i="37"/>
  <c r="AG90" i="37"/>
  <c r="T90" i="37"/>
  <c r="N90" i="37"/>
  <c r="AF90" i="37"/>
  <c r="Z90" i="37"/>
  <c r="S90" i="37"/>
  <c r="M90" i="37"/>
  <c r="AL90" i="37"/>
  <c r="AE90" i="37"/>
  <c r="Y90" i="37"/>
  <c r="L90" i="37"/>
  <c r="AK90" i="37"/>
  <c r="X90" i="37"/>
  <c r="R90" i="37"/>
  <c r="K90" i="37"/>
  <c r="AJ90" i="37"/>
  <c r="AD90" i="37"/>
  <c r="W90" i="37"/>
  <c r="Q90" i="37"/>
  <c r="AJ120" i="37"/>
  <c r="AC120" i="37"/>
  <c r="AI120" i="37"/>
  <c r="V120" i="37"/>
  <c r="P120" i="37"/>
  <c r="I120" i="37"/>
  <c r="AH120" i="37"/>
  <c r="AB120" i="37"/>
  <c r="AG120" i="37"/>
  <c r="AA120" i="37"/>
  <c r="N120" i="37"/>
  <c r="AK120" i="37"/>
  <c r="AE120" i="37"/>
  <c r="R120" i="37"/>
  <c r="L120" i="37"/>
  <c r="AD120" i="37"/>
  <c r="X120" i="37"/>
  <c r="Q120" i="37"/>
  <c r="K120" i="37"/>
  <c r="AF120" i="37"/>
  <c r="O120" i="37"/>
  <c r="Z120" i="37"/>
  <c r="M120" i="37"/>
  <c r="Y120" i="37"/>
  <c r="W120" i="37"/>
  <c r="J120" i="37"/>
  <c r="U120" i="37"/>
  <c r="T120" i="37"/>
  <c r="AL120" i="37"/>
  <c r="S120" i="37"/>
  <c r="AJ185" i="37"/>
  <c r="AB185" i="37"/>
  <c r="T185" i="37"/>
  <c r="L185" i="37"/>
  <c r="AI185" i="37"/>
  <c r="AA185" i="37"/>
  <c r="S185" i="37"/>
  <c r="K185" i="37"/>
  <c r="AH185" i="37"/>
  <c r="Z185" i="37"/>
  <c r="R185" i="37"/>
  <c r="J185" i="37"/>
  <c r="AG185" i="37"/>
  <c r="Y185" i="37"/>
  <c r="Q185" i="37"/>
  <c r="I185" i="37"/>
  <c r="AF185" i="37"/>
  <c r="X185" i="37"/>
  <c r="P185" i="37"/>
  <c r="AE185" i="37"/>
  <c r="W185" i="37"/>
  <c r="O185" i="37"/>
  <c r="AL185" i="37"/>
  <c r="AD185" i="37"/>
  <c r="V185" i="37"/>
  <c r="N185" i="37"/>
  <c r="AK185" i="37"/>
  <c r="AC185" i="37"/>
  <c r="U185" i="37"/>
  <c r="M185" i="37"/>
  <c r="E110" i="63"/>
  <c r="E130" i="63"/>
  <c r="E120" i="63"/>
  <c r="E90" i="63"/>
  <c r="E175" i="63"/>
  <c r="F175" i="63"/>
  <c r="G195" i="63"/>
  <c r="F195" i="63"/>
  <c r="E195" i="63"/>
  <c r="E185" i="63"/>
  <c r="F185" i="63"/>
  <c r="G185" i="63"/>
  <c r="G175" i="63"/>
  <c r="F130" i="63"/>
  <c r="G130" i="63"/>
  <c r="F120" i="63"/>
  <c r="G120" i="63"/>
  <c r="G110" i="63"/>
  <c r="F110" i="63"/>
  <c r="G90" i="63"/>
  <c r="F90" i="63"/>
  <c r="H90" i="63"/>
  <c r="I13" i="63" l="1"/>
  <c r="Q11" i="63"/>
  <c r="AJ11" i="63"/>
  <c r="W13" i="63"/>
  <c r="V13" i="63"/>
  <c r="S11" i="63"/>
  <c r="U11" i="63"/>
  <c r="AD13" i="63"/>
  <c r="AF11" i="63"/>
  <c r="I11" i="63"/>
  <c r="AE11" i="63"/>
  <c r="W11" i="63"/>
  <c r="O11" i="63"/>
  <c r="AJ12" i="63"/>
  <c r="AH35" i="38" s="1"/>
  <c r="AB12" i="63"/>
  <c r="Z35" i="38" s="1"/>
  <c r="T12" i="63"/>
  <c r="R35" i="38" s="1"/>
  <c r="L12" i="63"/>
  <c r="J35" i="38" s="1"/>
  <c r="AB13" i="63"/>
  <c r="L13" i="63"/>
  <c r="AK13" i="63"/>
  <c r="I155" i="63"/>
  <c r="J155" i="63"/>
  <c r="K155" i="63"/>
  <c r="L155" i="63"/>
  <c r="M155" i="63"/>
  <c r="N155" i="63"/>
  <c r="O155" i="63"/>
  <c r="P155" i="63"/>
  <c r="Q155" i="63"/>
  <c r="R155" i="63"/>
  <c r="S155" i="63"/>
  <c r="T155" i="63"/>
  <c r="U155" i="63"/>
  <c r="V155" i="63"/>
  <c r="W155" i="63"/>
  <c r="X155" i="63"/>
  <c r="Y155" i="63"/>
  <c r="Z155" i="63"/>
  <c r="AA155" i="63"/>
  <c r="AB155" i="63"/>
  <c r="AC155" i="63"/>
  <c r="AD155" i="63"/>
  <c r="AE155" i="63"/>
  <c r="AF155" i="63"/>
  <c r="AG155" i="63"/>
  <c r="AH155" i="63"/>
  <c r="AI155" i="63"/>
  <c r="AJ155" i="63"/>
  <c r="AK155" i="63"/>
  <c r="AL155" i="63"/>
  <c r="I25" i="63"/>
  <c r="J25" i="63"/>
  <c r="K25" i="63"/>
  <c r="L25" i="63"/>
  <c r="M25" i="63"/>
  <c r="N25" i="63"/>
  <c r="O25" i="63"/>
  <c r="P25" i="63"/>
  <c r="Q25" i="63"/>
  <c r="R25" i="63"/>
  <c r="S25" i="63"/>
  <c r="T25" i="63"/>
  <c r="U25" i="63"/>
  <c r="V25" i="63"/>
  <c r="W25" i="63"/>
  <c r="X25" i="63"/>
  <c r="Y25" i="63"/>
  <c r="Z25" i="63"/>
  <c r="AA25" i="63"/>
  <c r="AB25" i="63"/>
  <c r="AC25" i="63"/>
  <c r="AD25" i="63"/>
  <c r="AE25" i="63"/>
  <c r="AF25" i="63"/>
  <c r="AG25" i="63"/>
  <c r="AH25" i="63"/>
  <c r="AI25" i="63"/>
  <c r="AJ25" i="63"/>
  <c r="AK25" i="63"/>
  <c r="AL25" i="63"/>
  <c r="AL11" i="63"/>
  <c r="AD11" i="63"/>
  <c r="V11" i="63"/>
  <c r="N11" i="63"/>
  <c r="AI12" i="63"/>
  <c r="AG35" i="38" s="1"/>
  <c r="AA12" i="63"/>
  <c r="Y35" i="38" s="1"/>
  <c r="S12" i="63"/>
  <c r="Q35" i="38" s="1"/>
  <c r="K12" i="63"/>
  <c r="I35" i="38" s="1"/>
  <c r="T13" i="63"/>
  <c r="AI13" i="63"/>
  <c r="AC13" i="63"/>
  <c r="I14" i="63"/>
  <c r="Q14" i="63"/>
  <c r="U14" i="63"/>
  <c r="Y14" i="63"/>
  <c r="AJ14" i="63"/>
  <c r="I100" i="63"/>
  <c r="I140" i="63" s="1"/>
  <c r="J100" i="63"/>
  <c r="J140" i="63" s="1"/>
  <c r="K100" i="63"/>
  <c r="K140" i="63" s="1"/>
  <c r="L100" i="63"/>
  <c r="L140" i="63" s="1"/>
  <c r="M100" i="63"/>
  <c r="M140" i="63" s="1"/>
  <c r="N100" i="63"/>
  <c r="N140" i="63" s="1"/>
  <c r="O100" i="63"/>
  <c r="O140" i="63" s="1"/>
  <c r="P100" i="63"/>
  <c r="P140" i="63" s="1"/>
  <c r="Q100" i="63"/>
  <c r="Q140" i="63" s="1"/>
  <c r="R100" i="63"/>
  <c r="R140" i="63" s="1"/>
  <c r="S100" i="63"/>
  <c r="S140" i="63" s="1"/>
  <c r="T100" i="63"/>
  <c r="T140" i="63" s="1"/>
  <c r="U100" i="63"/>
  <c r="U140" i="63" s="1"/>
  <c r="V100" i="63"/>
  <c r="V140" i="63" s="1"/>
  <c r="W100" i="63"/>
  <c r="W140" i="63" s="1"/>
  <c r="X100" i="63"/>
  <c r="X140" i="63" s="1"/>
  <c r="Y100" i="63"/>
  <c r="Y140" i="63" s="1"/>
  <c r="Z100" i="63"/>
  <c r="Z140" i="63" s="1"/>
  <c r="AA100" i="63"/>
  <c r="AA140" i="63" s="1"/>
  <c r="AB100" i="63"/>
  <c r="AB140" i="63" s="1"/>
  <c r="AC100" i="63"/>
  <c r="AC140" i="63" s="1"/>
  <c r="AD100" i="63"/>
  <c r="AD140" i="63" s="1"/>
  <c r="AE100" i="63"/>
  <c r="AE140" i="63" s="1"/>
  <c r="AF100" i="63"/>
  <c r="AF140" i="63" s="1"/>
  <c r="AG100" i="63"/>
  <c r="AG140" i="63" s="1"/>
  <c r="AH100" i="63"/>
  <c r="AH140" i="63" s="1"/>
  <c r="AI100" i="63"/>
  <c r="AI140" i="63" s="1"/>
  <c r="AJ100" i="63"/>
  <c r="AJ140" i="63" s="1"/>
  <c r="AK100" i="63"/>
  <c r="AK140" i="63" s="1"/>
  <c r="AL100" i="63"/>
  <c r="AL140" i="63" s="1"/>
  <c r="T14" i="63"/>
  <c r="AB14" i="63"/>
  <c r="AH12" i="63"/>
  <c r="AF35" i="38" s="1"/>
  <c r="Z12" i="63"/>
  <c r="X35" i="38" s="1"/>
  <c r="R12" i="63"/>
  <c r="P35" i="38" s="1"/>
  <c r="J12" i="63"/>
  <c r="H35" i="38" s="1"/>
  <c r="AH13" i="63"/>
  <c r="Z13" i="63"/>
  <c r="R13" i="63"/>
  <c r="J13" i="63"/>
  <c r="N13" i="63"/>
  <c r="Y11" i="63"/>
  <c r="AJ13" i="63"/>
  <c r="Y12" i="63"/>
  <c r="W35" i="38" s="1"/>
  <c r="Q12" i="63"/>
  <c r="O35" i="38" s="1"/>
  <c r="I12" i="63"/>
  <c r="AK11" i="63"/>
  <c r="AC11" i="63"/>
  <c r="M11" i="63"/>
  <c r="AG13" i="63"/>
  <c r="Y13" i="63"/>
  <c r="Q13" i="63"/>
  <c r="AL12" i="63"/>
  <c r="AJ35" i="38" s="1"/>
  <c r="AD12" i="63"/>
  <c r="AB35" i="38" s="1"/>
  <c r="V12" i="63"/>
  <c r="T35" i="38" s="1"/>
  <c r="N12" i="63"/>
  <c r="L35" i="38" s="1"/>
  <c r="AG12" i="63"/>
  <c r="AE35" i="38" s="1"/>
  <c r="AL13" i="63"/>
  <c r="X11" i="63"/>
  <c r="K13" i="63"/>
  <c r="S13" i="63"/>
  <c r="M13" i="63"/>
  <c r="AF12" i="63"/>
  <c r="AD35" i="38" s="1"/>
  <c r="X12" i="63"/>
  <c r="V35" i="38" s="1"/>
  <c r="P12" i="63"/>
  <c r="N35" i="38" s="1"/>
  <c r="AB11" i="63"/>
  <c r="T11" i="63"/>
  <c r="L11" i="63"/>
  <c r="AF13" i="63"/>
  <c r="X13" i="63"/>
  <c r="P13" i="63"/>
  <c r="AK12" i="63"/>
  <c r="AI35" i="38" s="1"/>
  <c r="AC12" i="63"/>
  <c r="AA35" i="38" s="1"/>
  <c r="U12" i="63"/>
  <c r="S35" i="38" s="1"/>
  <c r="M12" i="63"/>
  <c r="K35" i="38" s="1"/>
  <c r="P11" i="63"/>
  <c r="AG11" i="63"/>
  <c r="AA13" i="63"/>
  <c r="AH11" i="63"/>
  <c r="Z11" i="63"/>
  <c r="R11" i="63"/>
  <c r="J11" i="63"/>
  <c r="U13" i="63"/>
  <c r="AE12" i="63"/>
  <c r="AC35" i="38" s="1"/>
  <c r="W12" i="63"/>
  <c r="U35" i="38" s="1"/>
  <c r="O12" i="63"/>
  <c r="M35" i="38" s="1"/>
  <c r="AL14" i="63"/>
  <c r="AD14" i="63"/>
  <c r="V14" i="63"/>
  <c r="AI11" i="63"/>
  <c r="AA11" i="63"/>
  <c r="K11" i="63"/>
  <c r="AE13" i="63"/>
  <c r="O13" i="63"/>
  <c r="M12" i="37"/>
  <c r="F120" i="37"/>
  <c r="F90" i="37"/>
  <c r="AF12" i="37"/>
  <c r="X12" i="37"/>
  <c r="P12" i="37"/>
  <c r="U13" i="37"/>
  <c r="H185" i="37"/>
  <c r="G90" i="37"/>
  <c r="G175" i="37"/>
  <c r="E110" i="37"/>
  <c r="F110" i="37"/>
  <c r="AF11" i="37"/>
  <c r="F195" i="37"/>
  <c r="AI13" i="37"/>
  <c r="AA13" i="37"/>
  <c r="S13" i="37"/>
  <c r="K13" i="37"/>
  <c r="G130" i="37"/>
  <c r="AB13" i="37"/>
  <c r="E185" i="37"/>
  <c r="E175" i="37"/>
  <c r="F175" i="37"/>
  <c r="W11" i="37"/>
  <c r="O11" i="37"/>
  <c r="AL12" i="37"/>
  <c r="AD12" i="37"/>
  <c r="H130" i="37"/>
  <c r="AF155" i="37"/>
  <c r="V155" i="37"/>
  <c r="M155" i="37"/>
  <c r="AK155" i="37"/>
  <c r="AE155" i="37"/>
  <c r="Z155" i="37"/>
  <c r="Q155" i="37"/>
  <c r="L155" i="37"/>
  <c r="AJ155" i="37"/>
  <c r="U155" i="37"/>
  <c r="P155" i="37"/>
  <c r="AI155" i="37"/>
  <c r="AD155" i="37"/>
  <c r="Y155" i="37"/>
  <c r="T155" i="37"/>
  <c r="K155" i="37"/>
  <c r="X155" i="37"/>
  <c r="O155" i="37"/>
  <c r="AH155" i="37"/>
  <c r="AC155" i="37"/>
  <c r="S155" i="37"/>
  <c r="J155" i="37"/>
  <c r="AB155" i="37"/>
  <c r="W155" i="37"/>
  <c r="N155" i="37"/>
  <c r="AL155" i="37"/>
  <c r="AG155" i="37"/>
  <c r="AA155" i="37"/>
  <c r="R155" i="37"/>
  <c r="I155" i="37"/>
  <c r="O12" i="37"/>
  <c r="G120" i="37"/>
  <c r="E90" i="37"/>
  <c r="H175" i="37"/>
  <c r="H110" i="37"/>
  <c r="AL11" i="37"/>
  <c r="AD11" i="37"/>
  <c r="AK12" i="37"/>
  <c r="AC12" i="37"/>
  <c r="H195" i="37"/>
  <c r="AH25" i="37"/>
  <c r="Z25" i="37"/>
  <c r="R25" i="37"/>
  <c r="N25" i="37"/>
  <c r="AL25" i="37"/>
  <c r="AD25" i="37"/>
  <c r="V25" i="37"/>
  <c r="J25" i="37"/>
  <c r="AJ25" i="37"/>
  <c r="AC25" i="37"/>
  <c r="K25" i="37"/>
  <c r="I25" i="37"/>
  <c r="AF25" i="37"/>
  <c r="W25" i="37"/>
  <c r="P25" i="37"/>
  <c r="AA25" i="37"/>
  <c r="AI25" i="37"/>
  <c r="AB25" i="37"/>
  <c r="U25" i="37"/>
  <c r="T25" i="37"/>
  <c r="AG25" i="37"/>
  <c r="O25" i="37"/>
  <c r="AK25" i="37"/>
  <c r="S25" i="37"/>
  <c r="L25" i="37"/>
  <c r="AE25" i="37"/>
  <c r="Q25" i="37"/>
  <c r="M25" i="37"/>
  <c r="X25" i="37"/>
  <c r="Y25" i="37"/>
  <c r="AH13" i="37"/>
  <c r="Z13" i="37"/>
  <c r="R13" i="37"/>
  <c r="J13" i="37"/>
  <c r="G185" i="37"/>
  <c r="W12" i="37"/>
  <c r="E11" i="37"/>
  <c r="AK11" i="37"/>
  <c r="AJ12" i="37"/>
  <c r="AB12" i="37"/>
  <c r="T12" i="37"/>
  <c r="L12" i="37"/>
  <c r="E195" i="37"/>
  <c r="AI100" i="37"/>
  <c r="AI140" i="37" s="1"/>
  <c r="AL100" i="37"/>
  <c r="AL140" i="37" s="1"/>
  <c r="AH100" i="37"/>
  <c r="AH140" i="37" s="1"/>
  <c r="AK100" i="37"/>
  <c r="AK140" i="37" s="1"/>
  <c r="AD100" i="37"/>
  <c r="AD140" i="37" s="1"/>
  <c r="X100" i="37"/>
  <c r="X140" i="37" s="1"/>
  <c r="Q100" i="37"/>
  <c r="Q140" i="37" s="1"/>
  <c r="K100" i="37"/>
  <c r="K140" i="37" s="1"/>
  <c r="AC100" i="37"/>
  <c r="AC140" i="37" s="1"/>
  <c r="W100" i="37"/>
  <c r="W140" i="37" s="1"/>
  <c r="J100" i="37"/>
  <c r="J140" i="37" s="1"/>
  <c r="V100" i="37"/>
  <c r="V140" i="37" s="1"/>
  <c r="P100" i="37"/>
  <c r="P140" i="37" s="1"/>
  <c r="I100" i="37"/>
  <c r="I140" i="37" s="1"/>
  <c r="AJ100" i="37"/>
  <c r="AJ140" i="37" s="1"/>
  <c r="AB100" i="37"/>
  <c r="AB140" i="37" s="1"/>
  <c r="U100" i="37"/>
  <c r="U140" i="37" s="1"/>
  <c r="O100" i="37"/>
  <c r="O140" i="37" s="1"/>
  <c r="AG100" i="37"/>
  <c r="AG140" i="37" s="1"/>
  <c r="AA100" i="37"/>
  <c r="AA140" i="37" s="1"/>
  <c r="N100" i="37"/>
  <c r="N140" i="37" s="1"/>
  <c r="Z100" i="37"/>
  <c r="Z140" i="37" s="1"/>
  <c r="T100" i="37"/>
  <c r="T140" i="37" s="1"/>
  <c r="M100" i="37"/>
  <c r="M140" i="37" s="1"/>
  <c r="AF100" i="37"/>
  <c r="AF140" i="37" s="1"/>
  <c r="Y100" i="37"/>
  <c r="Y140" i="37" s="1"/>
  <c r="S100" i="37"/>
  <c r="S140" i="37" s="1"/>
  <c r="AE100" i="37"/>
  <c r="AE140" i="37" s="1"/>
  <c r="R100" i="37"/>
  <c r="R140" i="37" s="1"/>
  <c r="L100" i="37"/>
  <c r="L140" i="37" s="1"/>
  <c r="F12" i="37"/>
  <c r="Y13" i="37"/>
  <c r="Q13" i="37"/>
  <c r="I13" i="37"/>
  <c r="AE12" i="37"/>
  <c r="M11" i="37"/>
  <c r="G11" i="37"/>
  <c r="G110" i="37"/>
  <c r="F11" i="37"/>
  <c r="AJ11" i="37"/>
  <c r="AB11" i="37"/>
  <c r="U11" i="37"/>
  <c r="AI12" i="37"/>
  <c r="AA12" i="37"/>
  <c r="S12" i="37"/>
  <c r="K12" i="37"/>
  <c r="E12" i="37"/>
  <c r="N12" i="37"/>
  <c r="AF13" i="37"/>
  <c r="AG13" i="37"/>
  <c r="E120" i="37"/>
  <c r="H90" i="37"/>
  <c r="N11" i="37"/>
  <c r="AI11" i="37"/>
  <c r="S11" i="37"/>
  <c r="K11" i="37"/>
  <c r="AH12" i="37"/>
  <c r="Z12" i="37"/>
  <c r="R12" i="37"/>
  <c r="J12" i="37"/>
  <c r="G195" i="37"/>
  <c r="AD13" i="37"/>
  <c r="V12" i="37"/>
  <c r="AE13" i="37"/>
  <c r="O13" i="37"/>
  <c r="F185" i="37"/>
  <c r="L11" i="37"/>
  <c r="H120" i="37"/>
  <c r="H12" i="37"/>
  <c r="AC11" i="37"/>
  <c r="V11" i="37"/>
  <c r="AH11" i="37"/>
  <c r="Z11" i="37"/>
  <c r="R11" i="37"/>
  <c r="J11" i="37"/>
  <c r="AG12" i="37"/>
  <c r="Y12" i="37"/>
  <c r="Q12" i="37"/>
  <c r="I12" i="37"/>
  <c r="AK13" i="37"/>
  <c r="AC13" i="37"/>
  <c r="F130" i="37"/>
  <c r="E130" i="37"/>
  <c r="E155" i="63"/>
  <c r="E100" i="63"/>
  <c r="E140" i="63" s="1"/>
  <c r="E25" i="63"/>
  <c r="H195" i="63"/>
  <c r="H185" i="63"/>
  <c r="H175" i="63"/>
  <c r="F155" i="63"/>
  <c r="G155" i="63"/>
  <c r="H155" i="63"/>
  <c r="H130" i="63"/>
  <c r="H120" i="63"/>
  <c r="H110" i="63"/>
  <c r="G100" i="63"/>
  <c r="G140" i="63" s="1"/>
  <c r="F100" i="63"/>
  <c r="F140" i="63" s="1"/>
  <c r="H100" i="63"/>
  <c r="F25" i="63"/>
  <c r="G25" i="63"/>
  <c r="H25" i="63"/>
  <c r="E12" i="63"/>
  <c r="H140" i="63" l="1"/>
  <c r="J9" i="65"/>
  <c r="Z9" i="65"/>
  <c r="U9" i="65"/>
  <c r="G35" i="38"/>
  <c r="H8" i="38"/>
  <c r="H11" i="38" s="1"/>
  <c r="G8" i="78"/>
  <c r="C8" i="12"/>
  <c r="L14" i="63"/>
  <c r="M9" i="65" s="1"/>
  <c r="W9" i="65"/>
  <c r="AC9" i="65"/>
  <c r="AI14" i="63"/>
  <c r="AJ9" i="65" s="1"/>
  <c r="AA14" i="63"/>
  <c r="AB9" i="65" s="1"/>
  <c r="S14" i="63"/>
  <c r="T9" i="65" s="1"/>
  <c r="AE9" i="65"/>
  <c r="AH14" i="63"/>
  <c r="AI9" i="65" s="1"/>
  <c r="Z14" i="63"/>
  <c r="AA9" i="65" s="1"/>
  <c r="R14" i="63"/>
  <c r="S9" i="65" s="1"/>
  <c r="J14" i="63"/>
  <c r="K9" i="65" s="1"/>
  <c r="AM9" i="65"/>
  <c r="I165" i="63"/>
  <c r="I205" i="63" s="1"/>
  <c r="J165" i="63"/>
  <c r="J205" i="63" s="1"/>
  <c r="K165" i="63"/>
  <c r="K205" i="63" s="1"/>
  <c r="L165" i="63"/>
  <c r="L205" i="63" s="1"/>
  <c r="M165" i="63"/>
  <c r="M205" i="63" s="1"/>
  <c r="N165" i="63"/>
  <c r="N205" i="63" s="1"/>
  <c r="O165" i="63"/>
  <c r="O205" i="63" s="1"/>
  <c r="P165" i="63"/>
  <c r="P205" i="63" s="1"/>
  <c r="Q165" i="63"/>
  <c r="Q205" i="63" s="1"/>
  <c r="R165" i="63"/>
  <c r="R205" i="63" s="1"/>
  <c r="S165" i="63"/>
  <c r="S205" i="63" s="1"/>
  <c r="T165" i="63"/>
  <c r="T205" i="63" s="1"/>
  <c r="U165" i="63"/>
  <c r="U205" i="63" s="1"/>
  <c r="V165" i="63"/>
  <c r="V205" i="63" s="1"/>
  <c r="W165" i="63"/>
  <c r="W205" i="63" s="1"/>
  <c r="X165" i="63"/>
  <c r="X205" i="63" s="1"/>
  <c r="Y165" i="63"/>
  <c r="Y205" i="63" s="1"/>
  <c r="Z165" i="63"/>
  <c r="Z205" i="63" s="1"/>
  <c r="AA165" i="63"/>
  <c r="AA205" i="63" s="1"/>
  <c r="AB165" i="63"/>
  <c r="AB205" i="63" s="1"/>
  <c r="AC165" i="63"/>
  <c r="AC205" i="63" s="1"/>
  <c r="AD165" i="63"/>
  <c r="AD205" i="63" s="1"/>
  <c r="AE165" i="63"/>
  <c r="AE205" i="63" s="1"/>
  <c r="AF165" i="63"/>
  <c r="AF205" i="63" s="1"/>
  <c r="AG165" i="63"/>
  <c r="AG205" i="63" s="1"/>
  <c r="AH165" i="63"/>
  <c r="AH205" i="63" s="1"/>
  <c r="AI165" i="63"/>
  <c r="AI205" i="63" s="1"/>
  <c r="AJ165" i="63"/>
  <c r="AJ205" i="63" s="1"/>
  <c r="AK165" i="63"/>
  <c r="AK205" i="63" s="1"/>
  <c r="AL165" i="63"/>
  <c r="AL205" i="63" s="1"/>
  <c r="W14" i="63"/>
  <c r="X9" i="65" s="1"/>
  <c r="I35" i="63"/>
  <c r="J35" i="63"/>
  <c r="K35" i="63"/>
  <c r="L35" i="63"/>
  <c r="M35" i="63"/>
  <c r="N35" i="63"/>
  <c r="O35" i="63"/>
  <c r="P35" i="63"/>
  <c r="Q35" i="63"/>
  <c r="R35" i="63"/>
  <c r="S35" i="63"/>
  <c r="T35" i="63"/>
  <c r="U35" i="63"/>
  <c r="V35" i="63"/>
  <c r="W35" i="63"/>
  <c r="X35" i="63"/>
  <c r="Y35" i="63"/>
  <c r="Z35" i="63"/>
  <c r="AA35" i="63"/>
  <c r="AB35" i="63"/>
  <c r="AC35" i="63"/>
  <c r="AD35" i="63"/>
  <c r="AE35" i="63"/>
  <c r="AF35" i="63"/>
  <c r="AG35" i="63"/>
  <c r="AH35" i="63"/>
  <c r="AI35" i="63"/>
  <c r="AJ35" i="63"/>
  <c r="AK35" i="63"/>
  <c r="AL35" i="63"/>
  <c r="AE14" i="63"/>
  <c r="AF9" i="65" s="1"/>
  <c r="P14" i="63"/>
  <c r="Q9" i="65" s="1"/>
  <c r="AK14" i="63"/>
  <c r="AL9" i="65" s="1"/>
  <c r="K14" i="63"/>
  <c r="L9" i="65" s="1"/>
  <c r="AC14" i="63"/>
  <c r="AD9" i="65" s="1"/>
  <c r="X14" i="63"/>
  <c r="Y9" i="65" s="1"/>
  <c r="R9" i="65"/>
  <c r="I55" i="63"/>
  <c r="J55" i="63"/>
  <c r="K55" i="63"/>
  <c r="L55" i="63"/>
  <c r="M55" i="63"/>
  <c r="N55" i="63"/>
  <c r="O55" i="63"/>
  <c r="P55" i="63"/>
  <c r="Q55" i="63"/>
  <c r="R55" i="63"/>
  <c r="S55" i="63"/>
  <c r="T55" i="63"/>
  <c r="U55" i="63"/>
  <c r="V55" i="63"/>
  <c r="W55" i="63"/>
  <c r="X55" i="63"/>
  <c r="Y55" i="63"/>
  <c r="Z55" i="63"/>
  <c r="AA55" i="63"/>
  <c r="AB55" i="63"/>
  <c r="AC55" i="63"/>
  <c r="AD55" i="63"/>
  <c r="AE55" i="63"/>
  <c r="AF55" i="63"/>
  <c r="AG55" i="63"/>
  <c r="AH55" i="63"/>
  <c r="AI55" i="63"/>
  <c r="AJ55" i="63"/>
  <c r="AK55" i="63"/>
  <c r="AL55" i="63"/>
  <c r="M14" i="63"/>
  <c r="N9" i="65" s="1"/>
  <c r="AF14" i="63"/>
  <c r="AG9" i="65" s="1"/>
  <c r="V9" i="65"/>
  <c r="F11" i="63"/>
  <c r="AK9" i="65"/>
  <c r="N14" i="63"/>
  <c r="O9" i="65" s="1"/>
  <c r="AG14" i="63"/>
  <c r="AH9" i="65" s="1"/>
  <c r="G14" i="63"/>
  <c r="O14" i="63"/>
  <c r="P9" i="65" s="1"/>
  <c r="E11" i="63"/>
  <c r="P11" i="37"/>
  <c r="I11" i="37"/>
  <c r="M13" i="37"/>
  <c r="AE14" i="37"/>
  <c r="AE11" i="37"/>
  <c r="G12" i="37"/>
  <c r="X11" i="37"/>
  <c r="Q11" i="37"/>
  <c r="P13" i="37"/>
  <c r="L13" i="37"/>
  <c r="Y11" i="37"/>
  <c r="N13" i="37"/>
  <c r="X13" i="37"/>
  <c r="AK14" i="37"/>
  <c r="AL9" i="64" s="1"/>
  <c r="U14" i="37"/>
  <c r="T13" i="37"/>
  <c r="AG11" i="37"/>
  <c r="V13" i="37"/>
  <c r="W13" i="37"/>
  <c r="T11" i="37"/>
  <c r="H11" i="37"/>
  <c r="AJ13" i="37"/>
  <c r="AL13" i="37"/>
  <c r="AA11" i="37"/>
  <c r="U12" i="37"/>
  <c r="G12" i="63"/>
  <c r="E35" i="38" s="1"/>
  <c r="Z14" i="37"/>
  <c r="AA9" i="64" s="1"/>
  <c r="H7" i="38"/>
  <c r="H10" i="38" s="1"/>
  <c r="J14" i="37"/>
  <c r="K9" i="64" s="1"/>
  <c r="AF14" i="37"/>
  <c r="AG9" i="64" s="1"/>
  <c r="X14" i="37"/>
  <c r="P14" i="37"/>
  <c r="W14" i="37"/>
  <c r="O14" i="37"/>
  <c r="P9" i="64" s="1"/>
  <c r="AL14" i="37"/>
  <c r="AD14" i="37"/>
  <c r="AE9" i="64" s="1"/>
  <c r="V14" i="37"/>
  <c r="N14" i="37"/>
  <c r="AC14" i="37"/>
  <c r="AD9" i="64" s="1"/>
  <c r="M14" i="37"/>
  <c r="AJ14" i="37"/>
  <c r="AB14" i="37"/>
  <c r="AC9" i="64" s="1"/>
  <c r="T14" i="37"/>
  <c r="L14" i="37"/>
  <c r="H13" i="38" a="1"/>
  <c r="H13" i="38" s="1"/>
  <c r="AH14" i="37"/>
  <c r="AI9" i="64" s="1"/>
  <c r="R14" i="37"/>
  <c r="S9" i="64" s="1"/>
  <c r="Y14" i="37"/>
  <c r="E25" i="37"/>
  <c r="F25" i="37"/>
  <c r="E155" i="37"/>
  <c r="AI165" i="37"/>
  <c r="AI205" i="37" s="1"/>
  <c r="AE165" i="37"/>
  <c r="AE205" i="37" s="1"/>
  <c r="AA165" i="37"/>
  <c r="AA205" i="37" s="1"/>
  <c r="W165" i="37"/>
  <c r="W205" i="37" s="1"/>
  <c r="S165" i="37"/>
  <c r="S205" i="37" s="1"/>
  <c r="O165" i="37"/>
  <c r="O205" i="37" s="1"/>
  <c r="AL165" i="37"/>
  <c r="AL205" i="37" s="1"/>
  <c r="AH165" i="37"/>
  <c r="AH205" i="37" s="1"/>
  <c r="AD165" i="37"/>
  <c r="AD205" i="37" s="1"/>
  <c r="Z165" i="37"/>
  <c r="Z205" i="37" s="1"/>
  <c r="V165" i="37"/>
  <c r="V205" i="37" s="1"/>
  <c r="R165" i="37"/>
  <c r="R205" i="37" s="1"/>
  <c r="AK165" i="37"/>
  <c r="AK205" i="37" s="1"/>
  <c r="AG165" i="37"/>
  <c r="AG205" i="37" s="1"/>
  <c r="AC165" i="37"/>
  <c r="AC205" i="37" s="1"/>
  <c r="Y165" i="37"/>
  <c r="Y205" i="37" s="1"/>
  <c r="U165" i="37"/>
  <c r="U205" i="37" s="1"/>
  <c r="Q165" i="37"/>
  <c r="Q205" i="37" s="1"/>
  <c r="AJ165" i="37"/>
  <c r="AJ205" i="37" s="1"/>
  <c r="AF165" i="37"/>
  <c r="AF205" i="37" s="1"/>
  <c r="AB165" i="37"/>
  <c r="AB205" i="37" s="1"/>
  <c r="X165" i="37"/>
  <c r="X205" i="37" s="1"/>
  <c r="T165" i="37"/>
  <c r="T205" i="37" s="1"/>
  <c r="P165" i="37"/>
  <c r="P205" i="37" s="1"/>
  <c r="J165" i="37"/>
  <c r="J205" i="37" s="1"/>
  <c r="I165" i="37"/>
  <c r="I205" i="37" s="1"/>
  <c r="N165" i="37"/>
  <c r="N205" i="37" s="1"/>
  <c r="M165" i="37"/>
  <c r="M205" i="37" s="1"/>
  <c r="L165" i="37"/>
  <c r="L205" i="37" s="1"/>
  <c r="K165" i="37"/>
  <c r="K205" i="37" s="1"/>
  <c r="AL55" i="37"/>
  <c r="AF55" i="37"/>
  <c r="Y55" i="37"/>
  <c r="S55" i="37"/>
  <c r="AK55" i="37"/>
  <c r="AE55" i="37"/>
  <c r="R55" i="37"/>
  <c r="L55" i="37"/>
  <c r="AD55" i="37"/>
  <c r="X55" i="37"/>
  <c r="Q55" i="37"/>
  <c r="K55" i="37"/>
  <c r="AJ55" i="37"/>
  <c r="AC55" i="37"/>
  <c r="W55" i="37"/>
  <c r="J55" i="37"/>
  <c r="AI55" i="37"/>
  <c r="V55" i="37"/>
  <c r="P55" i="37"/>
  <c r="I55" i="37"/>
  <c r="AG55" i="37"/>
  <c r="AA55" i="37"/>
  <c r="N55" i="37"/>
  <c r="M55" i="37"/>
  <c r="U55" i="37"/>
  <c r="AH55" i="37"/>
  <c r="AB55" i="37"/>
  <c r="Z55" i="37"/>
  <c r="T55" i="37"/>
  <c r="O55" i="37"/>
  <c r="AG14" i="37"/>
  <c r="K14" i="37"/>
  <c r="L9" i="64" s="1"/>
  <c r="E13" i="63"/>
  <c r="S14" i="37"/>
  <c r="T9" i="64" s="1"/>
  <c r="F100" i="37"/>
  <c r="F140" i="37" s="1"/>
  <c r="H100" i="37"/>
  <c r="H140" i="37" s="1"/>
  <c r="G13" i="37"/>
  <c r="E14" i="37"/>
  <c r="G14" i="37"/>
  <c r="F13" i="63"/>
  <c r="AA14" i="37"/>
  <c r="AI14" i="37"/>
  <c r="AJ9" i="64" s="1"/>
  <c r="H25" i="37"/>
  <c r="F155" i="37"/>
  <c r="G155" i="37"/>
  <c r="G13" i="63"/>
  <c r="H155" i="37"/>
  <c r="F13" i="37"/>
  <c r="AK35" i="37"/>
  <c r="AG35" i="37"/>
  <c r="AC35" i="37"/>
  <c r="Y35" i="37"/>
  <c r="U35" i="37"/>
  <c r="Q35" i="37"/>
  <c r="M35" i="37"/>
  <c r="I35" i="37"/>
  <c r="AJ35" i="37"/>
  <c r="AF35" i="37"/>
  <c r="AB35" i="37"/>
  <c r="X35" i="37"/>
  <c r="T35" i="37"/>
  <c r="P35" i="37"/>
  <c r="L35" i="37"/>
  <c r="AE35" i="37"/>
  <c r="AI35" i="37"/>
  <c r="AL35" i="37"/>
  <c r="AH35" i="37"/>
  <c r="AD35" i="37"/>
  <c r="Z35" i="37"/>
  <c r="V35" i="37"/>
  <c r="R35" i="37"/>
  <c r="N35" i="37"/>
  <c r="J35" i="37"/>
  <c r="AA35" i="37"/>
  <c r="W35" i="37"/>
  <c r="O35" i="37"/>
  <c r="K35" i="37"/>
  <c r="S35" i="37"/>
  <c r="I14" i="37"/>
  <c r="E100" i="37"/>
  <c r="E140" i="37" s="1"/>
  <c r="G100" i="37"/>
  <c r="G140" i="37" s="1"/>
  <c r="Q14" i="37"/>
  <c r="H13" i="37"/>
  <c r="E13" i="37"/>
  <c r="G25" i="37"/>
  <c r="F14" i="63"/>
  <c r="E165" i="63"/>
  <c r="E205" i="63" s="1"/>
  <c r="E35" i="63"/>
  <c r="E55" i="63"/>
  <c r="F55" i="63"/>
  <c r="G165" i="63"/>
  <c r="G205" i="63" s="1"/>
  <c r="F165" i="63"/>
  <c r="F205" i="63" s="1"/>
  <c r="H165" i="63"/>
  <c r="H205" i="63" s="1"/>
  <c r="G55" i="63"/>
  <c r="H55" i="63"/>
  <c r="F35" i="63"/>
  <c r="G35" i="63"/>
  <c r="H35" i="63"/>
  <c r="R9" i="64" l="1"/>
  <c r="F9" i="64"/>
  <c r="N9" i="64"/>
  <c r="V9" i="64"/>
  <c r="M9" i="64"/>
  <c r="H9" i="64"/>
  <c r="Q9" i="64"/>
  <c r="J9" i="64"/>
  <c r="AH9" i="64"/>
  <c r="X9" i="64"/>
  <c r="AB9" i="64"/>
  <c r="Z9" i="64"/>
  <c r="H13" i="63"/>
  <c r="AF9" i="64"/>
  <c r="I45" i="63"/>
  <c r="J45" i="63"/>
  <c r="K45" i="63"/>
  <c r="L45" i="63"/>
  <c r="M45" i="63"/>
  <c r="N45" i="63"/>
  <c r="O45" i="63"/>
  <c r="P45" i="63"/>
  <c r="Q45" i="63"/>
  <c r="R45" i="63"/>
  <c r="S45" i="63"/>
  <c r="T45" i="63"/>
  <c r="U45" i="63"/>
  <c r="V45" i="63"/>
  <c r="W45" i="63"/>
  <c r="X45" i="63"/>
  <c r="Y45" i="63"/>
  <c r="Z45" i="63"/>
  <c r="AA45" i="63"/>
  <c r="AB45" i="63"/>
  <c r="AC45" i="63"/>
  <c r="AD45" i="63"/>
  <c r="AE45" i="63"/>
  <c r="AF45" i="63"/>
  <c r="AG45" i="63"/>
  <c r="AH45" i="63"/>
  <c r="AI45" i="63"/>
  <c r="AJ45" i="63"/>
  <c r="AK45" i="63"/>
  <c r="AL45" i="63"/>
  <c r="H11" i="63"/>
  <c r="U9" i="64"/>
  <c r="F12" i="63"/>
  <c r="D35" i="38" s="1"/>
  <c r="G11" i="63"/>
  <c r="I65" i="63"/>
  <c r="J65" i="63"/>
  <c r="K65" i="63"/>
  <c r="L65" i="63"/>
  <c r="M65" i="63"/>
  <c r="N65" i="63"/>
  <c r="O65" i="63"/>
  <c r="P65" i="63"/>
  <c r="Q65" i="63"/>
  <c r="R65" i="63"/>
  <c r="S65" i="63"/>
  <c r="T65" i="63"/>
  <c r="U65" i="63"/>
  <c r="V65" i="63"/>
  <c r="W65" i="63"/>
  <c r="X65" i="63"/>
  <c r="Y65" i="63"/>
  <c r="Z65" i="63"/>
  <c r="AA65" i="63"/>
  <c r="AB65" i="63"/>
  <c r="AC65" i="63"/>
  <c r="AD65" i="63"/>
  <c r="AE65" i="63"/>
  <c r="AF65" i="63"/>
  <c r="AG65" i="63"/>
  <c r="AH65" i="63"/>
  <c r="AI65" i="63"/>
  <c r="AJ65" i="63"/>
  <c r="AK65" i="63"/>
  <c r="AL65" i="63"/>
  <c r="W9" i="64"/>
  <c r="Y9" i="64"/>
  <c r="O9" i="64"/>
  <c r="AK9" i="64"/>
  <c r="AM9" i="64"/>
  <c r="H35" i="37"/>
  <c r="E35" i="37"/>
  <c r="G55" i="37"/>
  <c r="E165" i="37"/>
  <c r="E205" i="37" s="1"/>
  <c r="F165" i="37"/>
  <c r="F205" i="37" s="1"/>
  <c r="AL65" i="37"/>
  <c r="AH65" i="37"/>
  <c r="AD65" i="37"/>
  <c r="Z65" i="37"/>
  <c r="AK65" i="37"/>
  <c r="AG65" i="37"/>
  <c r="AJ65" i="37"/>
  <c r="AF65" i="37"/>
  <c r="AB65" i="37"/>
  <c r="X65" i="37"/>
  <c r="AC65" i="37"/>
  <c r="T65" i="37"/>
  <c r="N65" i="37"/>
  <c r="AA65" i="37"/>
  <c r="S65" i="37"/>
  <c r="M65" i="37"/>
  <c r="L65" i="37"/>
  <c r="Y65" i="37"/>
  <c r="R65" i="37"/>
  <c r="K65" i="37"/>
  <c r="AI65" i="37"/>
  <c r="W65" i="37"/>
  <c r="Q65" i="37"/>
  <c r="AE65" i="37"/>
  <c r="V65" i="37"/>
  <c r="O65" i="37"/>
  <c r="I65" i="37"/>
  <c r="U65" i="37"/>
  <c r="P65" i="37"/>
  <c r="J65" i="37"/>
  <c r="F55" i="37"/>
  <c r="AK45" i="37"/>
  <c r="X45" i="37"/>
  <c r="R45" i="37"/>
  <c r="K45" i="37"/>
  <c r="AJ45" i="37"/>
  <c r="AD45" i="37"/>
  <c r="W45" i="37"/>
  <c r="Q45" i="37"/>
  <c r="AI45" i="37"/>
  <c r="AC45" i="37"/>
  <c r="P45" i="37"/>
  <c r="J45" i="37"/>
  <c r="AB45" i="37"/>
  <c r="V45" i="37"/>
  <c r="O45" i="37"/>
  <c r="I45" i="37"/>
  <c r="AA45" i="37"/>
  <c r="AH45" i="37"/>
  <c r="U45" i="37"/>
  <c r="AF45" i="37"/>
  <c r="Z45" i="37"/>
  <c r="S45" i="37"/>
  <c r="M45" i="37"/>
  <c r="AE45" i="37"/>
  <c r="N45" i="37"/>
  <c r="AL45" i="37"/>
  <c r="L45" i="37"/>
  <c r="AG45" i="37"/>
  <c r="Y45" i="37"/>
  <c r="T45" i="37"/>
  <c r="G35" i="37"/>
  <c r="G165" i="37"/>
  <c r="G205" i="37" s="1"/>
  <c r="H14" i="63"/>
  <c r="C9" i="12"/>
  <c r="F35" i="37"/>
  <c r="H14" i="37"/>
  <c r="I9" i="64" s="1"/>
  <c r="E14" i="63"/>
  <c r="F9" i="65" s="1"/>
  <c r="F14" i="37"/>
  <c r="G9" i="64" s="1"/>
  <c r="G9" i="78"/>
  <c r="H55" i="37"/>
  <c r="E55" i="37"/>
  <c r="H165" i="37"/>
  <c r="H205" i="37" s="1"/>
  <c r="E65" i="63"/>
  <c r="E45" i="63"/>
  <c r="F65" i="63"/>
  <c r="G65" i="63"/>
  <c r="H65" i="63"/>
  <c r="H45" i="63"/>
  <c r="G45" i="63"/>
  <c r="F45" i="63"/>
  <c r="R75" i="37" l="1"/>
  <c r="AE75" i="37"/>
  <c r="AG75" i="37"/>
  <c r="AG9" i="37" s="1"/>
  <c r="AH7" i="64" s="1"/>
  <c r="E75" i="63"/>
  <c r="V75" i="37"/>
  <c r="V9" i="37" s="1"/>
  <c r="W7" i="64" s="1"/>
  <c r="W10" i="64" s="1"/>
  <c r="AI75" i="63"/>
  <c r="AI9" i="63" s="1"/>
  <c r="AA75" i="63"/>
  <c r="AA9" i="63" s="1"/>
  <c r="S75" i="63"/>
  <c r="S9" i="63" s="1"/>
  <c r="K75" i="63"/>
  <c r="K9" i="63" s="1"/>
  <c r="AH75" i="63"/>
  <c r="AH9" i="63" s="1"/>
  <c r="Z75" i="63"/>
  <c r="Z9" i="63" s="1"/>
  <c r="U75" i="63"/>
  <c r="U9" i="63" s="1"/>
  <c r="M75" i="63"/>
  <c r="M9" i="63" s="1"/>
  <c r="N75" i="37"/>
  <c r="N9" i="37" s="1"/>
  <c r="O7" i="64" s="1"/>
  <c r="O11" i="64" s="1"/>
  <c r="AH75" i="37"/>
  <c r="AH9" i="37" s="1"/>
  <c r="AI7" i="64" s="1"/>
  <c r="AI27" i="64" s="1"/>
  <c r="X75" i="37"/>
  <c r="X9" i="37" s="1"/>
  <c r="Y7" i="64" s="1"/>
  <c r="Y11" i="64" s="1"/>
  <c r="AF75" i="63"/>
  <c r="AF9" i="63" s="1"/>
  <c r="R75" i="63"/>
  <c r="R9" i="63" s="1"/>
  <c r="J75" i="63"/>
  <c r="J9" i="63" s="1"/>
  <c r="Y75" i="63"/>
  <c r="Y9" i="63" s="1"/>
  <c r="Q75" i="63"/>
  <c r="Q9" i="63" s="1"/>
  <c r="L75" i="63"/>
  <c r="L9" i="63" s="1"/>
  <c r="Z75" i="37"/>
  <c r="Z9" i="37" s="1"/>
  <c r="AA7" i="64" s="1"/>
  <c r="AA11" i="64" s="1"/>
  <c r="H75" i="63"/>
  <c r="AK75" i="37"/>
  <c r="AK9" i="37" s="1"/>
  <c r="AL7" i="64" s="1"/>
  <c r="AL11" i="64" s="1"/>
  <c r="T75" i="37"/>
  <c r="T9" i="37" s="1"/>
  <c r="U7" i="64" s="1"/>
  <c r="U44" i="64" s="1"/>
  <c r="AJ75" i="63"/>
  <c r="AJ9" i="63" s="1"/>
  <c r="AL75" i="63"/>
  <c r="AL9" i="63" s="1"/>
  <c r="AG75" i="63"/>
  <c r="AG9" i="63" s="1"/>
  <c r="I75" i="63"/>
  <c r="I9" i="63" s="1"/>
  <c r="F75" i="63"/>
  <c r="X75" i="63"/>
  <c r="X9" i="63" s="1"/>
  <c r="W75" i="63"/>
  <c r="W9" i="63" s="1"/>
  <c r="V9" i="18" s="1"/>
  <c r="O75" i="63"/>
  <c r="O9" i="63" s="1"/>
  <c r="G75" i="63"/>
  <c r="G9" i="63" s="1"/>
  <c r="F9" i="18" s="1"/>
  <c r="AD75" i="63"/>
  <c r="AD9" i="63" s="1"/>
  <c r="V75" i="63"/>
  <c r="V9" i="63" s="1"/>
  <c r="AK75" i="63"/>
  <c r="AK9" i="63" s="1"/>
  <c r="AB75" i="63"/>
  <c r="AB9" i="63" s="1"/>
  <c r="T75" i="63"/>
  <c r="T9" i="63" s="1"/>
  <c r="P75" i="37"/>
  <c r="P9" i="37" s="1"/>
  <c r="Q7" i="64" s="1"/>
  <c r="P75" i="63"/>
  <c r="P9" i="63" s="1"/>
  <c r="AE75" i="63"/>
  <c r="AE9" i="63" s="1"/>
  <c r="AI75" i="37"/>
  <c r="AI9" i="37" s="1"/>
  <c r="AJ7" i="64" s="1"/>
  <c r="AJ27" i="64" s="1"/>
  <c r="N75" i="63"/>
  <c r="N9" i="63" s="1"/>
  <c r="AC75" i="63"/>
  <c r="AC9" i="63" s="1"/>
  <c r="O75" i="37"/>
  <c r="O9" i="37" s="1"/>
  <c r="P7" i="64" s="1"/>
  <c r="Y75" i="37"/>
  <c r="Y9" i="37" s="1"/>
  <c r="Z7" i="64" s="1"/>
  <c r="AD75" i="37"/>
  <c r="AD9" i="37" s="1"/>
  <c r="AE7" i="64" s="1"/>
  <c r="AE23" i="64" s="1"/>
  <c r="L75" i="37"/>
  <c r="L9" i="37" s="1"/>
  <c r="M7" i="64" s="1"/>
  <c r="AF75" i="37"/>
  <c r="AF9" i="37" s="1"/>
  <c r="AG7" i="64" s="1"/>
  <c r="H12" i="63"/>
  <c r="F35" i="38" s="1"/>
  <c r="S75" i="37"/>
  <c r="S9" i="37" s="1"/>
  <c r="T7" i="64" s="1"/>
  <c r="Q75" i="37"/>
  <c r="Q9" i="37" s="1"/>
  <c r="R7" i="64" s="1"/>
  <c r="I75" i="37"/>
  <c r="I9" i="37" s="1"/>
  <c r="J7" i="64" s="1"/>
  <c r="W75" i="37"/>
  <c r="W9" i="37" s="1"/>
  <c r="X7" i="64" s="1"/>
  <c r="AB75" i="37"/>
  <c r="AB9" i="37" s="1"/>
  <c r="AC7" i="64" s="1"/>
  <c r="J75" i="37"/>
  <c r="J9" i="37" s="1"/>
  <c r="K7" i="64" s="1"/>
  <c r="AL75" i="37"/>
  <c r="AL9" i="37" s="1"/>
  <c r="AM7" i="64" s="1"/>
  <c r="AN25" i="64" s="1"/>
  <c r="AN26" i="64" s="1"/>
  <c r="AN29" i="64" s="1"/>
  <c r="K75" i="37"/>
  <c r="K9" i="37" s="1"/>
  <c r="L7" i="64" s="1"/>
  <c r="AC75" i="37"/>
  <c r="AC9" i="37" s="1"/>
  <c r="AD7" i="64" s="1"/>
  <c r="U75" i="37"/>
  <c r="U9" i="37" s="1"/>
  <c r="V7" i="64" s="1"/>
  <c r="M75" i="37"/>
  <c r="M9" i="37" s="1"/>
  <c r="N7" i="64" s="1"/>
  <c r="AJ75" i="37"/>
  <c r="AJ9" i="37" s="1"/>
  <c r="AK7" i="64" s="1"/>
  <c r="AA75" i="37"/>
  <c r="AA9" i="37" s="1"/>
  <c r="AB7" i="64" s="1"/>
  <c r="R9" i="37"/>
  <c r="S7" i="64" s="1"/>
  <c r="S10" i="64" s="1"/>
  <c r="AE9" i="37"/>
  <c r="AF7" i="64" s="1"/>
  <c r="H45" i="37"/>
  <c r="G45" i="37"/>
  <c r="H65" i="37"/>
  <c r="E65" i="37"/>
  <c r="F45" i="37"/>
  <c r="G65" i="37"/>
  <c r="E45" i="37"/>
  <c r="F65" i="37"/>
  <c r="AN33" i="64" l="1"/>
  <c r="AN36" i="64"/>
  <c r="W27" i="64"/>
  <c r="W44" i="64"/>
  <c r="W11" i="64"/>
  <c r="W14" i="64" s="1"/>
  <c r="W17" i="64" s="1"/>
  <c r="W18" i="64" s="1"/>
  <c r="E75" i="37"/>
  <c r="E9" i="37" s="1"/>
  <c r="AI25" i="64"/>
  <c r="Y44" i="64"/>
  <c r="Y10" i="64"/>
  <c r="Y14" i="64" s="1"/>
  <c r="Y47" i="64" s="1"/>
  <c r="X7" i="65"/>
  <c r="AE11" i="64"/>
  <c r="W23" i="64"/>
  <c r="AL23" i="64"/>
  <c r="O23" i="64"/>
  <c r="AE10" i="64"/>
  <c r="AL44" i="64"/>
  <c r="G75" i="37"/>
  <c r="G9" i="37" s="1"/>
  <c r="H7" i="64" s="1"/>
  <c r="H23" i="64" s="1"/>
  <c r="O27" i="64"/>
  <c r="AE44" i="64"/>
  <c r="AE27" i="64"/>
  <c r="Y27" i="64"/>
  <c r="O10" i="64"/>
  <c r="O14" i="64" s="1"/>
  <c r="Y23" i="64"/>
  <c r="O44" i="64"/>
  <c r="AL27" i="64"/>
  <c r="AL10" i="64"/>
  <c r="AL14" i="64" s="1"/>
  <c r="AA23" i="64"/>
  <c r="P7" i="65"/>
  <c r="N9" i="18"/>
  <c r="M10" i="64"/>
  <c r="M44" i="64"/>
  <c r="M23" i="64"/>
  <c r="M27" i="64"/>
  <c r="M11" i="64"/>
  <c r="AI23" i="64"/>
  <c r="AH27" i="64"/>
  <c r="U27" i="64"/>
  <c r="AH10" i="64"/>
  <c r="U10" i="64"/>
  <c r="AA44" i="64"/>
  <c r="AI11" i="64"/>
  <c r="AI44" i="64"/>
  <c r="AI10" i="64"/>
  <c r="H75" i="37"/>
  <c r="H9" i="37" s="1"/>
  <c r="I7" i="64" s="1"/>
  <c r="P10" i="64"/>
  <c r="P25" i="64"/>
  <c r="Q44" i="64"/>
  <c r="Q27" i="64"/>
  <c r="Q11" i="64"/>
  <c r="Q10" i="64"/>
  <c r="Q23" i="64"/>
  <c r="AD9" i="18"/>
  <c r="AF7" i="65"/>
  <c r="AG11" i="64"/>
  <c r="AG27" i="64"/>
  <c r="AG23" i="64"/>
  <c r="AG44" i="64"/>
  <c r="AG10" i="64"/>
  <c r="AH25" i="64"/>
  <c r="AA10" i="64"/>
  <c r="AA14" i="64" s="1"/>
  <c r="AA47" i="64" s="1"/>
  <c r="AH44" i="64"/>
  <c r="AH11" i="64"/>
  <c r="S11" i="64"/>
  <c r="S14" i="64" s="1"/>
  <c r="S16" i="64" s="1"/>
  <c r="I9" i="65"/>
  <c r="AH23" i="64"/>
  <c r="Z25" i="64"/>
  <c r="Z23" i="64"/>
  <c r="Z10" i="64"/>
  <c r="AA25" i="64"/>
  <c r="Z11" i="64"/>
  <c r="Z27" i="64"/>
  <c r="Z44" i="64"/>
  <c r="V27" i="64"/>
  <c r="V23" i="64"/>
  <c r="V44" i="64"/>
  <c r="V11" i="64"/>
  <c r="V10" i="64"/>
  <c r="W25" i="64"/>
  <c r="V25" i="64"/>
  <c r="O9" i="18"/>
  <c r="Q7" i="65"/>
  <c r="U7" i="65"/>
  <c r="S9" i="18"/>
  <c r="AF25" i="64"/>
  <c r="AJ10" i="64"/>
  <c r="W9" i="18"/>
  <c r="Y7" i="65"/>
  <c r="AF9" i="18"/>
  <c r="AH7" i="65"/>
  <c r="AK9" i="18"/>
  <c r="AM7" i="65"/>
  <c r="AN26" i="65" s="1"/>
  <c r="AN27" i="65" s="1"/>
  <c r="AN30" i="65" s="1"/>
  <c r="AN34" i="65" s="1"/>
  <c r="AN37" i="65" s="1"/>
  <c r="AC7" i="65"/>
  <c r="AA9" i="18"/>
  <c r="AF44" i="64"/>
  <c r="AJ44" i="64"/>
  <c r="Z7" i="65"/>
  <c r="X9" i="18"/>
  <c r="AG25" i="64"/>
  <c r="AF27" i="64"/>
  <c r="AJ23" i="64"/>
  <c r="AE9" i="18"/>
  <c r="AG7" i="65"/>
  <c r="O7" i="65"/>
  <c r="M9" i="18"/>
  <c r="J9" i="18"/>
  <c r="L7" i="65"/>
  <c r="AK7" i="65"/>
  <c r="AI9" i="18"/>
  <c r="F75" i="37"/>
  <c r="F9" i="37" s="1"/>
  <c r="G7" i="64" s="1"/>
  <c r="G44" i="64" s="1"/>
  <c r="AF10" i="64"/>
  <c r="S27" i="64"/>
  <c r="U11" i="64"/>
  <c r="I9" i="18"/>
  <c r="K7" i="65"/>
  <c r="R9" i="18"/>
  <c r="T7" i="65"/>
  <c r="U9" i="18"/>
  <c r="W7" i="65"/>
  <c r="AF11" i="64"/>
  <c r="S7" i="65"/>
  <c r="Q9" i="18"/>
  <c r="AB7" i="65"/>
  <c r="Z9" i="18"/>
  <c r="N7" i="65"/>
  <c r="L9" i="18"/>
  <c r="AF23" i="64"/>
  <c r="AJ11" i="64"/>
  <c r="P27" i="64"/>
  <c r="AE7" i="65"/>
  <c r="AC9" i="18"/>
  <c r="Y9" i="18"/>
  <c r="AA7" i="65"/>
  <c r="AH9" i="18"/>
  <c r="AJ7" i="65"/>
  <c r="V7" i="65"/>
  <c r="T9" i="18"/>
  <c r="AJ25" i="64"/>
  <c r="J7" i="65"/>
  <c r="H9" i="18"/>
  <c r="C11" i="12"/>
  <c r="C7" i="12" s="1"/>
  <c r="G11" i="78"/>
  <c r="G7" i="78" s="1"/>
  <c r="AI7" i="65"/>
  <c r="AG9" i="18"/>
  <c r="AB9" i="18"/>
  <c r="AD7" i="65"/>
  <c r="R7" i="65"/>
  <c r="P9" i="18"/>
  <c r="K9" i="18"/>
  <c r="M7" i="65"/>
  <c r="AL7" i="65"/>
  <c r="AJ9" i="18"/>
  <c r="K10" i="64"/>
  <c r="K23" i="64"/>
  <c r="K25" i="64"/>
  <c r="K11" i="64"/>
  <c r="K27" i="64"/>
  <c r="K44" i="64"/>
  <c r="AC23" i="64"/>
  <c r="AC27" i="64"/>
  <c r="AC44" i="64"/>
  <c r="AC25" i="64"/>
  <c r="AC10" i="64"/>
  <c r="AC11" i="64"/>
  <c r="AD11" i="64"/>
  <c r="AE25" i="64"/>
  <c r="AD10" i="64"/>
  <c r="AD23" i="64"/>
  <c r="AD44" i="64"/>
  <c r="AD25" i="64"/>
  <c r="AD27" i="64"/>
  <c r="T44" i="64"/>
  <c r="T10" i="64"/>
  <c r="T27" i="64"/>
  <c r="T25" i="64"/>
  <c r="T23" i="64"/>
  <c r="T11" i="64"/>
  <c r="J10" i="64"/>
  <c r="J11" i="64"/>
  <c r="J23" i="64"/>
  <c r="J44" i="64"/>
  <c r="J27" i="64"/>
  <c r="AB44" i="64"/>
  <c r="AB23" i="64"/>
  <c r="AB25" i="64"/>
  <c r="AB11" i="64"/>
  <c r="AB10" i="64"/>
  <c r="AB27" i="64"/>
  <c r="L11" i="64"/>
  <c r="L25" i="64"/>
  <c r="L23" i="64"/>
  <c r="L44" i="64"/>
  <c r="M25" i="64"/>
  <c r="L27" i="64"/>
  <c r="L10" i="64"/>
  <c r="AK11" i="64"/>
  <c r="AK25" i="64"/>
  <c r="AK10" i="64"/>
  <c r="AK27" i="64"/>
  <c r="AK44" i="64"/>
  <c r="AK23" i="64"/>
  <c r="AL25" i="64"/>
  <c r="AM25" i="64"/>
  <c r="AM10" i="64"/>
  <c r="AM23" i="64"/>
  <c r="AM27" i="64"/>
  <c r="AM44" i="64"/>
  <c r="AM11" i="64"/>
  <c r="X25" i="64"/>
  <c r="X27" i="64"/>
  <c r="X44" i="64"/>
  <c r="X23" i="64"/>
  <c r="X11" i="64"/>
  <c r="X10" i="64"/>
  <c r="Y25" i="64"/>
  <c r="R10" i="64"/>
  <c r="S25" i="64"/>
  <c r="R27" i="64"/>
  <c r="R44" i="64"/>
  <c r="R25" i="64"/>
  <c r="R11" i="64"/>
  <c r="R23" i="64"/>
  <c r="N23" i="64"/>
  <c r="N44" i="64"/>
  <c r="N11" i="64"/>
  <c r="N27" i="64"/>
  <c r="O25" i="64"/>
  <c r="N25" i="64"/>
  <c r="N10" i="64"/>
  <c r="E9" i="63"/>
  <c r="F42" i="65" s="1"/>
  <c r="S44" i="64"/>
  <c r="Q25" i="64"/>
  <c r="AA27" i="64"/>
  <c r="P44" i="64"/>
  <c r="S23" i="64"/>
  <c r="U23" i="64"/>
  <c r="P11" i="64"/>
  <c r="U25" i="64"/>
  <c r="P23" i="64"/>
  <c r="H9" i="63"/>
  <c r="F9" i="63"/>
  <c r="E9" i="18" s="1"/>
  <c r="X11" i="65" l="1"/>
  <c r="AF45" i="65"/>
  <c r="P10" i="65"/>
  <c r="P28" i="65"/>
  <c r="N11" i="18" s="1"/>
  <c r="P45" i="65"/>
  <c r="AF24" i="65"/>
  <c r="P11" i="65"/>
  <c r="AJ14" i="64"/>
  <c r="AJ47" i="64" s="1"/>
  <c r="W15" i="64"/>
  <c r="X10" i="65"/>
  <c r="M14" i="64"/>
  <c r="M16" i="64" s="1"/>
  <c r="X24" i="65"/>
  <c r="AG14" i="64"/>
  <c r="AG17" i="64" s="1"/>
  <c r="AG18" i="64" s="1"/>
  <c r="AG22" i="64" s="1"/>
  <c r="AG26" i="64" s="1"/>
  <c r="AG29" i="64" s="1"/>
  <c r="P14" i="64"/>
  <c r="P47" i="64" s="1"/>
  <c r="P26" i="65"/>
  <c r="P24" i="65"/>
  <c r="AE14" i="64"/>
  <c r="AE47" i="64" s="1"/>
  <c r="AH14" i="64"/>
  <c r="AH16" i="64" s="1"/>
  <c r="L14" i="64"/>
  <c r="L15" i="64" s="1"/>
  <c r="AB14" i="64"/>
  <c r="AB16" i="64" s="1"/>
  <c r="J14" i="64"/>
  <c r="J15" i="64" s="1"/>
  <c r="AC14" i="64"/>
  <c r="AC17" i="64" s="1"/>
  <c r="AC18" i="64" s="1"/>
  <c r="AC22" i="64" s="1"/>
  <c r="AC26" i="64" s="1"/>
  <c r="AC29" i="64" s="1"/>
  <c r="AF10" i="65"/>
  <c r="U14" i="64"/>
  <c r="U17" i="64" s="1"/>
  <c r="U18" i="64" s="1"/>
  <c r="U22" i="64" s="1"/>
  <c r="U26" i="64" s="1"/>
  <c r="U29" i="64" s="1"/>
  <c r="AF28" i="65"/>
  <c r="AD11" i="18" s="1"/>
  <c r="AF11" i="65"/>
  <c r="O47" i="64"/>
  <c r="O16" i="64"/>
  <c r="O15" i="64"/>
  <c r="O17" i="64"/>
  <c r="O18" i="64" s="1"/>
  <c r="O22" i="64" s="1"/>
  <c r="O26" i="64" s="1"/>
  <c r="O29" i="64" s="1"/>
  <c r="AL16" i="64"/>
  <c r="AL47" i="64"/>
  <c r="AL15" i="64"/>
  <c r="AL17" i="64"/>
  <c r="AL18" i="64" s="1"/>
  <c r="AL22" i="64" s="1"/>
  <c r="AL26" i="64" s="1"/>
  <c r="AL29" i="64" s="1"/>
  <c r="W47" i="64"/>
  <c r="X26" i="65"/>
  <c r="W16" i="64"/>
  <c r="X28" i="65"/>
  <c r="V11" i="18" s="1"/>
  <c r="X45" i="65"/>
  <c r="Z14" i="64"/>
  <c r="Z47" i="64" s="1"/>
  <c r="AA15" i="64"/>
  <c r="Q14" i="64"/>
  <c r="Q47" i="64" s="1"/>
  <c r="AI14" i="64"/>
  <c r="AI17" i="64" s="1"/>
  <c r="AI18" i="64" s="1"/>
  <c r="AI22" i="64" s="1"/>
  <c r="AI26" i="64" s="1"/>
  <c r="AI29" i="64" s="1"/>
  <c r="F7" i="65"/>
  <c r="F24" i="65" s="1"/>
  <c r="F41" i="64"/>
  <c r="Y17" i="64"/>
  <c r="Y18" i="64" s="1"/>
  <c r="Y22" i="64" s="1"/>
  <c r="Y26" i="64" s="1"/>
  <c r="Y29" i="64" s="1"/>
  <c r="V14" i="64"/>
  <c r="V17" i="64" s="1"/>
  <c r="V18" i="64" s="1"/>
  <c r="V22" i="64" s="1"/>
  <c r="V26" i="64" s="1"/>
  <c r="V29" i="64" s="1"/>
  <c r="S15" i="64"/>
  <c r="AF14" i="64"/>
  <c r="AF17" i="64" s="1"/>
  <c r="AF18" i="64" s="1"/>
  <c r="AF22" i="64" s="1"/>
  <c r="AF26" i="64" s="1"/>
  <c r="AF29" i="64" s="1"/>
  <c r="N14" i="64"/>
  <c r="N47" i="64" s="1"/>
  <c r="AK14" i="64"/>
  <c r="AK16" i="64" s="1"/>
  <c r="D9" i="18"/>
  <c r="AE24" i="65"/>
  <c r="AE45" i="65"/>
  <c r="AE10" i="65"/>
  <c r="AE26" i="65"/>
  <c r="AE28" i="65"/>
  <c r="AC11" i="18" s="1"/>
  <c r="AE11" i="65"/>
  <c r="AH10" i="65"/>
  <c r="AH24" i="65"/>
  <c r="AH26" i="65"/>
  <c r="AH28" i="65"/>
  <c r="AF11" i="18" s="1"/>
  <c r="AH45" i="65"/>
  <c r="AH11" i="65"/>
  <c r="S17" i="64"/>
  <c r="S18" i="64" s="1"/>
  <c r="S22" i="64" s="1"/>
  <c r="S26" i="64" s="1"/>
  <c r="S29" i="64" s="1"/>
  <c r="Y15" i="64"/>
  <c r="AD14" i="64"/>
  <c r="AD16" i="64" s="1"/>
  <c r="AL11" i="65"/>
  <c r="AL10" i="65"/>
  <c r="AL24" i="65"/>
  <c r="AL28" i="65"/>
  <c r="AJ11" i="18" s="1"/>
  <c r="AL45" i="65"/>
  <c r="AL26" i="65"/>
  <c r="AF26" i="65"/>
  <c r="AI24" i="65"/>
  <c r="AI11" i="65"/>
  <c r="AI10" i="65"/>
  <c r="AI45" i="65"/>
  <c r="AI26" i="65"/>
  <c r="AI28" i="65"/>
  <c r="AG11" i="18" s="1"/>
  <c r="S26" i="65"/>
  <c r="S45" i="65"/>
  <c r="S24" i="65"/>
  <c r="S10" i="65"/>
  <c r="S11" i="65"/>
  <c r="S28" i="65"/>
  <c r="Q11" i="18" s="1"/>
  <c r="Z45" i="65"/>
  <c r="Z24" i="65"/>
  <c r="Z10" i="65"/>
  <c r="Z11" i="65"/>
  <c r="Z26" i="65"/>
  <c r="Z28" i="65"/>
  <c r="X11" i="18" s="1"/>
  <c r="V28" i="65"/>
  <c r="T11" i="18" s="1"/>
  <c r="V24" i="65"/>
  <c r="V26" i="65"/>
  <c r="V45" i="65"/>
  <c r="V11" i="65"/>
  <c r="V10" i="65"/>
  <c r="O24" i="65"/>
  <c r="O26" i="65"/>
  <c r="O11" i="65"/>
  <c r="O28" i="65"/>
  <c r="M11" i="18" s="1"/>
  <c r="O45" i="65"/>
  <c r="O10" i="65"/>
  <c r="Y26" i="65"/>
  <c r="Y24" i="65"/>
  <c r="Y28" i="65"/>
  <c r="W11" i="18" s="1"/>
  <c r="Y10" i="65"/>
  <c r="Y45" i="65"/>
  <c r="Y11" i="65"/>
  <c r="H11" i="64"/>
  <c r="S47" i="64"/>
  <c r="Y16" i="64"/>
  <c r="T14" i="64"/>
  <c r="AJ26" i="65"/>
  <c r="AJ11" i="65"/>
  <c r="AJ28" i="65"/>
  <c r="AH11" i="18" s="1"/>
  <c r="AJ45" i="65"/>
  <c r="AJ10" i="65"/>
  <c r="AJ24" i="65"/>
  <c r="W10" i="65"/>
  <c r="W24" i="65"/>
  <c r="W11" i="65"/>
  <c r="W45" i="65"/>
  <c r="W26" i="65"/>
  <c r="W28" i="65"/>
  <c r="U11" i="18" s="1"/>
  <c r="AG24" i="65"/>
  <c r="AG28" i="65"/>
  <c r="AE11" i="18" s="1"/>
  <c r="AG45" i="65"/>
  <c r="AG10" i="65"/>
  <c r="AG26" i="65"/>
  <c r="AG11" i="65"/>
  <c r="H44" i="64"/>
  <c r="AM14" i="64"/>
  <c r="H10" i="64"/>
  <c r="R11" i="65"/>
  <c r="R28" i="65"/>
  <c r="P11" i="18" s="1"/>
  <c r="R24" i="65"/>
  <c r="R26" i="65"/>
  <c r="R45" i="65"/>
  <c r="R10" i="65"/>
  <c r="AA10" i="65"/>
  <c r="AA11" i="65"/>
  <c r="AA24" i="65"/>
  <c r="AA26" i="65"/>
  <c r="AA45" i="65"/>
  <c r="AA28" i="65"/>
  <c r="Y11" i="18" s="1"/>
  <c r="N28" i="65"/>
  <c r="L11" i="18" s="1"/>
  <c r="N45" i="65"/>
  <c r="N11" i="65"/>
  <c r="N10" i="65"/>
  <c r="N26" i="65"/>
  <c r="N24" i="65"/>
  <c r="T45" i="65"/>
  <c r="T11" i="65"/>
  <c r="T24" i="65"/>
  <c r="T10" i="65"/>
  <c r="T28" i="65"/>
  <c r="R11" i="18" s="1"/>
  <c r="T26" i="65"/>
  <c r="AC24" i="65"/>
  <c r="AC10" i="65"/>
  <c r="AC11" i="65"/>
  <c r="AC45" i="65"/>
  <c r="AC28" i="65"/>
  <c r="AA11" i="18" s="1"/>
  <c r="AC26" i="65"/>
  <c r="M26" i="65"/>
  <c r="M45" i="65"/>
  <c r="M28" i="65"/>
  <c r="K11" i="18" s="1"/>
  <c r="M11" i="65"/>
  <c r="M10" i="65"/>
  <c r="M24" i="65"/>
  <c r="H27" i="64"/>
  <c r="AD24" i="65"/>
  <c r="AD28" i="65"/>
  <c r="AB11" i="18" s="1"/>
  <c r="AD45" i="65"/>
  <c r="AD26" i="65"/>
  <c r="AD10" i="65"/>
  <c r="AD11" i="65"/>
  <c r="J10" i="65"/>
  <c r="J11" i="65"/>
  <c r="J28" i="65"/>
  <c r="H11" i="18" s="1"/>
  <c r="J24" i="65"/>
  <c r="J45" i="65"/>
  <c r="AK45" i="65"/>
  <c r="AK10" i="65"/>
  <c r="AK26" i="65"/>
  <c r="AK24" i="65"/>
  <c r="AK11" i="65"/>
  <c r="AK28" i="65"/>
  <c r="AI11" i="18" s="1"/>
  <c r="AM10" i="65"/>
  <c r="AM24" i="65"/>
  <c r="AM11" i="65"/>
  <c r="AM26" i="65"/>
  <c r="AM45" i="65"/>
  <c r="AM28" i="65"/>
  <c r="AK11" i="18" s="1"/>
  <c r="U24" i="65"/>
  <c r="U28" i="65"/>
  <c r="S11" i="18" s="1"/>
  <c r="U11" i="65"/>
  <c r="U45" i="65"/>
  <c r="U10" i="65"/>
  <c r="U26" i="65"/>
  <c r="AB24" i="65"/>
  <c r="AB10" i="65"/>
  <c r="AB45" i="65"/>
  <c r="AB26" i="65"/>
  <c r="AB11" i="65"/>
  <c r="AB28" i="65"/>
  <c r="Z11" i="18" s="1"/>
  <c r="K24" i="65"/>
  <c r="K26" i="65"/>
  <c r="K28" i="65"/>
  <c r="I11" i="18" s="1"/>
  <c r="K11" i="65"/>
  <c r="K45" i="65"/>
  <c r="K10" i="65"/>
  <c r="L24" i="65"/>
  <c r="L10" i="65"/>
  <c r="L26" i="65"/>
  <c r="L11" i="65"/>
  <c r="L45" i="65"/>
  <c r="L28" i="65"/>
  <c r="J11" i="18" s="1"/>
  <c r="Q24" i="65"/>
  <c r="Q28" i="65"/>
  <c r="O11" i="18" s="1"/>
  <c r="Q11" i="65"/>
  <c r="Q10" i="65"/>
  <c r="Q45" i="65"/>
  <c r="Q26" i="65"/>
  <c r="AA17" i="64"/>
  <c r="AA18" i="64" s="1"/>
  <c r="AA22" i="64" s="1"/>
  <c r="AA26" i="64" s="1"/>
  <c r="AA29" i="64" s="1"/>
  <c r="AA16" i="64"/>
  <c r="X14" i="64"/>
  <c r="F7" i="64"/>
  <c r="F27" i="64" s="1"/>
  <c r="R14" i="64"/>
  <c r="K14" i="64"/>
  <c r="G27" i="64"/>
  <c r="G23" i="64"/>
  <c r="G10" i="64"/>
  <c r="G11" i="64"/>
  <c r="H25" i="64"/>
  <c r="G42" i="65"/>
  <c r="I27" i="64"/>
  <c r="I10" i="64"/>
  <c r="I11" i="64"/>
  <c r="I23" i="64"/>
  <c r="I44" i="64"/>
  <c r="I25" i="64"/>
  <c r="J25" i="64"/>
  <c r="I7" i="65"/>
  <c r="G9" i="18"/>
  <c r="W22" i="64"/>
  <c r="W26" i="64" s="1"/>
  <c r="W29" i="64" s="1"/>
  <c r="W16" i="65" l="1"/>
  <c r="K16" i="65"/>
  <c r="AA16" i="65"/>
  <c r="AD16" i="65"/>
  <c r="AC16" i="65"/>
  <c r="Z16" i="65"/>
  <c r="AM16" i="65"/>
  <c r="R16" i="65"/>
  <c r="T16" i="65"/>
  <c r="AI16" i="65"/>
  <c r="AL16" i="65"/>
  <c r="X16" i="65"/>
  <c r="AF16" i="65"/>
  <c r="Y16" i="65"/>
  <c r="AH16" i="65"/>
  <c r="S16" i="65"/>
  <c r="AB16" i="65"/>
  <c r="J16" i="65"/>
  <c r="P16" i="65"/>
  <c r="M16" i="65"/>
  <c r="AG16" i="65"/>
  <c r="V16" i="65"/>
  <c r="AE16" i="65"/>
  <c r="AK16" i="65"/>
  <c r="U16" i="65"/>
  <c r="O16" i="65"/>
  <c r="Q16" i="65"/>
  <c r="L16" i="65"/>
  <c r="N16" i="65"/>
  <c r="AJ16" i="65"/>
  <c r="X15" i="65"/>
  <c r="X18" i="65" s="1"/>
  <c r="X19" i="65" s="1"/>
  <c r="X23" i="65" s="1"/>
  <c r="X27" i="65" s="1"/>
  <c r="X30" i="65" s="1"/>
  <c r="V10" i="18" s="1"/>
  <c r="P15" i="65"/>
  <c r="P48" i="65" s="1"/>
  <c r="M47" i="64"/>
  <c r="M15" i="64"/>
  <c r="AE16" i="64"/>
  <c r="M17" i="64"/>
  <c r="M18" i="64" s="1"/>
  <c r="M22" i="64" s="1"/>
  <c r="M26" i="64" s="1"/>
  <c r="M29" i="64" s="1"/>
  <c r="M36" i="64" s="1"/>
  <c r="F10" i="65"/>
  <c r="AB17" i="64"/>
  <c r="AB18" i="64" s="1"/>
  <c r="AB22" i="64" s="1"/>
  <c r="AB26" i="64" s="1"/>
  <c r="AB29" i="64" s="1"/>
  <c r="AB33" i="64" s="1"/>
  <c r="AJ15" i="64"/>
  <c r="AJ16" i="64"/>
  <c r="P17" i="64"/>
  <c r="P18" i="64" s="1"/>
  <c r="P22" i="64" s="1"/>
  <c r="P26" i="64" s="1"/>
  <c r="P29" i="64" s="1"/>
  <c r="P33" i="64" s="1"/>
  <c r="AJ17" i="64"/>
  <c r="AJ18" i="64" s="1"/>
  <c r="AJ22" i="64" s="1"/>
  <c r="AJ26" i="64" s="1"/>
  <c r="AJ29" i="64" s="1"/>
  <c r="AJ33" i="64" s="1"/>
  <c r="AG47" i="64"/>
  <c r="AG16" i="64"/>
  <c r="U47" i="64"/>
  <c r="AB15" i="64"/>
  <c r="U16" i="64"/>
  <c r="U15" i="64"/>
  <c r="AE15" i="64"/>
  <c r="AF16" i="64"/>
  <c r="AG15" i="64"/>
  <c r="AH17" i="64"/>
  <c r="AH18" i="64" s="1"/>
  <c r="AH22" i="64" s="1"/>
  <c r="AH26" i="64" s="1"/>
  <c r="AH29" i="64" s="1"/>
  <c r="AH33" i="64" s="1"/>
  <c r="P15" i="64"/>
  <c r="AH15" i="64"/>
  <c r="P16" i="64"/>
  <c r="L16" i="64"/>
  <c r="AF15" i="65"/>
  <c r="AF48" i="65" s="1"/>
  <c r="L17" i="64"/>
  <c r="L18" i="64" s="1"/>
  <c r="L22" i="64" s="1"/>
  <c r="L26" i="64" s="1"/>
  <c r="L29" i="64" s="1"/>
  <c r="L36" i="64" s="1"/>
  <c r="L47" i="64"/>
  <c r="F45" i="65"/>
  <c r="F28" i="65"/>
  <c r="D11" i="18" s="1"/>
  <c r="F11" i="65"/>
  <c r="N15" i="65"/>
  <c r="AE17" i="64"/>
  <c r="AE18" i="64" s="1"/>
  <c r="AE22" i="64" s="1"/>
  <c r="AE26" i="64" s="1"/>
  <c r="AE29" i="64" s="1"/>
  <c r="AE36" i="64" s="1"/>
  <c r="AH47" i="64"/>
  <c r="F43" i="65"/>
  <c r="D12" i="18" s="1"/>
  <c r="AB47" i="64"/>
  <c r="AD17" i="64"/>
  <c r="AD18" i="64" s="1"/>
  <c r="AD22" i="64" s="1"/>
  <c r="AD26" i="64" s="1"/>
  <c r="AD29" i="64" s="1"/>
  <c r="AD33" i="64" s="1"/>
  <c r="J16" i="64"/>
  <c r="AK15" i="64"/>
  <c r="AC16" i="64"/>
  <c r="AC47" i="64"/>
  <c r="J47" i="64"/>
  <c r="AC15" i="64"/>
  <c r="L15" i="65"/>
  <c r="L17" i="65" s="1"/>
  <c r="J17" i="64"/>
  <c r="J18" i="64" s="1"/>
  <c r="J22" i="64" s="1"/>
  <c r="J26" i="64" s="1"/>
  <c r="J29" i="64" s="1"/>
  <c r="Q16" i="64"/>
  <c r="AK47" i="64"/>
  <c r="Q17" i="64"/>
  <c r="Q18" i="64" s="1"/>
  <c r="Q22" i="64" s="1"/>
  <c r="Q26" i="64" s="1"/>
  <c r="Q29" i="64" s="1"/>
  <c r="Q36" i="64" s="1"/>
  <c r="AK17" i="64"/>
  <c r="AK18" i="64" s="1"/>
  <c r="AK22" i="64" s="1"/>
  <c r="AK26" i="64" s="1"/>
  <c r="AK29" i="64" s="1"/>
  <c r="AK36" i="64" s="1"/>
  <c r="Q15" i="64"/>
  <c r="AJ15" i="65"/>
  <c r="O15" i="65"/>
  <c r="O18" i="65" s="1"/>
  <c r="O19" i="65" s="1"/>
  <c r="O23" i="65" s="1"/>
  <c r="O27" i="65" s="1"/>
  <c r="O30" i="65" s="1"/>
  <c r="S15" i="65"/>
  <c r="S48" i="65" s="1"/>
  <c r="AI15" i="65"/>
  <c r="AI48" i="65" s="1"/>
  <c r="AL15" i="65"/>
  <c r="AL48" i="65" s="1"/>
  <c r="F44" i="64"/>
  <c r="Z15" i="64"/>
  <c r="AF15" i="64"/>
  <c r="Z17" i="64"/>
  <c r="Z18" i="64" s="1"/>
  <c r="Z22" i="64" s="1"/>
  <c r="Z26" i="64" s="1"/>
  <c r="Z29" i="64" s="1"/>
  <c r="Z36" i="64" s="1"/>
  <c r="Z16" i="64"/>
  <c r="Z15" i="65"/>
  <c r="Q15" i="65"/>
  <c r="Q18" i="65" s="1"/>
  <c r="Q19" i="65" s="1"/>
  <c r="Q23" i="65" s="1"/>
  <c r="Q27" i="65" s="1"/>
  <c r="Q30" i="65" s="1"/>
  <c r="AE15" i="65"/>
  <c r="AE48" i="65" s="1"/>
  <c r="AI15" i="64"/>
  <c r="AI16" i="64"/>
  <c r="AI47" i="64"/>
  <c r="J15" i="65"/>
  <c r="J18" i="65" s="1"/>
  <c r="J19" i="65" s="1"/>
  <c r="J23" i="65" s="1"/>
  <c r="AK15" i="65"/>
  <c r="AK48" i="65" s="1"/>
  <c r="M15" i="65"/>
  <c r="M18" i="65" s="1"/>
  <c r="M19" i="65" s="1"/>
  <c r="M23" i="65" s="1"/>
  <c r="M27" i="65" s="1"/>
  <c r="M30" i="65" s="1"/>
  <c r="AC15" i="65"/>
  <c r="AH15" i="65"/>
  <c r="AH17" i="65" s="1"/>
  <c r="V16" i="64"/>
  <c r="K15" i="65"/>
  <c r="C13" i="12" s="1"/>
  <c r="AB15" i="65"/>
  <c r="AB18" i="65" s="1"/>
  <c r="AB19" i="65" s="1"/>
  <c r="AB23" i="65" s="1"/>
  <c r="AB27" i="65" s="1"/>
  <c r="AB30" i="65" s="1"/>
  <c r="V15" i="65"/>
  <c r="V48" i="65" s="1"/>
  <c r="V15" i="64"/>
  <c r="V47" i="64"/>
  <c r="AD15" i="65"/>
  <c r="AD48" i="65" s="1"/>
  <c r="U15" i="65"/>
  <c r="AM15" i="65"/>
  <c r="AM17" i="65" s="1"/>
  <c r="AG15" i="65"/>
  <c r="AG18" i="65" s="1"/>
  <c r="AG19" i="65" s="1"/>
  <c r="AG23" i="65" s="1"/>
  <c r="AG27" i="65" s="1"/>
  <c r="AG30" i="65" s="1"/>
  <c r="Y15" i="65"/>
  <c r="F10" i="64"/>
  <c r="N16" i="64"/>
  <c r="H14" i="64"/>
  <c r="H15" i="64" s="1"/>
  <c r="N15" i="64"/>
  <c r="AF47" i="64"/>
  <c r="N17" i="64"/>
  <c r="N18" i="64" s="1"/>
  <c r="N22" i="64" s="1"/>
  <c r="N26" i="64" s="1"/>
  <c r="N29" i="64" s="1"/>
  <c r="N33" i="64" s="1"/>
  <c r="T15" i="65"/>
  <c r="R15" i="65"/>
  <c r="R18" i="65" s="1"/>
  <c r="R19" i="65" s="1"/>
  <c r="R23" i="65" s="1"/>
  <c r="R27" i="65" s="1"/>
  <c r="R30" i="65" s="1"/>
  <c r="T17" i="64"/>
  <c r="T18" i="64" s="1"/>
  <c r="T22" i="64" s="1"/>
  <c r="T26" i="64" s="1"/>
  <c r="T29" i="64" s="1"/>
  <c r="T33" i="64" s="1"/>
  <c r="T15" i="64"/>
  <c r="T47" i="64"/>
  <c r="T16" i="64"/>
  <c r="G25" i="64"/>
  <c r="F11" i="64"/>
  <c r="AM17" i="64"/>
  <c r="AM18" i="64" s="1"/>
  <c r="AM22" i="64" s="1"/>
  <c r="AM26" i="64" s="1"/>
  <c r="AM29" i="64" s="1"/>
  <c r="AM33" i="64" s="1"/>
  <c r="AM16" i="64"/>
  <c r="AM15" i="64"/>
  <c r="AM47" i="64"/>
  <c r="F42" i="64"/>
  <c r="F23" i="64"/>
  <c r="W15" i="65"/>
  <c r="AA15" i="65"/>
  <c r="AD15" i="64"/>
  <c r="AD47" i="64"/>
  <c r="X47" i="64"/>
  <c r="X15" i="64"/>
  <c r="X16" i="64"/>
  <c r="X17" i="64"/>
  <c r="X18" i="64" s="1"/>
  <c r="X22" i="64" s="1"/>
  <c r="X26" i="64" s="1"/>
  <c r="X29" i="64" s="1"/>
  <c r="X36" i="64" s="1"/>
  <c r="K16" i="64"/>
  <c r="K15" i="64"/>
  <c r="V3" i="59" s="1"/>
  <c r="K17" i="64"/>
  <c r="K18" i="64" s="1"/>
  <c r="K22" i="64" s="1"/>
  <c r="K26" i="64" s="1"/>
  <c r="K29" i="64" s="1"/>
  <c r="K36" i="64" s="1"/>
  <c r="K47" i="64"/>
  <c r="G14" i="64"/>
  <c r="G17" i="64" s="1"/>
  <c r="G18" i="64" s="1"/>
  <c r="G22" i="64" s="1"/>
  <c r="R15" i="64"/>
  <c r="R16" i="64"/>
  <c r="R47" i="64"/>
  <c r="R17" i="64"/>
  <c r="R18" i="64" s="1"/>
  <c r="R22" i="64" s="1"/>
  <c r="R26" i="64" s="1"/>
  <c r="R29" i="64" s="1"/>
  <c r="R33" i="64" s="1"/>
  <c r="G41" i="64"/>
  <c r="H41" i="64" s="1"/>
  <c r="I14" i="64"/>
  <c r="I16" i="64" s="1"/>
  <c r="AC36" i="64"/>
  <c r="AC33" i="64"/>
  <c r="AA36" i="64"/>
  <c r="AA33" i="64"/>
  <c r="W33" i="64"/>
  <c r="W36" i="64"/>
  <c r="G43" i="65"/>
  <c r="E12" i="18" s="1"/>
  <c r="G46" i="65"/>
  <c r="E13" i="18" s="1"/>
  <c r="H42" i="65"/>
  <c r="O33" i="64"/>
  <c r="O36" i="64"/>
  <c r="V36" i="64"/>
  <c r="V33" i="64"/>
  <c r="S36" i="64"/>
  <c r="S33" i="64"/>
  <c r="AG36" i="64"/>
  <c r="AG33" i="64"/>
  <c r="AF33" i="64"/>
  <c r="AF36" i="64"/>
  <c r="AL34" i="64"/>
  <c r="AL36" i="64" s="1"/>
  <c r="AL33" i="64"/>
  <c r="Y33" i="64"/>
  <c r="Y36" i="64"/>
  <c r="AJ34" i="64"/>
  <c r="AI33" i="64"/>
  <c r="AI36" i="64"/>
  <c r="U36" i="64"/>
  <c r="U33" i="64"/>
  <c r="I10" i="65"/>
  <c r="I26" i="65"/>
  <c r="I11" i="65"/>
  <c r="I24" i="65"/>
  <c r="I45" i="65"/>
  <c r="I28" i="65"/>
  <c r="G11" i="18" s="1"/>
  <c r="J26" i="65"/>
  <c r="C12" i="12"/>
  <c r="G12" i="78"/>
  <c r="I16" i="65" l="1"/>
  <c r="P17" i="65"/>
  <c r="P18" i="65"/>
  <c r="P19" i="65" s="1"/>
  <c r="P23" i="65" s="1"/>
  <c r="P27" i="65" s="1"/>
  <c r="P30" i="65" s="1"/>
  <c r="N10" i="18" s="1"/>
  <c r="X48" i="65"/>
  <c r="X17" i="65"/>
  <c r="M33" i="64"/>
  <c r="F15" i="65"/>
  <c r="F16" i="65" s="1"/>
  <c r="AJ36" i="64"/>
  <c r="AD36" i="64"/>
  <c r="P36" i="64"/>
  <c r="AH36" i="64"/>
  <c r="AB36" i="64"/>
  <c r="S17" i="65"/>
  <c r="N18" i="65"/>
  <c r="N19" i="65" s="1"/>
  <c r="N23" i="65" s="1"/>
  <c r="N27" i="65" s="1"/>
  <c r="N30" i="65" s="1"/>
  <c r="N34" i="65" s="1"/>
  <c r="N37" i="65" s="1"/>
  <c r="AJ17" i="65"/>
  <c r="Q17" i="65"/>
  <c r="U48" i="65"/>
  <c r="W3" i="59"/>
  <c r="X3" i="59" s="1"/>
  <c r="AC17" i="65"/>
  <c r="AF18" i="65"/>
  <c r="AF19" i="65" s="1"/>
  <c r="AF23" i="65" s="1"/>
  <c r="AF27" i="65" s="1"/>
  <c r="AF30" i="65" s="1"/>
  <c r="AF34" i="65" s="1"/>
  <c r="AF37" i="65" s="1"/>
  <c r="K17" i="65"/>
  <c r="S18" i="65"/>
  <c r="S19" i="65" s="1"/>
  <c r="S23" i="65" s="1"/>
  <c r="S27" i="65" s="1"/>
  <c r="S30" i="65" s="1"/>
  <c r="Q10" i="18" s="1"/>
  <c r="AE33" i="64"/>
  <c r="AM34" i="64"/>
  <c r="AM36" i="64" s="1"/>
  <c r="AF17" i="65"/>
  <c r="AK17" i="65"/>
  <c r="AK33" i="64"/>
  <c r="L48" i="65"/>
  <c r="L33" i="64"/>
  <c r="R36" i="64"/>
  <c r="L18" i="65"/>
  <c r="L19" i="65" s="1"/>
  <c r="L23" i="65" s="1"/>
  <c r="L27" i="65" s="1"/>
  <c r="L30" i="65" s="1"/>
  <c r="L34" i="65" s="1"/>
  <c r="L37" i="65" s="1"/>
  <c r="N17" i="65"/>
  <c r="Z33" i="64"/>
  <c r="N48" i="65"/>
  <c r="AK18" i="65"/>
  <c r="AK19" i="65" s="1"/>
  <c r="AK23" i="65" s="1"/>
  <c r="AK27" i="65" s="1"/>
  <c r="AK30" i="65" s="1"/>
  <c r="AK34" i="65" s="1"/>
  <c r="AK37" i="65" s="1"/>
  <c r="F14" i="64"/>
  <c r="F17" i="64" s="1"/>
  <c r="F18" i="64" s="1"/>
  <c r="U18" i="65"/>
  <c r="U19" i="65" s="1"/>
  <c r="U23" i="65" s="1"/>
  <c r="U27" i="65" s="1"/>
  <c r="U30" i="65" s="1"/>
  <c r="U34" i="65" s="1"/>
  <c r="U37" i="65" s="1"/>
  <c r="G16" i="64"/>
  <c r="Z17" i="65"/>
  <c r="AL17" i="65"/>
  <c r="U17" i="65"/>
  <c r="Q33" i="64"/>
  <c r="Z48" i="65"/>
  <c r="AL18" i="65"/>
  <c r="AL19" i="65" s="1"/>
  <c r="AL23" i="65" s="1"/>
  <c r="AL27" i="65" s="1"/>
  <c r="AL30" i="65" s="1"/>
  <c r="AJ10" i="18" s="1"/>
  <c r="Y17" i="65"/>
  <c r="Z18" i="65"/>
  <c r="Z19" i="65" s="1"/>
  <c r="Z23" i="65" s="1"/>
  <c r="Z27" i="65" s="1"/>
  <c r="Z30" i="65" s="1"/>
  <c r="X10" i="18" s="1"/>
  <c r="J48" i="65"/>
  <c r="Y48" i="65"/>
  <c r="V18" i="65"/>
  <c r="V19" i="65" s="1"/>
  <c r="V23" i="65" s="1"/>
  <c r="V27" i="65" s="1"/>
  <c r="V30" i="65" s="1"/>
  <c r="V34" i="65" s="1"/>
  <c r="V37" i="65" s="1"/>
  <c r="AI17" i="65"/>
  <c r="N36" i="64"/>
  <c r="AH48" i="65"/>
  <c r="Y18" i="65"/>
  <c r="Y19" i="65" s="1"/>
  <c r="Y23" i="65" s="1"/>
  <c r="Y27" i="65" s="1"/>
  <c r="Y30" i="65" s="1"/>
  <c r="Y34" i="65" s="1"/>
  <c r="Y37" i="65" s="1"/>
  <c r="AH18" i="65"/>
  <c r="AH19" i="65" s="1"/>
  <c r="AH23" i="65" s="1"/>
  <c r="AH27" i="65" s="1"/>
  <c r="AH30" i="65" s="1"/>
  <c r="AH34" i="65" s="1"/>
  <c r="AH37" i="65" s="1"/>
  <c r="AE17" i="65"/>
  <c r="O48" i="65"/>
  <c r="AE18" i="65"/>
  <c r="AE19" i="65" s="1"/>
  <c r="AE23" i="65" s="1"/>
  <c r="AE27" i="65" s="1"/>
  <c r="AE30" i="65" s="1"/>
  <c r="AC10" i="18" s="1"/>
  <c r="V17" i="65"/>
  <c r="O17" i="65"/>
  <c r="J17" i="65"/>
  <c r="I15" i="64"/>
  <c r="X34" i="65"/>
  <c r="X37" i="65" s="1"/>
  <c r="AC18" i="65"/>
  <c r="AC19" i="65" s="1"/>
  <c r="AC23" i="65" s="1"/>
  <c r="AC27" i="65" s="1"/>
  <c r="AC30" i="65" s="1"/>
  <c r="AC34" i="65" s="1"/>
  <c r="AC37" i="65" s="1"/>
  <c r="AC48" i="65"/>
  <c r="X33" i="64"/>
  <c r="H17" i="64"/>
  <c r="H18" i="64" s="1"/>
  <c r="H22" i="64" s="1"/>
  <c r="H26" i="64" s="1"/>
  <c r="H29" i="64" s="1"/>
  <c r="H33" i="64" s="1"/>
  <c r="G15" i="64"/>
  <c r="AI18" i="65"/>
  <c r="AI19" i="65" s="1"/>
  <c r="AI23" i="65" s="1"/>
  <c r="AI27" i="65" s="1"/>
  <c r="AI30" i="65" s="1"/>
  <c r="AI34" i="65" s="1"/>
  <c r="AI37" i="65" s="1"/>
  <c r="M48" i="65"/>
  <c r="AJ18" i="65"/>
  <c r="AJ19" i="65" s="1"/>
  <c r="AJ23" i="65" s="1"/>
  <c r="AJ27" i="65" s="1"/>
  <c r="AJ30" i="65" s="1"/>
  <c r="AH10" i="18" s="1"/>
  <c r="Q48" i="65"/>
  <c r="AJ48" i="65"/>
  <c r="R48" i="65"/>
  <c r="M17" i="65"/>
  <c r="T18" i="65"/>
  <c r="T19" i="65" s="1"/>
  <c r="T23" i="65" s="1"/>
  <c r="T27" i="65" s="1"/>
  <c r="T30" i="65" s="1"/>
  <c r="T34" i="65" s="1"/>
  <c r="T37" i="65" s="1"/>
  <c r="K18" i="65"/>
  <c r="K19" i="65" s="1"/>
  <c r="K23" i="65" s="1"/>
  <c r="K27" i="65" s="1"/>
  <c r="K30" i="65" s="1"/>
  <c r="K48" i="65"/>
  <c r="T36" i="64"/>
  <c r="AG48" i="65"/>
  <c r="G13" i="78"/>
  <c r="AG17" i="65"/>
  <c r="K33" i="64"/>
  <c r="AB17" i="65"/>
  <c r="AB48" i="65"/>
  <c r="AM18" i="65"/>
  <c r="AM19" i="65" s="1"/>
  <c r="AM23" i="65" s="1"/>
  <c r="AM27" i="65" s="1"/>
  <c r="AM30" i="65" s="1"/>
  <c r="AK10" i="18" s="1"/>
  <c r="R17" i="65"/>
  <c r="T17" i="65"/>
  <c r="AD18" i="65"/>
  <c r="AD19" i="65" s="1"/>
  <c r="AD23" i="65" s="1"/>
  <c r="AD27" i="65" s="1"/>
  <c r="AD30" i="65" s="1"/>
  <c r="AD34" i="65" s="1"/>
  <c r="AD37" i="65" s="1"/>
  <c r="T48" i="65"/>
  <c r="AM48" i="65"/>
  <c r="AD17" i="65"/>
  <c r="G42" i="64"/>
  <c r="H47" i="64"/>
  <c r="H16" i="64"/>
  <c r="W17" i="65"/>
  <c r="W18" i="65"/>
  <c r="W19" i="65" s="1"/>
  <c r="W23" i="65" s="1"/>
  <c r="W27" i="65" s="1"/>
  <c r="W30" i="65" s="1"/>
  <c r="W48" i="65"/>
  <c r="I15" i="65"/>
  <c r="I18" i="65" s="1"/>
  <c r="I19" i="65" s="1"/>
  <c r="AG34" i="65"/>
  <c r="AG37" i="65" s="1"/>
  <c r="AE10" i="18"/>
  <c r="R34" i="65"/>
  <c r="R37" i="65" s="1"/>
  <c r="P10" i="18"/>
  <c r="K10" i="18"/>
  <c r="M34" i="65"/>
  <c r="M37" i="65" s="1"/>
  <c r="J27" i="65"/>
  <c r="J30" i="65" s="1"/>
  <c r="J34" i="65" s="1"/>
  <c r="J37" i="65" s="1"/>
  <c r="G26" i="64"/>
  <c r="G29" i="64" s="1"/>
  <c r="G33" i="64" s="1"/>
  <c r="AA48" i="65"/>
  <c r="AA17" i="65"/>
  <c r="AA18" i="65"/>
  <c r="AA19" i="65" s="1"/>
  <c r="AA23" i="65" s="1"/>
  <c r="AA27" i="65" s="1"/>
  <c r="AA30" i="65" s="1"/>
  <c r="Z10" i="18"/>
  <c r="AB34" i="65"/>
  <c r="AB37" i="65" s="1"/>
  <c r="M10" i="18"/>
  <c r="O34" i="65"/>
  <c r="O37" i="65" s="1"/>
  <c r="G47" i="64"/>
  <c r="O10" i="18"/>
  <c r="Q34" i="65"/>
  <c r="Q37" i="65" s="1"/>
  <c r="I47" i="64"/>
  <c r="G45" i="64"/>
  <c r="I17" i="64"/>
  <c r="I18" i="64" s="1"/>
  <c r="I22" i="64" s="1"/>
  <c r="I26" i="64" s="1"/>
  <c r="I29" i="64" s="1"/>
  <c r="J36" i="64"/>
  <c r="J33" i="64"/>
  <c r="H43" i="65"/>
  <c r="F12" i="18" s="1"/>
  <c r="H46" i="65"/>
  <c r="F13" i="18" s="1"/>
  <c r="I42" i="65"/>
  <c r="H42" i="64"/>
  <c r="I41" i="64"/>
  <c r="P34" i="65" l="1"/>
  <c r="P37" i="65" s="1"/>
  <c r="F17" i="65"/>
  <c r="F48" i="65"/>
  <c r="F18" i="65"/>
  <c r="F19" i="65" s="1"/>
  <c r="F23" i="65" s="1"/>
  <c r="F27" i="65" s="1"/>
  <c r="F30" i="65" s="1"/>
  <c r="F34" i="65" s="1"/>
  <c r="F37" i="65" s="1"/>
  <c r="S34" i="65"/>
  <c r="S37" i="65" s="1"/>
  <c r="S10" i="18"/>
  <c r="L10" i="18"/>
  <c r="F15" i="64"/>
  <c r="F16" i="64"/>
  <c r="AD10" i="18"/>
  <c r="H45" i="64"/>
  <c r="H36" i="64"/>
  <c r="AI10" i="18"/>
  <c r="W10" i="18"/>
  <c r="F22" i="64"/>
  <c r="F26" i="64" s="1"/>
  <c r="F29" i="64" s="1"/>
  <c r="F36" i="64" s="1"/>
  <c r="F45" i="64"/>
  <c r="AL34" i="65"/>
  <c r="AL37" i="65" s="1"/>
  <c r="F47" i="64"/>
  <c r="T10" i="18"/>
  <c r="H10" i="18"/>
  <c r="AF10" i="18"/>
  <c r="AE34" i="65"/>
  <c r="AE37" i="65" s="1"/>
  <c r="AM34" i="65"/>
  <c r="AM35" i="65" s="1"/>
  <c r="AM37" i="65" s="1"/>
  <c r="J10" i="18"/>
  <c r="AA10" i="18"/>
  <c r="AB10" i="18"/>
  <c r="AJ34" i="65"/>
  <c r="AJ37" i="65" s="1"/>
  <c r="Z34" i="65"/>
  <c r="Z37" i="65" s="1"/>
  <c r="C14" i="12"/>
  <c r="G14" i="78"/>
  <c r="R10" i="18"/>
  <c r="AG10" i="18"/>
  <c r="I48" i="65"/>
  <c r="G36" i="64"/>
  <c r="I17" i="65"/>
  <c r="AA34" i="65"/>
  <c r="AA37" i="65" s="1"/>
  <c r="Y10" i="18"/>
  <c r="K34" i="65"/>
  <c r="K37" i="65" s="1"/>
  <c r="I10" i="18"/>
  <c r="W34" i="65"/>
  <c r="W37" i="65" s="1"/>
  <c r="U10" i="18"/>
  <c r="I45" i="64"/>
  <c r="J41" i="64"/>
  <c r="I42" i="64"/>
  <c r="I36" i="64"/>
  <c r="I33" i="64"/>
  <c r="I43" i="65"/>
  <c r="G12" i="18" s="1"/>
  <c r="J42" i="65"/>
  <c r="I23" i="65"/>
  <c r="I27" i="65" s="1"/>
  <c r="I30" i="65" s="1"/>
  <c r="I46" i="65"/>
  <c r="G13" i="18" s="1"/>
  <c r="F46" i="65" l="1"/>
  <c r="D13" i="18" s="1"/>
  <c r="D10" i="18"/>
  <c r="F33" i="64"/>
  <c r="I34" i="65"/>
  <c r="I37" i="65" s="1"/>
  <c r="G10" i="18"/>
  <c r="C17" i="12"/>
  <c r="G16" i="78"/>
  <c r="G15" i="78"/>
  <c r="C15" i="12"/>
  <c r="C16" i="12"/>
  <c r="G17" i="78"/>
  <c r="J42" i="64"/>
  <c r="K41" i="64"/>
  <c r="J45" i="64"/>
  <c r="K42" i="65"/>
  <c r="J43" i="65"/>
  <c r="H12" i="18" s="1"/>
  <c r="J46" i="65"/>
  <c r="H13" i="18" s="1"/>
  <c r="K43" i="65" l="1"/>
  <c r="I12" i="18" s="1"/>
  <c r="L42" i="65"/>
  <c r="K46" i="65"/>
  <c r="I13" i="18" s="1"/>
  <c r="L41" i="64"/>
  <c r="K42" i="64"/>
  <c r="K45" i="64"/>
  <c r="M41" i="64" l="1"/>
  <c r="L42" i="64"/>
  <c r="L45" i="64"/>
  <c r="L46" i="65"/>
  <c r="J13" i="18" s="1"/>
  <c r="M42" i="65"/>
  <c r="L43" i="65"/>
  <c r="J12" i="18" s="1"/>
  <c r="M43" i="65" l="1"/>
  <c r="K12" i="18" s="1"/>
  <c r="M46" i="65"/>
  <c r="K13" i="18" s="1"/>
  <c r="N42" i="65"/>
  <c r="N41" i="64"/>
  <c r="M42" i="64"/>
  <c r="M45" i="64"/>
  <c r="O41" i="64" l="1"/>
  <c r="N42" i="64"/>
  <c r="N45" i="64"/>
  <c r="N43" i="65"/>
  <c r="L12" i="18" s="1"/>
  <c r="N46" i="65"/>
  <c r="L13" i="18" s="1"/>
  <c r="O42" i="65"/>
  <c r="P42" i="65" l="1"/>
  <c r="O43" i="65"/>
  <c r="M12" i="18" s="1"/>
  <c r="O46" i="65"/>
  <c r="M13" i="18" s="1"/>
  <c r="P41" i="64"/>
  <c r="O42" i="64"/>
  <c r="O45" i="64"/>
  <c r="P42" i="64" l="1"/>
  <c r="Q41" i="64"/>
  <c r="P45" i="64"/>
  <c r="Q42" i="65"/>
  <c r="P46" i="65"/>
  <c r="N13" i="18" s="1"/>
  <c r="P43" i="65"/>
  <c r="N12" i="18" s="1"/>
  <c r="R42" i="65" l="1"/>
  <c r="Q46" i="65"/>
  <c r="O13" i="18" s="1"/>
  <c r="Q43" i="65"/>
  <c r="O12" i="18" s="1"/>
  <c r="Q42" i="64"/>
  <c r="R41" i="64"/>
  <c r="Q45" i="64"/>
  <c r="R42" i="64" l="1"/>
  <c r="S41" i="64"/>
  <c r="R45" i="64"/>
  <c r="R43" i="65"/>
  <c r="P12" i="18" s="1"/>
  <c r="S42" i="65"/>
  <c r="R46" i="65"/>
  <c r="P13" i="18" s="1"/>
  <c r="S43" i="65" l="1"/>
  <c r="Q12" i="18" s="1"/>
  <c r="S46" i="65"/>
  <c r="Q13" i="18" s="1"/>
  <c r="T42" i="65"/>
  <c r="T41" i="64"/>
  <c r="S42" i="64"/>
  <c r="S45" i="64"/>
  <c r="T42" i="64" l="1"/>
  <c r="U41" i="64"/>
  <c r="T45" i="64"/>
  <c r="T43" i="65"/>
  <c r="R12" i="18" s="1"/>
  <c r="T46" i="65"/>
  <c r="R13" i="18" s="1"/>
  <c r="U42" i="65"/>
  <c r="V42" i="65" l="1"/>
  <c r="U43" i="65"/>
  <c r="S12" i="18" s="1"/>
  <c r="U46" i="65"/>
  <c r="S13" i="18" s="1"/>
  <c r="U42" i="64"/>
  <c r="V41" i="64"/>
  <c r="U45" i="64"/>
  <c r="W41" i="64" l="1"/>
  <c r="V42" i="64"/>
  <c r="V45" i="64"/>
  <c r="V46" i="65"/>
  <c r="T13" i="18" s="1"/>
  <c r="W42" i="65"/>
  <c r="V43" i="65"/>
  <c r="T12" i="18" s="1"/>
  <c r="W43" i="65" l="1"/>
  <c r="U12" i="18" s="1"/>
  <c r="W46" i="65"/>
  <c r="U13" i="18" s="1"/>
  <c r="X42" i="65"/>
  <c r="X41" i="64"/>
  <c r="W42" i="64"/>
  <c r="W45" i="64"/>
  <c r="Y41" i="64" l="1"/>
  <c r="X42" i="64"/>
  <c r="X45" i="64"/>
  <c r="X46" i="65"/>
  <c r="V13" i="18" s="1"/>
  <c r="X43" i="65"/>
  <c r="V12" i="18" s="1"/>
  <c r="Y42" i="65"/>
  <c r="Y43" i="65" l="1"/>
  <c r="W12" i="18" s="1"/>
  <c r="Y46" i="65"/>
  <c r="W13" i="18" s="1"/>
  <c r="Z42" i="65"/>
  <c r="Y42" i="64"/>
  <c r="Z41" i="64"/>
  <c r="Y45" i="64"/>
  <c r="AA41" i="64" l="1"/>
  <c r="Z42" i="64"/>
  <c r="Z45" i="64"/>
  <c r="AA42" i="65"/>
  <c r="Z43" i="65"/>
  <c r="X12" i="18" s="1"/>
  <c r="Z46" i="65"/>
  <c r="X13" i="18" s="1"/>
  <c r="AA46" i="65" l="1"/>
  <c r="Y13" i="18" s="1"/>
  <c r="AA43" i="65"/>
  <c r="Y12" i="18" s="1"/>
  <c r="AB42" i="65"/>
  <c r="AB41" i="64"/>
  <c r="AA42" i="64"/>
  <c r="AA45" i="64"/>
  <c r="AC41" i="64" l="1"/>
  <c r="AB42" i="64"/>
  <c r="AB45" i="64"/>
  <c r="AC42" i="65"/>
  <c r="AB46" i="65"/>
  <c r="Z13" i="18" s="1"/>
  <c r="AB43" i="65"/>
  <c r="Z12" i="18" s="1"/>
  <c r="AD42" i="65" l="1"/>
  <c r="AC46" i="65"/>
  <c r="AA13" i="18" s="1"/>
  <c r="AC43" i="65"/>
  <c r="AA12" i="18" s="1"/>
  <c r="AD41" i="64"/>
  <c r="AC42" i="64"/>
  <c r="AC45" i="64"/>
  <c r="AD42" i="64" l="1"/>
  <c r="AE41" i="64"/>
  <c r="AD45" i="64"/>
  <c r="AD46" i="65"/>
  <c r="AB13" i="18" s="1"/>
  <c r="AD43" i="65"/>
  <c r="AB12" i="18" s="1"/>
  <c r="AE42" i="65"/>
  <c r="AF42" i="65" l="1"/>
  <c r="AE43" i="65"/>
  <c r="AC12" i="18" s="1"/>
  <c r="AE46" i="65"/>
  <c r="AC13" i="18" s="1"/>
  <c r="AF41" i="64"/>
  <c r="AE42" i="64"/>
  <c r="AE45" i="64"/>
  <c r="AF42" i="64" l="1"/>
  <c r="AG41" i="64"/>
  <c r="AF45" i="64"/>
  <c r="AF43" i="65"/>
  <c r="AD12" i="18" s="1"/>
  <c r="AG42" i="65"/>
  <c r="AF46" i="65"/>
  <c r="AD13" i="18" s="1"/>
  <c r="AH42" i="65" l="1"/>
  <c r="AG46" i="65"/>
  <c r="AE13" i="18" s="1"/>
  <c r="AG43" i="65"/>
  <c r="AE12" i="18" s="1"/>
  <c r="AG42" i="64"/>
  <c r="AH41" i="64"/>
  <c r="AG45" i="64"/>
  <c r="AI41" i="64" l="1"/>
  <c r="AH42" i="64"/>
  <c r="AH45" i="64"/>
  <c r="AH43" i="65"/>
  <c r="AF12" i="18" s="1"/>
  <c r="AI42" i="65"/>
  <c r="AH46" i="65"/>
  <c r="AF13" i="18" s="1"/>
  <c r="AI43" i="65" l="1"/>
  <c r="AG12" i="18" s="1"/>
  <c r="AI46" i="65"/>
  <c r="AG13" i="18" s="1"/>
  <c r="AJ42" i="65"/>
  <c r="AJ41" i="64"/>
  <c r="AI42" i="64"/>
  <c r="AI45" i="64"/>
  <c r="AJ42" i="64" l="1"/>
  <c r="AK41" i="64"/>
  <c r="AJ45" i="64"/>
  <c r="AK42" i="65"/>
  <c r="AJ46" i="65"/>
  <c r="AH13" i="18" s="1"/>
  <c r="AJ43" i="65"/>
  <c r="AH12" i="18" s="1"/>
  <c r="AK46" i="65" l="1"/>
  <c r="AI13" i="18" s="1"/>
  <c r="AK43" i="65"/>
  <c r="AI12" i="18" s="1"/>
  <c r="AL42" i="65"/>
  <c r="AK42" i="64"/>
  <c r="AL41" i="64"/>
  <c r="AK45" i="64"/>
  <c r="AL42" i="64" l="1"/>
  <c r="AM41" i="64"/>
  <c r="AN41" i="64" s="1"/>
  <c r="AL45" i="64"/>
  <c r="AM42" i="65"/>
  <c r="AN42" i="65" s="1"/>
  <c r="AL43" i="65"/>
  <c r="AJ12" i="18" s="1"/>
  <c r="AL46" i="65"/>
  <c r="AJ13" i="18" s="1"/>
  <c r="AN43" i="65" l="1"/>
  <c r="AN46" i="65"/>
  <c r="AN42" i="64"/>
  <c r="AN45" i="64"/>
  <c r="AM42" i="64"/>
  <c r="AM45" i="64"/>
  <c r="AM43" i="65"/>
  <c r="AK12" i="18" s="1"/>
  <c r="AM46" i="65"/>
  <c r="AK13" i="18" s="1"/>
  <c r="AN194" i="63" l="1"/>
  <c r="AN174" i="63"/>
  <c r="AN154" i="63"/>
  <c r="AN129" i="63"/>
  <c r="AN109" i="63"/>
  <c r="AN89" i="63"/>
  <c r="AN64" i="63"/>
  <c r="AN44" i="63"/>
  <c r="AN24" i="63"/>
  <c r="AN174" i="37"/>
  <c r="AN154" i="37"/>
  <c r="AN109" i="37"/>
  <c r="AN44" i="37"/>
  <c r="AN194" i="37"/>
  <c r="AN129" i="37"/>
  <c r="AN89" i="37"/>
  <c r="AN64" i="37"/>
  <c r="AN24" i="37"/>
  <c r="AN184" i="37"/>
  <c r="AN164" i="37"/>
  <c r="AN184" i="63"/>
  <c r="AN164" i="63"/>
  <c r="AN119" i="63"/>
  <c r="AN99" i="63"/>
  <c r="AN54" i="63"/>
  <c r="AN34" i="63"/>
  <c r="AN119" i="37"/>
  <c r="AN99" i="37"/>
  <c r="AN54" i="37"/>
  <c r="AN34" i="37"/>
  <c r="AN40" i="37" l="1" a="1"/>
  <c r="AN40" i="37" s="1"/>
  <c r="AN37" i="37" a="1"/>
  <c r="AN37" i="37" s="1"/>
  <c r="AN38" i="37" a="1"/>
  <c r="AN38" i="37" s="1"/>
  <c r="AN39" i="37" a="1"/>
  <c r="AN39" i="37" s="1"/>
  <c r="AN35" i="37"/>
  <c r="AN105" i="63" a="1"/>
  <c r="AN105" i="63" s="1"/>
  <c r="AN100" i="63"/>
  <c r="AN169" i="37" a="1"/>
  <c r="AN169" i="37" s="1"/>
  <c r="AN167" i="37" a="1"/>
  <c r="AN167" i="37" s="1"/>
  <c r="AN170" i="37" a="1"/>
  <c r="AN170" i="37" s="1"/>
  <c r="AN168" i="37" a="1"/>
  <c r="AN168" i="37" s="1"/>
  <c r="AN165" i="37"/>
  <c r="AN67" i="37" a="1"/>
  <c r="AN67" i="37" s="1"/>
  <c r="AN67" i="63" s="1" a="1"/>
  <c r="AN67" i="63" s="1"/>
  <c r="AN68" i="37" a="1"/>
  <c r="AN68" i="37" s="1"/>
  <c r="AN68" i="63" s="1" a="1"/>
  <c r="AN68" i="63" s="1"/>
  <c r="AN69" i="37" a="1"/>
  <c r="AN69" i="37" s="1"/>
  <c r="AN69" i="63" s="1" a="1"/>
  <c r="AN69" i="63" s="1"/>
  <c r="AN70" i="37" a="1"/>
  <c r="AN70" i="37" s="1"/>
  <c r="AN70" i="63" s="1" a="1"/>
  <c r="AN70" i="63" s="1"/>
  <c r="AN65" i="37"/>
  <c r="AN65" i="63"/>
  <c r="AN57" i="37" a="1"/>
  <c r="AN57" i="37" s="1"/>
  <c r="AN58" i="37" a="1"/>
  <c r="AN58" i="37" s="1"/>
  <c r="AN59" i="37" a="1"/>
  <c r="AN59" i="37" s="1"/>
  <c r="AN60" i="37" a="1"/>
  <c r="AN60" i="37" s="1"/>
  <c r="AN55" i="37"/>
  <c r="AN120" i="63"/>
  <c r="AN188" i="37" a="1"/>
  <c r="AN188" i="37" s="1"/>
  <c r="AN188" i="63" s="1" a="1"/>
  <c r="AN188" i="63" s="1"/>
  <c r="AN190" i="37" a="1"/>
  <c r="AN190" i="37" s="1"/>
  <c r="AN187" i="37" a="1"/>
  <c r="AN187" i="37" s="1"/>
  <c r="AN189" i="37" a="1"/>
  <c r="AN189" i="37" s="1"/>
  <c r="AN185" i="37"/>
  <c r="AN139" i="37"/>
  <c r="AN94" i="37" a="1"/>
  <c r="AN94" i="37" s="1"/>
  <c r="AN92" i="37" a="1"/>
  <c r="AN92" i="37" s="1"/>
  <c r="AN92" i="63" s="1" a="1"/>
  <c r="AN92" i="63" s="1"/>
  <c r="AN93" i="37" a="1"/>
  <c r="AN93" i="37" s="1"/>
  <c r="AN93" i="63" s="1" a="1"/>
  <c r="AN93" i="63" s="1"/>
  <c r="AN95" i="37" a="1"/>
  <c r="AN95" i="37" s="1"/>
  <c r="AN95" i="63" s="1" a="1"/>
  <c r="AN95" i="63" s="1"/>
  <c r="AN90" i="37"/>
  <c r="AN139" i="63"/>
  <c r="AN94" i="63" a="1"/>
  <c r="AN94" i="63" s="1"/>
  <c r="AN90" i="63"/>
  <c r="AN102" i="37" a="1"/>
  <c r="AN102" i="37" s="1"/>
  <c r="AN102" i="63" s="1" a="1"/>
  <c r="AN102" i="63" s="1"/>
  <c r="AN103" i="37" a="1"/>
  <c r="AN103" i="37" s="1"/>
  <c r="AN103" i="63" s="1" a="1"/>
  <c r="AN103" i="63" s="1"/>
  <c r="AN104" i="37" a="1"/>
  <c r="AN104" i="37" s="1"/>
  <c r="AN104" i="63" s="1" a="1"/>
  <c r="AN104" i="63" s="1"/>
  <c r="AN105" i="37" a="1"/>
  <c r="AN105" i="37" s="1"/>
  <c r="AN100" i="37"/>
  <c r="AN168" i="63" a="1"/>
  <c r="AN168" i="63" s="1"/>
  <c r="AN167" i="63" a="1"/>
  <c r="AN167" i="63" s="1"/>
  <c r="AN169" i="63" a="1"/>
  <c r="AN169" i="63" s="1"/>
  <c r="AN170" i="63" a="1"/>
  <c r="AN170" i="63" s="1"/>
  <c r="AN165" i="63"/>
  <c r="AN133" i="37" a="1"/>
  <c r="AN133" i="37" s="1"/>
  <c r="AN134" i="37" a="1"/>
  <c r="AN134" i="37" s="1"/>
  <c r="AN132" i="37" a="1"/>
  <c r="AN132" i="37" s="1"/>
  <c r="AN132" i="63" s="1" a="1"/>
  <c r="AN132" i="63" s="1"/>
  <c r="AN135" i="37" a="1"/>
  <c r="AN135" i="37" s="1"/>
  <c r="AN130" i="37"/>
  <c r="AN49" i="37" a="1"/>
  <c r="AN49" i="37" s="1"/>
  <c r="AN49" i="63" s="1" a="1"/>
  <c r="AN49" i="63" s="1"/>
  <c r="AN48" i="37" a="1"/>
  <c r="AN48" i="37" s="1"/>
  <c r="AN47" i="37" a="1"/>
  <c r="AN47" i="37" s="1"/>
  <c r="AN50" i="37" a="1"/>
  <c r="AN50" i="37" s="1"/>
  <c r="AN45" i="37"/>
  <c r="AN112" i="63" a="1"/>
  <c r="AN112" i="63" s="1"/>
  <c r="AN110" i="63"/>
  <c r="AN189" i="63" a="1"/>
  <c r="AN189" i="63" s="1"/>
  <c r="AN190" i="63" a="1"/>
  <c r="AN190" i="63" s="1"/>
  <c r="AN187" i="63" a="1"/>
  <c r="AN187" i="63" s="1"/>
  <c r="AN185" i="63"/>
  <c r="AN199" i="37" a="1"/>
  <c r="AN199" i="37" s="1"/>
  <c r="AN200" i="37" a="1"/>
  <c r="AN200" i="37" s="1"/>
  <c r="AN200" i="63" s="1" a="1"/>
  <c r="AN200" i="63" s="1"/>
  <c r="AN198" i="37" a="1"/>
  <c r="AN198" i="37" s="1"/>
  <c r="AN197" i="37" a="1"/>
  <c r="AN197" i="37" s="1"/>
  <c r="AN195" i="37"/>
  <c r="AN113" i="37" a="1"/>
  <c r="AN113" i="37" s="1"/>
  <c r="AN113" i="63" s="1" a="1"/>
  <c r="AN113" i="63" s="1"/>
  <c r="AN115" i="37" a="1"/>
  <c r="AN115" i="37" s="1"/>
  <c r="AN115" i="63" s="1" a="1"/>
  <c r="AN115" i="63" s="1"/>
  <c r="AN112" i="37" a="1"/>
  <c r="AN112" i="37" s="1"/>
  <c r="AN114" i="37" a="1"/>
  <c r="AN114" i="37" s="1"/>
  <c r="AN114" i="63" s="1" a="1"/>
  <c r="AN114" i="63" s="1"/>
  <c r="AN110" i="37"/>
  <c r="AN134" i="63" a="1"/>
  <c r="AN134" i="63" s="1"/>
  <c r="AN133" i="63" a="1"/>
  <c r="AN133" i="63" s="1"/>
  <c r="AN135" i="63" a="1"/>
  <c r="AN135" i="63" s="1"/>
  <c r="AN130" i="63"/>
  <c r="AN204" i="37"/>
  <c r="AN159" i="37" a="1"/>
  <c r="AN159" i="37" s="1"/>
  <c r="AN159" i="63" s="1" a="1"/>
  <c r="AN159" i="63" s="1"/>
  <c r="AN157" i="37" a="1"/>
  <c r="AN157" i="37" s="1"/>
  <c r="AN157" i="63" s="1" a="1"/>
  <c r="AN157" i="63" s="1"/>
  <c r="AN158" i="37" a="1"/>
  <c r="AN158" i="37" s="1"/>
  <c r="AN160" i="37" a="1"/>
  <c r="AN160" i="37" s="1"/>
  <c r="AN155" i="37"/>
  <c r="AN158" i="63" a="1"/>
  <c r="AN158" i="63" s="1"/>
  <c r="AN204" i="63"/>
  <c r="AN160" i="63" a="1"/>
  <c r="AN160" i="63" s="1"/>
  <c r="AN155" i="63"/>
  <c r="AN125" i="37" a="1"/>
  <c r="AN125" i="37" s="1"/>
  <c r="AN125" i="63" s="1" a="1"/>
  <c r="AN125" i="63" s="1"/>
  <c r="AN123" i="37" a="1"/>
  <c r="AN123" i="37" s="1"/>
  <c r="AN123" i="63" s="1" a="1"/>
  <c r="AN123" i="63" s="1"/>
  <c r="AN124" i="37" a="1"/>
  <c r="AN124" i="37" s="1"/>
  <c r="AN124" i="63" s="1" a="1"/>
  <c r="AN124" i="63" s="1"/>
  <c r="AN122" i="37" a="1"/>
  <c r="AN122" i="37" s="1"/>
  <c r="AN122" i="63" s="1" a="1"/>
  <c r="AN122" i="63" s="1"/>
  <c r="AN120" i="37"/>
  <c r="AN179" i="37" a="1"/>
  <c r="AN179" i="37" s="1"/>
  <c r="AN179" i="63" s="1" a="1"/>
  <c r="AN179" i="63" s="1"/>
  <c r="AN177" i="37" a="1"/>
  <c r="AN177" i="37" s="1"/>
  <c r="AN177" i="63" s="1" a="1"/>
  <c r="AN177" i="63" s="1"/>
  <c r="AN180" i="37" a="1"/>
  <c r="AN180" i="37" s="1"/>
  <c r="AN180" i="63" s="1" a="1"/>
  <c r="AN180" i="63" s="1"/>
  <c r="AN178" i="37" a="1"/>
  <c r="AN178" i="37" s="1"/>
  <c r="AN175" i="37"/>
  <c r="AN178" i="63" a="1"/>
  <c r="AN178" i="63" s="1"/>
  <c r="AN175" i="63"/>
  <c r="AN38" i="63" a="1"/>
  <c r="AN38" i="63" s="1"/>
  <c r="AN37" i="63" a="1"/>
  <c r="AN37" i="63" s="1"/>
  <c r="AN39" i="63" a="1"/>
  <c r="AN39" i="63" s="1"/>
  <c r="AN40" i="63" a="1"/>
  <c r="AN40" i="63" s="1"/>
  <c r="AN35" i="63"/>
  <c r="AN29" i="63" a="1"/>
  <c r="AN29" i="63" s="1"/>
  <c r="AN74" i="63"/>
  <c r="AN25" i="63"/>
  <c r="AN197" i="63" a="1"/>
  <c r="AN197" i="63" s="1"/>
  <c r="AN199" i="63" a="1"/>
  <c r="AN199" i="63" s="1"/>
  <c r="AN198" i="63" a="1"/>
  <c r="AN198" i="63" s="1"/>
  <c r="AN195" i="63"/>
  <c r="AN57" i="63" a="1"/>
  <c r="AN57" i="63" s="1"/>
  <c r="AN60" i="63" a="1"/>
  <c r="AN60" i="63" s="1"/>
  <c r="AN59" i="63" a="1"/>
  <c r="AN59" i="63" s="1"/>
  <c r="AN58" i="63" a="1"/>
  <c r="AN58" i="63" s="1"/>
  <c r="AN55" i="63"/>
  <c r="AN29" i="37" a="1"/>
  <c r="AN29" i="37" s="1"/>
  <c r="AN79" i="37" s="1"/>
  <c r="AN74" i="37"/>
  <c r="AN30" i="37" a="1"/>
  <c r="AN30" i="37" s="1"/>
  <c r="AN27" i="37" a="1"/>
  <c r="AN27" i="37" s="1"/>
  <c r="AN27" i="63" s="1" a="1"/>
  <c r="AN27" i="63" s="1"/>
  <c r="AN28" i="37" a="1"/>
  <c r="AN28" i="37" s="1"/>
  <c r="AN25" i="37"/>
  <c r="AN48" i="63" a="1"/>
  <c r="AN48" i="63" s="1"/>
  <c r="AN50" i="63" a="1"/>
  <c r="AN50" i="63" s="1"/>
  <c r="AN47" i="63" a="1"/>
  <c r="AN47" i="63" s="1"/>
  <c r="AN45" i="63"/>
  <c r="AN80" i="37" l="1"/>
  <c r="AN8" i="37"/>
  <c r="AO8" i="64" s="1"/>
  <c r="AN78" i="37"/>
  <c r="AN8" i="63"/>
  <c r="AO8" i="65" s="1"/>
  <c r="AN28" i="63" a="1"/>
  <c r="AN28" i="63" s="1"/>
  <c r="AN78" i="63" s="1"/>
  <c r="AN30" i="63" a="1"/>
  <c r="AN30" i="63" s="1"/>
  <c r="AN80" i="63" s="1"/>
  <c r="AN77" i="37"/>
  <c r="AN75" i="37"/>
  <c r="AN209" i="63"/>
  <c r="AN142" i="63"/>
  <c r="AN75" i="63"/>
  <c r="AN205" i="37"/>
  <c r="AN210" i="37"/>
  <c r="AN205" i="63"/>
  <c r="AL8" i="18"/>
  <c r="AN208" i="37"/>
  <c r="AN145" i="37"/>
  <c r="AN79" i="63"/>
  <c r="AN210" i="63"/>
  <c r="AN207" i="37"/>
  <c r="AN143" i="37"/>
  <c r="AN77" i="63"/>
  <c r="AN207" i="63"/>
  <c r="AN209" i="37"/>
  <c r="AN144" i="63"/>
  <c r="AN142" i="37"/>
  <c r="AN145" i="63"/>
  <c r="AN144" i="37"/>
  <c r="AN140" i="63"/>
  <c r="AN208" i="63"/>
  <c r="AN140" i="37"/>
  <c r="AN143" i="63"/>
  <c r="AN13" i="37" l="1"/>
  <c r="AN12" i="37"/>
  <c r="AN11" i="63"/>
  <c r="AN9" i="37"/>
  <c r="AO7" i="64" s="1"/>
  <c r="AO10" i="64" s="1"/>
  <c r="AN14" i="37"/>
  <c r="AN14" i="63"/>
  <c r="AN11" i="37"/>
  <c r="AN13" i="63"/>
  <c r="AN12" i="63"/>
  <c r="AN9" i="63"/>
  <c r="AK35" i="38" l="1"/>
  <c r="AL35" i="38"/>
  <c r="AO9" i="64"/>
  <c r="AO14" i="64" s="1"/>
  <c r="AO25" i="64"/>
  <c r="AO27" i="64"/>
  <c r="AO23" i="64"/>
  <c r="AO11" i="64"/>
  <c r="AO44" i="64"/>
  <c r="AO9" i="65"/>
  <c r="AL9" i="18"/>
  <c r="AO7" i="65"/>
  <c r="AO41" i="64" l="1"/>
  <c r="AO42" i="64" s="1"/>
  <c r="AO16" i="64"/>
  <c r="AO47" i="64"/>
  <c r="AO15" i="64"/>
  <c r="AO17" i="64"/>
  <c r="AO18" i="64" s="1"/>
  <c r="AO22" i="64" s="1"/>
  <c r="AO26" i="64" s="1"/>
  <c r="AO29" i="64" s="1"/>
  <c r="AO34" i="64" s="1"/>
  <c r="AO24" i="65"/>
  <c r="AO28" i="65"/>
  <c r="AL11" i="18" s="1"/>
  <c r="AO45" i="65"/>
  <c r="AO26" i="65"/>
  <c r="AO10" i="65"/>
  <c r="AO11" i="65"/>
  <c r="AO45" i="64" l="1"/>
  <c r="AO16" i="65"/>
  <c r="AO15" i="65"/>
  <c r="AO17" i="65" s="1"/>
  <c r="AO42" i="65"/>
  <c r="AO43" i="65" s="1"/>
  <c r="AL12" i="18" s="1"/>
  <c r="AO33" i="64"/>
  <c r="AO36" i="64"/>
  <c r="D38" i="64" s="1"/>
  <c r="AO48" i="65" l="1"/>
  <c r="AO18" i="65"/>
  <c r="AO19" i="65" s="1"/>
  <c r="AO23" i="65" s="1"/>
  <c r="AO27" i="65" s="1"/>
  <c r="AO30" i="65" s="1"/>
  <c r="AO46" i="65" l="1"/>
  <c r="AL13" i="18" s="1"/>
  <c r="AO34" i="65"/>
  <c r="AL10" i="18"/>
  <c r="AO35" i="65" l="1"/>
  <c r="AO37" i="65" s="1"/>
  <c r="D39" i="65" s="1"/>
  <c r="G20" i="78" l="1"/>
  <c r="C20" i="12"/>
  <c r="C21" i="12"/>
  <c r="C22" i="12" s="1"/>
  <c r="G21" i="78"/>
  <c r="G22" i="7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Guidehouse285</author>
  </authors>
  <commentList>
    <comment ref="D13" authorId="0" shapeId="0" xr:uid="{1DDF7CF1-03AC-4998-9961-62605D53EAA4}">
      <text>
        <r>
          <rPr>
            <b/>
            <sz val="9"/>
            <color indexed="81"/>
            <rFont val="Tahoma"/>
            <family val="2"/>
          </rPr>
          <t>Guidehouse285:</t>
        </r>
        <r>
          <rPr>
            <sz val="9"/>
            <color indexed="81"/>
            <rFont val="Tahoma"/>
            <family val="2"/>
          </rPr>
          <t xml:space="preserve">
based on BLS data:
https://www.bls.gov/news.release/pdf/ecec.pdf
multiplier is 1.43 if wages account for 70% of benefits account for 30% of total worker compensation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<sst xmlns="http://schemas.openxmlformats.org/spreadsheetml/2006/main" count="1255" uniqueCount="357">
  <si>
    <t>Financial Parameters</t>
  </si>
  <si>
    <t>Announcement Year</t>
  </si>
  <si>
    <t>Terminal Year</t>
  </si>
  <si>
    <t>Tax Rate</t>
  </si>
  <si>
    <t>Working Capital</t>
  </si>
  <si>
    <t>Net  Property, Plant &amp; Equipment</t>
  </si>
  <si>
    <t xml:space="preserve">Standard SG&amp;A </t>
  </si>
  <si>
    <t>Research and Development</t>
  </si>
  <si>
    <t>Depreciation</t>
  </si>
  <si>
    <t>Capital Expenditures</t>
  </si>
  <si>
    <t>Unit Price</t>
  </si>
  <si>
    <t>Revenues</t>
  </si>
  <si>
    <t>Labor</t>
  </si>
  <si>
    <t>Overhead</t>
  </si>
  <si>
    <t>Cash Flows from Operations</t>
  </si>
  <si>
    <t>Terminal Value</t>
  </si>
  <si>
    <t>Present Value Factor</t>
  </si>
  <si>
    <t>Discounted Cash Flow</t>
  </si>
  <si>
    <t>Net Working Capital</t>
  </si>
  <si>
    <t>Return on Invested Capital (ROIC)</t>
  </si>
  <si>
    <t>Weighted Average Cost of Capital (WACC)</t>
  </si>
  <si>
    <t>Government</t>
  </si>
  <si>
    <t>Regulatory Impact</t>
  </si>
  <si>
    <t>Because software is inherently complex and may not</t>
  </si>
  <si>
    <t>be completely free of errors, you are advised to verify</t>
  </si>
  <si>
    <t>consequential damages arising out of the use of</t>
  </si>
  <si>
    <t>or inability to use the software or documentation,</t>
  </si>
  <si>
    <t>even if advised of the possibility of such damages.</t>
  </si>
  <si>
    <t>Markup</t>
  </si>
  <si>
    <t>Conversion Costs</t>
  </si>
  <si>
    <t>Shipment Model</t>
  </si>
  <si>
    <t>Revenue</t>
  </si>
  <si>
    <t>Discount Rate</t>
  </si>
  <si>
    <t>Earnings Before Interest and Taxes (EBIT)</t>
  </si>
  <si>
    <t>Terminal growth rate</t>
  </si>
  <si>
    <t>Free Cash Flow</t>
  </si>
  <si>
    <t>Net Operating Profit after Taxes (NOPAT)</t>
  </si>
  <si>
    <t>NOPAT</t>
  </si>
  <si>
    <t>Return on Sales (EBIT/Sales)</t>
  </si>
  <si>
    <t>Cash not required for operations or for reinvestment.</t>
  </si>
  <si>
    <t>The portion of COGS that includes direct labor, commissions, dismissal pay, bonuses, vacation, sick leave, social security contributions, fringe, and assembly labor up-time.</t>
  </si>
  <si>
    <t xml:space="preserve">Material Costs </t>
  </si>
  <si>
    <t>The portion of COGS that includes all materials and scrap.</t>
  </si>
  <si>
    <t>Net Operating Profit After Taxes (NOPAT)</t>
  </si>
  <si>
    <t>EBIT less taxes.</t>
  </si>
  <si>
    <t>The discounted sum of industry free cash flows plus a discounted terminal value.</t>
  </si>
  <si>
    <t>Current assets less current liabilities.  The change in working capital is the difference in required working capital between a given year and the previous year.</t>
  </si>
  <si>
    <t>Overhead (factory overhead)</t>
  </si>
  <si>
    <t>The portion of COGS that includes indirect labor, indirect material, maintenance, depreciation, property taxes, and insurance related to assets.</t>
  </si>
  <si>
    <t>Return on Sales</t>
  </si>
  <si>
    <t>Return on Sales is equal to EBIT / revenue.</t>
  </si>
  <si>
    <t>Net sales.</t>
  </si>
  <si>
    <t>Selling, General, and Administrative Expenses (SG&amp;A)</t>
  </si>
  <si>
    <t>A sub-model used in the National Impact Analysis that provides base case and standard case shipment projections.</t>
  </si>
  <si>
    <t>The weighted average cost of debt and equity capital, based on industry capital structure.  The cost of debt includes the impact of the tax shield provided by debt-financing.</t>
  </si>
  <si>
    <t>Net PPE as % of Sales</t>
  </si>
  <si>
    <t>Net PPE</t>
  </si>
  <si>
    <t>TOTALS</t>
  </si>
  <si>
    <t>Total</t>
  </si>
  <si>
    <t>Materials</t>
  </si>
  <si>
    <t>Product Conversion Costs</t>
  </si>
  <si>
    <t>Year</t>
  </si>
  <si>
    <t>std yr</t>
  </si>
  <si>
    <t>std yr-1</t>
  </si>
  <si>
    <t>std yr-2</t>
  </si>
  <si>
    <t>std yr-3</t>
  </si>
  <si>
    <t>std yr-4</t>
  </si>
  <si>
    <t>std yr-5</t>
  </si>
  <si>
    <t>std yr-6</t>
  </si>
  <si>
    <t>std yr-7</t>
  </si>
  <si>
    <t>std yr-8</t>
  </si>
  <si>
    <t>Model  (GRIM)</t>
  </si>
  <si>
    <t>Governmental Regulatory Impact Model (GRIM)</t>
  </si>
  <si>
    <t>The effective tax rate assessed on a company's earnings before taxes (EBT).</t>
  </si>
  <si>
    <t>Summary Report</t>
  </si>
  <si>
    <t>Technical Support Document (TSD)</t>
  </si>
  <si>
    <t>Glossary of Terms</t>
  </si>
  <si>
    <t>Conversion Costs Timing</t>
  </si>
  <si>
    <t>Unit Sales (MM)</t>
  </si>
  <si>
    <t>Revenues (MM)</t>
  </si>
  <si>
    <t>% of Revenue</t>
  </si>
  <si>
    <t>Baseline</t>
  </si>
  <si>
    <t>-</t>
  </si>
  <si>
    <t>Trial Standard Level (TSL)</t>
  </si>
  <si>
    <t>INPV</t>
  </si>
  <si>
    <t>Total Investment Required</t>
  </si>
  <si>
    <t>EL 1</t>
  </si>
  <si>
    <t>Employment</t>
  </si>
  <si>
    <t>Number of employees</t>
  </si>
  <si>
    <t>%</t>
  </si>
  <si>
    <t>TSL 1</t>
  </si>
  <si>
    <t>MPC</t>
  </si>
  <si>
    <t>Capital Conversion Costs</t>
  </si>
  <si>
    <t>The industry cash flow model used by DOE to assess impacts on manufacturers due to proposed energy conservation standards.</t>
  </si>
  <si>
    <t>Industry Net Present Value (INPV)</t>
  </si>
  <si>
    <t>Manufacturer Markup</t>
  </si>
  <si>
    <t>PPE are fixed assets, or long-lived assets, including building, machinery, and equipment.  PPE, net is PPE less accumulated depreciation.</t>
  </si>
  <si>
    <t>Manufacturing Selling Price</t>
  </si>
  <si>
    <t>User Instructions</t>
  </si>
  <si>
    <t>PC1</t>
  </si>
  <si>
    <t>Markup Scenario List</t>
  </si>
  <si>
    <t>Product Class List</t>
  </si>
  <si>
    <t>EL List</t>
  </si>
  <si>
    <t>Sequential Numbers</t>
  </si>
  <si>
    <t>Product Class #</t>
  </si>
  <si>
    <t>Insert Product/Equipment Class Name Below</t>
  </si>
  <si>
    <t>Scenario for Analysis</t>
  </si>
  <si>
    <t>MSP</t>
  </si>
  <si>
    <t>GRIM Total Industry Production Workers Standards Case</t>
  </si>
  <si>
    <t>INDUSTRY TOTAL FOR SELECTED PRODUCT CLASSES</t>
  </si>
  <si>
    <t>The markup that converts Full Production Cost to a Manufacturer Selling Price.  The manufacturer markup includes SG&amp;A, R&amp;D, interest, and profit.</t>
  </si>
  <si>
    <t xml:space="preserve">The result of applying the Manufacturer Markup to the Full Production Cost. </t>
  </si>
  <si>
    <t>Non-capital conversion costs incurred prior to the energy conservation standard's effective date.  Product conversion expenses include engineering design costs, marketing, and preparation for testing.</t>
  </si>
  <si>
    <t>ROIC is equal to NOPAT / (PPE, net working capital).  When ROIC is greater than WACC, a company or industry is creating value.</t>
  </si>
  <si>
    <t>TSD's are published by the DOE as companion documents to Federal Register notices. The TSD's include technical detail that supports the notices.  The NOPR TSD includes the discussion of the Manufacturer Impact Analysis (MIA)</t>
  </si>
  <si>
    <t>A proposed  energy conservation standard evaluated by the DOE during the NOPR phase analyses.</t>
  </si>
  <si>
    <t>The year the new standard is implemented. The standard year is 2015 for most analyzed efficiency levels.</t>
  </si>
  <si>
    <t>Multipliers for Price Projections</t>
  </si>
  <si>
    <t>Learning</t>
  </si>
  <si>
    <t>TSL 
Selection List</t>
  </si>
  <si>
    <t>Introduction</t>
  </si>
  <si>
    <t>Instructions</t>
  </si>
  <si>
    <t>INPV Calculation</t>
  </si>
  <si>
    <t>Trial Standard Level Selected:</t>
  </si>
  <si>
    <t>Markup Scenario:</t>
  </si>
  <si>
    <t>Learning Curve:</t>
  </si>
  <si>
    <t>Revenue less COGS and SG&amp;A expenses (including R&amp;D, product conversion expenses, and annual compliance costs).  
EBIT equals earnings before taxes (EBT) in the "income statement" portion of the GRIM.</t>
  </si>
  <si>
    <t>Includes direct labor, direct material, factory overhead, and depreciation.  This includes the same cost categories that comprise 
Cost of Goods Sold in the discounted cash flow analysis.</t>
  </si>
  <si>
    <t xml:space="preserve">Efficiency Factors at each EL </t>
  </si>
  <si>
    <t>Manufacturing Production Costs (MPCs)</t>
  </si>
  <si>
    <t>Baseline Markup</t>
  </si>
  <si>
    <t>Selection</t>
  </si>
  <si>
    <t>Production Costs (per unit)</t>
  </si>
  <si>
    <t>Shipments - INPUT</t>
  </si>
  <si>
    <t>Shipments Scenario:</t>
  </si>
  <si>
    <t>Product Conversion Cost Allocations</t>
  </si>
  <si>
    <t>Capital Conversion Cost Allocations</t>
  </si>
  <si>
    <t>Capital Conversion Cost Allocations Table</t>
  </si>
  <si>
    <t>Product Conversion Cost Allocations Table</t>
  </si>
  <si>
    <t>Production Hold Factor</t>
  </si>
  <si>
    <t>TOTAL</t>
  </si>
  <si>
    <t>Total Unit Sales (MM)</t>
  </si>
  <si>
    <t>Total Revenues (MM)</t>
  </si>
  <si>
    <t>Industry Total Unit Sales (MM)</t>
  </si>
  <si>
    <t>Industry Total Revenues (MM)</t>
  </si>
  <si>
    <t>Standards Case Revenue &amp; Cost</t>
  </si>
  <si>
    <t>+ Depreciation</t>
  </si>
  <si>
    <t>- R&amp;D</t>
  </si>
  <si>
    <t>- Product Conversion Costs</t>
  </si>
  <si>
    <t>- Taxes</t>
  </si>
  <si>
    <t>- Ordinary Capital Expenditures</t>
  </si>
  <si>
    <t>- Capital Conversion Costs</t>
  </si>
  <si>
    <t>Standard Case DCF</t>
  </si>
  <si>
    <t>MM</t>
  </si>
  <si>
    <t>Change in INPV ($)</t>
  </si>
  <si>
    <t>Change in INPV (%)</t>
  </si>
  <si>
    <t>Shipments (MM)</t>
  </si>
  <si>
    <t>Dashboard</t>
  </si>
  <si>
    <t>Product Class Test</t>
  </si>
  <si>
    <t>Navigation</t>
  </si>
  <si>
    <t>Intro</t>
  </si>
  <si>
    <t>Glossary</t>
  </si>
  <si>
    <t>Information Tabs</t>
  </si>
  <si>
    <t>Input Tabs</t>
  </si>
  <si>
    <t>Calculation Tabs</t>
  </si>
  <si>
    <t>Output Tabs</t>
  </si>
  <si>
    <t>Scenario</t>
  </si>
  <si>
    <t>Financials</t>
  </si>
  <si>
    <t>EL and TSL Setup</t>
  </si>
  <si>
    <t>Markups</t>
  </si>
  <si>
    <t>MPC Breakdown</t>
  </si>
  <si>
    <t>Shipments</t>
  </si>
  <si>
    <t>Conversion Cost Timing</t>
  </si>
  <si>
    <t>Standards Revenue &amp; Cost</t>
  </si>
  <si>
    <t>Standards Case DCF</t>
  </si>
  <si>
    <t>Data for Graphs</t>
  </si>
  <si>
    <t>Production Worker Annual Time (hours / year)</t>
  </si>
  <si>
    <t>Total Employment (#)</t>
  </si>
  <si>
    <t>Number of Efficiency Levels</t>
  </si>
  <si>
    <t>Selected Product Classes</t>
  </si>
  <si>
    <t>PC2</t>
  </si>
  <si>
    <t>PC3</t>
  </si>
  <si>
    <t>TOTAL SELECTED CCCs</t>
  </si>
  <si>
    <t>TOTAL SELECTED PCCs</t>
  </si>
  <si>
    <t>TOTAL SELECTED SAs</t>
  </si>
  <si>
    <t>CCCs</t>
  </si>
  <si>
    <t xml:space="preserve">Selected </t>
  </si>
  <si>
    <t>PCCs</t>
  </si>
  <si>
    <t>Max</t>
  </si>
  <si>
    <t>Count - 1</t>
  </si>
  <si>
    <t>SAs</t>
  </si>
  <si>
    <t>Product Class</t>
  </si>
  <si>
    <t>TSL</t>
  </si>
  <si>
    <t>EL</t>
  </si>
  <si>
    <t>Count</t>
  </si>
  <si>
    <t>Shipments_TSL_Offset</t>
  </si>
  <si>
    <t>Standard Year</t>
  </si>
  <si>
    <t>Industry Financials</t>
  </si>
  <si>
    <t>- Stranded Assets</t>
  </si>
  <si>
    <t>1200 19th Street NW, Suite 700</t>
  </si>
  <si>
    <t>Learning Scenario List</t>
  </si>
  <si>
    <t>Shipments Scenario List</t>
  </si>
  <si>
    <t>Markup Selection Count</t>
  </si>
  <si>
    <t>Shipment Selection Count</t>
  </si>
  <si>
    <t>Learning Selection Count</t>
  </si>
  <si>
    <t>Constant</t>
  </si>
  <si>
    <t>Reference Case</t>
  </si>
  <si>
    <t>Net PPE (% of Revenues)</t>
  </si>
  <si>
    <t>Production workers hours (1,000)</t>
  </si>
  <si>
    <t>- Change in Working Capital</t>
  </si>
  <si>
    <t>+ Loss on Disposal of Stranded Assets</t>
  </si>
  <si>
    <t>Washington, DC 20036</t>
  </si>
  <si>
    <t>Materials (MM)</t>
  </si>
  <si>
    <t>Labor (MM)</t>
  </si>
  <si>
    <t>Depreciation (MM)</t>
  </si>
  <si>
    <t>Overhead (MM)</t>
  </si>
  <si>
    <t>Total Materials (MM)</t>
  </si>
  <si>
    <t>Total Labor (MM)</t>
  </si>
  <si>
    <t>Total Depreciation (MM)</t>
  </si>
  <si>
    <t>Total Overhead (MM)</t>
  </si>
  <si>
    <t>Industry Total Materials (MM)</t>
  </si>
  <si>
    <t>Industry Total Labor (MM)</t>
  </si>
  <si>
    <t>Industry Total Depreciation (MM)</t>
  </si>
  <si>
    <t>Industry Total Overhead (MM)</t>
  </si>
  <si>
    <t>(in millions)</t>
  </si>
  <si>
    <t>EBIT/Revenues (%)</t>
  </si>
  <si>
    <t>liable for direct, indirect, special, incidental, or</t>
  </si>
  <si>
    <r>
      <t xml:space="preserve">A major component of the manufacturer selling price, accounted for in the GRIM as part of the Non-Production Cost markup.  </t>
    </r>
    <r>
      <rPr>
        <i/>
        <sz val="12"/>
        <rFont val="Times New Roman"/>
        <family val="1"/>
      </rPr>
      <t>See Product Costs.</t>
    </r>
  </si>
  <si>
    <r>
      <t xml:space="preserve">The case where energy conservation standards are implemented.  </t>
    </r>
    <r>
      <rPr>
        <i/>
        <sz val="12"/>
        <rFont val="Times New Roman"/>
        <family val="1"/>
      </rPr>
      <t>Compare to base case.</t>
    </r>
  </si>
  <si>
    <t>Results for Graphs</t>
  </si>
  <si>
    <t>Current Scenario GRIM Results</t>
  </si>
  <si>
    <t>Preservation of Gross Margin</t>
  </si>
  <si>
    <t>Reference Year</t>
  </si>
  <si>
    <t>Dollar Year</t>
  </si>
  <si>
    <r>
      <t xml:space="preserve">Per Unit EBIT </t>
    </r>
    <r>
      <rPr>
        <i/>
        <sz val="12"/>
        <rFont val="Times New Roman"/>
        <family val="1"/>
      </rPr>
      <t>($/unit)</t>
    </r>
  </si>
  <si>
    <r>
      <t xml:space="preserve">Total Shipments </t>
    </r>
    <r>
      <rPr>
        <i/>
        <sz val="12"/>
        <rFont val="Times New Roman"/>
        <family val="1"/>
      </rPr>
      <t>(million units)</t>
    </r>
  </si>
  <si>
    <t>No STDs Case DCF</t>
  </si>
  <si>
    <t>No STDs Case</t>
  </si>
  <si>
    <t>GRIM Total Industry Production Workers No STDs Case</t>
  </si>
  <si>
    <t>Change in PLE from No STDs Case ($MM)</t>
  </si>
  <si>
    <t>No STDs Case Revenue &amp; Cost</t>
  </si>
  <si>
    <t>No STDs Markup</t>
  </si>
  <si>
    <t>Selected Markup</t>
  </si>
  <si>
    <t>Standards Case</t>
  </si>
  <si>
    <t>Return on Invested Capital</t>
  </si>
  <si>
    <t xml:space="preserve">Standard Year </t>
  </si>
  <si>
    <t>Conversion of Change in PLE to Number of Domestic Production Employees (#)</t>
  </si>
  <si>
    <t>INPV at No STDs Case</t>
  </si>
  <si>
    <t>Alternate Standard Year</t>
  </si>
  <si>
    <t>$ MM</t>
  </si>
  <si>
    <t>Free Cash Flow (2019)</t>
  </si>
  <si>
    <t>Change in Free Cash Flow ($) (2019)</t>
  </si>
  <si>
    <t>Change in Free Cash Flow (%) (2019)</t>
  </si>
  <si>
    <t>Total Labor Expenditure ($MM) at Selected TSL</t>
  </si>
  <si>
    <t>Domestic Production Employment (#)</t>
  </si>
  <si>
    <t>Total Labor Expenditure ($MM)</t>
  </si>
  <si>
    <t>Total Domestic Employment (#)</t>
  </si>
  <si>
    <t>PLE at Baseline (Before US Labor Percentage)</t>
  </si>
  <si>
    <t>* The employment calculations in this table calcuate the maximum possible increase in employment without sourcing changes</t>
  </si>
  <si>
    <t>Weighted U.S. Labor %</t>
  </si>
  <si>
    <t xml:space="preserve">Fringe Benefits Multiplier </t>
  </si>
  <si>
    <t>Production Worker Hourly Blended Wage for Industry ($ / hour) with Fringe Benefits</t>
  </si>
  <si>
    <t>Information received or verified during manufacturer interviews</t>
  </si>
  <si>
    <t>Production workers avg for year</t>
  </si>
  <si>
    <t xml:space="preserve"> NAICS Code</t>
  </si>
  <si>
    <t>Census Data available at census.gov for:</t>
  </si>
  <si>
    <t>Production Worker Hourly Blended Wage for Industry ($ / hour)</t>
  </si>
  <si>
    <t>- MPC</t>
  </si>
  <si>
    <t>Developer Tabs</t>
  </si>
  <si>
    <t>This tab computes key parameters from an income statement based on unit sales, revenues and MPCs, and initial financial inputs (parameters as a % of revenue).  It also computes an INPV based on a discounted cash flow model.</t>
  </si>
  <si>
    <t>The portion of MPC that includes direct labor, commissions, dismissal pay, bonuses, vacation, sick leave, social security contributions, fringe, and assembly labor up-time.</t>
  </si>
  <si>
    <t>The markup that converts Manufacturer Production Cost to Manufacturer Selling Price.  The manufacturer markup includes all non-production costs, including SG&amp;A, R&amp;D, interest, and profit.</t>
  </si>
  <si>
    <t>The portion of MPC that includes all materials and scrap.</t>
  </si>
  <si>
    <t>The portion of MPC that includes indirect labor, indirect material, maintenance, depreciation, property taxes, and insurance related to assets.</t>
  </si>
  <si>
    <t>ROIC is equal to NOPAT / (net PPE).  When ROIC is greater than WACC, a company or industry is creating value.</t>
  </si>
  <si>
    <t xml:space="preserve">Industry Cash Flow Statement </t>
  </si>
  <si>
    <t>Discounted Industry Cash Flow</t>
  </si>
  <si>
    <t>Weighted Average Cost of Capital</t>
  </si>
  <si>
    <t>Year of the Final Rule publication</t>
  </si>
  <si>
    <t>Year compliance is required for manufacturers</t>
  </si>
  <si>
    <t>Final year of the analysis period</t>
  </si>
  <si>
    <t>Used when modeling multiple compliance dates</t>
  </si>
  <si>
    <t>% of EBIT</t>
  </si>
  <si>
    <t>Dollar year used for MPCs and conversion costs</t>
  </si>
  <si>
    <t>The year an energy conservation standard is expected to finalize and publish, typically in a Final Rule or Direct Final Rule notice, to the Federal Register.</t>
  </si>
  <si>
    <t>Capital Conversion Costs (CCCs)</t>
  </si>
  <si>
    <t>Capital conversion costs are one-time investments in plant, property, and equipment made in response to new and/or amended standards.  See Conversion Costs.</t>
  </si>
  <si>
    <t>Depreciation is the loss in value of physical assets (such as manufacturing equipment) as assets degrade or wear over time.  Depreciation does not reduce free cash flow, but it does reduce taxable income.</t>
  </si>
  <si>
    <t>DOE uses the weighted average cost of capital for the industry as the discount rate in the GRIM.  See Weighted Average Cost of Capital (WACC).</t>
  </si>
  <si>
    <t>EBIT is calculated as Revenue less MPCs, SG&amp;A, R&amp;D, product conversion expenses, and stranded assets in the "Income Statement" portion of the GRIM.</t>
  </si>
  <si>
    <t>Free Cash Flow (FCF)</t>
  </si>
  <si>
    <t>The industry cash flow model used by DOE to assess finanical impacts on manufacturers due to new and/or amended energy conservation standards.</t>
  </si>
  <si>
    <t>The effective tax rate assessed on a company's earnings before income taxes (EBIT).</t>
  </si>
  <si>
    <t>Labor Cost</t>
  </si>
  <si>
    <t>Manufacturer Selling Price (MSP)</t>
  </si>
  <si>
    <t>The result of applying the Manufacturer Markup to the Manufacturer Production Cost.  The industry average price the manufacturer charges its first customer in the distribution chain.</t>
  </si>
  <si>
    <t>Manufacturing Production Cost (MPC)</t>
  </si>
  <si>
    <t xml:space="preserve">The cost for a manufacturer to produce the covered product.  The MPC includes direct labor, direct material, factory overhead, and depreciation.  </t>
  </si>
  <si>
    <t>Revenue less MPCs, SG&amp;A expenses (including R&amp;D, product conversion expenses, and stranded assets), and Income Tax in the "Income Statement" portion of the GRIM.</t>
  </si>
  <si>
    <t>No-STDs Case</t>
  </si>
  <si>
    <t>The No-Standards Case is the baseline scenario against which the impact of new and/or amended energy conservation standards are compared.  See "Standards Case".</t>
  </si>
  <si>
    <t>Product Conversion Costs (PCCs)</t>
  </si>
  <si>
    <t>Product conversion costs are one-time investments in non-capital items made in response to new and/or amended energy conservation standards.  Product conversion expenses can include engineering, marketing, and industy certification costs.  See Conversion Costs.</t>
  </si>
  <si>
    <t>Net Property, Plant, &amp; Equipment (net PPE)</t>
  </si>
  <si>
    <t>Net PPE consists of fixed assets, or long-lived assets, including building, machinery, and equipment.  Net PPE is PPE less accumulated depreciation.</t>
  </si>
  <si>
    <t>Revenue is net sales.</t>
  </si>
  <si>
    <t>A model used in the National Impact Analysis that provides No-Standards Case and Standards Case shipment projections.</t>
  </si>
  <si>
    <t>The scenarios where DOE sets new and/or amended energy conservation standards above the baseline level.  The impacts of the Standards Case are presented relative to the No-Standards Case.</t>
  </si>
  <si>
    <t xml:space="preserve">TSD's are published by the DOE as companion documents to Federal Register notices. The TSD's include technical detail that supports the notices.  </t>
  </si>
  <si>
    <t>A set of standard levels evaluated by the DOE in setting energy conservation standards.</t>
  </si>
  <si>
    <t>The weighted average cost of capital is the average interest rate paid by the industry to finance assets.  The WACC takes into account debt and equity capital, based on industry capital structure.  The cost of debt includes the impact of the tax shield provided by debt-financing.</t>
  </si>
  <si>
    <t>Net Working Capital (NWC)</t>
  </si>
  <si>
    <t>1.  The orange-tabbed sheets pertain to overview information.  The blue-tabbed sheets refer to input information.  The purple-tabbed sheets represent calculations. The green-tabbed sheets represent output information. The red-tabbed sheets are summary tabs that aggregate output information.</t>
  </si>
  <si>
    <t>Years between Announcement and Compliance Date of Standards</t>
  </si>
  <si>
    <t>- SG&amp;A</t>
  </si>
  <si>
    <t xml:space="preserve">Conversion costs are one-time invests necessary to bring production facilities and products into compliance with new and/or amended energy conservation standards.  The conversion cost investments are made between the announcement year and the standard year (i.e., complian year) of an energy conservation standard.  For the manufacturer impact analysis, conversion costs are broken out into two categories: Product Conversion Costs and Capital Conversion Costs.  </t>
  </si>
  <si>
    <t>Discount Rate (real)</t>
  </si>
  <si>
    <t>The discounted sum of industry free cash flows over the GRIM analysis period plus a discounted terminal value.</t>
  </si>
  <si>
    <t>Research and Development (R&amp;D)</t>
  </si>
  <si>
    <t>SG&amp;A expenses are non-production expenses incurred by manufacturers.  In the GRIM, industry SG&amp;A expense is calculated by multiplying industry revenue by the SG&amp;A percentage on the "Financials" tab.</t>
  </si>
  <si>
    <t>R&amp;D expenses are generally incurred by manufacturers in the process of finding and creating new products or services.  In the GRIM, R&amp;D expense for the industry is calculated by multiplying industry revenue byt the R&amp;D percentage on the "Financials" tab.</t>
  </si>
  <si>
    <t>Terminal value is an estimate of the continuing value of the industry after the analysis period.  It is computed by growing the Free Cash Flow at a constant rate in perpetuity.  The terminal growth rate can be found in the “Financials” tab of the GRIM.</t>
  </si>
  <si>
    <t>Discounting value to account for the time value of money.  This annual value us used to calculate the present value of an amount to be received in the future and is based on the industry’s Weighted Average Cost of Capital, found on the “Financials” tab of the GRIM.</t>
  </si>
  <si>
    <t xml:space="preserve">Year of the publication. </t>
  </si>
  <si>
    <t>Year in which the Present Value Factor is equal to 1.  Typically, the reference year is set to the publication year.</t>
  </si>
  <si>
    <t>Dollar year used for all dollar values in the GRIM.</t>
  </si>
  <si>
    <t>The year in which all products must meet the new and/or amended energy conservation standard to be placed into commerce.  The standard year is typically the year of the compliance date.</t>
  </si>
  <si>
    <t>The last year of the analysis period for the GRIM.  It is typically 29 years after the compliance year.</t>
  </si>
  <si>
    <t>Stranded Assets</t>
  </si>
  <si>
    <t>In the year the standard becomes effective, the GRIM can include one-time write-off of assets that become obsolete or non-performing due to new and/or amended standards.  Stranded asset details can be found in the “Conversion Costs” tab of the GRIM.</t>
  </si>
  <si>
    <t>GUIDEHOUSE</t>
  </si>
  <si>
    <r>
      <t xml:space="preserve">your work.  </t>
    </r>
    <r>
      <rPr>
        <b/>
        <sz val="12"/>
        <rFont val="Times New Roman"/>
        <family val="1"/>
      </rPr>
      <t xml:space="preserve">In no event will Guidehouse be </t>
    </r>
  </si>
  <si>
    <t>DCF Results</t>
  </si>
  <si>
    <t>Change in Free Cash Flow ($)</t>
  </si>
  <si>
    <t>Preservation of Operating Profit</t>
  </si>
  <si>
    <t>4.  The "Employment" sheet provides the calculations for the impacts on production and non-production employment for the industry analyzed.  After selecting the desired scenario in the "Scenario (INPUT)" sheet, click the red button in the "Employment" sheet to populate the tables and graphs.</t>
  </si>
  <si>
    <t xml:space="preserve">3.  After selecting the desired scenarios, navigate to the "Summary Report" sheet and click on the red button to populate the INPV tables located in that sheet. </t>
  </si>
  <si>
    <t>2.  Use the "Scenario" sheet to choose the desired scenario. Check boxes to select the desired product classes for analysis. Use the drop down menu in cell F5 to examine effects at a particular trial standard level (TSL) for the selected product class(es). Cells F7, F9, and F11 are used to select the markup, shipment, and learning scenarios respectively. Once these scenario selections are made, all of the blue, purple, and green tabs update immediately.</t>
  </si>
  <si>
    <t>Air Cleaners</t>
  </si>
  <si>
    <t>November 2022</t>
  </si>
  <si>
    <t>100-149 PM2.5 CADR</t>
  </si>
  <si>
    <t>150+ PM2.5 CADR</t>
  </si>
  <si>
    <t>EL 4</t>
  </si>
  <si>
    <t>EL 3</t>
  </si>
  <si>
    <t>EL 2</t>
  </si>
  <si>
    <t>CADR/W</t>
  </si>
  <si>
    <t xml:space="preserve">  </t>
  </si>
  <si>
    <t>Preservation of Operating Profit Calibration</t>
  </si>
  <si>
    <t>Check</t>
  </si>
  <si>
    <t>- Annual Testing</t>
  </si>
  <si>
    <t>Ancmt Yr</t>
  </si>
  <si>
    <t>Std Yr</t>
  </si>
  <si>
    <t xml:space="preserve"> </t>
  </si>
  <si>
    <t>Term Yr</t>
  </si>
  <si>
    <t>10 ≤ PM2.5 CADR &lt; 100</t>
  </si>
  <si>
    <t>100 ≤ PM2.5 CADR &lt; 150</t>
  </si>
  <si>
    <t>PM2.5 CADR ≥ 150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</si>
</sst>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_(&quot;$&quot;* #,##0.0_);_(&quot;$&quot;* \(#,##0.0\);_(&quot;$&quot;* &quot;-&quot;??_);_(@_)"/>
    <numFmt numFmtId="166" formatCode="&quot;$&quot;#,##0.0"/>
    <numFmt numFmtId="167" formatCode="&quot;$&quot;#,##0"/>
    <numFmt numFmtId="168" formatCode="0.000"/>
    <numFmt numFmtId="169" formatCode="_(&quot;$&quot;* #,##0_);_(&quot;$&quot;* \(#,##0\);_(&quot;$&quot;* &quot;-&quot;??_);_(@_)"/>
    <numFmt numFmtId="170" formatCode="&quot;$&quot;#,##0.00"/>
    <numFmt numFmtId="171" formatCode="_(* #,##0.000_);_(* \(#,##0.000\);_(* &quot;-&quot;??_);_(@_)"/>
    <numFmt numFmtId="172" formatCode="0_)"/>
    <numFmt numFmtId="173" formatCode="#,##0.0"/>
    <numFmt numFmtId="174" formatCode="0.0"/>
    <numFmt numFmtId="175" formatCode="_(* #,##0_);_(* \(#,##0\);_(* &quot;-&quot;??_);_(@_)"/>
    <numFmt numFmtId="176" formatCode="_(&quot;$&quot;* #,##0.00_);_(&quot;$&quot;* \(#,##0.00\);_(&quot;$&quot;* &quot;-&quot;_);_(@_)"/>
    <numFmt numFmtId="177" formatCode="&quot;$&quot;#,##0.0_);\(&quot;$&quot;#,##0.0\)"/>
    <numFmt numFmtId="178" formatCode="_(&quot;$&quot;* #,##0.0_);_(&quot;$&quot;* \(#,##0.0\);_(&quot;-&quot;??_);_(@_)"/>
    <numFmt numFmtId="179" formatCode="_(&quot;$&quot;* #,##0.00_);_(&quot;$&quot;* \(#,##0.00\);_(&quot;-&quot;??_);_(@_)"/>
    <numFmt numFmtId="180" formatCode="#,##0.000_);\(#,##0.000\)"/>
    <numFmt numFmtId="181" formatCode="_(&quot;$&quot;* #,##0.0_);_(&quot;$&quot;* \(#,##0.0\);_(&quot;$&quot;* &quot;-&quot;_);_(@_)"/>
    <numFmt numFmtId="182" formatCode="0.000000000000000"/>
  </numFmts>
  <fonts count="4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7.5"/>
      <color indexed="12"/>
      <name val="Arial"/>
      <family val="2"/>
    </font>
    <font>
      <sz val="10"/>
      <name val="Times New Roman"/>
      <family val="1"/>
    </font>
    <font>
      <b/>
      <sz val="10"/>
      <name val="Arial"/>
      <family val="2"/>
    </font>
    <font>
      <sz val="10"/>
      <name val="Arial"/>
      <family val="2"/>
    </font>
    <font>
      <sz val="8"/>
      <name val="Arial"/>
      <family val="2"/>
    </font>
    <font>
      <sz val="10"/>
      <name val="Times New Roman"/>
      <family val="1"/>
    </font>
    <font>
      <b/>
      <sz val="12"/>
      <name val="Arial"/>
      <family val="2"/>
    </font>
    <font>
      <sz val="9"/>
      <name val="Arial"/>
      <family val="2"/>
    </font>
    <font>
      <sz val="10"/>
      <color indexed="17"/>
      <name val="Arial"/>
      <family val="2"/>
    </font>
    <font>
      <b/>
      <sz val="10"/>
      <color indexed="9"/>
      <name val="Arial"/>
      <family val="2"/>
    </font>
    <font>
      <b/>
      <sz val="14"/>
      <color indexed="9"/>
      <name val="Arial"/>
      <family val="2"/>
    </font>
    <font>
      <b/>
      <u/>
      <sz val="10"/>
      <color indexed="23"/>
      <name val="Arial"/>
      <family val="2"/>
    </font>
    <font>
      <sz val="10"/>
      <color indexed="12"/>
      <name val="Arial"/>
      <family val="2"/>
    </font>
    <font>
      <b/>
      <u/>
      <sz val="10"/>
      <color indexed="48"/>
      <name val="Arial"/>
      <family val="2"/>
    </font>
    <font>
      <sz val="10"/>
      <color theme="1"/>
      <name val="Times New Roman"/>
      <family val="2"/>
    </font>
    <font>
      <sz val="12"/>
      <name val="Arial"/>
      <family val="2"/>
    </font>
    <font>
      <b/>
      <sz val="12"/>
      <color theme="0"/>
      <name val="Arial"/>
      <family val="2"/>
    </font>
    <font>
      <u/>
      <sz val="10"/>
      <color indexed="12"/>
      <name val="Times New Roman"/>
      <family val="1"/>
    </font>
    <font>
      <sz val="12"/>
      <name val="Times New Roman"/>
      <family val="1"/>
    </font>
    <font>
      <b/>
      <sz val="12"/>
      <color theme="0"/>
      <name val="Times New Roman"/>
      <family val="1"/>
    </font>
    <font>
      <b/>
      <sz val="12"/>
      <name val="Times New Roman"/>
      <family val="1"/>
    </font>
    <font>
      <i/>
      <sz val="12"/>
      <name val="Times New Roman"/>
      <family val="1"/>
    </font>
    <font>
      <b/>
      <i/>
      <sz val="12"/>
      <name val="Times New Roman"/>
      <family val="1"/>
    </font>
    <font>
      <sz val="12"/>
      <color indexed="10"/>
      <name val="Times New Roman"/>
      <family val="1"/>
    </font>
    <font>
      <sz val="12"/>
      <color indexed="56"/>
      <name val="Times New Roman"/>
      <family val="1"/>
    </font>
    <font>
      <b/>
      <sz val="12"/>
      <color rgb="FF2D23F9"/>
      <name val="Times New Roman"/>
      <family val="1"/>
    </font>
    <font>
      <sz val="12"/>
      <color rgb="FF2D23F9"/>
      <name val="Times New Roman"/>
      <family val="1"/>
    </font>
    <font>
      <b/>
      <u/>
      <sz val="12"/>
      <name val="Times New Roman"/>
      <family val="1"/>
    </font>
    <font>
      <sz val="12"/>
      <color indexed="9"/>
      <name val="Times New Roman"/>
      <family val="1"/>
    </font>
    <font>
      <b/>
      <sz val="12"/>
      <color rgb="FFFF0000"/>
      <name val="Times New Roman"/>
      <family val="1"/>
    </font>
    <font>
      <sz val="12"/>
      <color theme="1"/>
      <name val="Times New Roman"/>
      <family val="1"/>
    </font>
    <font>
      <u/>
      <sz val="12"/>
      <name val="Times New Roman"/>
      <family val="1"/>
    </font>
    <font>
      <sz val="12"/>
      <color theme="8" tint="0.79998168889431442"/>
      <name val="Times New Roman"/>
      <family val="1"/>
    </font>
    <font>
      <sz val="12"/>
      <color rgb="FFFF0000"/>
      <name val="Times New Roman"/>
      <family val="1"/>
    </font>
    <font>
      <sz val="12"/>
      <color rgb="FFDBEEF3"/>
      <name val="Times New Roman"/>
      <family val="1"/>
    </font>
    <font>
      <b/>
      <sz val="12"/>
      <color theme="1"/>
      <name val="Times New Roman"/>
      <family val="1"/>
    </font>
    <font>
      <b/>
      <sz val="12"/>
      <color indexed="10"/>
      <name val="Times New Roman"/>
      <family val="1"/>
    </font>
    <font>
      <u/>
      <sz val="11"/>
      <color theme="10"/>
      <name val="Calibri"/>
      <family val="2"/>
      <scheme val="minor"/>
    </font>
    <font>
      <sz val="12"/>
      <color theme="1"/>
      <name val="Calibri"/>
      <family val="2"/>
      <scheme val="minor"/>
    </font>
    <font>
      <sz val="9"/>
      <color indexed="81"/>
      <name val="Tahoma"/>
      <family val="2"/>
    </font>
    <font>
      <b/>
      <sz val="9"/>
      <color indexed="81"/>
      <name val="Tahoma"/>
      <family val="2"/>
    </font>
  </fonts>
  <fills count="40">
    <fill>
      <patternFill patternType="none"/>
    </fill>
    <fill>
      <patternFill patternType="gray125"/>
    </fill>
    <fill>
      <patternFill patternType="solid">
        <fgColor indexed="22"/>
        <bgColor indexed="64"/>
      </patternFill>
    </fill>
    <fill>
      <patternFill patternType="lightUp">
        <fgColor indexed="22"/>
        <bgColor indexed="44"/>
      </patternFill>
    </fill>
    <fill>
      <patternFill patternType="solid">
        <fgColor indexed="42"/>
        <bgColor indexed="22"/>
      </patternFill>
    </fill>
    <fill>
      <patternFill patternType="solid">
        <fgColor indexed="9"/>
        <bgColor indexed="64"/>
      </patternFill>
    </fill>
    <fill>
      <patternFill patternType="solid">
        <fgColor indexed="23"/>
        <bgColor indexed="64"/>
      </patternFill>
    </fill>
    <fill>
      <patternFill patternType="solid">
        <fgColor indexed="43"/>
        <bgColor indexed="64"/>
      </patternFill>
    </fill>
    <fill>
      <patternFill patternType="solid">
        <fgColor indexed="54"/>
        <bgColor indexed="64"/>
      </patternFill>
    </fill>
    <fill>
      <patternFill patternType="lightUp">
        <fgColor indexed="55"/>
        <bgColor indexed="9"/>
      </patternFill>
    </fill>
    <fill>
      <patternFill patternType="lightUp">
        <fgColor indexed="22"/>
        <bgColor indexed="55"/>
      </patternFill>
    </fill>
    <fill>
      <patternFill patternType="lightUp">
        <fgColor indexed="55"/>
        <bgColor indexed="22"/>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5"/>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tint="0.79998168889431442"/>
        <bgColor indexed="64"/>
      </patternFill>
    </fill>
    <fill>
      <patternFill patternType="solid">
        <fgColor theme="8" tint="-0.24994659260841701"/>
        <bgColor indexed="64"/>
      </patternFill>
    </fill>
    <fill>
      <patternFill patternType="solid">
        <fgColor rgb="FFFF0000"/>
        <bgColor indexed="64"/>
      </patternFill>
    </fill>
    <fill>
      <patternFill patternType="solid">
        <fgColor rgb="FFFFFFCC"/>
        <bgColor indexed="64"/>
      </patternFill>
    </fill>
    <fill>
      <patternFill patternType="solid">
        <fgColor theme="6"/>
        <bgColor indexed="64"/>
      </patternFill>
    </fill>
    <fill>
      <patternFill patternType="solid">
        <fgColor theme="5" tint="0.79998168889431442"/>
        <bgColor indexed="64"/>
      </patternFill>
    </fill>
    <fill>
      <patternFill patternType="solid">
        <fgColor rgb="FFDBEEF3"/>
        <bgColor indexed="64"/>
      </patternFill>
    </fill>
    <fill>
      <patternFill patternType="solid">
        <fgColor rgb="FFFFFFFF"/>
        <bgColor rgb="FF000000"/>
      </patternFill>
    </fill>
    <fill>
      <patternFill patternType="solid">
        <fgColor rgb="FFDAEEF3"/>
        <bgColor rgb="FF000000"/>
      </patternFill>
    </fill>
    <fill>
      <patternFill patternType="solid">
        <fgColor rgb="FFD9D9D9"/>
        <bgColor rgb="FF000000"/>
      </patternFill>
    </fill>
  </fills>
  <borders count="70">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bottom/>
      <diagonal/>
    </border>
    <border>
      <left style="medium">
        <color indexed="64"/>
      </left>
      <right style="medium">
        <color indexed="64"/>
      </right>
      <top/>
      <bottom/>
      <diagonal/>
    </border>
    <border>
      <left/>
      <right style="thin">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thick">
        <color theme="5" tint="-0.499984740745262"/>
      </left>
      <right style="thick">
        <color theme="5" tint="-0.499984740745262"/>
      </right>
      <top style="thick">
        <color theme="5" tint="-0.499984740745262"/>
      </top>
      <bottom style="thick">
        <color theme="5" tint="-0.499984740745262"/>
      </bottom>
      <diagonal/>
    </border>
    <border>
      <left style="medium">
        <color indexed="64"/>
      </left>
      <right style="medium">
        <color indexed="64"/>
      </right>
      <top style="medium">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ck">
        <color theme="9" tint="0.39994506668294322"/>
      </left>
      <right style="thick">
        <color theme="9" tint="-0.499984740745262"/>
      </right>
      <top style="thick">
        <color theme="9" tint="0.39994506668294322"/>
      </top>
      <bottom/>
      <diagonal/>
    </border>
    <border>
      <left style="thick">
        <color theme="9" tint="0.39994506668294322"/>
      </left>
      <right style="thick">
        <color theme="9" tint="-0.499984740745262"/>
      </right>
      <top/>
      <bottom style="thick">
        <color theme="9" tint="-0.499984740745262"/>
      </bottom>
      <diagonal/>
    </border>
    <border>
      <left style="thick">
        <color theme="8" tint="0.39994506668294322"/>
      </left>
      <right style="thick">
        <color theme="8" tint="-0.499984740745262"/>
      </right>
      <top style="thick">
        <color theme="8" tint="0.39994506668294322"/>
      </top>
      <bottom/>
      <diagonal/>
    </border>
    <border>
      <left style="thick">
        <color theme="8" tint="0.39994506668294322"/>
      </left>
      <right style="thick">
        <color theme="8" tint="-0.499984740745262"/>
      </right>
      <top/>
      <bottom style="thick">
        <color theme="8" tint="-0.499984740745262"/>
      </bottom>
      <diagonal/>
    </border>
    <border>
      <left style="thick">
        <color theme="7" tint="0.39994506668294322"/>
      </left>
      <right style="thick">
        <color theme="7" tint="-0.499984740745262"/>
      </right>
      <top style="thick">
        <color theme="7" tint="0.39994506668294322"/>
      </top>
      <bottom/>
      <diagonal/>
    </border>
    <border>
      <left style="thick">
        <color theme="7" tint="0.39994506668294322"/>
      </left>
      <right style="thick">
        <color theme="7" tint="-0.499984740745262"/>
      </right>
      <top/>
      <bottom style="thick">
        <color theme="7" tint="-0.499984740745262"/>
      </bottom>
      <diagonal/>
    </border>
    <border>
      <left style="thick">
        <color theme="6" tint="0.39994506668294322"/>
      </left>
      <right style="thick">
        <color theme="6" tint="-0.499984740745262"/>
      </right>
      <top style="thick">
        <color theme="6" tint="0.39994506668294322"/>
      </top>
      <bottom/>
      <diagonal/>
    </border>
    <border>
      <left style="thick">
        <color theme="6" tint="0.39994506668294322"/>
      </left>
      <right style="thick">
        <color theme="6" tint="-0.499984740745262"/>
      </right>
      <top/>
      <bottom style="thick">
        <color theme="6" tint="-0.499984740745262"/>
      </bottom>
      <diagonal/>
    </border>
    <border>
      <left style="thick">
        <color theme="9" tint="0.39994506668294322"/>
      </left>
      <right/>
      <top style="thick">
        <color theme="9" tint="0.39994506668294322"/>
      </top>
      <bottom style="thick">
        <color theme="9" tint="-0.499984740745262"/>
      </bottom>
      <diagonal/>
    </border>
    <border>
      <left/>
      <right style="thick">
        <color theme="9" tint="-0.499984740745262"/>
      </right>
      <top style="thick">
        <color theme="9" tint="0.39994506668294322"/>
      </top>
      <bottom style="thick">
        <color theme="9" tint="-0.499984740745262"/>
      </bottom>
      <diagonal/>
    </border>
    <border>
      <left style="thick">
        <color theme="9" tint="0.39994506668294322"/>
      </left>
      <right style="thick">
        <color theme="9" tint="-0.499984740745262"/>
      </right>
      <top style="thick">
        <color theme="9" tint="0.39994506668294322"/>
      </top>
      <bottom style="thick">
        <color theme="9" tint="-0.499984740745262"/>
      </bottom>
      <diagonal/>
    </border>
    <border>
      <left style="thick">
        <color theme="8" tint="0.39994506668294322"/>
      </left>
      <right style="thick">
        <color theme="8" tint="-0.499984740745262"/>
      </right>
      <top style="thick">
        <color theme="8" tint="0.39994506668294322"/>
      </top>
      <bottom style="thick">
        <color theme="8" tint="-0.499984740745262"/>
      </bottom>
      <diagonal/>
    </border>
    <border>
      <left style="thick">
        <color theme="6" tint="0.39994506668294322"/>
      </left>
      <right style="thick">
        <color theme="6" tint="-0.499984740745262"/>
      </right>
      <top style="thick">
        <color theme="6" tint="0.39994506668294322"/>
      </top>
      <bottom style="thick">
        <color theme="6" tint="-0.499984740745262"/>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ck">
        <color theme="5" tint="0.79998168889431442"/>
      </left>
      <right style="thick">
        <color theme="5"/>
      </right>
      <top style="thick">
        <color theme="5" tint="0.79998168889431442"/>
      </top>
      <bottom/>
      <diagonal/>
    </border>
    <border>
      <left style="thick">
        <color theme="5" tint="0.79998168889431442"/>
      </left>
      <right style="thick">
        <color theme="5"/>
      </right>
      <top/>
      <bottom style="thick">
        <color theme="5"/>
      </bottom>
      <diagonal/>
    </border>
    <border>
      <left style="thick">
        <color theme="5" tint="0.79995117038483843"/>
      </left>
      <right style="thick">
        <color theme="5"/>
      </right>
      <top style="thick">
        <color theme="5" tint="0.79995117038483843"/>
      </top>
      <bottom/>
      <diagonal/>
    </border>
    <border>
      <left style="thick">
        <color theme="5" tint="0.79995117038483843"/>
      </left>
      <right style="thick">
        <color theme="5"/>
      </right>
      <top/>
      <bottom style="thick">
        <color theme="5"/>
      </bottom>
      <diagonal/>
    </border>
    <border>
      <left style="medium">
        <color indexed="64"/>
      </left>
      <right style="medium">
        <color indexed="64"/>
      </right>
      <top style="thin">
        <color indexed="64"/>
      </top>
      <bottom/>
      <diagonal/>
    </border>
  </borders>
  <cellStyleXfs count="74">
    <xf numFmtId="0" fontId="0" fillId="0" borderId="0"/>
    <xf numFmtId="0" fontId="18" fillId="2" borderId="0"/>
    <xf numFmtId="174" fontId="10" fillId="3" borderId="1" applyNumberFormat="0" applyBorder="0" applyProtection="0">
      <alignment horizontal="center"/>
    </xf>
    <xf numFmtId="43" fontId="6" fillId="0" borderId="0" applyFont="0" applyFill="0" applyBorder="0" applyAlignment="0" applyProtection="0"/>
    <xf numFmtId="7" fontId="10" fillId="4" borderId="1" applyBorder="0" applyProtection="0">
      <alignment horizontal="center" vertical="center"/>
    </xf>
    <xf numFmtId="2" fontId="10" fillId="5" borderId="0" applyNumberFormat="0">
      <alignment horizontal="center"/>
    </xf>
    <xf numFmtId="2" fontId="19" fillId="5" borderId="0">
      <alignment horizontal="center"/>
    </xf>
    <xf numFmtId="0" fontId="16" fillId="6" borderId="0">
      <alignment horizontal="centerContinuous"/>
    </xf>
    <xf numFmtId="0" fontId="17" fillId="6" borderId="0">
      <alignment horizontal="centerContinuous"/>
    </xf>
    <xf numFmtId="0" fontId="10" fillId="7" borderId="0">
      <alignment vertical="top" wrapText="1"/>
    </xf>
    <xf numFmtId="0" fontId="16" fillId="8" borderId="2">
      <alignment horizontal="center"/>
      <protection locked="0"/>
    </xf>
    <xf numFmtId="0" fontId="20" fillId="2" borderId="0" applyFill="0" applyBorder="0"/>
    <xf numFmtId="170" fontId="15" fillId="5" borderId="0">
      <alignment horizontal="center"/>
    </xf>
    <xf numFmtId="174" fontId="10" fillId="9" borderId="0">
      <alignment horizontal="center"/>
    </xf>
    <xf numFmtId="44" fontId="6" fillId="0" borderId="0" applyFont="0" applyFill="0" applyBorder="0" applyAlignment="0" applyProtection="0"/>
    <xf numFmtId="0" fontId="10" fillId="10" borderId="2">
      <alignment horizontal="center"/>
    </xf>
    <xf numFmtId="0" fontId="16" fillId="6" borderId="0"/>
    <xf numFmtId="0" fontId="7" fillId="0" borderId="0" applyNumberFormat="0" applyFill="0" applyBorder="0" applyAlignment="0" applyProtection="0">
      <alignment vertical="top"/>
      <protection locked="0"/>
    </xf>
    <xf numFmtId="0" fontId="12" fillId="0" borderId="0"/>
    <xf numFmtId="1" fontId="9" fillId="11" borderId="1" applyNumberFormat="0" applyBorder="0">
      <alignment horizontal="center" vertical="center"/>
      <protection locked="0"/>
    </xf>
    <xf numFmtId="9" fontId="6" fillId="0" borderId="0" applyFont="0" applyFill="0" applyBorder="0" applyAlignment="0" applyProtection="0"/>
    <xf numFmtId="0" fontId="6" fillId="0" borderId="0"/>
    <xf numFmtId="4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21" fillId="0" borderId="0"/>
    <xf numFmtId="0" fontId="6" fillId="0" borderId="0"/>
    <xf numFmtId="0" fontId="14" fillId="0" borderId="0"/>
    <xf numFmtId="174" fontId="6" fillId="3" borderId="1" applyNumberFormat="0" applyBorder="0" applyProtection="0">
      <alignment horizontal="center"/>
    </xf>
    <xf numFmtId="7" fontId="6" fillId="4" borderId="1" applyBorder="0" applyProtection="0">
      <alignment horizontal="center" vertical="center"/>
    </xf>
    <xf numFmtId="2" fontId="6" fillId="5" borderId="0" applyNumberFormat="0">
      <alignment horizontal="center"/>
    </xf>
    <xf numFmtId="0" fontId="6" fillId="7" borderId="0">
      <alignment vertical="top" wrapText="1"/>
    </xf>
    <xf numFmtId="174" fontId="6" fillId="9" borderId="0">
      <alignment horizontal="center"/>
    </xf>
    <xf numFmtId="0" fontId="6" fillId="10" borderId="2">
      <alignment horizontal="center"/>
    </xf>
    <xf numFmtId="0" fontId="5" fillId="0" borderId="0"/>
    <xf numFmtId="0" fontId="8" fillId="0" borderId="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4" fontId="6" fillId="0" borderId="0" applyFont="0" applyFill="0" applyBorder="0" applyAlignment="0" applyProtection="0"/>
    <xf numFmtId="0" fontId="24" fillId="0" borderId="0" applyNumberFormat="0" applyFill="0" applyBorder="0" applyAlignment="0" applyProtection="0">
      <alignment vertical="top"/>
      <protection locked="0"/>
    </xf>
    <xf numFmtId="0" fontId="6" fillId="0" borderId="0"/>
    <xf numFmtId="9" fontId="8"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21" fillId="0" borderId="0"/>
    <xf numFmtId="0" fontId="4" fillId="0" borderId="0"/>
    <xf numFmtId="0" fontId="3" fillId="0" borderId="0"/>
    <xf numFmtId="0" fontId="3" fillId="0" borderId="0"/>
    <xf numFmtId="0" fontId="3" fillId="0" borderId="0"/>
    <xf numFmtId="44" fontId="3" fillId="0" borderId="0" applyFont="0" applyFill="0" applyBorder="0" applyAlignment="0" applyProtection="0"/>
    <xf numFmtId="0" fontId="6" fillId="0" borderId="0"/>
    <xf numFmtId="9" fontId="3" fillId="0" borderId="0" applyFont="0" applyFill="0" applyBorder="0" applyAlignment="0" applyProtection="0"/>
    <xf numFmtId="0" fontId="44" fillId="0" borderId="0" applyNumberFormat="0" applyFill="0" applyBorder="0" applyAlignment="0" applyProtection="0"/>
    <xf numFmtId="0" fontId="3" fillId="0" borderId="0"/>
    <xf numFmtId="0" fontId="3" fillId="0" borderId="0"/>
    <xf numFmtId="0" fontId="3" fillId="0" borderId="0"/>
    <xf numFmtId="0" fontId="3" fillId="0" borderId="0"/>
    <xf numFmtId="0" fontId="4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1" fillId="0" borderId="0"/>
  </cellStyleXfs>
  <cellXfs count="823">
    <xf numFmtId="0" fontId="0" fillId="0" borderId="0" xfId="0"/>
    <xf numFmtId="0" fontId="23" fillId="28" borderId="49" xfId="17" applyFont="1" applyFill="1" applyBorder="1" applyAlignment="1" applyProtection="1">
      <alignment horizontal="center" vertical="center" wrapText="1"/>
    </xf>
    <xf numFmtId="0" fontId="23" fillId="31" borderId="50" xfId="17" applyFont="1" applyFill="1" applyBorder="1" applyAlignment="1" applyProtection="1">
      <alignment horizontal="center" vertical="center"/>
    </xf>
    <xf numFmtId="0" fontId="23" fillId="34" borderId="51" xfId="17" applyFont="1" applyFill="1" applyBorder="1" applyAlignment="1" applyProtection="1">
      <alignment horizontal="center" vertical="center" wrapText="1"/>
    </xf>
    <xf numFmtId="0" fontId="25" fillId="16" borderId="0" xfId="0" applyFont="1" applyFill="1" applyBorder="1"/>
    <xf numFmtId="173" fontId="25" fillId="16" borderId="0" xfId="0" applyNumberFormat="1" applyFont="1" applyFill="1" applyBorder="1" applyAlignment="1"/>
    <xf numFmtId="0" fontId="25" fillId="0" borderId="0" xfId="0" applyFont="1"/>
    <xf numFmtId="0" fontId="25" fillId="16" borderId="0" xfId="0" applyFont="1" applyFill="1" applyBorder="1" applyAlignment="1"/>
    <xf numFmtId="0" fontId="26" fillId="31" borderId="50" xfId="17" applyFont="1" applyFill="1" applyBorder="1" applyAlignment="1" applyProtection="1">
      <alignment horizontal="center" vertical="center"/>
    </xf>
    <xf numFmtId="0" fontId="27" fillId="14" borderId="18" xfId="0" applyFont="1" applyFill="1" applyBorder="1" applyAlignment="1">
      <alignment horizontal="center" vertical="center"/>
    </xf>
    <xf numFmtId="0" fontId="26" fillId="28" borderId="49" xfId="17" applyFont="1" applyFill="1" applyBorder="1" applyAlignment="1" applyProtection="1">
      <alignment horizontal="center" vertical="center" wrapText="1"/>
    </xf>
    <xf numFmtId="0" fontId="27" fillId="16" borderId="0" xfId="0" applyFont="1" applyFill="1" applyBorder="1" applyAlignment="1">
      <alignment vertical="center"/>
    </xf>
    <xf numFmtId="0" fontId="25" fillId="23" borderId="7" xfId="0" applyFont="1" applyFill="1" applyBorder="1" applyAlignment="1"/>
    <xf numFmtId="0" fontId="25" fillId="23" borderId="8" xfId="0" applyFont="1" applyFill="1" applyBorder="1" applyAlignment="1"/>
    <xf numFmtId="0" fontId="25" fillId="23" borderId="9" xfId="0" applyFont="1" applyFill="1" applyBorder="1" applyAlignment="1"/>
    <xf numFmtId="0" fontId="25" fillId="23" borderId="0" xfId="0" applyFont="1" applyFill="1" applyBorder="1" applyAlignment="1"/>
    <xf numFmtId="0" fontId="28" fillId="16" borderId="0" xfId="0" applyFont="1" applyFill="1" applyBorder="1"/>
    <xf numFmtId="174" fontId="25" fillId="12" borderId="14" xfId="0" applyNumberFormat="1" applyFont="1" applyFill="1" applyBorder="1" applyAlignment="1">
      <alignment horizontal="center"/>
    </xf>
    <xf numFmtId="0" fontId="25" fillId="17" borderId="0" xfId="0" applyFont="1" applyFill="1"/>
    <xf numFmtId="0" fontId="27" fillId="20" borderId="3" xfId="0" applyFont="1" applyFill="1" applyBorder="1" applyAlignment="1">
      <alignment horizontal="centerContinuous" vertical="center"/>
    </xf>
    <xf numFmtId="0" fontId="27" fillId="20" borderId="5" xfId="0" applyFont="1" applyFill="1" applyBorder="1" applyAlignment="1">
      <alignment horizontal="centerContinuous" vertical="center"/>
    </xf>
    <xf numFmtId="0" fontId="25" fillId="16" borderId="0" xfId="0" applyFont="1" applyFill="1"/>
    <xf numFmtId="0" fontId="25" fillId="20" borderId="7" xfId="0" applyFont="1" applyFill="1" applyBorder="1" applyAlignment="1"/>
    <xf numFmtId="0" fontId="25" fillId="20" borderId="8" xfId="0" applyFont="1" applyFill="1" applyBorder="1" applyAlignment="1"/>
    <xf numFmtId="0" fontId="25" fillId="20" borderId="8" xfId="0" applyFont="1" applyFill="1" applyBorder="1"/>
    <xf numFmtId="0" fontId="25" fillId="20" borderId="9" xfId="0" applyFont="1" applyFill="1" applyBorder="1"/>
    <xf numFmtId="0" fontId="25" fillId="20" borderId="13" xfId="0" applyFont="1" applyFill="1" applyBorder="1"/>
    <xf numFmtId="0" fontId="25" fillId="12" borderId="27" xfId="0" applyFont="1" applyFill="1" applyBorder="1"/>
    <xf numFmtId="0" fontId="25" fillId="12" borderId="17" xfId="0" applyFont="1" applyFill="1" applyBorder="1"/>
    <xf numFmtId="0" fontId="25" fillId="12" borderId="28" xfId="0" applyFont="1" applyFill="1" applyBorder="1"/>
    <xf numFmtId="0" fontId="30" fillId="20" borderId="10" xfId="0" applyFont="1" applyFill="1" applyBorder="1"/>
    <xf numFmtId="0" fontId="31" fillId="12" borderId="20" xfId="0" applyFont="1" applyFill="1" applyBorder="1" applyAlignment="1">
      <alignment horizontal="left" indent="1"/>
    </xf>
    <xf numFmtId="0" fontId="31" fillId="12" borderId="0" xfId="0" applyFont="1" applyFill="1" applyBorder="1" applyAlignment="1">
      <alignment horizontal="left" indent="1"/>
    </xf>
    <xf numFmtId="0" fontId="31" fillId="12" borderId="0" xfId="0" applyFont="1" applyFill="1" applyBorder="1"/>
    <xf numFmtId="0" fontId="25" fillId="12" borderId="0" xfId="0" applyFont="1" applyFill="1" applyBorder="1"/>
    <xf numFmtId="0" fontId="27" fillId="12" borderId="0" xfId="0" applyFont="1" applyFill="1" applyBorder="1"/>
    <xf numFmtId="0" fontId="30" fillId="12" borderId="22" xfId="0" applyFont="1" applyFill="1" applyBorder="1"/>
    <xf numFmtId="0" fontId="25" fillId="12" borderId="20" xfId="0" applyFont="1" applyFill="1" applyBorder="1" applyAlignment="1">
      <alignment horizontal="left" indent="1"/>
    </xf>
    <xf numFmtId="0" fontId="25" fillId="12" borderId="0" xfId="0" applyFont="1" applyFill="1" applyBorder="1" applyAlignment="1">
      <alignment horizontal="left" indent="1"/>
    </xf>
    <xf numFmtId="0" fontId="25" fillId="12" borderId="0" xfId="0" applyFont="1" applyFill="1" applyBorder="1" applyAlignment="1">
      <alignment horizontal="left"/>
    </xf>
    <xf numFmtId="0" fontId="25" fillId="20" borderId="10" xfId="0" applyFont="1" applyFill="1" applyBorder="1"/>
    <xf numFmtId="0" fontId="25" fillId="12" borderId="20" xfId="0" applyFont="1" applyFill="1" applyBorder="1" applyAlignment="1"/>
    <xf numFmtId="0" fontId="25" fillId="12" borderId="22" xfId="0" applyFont="1" applyFill="1" applyBorder="1"/>
    <xf numFmtId="0" fontId="32" fillId="12" borderId="20" xfId="0" applyFont="1" applyFill="1" applyBorder="1" applyAlignment="1">
      <alignment horizontal="left" indent="1"/>
    </xf>
    <xf numFmtId="0" fontId="33" fillId="12" borderId="0" xfId="0" applyFont="1" applyFill="1" applyBorder="1" applyAlignment="1"/>
    <xf numFmtId="49" fontId="32" fillId="12" borderId="0" xfId="0" applyNumberFormat="1" applyFont="1" applyFill="1" applyBorder="1" applyAlignment="1"/>
    <xf numFmtId="49" fontId="33" fillId="12" borderId="0" xfId="0" applyNumberFormat="1" applyFont="1" applyFill="1" applyBorder="1" applyAlignment="1"/>
    <xf numFmtId="0" fontId="25" fillId="12" borderId="0" xfId="0" applyFont="1" applyFill="1" applyBorder="1" applyAlignment="1"/>
    <xf numFmtId="0" fontId="25" fillId="12" borderId="22" xfId="0" applyFont="1" applyFill="1" applyBorder="1" applyAlignment="1"/>
    <xf numFmtId="0" fontId="25" fillId="20" borderId="10" xfId="0" applyFont="1" applyFill="1" applyBorder="1" applyAlignment="1"/>
    <xf numFmtId="0" fontId="25" fillId="17" borderId="0" xfId="0" applyFont="1" applyFill="1" applyBorder="1" applyAlignment="1"/>
    <xf numFmtId="0" fontId="25" fillId="12" borderId="20" xfId="0" quotePrefix="1" applyFont="1" applyFill="1" applyBorder="1" applyAlignment="1">
      <alignment horizontal="left" indent="1"/>
    </xf>
    <xf numFmtId="0" fontId="25" fillId="12" borderId="0" xfId="0" quotePrefix="1" applyFont="1" applyFill="1" applyBorder="1" applyAlignment="1"/>
    <xf numFmtId="0" fontId="27" fillId="12" borderId="20" xfId="0" applyFont="1" applyFill="1" applyBorder="1" applyAlignment="1">
      <alignment horizontal="left" indent="1"/>
    </xf>
    <xf numFmtId="0" fontId="27" fillId="12" borderId="20" xfId="0" quotePrefix="1" applyFont="1" applyFill="1" applyBorder="1" applyAlignment="1">
      <alignment horizontal="left" indent="1"/>
    </xf>
    <xf numFmtId="0" fontId="25" fillId="12" borderId="25" xfId="0" applyFont="1" applyFill="1" applyBorder="1" applyAlignment="1"/>
    <xf numFmtId="0" fontId="25" fillId="12" borderId="24" xfId="0" applyFont="1" applyFill="1" applyBorder="1" applyAlignment="1"/>
    <xf numFmtId="0" fontId="25" fillId="12" borderId="24" xfId="0" applyFont="1" applyFill="1" applyBorder="1"/>
    <xf numFmtId="0" fontId="25" fillId="12" borderId="26" xfId="0" applyFont="1" applyFill="1" applyBorder="1"/>
    <xf numFmtId="0" fontId="25" fillId="20" borderId="11" xfId="0" applyFont="1" applyFill="1" applyBorder="1" applyAlignment="1"/>
    <xf numFmtId="0" fontId="25" fillId="20" borderId="6" xfId="0" applyFont="1" applyFill="1" applyBorder="1" applyAlignment="1"/>
    <xf numFmtId="0" fontId="25" fillId="20" borderId="6" xfId="0" applyFont="1" applyFill="1" applyBorder="1"/>
    <xf numFmtId="0" fontId="25" fillId="20" borderId="12" xfId="0" applyFont="1" applyFill="1" applyBorder="1"/>
    <xf numFmtId="0" fontId="27" fillId="14" borderId="3" xfId="0" applyFont="1" applyFill="1" applyBorder="1" applyAlignment="1">
      <alignment horizontal="centerContinuous" vertical="center"/>
    </xf>
    <xf numFmtId="0" fontId="27" fillId="14" borderId="5" xfId="0" applyFont="1" applyFill="1" applyBorder="1" applyAlignment="1">
      <alignment horizontal="centerContinuous" vertical="center"/>
    </xf>
    <xf numFmtId="0" fontId="25" fillId="16" borderId="0" xfId="0" applyFont="1" applyFill="1" applyBorder="1" applyAlignment="1">
      <alignment vertical="center"/>
    </xf>
    <xf numFmtId="0" fontId="25" fillId="23" borderId="8" xfId="0" applyFont="1" applyFill="1" applyBorder="1" applyAlignment="1" applyProtection="1"/>
    <xf numFmtId="0" fontId="25" fillId="16" borderId="0" xfId="0" applyFont="1" applyFill="1" applyBorder="1" applyAlignment="1">
      <alignment wrapText="1"/>
    </xf>
    <xf numFmtId="0" fontId="25" fillId="23" borderId="13" xfId="0" applyFont="1" applyFill="1" applyBorder="1" applyAlignment="1"/>
    <xf numFmtId="0" fontId="25" fillId="23" borderId="0" xfId="0" applyFont="1" applyFill="1" applyBorder="1" applyAlignment="1" applyProtection="1"/>
    <xf numFmtId="0" fontId="27" fillId="23" borderId="0" xfId="0" quotePrefix="1" applyFont="1" applyFill="1" applyBorder="1" applyAlignment="1" applyProtection="1">
      <alignment horizontal="center" wrapText="1"/>
    </xf>
    <xf numFmtId="0" fontId="25" fillId="23" borderId="10" xfId="0" applyFont="1" applyFill="1" applyBorder="1" applyAlignment="1"/>
    <xf numFmtId="0" fontId="25" fillId="16" borderId="0" xfId="0" applyFont="1" applyFill="1" applyBorder="1" applyAlignment="1">
      <alignment vertical="center" wrapText="1"/>
    </xf>
    <xf numFmtId="0" fontId="25" fillId="23" borderId="13" xfId="0" applyFont="1" applyFill="1" applyBorder="1" applyAlignment="1" applyProtection="1"/>
    <xf numFmtId="0" fontId="34" fillId="23" borderId="0" xfId="0" applyFont="1" applyFill="1" applyBorder="1" applyAlignment="1">
      <alignment horizontal="centerContinuous" vertical="center"/>
    </xf>
    <xf numFmtId="0" fontId="25" fillId="23" borderId="0" xfId="0" applyFont="1" applyFill="1" applyBorder="1" applyAlignment="1" applyProtection="1">
      <alignment vertical="center"/>
    </xf>
    <xf numFmtId="0" fontId="27" fillId="23" borderId="0" xfId="0" applyFont="1" applyFill="1" applyBorder="1" applyAlignment="1" applyProtection="1">
      <alignment horizontal="center" vertical="center"/>
    </xf>
    <xf numFmtId="165" fontId="25" fillId="12" borderId="27" xfId="14" applyNumberFormat="1" applyFont="1" applyFill="1" applyBorder="1" applyAlignment="1" applyProtection="1">
      <alignment vertical="center"/>
    </xf>
    <xf numFmtId="165" fontId="25" fillId="12" borderId="17" xfId="14" applyNumberFormat="1" applyFont="1" applyFill="1" applyBorder="1" applyAlignment="1" applyProtection="1">
      <alignment vertical="center"/>
    </xf>
    <xf numFmtId="165" fontId="25" fillId="12" borderId="28" xfId="14" applyNumberFormat="1" applyFont="1" applyFill="1" applyBorder="1" applyAlignment="1" applyProtection="1">
      <alignment vertical="center"/>
    </xf>
    <xf numFmtId="168" fontId="25" fillId="12" borderId="20" xfId="14" applyNumberFormat="1" applyFont="1" applyFill="1" applyBorder="1" applyAlignment="1" applyProtection="1">
      <alignment vertical="center"/>
    </xf>
    <xf numFmtId="168" fontId="25" fillId="12" borderId="0" xfId="14" applyNumberFormat="1" applyFont="1" applyFill="1" applyBorder="1" applyAlignment="1" applyProtection="1">
      <alignment vertical="center"/>
    </xf>
    <xf numFmtId="168" fontId="25" fillId="12" borderId="22" xfId="14" applyNumberFormat="1" applyFont="1" applyFill="1" applyBorder="1" applyAlignment="1" applyProtection="1">
      <alignment vertical="center"/>
    </xf>
    <xf numFmtId="0" fontId="25" fillId="23" borderId="0" xfId="0" quotePrefix="1" applyFont="1" applyFill="1" applyBorder="1" applyAlignment="1" applyProtection="1">
      <alignment horizontal="left" vertical="center" indent="1"/>
    </xf>
    <xf numFmtId="164" fontId="25" fillId="23" borderId="0" xfId="20" applyNumberFormat="1" applyFont="1" applyFill="1" applyBorder="1" applyAlignment="1" applyProtection="1">
      <alignment vertical="center"/>
    </xf>
    <xf numFmtId="165" fontId="25" fillId="12" borderId="20" xfId="14" applyNumberFormat="1" applyFont="1" applyFill="1" applyBorder="1" applyAlignment="1" applyProtection="1">
      <alignment vertical="center"/>
    </xf>
    <xf numFmtId="165" fontId="25" fillId="12" borderId="0" xfId="14" applyNumberFormat="1" applyFont="1" applyFill="1" applyBorder="1" applyAlignment="1" applyProtection="1">
      <alignment vertical="center"/>
    </xf>
    <xf numFmtId="165" fontId="25" fillId="12" borderId="22" xfId="14" applyNumberFormat="1" applyFont="1" applyFill="1" applyBorder="1" applyAlignment="1" applyProtection="1">
      <alignment vertical="center"/>
    </xf>
    <xf numFmtId="0" fontId="25" fillId="23" borderId="24" xfId="0" quotePrefix="1" applyFont="1" applyFill="1" applyBorder="1" applyAlignment="1" applyProtection="1">
      <alignment horizontal="left" vertical="center" indent="1"/>
    </xf>
    <xf numFmtId="0" fontId="25" fillId="23" borderId="24" xfId="0" applyFont="1" applyFill="1" applyBorder="1" applyAlignment="1" applyProtection="1">
      <alignment vertical="center"/>
    </xf>
    <xf numFmtId="165" fontId="25" fillId="12" borderId="25" xfId="14" applyNumberFormat="1" applyFont="1" applyFill="1" applyBorder="1" applyAlignment="1" applyProtection="1">
      <alignment vertical="center"/>
    </xf>
    <xf numFmtId="165" fontId="25" fillId="12" borderId="24" xfId="14" applyNumberFormat="1" applyFont="1" applyFill="1" applyBorder="1" applyAlignment="1" applyProtection="1">
      <alignment vertical="center"/>
    </xf>
    <xf numFmtId="165" fontId="25" fillId="12" borderId="26" xfId="14" applyNumberFormat="1" applyFont="1" applyFill="1" applyBorder="1" applyAlignment="1" applyProtection="1">
      <alignment vertical="center"/>
    </xf>
    <xf numFmtId="0" fontId="25" fillId="23" borderId="0" xfId="0" applyFont="1" applyFill="1" applyBorder="1" applyAlignment="1" applyProtection="1">
      <alignment horizontal="left" vertical="center"/>
    </xf>
    <xf numFmtId="44" fontId="25" fillId="12" borderId="20" xfId="14" applyNumberFormat="1" applyFont="1" applyFill="1" applyBorder="1" applyAlignment="1" applyProtection="1">
      <alignment vertical="center"/>
    </xf>
    <xf numFmtId="44" fontId="25" fillId="12" borderId="0" xfId="14" applyNumberFormat="1" applyFont="1" applyFill="1" applyBorder="1" applyAlignment="1" applyProtection="1">
      <alignment vertical="center"/>
    </xf>
    <xf numFmtId="44" fontId="25" fillId="12" borderId="22" xfId="14" applyNumberFormat="1" applyFont="1" applyFill="1" applyBorder="1" applyAlignment="1" applyProtection="1">
      <alignment vertical="center"/>
    </xf>
    <xf numFmtId="0" fontId="28" fillId="23" borderId="0" xfId="0" applyFont="1" applyFill="1" applyBorder="1" applyAlignment="1" applyProtection="1">
      <alignment horizontal="left" vertical="center"/>
    </xf>
    <xf numFmtId="0" fontId="28" fillId="23" borderId="0" xfId="0" applyFont="1" applyFill="1" applyBorder="1" applyAlignment="1" applyProtection="1">
      <alignment vertical="center"/>
    </xf>
    <xf numFmtId="164" fontId="28" fillId="12" borderId="20" xfId="20" applyNumberFormat="1" applyFont="1" applyFill="1" applyBorder="1" applyAlignment="1" applyProtection="1">
      <alignment vertical="center"/>
    </xf>
    <xf numFmtId="164" fontId="28" fillId="12" borderId="0" xfId="20" applyNumberFormat="1" applyFont="1" applyFill="1" applyBorder="1" applyAlignment="1" applyProtection="1">
      <alignment vertical="center"/>
    </xf>
    <xf numFmtId="164" fontId="28" fillId="12" borderId="22" xfId="20" applyNumberFormat="1" applyFont="1" applyFill="1" applyBorder="1" applyAlignment="1" applyProtection="1">
      <alignment vertical="center"/>
    </xf>
    <xf numFmtId="0" fontId="25" fillId="23" borderId="34" xfId="0" quotePrefix="1" applyFont="1" applyFill="1" applyBorder="1" applyAlignment="1" applyProtection="1">
      <alignment horizontal="left" vertical="center"/>
    </xf>
    <xf numFmtId="0" fontId="25" fillId="23" borderId="34" xfId="0" applyFont="1" applyFill="1" applyBorder="1" applyAlignment="1" applyProtection="1">
      <alignment vertical="center"/>
    </xf>
    <xf numFmtId="165" fontId="25" fillId="12" borderId="35" xfId="14" applyNumberFormat="1" applyFont="1" applyFill="1" applyBorder="1" applyAlignment="1" applyProtection="1">
      <alignment vertical="center"/>
    </xf>
    <xf numFmtId="165" fontId="25" fillId="12" borderId="34" xfId="14" applyNumberFormat="1" applyFont="1" applyFill="1" applyBorder="1" applyAlignment="1" applyProtection="1">
      <alignment vertical="center"/>
    </xf>
    <xf numFmtId="165" fontId="25" fillId="12" borderId="36" xfId="14" applyNumberFormat="1" applyFont="1" applyFill="1" applyBorder="1" applyAlignment="1" applyProtection="1">
      <alignment vertical="center"/>
    </xf>
    <xf numFmtId="0" fontId="27" fillId="23" borderId="0" xfId="0" applyFont="1" applyFill="1" applyBorder="1" applyAlignment="1" applyProtection="1">
      <alignment vertical="center"/>
    </xf>
    <xf numFmtId="165" fontId="27" fillId="12" borderId="25" xfId="14" applyNumberFormat="1" applyFont="1" applyFill="1" applyBorder="1" applyAlignment="1" applyProtection="1">
      <alignment vertical="center"/>
    </xf>
    <xf numFmtId="165" fontId="27" fillId="12" borderId="24" xfId="14" applyNumberFormat="1" applyFont="1" applyFill="1" applyBorder="1" applyAlignment="1" applyProtection="1">
      <alignment vertical="center"/>
    </xf>
    <xf numFmtId="165" fontId="27" fillId="12" borderId="26" xfId="14" applyNumberFormat="1" applyFont="1" applyFill="1" applyBorder="1" applyAlignment="1" applyProtection="1">
      <alignment vertical="center"/>
    </xf>
    <xf numFmtId="165" fontId="25" fillId="23" borderId="0" xfId="14" applyNumberFormat="1" applyFont="1" applyFill="1" applyBorder="1" applyAlignment="1" applyProtection="1"/>
    <xf numFmtId="169" fontId="25" fillId="23" borderId="0" xfId="14" applyNumberFormat="1" applyFont="1" applyFill="1" applyBorder="1" applyAlignment="1" applyProtection="1"/>
    <xf numFmtId="0" fontId="34" fillId="23" borderId="0" xfId="0" applyFont="1" applyFill="1" applyBorder="1" applyAlignment="1" applyProtection="1">
      <alignment horizontal="centerContinuous" vertical="center"/>
    </xf>
    <xf numFmtId="0" fontId="25" fillId="23" borderId="0" xfId="0" applyFont="1" applyFill="1" applyBorder="1" applyAlignment="1" applyProtection="1">
      <alignment horizontal="centerContinuous"/>
    </xf>
    <xf numFmtId="0" fontId="35" fillId="23" borderId="24" xfId="0" applyFont="1" applyFill="1" applyBorder="1" applyAlignment="1" applyProtection="1">
      <alignment vertical="center"/>
    </xf>
    <xf numFmtId="0" fontId="35" fillId="23" borderId="0" xfId="0" applyFont="1" applyFill="1" applyBorder="1" applyAlignment="1" applyProtection="1">
      <alignment vertical="center"/>
    </xf>
    <xf numFmtId="0" fontId="25" fillId="23" borderId="34" xfId="0" quotePrefix="1" applyFont="1" applyFill="1" applyBorder="1" applyAlignment="1" applyProtection="1">
      <alignment horizontal="left" vertical="center" indent="1"/>
    </xf>
    <xf numFmtId="0" fontId="34" fillId="23" borderId="0" xfId="0" applyFont="1" applyFill="1" applyBorder="1" applyAlignment="1" applyProtection="1">
      <alignment horizontal="center" vertical="center"/>
    </xf>
    <xf numFmtId="0" fontId="28" fillId="23" borderId="0" xfId="0" quotePrefix="1" applyFont="1" applyFill="1" applyBorder="1" applyAlignment="1" applyProtection="1">
      <alignment horizontal="left" vertical="center"/>
    </xf>
    <xf numFmtId="168" fontId="28" fillId="12" borderId="37" xfId="14" applyNumberFormat="1" applyFont="1" applyFill="1" applyBorder="1" applyAlignment="1" applyProtection="1">
      <alignment horizontal="right" vertical="center"/>
    </xf>
    <xf numFmtId="168" fontId="28" fillId="12" borderId="31" xfId="14" applyNumberFormat="1" applyFont="1" applyFill="1" applyBorder="1" applyAlignment="1" applyProtection="1">
      <alignment horizontal="right" vertical="center"/>
    </xf>
    <xf numFmtId="168" fontId="28" fillId="12" borderId="38" xfId="14" applyNumberFormat="1" applyFont="1" applyFill="1" applyBorder="1" applyAlignment="1" applyProtection="1">
      <alignment horizontal="right" vertical="center"/>
    </xf>
    <xf numFmtId="0" fontId="27" fillId="13" borderId="3" xfId="0" applyFont="1" applyFill="1" applyBorder="1" applyAlignment="1" applyProtection="1">
      <alignment horizontal="center" vertical="center"/>
    </xf>
    <xf numFmtId="165" fontId="27" fillId="13" borderId="5" xfId="14" applyNumberFormat="1" applyFont="1" applyFill="1" applyBorder="1" applyAlignment="1" applyProtection="1">
      <alignment horizontal="center" vertical="center"/>
    </xf>
    <xf numFmtId="169" fontId="27" fillId="23" borderId="0" xfId="14" applyNumberFormat="1" applyFont="1" applyFill="1" applyBorder="1" applyAlignment="1" applyProtection="1">
      <alignment vertical="center"/>
    </xf>
    <xf numFmtId="165" fontId="27" fillId="23" borderId="0" xfId="14" applyNumberFormat="1" applyFont="1" applyFill="1" applyBorder="1" applyAlignment="1" applyProtection="1">
      <alignment vertical="center"/>
    </xf>
    <xf numFmtId="164" fontId="25" fillId="12" borderId="25" xfId="20" applyNumberFormat="1" applyFont="1" applyFill="1" applyBorder="1" applyAlignment="1" applyProtection="1">
      <alignment vertical="center"/>
    </xf>
    <xf numFmtId="164" fontId="25" fillId="12" borderId="24" xfId="20" applyNumberFormat="1" applyFont="1" applyFill="1" applyBorder="1" applyAlignment="1" applyProtection="1">
      <alignment vertical="center"/>
    </xf>
    <xf numFmtId="164" fontId="25" fillId="12" borderId="26" xfId="20" applyNumberFormat="1" applyFont="1" applyFill="1" applyBorder="1" applyAlignment="1" applyProtection="1">
      <alignment vertical="center"/>
    </xf>
    <xf numFmtId="10" fontId="25" fillId="12" borderId="20" xfId="20" applyNumberFormat="1" applyFont="1" applyFill="1" applyBorder="1" applyAlignment="1" applyProtection="1">
      <alignment vertical="center"/>
    </xf>
    <xf numFmtId="10" fontId="25" fillId="12" borderId="0" xfId="20" applyNumberFormat="1" applyFont="1" applyFill="1" applyBorder="1" applyAlignment="1" applyProtection="1">
      <alignment vertical="center"/>
    </xf>
    <xf numFmtId="10" fontId="25" fillId="12" borderId="22" xfId="20" applyNumberFormat="1" applyFont="1" applyFill="1" applyBorder="1" applyAlignment="1" applyProtection="1">
      <alignment vertical="center"/>
    </xf>
    <xf numFmtId="10" fontId="25" fillId="12" borderId="25" xfId="20" applyNumberFormat="1" applyFont="1" applyFill="1" applyBorder="1" applyAlignment="1" applyProtection="1">
      <alignment vertical="center"/>
    </xf>
    <xf numFmtId="10" fontId="25" fillId="12" borderId="24" xfId="20" applyNumberFormat="1" applyFont="1" applyFill="1" applyBorder="1" applyAlignment="1" applyProtection="1">
      <alignment vertical="center"/>
    </xf>
    <xf numFmtId="10" fontId="25" fillId="12" borderId="26" xfId="20" applyNumberFormat="1" applyFont="1" applyFill="1" applyBorder="1" applyAlignment="1" applyProtection="1">
      <alignment vertical="center"/>
    </xf>
    <xf numFmtId="0" fontId="28" fillId="23" borderId="0" xfId="0" applyFont="1" applyFill="1" applyBorder="1" applyAlignment="1">
      <alignment vertical="center"/>
    </xf>
    <xf numFmtId="0" fontId="25" fillId="23" borderId="11" xfId="0" applyFont="1" applyFill="1" applyBorder="1" applyAlignment="1"/>
    <xf numFmtId="0" fontId="25" fillId="23" borderId="6" xfId="0" applyFont="1" applyFill="1" applyBorder="1" applyAlignment="1"/>
    <xf numFmtId="0" fontId="25" fillId="23" borderId="12" xfId="0" applyFont="1" applyFill="1" applyBorder="1" applyAlignment="1"/>
    <xf numFmtId="0" fontId="25" fillId="20" borderId="7" xfId="0" applyFont="1" applyFill="1" applyBorder="1"/>
    <xf numFmtId="0" fontId="27" fillId="0" borderId="27" xfId="0" applyFont="1" applyFill="1" applyBorder="1" applyAlignment="1">
      <alignment horizontal="centerContinuous" vertical="center" wrapText="1"/>
    </xf>
    <xf numFmtId="0" fontId="27" fillId="0" borderId="17" xfId="0" applyFont="1" applyFill="1" applyBorder="1" applyAlignment="1">
      <alignment horizontal="centerContinuous" vertical="center" wrapText="1"/>
    </xf>
    <xf numFmtId="0" fontId="27" fillId="0" borderId="28" xfId="0" applyFont="1" applyFill="1" applyBorder="1" applyAlignment="1">
      <alignment vertical="center" wrapText="1"/>
    </xf>
    <xf numFmtId="0" fontId="27" fillId="0" borderId="20" xfId="0" applyFont="1" applyFill="1" applyBorder="1" applyAlignment="1">
      <alignment horizontal="centerContinuous"/>
    </xf>
    <xf numFmtId="0" fontId="27" fillId="0" borderId="0" xfId="0" applyFont="1" applyFill="1" applyBorder="1" applyAlignment="1">
      <alignment horizontal="centerContinuous"/>
    </xf>
    <xf numFmtId="0" fontId="27" fillId="0" borderId="22" xfId="0" applyFont="1" applyFill="1" applyBorder="1" applyAlignment="1"/>
    <xf numFmtId="0" fontId="36" fillId="0" borderId="22" xfId="0" applyFont="1" applyFill="1" applyBorder="1" applyAlignment="1">
      <alignment vertical="center" wrapText="1"/>
    </xf>
    <xf numFmtId="0" fontId="25" fillId="0" borderId="22" xfId="0" applyFont="1" applyFill="1" applyBorder="1" applyAlignment="1">
      <alignment vertical="center" wrapText="1"/>
    </xf>
    <xf numFmtId="0" fontId="25" fillId="20" borderId="11" xfId="0" applyFont="1" applyFill="1" applyBorder="1"/>
    <xf numFmtId="0" fontId="27" fillId="16" borderId="0" xfId="0" applyFont="1" applyFill="1"/>
    <xf numFmtId="0" fontId="27" fillId="25" borderId="3" xfId="0" applyFont="1" applyFill="1" applyBorder="1" applyAlignment="1">
      <alignment horizontal="centerContinuous" vertical="center"/>
    </xf>
    <xf numFmtId="0" fontId="27" fillId="25" borderId="4" xfId="0" applyFont="1" applyFill="1" applyBorder="1" applyAlignment="1">
      <alignment horizontal="centerContinuous" vertical="center"/>
    </xf>
    <xf numFmtId="0" fontId="27" fillId="25" borderId="5" xfId="0" applyFont="1" applyFill="1" applyBorder="1" applyAlignment="1">
      <alignment horizontal="centerContinuous" vertical="center"/>
    </xf>
    <xf numFmtId="0" fontId="25" fillId="30" borderId="7" xfId="0" applyFont="1" applyFill="1" applyBorder="1" applyAlignment="1"/>
    <xf numFmtId="0" fontId="25" fillId="30" borderId="8" xfId="0" applyFont="1" applyFill="1" applyBorder="1" applyAlignment="1"/>
    <xf numFmtId="0" fontId="25" fillId="30" borderId="9" xfId="0" applyFont="1" applyFill="1" applyBorder="1" applyAlignment="1"/>
    <xf numFmtId="0" fontId="25" fillId="30" borderId="13" xfId="0" applyFont="1" applyFill="1" applyBorder="1" applyAlignment="1"/>
    <xf numFmtId="0" fontId="27" fillId="30" borderId="0" xfId="0" applyFont="1" applyFill="1" applyBorder="1" applyAlignment="1">
      <alignment horizontal="center"/>
    </xf>
    <xf numFmtId="0" fontId="25" fillId="30" borderId="0" xfId="0" applyFont="1" applyFill="1" applyBorder="1" applyAlignment="1"/>
    <xf numFmtId="0" fontId="25" fillId="30" borderId="10" xfId="0" applyFont="1" applyFill="1" applyBorder="1"/>
    <xf numFmtId="0" fontId="25" fillId="30" borderId="10" xfId="0" applyFont="1" applyFill="1" applyBorder="1" applyAlignment="1"/>
    <xf numFmtId="0" fontId="25" fillId="30" borderId="0" xfId="0" applyFont="1" applyFill="1" applyAlignment="1"/>
    <xf numFmtId="0" fontId="25" fillId="30" borderId="13" xfId="0" quotePrefix="1" applyFont="1" applyFill="1" applyBorder="1" applyAlignment="1"/>
    <xf numFmtId="0" fontId="25" fillId="30" borderId="11" xfId="0" applyFont="1" applyFill="1" applyBorder="1" applyAlignment="1"/>
    <xf numFmtId="0" fontId="25" fillId="30" borderId="6" xfId="0" applyFont="1" applyFill="1" applyBorder="1"/>
    <xf numFmtId="0" fontId="25" fillId="30" borderId="6" xfId="0" applyFont="1" applyFill="1" applyBorder="1" applyAlignment="1"/>
    <xf numFmtId="0" fontId="25" fillId="30" borderId="12" xfId="0" applyFont="1" applyFill="1" applyBorder="1"/>
    <xf numFmtId="0" fontId="25" fillId="17" borderId="0" xfId="0" applyFont="1" applyFill="1" applyAlignment="1"/>
    <xf numFmtId="0" fontId="25" fillId="20" borderId="9" xfId="0" applyFont="1" applyFill="1" applyBorder="1" applyAlignment="1"/>
    <xf numFmtId="0" fontId="31" fillId="20" borderId="13" xfId="0" applyFont="1" applyFill="1" applyBorder="1" applyAlignment="1"/>
    <xf numFmtId="0" fontId="31" fillId="12" borderId="27" xfId="0" applyFont="1" applyFill="1" applyBorder="1" applyAlignment="1"/>
    <xf numFmtId="0" fontId="31" fillId="12" borderId="17" xfId="0" applyFont="1" applyFill="1" applyBorder="1" applyAlignment="1"/>
    <xf numFmtId="0" fontId="25" fillId="12" borderId="17" xfId="0" applyFont="1" applyFill="1" applyBorder="1" applyAlignment="1"/>
    <xf numFmtId="0" fontId="30" fillId="12" borderId="17" xfId="0" applyFont="1" applyFill="1" applyBorder="1" applyAlignment="1"/>
    <xf numFmtId="0" fontId="30" fillId="12" borderId="28" xfId="0" applyFont="1" applyFill="1" applyBorder="1" applyAlignment="1"/>
    <xf numFmtId="0" fontId="25" fillId="20" borderId="13" xfId="0" applyFont="1" applyFill="1" applyBorder="1" applyAlignment="1"/>
    <xf numFmtId="0" fontId="30" fillId="12" borderId="0" xfId="0" applyFont="1" applyFill="1" applyBorder="1" applyAlignment="1"/>
    <xf numFmtId="0" fontId="30" fillId="12" borderId="22" xfId="0" applyFont="1" applyFill="1" applyBorder="1" applyAlignment="1"/>
    <xf numFmtId="0" fontId="33" fillId="20" borderId="13" xfId="0" applyFont="1" applyFill="1" applyBorder="1" applyAlignment="1"/>
    <xf numFmtId="0" fontId="33" fillId="12" borderId="20" xfId="0" applyFont="1" applyFill="1" applyBorder="1" applyAlignment="1"/>
    <xf numFmtId="0" fontId="25" fillId="20" borderId="13" xfId="0" quotePrefix="1" applyFont="1" applyFill="1" applyBorder="1" applyAlignment="1"/>
    <xf numFmtId="0" fontId="38" fillId="12" borderId="0" xfId="0" applyFont="1" applyFill="1" applyBorder="1" applyAlignment="1"/>
    <xf numFmtId="0" fontId="25" fillId="12" borderId="26" xfId="0" applyFont="1" applyFill="1" applyBorder="1" applyAlignment="1"/>
    <xf numFmtId="0" fontId="25" fillId="20" borderId="12" xfId="0" applyFont="1" applyFill="1" applyBorder="1" applyAlignment="1"/>
    <xf numFmtId="0" fontId="25" fillId="33" borderId="0" xfId="0" applyFont="1" applyFill="1"/>
    <xf numFmtId="0" fontId="25" fillId="33" borderId="0" xfId="0" applyFont="1" applyFill="1" applyBorder="1"/>
    <xf numFmtId="0" fontId="25" fillId="33" borderId="0" xfId="0" applyFont="1" applyFill="1" applyBorder="1" applyAlignment="1"/>
    <xf numFmtId="0" fontId="27" fillId="33" borderId="0" xfId="0" applyFont="1" applyFill="1" applyBorder="1" applyAlignment="1">
      <alignment horizontal="centerContinuous" vertical="center"/>
    </xf>
    <xf numFmtId="0" fontId="27" fillId="33" borderId="0" xfId="0" applyFont="1" applyFill="1" applyAlignment="1">
      <alignment horizontal="center" vertical="center" wrapText="1"/>
    </xf>
    <xf numFmtId="0" fontId="27" fillId="33" borderId="0" xfId="0" applyFont="1" applyFill="1" applyBorder="1" applyAlignment="1">
      <alignment horizontal="center" vertical="center"/>
    </xf>
    <xf numFmtId="0" fontId="25" fillId="32" borderId="18" xfId="0" applyFont="1" applyFill="1" applyBorder="1" applyAlignment="1">
      <alignment horizontal="center" vertical="center"/>
    </xf>
    <xf numFmtId="0" fontId="27" fillId="33" borderId="0" xfId="0" applyFont="1" applyFill="1" applyAlignment="1">
      <alignment horizontal="center" vertical="center"/>
    </xf>
    <xf numFmtId="0" fontId="27" fillId="33" borderId="0" xfId="0" applyFont="1" applyFill="1" applyBorder="1" applyAlignment="1">
      <alignment horizontal="center" vertical="center" wrapText="1"/>
    </xf>
    <xf numFmtId="0" fontId="25" fillId="33" borderId="0" xfId="0" applyFont="1" applyFill="1" applyBorder="1" applyAlignment="1">
      <alignment horizontal="center"/>
    </xf>
    <xf numFmtId="0" fontId="25" fillId="12" borderId="2" xfId="0" applyFont="1" applyFill="1" applyBorder="1"/>
    <xf numFmtId="0" fontId="25" fillId="12" borderId="2" xfId="0" applyFont="1" applyFill="1" applyBorder="1" applyAlignment="1">
      <alignment horizontal="center" vertical="center"/>
    </xf>
    <xf numFmtId="0" fontId="33" fillId="12" borderId="2" xfId="0" applyFont="1" applyFill="1" applyBorder="1" applyAlignment="1">
      <alignment horizontal="center"/>
    </xf>
    <xf numFmtId="0" fontId="37" fillId="12" borderId="2" xfId="0" applyFont="1" applyFill="1" applyBorder="1" applyAlignment="1">
      <alignment horizontal="center"/>
    </xf>
    <xf numFmtId="0" fontId="25" fillId="12" borderId="2" xfId="0" applyFont="1" applyFill="1" applyBorder="1" applyAlignment="1">
      <alignment horizontal="center"/>
    </xf>
    <xf numFmtId="0" fontId="39" fillId="17" borderId="0" xfId="0" applyFont="1" applyFill="1"/>
    <xf numFmtId="0" fontId="27" fillId="17" borderId="0" xfId="0" applyFont="1" applyFill="1"/>
    <xf numFmtId="0" fontId="27" fillId="18" borderId="18" xfId="0" applyFont="1" applyFill="1" applyBorder="1" applyAlignment="1" applyProtection="1">
      <alignment horizontal="centerContinuous" vertical="center"/>
      <protection locked="0"/>
    </xf>
    <xf numFmtId="0" fontId="39" fillId="15" borderId="7" xfId="0" applyFont="1" applyFill="1" applyBorder="1"/>
    <xf numFmtId="0" fontId="39" fillId="15" borderId="8" xfId="0" applyFont="1" applyFill="1" applyBorder="1"/>
    <xf numFmtId="0" fontId="40" fillId="15" borderId="8" xfId="0" applyFont="1" applyFill="1" applyBorder="1" applyAlignment="1" applyProtection="1">
      <protection locked="0"/>
    </xf>
    <xf numFmtId="0" fontId="40" fillId="15" borderId="8" xfId="0" applyFont="1" applyFill="1" applyBorder="1" applyProtection="1">
      <protection locked="0"/>
    </xf>
    <xf numFmtId="0" fontId="40" fillId="15" borderId="9" xfId="0" applyFont="1" applyFill="1" applyBorder="1" applyProtection="1">
      <protection locked="0"/>
    </xf>
    <xf numFmtId="0" fontId="25" fillId="15" borderId="7" xfId="0" applyFont="1" applyFill="1" applyBorder="1"/>
    <xf numFmtId="0" fontId="25" fillId="15" borderId="8" xfId="0" applyFont="1" applyFill="1" applyBorder="1"/>
    <xf numFmtId="0" fontId="25" fillId="15" borderId="9" xfId="0" applyFont="1" applyFill="1" applyBorder="1"/>
    <xf numFmtId="0" fontId="39" fillId="15" borderId="13" xfId="0" applyFont="1" applyFill="1" applyBorder="1"/>
    <xf numFmtId="0" fontId="39" fillId="15" borderId="0" xfId="0" applyFont="1" applyFill="1" applyBorder="1"/>
    <xf numFmtId="0" fontId="27" fillId="15" borderId="0" xfId="0" applyFont="1" applyFill="1" applyBorder="1" applyAlignment="1" applyProtection="1">
      <alignment horizontal="right" vertical="center"/>
      <protection locked="0"/>
    </xf>
    <xf numFmtId="0" fontId="40" fillId="15" borderId="0" xfId="0" applyFont="1" applyFill="1" applyBorder="1"/>
    <xf numFmtId="0" fontId="26" fillId="24" borderId="32" xfId="0" applyFont="1" applyFill="1" applyBorder="1" applyAlignment="1" applyProtection="1">
      <alignment horizontal="center" vertical="center"/>
      <protection locked="0"/>
    </xf>
    <xf numFmtId="0" fontId="40" fillId="15" borderId="10" xfId="0" applyFont="1" applyFill="1" applyBorder="1"/>
    <xf numFmtId="0" fontId="25" fillId="15" borderId="13" xfId="0" applyFont="1" applyFill="1" applyBorder="1"/>
    <xf numFmtId="0" fontId="25" fillId="15" borderId="0" xfId="0" applyFont="1" applyFill="1" applyBorder="1"/>
    <xf numFmtId="0" fontId="27" fillId="15" borderId="0" xfId="0" applyFont="1" applyFill="1" applyAlignment="1">
      <alignment horizontal="center"/>
    </xf>
    <xf numFmtId="0" fontId="25" fillId="15" borderId="10" xfId="0" applyFont="1" applyFill="1" applyBorder="1"/>
    <xf numFmtId="0" fontId="27" fillId="15" borderId="0" xfId="0" applyFont="1" applyFill="1" applyBorder="1" applyAlignment="1" applyProtection="1">
      <alignment horizontal="left" vertical="center"/>
    </xf>
    <xf numFmtId="0" fontId="27" fillId="15" borderId="0" xfId="0" applyFont="1" applyFill="1" applyBorder="1" applyAlignment="1" applyProtection="1">
      <alignment horizontal="right" vertical="center" wrapText="1"/>
      <protection locked="0"/>
    </xf>
    <xf numFmtId="0" fontId="25" fillId="15" borderId="0" xfId="0" applyFont="1" applyFill="1" applyBorder="1" applyProtection="1">
      <protection locked="0"/>
    </xf>
    <xf numFmtId="0" fontId="25" fillId="15" borderId="0" xfId="0" applyFont="1" applyFill="1" applyBorder="1" applyAlignment="1" applyProtection="1">
      <protection locked="0"/>
    </xf>
    <xf numFmtId="0" fontId="25" fillId="15" borderId="10" xfId="0" applyFont="1" applyFill="1" applyBorder="1" applyProtection="1">
      <protection locked="0"/>
    </xf>
    <xf numFmtId="0" fontId="27" fillId="15" borderId="0" xfId="0" applyFont="1" applyFill="1" applyBorder="1" applyAlignment="1">
      <alignment horizontal="right"/>
    </xf>
    <xf numFmtId="0" fontId="27" fillId="15" borderId="10" xfId="0" applyFont="1" applyFill="1" applyBorder="1" applyAlignment="1" applyProtection="1">
      <alignment horizontal="center" vertical="center" wrapText="1"/>
      <protection locked="0"/>
    </xf>
    <xf numFmtId="0" fontId="40" fillId="15" borderId="0" xfId="0" applyFont="1" applyFill="1" applyBorder="1" applyAlignment="1"/>
    <xf numFmtId="0" fontId="40" fillId="15" borderId="0" xfId="0" applyFont="1" applyFill="1" applyBorder="1" applyAlignment="1" applyProtection="1">
      <protection locked="0"/>
    </xf>
    <xf numFmtId="0" fontId="39" fillId="15" borderId="0" xfId="0" applyFont="1" applyFill="1" applyBorder="1" applyAlignment="1"/>
    <xf numFmtId="0" fontId="39" fillId="15" borderId="11" xfId="0" applyFont="1" applyFill="1" applyBorder="1"/>
    <xf numFmtId="0" fontId="39" fillId="15" borderId="6" xfId="0" applyFont="1" applyFill="1" applyBorder="1"/>
    <xf numFmtId="0" fontId="40" fillId="15" borderId="6" xfId="0" applyFont="1" applyFill="1" applyBorder="1" applyAlignment="1" applyProtection="1">
      <protection locked="0"/>
    </xf>
    <xf numFmtId="0" fontId="40" fillId="15" borderId="12" xfId="0" applyFont="1" applyFill="1" applyBorder="1" applyProtection="1">
      <protection locked="0"/>
    </xf>
    <xf numFmtId="0" fontId="25" fillId="15" borderId="11" xfId="0" applyFont="1" applyFill="1" applyBorder="1"/>
    <xf numFmtId="0" fontId="25" fillId="15" borderId="6" xfId="0" applyFont="1" applyFill="1" applyBorder="1"/>
    <xf numFmtId="0" fontId="25" fillId="15" borderId="12" xfId="0" applyFont="1" applyFill="1" applyBorder="1"/>
    <xf numFmtId="0" fontId="25" fillId="17" borderId="0" xfId="0" applyFont="1" applyFill="1" applyAlignment="1">
      <alignment horizontal="center"/>
    </xf>
    <xf numFmtId="0" fontId="39" fillId="16" borderId="0" xfId="0" applyFont="1" applyFill="1"/>
    <xf numFmtId="0" fontId="25" fillId="16" borderId="0" xfId="0" applyFont="1" applyFill="1" applyAlignment="1">
      <alignment horizontal="center"/>
    </xf>
    <xf numFmtId="0" fontId="25" fillId="17" borderId="0" xfId="0" applyFont="1" applyFill="1" applyBorder="1"/>
    <xf numFmtId="0" fontId="25" fillId="15" borderId="8" xfId="0" applyFont="1" applyFill="1" applyBorder="1" applyAlignment="1"/>
    <xf numFmtId="0" fontId="34" fillId="15" borderId="0" xfId="0" applyFont="1" applyFill="1" applyBorder="1" applyAlignment="1">
      <alignment horizontal="center"/>
    </xf>
    <xf numFmtId="0" fontId="25" fillId="15" borderId="0" xfId="0" applyFont="1" applyFill="1" applyBorder="1" applyAlignment="1"/>
    <xf numFmtId="0" fontId="27" fillId="15" borderId="0" xfId="0" applyFont="1" applyFill="1" applyBorder="1" applyAlignment="1">
      <alignment horizontal="center"/>
    </xf>
    <xf numFmtId="0" fontId="25" fillId="15" borderId="10" xfId="0" applyFont="1" applyFill="1" applyBorder="1" applyAlignment="1"/>
    <xf numFmtId="0" fontId="34" fillId="15" borderId="0" xfId="0" applyFont="1" applyFill="1" applyBorder="1" applyAlignment="1">
      <alignment horizontal="center" vertical="center" wrapText="1"/>
    </xf>
    <xf numFmtId="0" fontId="27" fillId="15" borderId="0" xfId="0" applyFont="1" applyFill="1" applyBorder="1" applyAlignment="1"/>
    <xf numFmtId="0" fontId="27" fillId="15" borderId="0" xfId="0" applyFont="1" applyFill="1" applyBorder="1" applyAlignment="1">
      <alignment horizontal="center" wrapText="1"/>
    </xf>
    <xf numFmtId="0" fontId="25" fillId="15" borderId="6" xfId="0" applyFont="1" applyFill="1" applyBorder="1" applyAlignment="1"/>
    <xf numFmtId="2" fontId="25" fillId="15" borderId="6" xfId="0" applyNumberFormat="1" applyFont="1" applyFill="1" applyBorder="1" applyAlignment="1"/>
    <xf numFmtId="2" fontId="25" fillId="15" borderId="12" xfId="0" applyNumberFormat="1" applyFont="1" applyFill="1" applyBorder="1" applyAlignment="1"/>
    <xf numFmtId="0" fontId="27" fillId="18" borderId="18" xfId="0" applyFont="1" applyFill="1" applyBorder="1" applyAlignment="1">
      <alignment horizontal="center"/>
    </xf>
    <xf numFmtId="0" fontId="25" fillId="0" borderId="0" xfId="0" applyFont="1" applyFill="1" applyBorder="1" applyAlignment="1"/>
    <xf numFmtId="0" fontId="25" fillId="15" borderId="7" xfId="0" applyFont="1" applyFill="1" applyBorder="1" applyAlignment="1"/>
    <xf numFmtId="0" fontId="25" fillId="15" borderId="13" xfId="0" applyFont="1" applyFill="1" applyBorder="1" applyAlignment="1"/>
    <xf numFmtId="0" fontId="41" fillId="15" borderId="0" xfId="0" applyFont="1" applyFill="1" applyBorder="1" applyAlignment="1"/>
    <xf numFmtId="0" fontId="33" fillId="0" borderId="2" xfId="0" applyFont="1" applyFill="1" applyBorder="1" applyAlignment="1">
      <alignment horizontal="center"/>
    </xf>
    <xf numFmtId="0" fontId="27" fillId="15" borderId="0" xfId="0" applyFont="1" applyFill="1" applyBorder="1" applyAlignment="1">
      <alignment horizontal="left"/>
    </xf>
    <xf numFmtId="0" fontId="34" fillId="15" borderId="0" xfId="0" applyFont="1" applyFill="1" applyBorder="1" applyAlignment="1">
      <alignment horizontal="center" wrapText="1"/>
    </xf>
    <xf numFmtId="168" fontId="25" fillId="0" borderId="2" xfId="0" applyNumberFormat="1" applyFont="1" applyFill="1" applyBorder="1" applyAlignment="1">
      <alignment horizontal="center"/>
    </xf>
    <xf numFmtId="2" fontId="27" fillId="19" borderId="18" xfId="0" applyNumberFormat="1" applyFont="1" applyFill="1" applyBorder="1" applyAlignment="1">
      <alignment horizontal="center"/>
    </xf>
    <xf numFmtId="0" fontId="25" fillId="15" borderId="11" xfId="0" applyFont="1" applyFill="1" applyBorder="1" applyAlignment="1"/>
    <xf numFmtId="0" fontId="25" fillId="15" borderId="12" xfId="0" applyFont="1" applyFill="1" applyBorder="1" applyAlignment="1"/>
    <xf numFmtId="0" fontId="27" fillId="18" borderId="3" xfId="0" applyFont="1" applyFill="1" applyBorder="1" applyAlignment="1">
      <alignment horizontal="centerContinuous" vertical="center"/>
    </xf>
    <xf numFmtId="0" fontId="27" fillId="18" borderId="4" xfId="0" applyFont="1" applyFill="1" applyBorder="1" applyAlignment="1">
      <alignment horizontal="centerContinuous"/>
    </xf>
    <xf numFmtId="0" fontId="27" fillId="18" borderId="5" xfId="0" applyFont="1" applyFill="1" applyBorder="1" applyAlignment="1">
      <alignment horizontal="centerContinuous"/>
    </xf>
    <xf numFmtId="0" fontId="37" fillId="15" borderId="8" xfId="0" applyFont="1" applyFill="1" applyBorder="1" applyAlignment="1"/>
    <xf numFmtId="0" fontId="34" fillId="15" borderId="0" xfId="0" applyFont="1" applyFill="1" applyBorder="1" applyAlignment="1">
      <alignment horizontal="center" vertical="center"/>
    </xf>
    <xf numFmtId="0" fontId="37" fillId="15" borderId="0" xfId="0" applyFont="1" applyFill="1" applyBorder="1" applyAlignment="1"/>
    <xf numFmtId="0" fontId="42" fillId="15" borderId="0" xfId="0" applyFont="1" applyFill="1" applyBorder="1" applyAlignment="1">
      <alignment horizontal="center"/>
    </xf>
    <xf numFmtId="0" fontId="42" fillId="15" borderId="0" xfId="0" applyFont="1" applyFill="1" applyBorder="1" applyAlignment="1">
      <alignment horizontal="center" wrapText="1"/>
    </xf>
    <xf numFmtId="7" fontId="33" fillId="0" borderId="2" xfId="14" applyNumberFormat="1" applyFont="1" applyFill="1" applyBorder="1" applyAlignment="1">
      <alignment horizontal="center" vertical="center" wrapText="1"/>
    </xf>
    <xf numFmtId="164" fontId="33" fillId="0" borderId="2" xfId="20" applyNumberFormat="1" applyFont="1" applyFill="1" applyBorder="1" applyAlignment="1">
      <alignment horizontal="center" vertical="center"/>
    </xf>
    <xf numFmtId="164" fontId="25" fillId="0" borderId="2" xfId="20" applyNumberFormat="1" applyFont="1" applyFill="1" applyBorder="1" applyAlignment="1">
      <alignment horizontal="center" vertical="center"/>
    </xf>
    <xf numFmtId="0" fontId="27" fillId="17" borderId="0" xfId="0" applyFont="1" applyFill="1" applyBorder="1" applyAlignment="1">
      <alignment horizontal="centerContinuous"/>
    </xf>
    <xf numFmtId="0" fontId="27" fillId="17" borderId="0" xfId="0" applyFont="1" applyFill="1" applyBorder="1" applyAlignment="1">
      <alignment horizontal="center"/>
    </xf>
    <xf numFmtId="0" fontId="25" fillId="15" borderId="8" xfId="0" applyFont="1" applyFill="1" applyBorder="1" applyAlignment="1">
      <alignment horizontal="centerContinuous"/>
    </xf>
    <xf numFmtId="168" fontId="33" fillId="15" borderId="0" xfId="14" applyNumberFormat="1" applyFont="1" applyFill="1" applyBorder="1" applyAlignment="1"/>
    <xf numFmtId="0" fontId="27" fillId="18" borderId="18" xfId="0" applyFont="1" applyFill="1" applyBorder="1" applyAlignment="1">
      <alignment horizontal="center" vertical="center"/>
    </xf>
    <xf numFmtId="175" fontId="25" fillId="15" borderId="8" xfId="3" applyNumberFormat="1" applyFont="1" applyFill="1" applyBorder="1" applyAlignment="1" applyProtection="1">
      <alignment horizontal="center"/>
    </xf>
    <xf numFmtId="175" fontId="25" fillId="15" borderId="8" xfId="3" applyNumberFormat="1" applyFont="1" applyFill="1" applyBorder="1" applyProtection="1"/>
    <xf numFmtId="0" fontId="25" fillId="15" borderId="8" xfId="0" applyFont="1" applyFill="1" applyBorder="1" applyAlignment="1" applyProtection="1"/>
    <xf numFmtId="2" fontId="25" fillId="15" borderId="8" xfId="20" applyNumberFormat="1" applyFont="1" applyFill="1" applyBorder="1" applyProtection="1"/>
    <xf numFmtId="0" fontId="34" fillId="15" borderId="0" xfId="0" applyFont="1" applyFill="1" applyBorder="1" applyAlignment="1">
      <alignment vertical="center"/>
    </xf>
    <xf numFmtId="175" fontId="25" fillId="15" borderId="0" xfId="3" applyNumberFormat="1" applyFont="1" applyFill="1" applyBorder="1" applyProtection="1"/>
    <xf numFmtId="0" fontId="25" fillId="15" borderId="0" xfId="0" applyFont="1" applyFill="1" applyBorder="1" applyAlignment="1" applyProtection="1"/>
    <xf numFmtId="2" fontId="25" fillId="15" borderId="0" xfId="20" applyNumberFormat="1" applyFont="1" applyFill="1" applyBorder="1" applyProtection="1"/>
    <xf numFmtId="0" fontId="34" fillId="15" borderId="6" xfId="0" applyFont="1" applyFill="1" applyBorder="1" applyAlignment="1">
      <alignment horizontal="center" vertical="center"/>
    </xf>
    <xf numFmtId="0" fontId="34" fillId="15" borderId="6" xfId="0" applyFont="1" applyFill="1" applyBorder="1" applyAlignment="1">
      <alignment vertical="center"/>
    </xf>
    <xf numFmtId="175" fontId="25" fillId="15" borderId="6" xfId="3" applyNumberFormat="1" applyFont="1" applyFill="1" applyBorder="1" applyProtection="1"/>
    <xf numFmtId="0" fontId="25" fillId="15" borderId="6" xfId="0" applyFont="1" applyFill="1" applyBorder="1" applyAlignment="1" applyProtection="1"/>
    <xf numFmtId="2" fontId="25" fillId="15" borderId="6" xfId="20" applyNumberFormat="1" applyFont="1" applyFill="1" applyBorder="1" applyProtection="1"/>
    <xf numFmtId="0" fontId="27" fillId="15" borderId="0" xfId="0" applyFont="1" applyFill="1" applyBorder="1" applyAlignment="1" applyProtection="1">
      <alignment horizontal="center" vertical="center"/>
    </xf>
    <xf numFmtId="175" fontId="25" fillId="15" borderId="0" xfId="3" applyNumberFormat="1" applyFont="1" applyFill="1" applyBorder="1" applyAlignment="1" applyProtection="1">
      <alignment horizontal="center"/>
    </xf>
    <xf numFmtId="175" fontId="39" fillId="15" borderId="0" xfId="3" applyNumberFormat="1" applyFont="1" applyFill="1" applyBorder="1" applyProtection="1"/>
    <xf numFmtId="0" fontId="27" fillId="15" borderId="0" xfId="0" applyFont="1" applyFill="1" applyBorder="1" applyAlignment="1" applyProtection="1">
      <alignment horizontal="center"/>
    </xf>
    <xf numFmtId="0" fontId="27" fillId="15" borderId="0" xfId="0" applyFont="1" applyFill="1" applyBorder="1" applyAlignment="1">
      <alignment horizontal="center" vertical="center" textRotation="90"/>
    </xf>
    <xf numFmtId="0" fontId="25" fillId="15" borderId="0" xfId="0" applyFont="1" applyFill="1" applyBorder="1" applyAlignment="1" applyProtection="1">
      <alignment horizontal="center"/>
    </xf>
    <xf numFmtId="0" fontId="27" fillId="15" borderId="0" xfId="0" applyFont="1" applyFill="1" applyBorder="1" applyAlignment="1" applyProtection="1"/>
    <xf numFmtId="0" fontId="27" fillId="15" borderId="0" xfId="0" applyFont="1" applyFill="1" applyBorder="1" applyAlignment="1">
      <alignment horizontal="center" vertical="center"/>
    </xf>
    <xf numFmtId="0" fontId="27" fillId="15" borderId="0" xfId="0" applyFont="1" applyFill="1" applyBorder="1" applyAlignment="1">
      <alignment horizontal="centerContinuous"/>
    </xf>
    <xf numFmtId="0" fontId="27" fillId="15" borderId="10" xfId="0" applyFont="1" applyFill="1" applyBorder="1" applyAlignment="1"/>
    <xf numFmtId="166" fontId="27" fillId="19" borderId="18" xfId="0" applyNumberFormat="1" applyFont="1" applyFill="1" applyBorder="1" applyAlignment="1">
      <alignment horizontal="center" vertical="center"/>
    </xf>
    <xf numFmtId="0" fontId="27" fillId="15" borderId="10" xfId="0" applyFont="1" applyFill="1" applyBorder="1" applyAlignment="1">
      <alignment horizontal="left"/>
    </xf>
    <xf numFmtId="0" fontId="34" fillId="15" borderId="0" xfId="0" applyFont="1" applyFill="1" applyBorder="1" applyAlignment="1">
      <alignment horizontal="centerContinuous" vertical="center"/>
    </xf>
    <xf numFmtId="0" fontId="27" fillId="15" borderId="0" xfId="0" applyFont="1" applyFill="1" applyBorder="1" applyAlignment="1">
      <alignment horizontal="center" vertical="center" wrapText="1"/>
    </xf>
    <xf numFmtId="0" fontId="25" fillId="16" borderId="0" xfId="0" applyFont="1" applyFill="1" applyAlignment="1">
      <alignment vertical="center"/>
    </xf>
    <xf numFmtId="0" fontId="27" fillId="18" borderId="4" xfId="0" applyFont="1" applyFill="1" applyBorder="1" applyAlignment="1">
      <alignment horizontal="centerContinuous" vertical="center"/>
    </xf>
    <xf numFmtId="0" fontId="27" fillId="18" borderId="5" xfId="0" applyFont="1" applyFill="1" applyBorder="1" applyAlignment="1">
      <alignment horizontal="centerContinuous" vertical="center"/>
    </xf>
    <xf numFmtId="0" fontId="25" fillId="15" borderId="7" xfId="0" applyFont="1" applyFill="1" applyBorder="1" applyAlignment="1">
      <alignment vertical="center"/>
    </xf>
    <xf numFmtId="0" fontId="25" fillId="15" borderId="8" xfId="0" applyFont="1" applyFill="1" applyBorder="1" applyAlignment="1">
      <alignment vertical="center"/>
    </xf>
    <xf numFmtId="0" fontId="25" fillId="15" borderId="9" xfId="0" applyFont="1" applyFill="1" applyBorder="1" applyAlignment="1">
      <alignment vertical="center"/>
    </xf>
    <xf numFmtId="0" fontId="25" fillId="15" borderId="13" xfId="0" applyFont="1" applyFill="1" applyBorder="1" applyAlignment="1">
      <alignment vertical="center"/>
    </xf>
    <xf numFmtId="0" fontId="25" fillId="15" borderId="0" xfId="0" applyFont="1" applyFill="1" applyBorder="1" applyAlignment="1">
      <alignment vertical="center"/>
    </xf>
    <xf numFmtId="0" fontId="27" fillId="15" borderId="0" xfId="0" applyFont="1" applyFill="1" applyBorder="1" applyAlignment="1" applyProtection="1">
      <alignment horizontal="centerContinuous" vertical="center"/>
    </xf>
    <xf numFmtId="0" fontId="25" fillId="15" borderId="10" xfId="0" applyFont="1" applyFill="1" applyBorder="1" applyAlignment="1">
      <alignment vertical="center"/>
    </xf>
    <xf numFmtId="0" fontId="27" fillId="16" borderId="0" xfId="0" applyFont="1" applyFill="1" applyBorder="1" applyAlignment="1" applyProtection="1">
      <alignment horizontal="left" vertical="center"/>
    </xf>
    <xf numFmtId="0" fontId="25" fillId="16" borderId="0" xfId="0" applyFont="1" applyFill="1" applyBorder="1" applyAlignment="1" applyProtection="1">
      <alignment vertical="center"/>
    </xf>
    <xf numFmtId="0" fontId="27" fillId="16" borderId="0" xfId="0" applyFont="1" applyFill="1" applyBorder="1" applyAlignment="1">
      <alignment horizontal="center" vertical="center" wrapText="1"/>
    </xf>
    <xf numFmtId="0" fontId="33" fillId="0" borderId="27" xfId="0" applyFont="1" applyFill="1" applyBorder="1" applyAlignment="1">
      <alignment horizontal="center" vertical="center"/>
    </xf>
    <xf numFmtId="0" fontId="33" fillId="0" borderId="17" xfId="0" applyFont="1" applyFill="1" applyBorder="1" applyAlignment="1">
      <alignment horizontal="center" vertical="center"/>
    </xf>
    <xf numFmtId="9" fontId="33" fillId="0" borderId="17" xfId="0" applyNumberFormat="1" applyFont="1" applyFill="1" applyBorder="1" applyAlignment="1">
      <alignment horizontal="center" vertical="center"/>
    </xf>
    <xf numFmtId="9" fontId="33" fillId="0" borderId="17" xfId="0" applyNumberFormat="1" applyFont="1" applyFill="1" applyBorder="1" applyAlignment="1" applyProtection="1">
      <alignment horizontal="center" vertical="center"/>
    </xf>
    <xf numFmtId="9" fontId="25" fillId="0" borderId="14" xfId="20" applyFont="1" applyFill="1" applyBorder="1" applyAlignment="1">
      <alignment horizontal="center" vertical="center"/>
    </xf>
    <xf numFmtId="0" fontId="27" fillId="16" borderId="0" xfId="0" applyFont="1" applyFill="1" applyBorder="1" applyAlignment="1">
      <alignment horizontal="center" vertical="center"/>
    </xf>
    <xf numFmtId="9" fontId="33" fillId="0" borderId="20" xfId="20" applyFont="1" applyFill="1" applyBorder="1" applyAlignment="1">
      <alignment horizontal="center" vertical="center"/>
    </xf>
    <xf numFmtId="9" fontId="33" fillId="0" borderId="0" xfId="20" applyFont="1" applyFill="1" applyBorder="1" applyAlignment="1">
      <alignment horizontal="center" vertical="center"/>
    </xf>
    <xf numFmtId="9" fontId="33" fillId="0" borderId="0" xfId="20" applyFont="1" applyFill="1" applyBorder="1" applyAlignment="1" applyProtection="1">
      <alignment horizontal="center" vertical="center"/>
    </xf>
    <xf numFmtId="9" fontId="25" fillId="0" borderId="16" xfId="20" applyFont="1" applyFill="1" applyBorder="1" applyAlignment="1">
      <alignment horizontal="center" vertical="center"/>
    </xf>
    <xf numFmtId="0" fontId="27" fillId="16" borderId="0" xfId="0" applyFont="1" applyFill="1" applyBorder="1" applyAlignment="1" applyProtection="1">
      <alignment horizontal="right" vertical="center"/>
    </xf>
    <xf numFmtId="44" fontId="25" fillId="16" borderId="0" xfId="14" applyFont="1" applyFill="1" applyBorder="1" applyAlignment="1">
      <alignment horizontal="center" vertical="center"/>
    </xf>
    <xf numFmtId="0" fontId="25" fillId="16" borderId="0" xfId="0" applyFont="1" applyFill="1" applyBorder="1" applyAlignment="1">
      <alignment horizontal="center" vertical="center"/>
    </xf>
    <xf numFmtId="9" fontId="33" fillId="0" borderId="25" xfId="20" applyFont="1" applyFill="1" applyBorder="1" applyAlignment="1">
      <alignment horizontal="center" vertical="center"/>
    </xf>
    <xf numFmtId="9" fontId="33" fillId="0" borderId="24" xfId="20" applyFont="1" applyFill="1" applyBorder="1" applyAlignment="1">
      <alignment horizontal="center" vertical="center"/>
    </xf>
    <xf numFmtId="9" fontId="33" fillId="0" borderId="24" xfId="20" applyFont="1" applyFill="1" applyBorder="1" applyAlignment="1" applyProtection="1">
      <alignment horizontal="center" vertical="center"/>
    </xf>
    <xf numFmtId="9" fontId="25" fillId="0" borderId="15" xfId="20" applyFont="1" applyFill="1" applyBorder="1" applyAlignment="1">
      <alignment horizontal="center" vertical="center"/>
    </xf>
    <xf numFmtId="0" fontId="25" fillId="15" borderId="0" xfId="0" applyFont="1" applyFill="1" applyBorder="1" applyAlignment="1">
      <alignment horizontal="center" vertical="center"/>
    </xf>
    <xf numFmtId="2" fontId="25" fillId="16" borderId="0" xfId="0" applyNumberFormat="1" applyFont="1" applyFill="1" applyBorder="1" applyAlignment="1">
      <alignment horizontal="center" vertical="center"/>
    </xf>
    <xf numFmtId="0" fontId="27" fillId="15" borderId="0" xfId="0" applyFont="1" applyFill="1" applyBorder="1" applyAlignment="1">
      <alignment vertical="center"/>
    </xf>
    <xf numFmtId="9" fontId="33" fillId="0" borderId="2" xfId="20" applyFont="1" applyFill="1" applyBorder="1" applyAlignment="1">
      <alignment horizontal="center" vertical="center"/>
    </xf>
    <xf numFmtId="0" fontId="25" fillId="0" borderId="27" xfId="0" applyFont="1" applyFill="1" applyBorder="1" applyAlignment="1">
      <alignment horizontal="center" vertical="center"/>
    </xf>
    <xf numFmtId="0" fontId="25" fillId="0" borderId="17" xfId="0" applyFont="1" applyFill="1" applyBorder="1" applyAlignment="1">
      <alignment horizontal="center" vertical="center"/>
    </xf>
    <xf numFmtId="9" fontId="25" fillId="0" borderId="17" xfId="20" applyFont="1" applyFill="1" applyBorder="1" applyAlignment="1">
      <alignment horizontal="center" vertical="center"/>
    </xf>
    <xf numFmtId="0" fontId="25" fillId="0" borderId="20" xfId="0" applyFont="1" applyFill="1" applyBorder="1" applyAlignment="1">
      <alignment horizontal="center" vertical="center"/>
    </xf>
    <xf numFmtId="0" fontId="25" fillId="0" borderId="0" xfId="0" applyFont="1" applyFill="1" applyBorder="1" applyAlignment="1">
      <alignment horizontal="center" vertical="center"/>
    </xf>
    <xf numFmtId="9" fontId="25" fillId="0" borderId="0" xfId="20" applyFont="1" applyFill="1" applyBorder="1" applyAlignment="1">
      <alignment horizontal="center" vertical="center"/>
    </xf>
    <xf numFmtId="9" fontId="25" fillId="0" borderId="25" xfId="20" applyFont="1" applyFill="1" applyBorder="1" applyAlignment="1">
      <alignment horizontal="center" vertical="center"/>
    </xf>
    <xf numFmtId="9" fontId="25" fillId="0" borderId="24" xfId="20" applyFont="1" applyFill="1" applyBorder="1" applyAlignment="1">
      <alignment horizontal="center" vertical="center"/>
    </xf>
    <xf numFmtId="0" fontId="25" fillId="15" borderId="11" xfId="0" applyFont="1" applyFill="1" applyBorder="1" applyAlignment="1">
      <alignment vertical="center"/>
    </xf>
    <xf numFmtId="0" fontId="25" fillId="15" borderId="6" xfId="0" applyFont="1" applyFill="1" applyBorder="1" applyAlignment="1">
      <alignment vertical="center"/>
    </xf>
    <xf numFmtId="0" fontId="25" fillId="15" borderId="12" xfId="0" applyFont="1" applyFill="1" applyBorder="1" applyAlignment="1">
      <alignment vertical="center"/>
    </xf>
    <xf numFmtId="0" fontId="27" fillId="15" borderId="0" xfId="0" applyFont="1" applyFill="1" applyBorder="1" applyAlignment="1" applyProtection="1">
      <alignment vertical="center"/>
    </xf>
    <xf numFmtId="0" fontId="25" fillId="15" borderId="13" xfId="0" applyFont="1" applyFill="1" applyBorder="1" applyAlignment="1">
      <alignment horizontal="center" vertical="center"/>
    </xf>
    <xf numFmtId="0" fontId="27" fillId="15" borderId="10" xfId="0" applyFont="1" applyFill="1" applyBorder="1" applyAlignment="1" applyProtection="1">
      <alignment horizontal="center" vertical="center"/>
    </xf>
    <xf numFmtId="0" fontId="27" fillId="16" borderId="0" xfId="0" applyFont="1" applyFill="1" applyBorder="1" applyAlignment="1" applyProtection="1">
      <alignment horizontal="center" vertical="center"/>
    </xf>
    <xf numFmtId="0" fontId="25" fillId="16" borderId="0" xfId="0" applyFont="1" applyFill="1" applyAlignment="1">
      <alignment horizontal="center" vertical="center"/>
    </xf>
    <xf numFmtId="0" fontId="25" fillId="15" borderId="10" xfId="0" applyFont="1" applyFill="1" applyBorder="1" applyAlignment="1">
      <alignment horizontal="center" vertical="center"/>
    </xf>
    <xf numFmtId="0" fontId="25" fillId="16" borderId="0" xfId="0" applyFont="1" applyFill="1" applyAlignment="1">
      <alignment wrapText="1"/>
    </xf>
    <xf numFmtId="0" fontId="42" fillId="16" borderId="0" xfId="0" applyFont="1" applyFill="1"/>
    <xf numFmtId="0" fontId="42" fillId="18" borderId="18" xfId="0" applyFont="1" applyFill="1" applyBorder="1" applyAlignment="1">
      <alignment horizontal="center" vertical="center"/>
    </xf>
    <xf numFmtId="0" fontId="25" fillId="16" borderId="0" xfId="21" applyFont="1" applyFill="1" applyBorder="1" applyAlignment="1">
      <alignment wrapText="1"/>
    </xf>
    <xf numFmtId="0" fontId="25" fillId="16" borderId="0" xfId="21" applyFont="1" applyFill="1" applyAlignment="1">
      <alignment wrapText="1"/>
    </xf>
    <xf numFmtId="0" fontId="25" fillId="15" borderId="7" xfId="0" applyFont="1" applyFill="1" applyBorder="1" applyAlignment="1">
      <alignment wrapText="1"/>
    </xf>
    <xf numFmtId="0" fontId="37" fillId="15" borderId="8" xfId="21" applyFont="1" applyFill="1" applyBorder="1" applyAlignment="1"/>
    <xf numFmtId="0" fontId="25" fillId="15" borderId="8" xfId="21" applyFont="1" applyFill="1" applyBorder="1" applyAlignment="1"/>
    <xf numFmtId="0" fontId="25" fillId="15" borderId="8" xfId="0" applyFont="1" applyFill="1" applyBorder="1" applyAlignment="1">
      <alignment wrapText="1"/>
    </xf>
    <xf numFmtId="0" fontId="25" fillId="15" borderId="8" xfId="21" applyFont="1" applyFill="1" applyBorder="1" applyAlignment="1">
      <alignment wrapText="1"/>
    </xf>
    <xf numFmtId="0" fontId="25" fillId="15" borderId="9" xfId="21" applyFont="1" applyFill="1" applyBorder="1" applyAlignment="1">
      <alignment wrapText="1"/>
    </xf>
    <xf numFmtId="0" fontId="25" fillId="15" borderId="13" xfId="21" applyFont="1" applyFill="1" applyBorder="1" applyAlignment="1">
      <alignment wrapText="1"/>
    </xf>
    <xf numFmtId="0" fontId="25" fillId="15" borderId="0" xfId="0" applyFont="1" applyFill="1" applyAlignment="1">
      <alignment wrapText="1"/>
    </xf>
    <xf numFmtId="0" fontId="25" fillId="15" borderId="0" xfId="21" applyFont="1" applyFill="1" applyBorder="1" applyAlignment="1">
      <alignment wrapText="1"/>
    </xf>
    <xf numFmtId="0" fontId="25" fillId="15" borderId="10" xfId="21" applyFont="1" applyFill="1" applyBorder="1" applyAlignment="1">
      <alignment wrapText="1"/>
    </xf>
    <xf numFmtId="0" fontId="25" fillId="15" borderId="0" xfId="21" applyFont="1" applyFill="1" applyBorder="1" applyAlignment="1">
      <alignment horizontal="right" vertical="center" wrapText="1"/>
    </xf>
    <xf numFmtId="1" fontId="33" fillId="12" borderId="2" xfId="21" applyNumberFormat="1" applyFont="1" applyFill="1" applyBorder="1" applyAlignment="1">
      <alignment horizontal="center" vertical="center" wrapText="1"/>
    </xf>
    <xf numFmtId="1" fontId="25" fillId="15" borderId="0" xfId="21" applyNumberFormat="1" applyFont="1" applyFill="1" applyBorder="1" applyAlignment="1">
      <alignment horizontal="center" vertical="center" wrapText="1"/>
    </xf>
    <xf numFmtId="0" fontId="25" fillId="15" borderId="0" xfId="0" applyFont="1" applyFill="1" applyBorder="1" applyAlignment="1">
      <alignment wrapText="1"/>
    </xf>
    <xf numFmtId="0" fontId="37" fillId="16" borderId="0" xfId="0" applyFont="1" applyFill="1"/>
    <xf numFmtId="3" fontId="33" fillId="12" borderId="2" xfId="21" applyNumberFormat="1" applyFont="1" applyFill="1" applyBorder="1" applyAlignment="1">
      <alignment horizontal="center" vertical="center" wrapText="1"/>
    </xf>
    <xf numFmtId="0" fontId="25" fillId="15" borderId="0" xfId="21" applyFont="1" applyFill="1" applyBorder="1" applyAlignment="1">
      <alignment horizontal="right" vertical="center"/>
    </xf>
    <xf numFmtId="37" fontId="25" fillId="12" borderId="2" xfId="23" applyNumberFormat="1" applyFont="1" applyFill="1" applyBorder="1" applyAlignment="1">
      <alignment horizontal="center" vertical="center" wrapText="1"/>
    </xf>
    <xf numFmtId="165" fontId="25" fillId="12" borderId="2" xfId="22" applyNumberFormat="1" applyFont="1" applyFill="1" applyBorder="1" applyAlignment="1" applyProtection="1">
      <alignment horizontal="center" vertical="center"/>
    </xf>
    <xf numFmtId="44" fontId="25" fillId="15" borderId="0" xfId="22" applyNumberFormat="1" applyFont="1" applyFill="1" applyBorder="1" applyAlignment="1" applyProtection="1">
      <alignment horizontal="center" vertical="center"/>
    </xf>
    <xf numFmtId="37" fontId="25" fillId="12" borderId="2" xfId="21" applyNumberFormat="1" applyFont="1" applyFill="1" applyBorder="1" applyAlignment="1">
      <alignment horizontal="center" vertical="center" wrapText="1"/>
    </xf>
    <xf numFmtId="0" fontId="25" fillId="15" borderId="11" xfId="21" applyFont="1" applyFill="1" applyBorder="1" applyAlignment="1">
      <alignment wrapText="1"/>
    </xf>
    <xf numFmtId="0" fontId="25" fillId="15" borderId="6" xfId="0" applyFont="1" applyFill="1" applyBorder="1" applyAlignment="1">
      <alignment wrapText="1"/>
    </xf>
    <xf numFmtId="0" fontId="25" fillId="15" borderId="6" xfId="21" applyFont="1" applyFill="1" applyBorder="1" applyAlignment="1"/>
    <xf numFmtId="0" fontId="25" fillId="15" borderId="6" xfId="21" applyFont="1" applyFill="1" applyBorder="1" applyAlignment="1">
      <alignment wrapText="1"/>
    </xf>
    <xf numFmtId="0" fontId="25" fillId="15" borderId="12" xfId="21" applyFont="1" applyFill="1" applyBorder="1" applyAlignment="1">
      <alignment wrapText="1"/>
    </xf>
    <xf numFmtId="0" fontId="25" fillId="15" borderId="7" xfId="21" applyFont="1" applyFill="1" applyBorder="1" applyAlignment="1">
      <alignment wrapText="1"/>
    </xf>
    <xf numFmtId="0" fontId="42" fillId="15" borderId="8" xfId="0" applyFont="1" applyFill="1" applyBorder="1" applyAlignment="1">
      <alignment horizontal="left"/>
    </xf>
    <xf numFmtId="0" fontId="27" fillId="15" borderId="8" xfId="21" applyFont="1" applyFill="1" applyBorder="1" applyAlignment="1"/>
    <xf numFmtId="0" fontId="27" fillId="15" borderId="9" xfId="21" applyFont="1" applyFill="1" applyBorder="1" applyAlignment="1"/>
    <xf numFmtId="0" fontId="27" fillId="16" borderId="0" xfId="21" applyFont="1" applyFill="1" applyBorder="1" applyAlignment="1"/>
    <xf numFmtId="0" fontId="25" fillId="15" borderId="13" xfId="0" applyFont="1" applyFill="1" applyBorder="1" applyAlignment="1">
      <alignment wrapText="1"/>
    </xf>
    <xf numFmtId="0" fontId="27" fillId="15" borderId="0" xfId="21" applyFont="1" applyFill="1" applyBorder="1" applyAlignment="1"/>
    <xf numFmtId="0" fontId="27" fillId="15" borderId="0" xfId="21" applyFont="1" applyFill="1" applyBorder="1" applyAlignment="1">
      <alignment horizontal="center" vertical="center"/>
    </xf>
    <xf numFmtId="0" fontId="37" fillId="15" borderId="10" xfId="0" applyFont="1" applyFill="1" applyBorder="1"/>
    <xf numFmtId="0" fontId="37" fillId="16" borderId="0" xfId="0" applyFont="1" applyFill="1" applyBorder="1"/>
    <xf numFmtId="165" fontId="25" fillId="12" borderId="2" xfId="21" applyNumberFormat="1" applyFont="1" applyFill="1" applyBorder="1" applyAlignment="1">
      <alignment horizontal="center" vertical="center"/>
    </xf>
    <xf numFmtId="37" fontId="25" fillId="12" borderId="2" xfId="21" applyNumberFormat="1" applyFont="1" applyFill="1" applyBorder="1" applyAlignment="1">
      <alignment horizontal="center" vertical="center"/>
    </xf>
    <xf numFmtId="0" fontId="25" fillId="12" borderId="2" xfId="21" applyFont="1" applyFill="1" applyBorder="1" applyAlignment="1">
      <alignment horizontal="center" vertical="center"/>
    </xf>
    <xf numFmtId="38" fontId="25" fillId="12" borderId="2" xfId="21" applyNumberFormat="1" applyFont="1" applyFill="1" applyBorder="1" applyAlignment="1">
      <alignment horizontal="center" vertical="center"/>
    </xf>
    <xf numFmtId="44" fontId="37" fillId="16" borderId="0" xfId="0" applyNumberFormat="1" applyFont="1" applyFill="1" applyBorder="1"/>
    <xf numFmtId="3" fontId="25" fillId="12" borderId="2" xfId="21" applyNumberFormat="1" applyFont="1" applyFill="1" applyBorder="1" applyAlignment="1">
      <alignment horizontal="center" vertical="center"/>
    </xf>
    <xf numFmtId="164" fontId="25" fillId="12" borderId="2" xfId="24" applyNumberFormat="1" applyFont="1" applyFill="1" applyBorder="1" applyAlignment="1">
      <alignment horizontal="center" vertical="center"/>
    </xf>
    <xf numFmtId="164" fontId="25" fillId="15" borderId="10" xfId="21" applyNumberFormat="1" applyFont="1" applyFill="1" applyBorder="1" applyAlignment="1">
      <alignment wrapText="1"/>
    </xf>
    <xf numFmtId="164" fontId="25" fillId="16" borderId="0" xfId="21" applyNumberFormat="1" applyFont="1" applyFill="1" applyBorder="1" applyAlignment="1">
      <alignment wrapText="1"/>
    </xf>
    <xf numFmtId="44" fontId="25" fillId="16" borderId="0" xfId="21" applyNumberFormat="1" applyFont="1" applyFill="1" applyBorder="1" applyAlignment="1">
      <alignment wrapText="1"/>
    </xf>
    <xf numFmtId="0" fontId="37" fillId="15" borderId="0" xfId="21" applyFont="1" applyFill="1" applyBorder="1" applyAlignment="1">
      <alignment vertical="top"/>
    </xf>
    <xf numFmtId="0" fontId="37" fillId="15" borderId="0" xfId="21" applyFont="1" applyFill="1" applyBorder="1" applyAlignment="1">
      <alignment vertical="top" wrapText="1"/>
    </xf>
    <xf numFmtId="0" fontId="37" fillId="15" borderId="6" xfId="21" applyFont="1" applyFill="1" applyBorder="1" applyAlignment="1">
      <alignment horizontal="left" vertical="top" wrapText="1"/>
    </xf>
    <xf numFmtId="0" fontId="37" fillId="16" borderId="0" xfId="21" applyFont="1" applyFill="1" applyBorder="1" applyAlignment="1">
      <alignment horizontal="left" vertical="top" wrapText="1"/>
    </xf>
    <xf numFmtId="0" fontId="27" fillId="15" borderId="0" xfId="0" quotePrefix="1" applyFont="1" applyFill="1" applyBorder="1" applyAlignment="1" applyProtection="1">
      <alignment horizontal="center" wrapText="1"/>
    </xf>
    <xf numFmtId="0" fontId="27" fillId="15" borderId="0" xfId="21" applyFont="1" applyFill="1" applyBorder="1" applyAlignment="1">
      <alignment horizontal="right" wrapText="1"/>
    </xf>
    <xf numFmtId="0" fontId="25" fillId="15" borderId="0" xfId="0" applyFont="1" applyFill="1" applyBorder="1" applyAlignment="1">
      <alignment horizontal="right" wrapText="1"/>
    </xf>
    <xf numFmtId="176" fontId="25" fillId="15" borderId="10" xfId="21" applyNumberFormat="1" applyFont="1" applyFill="1" applyBorder="1" applyAlignment="1">
      <alignment horizontal="center" wrapText="1"/>
    </xf>
    <xf numFmtId="0" fontId="25" fillId="15" borderId="0" xfId="21" applyFont="1" applyFill="1" applyBorder="1" applyAlignment="1">
      <alignment horizontal="right" wrapText="1"/>
    </xf>
    <xf numFmtId="181" fontId="25" fillId="15" borderId="0" xfId="21" applyNumberFormat="1" applyFont="1" applyFill="1" applyBorder="1" applyAlignment="1">
      <alignment horizontal="center" vertical="center" wrapText="1"/>
    </xf>
    <xf numFmtId="37" fontId="25" fillId="15" borderId="10" xfId="21" applyNumberFormat="1" applyFont="1" applyFill="1" applyBorder="1" applyAlignment="1">
      <alignment horizontal="center" wrapText="1"/>
    </xf>
    <xf numFmtId="3" fontId="25" fillId="15" borderId="0" xfId="21" applyNumberFormat="1" applyFont="1" applyFill="1" applyBorder="1" applyAlignment="1">
      <alignment horizontal="center" vertical="center" wrapText="1"/>
    </xf>
    <xf numFmtId="0" fontId="27" fillId="22" borderId="3" xfId="0" applyFont="1" applyFill="1" applyBorder="1" applyAlignment="1">
      <alignment horizontal="centerContinuous" vertical="center"/>
    </xf>
    <xf numFmtId="0" fontId="25" fillId="22" borderId="4" xfId="0" applyFont="1" applyFill="1" applyBorder="1" applyAlignment="1">
      <alignment horizontal="centerContinuous" vertical="center"/>
    </xf>
    <xf numFmtId="0" fontId="25" fillId="22" borderId="5" xfId="0" applyFont="1" applyFill="1" applyBorder="1" applyAlignment="1">
      <alignment horizontal="centerContinuous" vertical="center"/>
    </xf>
    <xf numFmtId="0" fontId="25" fillId="21" borderId="7" xfId="0" applyFont="1" applyFill="1" applyBorder="1"/>
    <xf numFmtId="0" fontId="25" fillId="21" borderId="8" xfId="0" applyFont="1" applyFill="1" applyBorder="1"/>
    <xf numFmtId="0" fontId="25" fillId="21" borderId="8" xfId="0" applyNumberFormat="1" applyFont="1" applyFill="1" applyBorder="1"/>
    <xf numFmtId="0" fontId="25" fillId="21" borderId="9" xfId="0" applyFont="1" applyFill="1" applyBorder="1"/>
    <xf numFmtId="0" fontId="25" fillId="21" borderId="13" xfId="0" applyFont="1" applyFill="1" applyBorder="1"/>
    <xf numFmtId="0" fontId="25" fillId="21" borderId="0" xfId="0" applyFont="1" applyFill="1" applyBorder="1" applyAlignment="1"/>
    <xf numFmtId="0" fontId="27" fillId="21" borderId="0" xfId="0" applyFont="1" applyFill="1" applyBorder="1" applyAlignment="1">
      <alignment horizontal="centerContinuous"/>
    </xf>
    <xf numFmtId="0" fontId="25" fillId="21" borderId="0" xfId="0" applyFont="1" applyFill="1" applyBorder="1" applyAlignment="1">
      <alignment horizontal="centerContinuous"/>
    </xf>
    <xf numFmtId="0" fontId="25" fillId="21" borderId="0" xfId="0" applyNumberFormat="1" applyFont="1" applyFill="1" applyBorder="1" applyAlignment="1"/>
    <xf numFmtId="2" fontId="27" fillId="21" borderId="0" xfId="0" applyNumberFormat="1" applyFont="1" applyFill="1" applyBorder="1" applyAlignment="1">
      <alignment horizontal="centerContinuous"/>
    </xf>
    <xf numFmtId="0" fontId="25" fillId="21" borderId="0" xfId="0" applyFont="1" applyFill="1" applyBorder="1"/>
    <xf numFmtId="0" fontId="25" fillId="21" borderId="10" xfId="0" applyFont="1" applyFill="1" applyBorder="1"/>
    <xf numFmtId="0" fontId="34" fillId="21" borderId="0" xfId="0" applyFont="1" applyFill="1" applyBorder="1" applyAlignment="1">
      <alignment horizontal="center"/>
    </xf>
    <xf numFmtId="0" fontId="27" fillId="21" borderId="0" xfId="0" applyFont="1" applyFill="1" applyBorder="1" applyAlignment="1">
      <alignment horizontal="center"/>
    </xf>
    <xf numFmtId="2" fontId="27" fillId="21" borderId="0" xfId="0" applyNumberFormat="1" applyFont="1" applyFill="1" applyBorder="1" applyAlignment="1">
      <alignment horizontal="center"/>
    </xf>
    <xf numFmtId="170" fontId="25" fillId="0" borderId="2" xfId="0" applyNumberFormat="1" applyFont="1" applyFill="1" applyBorder="1" applyAlignment="1">
      <alignment horizontal="center"/>
    </xf>
    <xf numFmtId="2" fontId="25" fillId="12" borderId="29" xfId="0" applyNumberFormat="1" applyFont="1" applyFill="1" applyBorder="1" applyAlignment="1">
      <alignment horizontal="center"/>
    </xf>
    <xf numFmtId="170" fontId="25" fillId="12" borderId="2" xfId="0" applyNumberFormat="1" applyFont="1" applyFill="1" applyBorder="1" applyAlignment="1">
      <alignment horizontal="center"/>
    </xf>
    <xf numFmtId="170" fontId="25" fillId="21" borderId="0" xfId="0" applyNumberFormat="1" applyFont="1" applyFill="1" applyBorder="1"/>
    <xf numFmtId="2" fontId="25" fillId="0" borderId="29" xfId="0" applyNumberFormat="1" applyFont="1" applyFill="1" applyBorder="1" applyAlignment="1">
      <alignment horizontal="center"/>
    </xf>
    <xf numFmtId="170" fontId="25" fillId="19" borderId="18" xfId="0" applyNumberFormat="1" applyFont="1" applyFill="1" applyBorder="1" applyAlignment="1">
      <alignment horizontal="center"/>
    </xf>
    <xf numFmtId="0" fontId="25" fillId="21" borderId="11" xfId="0" applyNumberFormat="1" applyFont="1" applyFill="1" applyBorder="1"/>
    <xf numFmtId="0" fontId="25" fillId="21" borderId="6" xfId="0" applyNumberFormat="1" applyFont="1" applyFill="1" applyBorder="1" applyAlignment="1"/>
    <xf numFmtId="0" fontId="25" fillId="21" borderId="6" xfId="0" applyNumberFormat="1" applyFont="1" applyFill="1" applyBorder="1"/>
    <xf numFmtId="0" fontId="25" fillId="21" borderId="12" xfId="0" applyNumberFormat="1" applyFont="1" applyFill="1" applyBorder="1"/>
    <xf numFmtId="0" fontId="27" fillId="22" borderId="5" xfId="0" applyFont="1" applyFill="1" applyBorder="1" applyAlignment="1">
      <alignment horizontal="centerContinuous" vertical="center"/>
    </xf>
    <xf numFmtId="0" fontId="25" fillId="16" borderId="0" xfId="0" applyFont="1" applyFill="1" applyBorder="1" applyProtection="1"/>
    <xf numFmtId="0" fontId="27" fillId="21" borderId="7" xfId="0" applyFont="1" applyFill="1" applyBorder="1"/>
    <xf numFmtId="0" fontId="27" fillId="21" borderId="8" xfId="0" applyFont="1" applyFill="1" applyBorder="1"/>
    <xf numFmtId="0" fontId="27" fillId="21" borderId="8" xfId="0" applyFont="1" applyFill="1" applyBorder="1" applyAlignment="1">
      <alignment vertical="center"/>
    </xf>
    <xf numFmtId="0" fontId="27" fillId="21" borderId="9" xfId="0" applyFont="1" applyFill="1" applyBorder="1"/>
    <xf numFmtId="0" fontId="27" fillId="16" borderId="0" xfId="0" applyFont="1" applyFill="1" applyBorder="1"/>
    <xf numFmtId="0" fontId="27" fillId="21" borderId="0" xfId="0" applyFont="1" applyFill="1" applyBorder="1" applyAlignment="1">
      <alignment vertical="center"/>
    </xf>
    <xf numFmtId="0" fontId="43" fillId="21" borderId="0" xfId="0" applyFont="1" applyFill="1" applyBorder="1" applyProtection="1"/>
    <xf numFmtId="0" fontId="43" fillId="21" borderId="0" xfId="0" applyFont="1" applyFill="1" applyBorder="1" applyAlignment="1" applyProtection="1">
      <alignment wrapText="1"/>
    </xf>
    <xf numFmtId="0" fontId="27" fillId="21" borderId="0" xfId="0" applyFont="1" applyFill="1" applyBorder="1" applyAlignment="1" applyProtection="1">
      <alignment horizontal="center"/>
    </xf>
    <xf numFmtId="0" fontId="27" fillId="21" borderId="0" xfId="18" applyFont="1" applyFill="1" applyBorder="1" applyProtection="1"/>
    <xf numFmtId="0" fontId="25" fillId="21" borderId="0" xfId="18" applyFont="1" applyFill="1" applyBorder="1" applyProtection="1"/>
    <xf numFmtId="0" fontId="25" fillId="21" borderId="0" xfId="0" applyFont="1" applyFill="1" applyBorder="1" applyProtection="1"/>
    <xf numFmtId="0" fontId="27" fillId="21" borderId="0" xfId="0" applyFont="1" applyFill="1" applyBorder="1" applyProtection="1"/>
    <xf numFmtId="0" fontId="25" fillId="21" borderId="11" xfId="0" applyFont="1" applyFill="1" applyBorder="1"/>
    <xf numFmtId="0" fontId="25" fillId="21" borderId="6" xfId="0" applyFont="1" applyFill="1" applyBorder="1"/>
    <xf numFmtId="0" fontId="25" fillId="21" borderId="12" xfId="0" applyFont="1" applyFill="1" applyBorder="1"/>
    <xf numFmtId="165" fontId="25" fillId="21" borderId="0" xfId="14" applyNumberFormat="1" applyFont="1" applyFill="1" applyBorder="1" applyProtection="1"/>
    <xf numFmtId="0" fontId="27" fillId="16" borderId="0" xfId="0" applyFont="1" applyFill="1" applyBorder="1" applyAlignment="1" applyProtection="1"/>
    <xf numFmtId="0" fontId="25" fillId="16" borderId="0" xfId="0" applyFont="1" applyFill="1" applyBorder="1" applyAlignment="1" applyProtection="1"/>
    <xf numFmtId="0" fontId="26" fillId="34" borderId="51" xfId="17" applyFont="1" applyFill="1" applyBorder="1" applyAlignment="1" applyProtection="1">
      <alignment horizontal="center" wrapText="1"/>
    </xf>
    <xf numFmtId="0" fontId="26" fillId="28" borderId="49" xfId="17" applyFont="1" applyFill="1" applyBorder="1" applyAlignment="1" applyProtection="1">
      <alignment horizontal="center" vertical="top" wrapText="1"/>
    </xf>
    <xf numFmtId="0" fontId="27" fillId="16" borderId="0" xfId="0" applyFont="1" applyFill="1" applyBorder="1" applyAlignment="1"/>
    <xf numFmtId="177" fontId="25" fillId="12" borderId="2" xfId="0" applyNumberFormat="1" applyFont="1" applyFill="1" applyBorder="1" applyAlignment="1">
      <alignment horizontal="center"/>
    </xf>
    <xf numFmtId="180" fontId="25" fillId="12" borderId="2" xfId="0" applyNumberFormat="1" applyFont="1" applyFill="1" applyBorder="1" applyAlignment="1">
      <alignment horizontal="center"/>
    </xf>
    <xf numFmtId="0" fontId="27" fillId="16" borderId="0" xfId="0" quotePrefix="1" applyFont="1" applyFill="1" applyBorder="1" applyAlignment="1" applyProtection="1">
      <alignment horizontal="center" wrapText="1"/>
    </xf>
    <xf numFmtId="0" fontId="27" fillId="16" borderId="0" xfId="0" applyFont="1" applyFill="1" applyBorder="1" applyAlignment="1">
      <alignment horizontal="center" wrapText="1"/>
    </xf>
    <xf numFmtId="0" fontId="27" fillId="16" borderId="0" xfId="0" applyFont="1" applyFill="1" applyBorder="1" applyAlignment="1">
      <alignment horizontal="center"/>
    </xf>
    <xf numFmtId="0" fontId="25" fillId="16" borderId="0" xfId="0" applyFont="1" applyFill="1" applyBorder="1" applyAlignment="1">
      <alignment horizontal="center"/>
    </xf>
    <xf numFmtId="165" fontId="25" fillId="16" borderId="0" xfId="0" applyNumberFormat="1" applyFont="1" applyFill="1" applyBorder="1"/>
    <xf numFmtId="168" fontId="25" fillId="16" borderId="0" xfId="0" applyNumberFormat="1" applyFont="1" applyFill="1" applyBorder="1"/>
    <xf numFmtId="169" fontId="25" fillId="16" borderId="0" xfId="0" applyNumberFormat="1" applyFont="1" applyFill="1" applyBorder="1"/>
    <xf numFmtId="10" fontId="25" fillId="16" borderId="0" xfId="0" applyNumberFormat="1" applyFont="1" applyFill="1" applyBorder="1"/>
    <xf numFmtId="10" fontId="25" fillId="16" borderId="0" xfId="0" applyNumberFormat="1" applyFont="1" applyFill="1" applyBorder="1" applyAlignment="1">
      <alignment horizontal="right"/>
    </xf>
    <xf numFmtId="0" fontId="25" fillId="17" borderId="0" xfId="0" applyFont="1" applyFill="1" applyProtection="1"/>
    <xf numFmtId="0" fontId="27" fillId="18" borderId="18" xfId="0" applyFont="1" applyFill="1" applyBorder="1" applyAlignment="1" applyProtection="1">
      <alignment horizontal="center" vertical="center"/>
    </xf>
    <xf numFmtId="0" fontId="25" fillId="15" borderId="7" xfId="0" applyFont="1" applyFill="1" applyBorder="1" applyAlignment="1" applyProtection="1"/>
    <xf numFmtId="0" fontId="25" fillId="15" borderId="9" xfId="0" applyFont="1" applyFill="1" applyBorder="1" applyAlignment="1" applyProtection="1"/>
    <xf numFmtId="0" fontId="25" fillId="15" borderId="13" xfId="0" applyFont="1" applyFill="1" applyBorder="1" applyAlignment="1" applyProtection="1"/>
    <xf numFmtId="0" fontId="27" fillId="15" borderId="0" xfId="0" applyFont="1" applyFill="1" applyBorder="1" applyAlignment="1" applyProtection="1">
      <alignment horizontal="right" vertical="center"/>
    </xf>
    <xf numFmtId="0" fontId="25" fillId="15" borderId="10" xfId="0" applyFont="1" applyFill="1" applyBorder="1" applyAlignment="1" applyProtection="1"/>
    <xf numFmtId="0" fontId="25" fillId="15" borderId="0" xfId="0" applyFont="1" applyFill="1" applyBorder="1" applyAlignment="1" applyProtection="1">
      <alignment horizontal="right" vertical="center"/>
    </xf>
    <xf numFmtId="0" fontId="33" fillId="0" borderId="18" xfId="0" applyFont="1" applyFill="1" applyBorder="1" applyAlignment="1" applyProtection="1">
      <alignment horizontal="center" vertical="center"/>
    </xf>
    <xf numFmtId="0" fontId="25" fillId="0" borderId="18" xfId="0" applyFont="1" applyFill="1" applyBorder="1" applyAlignment="1" applyProtection="1">
      <alignment horizontal="center" vertical="center"/>
    </xf>
    <xf numFmtId="0" fontId="33" fillId="15" borderId="0" xfId="0" applyFont="1" applyFill="1" applyBorder="1" applyAlignment="1" applyProtection="1"/>
    <xf numFmtId="164" fontId="33" fillId="0" borderId="18" xfId="20" applyNumberFormat="1" applyFont="1" applyFill="1" applyBorder="1" applyAlignment="1" applyProtection="1">
      <alignment horizontal="center" vertical="center"/>
    </xf>
    <xf numFmtId="10" fontId="25" fillId="15" borderId="0" xfId="20" applyNumberFormat="1" applyFont="1" applyFill="1" applyBorder="1" applyAlignment="1" applyProtection="1">
      <alignment horizontal="center" vertical="center"/>
    </xf>
    <xf numFmtId="10" fontId="25" fillId="15" borderId="10" xfId="20" applyNumberFormat="1" applyFont="1" applyFill="1" applyBorder="1" applyAlignment="1" applyProtection="1"/>
    <xf numFmtId="0" fontId="25" fillId="15" borderId="13" xfId="0" quotePrefix="1" applyFont="1" applyFill="1" applyBorder="1" applyAlignment="1" applyProtection="1"/>
    <xf numFmtId="0" fontId="25" fillId="15" borderId="0" xfId="0" quotePrefix="1" applyFont="1" applyFill="1" applyBorder="1" applyAlignment="1" applyProtection="1"/>
    <xf numFmtId="10" fontId="25" fillId="15" borderId="0" xfId="20" applyNumberFormat="1" applyFont="1" applyFill="1" applyBorder="1" applyAlignment="1" applyProtection="1"/>
    <xf numFmtId="0" fontId="25" fillId="15" borderId="0" xfId="0" quotePrefix="1" applyFont="1" applyFill="1" applyBorder="1" applyAlignment="1" applyProtection="1">
      <alignment horizontal="right" vertical="center"/>
    </xf>
    <xf numFmtId="0" fontId="25" fillId="15" borderId="10" xfId="0" quotePrefix="1" applyFont="1" applyFill="1" applyBorder="1" applyAlignment="1" applyProtection="1"/>
    <xf numFmtId="0" fontId="25" fillId="15" borderId="11" xfId="0" applyFont="1" applyFill="1" applyBorder="1" applyAlignment="1" applyProtection="1"/>
    <xf numFmtId="0" fontId="25" fillId="15" borderId="12" xfId="0" applyFont="1" applyFill="1" applyBorder="1" applyAlignment="1" applyProtection="1"/>
    <xf numFmtId="0" fontId="25" fillId="17" borderId="0" xfId="0" applyFont="1" applyFill="1" applyBorder="1" applyProtection="1"/>
    <xf numFmtId="0" fontId="25" fillId="17" borderId="0" xfId="0" applyFont="1" applyFill="1" applyBorder="1" applyAlignment="1" applyProtection="1"/>
    <xf numFmtId="0" fontId="25" fillId="17" borderId="0" xfId="0" applyFont="1" applyFill="1" applyBorder="1" applyAlignment="1" applyProtection="1">
      <alignment wrapText="1"/>
    </xf>
    <xf numFmtId="0" fontId="25" fillId="15" borderId="7" xfId="0" applyFont="1" applyFill="1" applyBorder="1" applyProtection="1"/>
    <xf numFmtId="0" fontId="25" fillId="15" borderId="8" xfId="0" applyFont="1" applyFill="1" applyBorder="1" applyProtection="1"/>
    <xf numFmtId="0" fontId="33" fillId="15" borderId="9" xfId="0" applyFont="1" applyFill="1" applyBorder="1" applyProtection="1"/>
    <xf numFmtId="0" fontId="25" fillId="15" borderId="9" xfId="0" applyFont="1" applyFill="1" applyBorder="1" applyProtection="1"/>
    <xf numFmtId="0" fontId="25" fillId="15" borderId="13" xfId="0" applyFont="1" applyFill="1" applyBorder="1" applyProtection="1"/>
    <xf numFmtId="0" fontId="34" fillId="15" borderId="0" xfId="0" applyFont="1" applyFill="1" applyBorder="1" applyAlignment="1" applyProtection="1">
      <alignment horizontal="center"/>
    </xf>
    <xf numFmtId="0" fontId="25" fillId="15" borderId="0" xfId="0" applyFont="1" applyFill="1" applyBorder="1" applyProtection="1"/>
    <xf numFmtId="0" fontId="33" fillId="15" borderId="10" xfId="0" applyFont="1" applyFill="1" applyBorder="1" applyProtection="1"/>
    <xf numFmtId="0" fontId="34" fillId="15" borderId="0" xfId="0" applyFont="1" applyFill="1" applyBorder="1" applyAlignment="1" applyProtection="1">
      <alignment horizontal="center" vertical="center" wrapText="1"/>
    </xf>
    <xf numFmtId="2" fontId="25" fillId="15" borderId="10" xfId="0" applyNumberFormat="1" applyFont="1" applyFill="1" applyBorder="1" applyAlignment="1" applyProtection="1"/>
    <xf numFmtId="2" fontId="27" fillId="19" borderId="2" xfId="0" applyNumberFormat="1" applyFont="1" applyFill="1" applyBorder="1" applyAlignment="1" applyProtection="1">
      <alignment horizontal="center" vertical="center"/>
    </xf>
    <xf numFmtId="2" fontId="33" fillId="0" borderId="2" xfId="0" applyNumberFormat="1" applyFont="1" applyFill="1" applyBorder="1" applyAlignment="1" applyProtection="1">
      <alignment horizontal="center" vertical="center" wrapText="1"/>
    </xf>
    <xf numFmtId="0" fontId="25" fillId="15" borderId="10" xfId="0" applyFont="1" applyFill="1" applyBorder="1" applyProtection="1"/>
    <xf numFmtId="2" fontId="25" fillId="15" borderId="0" xfId="3" applyNumberFormat="1" applyFont="1" applyFill="1" applyBorder="1" applyAlignment="1" applyProtection="1">
      <alignment horizontal="center" vertical="center" wrapText="1"/>
    </xf>
    <xf numFmtId="2" fontId="25" fillId="15" borderId="13" xfId="0" applyNumberFormat="1" applyFont="1" applyFill="1" applyBorder="1" applyAlignment="1" applyProtection="1">
      <alignment horizontal="right" indent="1"/>
    </xf>
    <xf numFmtId="0" fontId="27" fillId="15" borderId="0" xfId="0" applyFont="1" applyFill="1" applyBorder="1" applyAlignment="1" applyProtection="1">
      <alignment horizontal="center" wrapText="1"/>
    </xf>
    <xf numFmtId="0" fontId="25" fillId="15" borderId="11" xfId="0" applyFont="1" applyFill="1" applyBorder="1" applyProtection="1"/>
    <xf numFmtId="2" fontId="25" fillId="15" borderId="6" xfId="0" applyNumberFormat="1" applyFont="1" applyFill="1" applyBorder="1" applyAlignment="1" applyProtection="1"/>
    <xf numFmtId="2" fontId="25" fillId="15" borderId="12" xfId="0" applyNumberFormat="1" applyFont="1" applyFill="1" applyBorder="1" applyAlignment="1" applyProtection="1"/>
    <xf numFmtId="0" fontId="25" fillId="15" borderId="6" xfId="0" applyFont="1" applyFill="1" applyBorder="1" applyProtection="1"/>
    <xf numFmtId="0" fontId="25" fillId="15" borderId="12" xfId="0" applyFont="1" applyFill="1" applyBorder="1" applyProtection="1"/>
    <xf numFmtId="171" fontId="25" fillId="12" borderId="16" xfId="3" applyNumberFormat="1" applyFont="1" applyFill="1" applyBorder="1" applyAlignment="1" applyProtection="1"/>
    <xf numFmtId="165" fontId="25" fillId="12" borderId="15" xfId="14" applyNumberFormat="1" applyFont="1" applyFill="1" applyBorder="1" applyProtection="1"/>
    <xf numFmtId="165" fontId="25" fillId="12" borderId="14" xfId="14" applyNumberFormat="1" applyFont="1" applyFill="1" applyBorder="1" applyProtection="1"/>
    <xf numFmtId="165" fontId="25" fillId="12" borderId="16" xfId="14" applyNumberFormat="1" applyFont="1" applyFill="1" applyBorder="1" applyProtection="1"/>
    <xf numFmtId="171" fontId="25" fillId="19" borderId="14" xfId="3" applyNumberFormat="1" applyFont="1" applyFill="1" applyBorder="1" applyProtection="1"/>
    <xf numFmtId="165" fontId="25" fillId="19" borderId="15" xfId="14" applyNumberFormat="1" applyFont="1" applyFill="1" applyBorder="1" applyProtection="1"/>
    <xf numFmtId="165" fontId="25" fillId="19" borderId="14" xfId="14" applyNumberFormat="1" applyFont="1" applyFill="1" applyBorder="1" applyProtection="1"/>
    <xf numFmtId="165" fontId="25" fillId="19" borderId="16" xfId="14" applyNumberFormat="1" applyFont="1" applyFill="1" applyBorder="1" applyProtection="1"/>
    <xf numFmtId="181" fontId="27" fillId="19" borderId="60" xfId="21" applyNumberFormat="1" applyFont="1" applyFill="1" applyBorder="1" applyAlignment="1">
      <alignment horizontal="center" vertical="center" wrapText="1"/>
    </xf>
    <xf numFmtId="181" fontId="25" fillId="12" borderId="14" xfId="21" applyNumberFormat="1" applyFont="1" applyFill="1" applyBorder="1" applyAlignment="1">
      <alignment horizontal="center" vertical="center" wrapText="1"/>
    </xf>
    <xf numFmtId="181" fontId="25" fillId="12" borderId="2" xfId="21" applyNumberFormat="1" applyFont="1" applyFill="1" applyBorder="1" applyAlignment="1">
      <alignment horizontal="center" vertical="center" wrapText="1"/>
    </xf>
    <xf numFmtId="3" fontId="25" fillId="12" borderId="14" xfId="21" applyNumberFormat="1" applyFont="1" applyFill="1" applyBorder="1" applyAlignment="1">
      <alignment horizontal="center" vertical="center" wrapText="1"/>
    </xf>
    <xf numFmtId="3" fontId="25" fillId="12" borderId="2" xfId="21" applyNumberFormat="1" applyFont="1" applyFill="1" applyBorder="1" applyAlignment="1">
      <alignment horizontal="center" vertical="center" wrapText="1"/>
    </xf>
    <xf numFmtId="168" fontId="27" fillId="19" borderId="60" xfId="0" applyNumberFormat="1" applyFont="1" applyFill="1" applyBorder="1" applyAlignment="1">
      <alignment horizontal="center" vertical="center"/>
    </xf>
    <xf numFmtId="168" fontId="27" fillId="19" borderId="61" xfId="0" applyNumberFormat="1" applyFont="1" applyFill="1" applyBorder="1" applyAlignment="1">
      <alignment horizontal="center" vertical="center"/>
    </xf>
    <xf numFmtId="168" fontId="27" fillId="19" borderId="62" xfId="0" applyNumberFormat="1" applyFont="1" applyFill="1" applyBorder="1" applyAlignment="1">
      <alignment horizontal="center" vertical="center"/>
    </xf>
    <xf numFmtId="168" fontId="25" fillId="12" borderId="2" xfId="27" applyNumberFormat="1" applyFont="1" applyFill="1" applyBorder="1"/>
    <xf numFmtId="168" fontId="33" fillId="12" borderId="2" xfId="27" applyNumberFormat="1" applyFont="1" applyFill="1" applyBorder="1"/>
    <xf numFmtId="168" fontId="25" fillId="12" borderId="2" xfId="14" applyNumberFormat="1" applyFont="1" applyFill="1" applyBorder="1" applyAlignment="1">
      <alignment horizontal="center"/>
    </xf>
    <xf numFmtId="168" fontId="27" fillId="19" borderId="33" xfId="14" applyNumberFormat="1" applyFont="1" applyFill="1" applyBorder="1" applyAlignment="1">
      <alignment horizontal="center"/>
    </xf>
    <xf numFmtId="168" fontId="27" fillId="19" borderId="63" xfId="14" applyNumberFormat="1" applyFont="1" applyFill="1" applyBorder="1" applyAlignment="1">
      <alignment horizontal="center"/>
    </xf>
    <xf numFmtId="168" fontId="27" fillId="19" borderId="64" xfId="14" applyNumberFormat="1" applyFont="1" applyFill="1" applyBorder="1" applyAlignment="1">
      <alignment horizontal="center"/>
    </xf>
    <xf numFmtId="0" fontId="22" fillId="17" borderId="0" xfId="52" applyFont="1" applyFill="1"/>
    <xf numFmtId="0" fontId="13" fillId="14" borderId="18" xfId="52" applyFont="1" applyFill="1" applyBorder="1" applyAlignment="1">
      <alignment horizontal="center"/>
    </xf>
    <xf numFmtId="0" fontId="22" fillId="16" borderId="0" xfId="52" applyFont="1" applyFill="1"/>
    <xf numFmtId="0" fontId="22" fillId="17" borderId="0" xfId="52" applyFont="1" applyFill="1" applyBorder="1"/>
    <xf numFmtId="0" fontId="22" fillId="16" borderId="0" xfId="52" applyFont="1" applyFill="1" applyBorder="1"/>
    <xf numFmtId="0" fontId="22" fillId="17" borderId="0" xfId="52" applyFont="1" applyFill="1" applyBorder="1" applyAlignment="1">
      <alignment vertical="center"/>
    </xf>
    <xf numFmtId="0" fontId="25" fillId="17" borderId="0" xfId="52" applyFont="1" applyFill="1" applyBorder="1"/>
    <xf numFmtId="1" fontId="25" fillId="12" borderId="2" xfId="24" applyNumberFormat="1" applyFont="1" applyFill="1" applyBorder="1" applyAlignment="1">
      <alignment horizontal="center" vertical="center"/>
    </xf>
    <xf numFmtId="165" fontId="25" fillId="23" borderId="0" xfId="14" quotePrefix="1" applyNumberFormat="1" applyFont="1" applyFill="1" applyBorder="1" applyAlignment="1" applyProtection="1"/>
    <xf numFmtId="9" fontId="25" fillId="23" borderId="0" xfId="20" applyFont="1" applyFill="1" applyBorder="1" applyAlignment="1" applyProtection="1"/>
    <xf numFmtId="44" fontId="25" fillId="23" borderId="0" xfId="14" applyNumberFormat="1" applyFont="1" applyFill="1" applyBorder="1" applyAlignment="1" applyProtection="1"/>
    <xf numFmtId="0" fontId="33" fillId="12" borderId="2" xfId="52" applyFont="1" applyFill="1" applyBorder="1" applyAlignment="1">
      <alignment horizontal="center"/>
    </xf>
    <xf numFmtId="0" fontId="33" fillId="12" borderId="2" xfId="52" applyFont="1" applyFill="1" applyBorder="1" applyAlignment="1">
      <alignment horizontal="center" wrapText="1"/>
    </xf>
    <xf numFmtId="166" fontId="25" fillId="12" borderId="2" xfId="21" applyNumberFormat="1" applyFont="1" applyFill="1" applyBorder="1" applyAlignment="1">
      <alignment horizontal="center" vertical="center" wrapText="1"/>
    </xf>
    <xf numFmtId="164" fontId="25" fillId="12" borderId="2" xfId="20" applyNumberFormat="1" applyFont="1" applyFill="1" applyBorder="1" applyAlignment="1">
      <alignment horizontal="center" vertical="center" wrapText="1"/>
    </xf>
    <xf numFmtId="164" fontId="33" fillId="12" borderId="2" xfId="20" applyNumberFormat="1" applyFont="1" applyFill="1" applyBorder="1" applyAlignment="1">
      <alignment horizontal="center" vertical="center" wrapText="1"/>
    </xf>
    <xf numFmtId="166" fontId="25" fillId="12" borderId="2" xfId="20" applyNumberFormat="1" applyFont="1" applyFill="1" applyBorder="1" applyAlignment="1">
      <alignment horizontal="center" vertical="center" wrapText="1"/>
    </xf>
    <xf numFmtId="44" fontId="25" fillId="12" borderId="2" xfId="21" applyNumberFormat="1" applyFont="1" applyFill="1" applyBorder="1" applyAlignment="1">
      <alignment horizontal="center" vertical="center"/>
    </xf>
    <xf numFmtId="0" fontId="25" fillId="15" borderId="0" xfId="21" applyFont="1" applyFill="1" applyBorder="1" applyAlignment="1">
      <alignment horizontal="right" vertical="center" wrapText="1"/>
    </xf>
    <xf numFmtId="0" fontId="25" fillId="15" borderId="13" xfId="21" applyFont="1" applyFill="1" applyBorder="1" applyAlignment="1">
      <alignment horizontal="left"/>
    </xf>
    <xf numFmtId="0" fontId="25" fillId="15" borderId="11" xfId="21" applyFont="1" applyFill="1" applyBorder="1" applyAlignment="1">
      <alignment horizontal="left"/>
    </xf>
    <xf numFmtId="0" fontId="25" fillId="15" borderId="0" xfId="21" applyFont="1" applyFill="1" applyBorder="1" applyAlignment="1">
      <alignment horizontal="center" vertical="center"/>
    </xf>
    <xf numFmtId="0" fontId="33" fillId="12" borderId="2" xfId="14" applyNumberFormat="1" applyFont="1" applyFill="1" applyBorder="1" applyAlignment="1">
      <alignment horizontal="center" vertical="center" wrapText="1"/>
    </xf>
    <xf numFmtId="1" fontId="25" fillId="15" borderId="0" xfId="21" applyNumberFormat="1" applyFont="1" applyFill="1" applyBorder="1" applyAlignment="1">
      <alignment horizontal="right" vertical="center" wrapText="1"/>
    </xf>
    <xf numFmtId="1" fontId="25" fillId="15" borderId="0" xfId="21" applyNumberFormat="1" applyFont="1" applyFill="1" applyBorder="1" applyAlignment="1">
      <alignment horizontal="right" vertical="center"/>
    </xf>
    <xf numFmtId="44" fontId="25" fillId="12" borderId="2" xfId="14" applyNumberFormat="1" applyFont="1" applyFill="1" applyBorder="1" applyAlignment="1">
      <alignment horizontal="center" vertical="center" wrapText="1"/>
    </xf>
    <xf numFmtId="0" fontId="25" fillId="35" borderId="7" xfId="0" applyFont="1" applyFill="1" applyBorder="1" applyAlignment="1"/>
    <xf numFmtId="0" fontId="25" fillId="35" borderId="8" xfId="0" applyFont="1" applyFill="1" applyBorder="1" applyAlignment="1"/>
    <xf numFmtId="0" fontId="25" fillId="35" borderId="9" xfId="0" applyFont="1" applyFill="1" applyBorder="1" applyAlignment="1"/>
    <xf numFmtId="0" fontId="25" fillId="35" borderId="13" xfId="0" applyFont="1" applyFill="1" applyBorder="1"/>
    <xf numFmtId="0" fontId="27" fillId="35" borderId="0" xfId="0" applyFont="1" applyFill="1" applyBorder="1" applyAlignment="1">
      <alignment horizontal="center" vertical="center"/>
    </xf>
    <xf numFmtId="0" fontId="25" fillId="35" borderId="10" xfId="0" applyFont="1" applyFill="1" applyBorder="1"/>
    <xf numFmtId="167" fontId="25" fillId="35" borderId="0" xfId="0" applyNumberFormat="1" applyFont="1" applyFill="1" applyBorder="1" applyAlignment="1"/>
    <xf numFmtId="0" fontId="25" fillId="35" borderId="0" xfId="0" applyFont="1" applyFill="1" applyBorder="1" applyAlignment="1"/>
    <xf numFmtId="0" fontId="25" fillId="35" borderId="11" xfId="0" applyFont="1" applyFill="1" applyBorder="1"/>
    <xf numFmtId="0" fontId="25" fillId="35" borderId="6" xfId="0" applyFont="1" applyFill="1" applyBorder="1"/>
    <xf numFmtId="0" fontId="25" fillId="35" borderId="12" xfId="0" applyFont="1" applyFill="1" applyBorder="1"/>
    <xf numFmtId="0" fontId="27" fillId="35" borderId="0" xfId="0" applyFont="1" applyFill="1" applyBorder="1"/>
    <xf numFmtId="0" fontId="25" fillId="35" borderId="0" xfId="0" applyFont="1" applyFill="1" applyBorder="1"/>
    <xf numFmtId="172" fontId="27" fillId="35" borderId="0" xfId="0" applyNumberFormat="1" applyFont="1" applyFill="1" applyBorder="1" applyAlignment="1" applyProtection="1">
      <alignment horizontal="left" indent="1"/>
    </xf>
    <xf numFmtId="172" fontId="28" fillId="35" borderId="0" xfId="0" applyNumberFormat="1" applyFont="1" applyFill="1" applyBorder="1" applyAlignment="1" applyProtection="1">
      <alignment horizontal="center"/>
    </xf>
    <xf numFmtId="172" fontId="25" fillId="35" borderId="0" xfId="0" applyNumberFormat="1" applyFont="1" applyFill="1" applyBorder="1" applyAlignment="1" applyProtection="1"/>
    <xf numFmtId="172" fontId="27" fillId="35" borderId="0" xfId="0" quotePrefix="1" applyNumberFormat="1" applyFont="1" applyFill="1" applyBorder="1" applyAlignment="1" applyProtection="1">
      <alignment horizontal="left" indent="1"/>
    </xf>
    <xf numFmtId="170" fontId="28" fillId="35" borderId="0" xfId="0" applyNumberFormat="1" applyFont="1" applyFill="1" applyBorder="1" applyAlignment="1" applyProtection="1">
      <alignment horizontal="center"/>
    </xf>
    <xf numFmtId="170" fontId="25" fillId="35" borderId="0" xfId="0" applyNumberFormat="1" applyFont="1" applyFill="1" applyBorder="1" applyAlignment="1" applyProtection="1"/>
    <xf numFmtId="172" fontId="25" fillId="35" borderId="0" xfId="0" quotePrefix="1" applyNumberFormat="1" applyFont="1" applyFill="1" applyBorder="1" applyAlignment="1" applyProtection="1"/>
    <xf numFmtId="170" fontId="25" fillId="35" borderId="0" xfId="0" applyNumberFormat="1" applyFont="1" applyFill="1" applyBorder="1" applyAlignment="1"/>
    <xf numFmtId="0" fontId="27" fillId="35" borderId="0" xfId="0" applyFont="1" applyFill="1" applyBorder="1" applyAlignment="1"/>
    <xf numFmtId="0" fontId="27" fillId="35" borderId="0" xfId="0" applyFont="1" applyFill="1" applyBorder="1" applyAlignment="1">
      <alignment horizontal="left" vertical="center" indent="1"/>
    </xf>
    <xf numFmtId="0" fontId="29" fillId="35" borderId="0" xfId="0" applyFont="1" applyFill="1" applyBorder="1" applyAlignment="1">
      <alignment horizontal="center" vertical="center"/>
    </xf>
    <xf numFmtId="0" fontId="27" fillId="35" borderId="0" xfId="0" applyFont="1" applyFill="1" applyBorder="1" applyAlignment="1">
      <alignment horizontal="left" vertical="center" wrapText="1" indent="1"/>
    </xf>
    <xf numFmtId="0" fontId="27" fillId="35" borderId="7" xfId="0" applyFont="1" applyFill="1" applyBorder="1"/>
    <xf numFmtId="0" fontId="27" fillId="35" borderId="8" xfId="0" applyFont="1" applyFill="1" applyBorder="1"/>
    <xf numFmtId="0" fontId="27" fillId="35" borderId="13" xfId="0" applyFont="1" applyFill="1" applyBorder="1"/>
    <xf numFmtId="0" fontId="25" fillId="19" borderId="13" xfId="0" applyFont="1" applyFill="1" applyBorder="1"/>
    <xf numFmtId="0" fontId="25" fillId="19" borderId="10" xfId="0" applyFont="1" applyFill="1" applyBorder="1"/>
    <xf numFmtId="0" fontId="25" fillId="19" borderId="11" xfId="0" applyFont="1" applyFill="1" applyBorder="1"/>
    <xf numFmtId="0" fontId="25" fillId="19" borderId="6" xfId="0" applyFont="1" applyFill="1" applyBorder="1"/>
    <xf numFmtId="0" fontId="25" fillId="19" borderId="12" xfId="0" applyFont="1" applyFill="1" applyBorder="1"/>
    <xf numFmtId="0" fontId="27" fillId="19" borderId="0" xfId="0" applyFont="1" applyFill="1" applyBorder="1"/>
    <xf numFmtId="0" fontId="25" fillId="19" borderId="0" xfId="0" applyFont="1" applyFill="1" applyBorder="1"/>
    <xf numFmtId="0" fontId="27" fillId="19" borderId="0" xfId="0" applyFont="1" applyFill="1" applyBorder="1" applyAlignment="1"/>
    <xf numFmtId="0" fontId="25" fillId="19" borderId="7" xfId="0" applyFont="1" applyFill="1" applyBorder="1"/>
    <xf numFmtId="0" fontId="25" fillId="19" borderId="8" xfId="0" applyFont="1" applyFill="1" applyBorder="1"/>
    <xf numFmtId="0" fontId="25" fillId="19" borderId="9" xfId="0" applyFont="1" applyFill="1" applyBorder="1"/>
    <xf numFmtId="0" fontId="25" fillId="19" borderId="0" xfId="0" applyFont="1" applyFill="1" applyBorder="1" applyAlignment="1" applyProtection="1">
      <alignment horizontal="center" wrapText="1"/>
    </xf>
    <xf numFmtId="0" fontId="27" fillId="19" borderId="0" xfId="0" quotePrefix="1" applyFont="1" applyFill="1" applyBorder="1" applyAlignment="1" applyProtection="1">
      <alignment horizontal="center" wrapText="1"/>
    </xf>
    <xf numFmtId="0" fontId="34" fillId="19" borderId="0" xfId="0" applyFont="1" applyFill="1" applyBorder="1" applyAlignment="1">
      <alignment horizontal="center" vertical="center"/>
    </xf>
    <xf numFmtId="0" fontId="27" fillId="19" borderId="0" xfId="0" applyFont="1" applyFill="1" applyBorder="1" applyAlignment="1" applyProtection="1">
      <alignment horizontal="center"/>
    </xf>
    <xf numFmtId="0" fontId="27" fillId="19" borderId="0" xfId="0" applyFont="1" applyFill="1" applyBorder="1" applyAlignment="1">
      <alignment horizontal="right"/>
    </xf>
    <xf numFmtId="0" fontId="27" fillId="19" borderId="6" xfId="0" applyFont="1" applyFill="1" applyBorder="1" applyAlignment="1">
      <alignment horizontal="center"/>
    </xf>
    <xf numFmtId="180" fontId="27" fillId="12" borderId="52" xfId="0" applyNumberFormat="1" applyFont="1" applyFill="1" applyBorder="1" applyAlignment="1">
      <alignment horizontal="center"/>
    </xf>
    <xf numFmtId="180" fontId="27" fillId="12" borderId="53" xfId="0" applyNumberFormat="1" applyFont="1" applyFill="1" applyBorder="1" applyAlignment="1">
      <alignment horizontal="center"/>
    </xf>
    <xf numFmtId="180" fontId="27" fillId="12" borderId="54" xfId="0" applyNumberFormat="1" applyFont="1" applyFill="1" applyBorder="1" applyAlignment="1">
      <alignment horizontal="center"/>
    </xf>
    <xf numFmtId="177" fontId="27" fillId="12" borderId="55" xfId="0" applyNumberFormat="1" applyFont="1" applyFill="1" applyBorder="1" applyAlignment="1">
      <alignment horizontal="center"/>
    </xf>
    <xf numFmtId="177" fontId="27" fillId="12" borderId="16" xfId="0" applyNumberFormat="1" applyFont="1" applyFill="1" applyBorder="1" applyAlignment="1">
      <alignment horizontal="center"/>
    </xf>
    <xf numFmtId="177" fontId="27" fillId="12" borderId="56" xfId="0" applyNumberFormat="1" applyFont="1" applyFill="1" applyBorder="1" applyAlignment="1">
      <alignment horizontal="center"/>
    </xf>
    <xf numFmtId="164" fontId="27" fillId="12" borderId="55" xfId="20" applyNumberFormat="1" applyFont="1" applyFill="1" applyBorder="1" applyAlignment="1">
      <alignment horizontal="center"/>
    </xf>
    <xf numFmtId="164" fontId="27" fillId="12" borderId="16" xfId="20" applyNumberFormat="1" applyFont="1" applyFill="1" applyBorder="1" applyAlignment="1">
      <alignment horizontal="center"/>
    </xf>
    <xf numFmtId="164" fontId="27" fillId="12" borderId="56" xfId="20" applyNumberFormat="1" applyFont="1" applyFill="1" applyBorder="1" applyAlignment="1">
      <alignment horizontal="center"/>
    </xf>
    <xf numFmtId="164" fontId="27" fillId="12" borderId="57" xfId="20" applyNumberFormat="1" applyFont="1" applyFill="1" applyBorder="1" applyAlignment="1">
      <alignment horizontal="center"/>
    </xf>
    <xf numFmtId="164" fontId="27" fillId="12" borderId="58" xfId="20" applyNumberFormat="1" applyFont="1" applyFill="1" applyBorder="1" applyAlignment="1">
      <alignment horizontal="center"/>
    </xf>
    <xf numFmtId="164" fontId="27" fillId="12" borderId="59" xfId="20" applyNumberFormat="1" applyFont="1" applyFill="1" applyBorder="1" applyAlignment="1">
      <alignment horizontal="center"/>
    </xf>
    <xf numFmtId="168" fontId="27" fillId="12" borderId="19" xfId="0" applyNumberFormat="1" applyFont="1" applyFill="1" applyBorder="1" applyAlignment="1">
      <alignment horizontal="center"/>
    </xf>
    <xf numFmtId="170" fontId="27" fillId="12" borderId="21" xfId="0" applyNumberFormat="1" applyFont="1" applyFill="1" applyBorder="1" applyAlignment="1">
      <alignment horizontal="center"/>
    </xf>
    <xf numFmtId="44" fontId="27" fillId="12" borderId="21" xfId="14" applyFont="1" applyFill="1" applyBorder="1" applyAlignment="1">
      <alignment horizontal="center"/>
    </xf>
    <xf numFmtId="9" fontId="27" fillId="12" borderId="23" xfId="20" applyFont="1" applyFill="1" applyBorder="1" applyAlignment="1">
      <alignment horizontal="center"/>
    </xf>
    <xf numFmtId="165" fontId="27" fillId="12" borderId="19" xfId="14" applyNumberFormat="1" applyFont="1" applyFill="1" applyBorder="1" applyAlignment="1">
      <alignment horizontal="left"/>
    </xf>
    <xf numFmtId="165" fontId="27" fillId="12" borderId="21" xfId="14" applyNumberFormat="1" applyFont="1" applyFill="1" applyBorder="1" applyAlignment="1">
      <alignment horizontal="left"/>
    </xf>
    <xf numFmtId="164" fontId="27" fillId="12" borderId="23" xfId="20" applyNumberFormat="1" applyFont="1" applyFill="1" applyBorder="1" applyAlignment="1">
      <alignment horizontal="right"/>
    </xf>
    <xf numFmtId="178" fontId="27" fillId="12" borderId="19" xfId="14" applyNumberFormat="1" applyFont="1" applyFill="1" applyBorder="1" applyAlignment="1">
      <alignment horizontal="right" vertical="center"/>
    </xf>
    <xf numFmtId="178" fontId="27" fillId="12" borderId="21" xfId="14" applyNumberFormat="1" applyFont="1" applyFill="1" applyBorder="1" applyAlignment="1">
      <alignment horizontal="right" vertical="center"/>
    </xf>
    <xf numFmtId="0" fontId="27" fillId="12" borderId="21" xfId="20" applyNumberFormat="1" applyFont="1" applyFill="1" applyBorder="1" applyAlignment="1">
      <alignment horizontal="right"/>
    </xf>
    <xf numFmtId="178" fontId="27" fillId="12" borderId="23" xfId="14" applyNumberFormat="1" applyFont="1" applyFill="1" applyBorder="1" applyAlignment="1">
      <alignment horizontal="right" vertical="center"/>
    </xf>
    <xf numFmtId="174" fontId="25" fillId="12" borderId="0" xfId="14" applyNumberFormat="1" applyFont="1" applyFill="1" applyBorder="1" applyAlignment="1">
      <alignment horizontal="center" vertical="center"/>
    </xf>
    <xf numFmtId="165" fontId="25" fillId="12" borderId="0" xfId="14" applyNumberFormat="1" applyFont="1" applyFill="1" applyBorder="1" applyAlignment="1">
      <alignment horizontal="center" vertical="center"/>
    </xf>
    <xf numFmtId="178" fontId="25" fillId="12" borderId="0" xfId="14" applyNumberFormat="1" applyFont="1" applyFill="1" applyBorder="1" applyAlignment="1">
      <alignment horizontal="center"/>
    </xf>
    <xf numFmtId="179" fontId="25" fillId="12" borderId="0" xfId="14" applyNumberFormat="1" applyFont="1" applyFill="1" applyBorder="1" applyAlignment="1">
      <alignment horizontal="center"/>
    </xf>
    <xf numFmtId="44" fontId="25" fillId="12" borderId="0" xfId="14" applyFont="1" applyFill="1" applyBorder="1" applyAlignment="1">
      <alignment horizontal="center" vertical="center"/>
    </xf>
    <xf numFmtId="179" fontId="27" fillId="12" borderId="0" xfId="14" applyNumberFormat="1" applyFont="1" applyFill="1" applyBorder="1" applyAlignment="1">
      <alignment horizontal="center"/>
    </xf>
    <xf numFmtId="44" fontId="27" fillId="12" borderId="0" xfId="14" applyFont="1" applyFill="1" applyBorder="1" applyAlignment="1">
      <alignment horizontal="center" vertical="center"/>
    </xf>
    <xf numFmtId="164" fontId="25" fillId="12" borderId="0" xfId="20" applyNumberFormat="1" applyFont="1" applyFill="1" applyBorder="1" applyAlignment="1">
      <alignment horizontal="center" vertical="center"/>
    </xf>
    <xf numFmtId="0" fontId="27" fillId="19" borderId="0" xfId="0" applyFont="1" applyFill="1" applyBorder="1" applyAlignment="1">
      <alignment horizontal="center"/>
    </xf>
    <xf numFmtId="0" fontId="27" fillId="19" borderId="13" xfId="0" applyFont="1" applyFill="1" applyBorder="1" applyAlignment="1"/>
    <xf numFmtId="0" fontId="34" fillId="19" borderId="0" xfId="0" applyFont="1" applyFill="1" applyBorder="1" applyAlignment="1">
      <alignment horizontal="center"/>
    </xf>
    <xf numFmtId="171" fontId="27" fillId="12" borderId="52" xfId="3" applyNumberFormat="1" applyFont="1" applyFill="1" applyBorder="1" applyProtection="1"/>
    <xf numFmtId="171" fontId="27" fillId="12" borderId="53" xfId="3" applyNumberFormat="1" applyFont="1" applyFill="1" applyBorder="1" applyProtection="1"/>
    <xf numFmtId="171" fontId="27" fillId="12" borderId="54" xfId="3" applyNumberFormat="1" applyFont="1" applyFill="1" applyBorder="1" applyProtection="1"/>
    <xf numFmtId="165" fontId="27" fillId="12" borderId="57" xfId="14" applyNumberFormat="1" applyFont="1" applyFill="1" applyBorder="1" applyProtection="1"/>
    <xf numFmtId="165" fontId="27" fillId="12" borderId="58" xfId="14" applyNumberFormat="1" applyFont="1" applyFill="1" applyBorder="1" applyProtection="1"/>
    <xf numFmtId="165" fontId="27" fillId="12" borderId="59" xfId="14" applyNumberFormat="1" applyFont="1" applyFill="1" applyBorder="1" applyProtection="1"/>
    <xf numFmtId="165" fontId="27" fillId="12" borderId="52" xfId="14" applyNumberFormat="1" applyFont="1" applyFill="1" applyBorder="1" applyProtection="1"/>
    <xf numFmtId="165" fontId="27" fillId="12" borderId="53" xfId="14" applyNumberFormat="1" applyFont="1" applyFill="1" applyBorder="1" applyProtection="1"/>
    <xf numFmtId="165" fontId="27" fillId="12" borderId="54" xfId="14" applyNumberFormat="1" applyFont="1" applyFill="1" applyBorder="1" applyProtection="1"/>
    <xf numFmtId="165" fontId="27" fillId="12" borderId="55" xfId="14" applyNumberFormat="1" applyFont="1" applyFill="1" applyBorder="1" applyProtection="1"/>
    <xf numFmtId="165" fontId="27" fillId="12" borderId="16" xfId="14" applyNumberFormat="1" applyFont="1" applyFill="1" applyBorder="1" applyProtection="1"/>
    <xf numFmtId="165" fontId="27" fillId="12" borderId="56" xfId="14" applyNumberFormat="1" applyFont="1" applyFill="1" applyBorder="1" applyProtection="1"/>
    <xf numFmtId="0" fontId="22" fillId="19" borderId="7" xfId="52" applyFont="1" applyFill="1" applyBorder="1"/>
    <xf numFmtId="0" fontId="22" fillId="19" borderId="8" xfId="52" applyFont="1" applyFill="1" applyBorder="1"/>
    <xf numFmtId="0" fontId="22" fillId="19" borderId="9" xfId="52" applyFont="1" applyFill="1" applyBorder="1"/>
    <xf numFmtId="0" fontId="22" fillId="19" borderId="13" xfId="52" applyFont="1" applyFill="1" applyBorder="1" applyAlignment="1">
      <alignment vertical="center"/>
    </xf>
    <xf numFmtId="0" fontId="22" fillId="19" borderId="0" xfId="52" applyFont="1" applyFill="1" applyBorder="1"/>
    <xf numFmtId="0" fontId="22" fillId="19" borderId="0" xfId="52" applyFont="1" applyFill="1" applyBorder="1" applyAlignment="1">
      <alignment vertical="center"/>
    </xf>
    <xf numFmtId="0" fontId="22" fillId="19" borderId="10" xfId="52" applyFont="1" applyFill="1" applyBorder="1"/>
    <xf numFmtId="0" fontId="22" fillId="19" borderId="13" xfId="52" applyFont="1" applyFill="1" applyBorder="1"/>
    <xf numFmtId="0" fontId="22" fillId="19" borderId="11" xfId="52" applyFont="1" applyFill="1" applyBorder="1"/>
    <xf numFmtId="0" fontId="22" fillId="19" borderId="6" xfId="52" applyFont="1" applyFill="1" applyBorder="1"/>
    <xf numFmtId="0" fontId="22" fillId="19" borderId="12" xfId="52" applyFont="1" applyFill="1" applyBorder="1"/>
    <xf numFmtId="0" fontId="25" fillId="35" borderId="10" xfId="0" applyFont="1" applyFill="1" applyBorder="1" applyAlignment="1"/>
    <xf numFmtId="172" fontId="28" fillId="35" borderId="10" xfId="0" applyNumberFormat="1" applyFont="1" applyFill="1" applyBorder="1" applyAlignment="1" applyProtection="1">
      <alignment horizontal="center"/>
    </xf>
    <xf numFmtId="170" fontId="28" fillId="35" borderId="10" xfId="0" applyNumberFormat="1" applyFont="1" applyFill="1" applyBorder="1" applyAlignment="1" applyProtection="1">
      <alignment horizontal="center"/>
    </xf>
    <xf numFmtId="170" fontId="25" fillId="35" borderId="10" xfId="0" applyNumberFormat="1" applyFont="1" applyFill="1" applyBorder="1" applyAlignment="1" applyProtection="1"/>
    <xf numFmtId="0" fontId="29" fillId="35" borderId="10" xfId="0" applyFont="1" applyFill="1" applyBorder="1" applyAlignment="1">
      <alignment horizontal="center" vertical="center"/>
    </xf>
    <xf numFmtId="0" fontId="25" fillId="17" borderId="0" xfId="73" applyFont="1" applyFill="1"/>
    <xf numFmtId="0" fontId="25" fillId="17" borderId="0" xfId="73" applyFont="1" applyFill="1" applyAlignment="1">
      <alignment horizontal="right"/>
    </xf>
    <xf numFmtId="0" fontId="25" fillId="17" borderId="0" xfId="73" applyFont="1" applyFill="1" applyAlignment="1">
      <alignment wrapText="1"/>
    </xf>
    <xf numFmtId="0" fontId="1" fillId="0" borderId="0" xfId="73"/>
    <xf numFmtId="0" fontId="27" fillId="20" borderId="18" xfId="73" applyFont="1" applyFill="1" applyBorder="1" applyAlignment="1">
      <alignment horizontal="center" vertical="center"/>
    </xf>
    <xf numFmtId="0" fontId="26" fillId="28" borderId="49" xfId="54" applyFont="1" applyFill="1" applyBorder="1" applyAlignment="1">
      <alignment horizontal="center" vertical="center" wrapText="1"/>
    </xf>
    <xf numFmtId="0" fontId="25" fillId="20" borderId="7" xfId="73" applyFont="1" applyFill="1" applyBorder="1"/>
    <xf numFmtId="0" fontId="25" fillId="20" borderId="8" xfId="73" applyFont="1" applyFill="1" applyBorder="1" applyAlignment="1">
      <alignment horizontal="right"/>
    </xf>
    <xf numFmtId="0" fontId="25" fillId="20" borderId="8" xfId="73" applyFont="1" applyFill="1" applyBorder="1" applyAlignment="1">
      <alignment wrapText="1"/>
    </xf>
    <xf numFmtId="0" fontId="25" fillId="20" borderId="9" xfId="73" applyFont="1" applyFill="1" applyBorder="1"/>
    <xf numFmtId="0" fontId="25" fillId="20" borderId="13" xfId="73" applyFont="1" applyFill="1" applyBorder="1"/>
    <xf numFmtId="0" fontId="27" fillId="0" borderId="2" xfId="25" applyFont="1" applyBorder="1" applyAlignment="1">
      <alignment horizontal="right" vertical="center" wrapText="1"/>
    </xf>
    <xf numFmtId="0" fontId="25" fillId="20" borderId="10" xfId="73" applyFont="1" applyFill="1" applyBorder="1"/>
    <xf numFmtId="0" fontId="27" fillId="0" borderId="14" xfId="25" applyFont="1" applyBorder="1" applyAlignment="1">
      <alignment horizontal="right" vertical="center" wrapText="1"/>
    </xf>
    <xf numFmtId="0" fontId="25" fillId="20" borderId="11" xfId="73" applyFont="1" applyFill="1" applyBorder="1"/>
    <xf numFmtId="0" fontId="25" fillId="20" borderId="6" xfId="73" applyFont="1" applyFill="1" applyBorder="1" applyAlignment="1">
      <alignment horizontal="right"/>
    </xf>
    <xf numFmtId="0" fontId="25" fillId="20" borderId="6" xfId="73" applyFont="1" applyFill="1" applyBorder="1" applyAlignment="1">
      <alignment wrapText="1"/>
    </xf>
    <xf numFmtId="0" fontId="25" fillId="20" borderId="12" xfId="73" applyFont="1" applyFill="1" applyBorder="1"/>
    <xf numFmtId="0" fontId="1" fillId="0" borderId="0" xfId="73" applyAlignment="1">
      <alignment horizontal="right"/>
    </xf>
    <xf numFmtId="0" fontId="1" fillId="0" borderId="0" xfId="73" applyAlignment="1">
      <alignment wrapText="1"/>
    </xf>
    <xf numFmtId="0" fontId="25" fillId="15" borderId="0" xfId="0" applyFont="1" applyFill="1" applyBorder="1" applyAlignment="1" applyProtection="1">
      <alignment horizontal="left" vertical="center"/>
    </xf>
    <xf numFmtId="39" fontId="27" fillId="12" borderId="21" xfId="0" applyNumberFormat="1" applyFont="1" applyFill="1" applyBorder="1" applyAlignment="1">
      <alignment horizontal="center"/>
    </xf>
    <xf numFmtId="39" fontId="27" fillId="12" borderId="21" xfId="14" applyNumberFormat="1" applyFont="1" applyFill="1" applyBorder="1" applyAlignment="1">
      <alignment horizontal="center"/>
    </xf>
    <xf numFmtId="39" fontId="27" fillId="12" borderId="23" xfId="20" applyNumberFormat="1" applyFont="1" applyFill="1" applyBorder="1" applyAlignment="1">
      <alignment horizontal="center"/>
    </xf>
    <xf numFmtId="177" fontId="27" fillId="12" borderId="19" xfId="14" applyNumberFormat="1" applyFont="1" applyFill="1" applyBorder="1" applyAlignment="1">
      <alignment horizontal="left"/>
    </xf>
    <xf numFmtId="177" fontId="27" fillId="12" borderId="21" xfId="14" applyNumberFormat="1" applyFont="1" applyFill="1" applyBorder="1" applyAlignment="1">
      <alignment horizontal="left"/>
    </xf>
    <xf numFmtId="9" fontId="27" fillId="12" borderId="23" xfId="20" applyFont="1" applyFill="1" applyBorder="1" applyAlignment="1">
      <alignment horizontal="right"/>
    </xf>
    <xf numFmtId="39" fontId="27" fillId="12" borderId="19" xfId="14" applyNumberFormat="1" applyFont="1" applyFill="1" applyBorder="1" applyAlignment="1">
      <alignment horizontal="center" vertical="center"/>
    </xf>
    <xf numFmtId="39" fontId="27" fillId="12" borderId="21" xfId="14" applyNumberFormat="1" applyFont="1" applyFill="1" applyBorder="1" applyAlignment="1">
      <alignment horizontal="center" vertical="center"/>
    </xf>
    <xf numFmtId="9" fontId="27" fillId="12" borderId="21" xfId="20" applyFont="1" applyFill="1" applyBorder="1" applyAlignment="1">
      <alignment horizontal="center"/>
    </xf>
    <xf numFmtId="39" fontId="27" fillId="12" borderId="23" xfId="14" applyNumberFormat="1" applyFont="1" applyFill="1" applyBorder="1" applyAlignment="1">
      <alignment horizontal="center" vertical="center"/>
    </xf>
    <xf numFmtId="39" fontId="25" fillId="12" borderId="16" xfId="0" applyNumberFormat="1" applyFont="1" applyFill="1" applyBorder="1" applyAlignment="1"/>
    <xf numFmtId="39" fontId="25" fillId="12" borderId="15" xfId="20" applyNumberFormat="1" applyFont="1" applyFill="1" applyBorder="1" applyAlignment="1">
      <alignment vertical="center"/>
    </xf>
    <xf numFmtId="39" fontId="25" fillId="12" borderId="15" xfId="20" applyNumberFormat="1" applyFont="1" applyFill="1" applyBorder="1" applyAlignment="1"/>
    <xf numFmtId="39" fontId="25" fillId="12" borderId="14" xfId="14" applyNumberFormat="1" applyFont="1" applyFill="1" applyBorder="1" applyAlignment="1">
      <alignment horizontal="center"/>
    </xf>
    <xf numFmtId="39" fontId="25" fillId="12" borderId="16" xfId="14" applyNumberFormat="1" applyFont="1" applyFill="1" applyBorder="1" applyAlignment="1">
      <alignment horizontal="center"/>
    </xf>
    <xf numFmtId="39" fontId="25" fillId="12" borderId="16" xfId="14" applyNumberFormat="1" applyFont="1" applyFill="1" applyBorder="1" applyAlignment="1">
      <alignment horizontal="center" vertical="center"/>
    </xf>
    <xf numFmtId="9" fontId="25" fillId="12" borderId="15" xfId="20" applyFont="1" applyFill="1" applyBorder="1" applyAlignment="1">
      <alignment horizontal="center" vertical="center"/>
    </xf>
    <xf numFmtId="9" fontId="25" fillId="12" borderId="15" xfId="20" applyFont="1" applyFill="1" applyBorder="1" applyAlignment="1">
      <alignment horizontal="center"/>
    </xf>
    <xf numFmtId="39" fontId="25" fillId="12" borderId="15" xfId="14" applyNumberFormat="1" applyFont="1" applyFill="1" applyBorder="1" applyAlignment="1">
      <alignment horizontal="center" vertical="center"/>
    </xf>
    <xf numFmtId="39" fontId="25" fillId="12" borderId="15" xfId="14" applyNumberFormat="1" applyFont="1" applyFill="1" applyBorder="1" applyAlignment="1">
      <alignment horizontal="center"/>
    </xf>
    <xf numFmtId="9" fontId="25" fillId="12" borderId="16" xfId="20" applyFont="1" applyFill="1" applyBorder="1" applyAlignment="1">
      <alignment horizontal="center" vertical="center"/>
    </xf>
    <xf numFmtId="9" fontId="25" fillId="12" borderId="16" xfId="20" applyFont="1" applyFill="1" applyBorder="1" applyAlignment="1">
      <alignment horizontal="center"/>
    </xf>
    <xf numFmtId="0" fontId="33" fillId="0" borderId="18" xfId="0" applyFont="1" applyBorder="1" applyAlignment="1">
      <alignment horizontal="center" vertical="center"/>
    </xf>
    <xf numFmtId="9" fontId="33" fillId="15" borderId="0" xfId="20" applyFont="1" applyFill="1" applyBorder="1" applyAlignment="1" applyProtection="1"/>
    <xf numFmtId="2" fontId="33" fillId="0" borderId="2" xfId="21" applyNumberFormat="1" applyFont="1" applyBorder="1" applyAlignment="1">
      <alignment horizontal="center" vertical="center"/>
    </xf>
    <xf numFmtId="2" fontId="25" fillId="0" borderId="2" xfId="0" applyNumberFormat="1" applyFont="1" applyFill="1" applyBorder="1" applyAlignment="1" applyProtection="1">
      <alignment horizontal="center" vertical="center"/>
    </xf>
    <xf numFmtId="2" fontId="25" fillId="0" borderId="2" xfId="0" applyNumberFormat="1" applyFont="1" applyFill="1" applyBorder="1" applyAlignment="1" applyProtection="1">
      <alignment horizontal="center"/>
    </xf>
    <xf numFmtId="0" fontId="27" fillId="17" borderId="0" xfId="0" applyFont="1" applyFill="1" applyAlignment="1">
      <alignment horizontal="centerContinuous"/>
    </xf>
    <xf numFmtId="0" fontId="27" fillId="15" borderId="8" xfId="0" applyFont="1" applyFill="1" applyBorder="1" applyAlignment="1">
      <alignment horizontal="center"/>
    </xf>
    <xf numFmtId="0" fontId="33" fillId="0" borderId="2" xfId="0" applyFont="1" applyBorder="1"/>
    <xf numFmtId="0" fontId="27" fillId="36" borderId="0" xfId="0" applyFont="1" applyFill="1" applyAlignment="1">
      <alignment horizontal="center"/>
    </xf>
    <xf numFmtId="0" fontId="25" fillId="15" borderId="0" xfId="0" applyFont="1" applyFill="1"/>
    <xf numFmtId="0" fontId="25" fillId="15" borderId="0" xfId="0" applyFont="1" applyFill="1" applyAlignment="1">
      <alignment horizontal="center"/>
    </xf>
    <xf numFmtId="0" fontId="25" fillId="36" borderId="13" xfId="0" applyFont="1" applyFill="1" applyBorder="1"/>
    <xf numFmtId="0" fontId="25" fillId="36" borderId="10" xfId="0" applyFont="1" applyFill="1" applyBorder="1"/>
    <xf numFmtId="0" fontId="27" fillId="19" borderId="0" xfId="0" applyFont="1" applyFill="1" applyBorder="1" applyAlignment="1">
      <alignment horizontal="center" vertical="center" wrapText="1"/>
    </xf>
    <xf numFmtId="44" fontId="27" fillId="19" borderId="0" xfId="0" applyNumberFormat="1" applyFont="1" applyFill="1" applyBorder="1" applyAlignment="1">
      <alignment horizontal="center" vertical="center" wrapText="1"/>
    </xf>
    <xf numFmtId="0" fontId="25" fillId="19" borderId="13" xfId="0" applyFont="1" applyFill="1" applyBorder="1" applyAlignment="1"/>
    <xf numFmtId="0" fontId="25" fillId="19" borderId="10" xfId="0" applyFont="1" applyFill="1" applyBorder="1" applyAlignment="1"/>
    <xf numFmtId="0" fontId="25" fillId="19" borderId="11" xfId="0" applyFont="1" applyFill="1" applyBorder="1" applyAlignment="1"/>
    <xf numFmtId="0" fontId="25" fillId="19" borderId="12" xfId="0" applyFont="1" applyFill="1" applyBorder="1" applyAlignment="1"/>
    <xf numFmtId="0" fontId="25" fillId="36" borderId="13" xfId="0" applyFont="1" applyFill="1" applyBorder="1" applyAlignment="1"/>
    <xf numFmtId="0" fontId="25" fillId="36" borderId="0" xfId="0" applyFont="1" applyFill="1" applyBorder="1" applyAlignment="1"/>
    <xf numFmtId="0" fontId="25" fillId="36" borderId="10" xfId="0" applyFont="1" applyFill="1" applyBorder="1" applyAlignment="1"/>
    <xf numFmtId="0" fontId="27" fillId="36" borderId="0" xfId="0" applyFont="1" applyFill="1" applyBorder="1" applyAlignment="1">
      <alignment horizontal="center" vertical="center" wrapText="1"/>
    </xf>
    <xf numFmtId="0" fontId="25" fillId="36" borderId="11" xfId="0" applyFont="1" applyFill="1" applyBorder="1" applyAlignment="1"/>
    <xf numFmtId="0" fontId="25" fillId="36" borderId="6" xfId="0" applyFont="1" applyFill="1" applyBorder="1" applyAlignment="1"/>
    <xf numFmtId="0" fontId="25" fillId="36" borderId="12" xfId="0" applyFont="1" applyFill="1" applyBorder="1" applyAlignment="1"/>
    <xf numFmtId="0" fontId="27" fillId="36" borderId="0" xfId="0" applyFont="1" applyFill="1" applyBorder="1" applyAlignment="1"/>
    <xf numFmtId="0" fontId="25" fillId="0" borderId="2" xfId="0" applyFont="1" applyFill="1" applyBorder="1" applyAlignment="1">
      <alignment horizontal="center" vertical="center"/>
    </xf>
    <xf numFmtId="0" fontId="33" fillId="0" borderId="2" xfId="0" applyFont="1" applyFill="1" applyBorder="1" applyAlignment="1">
      <alignment horizontal="center" vertical="center"/>
    </xf>
    <xf numFmtId="168" fontId="25" fillId="0" borderId="2" xfId="0" applyNumberFormat="1" applyFont="1" applyFill="1" applyBorder="1" applyAlignment="1">
      <alignment horizontal="center" vertical="center"/>
    </xf>
    <xf numFmtId="0" fontId="25" fillId="36" borderId="0" xfId="0" applyFont="1" applyFill="1" applyBorder="1"/>
    <xf numFmtId="44" fontId="33" fillId="12" borderId="2" xfId="14" applyFont="1" applyFill="1" applyBorder="1" applyAlignment="1">
      <alignment horizontal="center" vertical="center" wrapText="1"/>
    </xf>
    <xf numFmtId="44" fontId="25" fillId="13" borderId="6" xfId="0" applyNumberFormat="1" applyFont="1" applyFill="1" applyBorder="1" applyAlignment="1"/>
    <xf numFmtId="166" fontId="33" fillId="37" borderId="2" xfId="0" applyNumberFormat="1" applyFont="1" applyFill="1" applyBorder="1" applyAlignment="1">
      <alignment horizontal="center" vertical="center"/>
    </xf>
    <xf numFmtId="0" fontId="25" fillId="38" borderId="6" xfId="0" applyFont="1" applyFill="1" applyBorder="1"/>
    <xf numFmtId="0" fontId="25" fillId="39" borderId="0" xfId="0" applyFont="1" applyFill="1"/>
    <xf numFmtId="0" fontId="25" fillId="38" borderId="8" xfId="0" applyFont="1" applyFill="1" applyBorder="1"/>
    <xf numFmtId="0" fontId="34" fillId="38" borderId="0" xfId="0" applyFont="1" applyFill="1" applyAlignment="1">
      <alignment horizontal="centerContinuous" vertical="center"/>
    </xf>
    <xf numFmtId="0" fontId="27" fillId="38" borderId="0" xfId="0" applyFont="1" applyFill="1" applyAlignment="1">
      <alignment horizontal="center" vertical="center" wrapText="1"/>
    </xf>
    <xf numFmtId="182" fontId="25" fillId="19" borderId="6" xfId="0" applyNumberFormat="1" applyFont="1" applyFill="1" applyBorder="1" applyAlignment="1"/>
    <xf numFmtId="0" fontId="25" fillId="23" borderId="13" xfId="0" applyFont="1" applyFill="1" applyBorder="1"/>
    <xf numFmtId="0" fontId="25" fillId="23" borderId="0" xfId="0" quotePrefix="1" applyFont="1" applyFill="1" applyAlignment="1">
      <alignment horizontal="left" vertical="center" indent="1"/>
    </xf>
    <xf numFmtId="0" fontId="25" fillId="23" borderId="0" xfId="0" applyFont="1" applyFill="1" applyAlignment="1">
      <alignment vertical="center"/>
    </xf>
    <xf numFmtId="0" fontId="25" fillId="23" borderId="10" xfId="0" applyFont="1" applyFill="1" applyBorder="1"/>
    <xf numFmtId="0" fontId="27" fillId="21" borderId="0" xfId="0" applyFont="1" applyFill="1" applyAlignment="1">
      <alignment horizontal="center"/>
    </xf>
    <xf numFmtId="0" fontId="25" fillId="21" borderId="0" xfId="0" applyFont="1" applyFill="1" applyAlignment="1">
      <alignment horizontal="center" wrapText="1"/>
    </xf>
    <xf numFmtId="0" fontId="27" fillId="21" borderId="0" xfId="0" quotePrefix="1" applyFont="1" applyFill="1" applyAlignment="1">
      <alignment horizontal="center" wrapText="1"/>
    </xf>
    <xf numFmtId="0" fontId="34" fillId="21" borderId="0" xfId="0" applyFont="1" applyFill="1" applyAlignment="1">
      <alignment horizontal="center" vertical="center" wrapText="1"/>
    </xf>
    <xf numFmtId="0" fontId="25" fillId="21" borderId="0" xfId="0" applyFont="1" applyFill="1"/>
    <xf numFmtId="0" fontId="25" fillId="21" borderId="0" xfId="18" applyFont="1" applyFill="1"/>
    <xf numFmtId="44" fontId="25" fillId="12" borderId="14" xfId="14" applyFont="1" applyFill="1" applyBorder="1" applyProtection="1"/>
    <xf numFmtId="0" fontId="43" fillId="21" borderId="0" xfId="0" applyFont="1" applyFill="1" applyAlignment="1">
      <alignment wrapText="1"/>
    </xf>
    <xf numFmtId="0" fontId="25" fillId="21" borderId="0" xfId="18" applyFont="1" applyFill="1" applyAlignment="1">
      <alignment horizontal="left"/>
    </xf>
    <xf numFmtId="0" fontId="25" fillId="0" borderId="2" xfId="0" applyFont="1" applyBorder="1"/>
    <xf numFmtId="168" fontId="27" fillId="19" borderId="69" xfId="14" applyNumberFormat="1" applyFont="1" applyFill="1" applyBorder="1" applyAlignment="1">
      <alignment horizontal="center"/>
    </xf>
    <xf numFmtId="164" fontId="33" fillId="12" borderId="18" xfId="20" applyNumberFormat="1" applyFont="1" applyFill="1" applyBorder="1" applyAlignment="1" applyProtection="1">
      <alignment horizontal="center" vertical="center"/>
    </xf>
    <xf numFmtId="0" fontId="33" fillId="12" borderId="18" xfId="0" applyFont="1" applyFill="1" applyBorder="1" applyAlignment="1">
      <alignment horizontal="center" vertical="center"/>
    </xf>
    <xf numFmtId="0" fontId="25" fillId="33" borderId="0" xfId="0" applyFont="1" applyFill="1" applyBorder="1" applyAlignment="1">
      <alignment horizontal="center" vertical="center"/>
    </xf>
    <xf numFmtId="0" fontId="33" fillId="33" borderId="0" xfId="52" applyFont="1" applyFill="1" applyBorder="1" applyAlignment="1">
      <alignment horizontal="center"/>
    </xf>
    <xf numFmtId="0" fontId="37" fillId="33" borderId="0" xfId="0" applyFont="1" applyFill="1" applyBorder="1" applyAlignment="1">
      <alignment horizontal="center"/>
    </xf>
    <xf numFmtId="0" fontId="33" fillId="33" borderId="0" xfId="0" applyFont="1" applyFill="1" applyBorder="1" applyAlignment="1">
      <alignment horizontal="center"/>
    </xf>
    <xf numFmtId="0" fontId="37" fillId="33" borderId="0" xfId="0" applyFont="1" applyFill="1" applyBorder="1"/>
    <xf numFmtId="2" fontId="33" fillId="12" borderId="2" xfId="0" applyNumberFormat="1" applyFont="1" applyFill="1" applyBorder="1" applyAlignment="1" applyProtection="1">
      <alignment horizontal="center" vertical="center" wrapText="1"/>
    </xf>
    <xf numFmtId="0" fontId="33" fillId="12" borderId="2" xfId="0" applyFont="1" applyFill="1" applyBorder="1" applyAlignment="1">
      <alignment horizontal="center" vertical="center"/>
    </xf>
    <xf numFmtId="168" fontId="25" fillId="12" borderId="2" xfId="0" applyNumberFormat="1" applyFont="1" applyFill="1" applyBorder="1" applyAlignment="1">
      <alignment horizontal="center" vertical="center"/>
    </xf>
    <xf numFmtId="0" fontId="27" fillId="36" borderId="0" xfId="0" applyFont="1" applyFill="1" applyBorder="1" applyAlignment="1" applyProtection="1">
      <alignment horizontal="center"/>
    </xf>
    <xf numFmtId="0" fontId="26" fillId="28" borderId="47" xfId="17" applyFont="1" applyFill="1" applyBorder="1" applyAlignment="1" applyProtection="1">
      <alignment horizontal="center" vertical="center" wrapText="1"/>
    </xf>
    <xf numFmtId="0" fontId="26" fillId="28" borderId="48" xfId="17" applyFont="1" applyFill="1" applyBorder="1" applyAlignment="1" applyProtection="1">
      <alignment horizontal="center" vertical="center" wrapText="1"/>
    </xf>
    <xf numFmtId="0" fontId="25" fillId="0" borderId="20" xfId="0" applyFont="1" applyFill="1" applyBorder="1" applyAlignment="1">
      <alignment horizontal="left" vertical="center" wrapText="1" indent="1"/>
    </xf>
    <xf numFmtId="0" fontId="25" fillId="0" borderId="0" xfId="0" applyFont="1" applyFill="1" applyBorder="1" applyAlignment="1">
      <alignment horizontal="left" vertical="center" wrapText="1" indent="1"/>
    </xf>
    <xf numFmtId="0" fontId="26" fillId="27" borderId="41" xfId="17" applyFont="1" applyFill="1" applyBorder="1" applyAlignment="1" applyProtection="1">
      <alignment horizontal="center" vertical="center" wrapText="1"/>
    </xf>
    <xf numFmtId="0" fontId="26" fillId="27" borderId="42" xfId="17" applyFont="1" applyFill="1" applyBorder="1" applyAlignment="1" applyProtection="1">
      <alignment horizontal="center" vertical="center" wrapText="1"/>
    </xf>
    <xf numFmtId="0" fontId="26" fillId="28" borderId="39" xfId="17" applyFont="1" applyFill="1" applyBorder="1" applyAlignment="1" applyProtection="1">
      <alignment horizontal="center" vertical="center" wrapText="1"/>
    </xf>
    <xf numFmtId="0" fontId="26" fillId="28" borderId="40" xfId="17" applyFont="1" applyFill="1" applyBorder="1" applyAlignment="1" applyProtection="1">
      <alignment horizontal="center" vertical="center" wrapText="1"/>
    </xf>
    <xf numFmtId="0" fontId="26" fillId="24" borderId="65" xfId="17" applyFont="1" applyFill="1" applyBorder="1" applyAlignment="1" applyProtection="1">
      <alignment horizontal="center" vertical="center" wrapText="1"/>
    </xf>
    <xf numFmtId="0" fontId="26" fillId="24" borderId="66" xfId="17" applyFont="1" applyFill="1" applyBorder="1" applyAlignment="1" applyProtection="1">
      <alignment horizontal="center" vertical="center" wrapText="1"/>
    </xf>
    <xf numFmtId="0" fontId="26" fillId="29" borderId="43" xfId="17" applyFont="1" applyFill="1" applyBorder="1" applyAlignment="1" applyProtection="1">
      <alignment horizontal="center" vertical="center" wrapText="1"/>
    </xf>
    <xf numFmtId="0" fontId="26" fillId="29" borderId="44" xfId="17" applyFont="1" applyFill="1" applyBorder="1" applyAlignment="1" applyProtection="1">
      <alignment horizontal="center" vertical="center" wrapText="1"/>
    </xf>
    <xf numFmtId="0" fontId="26" fillId="26" borderId="45" xfId="17" applyFont="1" applyFill="1" applyBorder="1" applyAlignment="1" applyProtection="1">
      <alignment horizontal="center" vertical="center" wrapText="1"/>
    </xf>
    <xf numFmtId="0" fontId="26" fillId="26" borderId="46" xfId="17" applyFont="1" applyFill="1" applyBorder="1" applyAlignment="1" applyProtection="1">
      <alignment horizontal="center" vertical="center" wrapText="1"/>
    </xf>
    <xf numFmtId="0" fontId="26" fillId="24" borderId="67" xfId="17" applyFont="1" applyFill="1" applyBorder="1" applyAlignment="1" applyProtection="1">
      <alignment horizontal="center" vertical="center" wrapText="1"/>
    </xf>
    <xf numFmtId="0" fontId="26" fillId="24" borderId="68" xfId="17" applyFont="1" applyFill="1" applyBorder="1" applyAlignment="1" applyProtection="1">
      <alignment horizontal="center" vertical="center" wrapText="1"/>
    </xf>
    <xf numFmtId="0" fontId="25" fillId="0" borderId="29" xfId="25" applyFont="1" applyBorder="1" applyAlignment="1">
      <alignment vertical="center" wrapText="1"/>
    </xf>
    <xf numFmtId="0" fontId="25" fillId="0" borderId="30" xfId="25" applyFont="1" applyBorder="1" applyAlignment="1">
      <alignment vertical="center" wrapText="1"/>
    </xf>
    <xf numFmtId="0" fontId="37" fillId="0" borderId="29" xfId="25" applyFont="1" applyBorder="1" applyAlignment="1">
      <alignment vertical="center" wrapText="1"/>
    </xf>
    <xf numFmtId="0" fontId="37" fillId="0" borderId="30" xfId="25" applyFont="1" applyBorder="1" applyAlignment="1">
      <alignment vertical="center" wrapText="1"/>
    </xf>
    <xf numFmtId="0" fontId="25" fillId="0" borderId="29" xfId="25" applyFont="1" applyBorder="1" applyAlignment="1">
      <alignment horizontal="left" vertical="center" wrapText="1"/>
    </xf>
    <xf numFmtId="0" fontId="25" fillId="0" borderId="30" xfId="25" applyFont="1" applyBorder="1" applyAlignment="1">
      <alignment horizontal="left" vertical="center" wrapText="1"/>
    </xf>
    <xf numFmtId="0" fontId="27" fillId="15" borderId="0" xfId="0" applyFont="1" applyFill="1" applyBorder="1" applyAlignment="1" applyProtection="1">
      <alignment horizontal="center" vertical="center" wrapText="1"/>
    </xf>
    <xf numFmtId="0" fontId="27" fillId="19" borderId="7" xfId="0" applyFont="1" applyFill="1" applyBorder="1" applyAlignment="1">
      <alignment horizontal="center"/>
    </xf>
    <xf numFmtId="0" fontId="27" fillId="19" borderId="8" xfId="0" applyFont="1" applyFill="1" applyBorder="1" applyAlignment="1">
      <alignment horizontal="center"/>
    </xf>
    <xf numFmtId="0" fontId="27" fillId="19" borderId="9" xfId="0" applyFont="1" applyFill="1" applyBorder="1" applyAlignment="1">
      <alignment horizontal="center"/>
    </xf>
    <xf numFmtId="0" fontId="27" fillId="19" borderId="3" xfId="0" applyFont="1" applyFill="1" applyBorder="1" applyAlignment="1">
      <alignment horizontal="center" vertical="center"/>
    </xf>
    <xf numFmtId="0" fontId="27" fillId="19" borderId="4" xfId="0" applyFont="1" applyFill="1" applyBorder="1" applyAlignment="1">
      <alignment horizontal="center" vertical="center"/>
    </xf>
    <xf numFmtId="0" fontId="27" fillId="19" borderId="5" xfId="0" applyFont="1" applyFill="1" applyBorder="1" applyAlignment="1">
      <alignment horizontal="center" vertical="center"/>
    </xf>
  </cellXfs>
  <cellStyles count="74">
    <cellStyle name="BVM NonLink" xfId="1" xr:uid="{00000000-0005-0000-0000-000000000000}"/>
    <cellStyle name="Calculated Value" xfId="2" xr:uid="{00000000-0005-0000-0000-000001000000}"/>
    <cellStyle name="Calculated Value 2" xfId="28" xr:uid="{00000000-0005-0000-0000-000002000000}"/>
    <cellStyle name="Comma" xfId="3" builtinId="3"/>
    <cellStyle name="Comma [0] 2" xfId="37" xr:uid="{00000000-0005-0000-0000-000004000000}"/>
    <cellStyle name="Comma 2" xfId="23" xr:uid="{00000000-0005-0000-0000-000005000000}"/>
    <cellStyle name="Comma 3" xfId="43" xr:uid="{00000000-0005-0000-0000-000006000000}"/>
    <cellStyle name="Comma 4" xfId="36" xr:uid="{00000000-0005-0000-0000-000007000000}"/>
    <cellStyle name="Cost Premium Value" xfId="4" xr:uid="{00000000-0005-0000-0000-000008000000}"/>
    <cellStyle name="Cost Premium Value 2" xfId="29" xr:uid="{00000000-0005-0000-0000-000009000000}"/>
    <cellStyle name="CRE Calculated" xfId="5" xr:uid="{00000000-0005-0000-0000-00000A000000}"/>
    <cellStyle name="CRE Calculated 2" xfId="30" xr:uid="{00000000-0005-0000-0000-00000B000000}"/>
    <cellStyle name="CRE HardCoded" xfId="6" xr:uid="{00000000-0005-0000-0000-00000C000000}"/>
    <cellStyle name="CRE Header Sub" xfId="7" xr:uid="{00000000-0005-0000-0000-00000D000000}"/>
    <cellStyle name="CRE Header Top" xfId="8" xr:uid="{00000000-0005-0000-0000-00000E000000}"/>
    <cellStyle name="CRE Info" xfId="9" xr:uid="{00000000-0005-0000-0000-00000F000000}"/>
    <cellStyle name="CRE Info 2" xfId="31" xr:uid="{00000000-0005-0000-0000-000010000000}"/>
    <cellStyle name="CRE Input" xfId="10" xr:uid="{00000000-0005-0000-0000-000011000000}"/>
    <cellStyle name="CRE Link" xfId="11" xr:uid="{00000000-0005-0000-0000-000012000000}"/>
    <cellStyle name="CRE Monetary" xfId="12" xr:uid="{00000000-0005-0000-0000-000013000000}"/>
    <cellStyle name="CRE NotApplicable" xfId="13" xr:uid="{00000000-0005-0000-0000-000014000000}"/>
    <cellStyle name="CRE NotApplicable 2" xfId="32" xr:uid="{00000000-0005-0000-0000-000015000000}"/>
    <cellStyle name="Currency" xfId="14" builtinId="4"/>
    <cellStyle name="Currency 2" xfId="22" xr:uid="{00000000-0005-0000-0000-000017000000}"/>
    <cellStyle name="Currency 3" xfId="39" xr:uid="{00000000-0005-0000-0000-000018000000}"/>
    <cellStyle name="Currency 4" xfId="38" xr:uid="{00000000-0005-0000-0000-000019000000}"/>
    <cellStyle name="Currency 5" xfId="51" xr:uid="{00000000-0005-0000-0000-00001A000000}"/>
    <cellStyle name="Currency 5 2" xfId="67" xr:uid="{00000000-0005-0000-0000-00001B000000}"/>
    <cellStyle name="EPACT05" xfId="15" xr:uid="{00000000-0005-0000-0000-00001C000000}"/>
    <cellStyle name="EPACT05 2" xfId="33" xr:uid="{00000000-0005-0000-0000-00001D000000}"/>
    <cellStyle name="Header" xfId="16" xr:uid="{00000000-0005-0000-0000-00001E000000}"/>
    <cellStyle name="Hyperlink" xfId="17" builtinId="8"/>
    <cellStyle name="Hyperlink 2" xfId="44" xr:uid="{00000000-0005-0000-0000-000020000000}"/>
    <cellStyle name="Hyperlink 3" xfId="40" xr:uid="{00000000-0005-0000-0000-000021000000}"/>
    <cellStyle name="Hyperlink 4" xfId="54" xr:uid="{00000000-0005-0000-0000-000022000000}"/>
    <cellStyle name="Normal" xfId="0" builtinId="0"/>
    <cellStyle name="Normal 10" xfId="52" xr:uid="{00000000-0005-0000-0000-000024000000}"/>
    <cellStyle name="Normal 11" xfId="21" xr:uid="{00000000-0005-0000-0000-000025000000}"/>
    <cellStyle name="Normal 2" xfId="26" xr:uid="{00000000-0005-0000-0000-000026000000}"/>
    <cellStyle name="Normal 3" xfId="27" xr:uid="{00000000-0005-0000-0000-000027000000}"/>
    <cellStyle name="Normal 4" xfId="25" xr:uid="{00000000-0005-0000-0000-000028000000}"/>
    <cellStyle name="Normal 4 2" xfId="46" xr:uid="{00000000-0005-0000-0000-000029000000}"/>
    <cellStyle name="Normal 4 3" xfId="41" xr:uid="{00000000-0005-0000-0000-00002A000000}"/>
    <cellStyle name="Normal 5" xfId="35" xr:uid="{00000000-0005-0000-0000-00002B000000}"/>
    <cellStyle name="Normal 6" xfId="34" xr:uid="{00000000-0005-0000-0000-00002C000000}"/>
    <cellStyle name="Normal 6 2" xfId="47" xr:uid="{00000000-0005-0000-0000-00002D000000}"/>
    <cellStyle name="Normal 6 2 2" xfId="58" xr:uid="{00000000-0005-0000-0000-00002E000000}"/>
    <cellStyle name="Normal 6 2 2 2" xfId="72" xr:uid="{00000000-0005-0000-0000-00002F000000}"/>
    <cellStyle name="Normal 6 2 3" xfId="56" xr:uid="{00000000-0005-0000-0000-000030000000}"/>
    <cellStyle name="Normal 6 2 3 2" xfId="70" xr:uid="{00000000-0005-0000-0000-000031000000}"/>
    <cellStyle name="Normal 6 2 4" xfId="49" xr:uid="{00000000-0005-0000-0000-000032000000}"/>
    <cellStyle name="Normal 6 2 4 2" xfId="65" xr:uid="{00000000-0005-0000-0000-000033000000}"/>
    <cellStyle name="Normal 6 2 5" xfId="63" xr:uid="{00000000-0005-0000-0000-000034000000}"/>
    <cellStyle name="Normal 6 2 6" xfId="61" xr:uid="{00000000-0005-0000-0000-000035000000}"/>
    <cellStyle name="Normal 6 3" xfId="57" xr:uid="{00000000-0005-0000-0000-000036000000}"/>
    <cellStyle name="Normal 6 3 2" xfId="71" xr:uid="{00000000-0005-0000-0000-000037000000}"/>
    <cellStyle name="Normal 6 4" xfId="55" xr:uid="{00000000-0005-0000-0000-000038000000}"/>
    <cellStyle name="Normal 6 4 2" xfId="69" xr:uid="{00000000-0005-0000-0000-000039000000}"/>
    <cellStyle name="Normal 6 5" xfId="48" xr:uid="{00000000-0005-0000-0000-00003A000000}"/>
    <cellStyle name="Normal 6 5 2" xfId="64" xr:uid="{00000000-0005-0000-0000-00003B000000}"/>
    <cellStyle name="Normal 6 6" xfId="62" xr:uid="{00000000-0005-0000-0000-00003C000000}"/>
    <cellStyle name="Normal 6 7" xfId="60" xr:uid="{00000000-0005-0000-0000-00003D000000}"/>
    <cellStyle name="Normal 7" xfId="50" xr:uid="{00000000-0005-0000-0000-00003E000000}"/>
    <cellStyle name="Normal 7 2" xfId="59" xr:uid="{00000000-0005-0000-0000-00003F000000}"/>
    <cellStyle name="Normal 7 3" xfId="66" xr:uid="{00000000-0005-0000-0000-000040000000}"/>
    <cellStyle name="Normal 8" xfId="73" xr:uid="{BFCE3393-9B84-44CF-89BD-25BCE37AC76B}"/>
    <cellStyle name="Normal_Sheet3" xfId="18" xr:uid="{00000000-0005-0000-0000-000041000000}"/>
    <cellStyle name="NOT USED" xfId="19" xr:uid="{00000000-0005-0000-0000-000042000000}"/>
    <cellStyle name="Percent" xfId="20" builtinId="5"/>
    <cellStyle name="Percent 11" xfId="24" xr:uid="{00000000-0005-0000-0000-000044000000}"/>
    <cellStyle name="Percent 2" xfId="45" xr:uid="{00000000-0005-0000-0000-000045000000}"/>
    <cellStyle name="Percent 3" xfId="42" xr:uid="{00000000-0005-0000-0000-000046000000}"/>
    <cellStyle name="Percent 4" xfId="53" xr:uid="{00000000-0005-0000-0000-000047000000}"/>
    <cellStyle name="Percent 4 2" xfId="68" xr:uid="{00000000-0005-0000-0000-00004800000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DBEEF3"/>
      <color rgb="FFFFFFCC"/>
      <color rgb="FF2D23F9"/>
      <color rgb="FFFFFF99"/>
      <color rgb="FF00FFFF"/>
      <color rgb="FFA3FC8E"/>
      <color rgb="FFE7F2FF"/>
      <color rgb="FFB6DDE8"/>
      <color rgb="FF00FF00"/>
      <color rgb="FF12AA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sharedStrings" Target="sharedString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INPV</a:t>
            </a:r>
          </a:p>
        </c:rich>
      </c:tx>
      <c:overlay val="0"/>
    </c:title>
    <c:autoTitleDeleted val="0"/>
    <c:plotArea>
      <c:layout/>
      <c:lineChart>
        <c:grouping val="standard"/>
        <c:varyColors val="0"/>
        <c:ser>
          <c:idx val="0"/>
          <c:order val="0"/>
          <c:tx>
            <c:v>Preservation of Gross Margin</c:v>
          </c:tx>
          <c:marker>
            <c:symbol val="none"/>
          </c:marker>
          <c:cat>
            <c:strRef>
              <c:f>'Summary Report'!$J$19:$K$19</c:f>
              <c:strCache>
                <c:ptCount val="2"/>
                <c:pt idx="0">
                  <c:v>No STDs Case</c:v>
                </c:pt>
                <c:pt idx="1">
                  <c:v>TSL 1</c:v>
                </c:pt>
              </c:strCache>
            </c:strRef>
          </c:cat>
          <c:val>
            <c:numRef>
              <c:f>'Summary Report'!$J$20:$K$20</c:f>
              <c:numCache>
                <c:formatCode>#,##0.00_);\(#,##0.00\)</c:formatCode>
                <c:ptCount val="2"/>
                <c:pt idx="0">
                  <c:v>1522.8562600273644</c:v>
                </c:pt>
                <c:pt idx="1">
                  <c:v>1525.2380078276362</c:v>
                </c:pt>
              </c:numCache>
            </c:numRef>
          </c:val>
          <c:smooth val="0"/>
          <c:extLst>
            <c:ext xmlns:c16="http://schemas.microsoft.com/office/drawing/2014/chart" uri="{C3380CC4-5D6E-409C-BE32-E72D297353CC}">
              <c16:uniqueId val="{00000000-0F29-4C0A-B3F9-2B4ECD2F66B1}"/>
            </c:ext>
          </c:extLst>
        </c:ser>
        <c:ser>
          <c:idx val="1"/>
          <c:order val="1"/>
          <c:tx>
            <c:v>Preservation of Operating Profit</c:v>
          </c:tx>
          <c:marker>
            <c:symbol val="none"/>
          </c:marker>
          <c:cat>
            <c:strRef>
              <c:f>'Summary Report'!$J$19:$K$19</c:f>
              <c:strCache>
                <c:ptCount val="2"/>
                <c:pt idx="0">
                  <c:v>No STDs Case</c:v>
                </c:pt>
                <c:pt idx="1">
                  <c:v>TSL 1</c:v>
                </c:pt>
              </c:strCache>
            </c:strRef>
          </c:cat>
          <c:val>
            <c:numRef>
              <c:f>'Summary Report'!$J$44:$K$44</c:f>
              <c:numCache>
                <c:formatCode>#,##0.00_);\(#,##0.00\)</c:formatCode>
                <c:ptCount val="2"/>
                <c:pt idx="0">
                  <c:v>1522.8562600273644</c:v>
                </c:pt>
                <c:pt idx="1">
                  <c:v>1499.1851254753822</c:v>
                </c:pt>
              </c:numCache>
            </c:numRef>
          </c:val>
          <c:smooth val="0"/>
          <c:extLst>
            <c:ext xmlns:c16="http://schemas.microsoft.com/office/drawing/2014/chart" uri="{C3380CC4-5D6E-409C-BE32-E72D297353CC}">
              <c16:uniqueId val="{00000001-0F29-4C0A-B3F9-2B4ECD2F66B1}"/>
            </c:ext>
          </c:extLst>
        </c:ser>
        <c:dLbls>
          <c:dLblPos val="t"/>
          <c:showLegendKey val="0"/>
          <c:showVal val="0"/>
          <c:showCatName val="0"/>
          <c:showSerName val="0"/>
          <c:showPercent val="0"/>
          <c:showBubbleSize val="0"/>
        </c:dLbls>
        <c:smooth val="0"/>
        <c:axId val="322738672"/>
        <c:axId val="322736320"/>
      </c:lineChart>
      <c:catAx>
        <c:axId val="322738672"/>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36320"/>
        <c:crosses val="autoZero"/>
        <c:auto val="1"/>
        <c:lblAlgn val="ctr"/>
        <c:lblOffset val="100"/>
        <c:noMultiLvlLbl val="0"/>
      </c:catAx>
      <c:valAx>
        <c:axId val="322736320"/>
        <c:scaling>
          <c:orientation val="minMax"/>
          <c:min val="100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0.00_);\(#,##0.00\)" sourceLinked="1"/>
        <c:majorTickMark val="out"/>
        <c:minorTickMark val="none"/>
        <c:tickLblPos val="nextTo"/>
        <c:txPr>
          <a:bodyPr/>
          <a:lstStyle/>
          <a:p>
            <a:pPr>
              <a:defRPr sz="1000">
                <a:latin typeface="Times New Roman"/>
                <a:ea typeface="Times New Roman"/>
                <a:cs typeface="Times New Roman"/>
              </a:defRPr>
            </a:pPr>
            <a:endParaRPr lang="en-US"/>
          </a:p>
        </c:txPr>
        <c:crossAx val="3227386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Shipments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numCache>
            </c:numRef>
          </c:cat>
          <c:val>
            <c:numRef>
              <c:f>'Data for Graphs'!$D$20:$AL$20</c:f>
              <c:numCache>
                <c:formatCode>#,##0.000_);\(#,##0.000\)</c:formatCode>
                <c:ptCount val="35"/>
                <c:pt idx="0">
                  <c:v>7.5707973221489757</c:v>
                </c:pt>
                <c:pt idx="1">
                  <c:v>7.9093524384259357</c:v>
                </c:pt>
                <c:pt idx="2">
                  <c:v>8.2127347841074965</c:v>
                </c:pt>
                <c:pt idx="3">
                  <c:v>8.5984294340082918</c:v>
                </c:pt>
                <c:pt idx="4">
                  <c:v>9.0122912362700944</c:v>
                </c:pt>
                <c:pt idx="5">
                  <c:v>9.4703081184118609</c:v>
                </c:pt>
                <c:pt idx="6">
                  <c:v>9.9670926866355813</c:v>
                </c:pt>
                <c:pt idx="7">
                  <c:v>10.494559173428762</c:v>
                </c:pt>
                <c:pt idx="8">
                  <c:v>11.046397652219259</c:v>
                </c:pt>
                <c:pt idx="9">
                  <c:v>11.618404085770958</c:v>
                </c:pt>
                <c:pt idx="10">
                  <c:v>12.210331454247907</c:v>
                </c:pt>
                <c:pt idx="11">
                  <c:v>12.824714907367937</c:v>
                </c:pt>
                <c:pt idx="12">
                  <c:v>13.465427859557796</c:v>
                </c:pt>
                <c:pt idx="13">
                  <c:v>14.136991745687819</c:v>
                </c:pt>
                <c:pt idx="14">
                  <c:v>14.843206467369427</c:v>
                </c:pt>
                <c:pt idx="15">
                  <c:v>15.586476240436248</c:v>
                </c:pt>
                <c:pt idx="16">
                  <c:v>16.369473128948385</c:v>
                </c:pt>
                <c:pt idx="17">
                  <c:v>17.190628033199836</c:v>
                </c:pt>
                <c:pt idx="18">
                  <c:v>18.052436324644866</c:v>
                </c:pt>
                <c:pt idx="19">
                  <c:v>18.955938520315421</c:v>
                </c:pt>
                <c:pt idx="20">
                  <c:v>19.902673592501202</c:v>
                </c:pt>
                <c:pt idx="21">
                  <c:v>20.894704857773277</c:v>
                </c:pt>
                <c:pt idx="22">
                  <c:v>21.934412373627794</c:v>
                </c:pt>
                <c:pt idx="23">
                  <c:v>23.024524492715912</c:v>
                </c:pt>
                <c:pt idx="24">
                  <c:v>24.167797168625285</c:v>
                </c:pt>
                <c:pt idx="25">
                  <c:v>25.367001754271541</c:v>
                </c:pt>
                <c:pt idx="26">
                  <c:v>26.624910204793778</c:v>
                </c:pt>
                <c:pt idx="27">
                  <c:v>27.944321902036261</c:v>
                </c:pt>
                <c:pt idx="28">
                  <c:v>29.32812310017567</c:v>
                </c:pt>
                <c:pt idx="29">
                  <c:v>30.779340545114337</c:v>
                </c:pt>
                <c:pt idx="30">
                  <c:v>32.301181969831163</c:v>
                </c:pt>
                <c:pt idx="31">
                  <c:v>33.897058210285969</c:v>
                </c:pt>
                <c:pt idx="32">
                  <c:v>35.570585160088655</c:v>
                </c:pt>
                <c:pt idx="33">
                  <c:v>37.325577124247062</c:v>
                </c:pt>
                <c:pt idx="34">
                  <c:v>39.166042399535925</c:v>
                </c:pt>
              </c:numCache>
            </c:numRef>
          </c:val>
          <c:smooth val="0"/>
          <c:extLst>
            <c:ext xmlns:c16="http://schemas.microsoft.com/office/drawing/2014/chart" uri="{C3380CC4-5D6E-409C-BE32-E72D297353CC}">
              <c16:uniqueId val="{00000000-2D86-4442-87F7-7B603C32C53D}"/>
            </c:ext>
          </c:extLst>
        </c:ser>
        <c:ser>
          <c:idx val="1"/>
          <c:order val="1"/>
          <c:tx>
            <c:v>TSL 1</c:v>
          </c:tx>
          <c:marker>
            <c:symbol val="none"/>
          </c:marker>
          <c:val>
            <c:numRef>
              <c:f>'Data for Graphs'!$D$21:$AL$21</c:f>
              <c:numCache>
                <c:formatCode>#,##0.000_);\(#,##0.000\)</c:formatCode>
                <c:ptCount val="35"/>
                <c:pt idx="0">
                  <c:v>7.5707973221489757</c:v>
                </c:pt>
                <c:pt idx="1">
                  <c:v>7.9093524384259357</c:v>
                </c:pt>
                <c:pt idx="2">
                  <c:v>8.1945872440194094</c:v>
                </c:pt>
                <c:pt idx="3">
                  <c:v>8.583782715688141</c:v>
                </c:pt>
                <c:pt idx="4">
                  <c:v>8.9699231360466918</c:v>
                </c:pt>
                <c:pt idx="5">
                  <c:v>9.4318697097982991</c:v>
                </c:pt>
                <c:pt idx="6">
                  <c:v>9.9329893259053517</c:v>
                </c:pt>
                <c:pt idx="7">
                  <c:v>10.460473829673948</c:v>
                </c:pt>
                <c:pt idx="8">
                  <c:v>11.01242309777642</c:v>
                </c:pt>
                <c:pt idx="9">
                  <c:v>11.584656136055171</c:v>
                </c:pt>
                <c:pt idx="10">
                  <c:v>12.17693514266746</c:v>
                </c:pt>
                <c:pt idx="11">
                  <c:v>12.791797091782762</c:v>
                </c:pt>
                <c:pt idx="12">
                  <c:v>13.431147370412633</c:v>
                </c:pt>
                <c:pt idx="13">
                  <c:v>14.101294532398612</c:v>
                </c:pt>
                <c:pt idx="14">
                  <c:v>14.806030666074676</c:v>
                </c:pt>
                <c:pt idx="15">
                  <c:v>15.547755933847926</c:v>
                </c:pt>
                <c:pt idx="16">
                  <c:v>16.329137862735617</c:v>
                </c:pt>
                <c:pt idx="17">
                  <c:v>17.148613343401536</c:v>
                </c:pt>
                <c:pt idx="18">
                  <c:v>18.008673739701624</c:v>
                </c:pt>
                <c:pt idx="19">
                  <c:v>18.910359226684385</c:v>
                </c:pt>
                <c:pt idx="20">
                  <c:v>19.855207300741156</c:v>
                </c:pt>
                <c:pt idx="21">
                  <c:v>20.845278659044062</c:v>
                </c:pt>
                <c:pt idx="22">
                  <c:v>21.882691530387735</c:v>
                </c:pt>
                <c:pt idx="23">
                  <c:v>22.970405012822198</c:v>
                </c:pt>
                <c:pt idx="24">
                  <c:v>24.111169669552751</c:v>
                </c:pt>
                <c:pt idx="25">
                  <c:v>25.307751506572274</c:v>
                </c:pt>
                <c:pt idx="26">
                  <c:v>26.562917209560723</c:v>
                </c:pt>
                <c:pt idx="27">
                  <c:v>27.87946090536591</c:v>
                </c:pt>
                <c:pt idx="28">
                  <c:v>29.260263470786754</c:v>
                </c:pt>
                <c:pt idx="29">
                  <c:v>30.708346031531171</c:v>
                </c:pt>
                <c:pt idx="30">
                  <c:v>32.226910369884507</c:v>
                </c:pt>
                <c:pt idx="31">
                  <c:v>33.819360996908678</c:v>
                </c:pt>
                <c:pt idx="32">
                  <c:v>35.489307110375229</c:v>
                </c:pt>
                <c:pt idx="33">
                  <c:v>37.240555971343781</c:v>
                </c:pt>
                <c:pt idx="34">
                  <c:v>39.077108501935967</c:v>
                </c:pt>
              </c:numCache>
            </c:numRef>
          </c:val>
          <c:smooth val="0"/>
          <c:extLst>
            <c:ext xmlns:c16="http://schemas.microsoft.com/office/drawing/2014/chart" uri="{C3380CC4-5D6E-409C-BE32-E72D297353CC}">
              <c16:uniqueId val="{00000001-2D86-4442-87F7-7B603C32C53D}"/>
            </c:ext>
          </c:extLst>
        </c:ser>
        <c:dLbls>
          <c:showLegendKey val="0"/>
          <c:showVal val="0"/>
          <c:showCatName val="0"/>
          <c:showSerName val="0"/>
          <c:showPercent val="0"/>
          <c:showBubbleSize val="0"/>
        </c:dLbls>
        <c:smooth val="0"/>
        <c:axId val="322739456"/>
        <c:axId val="322741024"/>
      </c:lineChart>
      <c:catAx>
        <c:axId val="322739456"/>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41024"/>
        <c:crosses val="autoZero"/>
        <c:auto val="1"/>
        <c:lblAlgn val="ctr"/>
        <c:lblOffset val="100"/>
        <c:noMultiLvlLbl val="0"/>
      </c:catAx>
      <c:valAx>
        <c:axId val="322741024"/>
        <c:scaling>
          <c:orientation val="minMax"/>
          <c:min val="0"/>
        </c:scaling>
        <c:delete val="0"/>
        <c:axPos val="l"/>
        <c:majorGridlines/>
        <c:title>
          <c:tx>
            <c:rich>
              <a:bodyPr/>
              <a:lstStyle/>
              <a:p>
                <a:pPr>
                  <a:defRPr sz="1000">
                    <a:latin typeface="Times New Roman"/>
                    <a:ea typeface="Times New Roman"/>
                    <a:cs typeface="Times New Roman"/>
                  </a:defRPr>
                </a:pPr>
                <a:r>
                  <a:rPr lang="en-US"/>
                  <a:t>Millions of Shipments</a:t>
                </a:r>
              </a:p>
            </c:rich>
          </c:tx>
          <c:overlay val="0"/>
        </c:title>
        <c:numFmt formatCode="0" sourceLinked="0"/>
        <c:majorTickMark val="out"/>
        <c:minorTickMark val="none"/>
        <c:tickLblPos val="nextTo"/>
        <c:txPr>
          <a:bodyPr/>
          <a:lstStyle/>
          <a:p>
            <a:pPr>
              <a:defRPr sz="1000">
                <a:latin typeface="Times New Roman"/>
                <a:ea typeface="Times New Roman"/>
                <a:cs typeface="Times New Roman"/>
              </a:defRPr>
            </a:pPr>
            <a:endParaRPr lang="en-US"/>
          </a:p>
        </c:txPr>
        <c:crossAx val="322739456"/>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Revenues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numCache>
            </c:numRef>
          </c:cat>
          <c:val>
            <c:numRef>
              <c:f>'Data for Graphs'!$D$25:$AL$25</c:f>
              <c:numCache>
                <c:formatCode>"$"#,##0.00</c:formatCode>
                <c:ptCount val="35"/>
                <c:pt idx="0">
                  <c:v>633.28196497713952</c:v>
                </c:pt>
                <c:pt idx="1">
                  <c:v>656.61115010410003</c:v>
                </c:pt>
                <c:pt idx="2">
                  <c:v>676.84807695261088</c:v>
                </c:pt>
                <c:pt idx="3">
                  <c:v>703.5950648918415</c:v>
                </c:pt>
                <c:pt idx="4">
                  <c:v>732.91827329366379</c:v>
                </c:pt>
                <c:pt idx="5">
                  <c:v>764.94734714738001</c:v>
                </c:pt>
                <c:pt idx="6">
                  <c:v>800.19811613745082</c:v>
                </c:pt>
                <c:pt idx="7">
                  <c:v>837.48996661600631</c:v>
                </c:pt>
                <c:pt idx="8">
                  <c:v>876.20328064140472</c:v>
                </c:pt>
                <c:pt idx="9">
                  <c:v>916.37569706233899</c:v>
                </c:pt>
                <c:pt idx="10">
                  <c:v>957.64200498407854</c:v>
                </c:pt>
                <c:pt idx="11">
                  <c:v>1000.5713101624074</c:v>
                </c:pt>
                <c:pt idx="12">
                  <c:v>1044.7098022293153</c:v>
                </c:pt>
                <c:pt idx="13">
                  <c:v>1090.8565948682619</c:v>
                </c:pt>
                <c:pt idx="14">
                  <c:v>1139.6431689368528</c:v>
                </c:pt>
                <c:pt idx="15">
                  <c:v>1190.4471257036066</c:v>
                </c:pt>
                <c:pt idx="16">
                  <c:v>1244.2706890001464</c:v>
                </c:pt>
                <c:pt idx="17">
                  <c:v>1300.061586548798</c:v>
                </c:pt>
                <c:pt idx="18">
                  <c:v>1358.5418970953899</c:v>
                </c:pt>
                <c:pt idx="19">
                  <c:v>1419.8914098699152</c:v>
                </c:pt>
                <c:pt idx="20">
                  <c:v>1483.8979071782965</c:v>
                </c:pt>
                <c:pt idx="21">
                  <c:v>1550.5003546378121</c:v>
                </c:pt>
                <c:pt idx="22">
                  <c:v>1620.0190047244378</c:v>
                </c:pt>
                <c:pt idx="23">
                  <c:v>1693.082543231887</c:v>
                </c:pt>
                <c:pt idx="24">
                  <c:v>1769.1871937452381</c:v>
                </c:pt>
                <c:pt idx="25">
                  <c:v>1848.8654305169232</c:v>
                </c:pt>
                <c:pt idx="26">
                  <c:v>1931.9974491472371</c:v>
                </c:pt>
                <c:pt idx="27">
                  <c:v>2018.6399170813993</c:v>
                </c:pt>
                <c:pt idx="28">
                  <c:v>2109.1859563430003</c:v>
                </c:pt>
                <c:pt idx="29">
                  <c:v>2204.4029585585545</c:v>
                </c:pt>
                <c:pt idx="30">
                  <c:v>2303.4495780331035</c:v>
                </c:pt>
                <c:pt idx="31">
                  <c:v>2406.6043644369265</c:v>
                </c:pt>
                <c:pt idx="32">
                  <c:v>2514.8434024405774</c:v>
                </c:pt>
                <c:pt idx="33">
                  <c:v>2627.9831454698424</c:v>
                </c:pt>
                <c:pt idx="34">
                  <c:v>2746.1582362224781</c:v>
                </c:pt>
              </c:numCache>
            </c:numRef>
          </c:val>
          <c:smooth val="0"/>
          <c:extLst>
            <c:ext xmlns:c16="http://schemas.microsoft.com/office/drawing/2014/chart" uri="{C3380CC4-5D6E-409C-BE32-E72D297353CC}">
              <c16:uniqueId val="{00000000-BB8B-4F54-8835-6C6C6689D3CD}"/>
            </c:ext>
          </c:extLst>
        </c:ser>
        <c:ser>
          <c:idx val="1"/>
          <c:order val="1"/>
          <c:tx>
            <c:v>TSL 1</c:v>
          </c:tx>
          <c:marker>
            <c:symbol val="none"/>
          </c:marker>
          <c:val>
            <c:numRef>
              <c:f>'Data for Graphs'!$D$26:$AL$26</c:f>
              <c:numCache>
                <c:formatCode>"$"#,##0.00</c:formatCode>
                <c:ptCount val="35"/>
                <c:pt idx="0">
                  <c:v>633.28196497713952</c:v>
                </c:pt>
                <c:pt idx="1">
                  <c:v>656.61115010410003</c:v>
                </c:pt>
                <c:pt idx="2">
                  <c:v>678.97740712259451</c:v>
                </c:pt>
                <c:pt idx="3">
                  <c:v>706.11447014226212</c:v>
                </c:pt>
                <c:pt idx="4">
                  <c:v>740.55014893669215</c:v>
                </c:pt>
                <c:pt idx="5">
                  <c:v>773.29356518407758</c:v>
                </c:pt>
                <c:pt idx="6">
                  <c:v>809.32584803030682</c:v>
                </c:pt>
                <c:pt idx="7">
                  <c:v>847.16641220946326</c:v>
                </c:pt>
                <c:pt idx="8">
                  <c:v>886.41537660205302</c:v>
                </c:pt>
                <c:pt idx="9">
                  <c:v>926.80877330735632</c:v>
                </c:pt>
                <c:pt idx="10">
                  <c:v>968.89734301704721</c:v>
                </c:pt>
                <c:pt idx="11">
                  <c:v>1012.5817381787442</c:v>
                </c:pt>
                <c:pt idx="12">
                  <c:v>1056.9101929115063</c:v>
                </c:pt>
                <c:pt idx="13">
                  <c:v>1103.7250776159415</c:v>
                </c:pt>
                <c:pt idx="14">
                  <c:v>1152.7161356108149</c:v>
                </c:pt>
                <c:pt idx="15">
                  <c:v>1204.1990176514464</c:v>
                </c:pt>
                <c:pt idx="16">
                  <c:v>1259.1345940662018</c:v>
                </c:pt>
                <c:pt idx="17">
                  <c:v>1315.414209818266</c:v>
                </c:pt>
                <c:pt idx="18">
                  <c:v>1374.1284109566477</c:v>
                </c:pt>
                <c:pt idx="19">
                  <c:v>1436.7638298978322</c:v>
                </c:pt>
                <c:pt idx="20">
                  <c:v>1501.522959102972</c:v>
                </c:pt>
                <c:pt idx="21">
                  <c:v>1568.3454976132289</c:v>
                </c:pt>
                <c:pt idx="22">
                  <c:v>1638.9576059101353</c:v>
                </c:pt>
                <c:pt idx="23">
                  <c:v>1712.6817663305033</c:v>
                </c:pt>
                <c:pt idx="24">
                  <c:v>1789.8790579892691</c:v>
                </c:pt>
                <c:pt idx="25">
                  <c:v>1870.274508407666</c:v>
                </c:pt>
                <c:pt idx="26">
                  <c:v>1954.3752423860926</c:v>
                </c:pt>
                <c:pt idx="27">
                  <c:v>2041.7613844573075</c:v>
                </c:pt>
                <c:pt idx="28">
                  <c:v>2133.4996917589497</c:v>
                </c:pt>
                <c:pt idx="29">
                  <c:v>2229.5743828964642</c:v>
                </c:pt>
                <c:pt idx="30">
                  <c:v>2329.3857855341003</c:v>
                </c:pt>
                <c:pt idx="31">
                  <c:v>2433.5791077029039</c:v>
                </c:pt>
                <c:pt idx="32">
                  <c:v>2544.0568304414519</c:v>
                </c:pt>
                <c:pt idx="33">
                  <c:v>2657.6506388116022</c:v>
                </c:pt>
                <c:pt idx="34">
                  <c:v>2776.6085687455115</c:v>
                </c:pt>
              </c:numCache>
            </c:numRef>
          </c:val>
          <c:smooth val="0"/>
          <c:extLst>
            <c:ext xmlns:c16="http://schemas.microsoft.com/office/drawing/2014/chart" uri="{C3380CC4-5D6E-409C-BE32-E72D297353CC}">
              <c16:uniqueId val="{00000001-BB8B-4F54-8835-6C6C6689D3CD}"/>
            </c:ext>
          </c:extLst>
        </c:ser>
        <c:dLbls>
          <c:showLegendKey val="0"/>
          <c:showVal val="0"/>
          <c:showCatName val="0"/>
          <c:showSerName val="0"/>
          <c:showPercent val="0"/>
          <c:showBubbleSize val="0"/>
        </c:dLbls>
        <c:smooth val="0"/>
        <c:axId val="322740240"/>
        <c:axId val="322737496"/>
      </c:lineChart>
      <c:catAx>
        <c:axId val="322740240"/>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37496"/>
        <c:crosses val="autoZero"/>
        <c:auto val="1"/>
        <c:lblAlgn val="ctr"/>
        <c:lblOffset val="100"/>
        <c:noMultiLvlLbl val="0"/>
      </c:catAx>
      <c:valAx>
        <c:axId val="322737496"/>
        <c:scaling>
          <c:orientation val="minMax"/>
          <c:min val="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quot;$&quot;#,##0.00" sourceLinked="1"/>
        <c:majorTickMark val="out"/>
        <c:minorTickMark val="none"/>
        <c:tickLblPos val="nextTo"/>
        <c:txPr>
          <a:bodyPr/>
          <a:lstStyle/>
          <a:p>
            <a:pPr>
              <a:defRPr sz="1000">
                <a:latin typeface="Times New Roman"/>
                <a:ea typeface="Times New Roman"/>
                <a:cs typeface="Times New Roman"/>
              </a:defRPr>
            </a:pPr>
            <a:endParaRPr lang="en-US"/>
          </a:p>
        </c:txPr>
        <c:crossAx val="322740240"/>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Net Free Cash Flow Totals</a:t>
            </a:r>
          </a:p>
        </c:rich>
      </c:tx>
      <c:overlay val="0"/>
    </c:title>
    <c:autoTitleDeleted val="0"/>
    <c:plotArea>
      <c:layout/>
      <c:lineChart>
        <c:grouping val="standard"/>
        <c:varyColors val="0"/>
        <c:ser>
          <c:idx val="0"/>
          <c:order val="0"/>
          <c:tx>
            <c:v>No STDs Case</c:v>
          </c:tx>
          <c:marker>
            <c:symbol val="none"/>
          </c:marker>
          <c:cat>
            <c:numRef>
              <c:f>[0]!FCF_Date_Range</c:f>
              <c:numCache>
                <c:formatCode>General</c:formatCode>
                <c:ptCount val="1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numCache>
            </c:numRef>
          </c:cat>
          <c:val>
            <c:numRef>
              <c:f>'Data for Graphs'!$D$30:$Q$30</c:f>
              <c:numCache>
                <c:formatCode>"$"#,##0.00</c:formatCode>
                <c:ptCount val="14"/>
                <c:pt idx="0">
                  <c:v>48.94531488224456</c:v>
                </c:pt>
                <c:pt idx="1">
                  <c:v>20.787578931099652</c:v>
                </c:pt>
                <c:pt idx="2">
                  <c:v>49.318654498974951</c:v>
                </c:pt>
                <c:pt idx="3">
                  <c:v>50.215636160980324</c:v>
                </c:pt>
                <c:pt idx="4">
                  <c:v>50.493367642057279</c:v>
                </c:pt>
                <c:pt idx="5">
                  <c:v>52.519668081557128</c:v>
                </c:pt>
                <c:pt idx="6">
                  <c:v>54.70934027806419</c:v>
                </c:pt>
                <c:pt idx="7">
                  <c:v>57.252746150021387</c:v>
                </c:pt>
                <c:pt idx="8">
                  <c:v>60.008871165059006</c:v>
                </c:pt>
                <c:pt idx="9">
                  <c:v>62.871519740298588</c:v>
                </c:pt>
                <c:pt idx="10">
                  <c:v>65.879338387581669</c:v>
                </c:pt>
                <c:pt idx="11">
                  <c:v>68.921215784819339</c:v>
                </c:pt>
                <c:pt idx="12">
                  <c:v>72.131881756352016</c:v>
                </c:pt>
                <c:pt idx="13">
                  <c:v>75.365113083559578</c:v>
                </c:pt>
              </c:numCache>
            </c:numRef>
          </c:val>
          <c:smooth val="0"/>
          <c:extLst>
            <c:ext xmlns:c16="http://schemas.microsoft.com/office/drawing/2014/chart" uri="{C3380CC4-5D6E-409C-BE32-E72D297353CC}">
              <c16:uniqueId val="{00000000-D978-40FF-BCC1-E23A767F5D85}"/>
            </c:ext>
          </c:extLst>
        </c:ser>
        <c:ser>
          <c:idx val="1"/>
          <c:order val="1"/>
          <c:tx>
            <c:v>TSL 1</c:v>
          </c:tx>
          <c:marker>
            <c:symbol val="none"/>
          </c:marker>
          <c:val>
            <c:numRef>
              <c:f>'Data for Graphs'!$D$31:$Q$31</c:f>
              <c:numCache>
                <c:formatCode>"$"#,##0.00</c:formatCode>
                <c:ptCount val="14"/>
                <c:pt idx="0">
                  <c:v>48.94531488224456</c:v>
                </c:pt>
                <c:pt idx="1">
                  <c:v>20.787578931099652</c:v>
                </c:pt>
                <c:pt idx="2">
                  <c:v>40.628208851503054</c:v>
                </c:pt>
                <c:pt idx="3">
                  <c:v>40.080145579059888</c:v>
                </c:pt>
                <c:pt idx="4">
                  <c:v>50.525660298803281</c:v>
                </c:pt>
                <c:pt idx="5">
                  <c:v>52.180203963993009</c:v>
                </c:pt>
                <c:pt idx="6">
                  <c:v>54.378704593899904</c:v>
                </c:pt>
                <c:pt idx="7">
                  <c:v>56.960718991666454</c:v>
                </c:pt>
                <c:pt idx="8">
                  <c:v>59.716656097046233</c:v>
                </c:pt>
                <c:pt idx="9">
                  <c:v>62.603342287473595</c:v>
                </c:pt>
                <c:pt idx="10">
                  <c:v>65.528034423736358</c:v>
                </c:pt>
                <c:pt idx="11">
                  <c:v>68.590441081609654</c:v>
                </c:pt>
                <c:pt idx="12">
                  <c:v>71.859921650676867</c:v>
                </c:pt>
                <c:pt idx="13">
                  <c:v>75.013185583946097</c:v>
                </c:pt>
              </c:numCache>
            </c:numRef>
          </c:val>
          <c:smooth val="0"/>
          <c:extLst>
            <c:ext xmlns:c16="http://schemas.microsoft.com/office/drawing/2014/chart" uri="{C3380CC4-5D6E-409C-BE32-E72D297353CC}">
              <c16:uniqueId val="{00000001-D978-40FF-BCC1-E23A767F5D85}"/>
            </c:ext>
          </c:extLst>
        </c:ser>
        <c:dLbls>
          <c:showLegendKey val="0"/>
          <c:showVal val="0"/>
          <c:showCatName val="0"/>
          <c:showSerName val="0"/>
          <c:showPercent val="0"/>
          <c:showBubbleSize val="0"/>
        </c:dLbls>
        <c:smooth val="0"/>
        <c:axId val="322741808"/>
        <c:axId val="322742592"/>
      </c:lineChart>
      <c:catAx>
        <c:axId val="322741808"/>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322742592"/>
        <c:crosses val="autoZero"/>
        <c:auto val="1"/>
        <c:lblAlgn val="ctr"/>
        <c:lblOffset val="100"/>
        <c:noMultiLvlLbl val="0"/>
      </c:catAx>
      <c:valAx>
        <c:axId val="322742592"/>
        <c:scaling>
          <c:orientation val="minMax"/>
          <c:min val="-8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quot;$&quot;#,##0.00" sourceLinked="1"/>
        <c:majorTickMark val="out"/>
        <c:minorTickMark val="none"/>
        <c:tickLblPos val="nextTo"/>
        <c:txPr>
          <a:bodyPr/>
          <a:lstStyle/>
          <a:p>
            <a:pPr>
              <a:defRPr sz="1000">
                <a:latin typeface="Times New Roman"/>
                <a:ea typeface="Times New Roman"/>
                <a:cs typeface="Times New Roman"/>
              </a:defRPr>
            </a:pPr>
            <a:endParaRPr lang="en-US"/>
          </a:p>
        </c:txPr>
        <c:crossAx val="322741808"/>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Investments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numCache>
            </c:numRef>
          </c:cat>
          <c:val>
            <c:numRef>
              <c:f>'Data for Graphs'!$D$35:$AL$35</c:f>
              <c:numCache>
                <c:formatCode>"$"#,##0.0_);\("$"#,##0.0\)</c:formatCode>
                <c:ptCount val="35"/>
                <c:pt idx="0">
                  <c:v>25.331278599085582</c:v>
                </c:pt>
                <c:pt idx="1">
                  <c:v>39.892700931902226</c:v>
                </c:pt>
                <c:pt idx="2">
                  <c:v>27.140414202090962</c:v>
                </c:pt>
                <c:pt idx="3">
                  <c:v>28.143802595673662</c:v>
                </c:pt>
                <c:pt idx="4">
                  <c:v>29.316730931746552</c:v>
                </c:pt>
                <c:pt idx="5">
                  <c:v>30.5978938858952</c:v>
                </c:pt>
                <c:pt idx="6">
                  <c:v>32.007924645498036</c:v>
                </c:pt>
                <c:pt idx="7">
                  <c:v>33.499598664640253</c:v>
                </c:pt>
                <c:pt idx="8">
                  <c:v>35.048131225656192</c:v>
                </c:pt>
                <c:pt idx="9">
                  <c:v>36.655027882493563</c:v>
                </c:pt>
                <c:pt idx="10">
                  <c:v>38.305680199363145</c:v>
                </c:pt>
                <c:pt idx="11">
                  <c:v>40.022852406496298</c:v>
                </c:pt>
                <c:pt idx="12">
                  <c:v>41.788392089172611</c:v>
                </c:pt>
                <c:pt idx="13">
                  <c:v>43.634263794730479</c:v>
                </c:pt>
                <c:pt idx="14">
                  <c:v>45.585726757474113</c:v>
                </c:pt>
                <c:pt idx="15">
                  <c:v>47.617885028144265</c:v>
                </c:pt>
                <c:pt idx="16">
                  <c:v>49.770827560005856</c:v>
                </c:pt>
                <c:pt idx="17">
                  <c:v>52.002463461951919</c:v>
                </c:pt>
                <c:pt idx="18">
                  <c:v>54.341675883815597</c:v>
                </c:pt>
                <c:pt idx="19">
                  <c:v>56.795656394796609</c:v>
                </c:pt>
                <c:pt idx="20">
                  <c:v>59.355916287131862</c:v>
                </c:pt>
                <c:pt idx="21">
                  <c:v>62.020014185512487</c:v>
                </c:pt>
                <c:pt idx="22">
                  <c:v>64.800760188977506</c:v>
                </c:pt>
                <c:pt idx="23">
                  <c:v>67.723301729275477</c:v>
                </c:pt>
                <c:pt idx="24">
                  <c:v>70.767487749809533</c:v>
                </c:pt>
                <c:pt idx="25">
                  <c:v>73.954617220676923</c:v>
                </c:pt>
                <c:pt idx="26">
                  <c:v>77.279897965889489</c:v>
                </c:pt>
                <c:pt idx="27">
                  <c:v>80.745596683255968</c:v>
                </c:pt>
                <c:pt idx="28">
                  <c:v>84.36743825372001</c:v>
                </c:pt>
                <c:pt idx="29">
                  <c:v>88.176118342342178</c:v>
                </c:pt>
                <c:pt idx="30">
                  <c:v>92.13798312132414</c:v>
                </c:pt>
                <c:pt idx="31">
                  <c:v>96.264174577477064</c:v>
                </c:pt>
                <c:pt idx="32">
                  <c:v>100.59373609762309</c:v>
                </c:pt>
                <c:pt idx="33">
                  <c:v>105.1193258187937</c:v>
                </c:pt>
                <c:pt idx="34">
                  <c:v>109.84632944889913</c:v>
                </c:pt>
              </c:numCache>
            </c:numRef>
          </c:val>
          <c:smooth val="0"/>
          <c:extLst>
            <c:ext xmlns:c16="http://schemas.microsoft.com/office/drawing/2014/chart" uri="{C3380CC4-5D6E-409C-BE32-E72D297353CC}">
              <c16:uniqueId val="{00000000-95EB-4754-A745-3B754B980BD5}"/>
            </c:ext>
          </c:extLst>
        </c:ser>
        <c:ser>
          <c:idx val="1"/>
          <c:order val="1"/>
          <c:tx>
            <c:v>TSL 1</c:v>
          </c:tx>
          <c:marker>
            <c:symbol val="none"/>
          </c:marker>
          <c:val>
            <c:numRef>
              <c:f>'Data for Graphs'!$D$36:$AL$36</c:f>
              <c:numCache>
                <c:formatCode>"$"#,##0.0_);\("$"#,##0.0\)</c:formatCode>
                <c:ptCount val="35"/>
                <c:pt idx="0">
                  <c:v>25.331278599085582</c:v>
                </c:pt>
                <c:pt idx="1">
                  <c:v>39.892700931902226</c:v>
                </c:pt>
                <c:pt idx="2">
                  <c:v>34.295248039153527</c:v>
                </c:pt>
                <c:pt idx="3">
                  <c:v>37.443650881913783</c:v>
                </c:pt>
                <c:pt idx="4">
                  <c:v>29.622005957467685</c:v>
                </c:pt>
                <c:pt idx="5">
                  <c:v>30.931742607363105</c:v>
                </c:pt>
                <c:pt idx="6">
                  <c:v>32.373033921212276</c:v>
                </c:pt>
                <c:pt idx="7">
                  <c:v>33.886656488378534</c:v>
                </c:pt>
                <c:pt idx="8">
                  <c:v>35.456615064082122</c:v>
                </c:pt>
                <c:pt idx="9">
                  <c:v>37.072350932294256</c:v>
                </c:pt>
                <c:pt idx="10">
                  <c:v>38.75589372068189</c:v>
                </c:pt>
                <c:pt idx="11">
                  <c:v>40.503269527149769</c:v>
                </c:pt>
                <c:pt idx="12">
                  <c:v>42.276407716460255</c:v>
                </c:pt>
                <c:pt idx="13">
                  <c:v>44.149003104637657</c:v>
                </c:pt>
                <c:pt idx="14">
                  <c:v>46.108645424432602</c:v>
                </c:pt>
                <c:pt idx="15">
                  <c:v>48.167960706057855</c:v>
                </c:pt>
                <c:pt idx="16">
                  <c:v>50.365383762648072</c:v>
                </c:pt>
                <c:pt idx="17">
                  <c:v>52.616568392730642</c:v>
                </c:pt>
                <c:pt idx="18">
                  <c:v>54.965136438265908</c:v>
                </c:pt>
                <c:pt idx="19">
                  <c:v>57.47055319591329</c:v>
                </c:pt>
                <c:pt idx="20">
                  <c:v>60.060918364118884</c:v>
                </c:pt>
                <c:pt idx="21">
                  <c:v>62.733819904529156</c:v>
                </c:pt>
                <c:pt idx="22">
                  <c:v>65.558304236405405</c:v>
                </c:pt>
                <c:pt idx="23">
                  <c:v>68.507270653220132</c:v>
                </c:pt>
                <c:pt idx="24">
                  <c:v>71.595162319570761</c:v>
                </c:pt>
                <c:pt idx="25">
                  <c:v>74.810980336306642</c:v>
                </c:pt>
                <c:pt idx="26">
                  <c:v>78.175009695443705</c:v>
                </c:pt>
                <c:pt idx="27">
                  <c:v>81.670455378292303</c:v>
                </c:pt>
                <c:pt idx="28">
                  <c:v>85.339987670357985</c:v>
                </c:pt>
                <c:pt idx="29">
                  <c:v>89.18297531585857</c:v>
                </c:pt>
                <c:pt idx="30">
                  <c:v>93.17543142136401</c:v>
                </c:pt>
                <c:pt idx="31">
                  <c:v>97.343164308116158</c:v>
                </c:pt>
                <c:pt idx="32">
                  <c:v>101.76227321765808</c:v>
                </c:pt>
                <c:pt idx="33">
                  <c:v>106.30602555246409</c:v>
                </c:pt>
                <c:pt idx="34">
                  <c:v>111.06434274982047</c:v>
                </c:pt>
              </c:numCache>
            </c:numRef>
          </c:val>
          <c:smooth val="0"/>
          <c:extLst>
            <c:ext xmlns:c16="http://schemas.microsoft.com/office/drawing/2014/chart" uri="{C3380CC4-5D6E-409C-BE32-E72D297353CC}">
              <c16:uniqueId val="{00000001-95EB-4754-A745-3B754B980BD5}"/>
            </c:ext>
          </c:extLst>
        </c:ser>
        <c:dLbls>
          <c:showLegendKey val="0"/>
          <c:showVal val="0"/>
          <c:showCatName val="0"/>
          <c:showSerName val="0"/>
          <c:showPercent val="0"/>
          <c:showBubbleSize val="0"/>
        </c:dLbls>
        <c:smooth val="0"/>
        <c:axId val="95814808"/>
        <c:axId val="95815984"/>
      </c:lineChart>
      <c:catAx>
        <c:axId val="95814808"/>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5984"/>
        <c:crosses val="autoZero"/>
        <c:auto val="1"/>
        <c:lblAlgn val="ctr"/>
        <c:lblOffset val="100"/>
        <c:noMultiLvlLbl val="0"/>
      </c:catAx>
      <c:valAx>
        <c:axId val="95815984"/>
        <c:scaling>
          <c:orientation val="minMax"/>
          <c:min val="0"/>
        </c:scaling>
        <c:delete val="0"/>
        <c:axPos val="l"/>
        <c:majorGridlines/>
        <c:title>
          <c:tx>
            <c:rich>
              <a:bodyPr/>
              <a:lstStyle/>
              <a:p>
                <a:pPr>
                  <a:defRPr sz="1000">
                    <a:latin typeface="Times New Roman"/>
                    <a:ea typeface="Times New Roman"/>
                    <a:cs typeface="Times New Roman"/>
                  </a:defRPr>
                </a:pPr>
                <a:r>
                  <a:rPr lang="en-US"/>
                  <a:t>2012$  Millions</a:t>
                </a:r>
              </a:p>
            </c:rich>
          </c:tx>
          <c:overlay val="0"/>
        </c:title>
        <c:numFmt formatCode="&quot;$&quot;#,##0.0_);\(&quot;$&quot;#,##0.0\)" sourceLinked="1"/>
        <c:majorTickMark val="out"/>
        <c:minorTickMark val="none"/>
        <c:tickLblPos val="nextTo"/>
        <c:txPr>
          <a:bodyPr/>
          <a:lstStyle/>
          <a:p>
            <a:pPr>
              <a:defRPr sz="1000">
                <a:latin typeface="Times New Roman"/>
                <a:ea typeface="Times New Roman"/>
                <a:cs typeface="Times New Roman"/>
              </a:defRPr>
            </a:pPr>
            <a:endParaRPr lang="en-US"/>
          </a:p>
        </c:txPr>
        <c:crossAx val="95814808"/>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Net PPE (% of Revenues)</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numCache>
            </c:numRef>
          </c:cat>
          <c:val>
            <c:numRef>
              <c:f>'Data for Graphs'!$D$40:$AL$40</c:f>
              <c:numCache>
                <c:formatCode>"$"#,##0.0_);\("$"#,##0.0\)</c:formatCode>
                <c:ptCount val="35"/>
                <c:pt idx="0">
                  <c:v>0.10599999999999998</c:v>
                </c:pt>
                <c:pt idx="1">
                  <c:v>0.12798929618010876</c:v>
                </c:pt>
                <c:pt idx="2">
                  <c:v>0.12484127784464435</c:v>
                </c:pt>
                <c:pt idx="3">
                  <c:v>0.12539041201713161</c:v>
                </c:pt>
                <c:pt idx="4">
                  <c:v>0.12537368734652773</c:v>
                </c:pt>
                <c:pt idx="5">
                  <c:v>0.12512417166899836</c:v>
                </c:pt>
                <c:pt idx="6">
                  <c:v>0.12461213261063575</c:v>
                </c:pt>
                <c:pt idx="7">
                  <c:v>0.12406338910042192</c:v>
                </c:pt>
                <c:pt idx="8">
                  <c:v>0.12358189291407579</c:v>
                </c:pt>
                <c:pt idx="9">
                  <c:v>0.12316426422734095</c:v>
                </c:pt>
                <c:pt idx="10">
                  <c:v>0.12285692137259177</c:v>
                </c:pt>
                <c:pt idx="11">
                  <c:v>0.12258577056374249</c:v>
                </c:pt>
                <c:pt idx="12">
                  <c:v>0.12240658008424524</c:v>
                </c:pt>
                <c:pt idx="13">
                  <c:v>0.12222838242255127</c:v>
                </c:pt>
                <c:pt idx="14">
                  <c:v>0.12199595161010257</c:v>
                </c:pt>
                <c:pt idx="15">
                  <c:v>0.12178960777718734</c:v>
                </c:pt>
                <c:pt idx="16">
                  <c:v>0.12152134041301461</c:v>
                </c:pt>
                <c:pt idx="17">
                  <c:v>0.12130636850467968</c:v>
                </c:pt>
                <c:pt idx="18">
                  <c:v>0.12108456848761706</c:v>
                </c:pt>
                <c:pt idx="19">
                  <c:v>0.12085284497017601</c:v>
                </c:pt>
                <c:pt idx="20">
                  <c:v>0.1206399746919215</c:v>
                </c:pt>
                <c:pt idx="21">
                  <c:v>0.12045782974632238</c:v>
                </c:pt>
                <c:pt idx="22">
                  <c:v>0.12028871401872426</c:v>
                </c:pt>
                <c:pt idx="23">
                  <c:v>0.12009775677694559</c:v>
                </c:pt>
                <c:pt idx="24">
                  <c:v>0.11993154381810193</c:v>
                </c:pt>
                <c:pt idx="25">
                  <c:v>0.1197630043522195</c:v>
                </c:pt>
                <c:pt idx="26">
                  <c:v>0.11960971581479124</c:v>
                </c:pt>
                <c:pt idx="27">
                  <c:v>0.11947592207604421</c:v>
                </c:pt>
                <c:pt idx="28">
                  <c:v>0.11934689516469954</c:v>
                </c:pt>
                <c:pt idx="29">
                  <c:v>0.11919182424756221</c:v>
                </c:pt>
                <c:pt idx="30">
                  <c:v>0.11906666441193589</c:v>
                </c:pt>
                <c:pt idx="31">
                  <c:v>0.11896308506307079</c:v>
                </c:pt>
                <c:pt idx="32">
                  <c:v>0.11884290546354699</c:v>
                </c:pt>
                <c:pt idx="33">
                  <c:v>0.11872648916986751</c:v>
                </c:pt>
                <c:pt idx="34">
                  <c:v>0.11861734671502819</c:v>
                </c:pt>
              </c:numCache>
            </c:numRef>
          </c:val>
          <c:smooth val="0"/>
          <c:extLst>
            <c:ext xmlns:c16="http://schemas.microsoft.com/office/drawing/2014/chart" uri="{C3380CC4-5D6E-409C-BE32-E72D297353CC}">
              <c16:uniqueId val="{00000000-E028-4E74-B540-3549DCA8466F}"/>
            </c:ext>
          </c:extLst>
        </c:ser>
        <c:ser>
          <c:idx val="1"/>
          <c:order val="1"/>
          <c:tx>
            <c:v>TSL 1</c:v>
          </c:tx>
          <c:marker>
            <c:symbol val="none"/>
          </c:marker>
          <c:val>
            <c:numRef>
              <c:f>'Data for Graphs'!$D$41:$AL$41</c:f>
              <c:numCache>
                <c:formatCode>"$"#,##0.0_);\("$"#,##0.0\)</c:formatCode>
                <c:ptCount val="35"/>
                <c:pt idx="0">
                  <c:v>0.10599999999999998</c:v>
                </c:pt>
                <c:pt idx="1">
                  <c:v>0.12798929618010876</c:v>
                </c:pt>
                <c:pt idx="2">
                  <c:v>0.13538619257407594</c:v>
                </c:pt>
                <c:pt idx="3">
                  <c:v>0.14812127840755671</c:v>
                </c:pt>
                <c:pt idx="4">
                  <c:v>0.14071275582825735</c:v>
                </c:pt>
                <c:pt idx="5">
                  <c:v>0.13975458348228084</c:v>
                </c:pt>
                <c:pt idx="6">
                  <c:v>0.13853252015223144</c:v>
                </c:pt>
                <c:pt idx="7">
                  <c:v>0.13734465830576265</c:v>
                </c:pt>
                <c:pt idx="8">
                  <c:v>0.13626327056628151</c:v>
                </c:pt>
                <c:pt idx="9">
                  <c:v>0.13532446581726718</c:v>
                </c:pt>
                <c:pt idx="10">
                  <c:v>0.1344460172344264</c:v>
                </c:pt>
                <c:pt idx="11">
                  <c:v>0.13364580109054386</c:v>
                </c:pt>
                <c:pt idx="12">
                  <c:v>0.13304048865851403</c:v>
                </c:pt>
                <c:pt idx="13">
                  <c:v>0.13239752986027492</c:v>
                </c:pt>
                <c:pt idx="14">
                  <c:v>0.13177056337357287</c:v>
                </c:pt>
                <c:pt idx="15">
                  <c:v>0.13113700258241734</c:v>
                </c:pt>
                <c:pt idx="16">
                  <c:v>0.13041554368507757</c:v>
                </c:pt>
                <c:pt idx="17">
                  <c:v>0.12983575244372647</c:v>
                </c:pt>
                <c:pt idx="18">
                  <c:v>0.12928808861322105</c:v>
                </c:pt>
                <c:pt idx="19">
                  <c:v>0.12865180140590046</c:v>
                </c:pt>
                <c:pt idx="20">
                  <c:v>0.12810318253250277</c:v>
                </c:pt>
                <c:pt idx="21">
                  <c:v>0.12764508681246414</c:v>
                </c:pt>
                <c:pt idx="22">
                  <c:v>0.12714568361797787</c:v>
                </c:pt>
                <c:pt idx="23">
                  <c:v>0.12667256598451773</c:v>
                </c:pt>
                <c:pt idx="24">
                  <c:v>0.12620919180969695</c:v>
                </c:pt>
                <c:pt idx="25">
                  <c:v>0.12578397493545254</c:v>
                </c:pt>
                <c:pt idx="26">
                  <c:v>0.12537123515786494</c:v>
                </c:pt>
                <c:pt idx="27">
                  <c:v>0.12500542275170032</c:v>
                </c:pt>
                <c:pt idx="28">
                  <c:v>0.1246303172707557</c:v>
                </c:pt>
                <c:pt idx="29">
                  <c:v>0.12425986660088256</c:v>
                </c:pt>
                <c:pt idx="30">
                  <c:v>0.1239354795225284</c:v>
                </c:pt>
                <c:pt idx="31">
                  <c:v>0.12362920067374875</c:v>
                </c:pt>
                <c:pt idx="32">
                  <c:v>0.12326050277714841</c:v>
                </c:pt>
                <c:pt idx="33">
                  <c:v>0.12299207895665079</c:v>
                </c:pt>
                <c:pt idx="34">
                  <c:v>0.12272274309287744</c:v>
                </c:pt>
              </c:numCache>
            </c:numRef>
          </c:val>
          <c:smooth val="0"/>
          <c:extLst>
            <c:ext xmlns:c16="http://schemas.microsoft.com/office/drawing/2014/chart" uri="{C3380CC4-5D6E-409C-BE32-E72D297353CC}">
              <c16:uniqueId val="{00000001-E028-4E74-B540-3549DCA8466F}"/>
            </c:ext>
          </c:extLst>
        </c:ser>
        <c:dLbls>
          <c:showLegendKey val="0"/>
          <c:showVal val="0"/>
          <c:showCatName val="0"/>
          <c:showSerName val="0"/>
          <c:showPercent val="0"/>
          <c:showBubbleSize val="0"/>
        </c:dLbls>
        <c:smooth val="0"/>
        <c:axId val="95816376"/>
        <c:axId val="95817944"/>
      </c:lineChart>
      <c:catAx>
        <c:axId val="95816376"/>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7944"/>
        <c:crosses val="autoZero"/>
        <c:auto val="1"/>
        <c:lblAlgn val="ctr"/>
        <c:lblOffset val="100"/>
        <c:noMultiLvlLbl val="0"/>
      </c:catAx>
      <c:valAx>
        <c:axId val="95817944"/>
        <c:scaling>
          <c:orientation val="minMax"/>
          <c:min val="0"/>
        </c:scaling>
        <c:delete val="0"/>
        <c:axPos val="l"/>
        <c:majorGridlines/>
        <c:title>
          <c:tx>
            <c:rich>
              <a:bodyPr/>
              <a:lstStyle/>
              <a:p>
                <a:pPr>
                  <a:defRPr sz="1000">
                    <a:latin typeface="Times New Roman"/>
                    <a:ea typeface="Times New Roman"/>
                    <a:cs typeface="Times New Roman"/>
                  </a:defRPr>
                </a:pPr>
                <a:r>
                  <a:rPr lang="en-US"/>
                  <a:t>% of Revenue</a:t>
                </a:r>
              </a:p>
            </c:rich>
          </c:tx>
          <c:overlay val="0"/>
        </c:title>
        <c:numFmt formatCode="&quot;$&quot;#,##0.0_);\(&quot;$&quot;#,##0.0\)" sourceLinked="1"/>
        <c:majorTickMark val="out"/>
        <c:minorTickMark val="none"/>
        <c:tickLblPos val="nextTo"/>
        <c:txPr>
          <a:bodyPr/>
          <a:lstStyle/>
          <a:p>
            <a:pPr>
              <a:defRPr sz="1000">
                <a:latin typeface="Times New Roman"/>
                <a:ea typeface="Times New Roman"/>
                <a:cs typeface="Times New Roman"/>
              </a:defRPr>
            </a:pPr>
            <a:endParaRPr lang="en-US"/>
          </a:p>
        </c:txPr>
        <c:crossAx val="95816376"/>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Return on Invested Capital</a:t>
            </a:r>
          </a:p>
        </c:rich>
      </c:tx>
      <c:overlay val="0"/>
    </c:title>
    <c:autoTitleDeleted val="0"/>
    <c:plotArea>
      <c:layout/>
      <c:lineChart>
        <c:grouping val="standard"/>
        <c:varyColors val="0"/>
        <c:ser>
          <c:idx val="0"/>
          <c:order val="0"/>
          <c:tx>
            <c:v>No STDs Case</c:v>
          </c:tx>
          <c:marker>
            <c:symbol val="none"/>
          </c:marker>
          <c:cat>
            <c:numRef>
              <c:f>[0]!Dynamic_Date_Range</c:f>
              <c:numCache>
                <c:formatCode>General</c:formatCode>
                <c:ptCount val="3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numCache>
            </c:numRef>
          </c:cat>
          <c:val>
            <c:numRef>
              <c:f>'Data for Graphs'!$D$44:$AL$44</c:f>
              <c:numCache>
                <c:formatCode>General</c:formatCode>
                <c:ptCount val="35"/>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numCache>
            </c:numRef>
          </c:val>
          <c:smooth val="0"/>
          <c:extLst>
            <c:ext xmlns:c16="http://schemas.microsoft.com/office/drawing/2014/chart" uri="{C3380CC4-5D6E-409C-BE32-E72D297353CC}">
              <c16:uniqueId val="{00000000-7891-48E3-9194-7ABC933C2D85}"/>
            </c:ext>
          </c:extLst>
        </c:ser>
        <c:ser>
          <c:idx val="1"/>
          <c:order val="1"/>
          <c:tx>
            <c:v>TSL 1</c:v>
          </c:tx>
          <c:marker>
            <c:symbol val="none"/>
          </c:marker>
          <c:val>
            <c:numRef>
              <c:f>'Data for Graphs'!$D$45:$AL$45</c:f>
              <c:numCache>
                <c:formatCode>"$"#,##0.0_);\("$"#,##0.0\)</c:formatCode>
                <c:ptCount val="35"/>
                <c:pt idx="0">
                  <c:v>0.30253067951318474</c:v>
                </c:pt>
                <c:pt idx="1">
                  <c:v>0.21535565585916155</c:v>
                </c:pt>
                <c:pt idx="2">
                  <c:v>0.27171959204423007</c:v>
                </c:pt>
                <c:pt idx="3">
                  <c:v>0.28239894462535803</c:v>
                </c:pt>
                <c:pt idx="4">
                  <c:v>0.27639782168862131</c:v>
                </c:pt>
                <c:pt idx="5">
                  <c:v>0.27688688314001164</c:v>
                </c:pt>
                <c:pt idx="6">
                  <c:v>0.27762938453587471</c:v>
                </c:pt>
                <c:pt idx="7">
                  <c:v>0.27840112624077901</c:v>
                </c:pt>
                <c:pt idx="8">
                  <c:v>0.27909813881477058</c:v>
                </c:pt>
                <c:pt idx="9">
                  <c:v>0.27972356794651465</c:v>
                </c:pt>
                <c:pt idx="10">
                  <c:v>0.28023038537603756</c:v>
                </c:pt>
                <c:pt idx="11">
                  <c:v>0.28069318315711644</c:v>
                </c:pt>
                <c:pt idx="12">
                  <c:v>0.28105572006618129</c:v>
                </c:pt>
                <c:pt idx="13">
                  <c:v>0.28141001402874111</c:v>
                </c:pt>
                <c:pt idx="14">
                  <c:v>0.28181223003037653</c:v>
                </c:pt>
                <c:pt idx="15">
                  <c:v>0.2821814946719447</c:v>
                </c:pt>
                <c:pt idx="16">
                  <c:v>0.28260718023976322</c:v>
                </c:pt>
                <c:pt idx="17">
                  <c:v>0.28297289459261576</c:v>
                </c:pt>
                <c:pt idx="18">
                  <c:v>0.28333972632729432</c:v>
                </c:pt>
                <c:pt idx="19">
                  <c:v>0.28371108526394923</c:v>
                </c:pt>
                <c:pt idx="20">
                  <c:v>0.28405796817984602</c:v>
                </c:pt>
                <c:pt idx="21">
                  <c:v>0.2843684436053906</c:v>
                </c:pt>
                <c:pt idx="22">
                  <c:v>0.28466065171350607</c:v>
                </c:pt>
                <c:pt idx="23">
                  <c:v>0.28497029567334564</c:v>
                </c:pt>
                <c:pt idx="24">
                  <c:v>0.28525013433977026</c:v>
                </c:pt>
                <c:pt idx="25">
                  <c:v>0.28552790924622828</c:v>
                </c:pt>
                <c:pt idx="26">
                  <c:v>0.28578586513750703</c:v>
                </c:pt>
                <c:pt idx="27">
                  <c:v>0.2860198054751284</c:v>
                </c:pt>
                <c:pt idx="28">
                  <c:v>0.28624490731686814</c:v>
                </c:pt>
                <c:pt idx="29">
                  <c:v>0.28649282528971981</c:v>
                </c:pt>
                <c:pt idx="30">
                  <c:v>0.28670654054723071</c:v>
                </c:pt>
                <c:pt idx="31">
                  <c:v>0.28689466622856824</c:v>
                </c:pt>
                <c:pt idx="32">
                  <c:v>0.28709639277324683</c:v>
                </c:pt>
                <c:pt idx="33">
                  <c:v>0.28729103964761993</c:v>
                </c:pt>
                <c:pt idx="34">
                  <c:v>0.28747513834347294</c:v>
                </c:pt>
              </c:numCache>
            </c:numRef>
          </c:val>
          <c:smooth val="0"/>
          <c:extLst>
            <c:ext xmlns:c16="http://schemas.microsoft.com/office/drawing/2014/chart" uri="{C3380CC4-5D6E-409C-BE32-E72D297353CC}">
              <c16:uniqueId val="{00000001-7891-48E3-9194-7ABC933C2D85}"/>
            </c:ext>
          </c:extLst>
        </c:ser>
        <c:dLbls>
          <c:showLegendKey val="0"/>
          <c:showVal val="0"/>
          <c:showCatName val="0"/>
          <c:showSerName val="0"/>
          <c:showPercent val="0"/>
          <c:showBubbleSize val="0"/>
        </c:dLbls>
        <c:smooth val="0"/>
        <c:axId val="95817160"/>
        <c:axId val="95819120"/>
      </c:lineChart>
      <c:catAx>
        <c:axId val="95817160"/>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9120"/>
        <c:crosses val="autoZero"/>
        <c:auto val="1"/>
        <c:lblAlgn val="ctr"/>
        <c:lblOffset val="100"/>
        <c:noMultiLvlLbl val="0"/>
      </c:catAx>
      <c:valAx>
        <c:axId val="95819120"/>
        <c:scaling>
          <c:orientation val="minMax"/>
          <c:min val="0"/>
        </c:scaling>
        <c:delete val="0"/>
        <c:axPos val="l"/>
        <c:majorGridlines/>
        <c:title>
          <c:tx>
            <c:rich>
              <a:bodyPr/>
              <a:lstStyle/>
              <a:p>
                <a:pPr>
                  <a:defRPr sz="1000">
                    <a:latin typeface="Times New Roman"/>
                    <a:ea typeface="Times New Roman"/>
                    <a:cs typeface="Times New Roman"/>
                  </a:defRPr>
                </a:pPr>
                <a:r>
                  <a:rPr lang="en-US"/>
                  <a:t>% of Total Capital</a:t>
                </a:r>
              </a:p>
            </c:rich>
          </c:tx>
          <c:overlay val="0"/>
        </c:title>
        <c:numFmt formatCode="General" sourceLinked="1"/>
        <c:majorTickMark val="out"/>
        <c:minorTickMark val="none"/>
        <c:tickLblPos val="nextTo"/>
        <c:txPr>
          <a:bodyPr/>
          <a:lstStyle/>
          <a:p>
            <a:pPr>
              <a:defRPr sz="1000">
                <a:latin typeface="Times New Roman"/>
                <a:ea typeface="Times New Roman"/>
                <a:cs typeface="Times New Roman"/>
              </a:defRPr>
            </a:pPr>
            <a:endParaRPr lang="en-US"/>
          </a:p>
        </c:txPr>
        <c:crossAx val="95817160"/>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200">
                <a:latin typeface="Times New Roman" panose="02020603050405020304" pitchFamily="18" charset="0"/>
              </a:defRPr>
            </a:pPr>
            <a:r>
              <a:rPr lang="en-US" sz="1200">
                <a:latin typeface="Times New Roman" panose="02020603050405020304" pitchFamily="18" charset="0"/>
              </a:rPr>
              <a:t>Total Employment</a:t>
            </a:r>
          </a:p>
        </c:rich>
      </c:tx>
      <c:overlay val="0"/>
    </c:title>
    <c:autoTitleDeleted val="0"/>
    <c:plotArea>
      <c:layout/>
      <c:lineChart>
        <c:grouping val="standard"/>
        <c:varyColors val="0"/>
        <c:ser>
          <c:idx val="0"/>
          <c:order val="0"/>
          <c:tx>
            <c:v>No STDs Case</c:v>
          </c:tx>
          <c:marker>
            <c:symbol val="none"/>
          </c:marker>
          <c:cat>
            <c:numRef>
              <c:f>[0]!Employment_Dynamic_Date</c:f>
              <c:numCache>
                <c:formatCode>General</c:formatCode>
                <c:ptCount val="36"/>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numCache>
            </c:numRef>
          </c:cat>
          <c:val>
            <c:numRef>
              <c:f>Employment!$D$43:$AM$43</c:f>
              <c:numCache>
                <c:formatCode>#,##0</c:formatCode>
                <c:ptCount val="36"/>
                <c:pt idx="0">
                  <c:v>64.625338873320928</c:v>
                </c:pt>
                <c:pt idx="1">
                  <c:v>63.446619988845811</c:v>
                </c:pt>
                <c:pt idx="2">
                  <c:v>62.366404899622914</c:v>
                </c:pt>
                <c:pt idx="3">
                  <c:v>61.355471362960621</c:v>
                </c:pt>
                <c:pt idx="4">
                  <c:v>60.361789086640584</c:v>
                </c:pt>
                <c:pt idx="5">
                  <c:v>59.401343008737534</c:v>
                </c:pt>
                <c:pt idx="6">
                  <c:v>58.47806556086131</c:v>
                </c:pt>
                <c:pt idx="7">
                  <c:v>57.589331946081266</c:v>
                </c:pt>
                <c:pt idx="8">
                  <c:v>56.733760532151166</c:v>
                </c:pt>
                <c:pt idx="9">
                  <c:v>55.911204499264564</c:v>
                </c:pt>
                <c:pt idx="10">
                  <c:v>55.117957795927325</c:v>
                </c:pt>
                <c:pt idx="11">
                  <c:v>54.344968645564521</c:v>
                </c:pt>
                <c:pt idx="12">
                  <c:v>53.60046001695369</c:v>
                </c:pt>
                <c:pt idx="13">
                  <c:v>52.88044626399067</c:v>
                </c:pt>
                <c:pt idx="14">
                  <c:v>52.17958042422751</c:v>
                </c:pt>
                <c:pt idx="15">
                  <c:v>51.500464210088431</c:v>
                </c:pt>
                <c:pt idx="16">
                  <c:v>50.845108555189256</c:v>
                </c:pt>
                <c:pt idx="17">
                  <c:v>50.211495715124428</c:v>
                </c:pt>
                <c:pt idx="18">
                  <c:v>49.596970571331795</c:v>
                </c:pt>
                <c:pt idx="19">
                  <c:v>48.998365076443321</c:v>
                </c:pt>
                <c:pt idx="20">
                  <c:v>48.418008393228163</c:v>
                </c:pt>
                <c:pt idx="21">
                  <c:v>47.856257106675272</c:v>
                </c:pt>
                <c:pt idx="22">
                  <c:v>47.309959272822738</c:v>
                </c:pt>
                <c:pt idx="23">
                  <c:v>46.777436894753123</c:v>
                </c:pt>
                <c:pt idx="24">
                  <c:v>46.259460129732496</c:v>
                </c:pt>
                <c:pt idx="25">
                  <c:v>45.754528451659738</c:v>
                </c:pt>
                <c:pt idx="26">
                  <c:v>45.262304081039872</c:v>
                </c:pt>
                <c:pt idx="27">
                  <c:v>44.782207584229639</c:v>
                </c:pt>
                <c:pt idx="28">
                  <c:v>44.313863034830213</c:v>
                </c:pt>
                <c:pt idx="29">
                  <c:v>43.856908295347722</c:v>
                </c:pt>
                <c:pt idx="30">
                  <c:v>43.856908295347722</c:v>
                </c:pt>
                <c:pt idx="31">
                  <c:v>43.856908295347722</c:v>
                </c:pt>
                <c:pt idx="32">
                  <c:v>43.856908295347722</c:v>
                </c:pt>
                <c:pt idx="33">
                  <c:v>43.856908295347722</c:v>
                </c:pt>
                <c:pt idx="34">
                  <c:v>43.856908295347722</c:v>
                </c:pt>
                <c:pt idx="35">
                  <c:v>42.975392775437875</c:v>
                </c:pt>
              </c:numCache>
            </c:numRef>
          </c:val>
          <c:smooth val="0"/>
          <c:extLst>
            <c:ext xmlns:c16="http://schemas.microsoft.com/office/drawing/2014/chart" uri="{C3380CC4-5D6E-409C-BE32-E72D297353CC}">
              <c16:uniqueId val="{00000000-E2CE-4A10-8080-9C6C4AA421DB}"/>
            </c:ext>
          </c:extLst>
        </c:ser>
        <c:ser>
          <c:idx val="1"/>
          <c:order val="1"/>
          <c:tx>
            <c:v>TSL 1</c:v>
          </c:tx>
          <c:marker>
            <c:symbol val="none"/>
          </c:marker>
          <c:val>
            <c:numRef>
              <c:f>Employment!$D$44:$AM$44</c:f>
              <c:numCache>
                <c:formatCode>#,##0</c:formatCode>
                <c:ptCount val="36"/>
                <c:pt idx="0">
                  <c:v>64.625338873320715</c:v>
                </c:pt>
                <c:pt idx="1">
                  <c:v>63.446619988845811</c:v>
                </c:pt>
                <c:pt idx="2">
                  <c:v>62.366404899622914</c:v>
                </c:pt>
                <c:pt idx="3">
                  <c:v>62.094693909502304</c:v>
                </c:pt>
                <c:pt idx="4">
                  <c:v>61.089039557563957</c:v>
                </c:pt>
                <c:pt idx="5">
                  <c:v>60.117021840168107</c:v>
                </c:pt>
                <c:pt idx="6">
                  <c:v>59.182620567618677</c:v>
                </c:pt>
                <c:pt idx="7">
                  <c:v>58.283179318925605</c:v>
                </c:pt>
                <c:pt idx="8">
                  <c:v>57.417299815671051</c:v>
                </c:pt>
                <c:pt idx="9">
                  <c:v>56.584833469135212</c:v>
                </c:pt>
                <c:pt idx="10">
                  <c:v>55.782029576601133</c:v>
                </c:pt>
                <c:pt idx="11">
                  <c:v>54.999727303944823</c:v>
                </c:pt>
                <c:pt idx="12">
                  <c:v>54.246248691856749</c:v>
                </c:pt>
                <c:pt idx="13">
                  <c:v>53.517560074400187</c:v>
                </c:pt>
                <c:pt idx="14">
                  <c:v>52.808250067892907</c:v>
                </c:pt>
                <c:pt idx="15">
                  <c:v>52.1209517306919</c:v>
                </c:pt>
                <c:pt idx="16">
                  <c:v>51.457700224528878</c:v>
                </c:pt>
                <c:pt idx="17">
                  <c:v>50.816453494824721</c:v>
                </c:pt>
                <c:pt idx="18">
                  <c:v>50.194524433637007</c:v>
                </c:pt>
                <c:pt idx="19">
                  <c:v>49.588706824352286</c:v>
                </c:pt>
                <c:pt idx="20">
                  <c:v>49.001357891941744</c:v>
                </c:pt>
                <c:pt idx="21">
                  <c:v>48.432838517599073</c:v>
                </c:pt>
                <c:pt idx="22">
                  <c:v>47.879958782133855</c:v>
                </c:pt>
                <c:pt idx="23">
                  <c:v>47.341020471798338</c:v>
                </c:pt>
                <c:pt idx="24">
                  <c:v>46.816803022861812</c:v>
                </c:pt>
                <c:pt idx="25">
                  <c:v>46.305787830595392</c:v>
                </c:pt>
                <c:pt idx="26">
                  <c:v>45.807633045871668</c:v>
                </c:pt>
                <c:pt idx="27">
                  <c:v>45.321752253919151</c:v>
                </c:pt>
                <c:pt idx="28">
                  <c:v>44.847764999105273</c:v>
                </c:pt>
                <c:pt idx="29">
                  <c:v>44.385304780833842</c:v>
                </c:pt>
                <c:pt idx="30">
                  <c:v>44.385304780833842</c:v>
                </c:pt>
                <c:pt idx="31">
                  <c:v>44.385304780833842</c:v>
                </c:pt>
                <c:pt idx="32">
                  <c:v>44.385304780833842</c:v>
                </c:pt>
                <c:pt idx="33">
                  <c:v>44.385304780833842</c:v>
                </c:pt>
                <c:pt idx="34">
                  <c:v>44.385304780833842</c:v>
                </c:pt>
                <c:pt idx="35">
                  <c:v>43.493168592009425</c:v>
                </c:pt>
              </c:numCache>
            </c:numRef>
          </c:val>
          <c:smooth val="0"/>
          <c:extLst>
            <c:ext xmlns:c16="http://schemas.microsoft.com/office/drawing/2014/chart" uri="{C3380CC4-5D6E-409C-BE32-E72D297353CC}">
              <c16:uniqueId val="{00000001-E2CE-4A10-8080-9C6C4AA421DB}"/>
            </c:ext>
          </c:extLst>
        </c:ser>
        <c:dLbls>
          <c:showLegendKey val="0"/>
          <c:showVal val="0"/>
          <c:showCatName val="0"/>
          <c:showSerName val="0"/>
          <c:showPercent val="0"/>
          <c:showBubbleSize val="0"/>
        </c:dLbls>
        <c:smooth val="0"/>
        <c:axId val="95819512"/>
        <c:axId val="95819904"/>
      </c:lineChart>
      <c:catAx>
        <c:axId val="95819512"/>
        <c:scaling>
          <c:orientation val="minMax"/>
        </c:scaling>
        <c:delete val="0"/>
        <c:axPos val="b"/>
        <c:numFmt formatCode="General" sourceLinked="1"/>
        <c:majorTickMark val="out"/>
        <c:minorTickMark val="none"/>
        <c:tickLblPos val="nextTo"/>
        <c:txPr>
          <a:bodyPr rot="-4020000" vert="horz"/>
          <a:lstStyle/>
          <a:p>
            <a:pPr>
              <a:defRPr sz="1000">
                <a:latin typeface="Times New Roman"/>
                <a:ea typeface="Times New Roman"/>
                <a:cs typeface="Times New Roman"/>
              </a:defRPr>
            </a:pPr>
            <a:endParaRPr lang="en-US"/>
          </a:p>
        </c:txPr>
        <c:crossAx val="95819904"/>
        <c:crosses val="autoZero"/>
        <c:auto val="1"/>
        <c:lblAlgn val="ctr"/>
        <c:lblOffset val="100"/>
        <c:noMultiLvlLbl val="0"/>
      </c:catAx>
      <c:valAx>
        <c:axId val="95819904"/>
        <c:scaling>
          <c:orientation val="minMax"/>
          <c:min val="0"/>
        </c:scaling>
        <c:delete val="0"/>
        <c:axPos val="l"/>
        <c:majorGridlines/>
        <c:title>
          <c:tx>
            <c:rich>
              <a:bodyPr/>
              <a:lstStyle/>
              <a:p>
                <a:pPr>
                  <a:defRPr sz="1000">
                    <a:latin typeface="Times New Roman"/>
                    <a:ea typeface="Times New Roman"/>
                    <a:cs typeface="Times New Roman"/>
                  </a:defRPr>
                </a:pPr>
                <a:r>
                  <a:rPr lang="en-US"/>
                  <a:t># of Workers</a:t>
                </a:r>
              </a:p>
            </c:rich>
          </c:tx>
          <c:overlay val="0"/>
        </c:title>
        <c:numFmt formatCode="#,##0" sourceLinked="1"/>
        <c:majorTickMark val="out"/>
        <c:minorTickMark val="none"/>
        <c:tickLblPos val="nextTo"/>
        <c:txPr>
          <a:bodyPr/>
          <a:lstStyle/>
          <a:p>
            <a:pPr>
              <a:defRPr sz="1000">
                <a:latin typeface="Times New Roman"/>
                <a:ea typeface="Times New Roman"/>
                <a:cs typeface="Times New Roman"/>
              </a:defRPr>
            </a:pPr>
            <a:endParaRPr lang="en-US"/>
          </a:p>
        </c:txPr>
        <c:crossAx val="95819512"/>
        <c:crosses val="autoZero"/>
        <c:crossBetween val="between"/>
      </c:valAx>
    </c:plotArea>
    <c:legend>
      <c:legendPos val="b"/>
      <c:overlay val="0"/>
      <c:spPr>
        <a:ln w="25400">
          <a:solidFill>
            <a:srgbClr val="000000"/>
          </a:solidFill>
          <a:prstDash val="solid"/>
        </a:ln>
      </c:spPr>
      <c:txPr>
        <a:bodyPr/>
        <a:lstStyle/>
        <a:p>
          <a:pPr>
            <a:defRPr>
              <a:latin typeface="Times New Roman" panose="02020603050405020304" pitchFamily="18" charset="0"/>
              <a:cs typeface="Times New Roman" panose="02020603050405020304" pitchFamily="18" charset="0"/>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NAMES!G6" lockText="1" noThreeD="1"/>
</file>

<file path=xl/ctrlProps/ctrlProp2.xml><?xml version="1.0" encoding="utf-8"?>
<formControlPr xmlns="http://schemas.microsoft.com/office/spreadsheetml/2009/9/main" objectType="CheckBox" checked="Checked" fmlaLink="NAMES!G6" lockText="1" noThreeD="1"/>
</file>

<file path=xl/ctrlProps/ctrlProp3.xml><?xml version="1.0" encoding="utf-8"?>
<formControlPr xmlns="http://schemas.microsoft.com/office/spreadsheetml/2009/9/main" objectType="CheckBox" checked="Checked" fmlaLink="NAMES!G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4</xdr:row>
      <xdr:rowOff>1</xdr:rowOff>
    </xdr:from>
    <xdr:to>
      <xdr:col>9</xdr:col>
      <xdr:colOff>19050</xdr:colOff>
      <xdr:row>28</xdr:row>
      <xdr:rowOff>180927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514350" y="800101"/>
          <a:ext cx="7334250" cy="47529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146050</xdr:colOff>
          <xdr:row>5</xdr:row>
          <xdr:rowOff>0</xdr:rowOff>
        </xdr:from>
        <xdr:to>
          <xdr:col>10</xdr:col>
          <xdr:colOff>114300</xdr:colOff>
          <xdr:row>6</xdr:row>
          <xdr:rowOff>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6</xdr:row>
          <xdr:rowOff>0</xdr:rowOff>
        </xdr:from>
        <xdr:to>
          <xdr:col>10</xdr:col>
          <xdr:colOff>114300</xdr:colOff>
          <xdr:row>6</xdr:row>
          <xdr:rowOff>228600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600-0000052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7</xdr:row>
          <xdr:rowOff>0</xdr:rowOff>
        </xdr:from>
        <xdr:to>
          <xdr:col>10</xdr:col>
          <xdr:colOff>114300</xdr:colOff>
          <xdr:row>8</xdr:row>
          <xdr:rowOff>0</xdr:rowOff>
        </xdr:to>
        <xdr:sp macro="" textlink="">
          <xdr:nvSpPr>
            <xdr:cNvPr id="11270" name="Check Box 6" hidden="1">
              <a:extLst>
                <a:ext uri="{63B3BB69-23CF-44E3-9099-C40C66FF867C}">
                  <a14:compatExt spid="_x0000_s11270"/>
                </a:ext>
                <a:ext uri="{FF2B5EF4-FFF2-40B4-BE49-F238E27FC236}">
                  <a16:creationId xmlns:a16="http://schemas.microsoft.com/office/drawing/2014/main" id="{00000000-0008-0000-0600-0000062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312965</xdr:colOff>
      <xdr:row>3</xdr:row>
      <xdr:rowOff>136071</xdr:rowOff>
    </xdr:from>
    <xdr:to>
      <xdr:col>2</xdr:col>
      <xdr:colOff>2592160</xdr:colOff>
      <xdr:row>10</xdr:row>
      <xdr:rowOff>122464</xdr:rowOff>
    </xdr:to>
    <xdr:sp macro="[0]!Employment" textlink="">
      <xdr:nvSpPr>
        <xdr:cNvPr id="7" name="AutoShape 2">
          <a:extLst>
            <a:ext uri="{FF2B5EF4-FFF2-40B4-BE49-F238E27FC236}">
              <a16:creationId xmlns:a16="http://schemas.microsoft.com/office/drawing/2014/main" id="{00000000-0008-0000-0F00-000007000000}"/>
            </a:ext>
          </a:extLst>
        </xdr:cNvPr>
        <xdr:cNvSpPr>
          <a:spLocks noChangeArrowheads="1"/>
        </xdr:cNvSpPr>
      </xdr:nvSpPr>
      <xdr:spPr bwMode="auto">
        <a:xfrm>
          <a:off x="802822" y="830035"/>
          <a:ext cx="2279195" cy="1605643"/>
        </a:xfrm>
        <a:prstGeom prst="roundRect">
          <a:avLst/>
        </a:prstGeom>
        <a:solidFill>
          <a:schemeClr val="accent2"/>
        </a:solidFill>
        <a:ln w="38100">
          <a:solidFill>
            <a:schemeClr val="accent2">
              <a:lumMod val="50000"/>
            </a:schemeClr>
          </a:solidFill>
          <a:miter lim="800000"/>
          <a:headEnd/>
          <a:tailEnd/>
        </a:ln>
        <a:effectLst/>
        <a:scene3d>
          <a:camera prst="orthographicFront"/>
          <a:lightRig rig="threePt" dir="t"/>
        </a:scene3d>
        <a:sp3d>
          <a:bevelT w="165100" prst="coolSlant"/>
        </a:sp3d>
      </xdr:spPr>
      <xdr:txBody>
        <a:bodyPr vertOverflow="clip" wrap="square" lIns="27432" tIns="22860" rIns="27432" bIns="0" anchor="ctr" anchorCtr="0" upright="1"/>
        <a:lstStyle/>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Calculate </a:t>
          </a:r>
        </a:p>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Employment </a:t>
          </a:r>
        </a:p>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Table</a:t>
          </a:r>
        </a:p>
      </xdr:txBody>
    </xdr:sp>
    <xdr:clientData/>
  </xdr:twoCellAnchor>
  <xdr:twoCellAnchor>
    <xdr:from>
      <xdr:col>8</xdr:col>
      <xdr:colOff>1292679</xdr:colOff>
      <xdr:row>3</xdr:row>
      <xdr:rowOff>68037</xdr:rowOff>
    </xdr:from>
    <xdr:to>
      <xdr:col>10</xdr:col>
      <xdr:colOff>1034143</xdr:colOff>
      <xdr:row>4</xdr:row>
      <xdr:rowOff>81644</xdr:rowOff>
    </xdr:to>
    <xdr:sp macro="[0]!Expand_Employment_Labor_Percentage" textlink="">
      <xdr:nvSpPr>
        <xdr:cNvPr id="3" name="Flowchart: Alternate Process 2">
          <a:extLst>
            <a:ext uri="{FF2B5EF4-FFF2-40B4-BE49-F238E27FC236}">
              <a16:creationId xmlns:a16="http://schemas.microsoft.com/office/drawing/2014/main" id="{00000000-0008-0000-0F00-000003000000}"/>
            </a:ext>
          </a:extLst>
        </xdr:cNvPr>
        <xdr:cNvSpPr/>
      </xdr:nvSpPr>
      <xdr:spPr>
        <a:xfrm>
          <a:off x="13403036" y="762001"/>
          <a:ext cx="2272393" cy="244929"/>
        </a:xfrm>
        <a:prstGeom prst="flowChartAlternateProcess">
          <a:avLst/>
        </a:prstGeom>
        <a:ln>
          <a:solidFill>
            <a:schemeClr val="tx1"/>
          </a:solid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Expand U.S.</a:t>
          </a:r>
          <a:r>
            <a:rPr lang="en-US" sz="1200" b="1" baseline="0"/>
            <a:t> </a:t>
          </a:r>
          <a:r>
            <a:rPr lang="en-US" sz="1200" b="1"/>
            <a:t>Labor Percentage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211665</xdr:colOff>
      <xdr:row>0</xdr:row>
      <xdr:rowOff>167532</xdr:rowOff>
    </xdr:from>
    <xdr:to>
      <xdr:col>11</xdr:col>
      <xdr:colOff>243190</xdr:colOff>
      <xdr:row>1</xdr:row>
      <xdr:rowOff>216171</xdr:rowOff>
    </xdr:to>
    <xdr:sp macro="[0]!INPV_Table" textlink="">
      <xdr:nvSpPr>
        <xdr:cNvPr id="2" name="Rectangle 438">
          <a:extLst>
            <a:ext uri="{FF2B5EF4-FFF2-40B4-BE49-F238E27FC236}">
              <a16:creationId xmlns:a16="http://schemas.microsoft.com/office/drawing/2014/main" id="{00000000-0008-0000-1600-000002000000}"/>
            </a:ext>
          </a:extLst>
        </xdr:cNvPr>
        <xdr:cNvSpPr>
          <a:spLocks noChangeArrowheads="1"/>
        </xdr:cNvSpPr>
      </xdr:nvSpPr>
      <xdr:spPr bwMode="auto">
        <a:xfrm>
          <a:off x="6972388" y="167532"/>
          <a:ext cx="3782079" cy="237788"/>
        </a:xfrm>
        <a:prstGeom prst="roundRect">
          <a:avLst/>
        </a:prstGeom>
        <a:solidFill>
          <a:schemeClr val="accent2"/>
        </a:solidFill>
        <a:ln w="38100">
          <a:solidFill>
            <a:schemeClr val="accent2">
              <a:lumMod val="50000"/>
            </a:schemeClr>
          </a:solidFill>
          <a:headEnd/>
          <a:tailEnd/>
        </a:ln>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27432" bIns="0" anchor="ctr" upright="1"/>
        <a:lstStyle/>
        <a:p>
          <a:pPr algn="ctr" rtl="0">
            <a:defRPr sz="1000"/>
          </a:pPr>
          <a:r>
            <a:rPr lang="en-US" sz="1200" b="1" i="0" strike="noStrike">
              <a:solidFill>
                <a:schemeClr val="bg1"/>
              </a:solidFill>
              <a:latin typeface="Times New Roman" panose="02020603050405020304" pitchFamily="18" charset="0"/>
              <a:cs typeface="Times New Roman" panose="02020603050405020304" pitchFamily="18" charset="0"/>
            </a:rPr>
            <a:t>Update Summary Report</a:t>
          </a:r>
          <a:r>
            <a:rPr lang="en-US" sz="1200" b="1" i="0" strike="noStrike" baseline="0">
              <a:solidFill>
                <a:schemeClr val="bg1"/>
              </a:solidFill>
              <a:latin typeface="Times New Roman" panose="02020603050405020304" pitchFamily="18" charset="0"/>
              <a:cs typeface="Times New Roman" panose="02020603050405020304" pitchFamily="18" charset="0"/>
            </a:rPr>
            <a:t> Table</a:t>
          </a:r>
          <a:endParaRPr lang="en-US" sz="1200" b="1" i="0" strike="noStrike">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40821</xdr:colOff>
      <xdr:row>0</xdr:row>
      <xdr:rowOff>122464</xdr:rowOff>
    </xdr:from>
    <xdr:to>
      <xdr:col>11</xdr:col>
      <xdr:colOff>1021895</xdr:colOff>
      <xdr:row>2</xdr:row>
      <xdr:rowOff>68035</xdr:rowOff>
    </xdr:to>
    <xdr:sp macro="[0]!Graphs" textlink="">
      <xdr:nvSpPr>
        <xdr:cNvPr id="2" name="Rectangle 438">
          <a:extLst>
            <a:ext uri="{FF2B5EF4-FFF2-40B4-BE49-F238E27FC236}">
              <a16:creationId xmlns:a16="http://schemas.microsoft.com/office/drawing/2014/main" id="{00000000-0008-0000-1800-000002000000}"/>
            </a:ext>
          </a:extLst>
        </xdr:cNvPr>
        <xdr:cNvSpPr>
          <a:spLocks noChangeArrowheads="1"/>
        </xdr:cNvSpPr>
      </xdr:nvSpPr>
      <xdr:spPr bwMode="auto">
        <a:xfrm>
          <a:off x="10736035" y="122464"/>
          <a:ext cx="2028824" cy="326571"/>
        </a:xfrm>
        <a:prstGeom prst="roundRect">
          <a:avLst/>
        </a:prstGeom>
        <a:solidFill>
          <a:schemeClr val="accent2"/>
        </a:solidFill>
        <a:ln w="38100">
          <a:solidFill>
            <a:schemeClr val="accent2">
              <a:lumMod val="50000"/>
            </a:schemeClr>
          </a:solidFill>
          <a:headEnd/>
          <a:tailEnd/>
        </a:ln>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wrap="square" lIns="27432" tIns="22860" rIns="27432" bIns="0" anchor="ctr" upright="1"/>
        <a:lstStyle/>
        <a:p>
          <a:pPr algn="ctr" rtl="0">
            <a:defRPr sz="1000"/>
          </a:pPr>
          <a:r>
            <a:rPr lang="en-US" sz="1600" b="1" i="0" strike="noStrike">
              <a:solidFill>
                <a:schemeClr val="bg1"/>
              </a:solidFill>
              <a:latin typeface="Times New Roman" panose="02020603050405020304" pitchFamily="18" charset="0"/>
              <a:cs typeface="Times New Roman" panose="02020603050405020304" pitchFamily="18" charset="0"/>
            </a:rPr>
            <a:t>Update</a:t>
          </a:r>
          <a:r>
            <a:rPr lang="en-US" sz="1600" b="1" i="0" strike="noStrike" baseline="0">
              <a:solidFill>
                <a:schemeClr val="bg1"/>
              </a:solidFill>
              <a:latin typeface="Times New Roman" panose="02020603050405020304" pitchFamily="18" charset="0"/>
              <a:cs typeface="Times New Roman" panose="02020603050405020304" pitchFamily="18" charset="0"/>
            </a:rPr>
            <a:t> Data</a:t>
          </a:r>
          <a:endParaRPr lang="en-US" sz="1600" b="1" i="0" strike="noStrike">
            <a:solidFill>
              <a:schemeClr val="bg1"/>
            </a:solidFill>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3131344</xdr:colOff>
      <xdr:row>8</xdr:row>
      <xdr:rowOff>154781</xdr:rowOff>
    </xdr:from>
    <xdr:to>
      <xdr:col>2</xdr:col>
      <xdr:colOff>3214689</xdr:colOff>
      <xdr:row>22</xdr:row>
      <xdr:rowOff>130969</xdr:rowOff>
    </xdr:to>
    <xdr:cxnSp macro="">
      <xdr:nvCxnSpPr>
        <xdr:cNvPr id="2" name="Straight Connector 1">
          <a:extLst>
            <a:ext uri="{FF2B5EF4-FFF2-40B4-BE49-F238E27FC236}">
              <a16:creationId xmlns:a16="http://schemas.microsoft.com/office/drawing/2014/main" id="{00000000-0008-0000-1900-000002000000}"/>
            </a:ext>
          </a:extLst>
        </xdr:cNvPr>
        <xdr:cNvCxnSpPr/>
      </xdr:nvCxnSpPr>
      <xdr:spPr>
        <a:xfrm flipH="1">
          <a:off x="3626644" y="1783556"/>
          <a:ext cx="83345" cy="2643188"/>
        </a:xfrm>
        <a:prstGeom prst="line">
          <a:avLst/>
        </a:prstGeom>
        <a:ln w="1905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774700</xdr:colOff>
      <xdr:row>6</xdr:row>
      <xdr:rowOff>22225</xdr:rowOff>
    </xdr:from>
    <xdr:to>
      <xdr:col>6</xdr:col>
      <xdr:colOff>517525</xdr:colOff>
      <xdr:row>24</xdr:row>
      <xdr:rowOff>85725</xdr:rowOff>
    </xdr:to>
    <xdr:graphicFrame macro="">
      <xdr:nvGraphicFramePr>
        <xdr:cNvPr id="3" name="Chart 2">
          <a:extLst>
            <a:ext uri="{FF2B5EF4-FFF2-40B4-BE49-F238E27FC236}">
              <a16:creationId xmlns:a16="http://schemas.microsoft.com/office/drawing/2014/main" id="{00000000-0008-0000-1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774700</xdr:colOff>
      <xdr:row>32</xdr:row>
      <xdr:rowOff>149225</xdr:rowOff>
    </xdr:from>
    <xdr:to>
      <xdr:col>6</xdr:col>
      <xdr:colOff>517525</xdr:colOff>
      <xdr:row>51</xdr:row>
      <xdr:rowOff>22225</xdr:rowOff>
    </xdr:to>
    <xdr:graphicFrame macro="">
      <xdr:nvGraphicFramePr>
        <xdr:cNvPr id="4" name="Chart 3">
          <a:extLst>
            <a:ext uri="{FF2B5EF4-FFF2-40B4-BE49-F238E27FC236}">
              <a16:creationId xmlns:a16="http://schemas.microsoft.com/office/drawing/2014/main" id="{00000000-0008-0000-1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774700</xdr:colOff>
      <xdr:row>59</xdr:row>
      <xdr:rowOff>85725</xdr:rowOff>
    </xdr:from>
    <xdr:to>
      <xdr:col>6</xdr:col>
      <xdr:colOff>517525</xdr:colOff>
      <xdr:row>77</xdr:row>
      <xdr:rowOff>139700</xdr:rowOff>
    </xdr:to>
    <xdr:graphicFrame macro="">
      <xdr:nvGraphicFramePr>
        <xdr:cNvPr id="5" name="Chart 4">
          <a:extLst>
            <a:ext uri="{FF2B5EF4-FFF2-40B4-BE49-F238E27FC236}">
              <a16:creationId xmlns:a16="http://schemas.microsoft.com/office/drawing/2014/main" id="{00000000-0008-0000-1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774700</xdr:colOff>
      <xdr:row>86</xdr:row>
      <xdr:rowOff>12700</xdr:rowOff>
    </xdr:from>
    <xdr:to>
      <xdr:col>6</xdr:col>
      <xdr:colOff>517525</xdr:colOff>
      <xdr:row>104</xdr:row>
      <xdr:rowOff>76200</xdr:rowOff>
    </xdr:to>
    <xdr:graphicFrame macro="">
      <xdr:nvGraphicFramePr>
        <xdr:cNvPr id="6" name="Chart 5">
          <a:extLst>
            <a:ext uri="{FF2B5EF4-FFF2-40B4-BE49-F238E27FC236}">
              <a16:creationId xmlns:a16="http://schemas.microsoft.com/office/drawing/2014/main" id="{00000000-0008-0000-1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774700</xdr:colOff>
      <xdr:row>112</xdr:row>
      <xdr:rowOff>139700</xdr:rowOff>
    </xdr:from>
    <xdr:to>
      <xdr:col>6</xdr:col>
      <xdr:colOff>517525</xdr:colOff>
      <xdr:row>131</xdr:row>
      <xdr:rowOff>12700</xdr:rowOff>
    </xdr:to>
    <xdr:graphicFrame macro="">
      <xdr:nvGraphicFramePr>
        <xdr:cNvPr id="7" name="Chart 6">
          <a:extLst>
            <a:ext uri="{FF2B5EF4-FFF2-40B4-BE49-F238E27FC236}">
              <a16:creationId xmlns:a16="http://schemas.microsoft.com/office/drawing/2014/main" id="{00000000-0008-0000-1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774700</xdr:colOff>
      <xdr:row>139</xdr:row>
      <xdr:rowOff>76200</xdr:rowOff>
    </xdr:from>
    <xdr:to>
      <xdr:col>6</xdr:col>
      <xdr:colOff>517525</xdr:colOff>
      <xdr:row>157</xdr:row>
      <xdr:rowOff>139700</xdr:rowOff>
    </xdr:to>
    <xdr:graphicFrame macro="">
      <xdr:nvGraphicFramePr>
        <xdr:cNvPr id="8" name="Chart 7">
          <a:extLst>
            <a:ext uri="{FF2B5EF4-FFF2-40B4-BE49-F238E27FC236}">
              <a16:creationId xmlns:a16="http://schemas.microsoft.com/office/drawing/2014/main" id="{00000000-0008-0000-1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774700</xdr:colOff>
      <xdr:row>166</xdr:row>
      <xdr:rowOff>12700</xdr:rowOff>
    </xdr:from>
    <xdr:to>
      <xdr:col>6</xdr:col>
      <xdr:colOff>517525</xdr:colOff>
      <xdr:row>184</xdr:row>
      <xdr:rowOff>76200</xdr:rowOff>
    </xdr:to>
    <xdr:graphicFrame macro="">
      <xdr:nvGraphicFramePr>
        <xdr:cNvPr id="9" name="Chart 8">
          <a:extLst>
            <a:ext uri="{FF2B5EF4-FFF2-40B4-BE49-F238E27FC236}">
              <a16:creationId xmlns:a16="http://schemas.microsoft.com/office/drawing/2014/main" id="{00000000-0008-0000-1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774700</xdr:colOff>
      <xdr:row>192</xdr:row>
      <xdr:rowOff>139700</xdr:rowOff>
    </xdr:from>
    <xdr:to>
      <xdr:col>6</xdr:col>
      <xdr:colOff>517525</xdr:colOff>
      <xdr:row>211</xdr:row>
      <xdr:rowOff>12700</xdr:rowOff>
    </xdr:to>
    <xdr:graphicFrame macro="">
      <xdr:nvGraphicFramePr>
        <xdr:cNvPr id="10" name="Chart 9">
          <a:extLst>
            <a:ext uri="{FF2B5EF4-FFF2-40B4-BE49-F238E27FC236}">
              <a16:creationId xmlns:a16="http://schemas.microsoft.com/office/drawing/2014/main" id="{00000000-0008-0000-1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anufacturing/DOE-BT-Appliance-MIA/01-Product%20Rulemakings/Air%20Cleaners/Direct%20Final%20Rule%202023/GRIM/Air%20Cleaner%20Joint%20TSL%203%20all%20ELs%20GRIM%2011.29.2022%20v2%20softcod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nufacturing/DOE-BT-Appliance-MIA/01-Product%20Rulemakings/Air%20Cleaners/Direct%20Final%20Rule%202023/GRIM/GRIM_Template_2022.1.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structions"/>
      <sheetName val="Navigation"/>
      <sheetName val="Glossary"/>
      <sheetName val="INPV Calculation"/>
      <sheetName val="NAMES"/>
      <sheetName val="Scenario"/>
      <sheetName val="Financials"/>
      <sheetName val="EL and TSL Setup"/>
      <sheetName val="Markups"/>
      <sheetName val="MPC Breakdown"/>
      <sheetName val="Learning"/>
      <sheetName val="Shipments"/>
      <sheetName val="Conversion Costs"/>
      <sheetName val="Conversion Cost Timing"/>
      <sheetName val="Employment"/>
      <sheetName val="MSP"/>
      <sheetName val="No STDs Case Rev &amp; Cost"/>
      <sheetName val="Standards Rev &amp; Cost"/>
      <sheetName val="No STDs Case DCF"/>
      <sheetName val="Standards Case DCF"/>
      <sheetName val="DCF Results"/>
      <sheetName val="Summary Report"/>
      <sheetName val="Summary Report_Off Mode"/>
      <sheetName val="Data for Graphs"/>
      <sheetName val="Dashboard"/>
      <sheetName val="MIA DB Key Values"/>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7">
          <cell r="E7">
            <v>2023</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ow r="9">
          <cell r="E9">
            <v>607.81392782322052</v>
          </cell>
          <cell r="F9">
            <v>634.9944883709087</v>
          </cell>
          <cell r="G9">
            <v>662.65932277151182</v>
          </cell>
          <cell r="H9">
            <v>693.77979143615653</v>
          </cell>
          <cell r="I9">
            <v>735.53225596023185</v>
          </cell>
          <cell r="J9">
            <v>772.91300429133321</v>
          </cell>
          <cell r="K9">
            <v>813.45775197117541</v>
          </cell>
          <cell r="L9">
            <v>856.50658437164418</v>
          </cell>
          <cell r="M9">
            <v>901.54452096172099</v>
          </cell>
          <cell r="N9">
            <v>948.22845199147037</v>
          </cell>
          <cell r="O9">
            <v>996.5382170985115</v>
          </cell>
          <cell r="P9">
            <v>1046.6807208692885</v>
          </cell>
          <cell r="Q9">
            <v>1098.9720894893494</v>
          </cell>
          <cell r="R9">
            <v>1153.7813369089959</v>
          </cell>
          <cell r="S9">
            <v>1211.4185896134236</v>
          </cell>
          <cell r="T9">
            <v>1272.0800661057378</v>
          </cell>
          <cell r="U9">
            <v>1335.9838451468966</v>
          </cell>
          <cell r="V9">
            <v>1403.0018656904545</v>
          </cell>
          <cell r="W9">
            <v>1473.3377858458871</v>
          </cell>
          <cell r="X9">
            <v>1547.0765267303445</v>
          </cell>
          <cell r="Y9">
            <v>1624.3436905608908</v>
          </cell>
          <cell r="Z9">
            <v>1705.3076735702373</v>
          </cell>
          <cell r="AA9">
            <v>1790.1627225945715</v>
          </cell>
          <cell r="AB9">
            <v>1879.1315103514039</v>
          </cell>
          <cell r="AC9">
            <v>1972.4389621906259</v>
          </cell>
          <cell r="AD9">
            <v>2070.3112602682122</v>
          </cell>
          <cell r="AE9">
            <v>2172.9746358902121</v>
          </cell>
          <cell r="AF9">
            <v>2280.6575587752841</v>
          </cell>
          <cell r="AG9">
            <v>2393.595588670687</v>
          </cell>
          <cell r="AH9">
            <v>2512.0357514640009</v>
          </cell>
          <cell r="AI9">
            <v>2636.2398441847072</v>
          </cell>
          <cell r="AJ9">
            <v>2766.4862399792646</v>
          </cell>
          <cell r="AK9">
            <v>2903.0700476401516</v>
          </cell>
          <cell r="AL9">
            <v>3046.3025691763451</v>
          </cell>
          <cell r="AM9">
            <v>3196.510939108025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structions"/>
      <sheetName val="Navigation"/>
      <sheetName val="Glossary"/>
      <sheetName val="INPV Calculation"/>
      <sheetName val="NAMES"/>
      <sheetName val="Scenario"/>
      <sheetName val="Financials"/>
      <sheetName val="EL and TSL Setup"/>
      <sheetName val="Markups"/>
      <sheetName val="MPC Breakdown"/>
      <sheetName val="Learning"/>
      <sheetName val="Shipments"/>
      <sheetName val="Conversion Costs"/>
      <sheetName val="Conversion Cost Timing"/>
      <sheetName val="Employment"/>
      <sheetName val="MSP"/>
      <sheetName val="No STDs Case Rev &amp; Cost"/>
      <sheetName val="Standards Rev &amp; Cost"/>
      <sheetName val="No STDs Case DCF"/>
      <sheetName val="Standards Case DCF"/>
      <sheetName val="DCF Results"/>
      <sheetName val="Summary Report"/>
      <sheetName val="Summary Report_Off Mode"/>
      <sheetName val="Data for Graphs"/>
      <sheetName val="Dashboard"/>
      <sheetName val="MIA DB Key Values"/>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7">
          <cell r="E7">
            <v>2023</v>
          </cell>
        </row>
        <row r="9">
          <cell r="E9">
            <v>2023</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M23"/>
  <sheetViews>
    <sheetView showGridLines="0" zoomScaleNormal="100" workbookViewId="0"/>
  </sheetViews>
  <sheetFormatPr defaultColWidth="0" defaultRowHeight="15.5" zeroHeight="1" x14ac:dyDescent="0.35"/>
  <cols>
    <col min="1" max="2" width="3.54296875" style="18" customWidth="1"/>
    <col min="3" max="10" width="10.54296875" style="21" customWidth="1"/>
    <col min="11" max="11" width="3.54296875" style="21" customWidth="1"/>
    <col min="12" max="12" width="3.54296875" style="18" customWidth="1"/>
    <col min="13" max="13" width="0" style="21" hidden="1" customWidth="1"/>
    <col min="14" max="16384" width="9.453125" style="21" hidden="1"/>
  </cols>
  <sheetData>
    <row r="1" spans="2:12" s="18" customFormat="1" ht="15" customHeight="1" thickBot="1" x14ac:dyDescent="0.4"/>
    <row r="2" spans="2:12" ht="18" customHeight="1" thickTop="1" thickBot="1" x14ac:dyDescent="0.4">
      <c r="C2" s="19" t="s">
        <v>120</v>
      </c>
      <c r="D2" s="20"/>
      <c r="E2" s="18"/>
      <c r="F2" s="18"/>
      <c r="G2" s="18"/>
      <c r="H2" s="18"/>
      <c r="I2" s="794" t="s">
        <v>159</v>
      </c>
      <c r="J2" s="795"/>
      <c r="K2" s="18"/>
    </row>
    <row r="3" spans="2:12" s="18" customFormat="1" ht="15" customHeight="1" thickBot="1" x14ac:dyDescent="0.4"/>
    <row r="4" spans="2:12" ht="15" customHeight="1" x14ac:dyDescent="0.35">
      <c r="B4" s="22"/>
      <c r="C4" s="23"/>
      <c r="D4" s="24"/>
      <c r="E4" s="24"/>
      <c r="F4" s="24"/>
      <c r="G4" s="24"/>
      <c r="H4" s="24"/>
      <c r="I4" s="24"/>
      <c r="J4" s="24"/>
      <c r="K4" s="25"/>
    </row>
    <row r="5" spans="2:12" ht="15" customHeight="1" x14ac:dyDescent="0.35">
      <c r="B5" s="26"/>
      <c r="C5" s="27"/>
      <c r="D5" s="28"/>
      <c r="E5" s="28"/>
      <c r="F5" s="28"/>
      <c r="G5" s="28"/>
      <c r="H5" s="28"/>
      <c r="I5" s="28"/>
      <c r="J5" s="29"/>
      <c r="K5" s="30"/>
    </row>
    <row r="6" spans="2:12" ht="15" customHeight="1" x14ac:dyDescent="0.35">
      <c r="B6" s="26"/>
      <c r="C6" s="31" t="s">
        <v>330</v>
      </c>
      <c r="D6" s="32"/>
      <c r="E6" s="33"/>
      <c r="F6" s="33"/>
      <c r="G6" s="34"/>
      <c r="H6" s="35" t="s">
        <v>21</v>
      </c>
      <c r="I6" s="34"/>
      <c r="J6" s="36"/>
      <c r="K6" s="30"/>
    </row>
    <row r="7" spans="2:12" ht="15" customHeight="1" x14ac:dyDescent="0.35">
      <c r="B7" s="26"/>
      <c r="C7" s="37" t="s">
        <v>199</v>
      </c>
      <c r="D7" s="38"/>
      <c r="E7" s="34"/>
      <c r="F7" s="34"/>
      <c r="G7" s="34"/>
      <c r="H7" s="35" t="s">
        <v>22</v>
      </c>
      <c r="I7" s="34"/>
      <c r="J7" s="36"/>
      <c r="K7" s="30"/>
    </row>
    <row r="8" spans="2:12" ht="15" customHeight="1" x14ac:dyDescent="0.35">
      <c r="B8" s="26"/>
      <c r="C8" s="37" t="s">
        <v>211</v>
      </c>
      <c r="D8" s="38"/>
      <c r="E8" s="39"/>
      <c r="F8" s="34"/>
      <c r="G8" s="34"/>
      <c r="H8" s="35" t="s">
        <v>71</v>
      </c>
      <c r="I8" s="34"/>
      <c r="J8" s="36"/>
      <c r="K8" s="40"/>
    </row>
    <row r="9" spans="2:12" ht="15" customHeight="1" x14ac:dyDescent="0.35">
      <c r="B9" s="26"/>
      <c r="C9" s="41"/>
      <c r="D9" s="38"/>
      <c r="E9" s="34"/>
      <c r="F9" s="34"/>
      <c r="G9" s="34"/>
      <c r="H9" s="35"/>
      <c r="I9" s="34"/>
      <c r="J9" s="42"/>
      <c r="K9" s="40"/>
    </row>
    <row r="10" spans="2:12" ht="15" customHeight="1" x14ac:dyDescent="0.35">
      <c r="B10" s="26"/>
      <c r="C10" s="43" t="s">
        <v>338</v>
      </c>
      <c r="D10" s="44"/>
      <c r="E10" s="44"/>
      <c r="F10" s="44"/>
      <c r="G10" s="44"/>
      <c r="H10" s="45" t="s">
        <v>339</v>
      </c>
      <c r="I10" s="46"/>
      <c r="J10" s="42"/>
      <c r="K10" s="40"/>
    </row>
    <row r="11" spans="2:12" ht="15" customHeight="1" x14ac:dyDescent="0.35">
      <c r="B11" s="26"/>
      <c r="C11" s="41"/>
      <c r="D11" s="47"/>
      <c r="E11" s="47"/>
      <c r="F11" s="47"/>
      <c r="G11" s="47"/>
      <c r="H11" s="47"/>
      <c r="I11" s="47"/>
      <c r="J11" s="48"/>
      <c r="K11" s="49"/>
      <c r="L11" s="50"/>
    </row>
    <row r="12" spans="2:12" ht="15" customHeight="1" x14ac:dyDescent="0.35">
      <c r="B12" s="26"/>
      <c r="C12" s="41"/>
      <c r="D12" s="47"/>
      <c r="E12" s="34"/>
      <c r="F12" s="34"/>
      <c r="G12" s="34"/>
      <c r="H12" s="34"/>
      <c r="I12" s="34"/>
      <c r="J12" s="42"/>
      <c r="K12" s="40"/>
    </row>
    <row r="13" spans="2:12" ht="15" customHeight="1" x14ac:dyDescent="0.35">
      <c r="B13" s="26"/>
      <c r="C13" s="41"/>
      <c r="D13" s="47"/>
      <c r="E13" s="34"/>
      <c r="F13" s="34"/>
      <c r="G13" s="34"/>
      <c r="H13" s="34"/>
      <c r="I13" s="34"/>
      <c r="J13" s="42"/>
      <c r="K13" s="40"/>
    </row>
    <row r="14" spans="2:12" ht="15" customHeight="1" x14ac:dyDescent="0.35">
      <c r="B14" s="26"/>
      <c r="C14" s="37" t="s">
        <v>23</v>
      </c>
      <c r="D14" s="47"/>
      <c r="E14" s="34"/>
      <c r="F14" s="34"/>
      <c r="G14" s="34"/>
      <c r="H14" s="34"/>
      <c r="I14" s="34"/>
      <c r="J14" s="42"/>
      <c r="K14" s="40"/>
    </row>
    <row r="15" spans="2:12" ht="15" customHeight="1" x14ac:dyDescent="0.35">
      <c r="B15" s="26"/>
      <c r="C15" s="51" t="s">
        <v>24</v>
      </c>
      <c r="D15" s="52"/>
      <c r="E15" s="34"/>
      <c r="F15" s="34"/>
      <c r="G15" s="34"/>
      <c r="H15" s="34"/>
      <c r="I15" s="34"/>
      <c r="J15" s="42"/>
      <c r="K15" s="40"/>
    </row>
    <row r="16" spans="2:12" ht="15" customHeight="1" x14ac:dyDescent="0.35">
      <c r="B16" s="26"/>
      <c r="C16" s="51" t="s">
        <v>331</v>
      </c>
      <c r="D16" s="52"/>
      <c r="E16" s="34"/>
      <c r="F16" s="34"/>
      <c r="G16" s="34"/>
      <c r="H16" s="34"/>
      <c r="I16" s="34"/>
      <c r="J16" s="42"/>
      <c r="K16" s="40"/>
    </row>
    <row r="17" spans="2:11" ht="15" customHeight="1" x14ac:dyDescent="0.35">
      <c r="B17" s="26"/>
      <c r="C17" s="53" t="s">
        <v>226</v>
      </c>
      <c r="D17" s="47"/>
      <c r="E17" s="34"/>
      <c r="F17" s="34"/>
      <c r="G17" s="34"/>
      <c r="H17" s="34"/>
      <c r="I17" s="34"/>
      <c r="J17" s="42"/>
      <c r="K17" s="40"/>
    </row>
    <row r="18" spans="2:11" ht="15" customHeight="1" x14ac:dyDescent="0.35">
      <c r="B18" s="26"/>
      <c r="C18" s="54" t="s">
        <v>25</v>
      </c>
      <c r="D18" s="52"/>
      <c r="E18" s="34"/>
      <c r="F18" s="34"/>
      <c r="G18" s="34"/>
      <c r="H18" s="34"/>
      <c r="I18" s="34"/>
      <c r="J18" s="42"/>
      <c r="K18" s="40"/>
    </row>
    <row r="19" spans="2:11" ht="15" customHeight="1" x14ac:dyDescent="0.35">
      <c r="B19" s="26"/>
      <c r="C19" s="53" t="s">
        <v>26</v>
      </c>
      <c r="D19" s="47"/>
      <c r="E19" s="34"/>
      <c r="F19" s="34"/>
      <c r="G19" s="34"/>
      <c r="H19" s="34"/>
      <c r="I19" s="34"/>
      <c r="J19" s="42"/>
      <c r="K19" s="40"/>
    </row>
    <row r="20" spans="2:11" ht="15" customHeight="1" x14ac:dyDescent="0.35">
      <c r="B20" s="26"/>
      <c r="C20" s="37" t="s">
        <v>27</v>
      </c>
      <c r="D20" s="47"/>
      <c r="E20" s="34"/>
      <c r="F20" s="34"/>
      <c r="G20" s="34"/>
      <c r="H20" s="34"/>
      <c r="I20" s="34"/>
      <c r="J20" s="42"/>
      <c r="K20" s="40"/>
    </row>
    <row r="21" spans="2:11" ht="15" customHeight="1" x14ac:dyDescent="0.35">
      <c r="B21" s="26"/>
      <c r="C21" s="55"/>
      <c r="D21" s="56"/>
      <c r="E21" s="57"/>
      <c r="F21" s="57"/>
      <c r="G21" s="57"/>
      <c r="H21" s="57"/>
      <c r="I21" s="57"/>
      <c r="J21" s="58"/>
      <c r="K21" s="40"/>
    </row>
    <row r="22" spans="2:11" ht="15" customHeight="1" thickBot="1" x14ac:dyDescent="0.4">
      <c r="B22" s="59"/>
      <c r="C22" s="60"/>
      <c r="D22" s="61"/>
      <c r="E22" s="61"/>
      <c r="F22" s="61"/>
      <c r="G22" s="61"/>
      <c r="H22" s="61"/>
      <c r="I22" s="61"/>
      <c r="J22" s="61"/>
      <c r="K22" s="62"/>
    </row>
    <row r="23" spans="2:11" s="18" customFormat="1" ht="15" customHeight="1" x14ac:dyDescent="0.35"/>
  </sheetData>
  <sheetProtection algorithmName="SHA-512" hashValue="66CPaJFqQo8tWy0a/x0tBwc1S0rKX3eCij9QAJUx8SD8wtpL0yFQFfuOnDJmpXFqfBPdf9yVB8yzyLPuT4LO4g==" saltValue="kpUTGU38QslS3beZgK9kXg==" spinCount="100000" sheet="1" objects="1" scenarios="1"/>
  <mergeCells count="1">
    <mergeCell ref="I2:J2"/>
  </mergeCells>
  <phoneticPr fontId="11" type="noConversion"/>
  <hyperlinks>
    <hyperlink ref="I2:J2" location="Navigation!A1" display="Navigation" xr:uid="{00000000-0004-0000-0000-000000000000}"/>
  </hyperlink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C000"/>
  </sheetPr>
  <dimension ref="A1:XFA14"/>
  <sheetViews>
    <sheetView showGridLines="0" zoomScale="90" zoomScaleNormal="90" workbookViewId="0"/>
  </sheetViews>
  <sheetFormatPr defaultColWidth="0" defaultRowHeight="15.5" zeroHeight="1" x14ac:dyDescent="0.35"/>
  <cols>
    <col min="1" max="1" width="3.54296875" style="18" customWidth="1"/>
    <col min="2" max="2" width="3.54296875" style="21" customWidth="1"/>
    <col min="3" max="12" width="12.54296875" style="21" customWidth="1"/>
    <col min="13" max="14" width="3.54296875" style="21" customWidth="1"/>
    <col min="15" max="15" width="3.54296875" style="18" customWidth="1"/>
    <col min="16" max="16384" width="9.453125" style="21" hidden="1"/>
  </cols>
  <sheetData>
    <row r="1" spans="2:16381" s="18" customFormat="1" ht="16" thickBot="1" x14ac:dyDescent="0.4"/>
    <row r="2" spans="2:16381" ht="17.25" customHeight="1" thickTop="1" thickBot="1" x14ac:dyDescent="0.4">
      <c r="B2" s="18"/>
      <c r="C2" s="19" t="s">
        <v>121</v>
      </c>
      <c r="D2" s="20"/>
      <c r="E2" s="18"/>
      <c r="F2" s="18"/>
      <c r="G2" s="18"/>
      <c r="H2" s="18"/>
      <c r="I2" s="18"/>
      <c r="J2" s="18"/>
      <c r="K2" s="18"/>
      <c r="L2" s="794" t="s">
        <v>159</v>
      </c>
      <c r="M2" s="795"/>
      <c r="N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c r="QQ2" s="18"/>
      <c r="QR2" s="18"/>
      <c r="QS2" s="18"/>
      <c r="QT2" s="18"/>
      <c r="QU2" s="18"/>
      <c r="QV2" s="18"/>
      <c r="QW2" s="18"/>
      <c r="QX2" s="18"/>
      <c r="QY2" s="18"/>
      <c r="QZ2" s="18"/>
      <c r="RA2" s="18"/>
      <c r="RB2" s="18"/>
      <c r="RC2" s="18"/>
      <c r="RD2" s="18"/>
      <c r="RE2" s="18"/>
      <c r="RF2" s="18"/>
      <c r="RG2" s="18"/>
      <c r="RH2" s="18"/>
      <c r="RI2" s="18"/>
      <c r="RJ2" s="18"/>
      <c r="RK2" s="18"/>
      <c r="RL2" s="18"/>
      <c r="RM2" s="18"/>
      <c r="RN2" s="18"/>
      <c r="RO2" s="18"/>
      <c r="RP2" s="18"/>
      <c r="RQ2" s="18"/>
      <c r="RR2" s="18"/>
      <c r="RS2" s="18"/>
      <c r="RT2" s="18"/>
      <c r="RU2" s="18"/>
      <c r="RV2" s="18"/>
      <c r="RW2" s="18"/>
      <c r="RX2" s="18"/>
      <c r="RY2" s="18"/>
      <c r="RZ2" s="18"/>
      <c r="SA2" s="18"/>
      <c r="SB2" s="18"/>
      <c r="SC2" s="18"/>
      <c r="SD2" s="18"/>
      <c r="SE2" s="18"/>
      <c r="SF2" s="18"/>
      <c r="SG2" s="18"/>
      <c r="SH2" s="18"/>
      <c r="SI2" s="18"/>
      <c r="SJ2" s="18"/>
      <c r="SK2" s="18"/>
      <c r="SL2" s="18"/>
      <c r="SM2" s="18"/>
      <c r="SN2" s="18"/>
      <c r="SO2" s="18"/>
      <c r="SP2" s="18"/>
      <c r="SQ2" s="18"/>
      <c r="SR2" s="18"/>
      <c r="SS2" s="18"/>
      <c r="ST2" s="18"/>
      <c r="SU2" s="18"/>
      <c r="SV2" s="18"/>
      <c r="SW2" s="18"/>
      <c r="SX2" s="18"/>
      <c r="SY2" s="18"/>
      <c r="SZ2" s="18"/>
      <c r="TA2" s="18"/>
      <c r="TB2" s="18"/>
      <c r="TC2" s="18"/>
      <c r="TD2" s="18"/>
      <c r="TE2" s="18"/>
      <c r="TF2" s="18"/>
      <c r="TG2" s="18"/>
      <c r="TH2" s="18"/>
      <c r="TI2" s="18"/>
      <c r="TJ2" s="18"/>
      <c r="TK2" s="18"/>
      <c r="TL2" s="18"/>
      <c r="TM2" s="18"/>
      <c r="TN2" s="18"/>
      <c r="TO2" s="18"/>
      <c r="TP2" s="18"/>
      <c r="TQ2" s="18"/>
      <c r="TR2" s="18"/>
      <c r="TS2" s="18"/>
      <c r="TT2" s="18"/>
      <c r="TU2" s="18"/>
      <c r="TV2" s="18"/>
      <c r="TW2" s="18"/>
      <c r="TX2" s="18"/>
      <c r="TY2" s="18"/>
      <c r="TZ2" s="18"/>
      <c r="UA2" s="18"/>
      <c r="UB2" s="18"/>
      <c r="UC2" s="18"/>
      <c r="UD2" s="18"/>
      <c r="UE2" s="18"/>
      <c r="UF2" s="18"/>
      <c r="UG2" s="18"/>
      <c r="UH2" s="18"/>
      <c r="UI2" s="18"/>
      <c r="UJ2" s="18"/>
      <c r="UK2" s="18"/>
      <c r="UL2" s="18"/>
      <c r="UM2" s="18"/>
      <c r="UN2" s="18"/>
      <c r="UO2" s="18"/>
      <c r="UP2" s="18"/>
      <c r="UQ2" s="18"/>
      <c r="UR2" s="18"/>
      <c r="US2" s="18"/>
      <c r="UT2" s="18"/>
      <c r="UU2" s="18"/>
      <c r="UV2" s="18"/>
      <c r="UW2" s="18"/>
      <c r="UX2" s="18"/>
      <c r="UY2" s="18"/>
      <c r="UZ2" s="18"/>
      <c r="VA2" s="18"/>
      <c r="VB2" s="18"/>
      <c r="VC2" s="18"/>
      <c r="VD2" s="18"/>
      <c r="VE2" s="18"/>
      <c r="VF2" s="18"/>
      <c r="VG2" s="18"/>
      <c r="VH2" s="18"/>
      <c r="VI2" s="18"/>
      <c r="VJ2" s="18"/>
      <c r="VK2" s="18"/>
      <c r="VL2" s="18"/>
      <c r="VM2" s="18"/>
      <c r="VN2" s="18"/>
      <c r="VO2" s="18"/>
      <c r="VP2" s="18"/>
      <c r="VQ2" s="18"/>
      <c r="VR2" s="18"/>
      <c r="VS2" s="18"/>
      <c r="VT2" s="18"/>
      <c r="VU2" s="18"/>
      <c r="VV2" s="18"/>
      <c r="VW2" s="18"/>
      <c r="VX2" s="18"/>
      <c r="VY2" s="18"/>
      <c r="VZ2" s="18"/>
      <c r="WA2" s="18"/>
      <c r="WB2" s="18"/>
      <c r="WC2" s="18"/>
      <c r="WD2" s="18"/>
      <c r="WE2" s="18"/>
      <c r="WF2" s="18"/>
      <c r="WG2" s="18"/>
      <c r="WH2" s="18"/>
      <c r="WI2" s="18"/>
      <c r="WJ2" s="18"/>
      <c r="WK2" s="18"/>
      <c r="WL2" s="18"/>
      <c r="WM2" s="18"/>
      <c r="WN2" s="18"/>
      <c r="WO2" s="18"/>
      <c r="WP2" s="18"/>
      <c r="WQ2" s="18"/>
      <c r="WR2" s="18"/>
      <c r="WS2" s="18"/>
      <c r="WT2" s="18"/>
      <c r="WU2" s="18"/>
      <c r="WV2" s="18"/>
      <c r="WW2" s="18"/>
      <c r="WX2" s="18"/>
      <c r="WY2" s="18"/>
      <c r="WZ2" s="18"/>
      <c r="XA2" s="18"/>
      <c r="XB2" s="18"/>
      <c r="XC2" s="18"/>
      <c r="XD2" s="18"/>
      <c r="XE2" s="18"/>
      <c r="XF2" s="18"/>
      <c r="XG2" s="18"/>
      <c r="XH2" s="18"/>
      <c r="XI2" s="18"/>
      <c r="XJ2" s="18"/>
      <c r="XK2" s="18"/>
      <c r="XL2" s="18"/>
      <c r="XM2" s="18"/>
      <c r="XN2" s="18"/>
      <c r="XO2" s="18"/>
      <c r="XP2" s="18"/>
      <c r="XQ2" s="18"/>
      <c r="XR2" s="18"/>
      <c r="XS2" s="18"/>
      <c r="XT2" s="18"/>
      <c r="XU2" s="18"/>
      <c r="XV2" s="18"/>
      <c r="XW2" s="18"/>
      <c r="XX2" s="18"/>
      <c r="XY2" s="18"/>
      <c r="XZ2" s="18"/>
      <c r="YA2" s="18"/>
      <c r="YB2" s="18"/>
      <c r="YC2" s="18"/>
      <c r="YD2" s="18"/>
      <c r="YE2" s="18"/>
      <c r="YF2" s="18"/>
      <c r="YG2" s="18"/>
      <c r="YH2" s="18"/>
      <c r="YI2" s="18"/>
      <c r="YJ2" s="18"/>
      <c r="YK2" s="18"/>
      <c r="YL2" s="18"/>
      <c r="YM2" s="18"/>
      <c r="YN2" s="18"/>
      <c r="YO2" s="18"/>
      <c r="YP2" s="18"/>
      <c r="YQ2" s="18"/>
      <c r="YR2" s="18"/>
      <c r="YS2" s="18"/>
      <c r="YT2" s="18"/>
      <c r="YU2" s="18"/>
      <c r="YV2" s="18"/>
      <c r="YW2" s="18"/>
      <c r="YX2" s="18"/>
      <c r="YY2" s="18"/>
      <c r="YZ2" s="18"/>
      <c r="ZA2" s="18"/>
      <c r="ZB2" s="18"/>
      <c r="ZC2" s="18"/>
      <c r="ZD2" s="18"/>
      <c r="ZE2" s="18"/>
      <c r="ZF2" s="18"/>
      <c r="ZG2" s="18"/>
      <c r="ZH2" s="18"/>
      <c r="ZI2" s="18"/>
      <c r="ZJ2" s="18"/>
      <c r="ZK2" s="18"/>
      <c r="ZL2" s="18"/>
      <c r="ZM2" s="18"/>
      <c r="ZN2" s="18"/>
      <c r="ZO2" s="18"/>
      <c r="ZP2" s="18"/>
      <c r="ZQ2" s="18"/>
      <c r="ZR2" s="18"/>
      <c r="ZS2" s="18"/>
      <c r="ZT2" s="18"/>
      <c r="ZU2" s="18"/>
      <c r="ZV2" s="18"/>
      <c r="ZW2" s="18"/>
      <c r="ZX2" s="18"/>
      <c r="ZY2" s="18"/>
      <c r="ZZ2" s="18"/>
      <c r="AAA2" s="18"/>
      <c r="AAB2" s="18"/>
      <c r="AAC2" s="18"/>
      <c r="AAD2" s="18"/>
      <c r="AAE2" s="18"/>
      <c r="AAF2" s="18"/>
      <c r="AAG2" s="18"/>
      <c r="AAH2" s="18"/>
      <c r="AAI2" s="18"/>
      <c r="AAJ2" s="18"/>
      <c r="AAK2" s="18"/>
      <c r="AAL2" s="18"/>
      <c r="AAM2" s="18"/>
      <c r="AAN2" s="18"/>
      <c r="AAO2" s="18"/>
      <c r="AAP2" s="18"/>
      <c r="AAQ2" s="18"/>
      <c r="AAR2" s="18"/>
      <c r="AAS2" s="18"/>
      <c r="AAT2" s="18"/>
      <c r="AAU2" s="18"/>
      <c r="AAV2" s="18"/>
      <c r="AAW2" s="18"/>
      <c r="AAX2" s="18"/>
      <c r="AAY2" s="18"/>
      <c r="AAZ2" s="18"/>
      <c r="ABA2" s="18"/>
      <c r="ABB2" s="18"/>
      <c r="ABC2" s="18"/>
      <c r="ABD2" s="18"/>
      <c r="ABE2" s="18"/>
      <c r="ABF2" s="18"/>
      <c r="ABG2" s="18"/>
      <c r="ABH2" s="18"/>
      <c r="ABI2" s="18"/>
      <c r="ABJ2" s="18"/>
      <c r="ABK2" s="18"/>
      <c r="ABL2" s="18"/>
      <c r="ABM2" s="18"/>
      <c r="ABN2" s="18"/>
      <c r="ABO2" s="18"/>
      <c r="ABP2" s="18"/>
      <c r="ABQ2" s="18"/>
      <c r="ABR2" s="18"/>
      <c r="ABS2" s="18"/>
      <c r="ABT2" s="18"/>
      <c r="ABU2" s="18"/>
      <c r="ABV2" s="18"/>
      <c r="ABW2" s="18"/>
      <c r="ABX2" s="18"/>
      <c r="ABY2" s="18"/>
      <c r="ABZ2" s="18"/>
      <c r="ACA2" s="18"/>
      <c r="ACB2" s="18"/>
      <c r="ACC2" s="18"/>
      <c r="ACD2" s="18"/>
      <c r="ACE2" s="18"/>
      <c r="ACF2" s="18"/>
      <c r="ACG2" s="18"/>
      <c r="ACH2" s="18"/>
      <c r="ACI2" s="18"/>
      <c r="ACJ2" s="18"/>
      <c r="ACK2" s="18"/>
      <c r="ACL2" s="18"/>
      <c r="ACM2" s="18"/>
      <c r="ACN2" s="18"/>
      <c r="ACO2" s="18"/>
      <c r="ACP2" s="18"/>
      <c r="ACQ2" s="18"/>
      <c r="ACR2" s="18"/>
      <c r="ACS2" s="18"/>
      <c r="ACT2" s="18"/>
      <c r="ACU2" s="18"/>
      <c r="ACV2" s="18"/>
      <c r="ACW2" s="18"/>
      <c r="ACX2" s="18"/>
      <c r="ACY2" s="18"/>
      <c r="ACZ2" s="18"/>
      <c r="ADA2" s="18"/>
      <c r="ADB2" s="18"/>
      <c r="ADC2" s="18"/>
      <c r="ADD2" s="18"/>
      <c r="ADE2" s="18"/>
      <c r="ADF2" s="18"/>
      <c r="ADG2" s="18"/>
      <c r="ADH2" s="18"/>
      <c r="ADI2" s="18"/>
      <c r="ADJ2" s="18"/>
      <c r="ADK2" s="18"/>
      <c r="ADL2" s="18"/>
      <c r="ADM2" s="18"/>
      <c r="ADN2" s="18"/>
      <c r="ADO2" s="18"/>
      <c r="ADP2" s="18"/>
      <c r="ADQ2" s="18"/>
      <c r="ADR2" s="18"/>
      <c r="ADS2" s="18"/>
      <c r="ADT2" s="18"/>
      <c r="ADU2" s="18"/>
      <c r="ADV2" s="18"/>
      <c r="ADW2" s="18"/>
      <c r="ADX2" s="18"/>
      <c r="ADY2" s="18"/>
      <c r="ADZ2" s="18"/>
      <c r="AEA2" s="18"/>
      <c r="AEB2" s="18"/>
      <c r="AEC2" s="18"/>
      <c r="AED2" s="18"/>
      <c r="AEE2" s="18"/>
      <c r="AEF2" s="18"/>
      <c r="AEG2" s="18"/>
      <c r="AEH2" s="18"/>
      <c r="AEI2" s="18"/>
      <c r="AEJ2" s="18"/>
      <c r="AEK2" s="18"/>
      <c r="AEL2" s="18"/>
      <c r="AEM2" s="18"/>
      <c r="AEN2" s="18"/>
      <c r="AEO2" s="18"/>
      <c r="AEP2" s="18"/>
      <c r="AEQ2" s="18"/>
      <c r="AER2" s="18"/>
      <c r="AES2" s="18"/>
      <c r="AET2" s="18"/>
      <c r="AEU2" s="18"/>
      <c r="AEV2" s="18"/>
      <c r="AEW2" s="18"/>
      <c r="AEX2" s="18"/>
      <c r="AEY2" s="18"/>
      <c r="AEZ2" s="18"/>
      <c r="AFA2" s="18"/>
      <c r="AFB2" s="18"/>
      <c r="AFC2" s="18"/>
      <c r="AFD2" s="18"/>
      <c r="AFE2" s="18"/>
      <c r="AFF2" s="18"/>
      <c r="AFG2" s="18"/>
      <c r="AFH2" s="18"/>
      <c r="AFI2" s="18"/>
      <c r="AFJ2" s="18"/>
      <c r="AFK2" s="18"/>
      <c r="AFL2" s="18"/>
      <c r="AFM2" s="18"/>
      <c r="AFN2" s="18"/>
      <c r="AFO2" s="18"/>
      <c r="AFP2" s="18"/>
      <c r="AFQ2" s="18"/>
      <c r="AFR2" s="18"/>
      <c r="AFS2" s="18"/>
      <c r="AFT2" s="18"/>
      <c r="AFU2" s="18"/>
      <c r="AFV2" s="18"/>
      <c r="AFW2" s="18"/>
      <c r="AFX2" s="18"/>
      <c r="AFY2" s="18"/>
      <c r="AFZ2" s="18"/>
      <c r="AGA2" s="18"/>
      <c r="AGB2" s="18"/>
      <c r="AGC2" s="18"/>
      <c r="AGD2" s="18"/>
      <c r="AGE2" s="18"/>
      <c r="AGF2" s="18"/>
      <c r="AGG2" s="18"/>
      <c r="AGH2" s="18"/>
      <c r="AGI2" s="18"/>
      <c r="AGJ2" s="18"/>
      <c r="AGK2" s="18"/>
      <c r="AGL2" s="18"/>
      <c r="AGM2" s="18"/>
      <c r="AGN2" s="18"/>
      <c r="AGO2" s="18"/>
      <c r="AGP2" s="18"/>
      <c r="AGQ2" s="18"/>
      <c r="AGR2" s="18"/>
      <c r="AGS2" s="18"/>
      <c r="AGT2" s="18"/>
      <c r="AGU2" s="18"/>
      <c r="AGV2" s="18"/>
      <c r="AGW2" s="18"/>
      <c r="AGX2" s="18"/>
      <c r="AGY2" s="18"/>
      <c r="AGZ2" s="18"/>
      <c r="AHA2" s="18"/>
      <c r="AHB2" s="18"/>
      <c r="AHC2" s="18"/>
      <c r="AHD2" s="18"/>
      <c r="AHE2" s="18"/>
      <c r="AHF2" s="18"/>
      <c r="AHG2" s="18"/>
      <c r="AHH2" s="18"/>
      <c r="AHI2" s="18"/>
      <c r="AHJ2" s="18"/>
      <c r="AHK2" s="18"/>
      <c r="AHL2" s="18"/>
      <c r="AHM2" s="18"/>
      <c r="AHN2" s="18"/>
      <c r="AHO2" s="18"/>
      <c r="AHP2" s="18"/>
      <c r="AHQ2" s="18"/>
      <c r="AHR2" s="18"/>
      <c r="AHS2" s="18"/>
      <c r="AHT2" s="18"/>
      <c r="AHU2" s="18"/>
      <c r="AHV2" s="18"/>
      <c r="AHW2" s="18"/>
      <c r="AHX2" s="18"/>
      <c r="AHY2" s="18"/>
      <c r="AHZ2" s="18"/>
      <c r="AIA2" s="18"/>
      <c r="AIB2" s="18"/>
      <c r="AIC2" s="18"/>
      <c r="AID2" s="18"/>
      <c r="AIE2" s="18"/>
      <c r="AIF2" s="18"/>
      <c r="AIG2" s="18"/>
      <c r="AIH2" s="18"/>
      <c r="AII2" s="18"/>
      <c r="AIJ2" s="18"/>
      <c r="AIK2" s="18"/>
      <c r="AIL2" s="18"/>
      <c r="AIM2" s="18"/>
      <c r="AIN2" s="18"/>
      <c r="AIO2" s="18"/>
      <c r="AIP2" s="18"/>
      <c r="AIQ2" s="18"/>
      <c r="AIR2" s="18"/>
      <c r="AIS2" s="18"/>
      <c r="AIT2" s="18"/>
      <c r="AIU2" s="18"/>
      <c r="AIV2" s="18"/>
      <c r="AIW2" s="18"/>
      <c r="AIX2" s="18"/>
      <c r="AIY2" s="18"/>
      <c r="AIZ2" s="18"/>
      <c r="AJA2" s="18"/>
      <c r="AJB2" s="18"/>
      <c r="AJC2" s="18"/>
      <c r="AJD2" s="18"/>
      <c r="AJE2" s="18"/>
      <c r="AJF2" s="18"/>
      <c r="AJG2" s="18"/>
      <c r="AJH2" s="18"/>
      <c r="AJI2" s="18"/>
      <c r="AJJ2" s="18"/>
      <c r="AJK2" s="18"/>
      <c r="AJL2" s="18"/>
      <c r="AJM2" s="18"/>
      <c r="AJN2" s="18"/>
      <c r="AJO2" s="18"/>
      <c r="AJP2" s="18"/>
      <c r="AJQ2" s="18"/>
      <c r="AJR2" s="18"/>
      <c r="AJS2" s="18"/>
      <c r="AJT2" s="18"/>
      <c r="AJU2" s="18"/>
      <c r="AJV2" s="18"/>
      <c r="AJW2" s="18"/>
      <c r="AJX2" s="18"/>
      <c r="AJY2" s="18"/>
      <c r="AJZ2" s="18"/>
      <c r="AKA2" s="18"/>
      <c r="AKB2" s="18"/>
      <c r="AKC2" s="18"/>
      <c r="AKD2" s="18"/>
      <c r="AKE2" s="18"/>
      <c r="AKF2" s="18"/>
      <c r="AKG2" s="18"/>
      <c r="AKH2" s="18"/>
      <c r="AKI2" s="18"/>
      <c r="AKJ2" s="18"/>
      <c r="AKK2" s="18"/>
      <c r="AKL2" s="18"/>
      <c r="AKM2" s="18"/>
      <c r="AKN2" s="18"/>
      <c r="AKO2" s="18"/>
      <c r="AKP2" s="18"/>
      <c r="AKQ2" s="18"/>
      <c r="AKR2" s="18"/>
      <c r="AKS2" s="18"/>
      <c r="AKT2" s="18"/>
      <c r="AKU2" s="18"/>
      <c r="AKV2" s="18"/>
      <c r="AKW2" s="18"/>
      <c r="AKX2" s="18"/>
      <c r="AKY2" s="18"/>
      <c r="AKZ2" s="18"/>
      <c r="ALA2" s="18"/>
      <c r="ALB2" s="18"/>
      <c r="ALC2" s="18"/>
      <c r="ALD2" s="18"/>
      <c r="ALE2" s="18"/>
      <c r="ALF2" s="18"/>
      <c r="ALG2" s="18"/>
      <c r="ALH2" s="18"/>
      <c r="ALI2" s="18"/>
      <c r="ALJ2" s="18"/>
      <c r="ALK2" s="18"/>
      <c r="ALL2" s="18"/>
      <c r="ALM2" s="18"/>
      <c r="ALN2" s="18"/>
      <c r="ALO2" s="18"/>
      <c r="ALP2" s="18"/>
      <c r="ALQ2" s="18"/>
      <c r="ALR2" s="18"/>
      <c r="ALS2" s="18"/>
      <c r="ALT2" s="18"/>
      <c r="ALU2" s="18"/>
      <c r="ALV2" s="18"/>
      <c r="ALW2" s="18"/>
      <c r="ALX2" s="18"/>
      <c r="ALY2" s="18"/>
      <c r="ALZ2" s="18"/>
      <c r="AMA2" s="18"/>
      <c r="AMB2" s="18"/>
      <c r="AMC2" s="18"/>
      <c r="AMD2" s="18"/>
      <c r="AME2" s="18"/>
      <c r="AMF2" s="18"/>
      <c r="AMG2" s="18"/>
      <c r="AMH2" s="18"/>
      <c r="AMI2" s="18"/>
      <c r="AMJ2" s="18"/>
      <c r="AMK2" s="18"/>
      <c r="AML2" s="18"/>
      <c r="AMM2" s="18"/>
      <c r="AMN2" s="18"/>
      <c r="AMO2" s="18"/>
      <c r="AMP2" s="18"/>
      <c r="AMQ2" s="18"/>
      <c r="AMR2" s="18"/>
      <c r="AMS2" s="18"/>
      <c r="AMT2" s="18"/>
      <c r="AMU2" s="18"/>
      <c r="AMV2" s="18"/>
      <c r="AMW2" s="18"/>
      <c r="AMX2" s="18"/>
      <c r="AMY2" s="18"/>
      <c r="AMZ2" s="18"/>
      <c r="ANA2" s="18"/>
      <c r="ANB2" s="18"/>
      <c r="ANC2" s="18"/>
      <c r="AND2" s="18"/>
      <c r="ANE2" s="18"/>
      <c r="ANF2" s="18"/>
      <c r="ANG2" s="18"/>
      <c r="ANH2" s="18"/>
      <c r="ANI2" s="18"/>
      <c r="ANJ2" s="18"/>
      <c r="ANK2" s="18"/>
      <c r="ANL2" s="18"/>
      <c r="ANM2" s="18"/>
      <c r="ANN2" s="18"/>
      <c r="ANO2" s="18"/>
      <c r="ANP2" s="18"/>
      <c r="ANQ2" s="18"/>
      <c r="ANR2" s="18"/>
      <c r="ANS2" s="18"/>
      <c r="ANT2" s="18"/>
      <c r="ANU2" s="18"/>
      <c r="ANV2" s="18"/>
      <c r="ANW2" s="18"/>
      <c r="ANX2" s="18"/>
      <c r="ANY2" s="18"/>
      <c r="ANZ2" s="18"/>
      <c r="AOA2" s="18"/>
      <c r="AOB2" s="18"/>
      <c r="AOC2" s="18"/>
      <c r="AOD2" s="18"/>
      <c r="AOE2" s="18"/>
      <c r="AOF2" s="18"/>
      <c r="AOG2" s="18"/>
      <c r="AOH2" s="18"/>
      <c r="AOI2" s="18"/>
      <c r="AOJ2" s="18"/>
      <c r="AOK2" s="18"/>
      <c r="AOL2" s="18"/>
      <c r="AOM2" s="18"/>
      <c r="AON2" s="18"/>
      <c r="AOO2" s="18"/>
      <c r="AOP2" s="18"/>
      <c r="AOQ2" s="18"/>
      <c r="AOR2" s="18"/>
      <c r="AOS2" s="18"/>
      <c r="AOT2" s="18"/>
      <c r="AOU2" s="18"/>
      <c r="AOV2" s="18"/>
      <c r="AOW2" s="18"/>
      <c r="AOX2" s="18"/>
      <c r="AOY2" s="18"/>
      <c r="AOZ2" s="18"/>
      <c r="APA2" s="18"/>
      <c r="APB2" s="18"/>
      <c r="APC2" s="18"/>
      <c r="APD2" s="18"/>
      <c r="APE2" s="18"/>
      <c r="APF2" s="18"/>
      <c r="APG2" s="18"/>
      <c r="APH2" s="18"/>
      <c r="API2" s="18"/>
      <c r="APJ2" s="18"/>
      <c r="APK2" s="18"/>
      <c r="APL2" s="18"/>
      <c r="APM2" s="18"/>
      <c r="APN2" s="18"/>
      <c r="APO2" s="18"/>
      <c r="APP2" s="18"/>
      <c r="APQ2" s="18"/>
      <c r="APR2" s="18"/>
      <c r="APS2" s="18"/>
      <c r="APT2" s="18"/>
      <c r="APU2" s="18"/>
      <c r="APV2" s="18"/>
      <c r="APW2" s="18"/>
      <c r="APX2" s="18"/>
      <c r="APY2" s="18"/>
      <c r="APZ2" s="18"/>
      <c r="AQA2" s="18"/>
      <c r="AQB2" s="18"/>
      <c r="AQC2" s="18"/>
      <c r="AQD2" s="18"/>
      <c r="AQE2" s="18"/>
      <c r="AQF2" s="18"/>
      <c r="AQG2" s="18"/>
      <c r="AQH2" s="18"/>
      <c r="AQI2" s="18"/>
      <c r="AQJ2" s="18"/>
      <c r="AQK2" s="18"/>
      <c r="AQL2" s="18"/>
      <c r="AQM2" s="18"/>
      <c r="AQN2" s="18"/>
      <c r="AQO2" s="18"/>
      <c r="AQP2" s="18"/>
      <c r="AQQ2" s="18"/>
      <c r="AQR2" s="18"/>
      <c r="AQS2" s="18"/>
      <c r="AQT2" s="18"/>
      <c r="AQU2" s="18"/>
      <c r="AQV2" s="18"/>
      <c r="AQW2" s="18"/>
      <c r="AQX2" s="18"/>
      <c r="AQY2" s="18"/>
      <c r="AQZ2" s="18"/>
      <c r="ARA2" s="18"/>
      <c r="ARB2" s="18"/>
      <c r="ARC2" s="18"/>
      <c r="ARD2" s="18"/>
      <c r="ARE2" s="18"/>
      <c r="ARF2" s="18"/>
      <c r="ARG2" s="18"/>
      <c r="ARH2" s="18"/>
      <c r="ARI2" s="18"/>
      <c r="ARJ2" s="18"/>
      <c r="ARK2" s="18"/>
      <c r="ARL2" s="18"/>
      <c r="ARM2" s="18"/>
      <c r="ARN2" s="18"/>
      <c r="ARO2" s="18"/>
      <c r="ARP2" s="18"/>
      <c r="ARQ2" s="18"/>
      <c r="ARR2" s="18"/>
      <c r="ARS2" s="18"/>
      <c r="ART2" s="18"/>
      <c r="ARU2" s="18"/>
      <c r="ARV2" s="18"/>
      <c r="ARW2" s="18"/>
      <c r="ARX2" s="18"/>
      <c r="ARY2" s="18"/>
      <c r="ARZ2" s="18"/>
      <c r="ASA2" s="18"/>
      <c r="ASB2" s="18"/>
      <c r="ASC2" s="18"/>
      <c r="ASD2" s="18"/>
      <c r="ASE2" s="18"/>
      <c r="ASF2" s="18"/>
      <c r="ASG2" s="18"/>
      <c r="ASH2" s="18"/>
      <c r="ASI2" s="18"/>
      <c r="ASJ2" s="18"/>
      <c r="ASK2" s="18"/>
      <c r="ASL2" s="18"/>
      <c r="ASM2" s="18"/>
      <c r="ASN2" s="18"/>
      <c r="ASO2" s="18"/>
      <c r="ASP2" s="18"/>
      <c r="ASQ2" s="18"/>
      <c r="ASR2" s="18"/>
      <c r="ASS2" s="18"/>
      <c r="AST2" s="18"/>
      <c r="ASU2" s="18"/>
      <c r="ASV2" s="18"/>
      <c r="ASW2" s="18"/>
      <c r="ASX2" s="18"/>
      <c r="ASY2" s="18"/>
      <c r="ASZ2" s="18"/>
      <c r="ATA2" s="18"/>
      <c r="ATB2" s="18"/>
      <c r="ATC2" s="18"/>
      <c r="ATD2" s="18"/>
      <c r="ATE2" s="18"/>
      <c r="ATF2" s="18"/>
      <c r="ATG2" s="18"/>
      <c r="ATH2" s="18"/>
      <c r="ATI2" s="18"/>
      <c r="ATJ2" s="18"/>
      <c r="ATK2" s="18"/>
      <c r="ATL2" s="18"/>
      <c r="ATM2" s="18"/>
      <c r="ATN2" s="18"/>
      <c r="ATO2" s="18"/>
      <c r="ATP2" s="18"/>
      <c r="ATQ2" s="18"/>
      <c r="ATR2" s="18"/>
      <c r="ATS2" s="18"/>
      <c r="ATT2" s="18"/>
      <c r="ATU2" s="18"/>
      <c r="ATV2" s="18"/>
      <c r="ATW2" s="18"/>
      <c r="ATX2" s="18"/>
      <c r="ATY2" s="18"/>
      <c r="ATZ2" s="18"/>
      <c r="AUA2" s="18"/>
      <c r="AUB2" s="18"/>
      <c r="AUC2" s="18"/>
      <c r="AUD2" s="18"/>
      <c r="AUE2" s="18"/>
      <c r="AUF2" s="18"/>
      <c r="AUG2" s="18"/>
      <c r="AUH2" s="18"/>
      <c r="AUI2" s="18"/>
      <c r="AUJ2" s="18"/>
      <c r="AUK2" s="18"/>
      <c r="AUL2" s="18"/>
      <c r="AUM2" s="18"/>
      <c r="AUN2" s="18"/>
      <c r="AUO2" s="18"/>
      <c r="AUP2" s="18"/>
      <c r="AUQ2" s="18"/>
      <c r="AUR2" s="18"/>
      <c r="AUS2" s="18"/>
      <c r="AUT2" s="18"/>
      <c r="AUU2" s="18"/>
      <c r="AUV2" s="18"/>
      <c r="AUW2" s="18"/>
      <c r="AUX2" s="18"/>
      <c r="AUY2" s="18"/>
      <c r="AUZ2" s="18"/>
      <c r="AVA2" s="18"/>
      <c r="AVB2" s="18"/>
      <c r="AVC2" s="18"/>
      <c r="AVD2" s="18"/>
      <c r="AVE2" s="18"/>
      <c r="AVF2" s="18"/>
      <c r="AVG2" s="18"/>
      <c r="AVH2" s="18"/>
      <c r="AVI2" s="18"/>
      <c r="AVJ2" s="18"/>
      <c r="AVK2" s="18"/>
      <c r="AVL2" s="18"/>
      <c r="AVM2" s="18"/>
      <c r="AVN2" s="18"/>
      <c r="AVO2" s="18"/>
      <c r="AVP2" s="18"/>
      <c r="AVQ2" s="18"/>
      <c r="AVR2" s="18"/>
      <c r="AVS2" s="18"/>
      <c r="AVT2" s="18"/>
      <c r="AVU2" s="18"/>
      <c r="AVV2" s="18"/>
      <c r="AVW2" s="18"/>
      <c r="AVX2" s="18"/>
      <c r="AVY2" s="18"/>
      <c r="AVZ2" s="18"/>
      <c r="AWA2" s="18"/>
      <c r="AWB2" s="18"/>
      <c r="AWC2" s="18"/>
      <c r="AWD2" s="18"/>
      <c r="AWE2" s="18"/>
      <c r="AWF2" s="18"/>
      <c r="AWG2" s="18"/>
      <c r="AWH2" s="18"/>
      <c r="AWI2" s="18"/>
      <c r="AWJ2" s="18"/>
      <c r="AWK2" s="18"/>
      <c r="AWL2" s="18"/>
      <c r="AWM2" s="18"/>
      <c r="AWN2" s="18"/>
      <c r="AWO2" s="18"/>
      <c r="AWP2" s="18"/>
      <c r="AWQ2" s="18"/>
      <c r="AWR2" s="18"/>
      <c r="AWS2" s="18"/>
      <c r="AWT2" s="18"/>
      <c r="AWU2" s="18"/>
      <c r="AWV2" s="18"/>
      <c r="AWW2" s="18"/>
      <c r="AWX2" s="18"/>
      <c r="AWY2" s="18"/>
      <c r="AWZ2" s="18"/>
      <c r="AXA2" s="18"/>
      <c r="AXB2" s="18"/>
      <c r="AXC2" s="18"/>
      <c r="AXD2" s="18"/>
      <c r="AXE2" s="18"/>
      <c r="AXF2" s="18"/>
      <c r="AXG2" s="18"/>
      <c r="AXH2" s="18"/>
      <c r="AXI2" s="18"/>
      <c r="AXJ2" s="18"/>
      <c r="AXK2" s="18"/>
      <c r="AXL2" s="18"/>
      <c r="AXM2" s="18"/>
      <c r="AXN2" s="18"/>
      <c r="AXO2" s="18"/>
      <c r="AXP2" s="18"/>
      <c r="AXQ2" s="18"/>
      <c r="AXR2" s="18"/>
      <c r="AXS2" s="18"/>
      <c r="AXT2" s="18"/>
      <c r="AXU2" s="18"/>
      <c r="AXV2" s="18"/>
      <c r="AXW2" s="18"/>
      <c r="AXX2" s="18"/>
      <c r="AXY2" s="18"/>
      <c r="AXZ2" s="18"/>
      <c r="AYA2" s="18"/>
      <c r="AYB2" s="18"/>
      <c r="AYC2" s="18"/>
      <c r="AYD2" s="18"/>
      <c r="AYE2" s="18"/>
      <c r="AYF2" s="18"/>
      <c r="AYG2" s="18"/>
      <c r="AYH2" s="18"/>
      <c r="AYI2" s="18"/>
      <c r="AYJ2" s="18"/>
      <c r="AYK2" s="18"/>
      <c r="AYL2" s="18"/>
      <c r="AYM2" s="18"/>
      <c r="AYN2" s="18"/>
      <c r="AYO2" s="18"/>
      <c r="AYP2" s="18"/>
      <c r="AYQ2" s="18"/>
      <c r="AYR2" s="18"/>
      <c r="AYS2" s="18"/>
      <c r="AYT2" s="18"/>
      <c r="AYU2" s="18"/>
      <c r="AYV2" s="18"/>
      <c r="AYW2" s="18"/>
      <c r="AYX2" s="18"/>
      <c r="AYY2" s="18"/>
      <c r="AYZ2" s="18"/>
      <c r="AZA2" s="18"/>
      <c r="AZB2" s="18"/>
      <c r="AZC2" s="18"/>
      <c r="AZD2" s="18"/>
      <c r="AZE2" s="18"/>
      <c r="AZF2" s="18"/>
      <c r="AZG2" s="18"/>
      <c r="AZH2" s="18"/>
      <c r="AZI2" s="18"/>
      <c r="AZJ2" s="18"/>
      <c r="AZK2" s="18"/>
      <c r="AZL2" s="18"/>
      <c r="AZM2" s="18"/>
      <c r="AZN2" s="18"/>
      <c r="AZO2" s="18"/>
      <c r="AZP2" s="18"/>
      <c r="AZQ2" s="18"/>
      <c r="AZR2" s="18"/>
      <c r="AZS2" s="18"/>
      <c r="AZT2" s="18"/>
      <c r="AZU2" s="18"/>
      <c r="AZV2" s="18"/>
      <c r="AZW2" s="18"/>
      <c r="AZX2" s="18"/>
      <c r="AZY2" s="18"/>
      <c r="AZZ2" s="18"/>
      <c r="BAA2" s="18"/>
      <c r="BAB2" s="18"/>
      <c r="BAC2" s="18"/>
      <c r="BAD2" s="18"/>
      <c r="BAE2" s="18"/>
      <c r="BAF2" s="18"/>
      <c r="BAG2" s="18"/>
      <c r="BAH2" s="18"/>
      <c r="BAI2" s="18"/>
      <c r="BAJ2" s="18"/>
      <c r="BAK2" s="18"/>
      <c r="BAL2" s="18"/>
      <c r="BAM2" s="18"/>
      <c r="BAN2" s="18"/>
      <c r="BAO2" s="18"/>
      <c r="BAP2" s="18"/>
      <c r="BAQ2" s="18"/>
      <c r="BAR2" s="18"/>
      <c r="BAS2" s="18"/>
      <c r="BAT2" s="18"/>
      <c r="BAU2" s="18"/>
      <c r="BAV2" s="18"/>
      <c r="BAW2" s="18"/>
      <c r="BAX2" s="18"/>
      <c r="BAY2" s="18"/>
      <c r="BAZ2" s="18"/>
      <c r="BBA2" s="18"/>
      <c r="BBB2" s="18"/>
      <c r="BBC2" s="18"/>
      <c r="BBD2" s="18"/>
      <c r="BBE2" s="18"/>
      <c r="BBF2" s="18"/>
      <c r="BBG2" s="18"/>
      <c r="BBH2" s="18"/>
      <c r="BBI2" s="18"/>
      <c r="BBJ2" s="18"/>
      <c r="BBK2" s="18"/>
      <c r="BBL2" s="18"/>
      <c r="BBM2" s="18"/>
      <c r="BBN2" s="18"/>
      <c r="BBO2" s="18"/>
      <c r="BBP2" s="18"/>
      <c r="BBQ2" s="18"/>
      <c r="BBR2" s="18"/>
      <c r="BBS2" s="18"/>
      <c r="BBT2" s="18"/>
      <c r="BBU2" s="18"/>
      <c r="BBV2" s="18"/>
      <c r="BBW2" s="18"/>
      <c r="BBX2" s="18"/>
      <c r="BBY2" s="18"/>
      <c r="BBZ2" s="18"/>
      <c r="BCA2" s="18"/>
      <c r="BCB2" s="18"/>
      <c r="BCC2" s="18"/>
      <c r="BCD2" s="18"/>
      <c r="BCE2" s="18"/>
      <c r="BCF2" s="18"/>
      <c r="BCG2" s="18"/>
      <c r="BCH2" s="18"/>
      <c r="BCI2" s="18"/>
      <c r="BCJ2" s="18"/>
      <c r="BCK2" s="18"/>
      <c r="BCL2" s="18"/>
      <c r="BCM2" s="18"/>
      <c r="BCN2" s="18"/>
      <c r="BCO2" s="18"/>
      <c r="BCP2" s="18"/>
      <c r="BCQ2" s="18"/>
      <c r="BCR2" s="18"/>
      <c r="BCS2" s="18"/>
      <c r="BCT2" s="18"/>
      <c r="BCU2" s="18"/>
      <c r="BCV2" s="18"/>
      <c r="BCW2" s="18"/>
      <c r="BCX2" s="18"/>
      <c r="BCY2" s="18"/>
      <c r="BCZ2" s="18"/>
      <c r="BDA2" s="18"/>
      <c r="BDB2" s="18"/>
      <c r="BDC2" s="18"/>
      <c r="BDD2" s="18"/>
      <c r="BDE2" s="18"/>
      <c r="BDF2" s="18"/>
      <c r="BDG2" s="18"/>
      <c r="BDH2" s="18"/>
      <c r="BDI2" s="18"/>
      <c r="BDJ2" s="18"/>
      <c r="BDK2" s="18"/>
      <c r="BDL2" s="18"/>
      <c r="BDM2" s="18"/>
      <c r="BDN2" s="18"/>
      <c r="BDO2" s="18"/>
      <c r="BDP2" s="18"/>
      <c r="BDQ2" s="18"/>
      <c r="BDR2" s="18"/>
      <c r="BDS2" s="18"/>
      <c r="BDT2" s="18"/>
      <c r="BDU2" s="18"/>
      <c r="BDV2" s="18"/>
      <c r="BDW2" s="18"/>
      <c r="BDX2" s="18"/>
      <c r="BDY2" s="18"/>
      <c r="BDZ2" s="18"/>
      <c r="BEA2" s="18"/>
      <c r="BEB2" s="18"/>
      <c r="BEC2" s="18"/>
      <c r="BED2" s="18"/>
      <c r="BEE2" s="18"/>
      <c r="BEF2" s="18"/>
      <c r="BEG2" s="18"/>
      <c r="BEH2" s="18"/>
      <c r="BEI2" s="18"/>
      <c r="BEJ2" s="18"/>
      <c r="BEK2" s="18"/>
      <c r="BEL2" s="18"/>
      <c r="BEM2" s="18"/>
      <c r="BEN2" s="18"/>
      <c r="BEO2" s="18"/>
      <c r="BEP2" s="18"/>
      <c r="BEQ2" s="18"/>
      <c r="BER2" s="18"/>
      <c r="BES2" s="18"/>
      <c r="BET2" s="18"/>
      <c r="BEU2" s="18"/>
      <c r="BEV2" s="18"/>
      <c r="BEW2" s="18"/>
      <c r="BEX2" s="18"/>
      <c r="BEY2" s="18"/>
      <c r="BEZ2" s="18"/>
      <c r="BFA2" s="18"/>
      <c r="BFB2" s="18"/>
      <c r="BFC2" s="18"/>
      <c r="BFD2" s="18"/>
      <c r="BFE2" s="18"/>
      <c r="BFF2" s="18"/>
      <c r="BFG2" s="18"/>
      <c r="BFH2" s="18"/>
      <c r="BFI2" s="18"/>
      <c r="BFJ2" s="18"/>
      <c r="BFK2" s="18"/>
      <c r="BFL2" s="18"/>
      <c r="BFM2" s="18"/>
      <c r="BFN2" s="18"/>
      <c r="BFO2" s="18"/>
      <c r="BFP2" s="18"/>
      <c r="BFQ2" s="18"/>
      <c r="BFR2" s="18"/>
      <c r="BFS2" s="18"/>
      <c r="BFT2" s="18"/>
      <c r="BFU2" s="18"/>
      <c r="BFV2" s="18"/>
      <c r="BFW2" s="18"/>
      <c r="BFX2" s="18"/>
      <c r="BFY2" s="18"/>
      <c r="BFZ2" s="18"/>
      <c r="BGA2" s="18"/>
      <c r="BGB2" s="18"/>
      <c r="BGC2" s="18"/>
      <c r="BGD2" s="18"/>
      <c r="BGE2" s="18"/>
      <c r="BGF2" s="18"/>
      <c r="BGG2" s="18"/>
      <c r="BGH2" s="18"/>
      <c r="BGI2" s="18"/>
      <c r="BGJ2" s="18"/>
      <c r="BGK2" s="18"/>
      <c r="BGL2" s="18"/>
      <c r="BGM2" s="18"/>
      <c r="BGN2" s="18"/>
      <c r="BGO2" s="18"/>
      <c r="BGP2" s="18"/>
      <c r="BGQ2" s="18"/>
      <c r="BGR2" s="18"/>
      <c r="BGS2" s="18"/>
      <c r="BGT2" s="18"/>
      <c r="BGU2" s="18"/>
      <c r="BGV2" s="18"/>
      <c r="BGW2" s="18"/>
      <c r="BGX2" s="18"/>
      <c r="BGY2" s="18"/>
      <c r="BGZ2" s="18"/>
      <c r="BHA2" s="18"/>
      <c r="BHB2" s="18"/>
      <c r="BHC2" s="18"/>
      <c r="BHD2" s="18"/>
      <c r="BHE2" s="18"/>
      <c r="BHF2" s="18"/>
      <c r="BHG2" s="18"/>
      <c r="BHH2" s="18"/>
      <c r="BHI2" s="18"/>
      <c r="BHJ2" s="18"/>
      <c r="BHK2" s="18"/>
      <c r="BHL2" s="18"/>
      <c r="BHM2" s="18"/>
      <c r="BHN2" s="18"/>
      <c r="BHO2" s="18"/>
      <c r="BHP2" s="18"/>
      <c r="BHQ2" s="18"/>
      <c r="BHR2" s="18"/>
      <c r="BHS2" s="18"/>
      <c r="BHT2" s="18"/>
      <c r="BHU2" s="18"/>
      <c r="BHV2" s="18"/>
      <c r="BHW2" s="18"/>
      <c r="BHX2" s="18"/>
      <c r="BHY2" s="18"/>
      <c r="BHZ2" s="18"/>
      <c r="BIA2" s="18"/>
      <c r="BIB2" s="18"/>
      <c r="BIC2" s="18"/>
      <c r="BID2" s="18"/>
      <c r="BIE2" s="18"/>
      <c r="BIF2" s="18"/>
      <c r="BIG2" s="18"/>
      <c r="BIH2" s="18"/>
      <c r="BII2" s="18"/>
      <c r="BIJ2" s="18"/>
      <c r="BIK2" s="18"/>
      <c r="BIL2" s="18"/>
      <c r="BIM2" s="18"/>
      <c r="BIN2" s="18"/>
      <c r="BIO2" s="18"/>
      <c r="BIP2" s="18"/>
      <c r="BIQ2" s="18"/>
      <c r="BIR2" s="18"/>
      <c r="BIS2" s="18"/>
      <c r="BIT2" s="18"/>
      <c r="BIU2" s="18"/>
      <c r="BIV2" s="18"/>
      <c r="BIW2" s="18"/>
      <c r="BIX2" s="18"/>
      <c r="BIY2" s="18"/>
      <c r="BIZ2" s="18"/>
      <c r="BJA2" s="18"/>
      <c r="BJB2" s="18"/>
      <c r="BJC2" s="18"/>
      <c r="BJD2" s="18"/>
      <c r="BJE2" s="18"/>
      <c r="BJF2" s="18"/>
      <c r="BJG2" s="18"/>
      <c r="BJH2" s="18"/>
      <c r="BJI2" s="18"/>
      <c r="BJJ2" s="18"/>
      <c r="BJK2" s="18"/>
      <c r="BJL2" s="18"/>
      <c r="BJM2" s="18"/>
      <c r="BJN2" s="18"/>
      <c r="BJO2" s="18"/>
      <c r="BJP2" s="18"/>
      <c r="BJQ2" s="18"/>
      <c r="BJR2" s="18"/>
      <c r="BJS2" s="18"/>
      <c r="BJT2" s="18"/>
      <c r="BJU2" s="18"/>
      <c r="BJV2" s="18"/>
      <c r="BJW2" s="18"/>
      <c r="BJX2" s="18"/>
      <c r="BJY2" s="18"/>
      <c r="BJZ2" s="18"/>
      <c r="BKA2" s="18"/>
      <c r="BKB2" s="18"/>
      <c r="BKC2" s="18"/>
      <c r="BKD2" s="18"/>
      <c r="BKE2" s="18"/>
      <c r="BKF2" s="18"/>
      <c r="BKG2" s="18"/>
      <c r="BKH2" s="18"/>
      <c r="BKI2" s="18"/>
      <c r="BKJ2" s="18"/>
      <c r="BKK2" s="18"/>
      <c r="BKL2" s="18"/>
      <c r="BKM2" s="18"/>
      <c r="BKN2" s="18"/>
      <c r="BKO2" s="18"/>
      <c r="BKP2" s="18"/>
      <c r="BKQ2" s="18"/>
      <c r="BKR2" s="18"/>
      <c r="BKS2" s="18"/>
      <c r="BKT2" s="18"/>
      <c r="BKU2" s="18"/>
      <c r="BKV2" s="18"/>
      <c r="BKW2" s="18"/>
      <c r="BKX2" s="18"/>
      <c r="BKY2" s="18"/>
      <c r="BKZ2" s="18"/>
      <c r="BLA2" s="18"/>
      <c r="BLB2" s="18"/>
      <c r="BLC2" s="18"/>
      <c r="BLD2" s="18"/>
      <c r="BLE2" s="18"/>
      <c r="BLF2" s="18"/>
      <c r="BLG2" s="18"/>
      <c r="BLH2" s="18"/>
      <c r="BLI2" s="18"/>
      <c r="BLJ2" s="18"/>
      <c r="BLK2" s="18"/>
      <c r="BLL2" s="18"/>
      <c r="BLM2" s="18"/>
      <c r="BLN2" s="18"/>
      <c r="BLO2" s="18"/>
      <c r="BLP2" s="18"/>
      <c r="BLQ2" s="18"/>
      <c r="BLR2" s="18"/>
      <c r="BLS2" s="18"/>
      <c r="BLT2" s="18"/>
      <c r="BLU2" s="18"/>
      <c r="BLV2" s="18"/>
      <c r="BLW2" s="18"/>
      <c r="BLX2" s="18"/>
      <c r="BLY2" s="18"/>
      <c r="BLZ2" s="18"/>
      <c r="BMA2" s="18"/>
      <c r="BMB2" s="18"/>
      <c r="BMC2" s="18"/>
      <c r="BMD2" s="18"/>
      <c r="BME2" s="18"/>
      <c r="BMF2" s="18"/>
      <c r="BMG2" s="18"/>
      <c r="BMH2" s="18"/>
      <c r="BMI2" s="18"/>
      <c r="BMJ2" s="18"/>
      <c r="BMK2" s="18"/>
      <c r="BML2" s="18"/>
      <c r="BMM2" s="18"/>
      <c r="BMN2" s="18"/>
      <c r="BMO2" s="18"/>
      <c r="BMP2" s="18"/>
      <c r="BMQ2" s="18"/>
      <c r="BMR2" s="18"/>
      <c r="BMS2" s="18"/>
      <c r="BMT2" s="18"/>
      <c r="BMU2" s="18"/>
      <c r="BMV2" s="18"/>
      <c r="BMW2" s="18"/>
      <c r="BMX2" s="18"/>
      <c r="BMY2" s="18"/>
      <c r="BMZ2" s="18"/>
      <c r="BNA2" s="18"/>
      <c r="BNB2" s="18"/>
      <c r="BNC2" s="18"/>
      <c r="BND2" s="18"/>
      <c r="BNE2" s="18"/>
      <c r="BNF2" s="18"/>
      <c r="BNG2" s="18"/>
      <c r="BNH2" s="18"/>
      <c r="BNI2" s="18"/>
      <c r="BNJ2" s="18"/>
      <c r="BNK2" s="18"/>
      <c r="BNL2" s="18"/>
      <c r="BNM2" s="18"/>
      <c r="BNN2" s="18"/>
      <c r="BNO2" s="18"/>
      <c r="BNP2" s="18"/>
      <c r="BNQ2" s="18"/>
      <c r="BNR2" s="18"/>
      <c r="BNS2" s="18"/>
      <c r="BNT2" s="18"/>
      <c r="BNU2" s="18"/>
      <c r="BNV2" s="18"/>
      <c r="BNW2" s="18"/>
      <c r="BNX2" s="18"/>
      <c r="BNY2" s="18"/>
      <c r="BNZ2" s="18"/>
      <c r="BOA2" s="18"/>
      <c r="BOB2" s="18"/>
      <c r="BOC2" s="18"/>
      <c r="BOD2" s="18"/>
      <c r="BOE2" s="18"/>
      <c r="BOF2" s="18"/>
      <c r="BOG2" s="18"/>
      <c r="BOH2" s="18"/>
      <c r="BOI2" s="18"/>
      <c r="BOJ2" s="18"/>
      <c r="BOK2" s="18"/>
      <c r="BOL2" s="18"/>
      <c r="BOM2" s="18"/>
      <c r="BON2" s="18"/>
      <c r="BOO2" s="18"/>
      <c r="BOP2" s="18"/>
      <c r="BOQ2" s="18"/>
      <c r="BOR2" s="18"/>
      <c r="BOS2" s="18"/>
      <c r="BOT2" s="18"/>
      <c r="BOU2" s="18"/>
      <c r="BOV2" s="18"/>
      <c r="BOW2" s="18"/>
      <c r="BOX2" s="18"/>
      <c r="BOY2" s="18"/>
      <c r="BOZ2" s="18"/>
      <c r="BPA2" s="18"/>
      <c r="BPB2" s="18"/>
      <c r="BPC2" s="18"/>
      <c r="BPD2" s="18"/>
      <c r="BPE2" s="18"/>
      <c r="BPF2" s="18"/>
      <c r="BPG2" s="18"/>
      <c r="BPH2" s="18"/>
      <c r="BPI2" s="18"/>
      <c r="BPJ2" s="18"/>
      <c r="BPK2" s="18"/>
      <c r="BPL2" s="18"/>
      <c r="BPM2" s="18"/>
      <c r="BPN2" s="18"/>
      <c r="BPO2" s="18"/>
      <c r="BPP2" s="18"/>
      <c r="BPQ2" s="18"/>
      <c r="BPR2" s="18"/>
      <c r="BPS2" s="18"/>
      <c r="BPT2" s="18"/>
      <c r="BPU2" s="18"/>
      <c r="BPV2" s="18"/>
      <c r="BPW2" s="18"/>
      <c r="BPX2" s="18"/>
      <c r="BPY2" s="18"/>
      <c r="BPZ2" s="18"/>
      <c r="BQA2" s="18"/>
      <c r="BQB2" s="18"/>
      <c r="BQC2" s="18"/>
      <c r="BQD2" s="18"/>
      <c r="BQE2" s="18"/>
      <c r="BQF2" s="18"/>
      <c r="BQG2" s="18"/>
      <c r="BQH2" s="18"/>
      <c r="BQI2" s="18"/>
      <c r="BQJ2" s="18"/>
      <c r="BQK2" s="18"/>
      <c r="BQL2" s="18"/>
      <c r="BQM2" s="18"/>
      <c r="BQN2" s="18"/>
      <c r="BQO2" s="18"/>
      <c r="BQP2" s="18"/>
      <c r="BQQ2" s="18"/>
      <c r="BQR2" s="18"/>
      <c r="BQS2" s="18"/>
      <c r="BQT2" s="18"/>
      <c r="BQU2" s="18"/>
      <c r="BQV2" s="18"/>
      <c r="BQW2" s="18"/>
      <c r="BQX2" s="18"/>
      <c r="BQY2" s="18"/>
      <c r="BQZ2" s="18"/>
      <c r="BRA2" s="18"/>
      <c r="BRB2" s="18"/>
      <c r="BRC2" s="18"/>
      <c r="BRD2" s="18"/>
      <c r="BRE2" s="18"/>
      <c r="BRF2" s="18"/>
      <c r="BRG2" s="18"/>
      <c r="BRH2" s="18"/>
      <c r="BRI2" s="18"/>
      <c r="BRJ2" s="18"/>
      <c r="BRK2" s="18"/>
      <c r="BRL2" s="18"/>
      <c r="BRM2" s="18"/>
      <c r="BRN2" s="18"/>
      <c r="BRO2" s="18"/>
      <c r="BRP2" s="18"/>
      <c r="BRQ2" s="18"/>
      <c r="BRR2" s="18"/>
      <c r="BRS2" s="18"/>
      <c r="BRT2" s="18"/>
      <c r="BRU2" s="18"/>
      <c r="BRV2" s="18"/>
      <c r="BRW2" s="18"/>
      <c r="BRX2" s="18"/>
      <c r="BRY2" s="18"/>
      <c r="BRZ2" s="18"/>
      <c r="BSA2" s="18"/>
      <c r="BSB2" s="18"/>
      <c r="BSC2" s="18"/>
      <c r="BSD2" s="18"/>
      <c r="BSE2" s="18"/>
      <c r="BSF2" s="18"/>
      <c r="BSG2" s="18"/>
      <c r="BSH2" s="18"/>
      <c r="BSI2" s="18"/>
      <c r="BSJ2" s="18"/>
      <c r="BSK2" s="18"/>
      <c r="BSL2" s="18"/>
      <c r="BSM2" s="18"/>
      <c r="BSN2" s="18"/>
      <c r="BSO2" s="18"/>
      <c r="BSP2" s="18"/>
      <c r="BSQ2" s="18"/>
      <c r="BSR2" s="18"/>
      <c r="BSS2" s="18"/>
      <c r="BST2" s="18"/>
      <c r="BSU2" s="18"/>
      <c r="BSV2" s="18"/>
      <c r="BSW2" s="18"/>
      <c r="BSX2" s="18"/>
      <c r="BSY2" s="18"/>
      <c r="BSZ2" s="18"/>
      <c r="BTA2" s="18"/>
      <c r="BTB2" s="18"/>
      <c r="BTC2" s="18"/>
      <c r="BTD2" s="18"/>
      <c r="BTE2" s="18"/>
      <c r="BTF2" s="18"/>
      <c r="BTG2" s="18"/>
      <c r="BTH2" s="18"/>
      <c r="BTI2" s="18"/>
      <c r="BTJ2" s="18"/>
      <c r="BTK2" s="18"/>
      <c r="BTL2" s="18"/>
      <c r="BTM2" s="18"/>
      <c r="BTN2" s="18"/>
      <c r="BTO2" s="18"/>
      <c r="BTP2" s="18"/>
      <c r="BTQ2" s="18"/>
      <c r="BTR2" s="18"/>
      <c r="BTS2" s="18"/>
      <c r="BTT2" s="18"/>
      <c r="BTU2" s="18"/>
      <c r="BTV2" s="18"/>
      <c r="BTW2" s="18"/>
      <c r="BTX2" s="18"/>
      <c r="BTY2" s="18"/>
      <c r="BTZ2" s="18"/>
      <c r="BUA2" s="18"/>
      <c r="BUB2" s="18"/>
      <c r="BUC2" s="18"/>
      <c r="BUD2" s="18"/>
      <c r="BUE2" s="18"/>
      <c r="BUF2" s="18"/>
      <c r="BUG2" s="18"/>
      <c r="BUH2" s="18"/>
      <c r="BUI2" s="18"/>
      <c r="BUJ2" s="18"/>
      <c r="BUK2" s="18"/>
      <c r="BUL2" s="18"/>
      <c r="BUM2" s="18"/>
      <c r="BUN2" s="18"/>
      <c r="BUO2" s="18"/>
      <c r="BUP2" s="18"/>
      <c r="BUQ2" s="18"/>
      <c r="BUR2" s="18"/>
      <c r="BUS2" s="18"/>
      <c r="BUT2" s="18"/>
      <c r="BUU2" s="18"/>
      <c r="BUV2" s="18"/>
      <c r="BUW2" s="18"/>
      <c r="BUX2" s="18"/>
      <c r="BUY2" s="18"/>
      <c r="BUZ2" s="18"/>
      <c r="BVA2" s="18"/>
      <c r="BVB2" s="18"/>
      <c r="BVC2" s="18"/>
      <c r="BVD2" s="18"/>
      <c r="BVE2" s="18"/>
      <c r="BVF2" s="18"/>
      <c r="BVG2" s="18"/>
      <c r="BVH2" s="18"/>
      <c r="BVI2" s="18"/>
      <c r="BVJ2" s="18"/>
      <c r="BVK2" s="18"/>
      <c r="BVL2" s="18"/>
      <c r="BVM2" s="18"/>
      <c r="BVN2" s="18"/>
      <c r="BVO2" s="18"/>
      <c r="BVP2" s="18"/>
      <c r="BVQ2" s="18"/>
      <c r="BVR2" s="18"/>
      <c r="BVS2" s="18"/>
      <c r="BVT2" s="18"/>
      <c r="BVU2" s="18"/>
      <c r="BVV2" s="18"/>
      <c r="BVW2" s="18"/>
      <c r="BVX2" s="18"/>
      <c r="BVY2" s="18"/>
      <c r="BVZ2" s="18"/>
      <c r="BWA2" s="18"/>
      <c r="BWB2" s="18"/>
      <c r="BWC2" s="18"/>
      <c r="BWD2" s="18"/>
      <c r="BWE2" s="18"/>
      <c r="BWF2" s="18"/>
      <c r="BWG2" s="18"/>
      <c r="BWH2" s="18"/>
      <c r="BWI2" s="18"/>
      <c r="BWJ2" s="18"/>
      <c r="BWK2" s="18"/>
      <c r="BWL2" s="18"/>
      <c r="BWM2" s="18"/>
      <c r="BWN2" s="18"/>
      <c r="BWO2" s="18"/>
      <c r="BWP2" s="18"/>
      <c r="BWQ2" s="18"/>
      <c r="BWR2" s="18"/>
      <c r="BWS2" s="18"/>
      <c r="BWT2" s="18"/>
      <c r="BWU2" s="18"/>
      <c r="BWV2" s="18"/>
      <c r="BWW2" s="18"/>
      <c r="BWX2" s="18"/>
      <c r="BWY2" s="18"/>
      <c r="BWZ2" s="18"/>
      <c r="BXA2" s="18"/>
      <c r="BXB2" s="18"/>
      <c r="BXC2" s="18"/>
      <c r="BXD2" s="18"/>
      <c r="BXE2" s="18"/>
      <c r="BXF2" s="18"/>
      <c r="BXG2" s="18"/>
      <c r="BXH2" s="18"/>
      <c r="BXI2" s="18"/>
      <c r="BXJ2" s="18"/>
      <c r="BXK2" s="18"/>
      <c r="BXL2" s="18"/>
      <c r="BXM2" s="18"/>
      <c r="BXN2" s="18"/>
      <c r="BXO2" s="18"/>
      <c r="BXP2" s="18"/>
      <c r="BXQ2" s="18"/>
      <c r="BXR2" s="18"/>
      <c r="BXS2" s="18"/>
      <c r="BXT2" s="18"/>
      <c r="BXU2" s="18"/>
      <c r="BXV2" s="18"/>
      <c r="BXW2" s="18"/>
      <c r="BXX2" s="18"/>
      <c r="BXY2" s="18"/>
      <c r="BXZ2" s="18"/>
      <c r="BYA2" s="18"/>
      <c r="BYB2" s="18"/>
      <c r="BYC2" s="18"/>
      <c r="BYD2" s="18"/>
      <c r="BYE2" s="18"/>
      <c r="BYF2" s="18"/>
      <c r="BYG2" s="18"/>
      <c r="BYH2" s="18"/>
      <c r="BYI2" s="18"/>
      <c r="BYJ2" s="18"/>
      <c r="BYK2" s="18"/>
      <c r="BYL2" s="18"/>
      <c r="BYM2" s="18"/>
      <c r="BYN2" s="18"/>
      <c r="BYO2" s="18"/>
      <c r="BYP2" s="18"/>
      <c r="BYQ2" s="18"/>
      <c r="BYR2" s="18"/>
      <c r="BYS2" s="18"/>
      <c r="BYT2" s="18"/>
      <c r="BYU2" s="18"/>
      <c r="BYV2" s="18"/>
      <c r="BYW2" s="18"/>
      <c r="BYX2" s="18"/>
      <c r="BYY2" s="18"/>
      <c r="BYZ2" s="18"/>
      <c r="BZA2" s="18"/>
      <c r="BZB2" s="18"/>
      <c r="BZC2" s="18"/>
      <c r="BZD2" s="18"/>
      <c r="BZE2" s="18"/>
      <c r="BZF2" s="18"/>
      <c r="BZG2" s="18"/>
      <c r="BZH2" s="18"/>
      <c r="BZI2" s="18"/>
      <c r="BZJ2" s="18"/>
      <c r="BZK2" s="18"/>
      <c r="BZL2" s="18"/>
      <c r="BZM2" s="18"/>
      <c r="BZN2" s="18"/>
      <c r="BZO2" s="18"/>
      <c r="BZP2" s="18"/>
      <c r="BZQ2" s="18"/>
      <c r="BZR2" s="18"/>
      <c r="BZS2" s="18"/>
      <c r="BZT2" s="18"/>
      <c r="BZU2" s="18"/>
      <c r="BZV2" s="18"/>
      <c r="BZW2" s="18"/>
      <c r="BZX2" s="18"/>
      <c r="BZY2" s="18"/>
      <c r="BZZ2" s="18"/>
      <c r="CAA2" s="18"/>
      <c r="CAB2" s="18"/>
      <c r="CAC2" s="18"/>
      <c r="CAD2" s="18"/>
      <c r="CAE2" s="18"/>
      <c r="CAF2" s="18"/>
      <c r="CAG2" s="18"/>
      <c r="CAH2" s="18"/>
      <c r="CAI2" s="18"/>
      <c r="CAJ2" s="18"/>
      <c r="CAK2" s="18"/>
      <c r="CAL2" s="18"/>
      <c r="CAM2" s="18"/>
      <c r="CAN2" s="18"/>
      <c r="CAO2" s="18"/>
      <c r="CAP2" s="18"/>
      <c r="CAQ2" s="18"/>
      <c r="CAR2" s="18"/>
      <c r="CAS2" s="18"/>
      <c r="CAT2" s="18"/>
      <c r="CAU2" s="18"/>
      <c r="CAV2" s="18"/>
      <c r="CAW2" s="18"/>
      <c r="CAX2" s="18"/>
      <c r="CAY2" s="18"/>
      <c r="CAZ2" s="18"/>
      <c r="CBA2" s="18"/>
      <c r="CBB2" s="18"/>
      <c r="CBC2" s="18"/>
      <c r="CBD2" s="18"/>
      <c r="CBE2" s="18"/>
      <c r="CBF2" s="18"/>
      <c r="CBG2" s="18"/>
      <c r="CBH2" s="18"/>
      <c r="CBI2" s="18"/>
      <c r="CBJ2" s="18"/>
      <c r="CBK2" s="18"/>
      <c r="CBL2" s="18"/>
      <c r="CBM2" s="18"/>
      <c r="CBN2" s="18"/>
      <c r="CBO2" s="18"/>
      <c r="CBP2" s="18"/>
      <c r="CBQ2" s="18"/>
      <c r="CBR2" s="18"/>
      <c r="CBS2" s="18"/>
      <c r="CBT2" s="18"/>
      <c r="CBU2" s="18"/>
      <c r="CBV2" s="18"/>
      <c r="CBW2" s="18"/>
      <c r="CBX2" s="18"/>
      <c r="CBY2" s="18"/>
      <c r="CBZ2" s="18"/>
      <c r="CCA2" s="18"/>
      <c r="CCB2" s="18"/>
      <c r="CCC2" s="18"/>
      <c r="CCD2" s="18"/>
      <c r="CCE2" s="18"/>
      <c r="CCF2" s="18"/>
      <c r="CCG2" s="18"/>
      <c r="CCH2" s="18"/>
      <c r="CCI2" s="18"/>
      <c r="CCJ2" s="18"/>
      <c r="CCK2" s="18"/>
      <c r="CCL2" s="18"/>
      <c r="CCM2" s="18"/>
      <c r="CCN2" s="18"/>
      <c r="CCO2" s="18"/>
      <c r="CCP2" s="18"/>
      <c r="CCQ2" s="18"/>
      <c r="CCR2" s="18"/>
      <c r="CCS2" s="18"/>
      <c r="CCT2" s="18"/>
      <c r="CCU2" s="18"/>
      <c r="CCV2" s="18"/>
      <c r="CCW2" s="18"/>
      <c r="CCX2" s="18"/>
      <c r="CCY2" s="18"/>
      <c r="CCZ2" s="18"/>
      <c r="CDA2" s="18"/>
      <c r="CDB2" s="18"/>
      <c r="CDC2" s="18"/>
      <c r="CDD2" s="18"/>
      <c r="CDE2" s="18"/>
      <c r="CDF2" s="18"/>
      <c r="CDG2" s="18"/>
      <c r="CDH2" s="18"/>
      <c r="CDI2" s="18"/>
      <c r="CDJ2" s="18"/>
      <c r="CDK2" s="18"/>
      <c r="CDL2" s="18"/>
      <c r="CDM2" s="18"/>
      <c r="CDN2" s="18"/>
      <c r="CDO2" s="18"/>
      <c r="CDP2" s="18"/>
      <c r="CDQ2" s="18"/>
      <c r="CDR2" s="18"/>
      <c r="CDS2" s="18"/>
      <c r="CDT2" s="18"/>
      <c r="CDU2" s="18"/>
      <c r="CDV2" s="18"/>
      <c r="CDW2" s="18"/>
      <c r="CDX2" s="18"/>
      <c r="CDY2" s="18"/>
      <c r="CDZ2" s="18"/>
      <c r="CEA2" s="18"/>
      <c r="CEB2" s="18"/>
      <c r="CEC2" s="18"/>
      <c r="CED2" s="18"/>
      <c r="CEE2" s="18"/>
      <c r="CEF2" s="18"/>
      <c r="CEG2" s="18"/>
      <c r="CEH2" s="18"/>
      <c r="CEI2" s="18"/>
      <c r="CEJ2" s="18"/>
      <c r="CEK2" s="18"/>
      <c r="CEL2" s="18"/>
      <c r="CEM2" s="18"/>
      <c r="CEN2" s="18"/>
      <c r="CEO2" s="18"/>
      <c r="CEP2" s="18"/>
      <c r="CEQ2" s="18"/>
      <c r="CER2" s="18"/>
      <c r="CES2" s="18"/>
      <c r="CET2" s="18"/>
      <c r="CEU2" s="18"/>
      <c r="CEV2" s="18"/>
      <c r="CEW2" s="18"/>
      <c r="CEX2" s="18"/>
      <c r="CEY2" s="18"/>
      <c r="CEZ2" s="18"/>
      <c r="CFA2" s="18"/>
      <c r="CFB2" s="18"/>
      <c r="CFC2" s="18"/>
      <c r="CFD2" s="18"/>
      <c r="CFE2" s="18"/>
      <c r="CFF2" s="18"/>
      <c r="CFG2" s="18"/>
      <c r="CFH2" s="18"/>
      <c r="CFI2" s="18"/>
      <c r="CFJ2" s="18"/>
      <c r="CFK2" s="18"/>
      <c r="CFL2" s="18"/>
      <c r="CFM2" s="18"/>
      <c r="CFN2" s="18"/>
      <c r="CFO2" s="18"/>
      <c r="CFP2" s="18"/>
      <c r="CFQ2" s="18"/>
      <c r="CFR2" s="18"/>
      <c r="CFS2" s="18"/>
      <c r="CFT2" s="18"/>
      <c r="CFU2" s="18"/>
      <c r="CFV2" s="18"/>
      <c r="CFW2" s="18"/>
      <c r="CFX2" s="18"/>
      <c r="CFY2" s="18"/>
      <c r="CFZ2" s="18"/>
      <c r="CGA2" s="18"/>
      <c r="CGB2" s="18"/>
      <c r="CGC2" s="18"/>
      <c r="CGD2" s="18"/>
      <c r="CGE2" s="18"/>
      <c r="CGF2" s="18"/>
      <c r="CGG2" s="18"/>
      <c r="CGH2" s="18"/>
      <c r="CGI2" s="18"/>
      <c r="CGJ2" s="18"/>
      <c r="CGK2" s="18"/>
      <c r="CGL2" s="18"/>
      <c r="CGM2" s="18"/>
      <c r="CGN2" s="18"/>
      <c r="CGO2" s="18"/>
      <c r="CGP2" s="18"/>
      <c r="CGQ2" s="18"/>
      <c r="CGR2" s="18"/>
      <c r="CGS2" s="18"/>
      <c r="CGT2" s="18"/>
      <c r="CGU2" s="18"/>
      <c r="CGV2" s="18"/>
      <c r="CGW2" s="18"/>
      <c r="CGX2" s="18"/>
      <c r="CGY2" s="18"/>
      <c r="CGZ2" s="18"/>
      <c r="CHA2" s="18"/>
      <c r="CHB2" s="18"/>
      <c r="CHC2" s="18"/>
      <c r="CHD2" s="18"/>
      <c r="CHE2" s="18"/>
      <c r="CHF2" s="18"/>
      <c r="CHG2" s="18"/>
      <c r="CHH2" s="18"/>
      <c r="CHI2" s="18"/>
      <c r="CHJ2" s="18"/>
      <c r="CHK2" s="18"/>
      <c r="CHL2" s="18"/>
      <c r="CHM2" s="18"/>
      <c r="CHN2" s="18"/>
      <c r="CHO2" s="18"/>
      <c r="CHP2" s="18"/>
      <c r="CHQ2" s="18"/>
      <c r="CHR2" s="18"/>
      <c r="CHS2" s="18"/>
      <c r="CHT2" s="18"/>
      <c r="CHU2" s="18"/>
      <c r="CHV2" s="18"/>
      <c r="CHW2" s="18"/>
      <c r="CHX2" s="18"/>
      <c r="CHY2" s="18"/>
      <c r="CHZ2" s="18"/>
      <c r="CIA2" s="18"/>
      <c r="CIB2" s="18"/>
      <c r="CIC2" s="18"/>
      <c r="CID2" s="18"/>
      <c r="CIE2" s="18"/>
      <c r="CIF2" s="18"/>
      <c r="CIG2" s="18"/>
      <c r="CIH2" s="18"/>
      <c r="CII2" s="18"/>
      <c r="CIJ2" s="18"/>
      <c r="CIK2" s="18"/>
      <c r="CIL2" s="18"/>
      <c r="CIM2" s="18"/>
      <c r="CIN2" s="18"/>
      <c r="CIO2" s="18"/>
      <c r="CIP2" s="18"/>
      <c r="CIQ2" s="18"/>
      <c r="CIR2" s="18"/>
      <c r="CIS2" s="18"/>
      <c r="CIT2" s="18"/>
      <c r="CIU2" s="18"/>
      <c r="CIV2" s="18"/>
      <c r="CIW2" s="18"/>
      <c r="CIX2" s="18"/>
      <c r="CIY2" s="18"/>
      <c r="CIZ2" s="18"/>
      <c r="CJA2" s="18"/>
      <c r="CJB2" s="18"/>
      <c r="CJC2" s="18"/>
      <c r="CJD2" s="18"/>
      <c r="CJE2" s="18"/>
      <c r="CJF2" s="18"/>
      <c r="CJG2" s="18"/>
      <c r="CJH2" s="18"/>
      <c r="CJI2" s="18"/>
      <c r="CJJ2" s="18"/>
      <c r="CJK2" s="18"/>
      <c r="CJL2" s="18"/>
      <c r="CJM2" s="18"/>
      <c r="CJN2" s="18"/>
      <c r="CJO2" s="18"/>
      <c r="CJP2" s="18"/>
      <c r="CJQ2" s="18"/>
      <c r="CJR2" s="18"/>
      <c r="CJS2" s="18"/>
      <c r="CJT2" s="18"/>
      <c r="CJU2" s="18"/>
      <c r="CJV2" s="18"/>
      <c r="CJW2" s="18"/>
      <c r="CJX2" s="18"/>
      <c r="CJY2" s="18"/>
      <c r="CJZ2" s="18"/>
      <c r="CKA2" s="18"/>
      <c r="CKB2" s="18"/>
      <c r="CKC2" s="18"/>
      <c r="CKD2" s="18"/>
      <c r="CKE2" s="18"/>
      <c r="CKF2" s="18"/>
      <c r="CKG2" s="18"/>
      <c r="CKH2" s="18"/>
      <c r="CKI2" s="18"/>
      <c r="CKJ2" s="18"/>
      <c r="CKK2" s="18"/>
      <c r="CKL2" s="18"/>
      <c r="CKM2" s="18"/>
      <c r="CKN2" s="18"/>
      <c r="CKO2" s="18"/>
      <c r="CKP2" s="18"/>
      <c r="CKQ2" s="18"/>
      <c r="CKR2" s="18"/>
      <c r="CKS2" s="18"/>
      <c r="CKT2" s="18"/>
      <c r="CKU2" s="18"/>
      <c r="CKV2" s="18"/>
      <c r="CKW2" s="18"/>
      <c r="CKX2" s="18"/>
      <c r="CKY2" s="18"/>
      <c r="CKZ2" s="18"/>
      <c r="CLA2" s="18"/>
      <c r="CLB2" s="18"/>
      <c r="CLC2" s="18"/>
      <c r="CLD2" s="18"/>
      <c r="CLE2" s="18"/>
      <c r="CLF2" s="18"/>
      <c r="CLG2" s="18"/>
      <c r="CLH2" s="18"/>
      <c r="CLI2" s="18"/>
      <c r="CLJ2" s="18"/>
      <c r="CLK2" s="18"/>
      <c r="CLL2" s="18"/>
      <c r="CLM2" s="18"/>
      <c r="CLN2" s="18"/>
      <c r="CLO2" s="18"/>
      <c r="CLP2" s="18"/>
      <c r="CLQ2" s="18"/>
      <c r="CLR2" s="18"/>
      <c r="CLS2" s="18"/>
      <c r="CLT2" s="18"/>
      <c r="CLU2" s="18"/>
      <c r="CLV2" s="18"/>
      <c r="CLW2" s="18"/>
      <c r="CLX2" s="18"/>
      <c r="CLY2" s="18"/>
      <c r="CLZ2" s="18"/>
      <c r="CMA2" s="18"/>
      <c r="CMB2" s="18"/>
      <c r="CMC2" s="18"/>
      <c r="CMD2" s="18"/>
      <c r="CME2" s="18"/>
      <c r="CMF2" s="18"/>
      <c r="CMG2" s="18"/>
      <c r="CMH2" s="18"/>
      <c r="CMI2" s="18"/>
      <c r="CMJ2" s="18"/>
      <c r="CMK2" s="18"/>
      <c r="CML2" s="18"/>
      <c r="CMM2" s="18"/>
      <c r="CMN2" s="18"/>
      <c r="CMO2" s="18"/>
      <c r="CMP2" s="18"/>
      <c r="CMQ2" s="18"/>
      <c r="CMR2" s="18"/>
      <c r="CMS2" s="18"/>
      <c r="CMT2" s="18"/>
      <c r="CMU2" s="18"/>
      <c r="CMV2" s="18"/>
      <c r="CMW2" s="18"/>
      <c r="CMX2" s="18"/>
      <c r="CMY2" s="18"/>
      <c r="CMZ2" s="18"/>
      <c r="CNA2" s="18"/>
      <c r="CNB2" s="18"/>
      <c r="CNC2" s="18"/>
      <c r="CND2" s="18"/>
      <c r="CNE2" s="18"/>
      <c r="CNF2" s="18"/>
      <c r="CNG2" s="18"/>
      <c r="CNH2" s="18"/>
      <c r="CNI2" s="18"/>
      <c r="CNJ2" s="18"/>
      <c r="CNK2" s="18"/>
      <c r="CNL2" s="18"/>
      <c r="CNM2" s="18"/>
      <c r="CNN2" s="18"/>
      <c r="CNO2" s="18"/>
      <c r="CNP2" s="18"/>
      <c r="CNQ2" s="18"/>
      <c r="CNR2" s="18"/>
      <c r="CNS2" s="18"/>
      <c r="CNT2" s="18"/>
      <c r="CNU2" s="18"/>
      <c r="CNV2" s="18"/>
      <c r="CNW2" s="18"/>
      <c r="CNX2" s="18"/>
      <c r="CNY2" s="18"/>
      <c r="CNZ2" s="18"/>
      <c r="COA2" s="18"/>
      <c r="COB2" s="18"/>
      <c r="COC2" s="18"/>
      <c r="COD2" s="18"/>
      <c r="COE2" s="18"/>
      <c r="COF2" s="18"/>
      <c r="COG2" s="18"/>
      <c r="COH2" s="18"/>
      <c r="COI2" s="18"/>
      <c r="COJ2" s="18"/>
      <c r="COK2" s="18"/>
      <c r="COL2" s="18"/>
      <c r="COM2" s="18"/>
      <c r="CON2" s="18"/>
      <c r="COO2" s="18"/>
      <c r="COP2" s="18"/>
      <c r="COQ2" s="18"/>
      <c r="COR2" s="18"/>
      <c r="COS2" s="18"/>
      <c r="COT2" s="18"/>
      <c r="COU2" s="18"/>
      <c r="COV2" s="18"/>
      <c r="COW2" s="18"/>
      <c r="COX2" s="18"/>
      <c r="COY2" s="18"/>
      <c r="COZ2" s="18"/>
      <c r="CPA2" s="18"/>
      <c r="CPB2" s="18"/>
      <c r="CPC2" s="18"/>
      <c r="CPD2" s="18"/>
      <c r="CPE2" s="18"/>
      <c r="CPF2" s="18"/>
      <c r="CPG2" s="18"/>
      <c r="CPH2" s="18"/>
      <c r="CPI2" s="18"/>
      <c r="CPJ2" s="18"/>
      <c r="CPK2" s="18"/>
      <c r="CPL2" s="18"/>
      <c r="CPM2" s="18"/>
      <c r="CPN2" s="18"/>
      <c r="CPO2" s="18"/>
      <c r="CPP2" s="18"/>
      <c r="CPQ2" s="18"/>
      <c r="CPR2" s="18"/>
      <c r="CPS2" s="18"/>
      <c r="CPT2" s="18"/>
      <c r="CPU2" s="18"/>
      <c r="CPV2" s="18"/>
      <c r="CPW2" s="18"/>
      <c r="CPX2" s="18"/>
      <c r="CPY2" s="18"/>
      <c r="CPZ2" s="18"/>
      <c r="CQA2" s="18"/>
      <c r="CQB2" s="18"/>
      <c r="CQC2" s="18"/>
      <c r="CQD2" s="18"/>
      <c r="CQE2" s="18"/>
      <c r="CQF2" s="18"/>
      <c r="CQG2" s="18"/>
      <c r="CQH2" s="18"/>
      <c r="CQI2" s="18"/>
      <c r="CQJ2" s="18"/>
      <c r="CQK2" s="18"/>
      <c r="CQL2" s="18"/>
      <c r="CQM2" s="18"/>
      <c r="CQN2" s="18"/>
      <c r="CQO2" s="18"/>
      <c r="CQP2" s="18"/>
      <c r="CQQ2" s="18"/>
      <c r="CQR2" s="18"/>
      <c r="CQS2" s="18"/>
      <c r="CQT2" s="18"/>
      <c r="CQU2" s="18"/>
      <c r="CQV2" s="18"/>
      <c r="CQW2" s="18"/>
      <c r="CQX2" s="18"/>
      <c r="CQY2" s="18"/>
      <c r="CQZ2" s="18"/>
      <c r="CRA2" s="18"/>
      <c r="CRB2" s="18"/>
      <c r="CRC2" s="18"/>
      <c r="CRD2" s="18"/>
      <c r="CRE2" s="18"/>
      <c r="CRF2" s="18"/>
      <c r="CRG2" s="18"/>
      <c r="CRH2" s="18"/>
      <c r="CRI2" s="18"/>
      <c r="CRJ2" s="18"/>
      <c r="CRK2" s="18"/>
      <c r="CRL2" s="18"/>
      <c r="CRM2" s="18"/>
      <c r="CRN2" s="18"/>
      <c r="CRO2" s="18"/>
      <c r="CRP2" s="18"/>
      <c r="CRQ2" s="18"/>
      <c r="CRR2" s="18"/>
      <c r="CRS2" s="18"/>
      <c r="CRT2" s="18"/>
      <c r="CRU2" s="18"/>
      <c r="CRV2" s="18"/>
      <c r="CRW2" s="18"/>
      <c r="CRX2" s="18"/>
      <c r="CRY2" s="18"/>
      <c r="CRZ2" s="18"/>
      <c r="CSA2" s="18"/>
      <c r="CSB2" s="18"/>
      <c r="CSC2" s="18"/>
      <c r="CSD2" s="18"/>
      <c r="CSE2" s="18"/>
      <c r="CSF2" s="18"/>
      <c r="CSG2" s="18"/>
      <c r="CSH2" s="18"/>
      <c r="CSI2" s="18"/>
      <c r="CSJ2" s="18"/>
      <c r="CSK2" s="18"/>
      <c r="CSL2" s="18"/>
      <c r="CSM2" s="18"/>
      <c r="CSN2" s="18"/>
      <c r="CSO2" s="18"/>
      <c r="CSP2" s="18"/>
      <c r="CSQ2" s="18"/>
      <c r="CSR2" s="18"/>
      <c r="CSS2" s="18"/>
      <c r="CST2" s="18"/>
      <c r="CSU2" s="18"/>
      <c r="CSV2" s="18"/>
      <c r="CSW2" s="18"/>
      <c r="CSX2" s="18"/>
      <c r="CSY2" s="18"/>
      <c r="CSZ2" s="18"/>
      <c r="CTA2" s="18"/>
      <c r="CTB2" s="18"/>
      <c r="CTC2" s="18"/>
      <c r="CTD2" s="18"/>
      <c r="CTE2" s="18"/>
      <c r="CTF2" s="18"/>
      <c r="CTG2" s="18"/>
      <c r="CTH2" s="18"/>
      <c r="CTI2" s="18"/>
      <c r="CTJ2" s="18"/>
      <c r="CTK2" s="18"/>
      <c r="CTL2" s="18"/>
      <c r="CTM2" s="18"/>
      <c r="CTN2" s="18"/>
      <c r="CTO2" s="18"/>
      <c r="CTP2" s="18"/>
      <c r="CTQ2" s="18"/>
      <c r="CTR2" s="18"/>
      <c r="CTS2" s="18"/>
      <c r="CTT2" s="18"/>
      <c r="CTU2" s="18"/>
      <c r="CTV2" s="18"/>
      <c r="CTW2" s="18"/>
      <c r="CTX2" s="18"/>
      <c r="CTY2" s="18"/>
      <c r="CTZ2" s="18"/>
      <c r="CUA2" s="18"/>
      <c r="CUB2" s="18"/>
      <c r="CUC2" s="18"/>
      <c r="CUD2" s="18"/>
      <c r="CUE2" s="18"/>
      <c r="CUF2" s="18"/>
      <c r="CUG2" s="18"/>
      <c r="CUH2" s="18"/>
      <c r="CUI2" s="18"/>
      <c r="CUJ2" s="18"/>
      <c r="CUK2" s="18"/>
      <c r="CUL2" s="18"/>
      <c r="CUM2" s="18"/>
      <c r="CUN2" s="18"/>
      <c r="CUO2" s="18"/>
      <c r="CUP2" s="18"/>
      <c r="CUQ2" s="18"/>
      <c r="CUR2" s="18"/>
      <c r="CUS2" s="18"/>
      <c r="CUT2" s="18"/>
      <c r="CUU2" s="18"/>
      <c r="CUV2" s="18"/>
      <c r="CUW2" s="18"/>
      <c r="CUX2" s="18"/>
      <c r="CUY2" s="18"/>
      <c r="CUZ2" s="18"/>
      <c r="CVA2" s="18"/>
      <c r="CVB2" s="18"/>
      <c r="CVC2" s="18"/>
      <c r="CVD2" s="18"/>
      <c r="CVE2" s="18"/>
      <c r="CVF2" s="18"/>
      <c r="CVG2" s="18"/>
      <c r="CVH2" s="18"/>
      <c r="CVI2" s="18"/>
      <c r="CVJ2" s="18"/>
      <c r="CVK2" s="18"/>
      <c r="CVL2" s="18"/>
      <c r="CVM2" s="18"/>
      <c r="CVN2" s="18"/>
      <c r="CVO2" s="18"/>
      <c r="CVP2" s="18"/>
      <c r="CVQ2" s="18"/>
      <c r="CVR2" s="18"/>
      <c r="CVS2" s="18"/>
      <c r="CVT2" s="18"/>
      <c r="CVU2" s="18"/>
      <c r="CVV2" s="18"/>
      <c r="CVW2" s="18"/>
      <c r="CVX2" s="18"/>
      <c r="CVY2" s="18"/>
      <c r="CVZ2" s="18"/>
      <c r="CWA2" s="18"/>
      <c r="CWB2" s="18"/>
      <c r="CWC2" s="18"/>
      <c r="CWD2" s="18"/>
      <c r="CWE2" s="18"/>
      <c r="CWF2" s="18"/>
      <c r="CWG2" s="18"/>
      <c r="CWH2" s="18"/>
      <c r="CWI2" s="18"/>
      <c r="CWJ2" s="18"/>
      <c r="CWK2" s="18"/>
      <c r="CWL2" s="18"/>
      <c r="CWM2" s="18"/>
      <c r="CWN2" s="18"/>
      <c r="CWO2" s="18"/>
      <c r="CWP2" s="18"/>
      <c r="CWQ2" s="18"/>
      <c r="CWR2" s="18"/>
      <c r="CWS2" s="18"/>
      <c r="CWT2" s="18"/>
      <c r="CWU2" s="18"/>
      <c r="CWV2" s="18"/>
      <c r="CWW2" s="18"/>
      <c r="CWX2" s="18"/>
      <c r="CWY2" s="18"/>
      <c r="CWZ2" s="18"/>
      <c r="CXA2" s="18"/>
      <c r="CXB2" s="18"/>
      <c r="CXC2" s="18"/>
      <c r="CXD2" s="18"/>
      <c r="CXE2" s="18"/>
      <c r="CXF2" s="18"/>
      <c r="CXG2" s="18"/>
      <c r="CXH2" s="18"/>
      <c r="CXI2" s="18"/>
      <c r="CXJ2" s="18"/>
      <c r="CXK2" s="18"/>
      <c r="CXL2" s="18"/>
      <c r="CXM2" s="18"/>
      <c r="CXN2" s="18"/>
      <c r="CXO2" s="18"/>
      <c r="CXP2" s="18"/>
      <c r="CXQ2" s="18"/>
      <c r="CXR2" s="18"/>
      <c r="CXS2" s="18"/>
      <c r="CXT2" s="18"/>
      <c r="CXU2" s="18"/>
      <c r="CXV2" s="18"/>
      <c r="CXW2" s="18"/>
      <c r="CXX2" s="18"/>
      <c r="CXY2" s="18"/>
      <c r="CXZ2" s="18"/>
      <c r="CYA2" s="18"/>
      <c r="CYB2" s="18"/>
      <c r="CYC2" s="18"/>
      <c r="CYD2" s="18"/>
      <c r="CYE2" s="18"/>
      <c r="CYF2" s="18"/>
      <c r="CYG2" s="18"/>
      <c r="CYH2" s="18"/>
      <c r="CYI2" s="18"/>
      <c r="CYJ2" s="18"/>
      <c r="CYK2" s="18"/>
      <c r="CYL2" s="18"/>
      <c r="CYM2" s="18"/>
      <c r="CYN2" s="18"/>
      <c r="CYO2" s="18"/>
      <c r="CYP2" s="18"/>
      <c r="CYQ2" s="18"/>
      <c r="CYR2" s="18"/>
      <c r="CYS2" s="18"/>
      <c r="CYT2" s="18"/>
      <c r="CYU2" s="18"/>
      <c r="CYV2" s="18"/>
      <c r="CYW2" s="18"/>
      <c r="CYX2" s="18"/>
      <c r="CYY2" s="18"/>
      <c r="CYZ2" s="18"/>
      <c r="CZA2" s="18"/>
      <c r="CZB2" s="18"/>
      <c r="CZC2" s="18"/>
      <c r="CZD2" s="18"/>
      <c r="CZE2" s="18"/>
      <c r="CZF2" s="18"/>
      <c r="CZG2" s="18"/>
      <c r="CZH2" s="18"/>
      <c r="CZI2" s="18"/>
      <c r="CZJ2" s="18"/>
      <c r="CZK2" s="18"/>
      <c r="CZL2" s="18"/>
      <c r="CZM2" s="18"/>
      <c r="CZN2" s="18"/>
      <c r="CZO2" s="18"/>
      <c r="CZP2" s="18"/>
      <c r="CZQ2" s="18"/>
      <c r="CZR2" s="18"/>
      <c r="CZS2" s="18"/>
      <c r="CZT2" s="18"/>
      <c r="CZU2" s="18"/>
      <c r="CZV2" s="18"/>
      <c r="CZW2" s="18"/>
      <c r="CZX2" s="18"/>
      <c r="CZY2" s="18"/>
      <c r="CZZ2" s="18"/>
      <c r="DAA2" s="18"/>
      <c r="DAB2" s="18"/>
      <c r="DAC2" s="18"/>
      <c r="DAD2" s="18"/>
      <c r="DAE2" s="18"/>
      <c r="DAF2" s="18"/>
      <c r="DAG2" s="18"/>
      <c r="DAH2" s="18"/>
      <c r="DAI2" s="18"/>
      <c r="DAJ2" s="18"/>
      <c r="DAK2" s="18"/>
      <c r="DAL2" s="18"/>
      <c r="DAM2" s="18"/>
      <c r="DAN2" s="18"/>
      <c r="DAO2" s="18"/>
      <c r="DAP2" s="18"/>
      <c r="DAQ2" s="18"/>
      <c r="DAR2" s="18"/>
      <c r="DAS2" s="18"/>
      <c r="DAT2" s="18"/>
      <c r="DAU2" s="18"/>
      <c r="DAV2" s="18"/>
      <c r="DAW2" s="18"/>
      <c r="DAX2" s="18"/>
      <c r="DAY2" s="18"/>
      <c r="DAZ2" s="18"/>
      <c r="DBA2" s="18"/>
      <c r="DBB2" s="18"/>
      <c r="DBC2" s="18"/>
      <c r="DBD2" s="18"/>
      <c r="DBE2" s="18"/>
      <c r="DBF2" s="18"/>
      <c r="DBG2" s="18"/>
      <c r="DBH2" s="18"/>
      <c r="DBI2" s="18"/>
      <c r="DBJ2" s="18"/>
      <c r="DBK2" s="18"/>
      <c r="DBL2" s="18"/>
      <c r="DBM2" s="18"/>
      <c r="DBN2" s="18"/>
      <c r="DBO2" s="18"/>
      <c r="DBP2" s="18"/>
      <c r="DBQ2" s="18"/>
      <c r="DBR2" s="18"/>
      <c r="DBS2" s="18"/>
      <c r="DBT2" s="18"/>
      <c r="DBU2" s="18"/>
      <c r="DBV2" s="18"/>
      <c r="DBW2" s="18"/>
      <c r="DBX2" s="18"/>
      <c r="DBY2" s="18"/>
      <c r="DBZ2" s="18"/>
      <c r="DCA2" s="18"/>
      <c r="DCB2" s="18"/>
      <c r="DCC2" s="18"/>
      <c r="DCD2" s="18"/>
      <c r="DCE2" s="18"/>
      <c r="DCF2" s="18"/>
      <c r="DCG2" s="18"/>
      <c r="DCH2" s="18"/>
      <c r="DCI2" s="18"/>
      <c r="DCJ2" s="18"/>
      <c r="DCK2" s="18"/>
      <c r="DCL2" s="18"/>
      <c r="DCM2" s="18"/>
      <c r="DCN2" s="18"/>
      <c r="DCO2" s="18"/>
      <c r="DCP2" s="18"/>
      <c r="DCQ2" s="18"/>
      <c r="DCR2" s="18"/>
      <c r="DCS2" s="18"/>
      <c r="DCT2" s="18"/>
      <c r="DCU2" s="18"/>
      <c r="DCV2" s="18"/>
      <c r="DCW2" s="18"/>
      <c r="DCX2" s="18"/>
      <c r="DCY2" s="18"/>
      <c r="DCZ2" s="18"/>
      <c r="DDA2" s="18"/>
      <c r="DDB2" s="18"/>
      <c r="DDC2" s="18"/>
      <c r="DDD2" s="18"/>
      <c r="DDE2" s="18"/>
      <c r="DDF2" s="18"/>
      <c r="DDG2" s="18"/>
      <c r="DDH2" s="18"/>
      <c r="DDI2" s="18"/>
      <c r="DDJ2" s="18"/>
      <c r="DDK2" s="18"/>
      <c r="DDL2" s="18"/>
      <c r="DDM2" s="18"/>
      <c r="DDN2" s="18"/>
      <c r="DDO2" s="18"/>
      <c r="DDP2" s="18"/>
      <c r="DDQ2" s="18"/>
      <c r="DDR2" s="18"/>
      <c r="DDS2" s="18"/>
      <c r="DDT2" s="18"/>
      <c r="DDU2" s="18"/>
      <c r="DDV2" s="18"/>
      <c r="DDW2" s="18"/>
      <c r="DDX2" s="18"/>
      <c r="DDY2" s="18"/>
      <c r="DDZ2" s="18"/>
      <c r="DEA2" s="18"/>
      <c r="DEB2" s="18"/>
      <c r="DEC2" s="18"/>
      <c r="DED2" s="18"/>
      <c r="DEE2" s="18"/>
      <c r="DEF2" s="18"/>
      <c r="DEG2" s="18"/>
      <c r="DEH2" s="18"/>
      <c r="DEI2" s="18"/>
      <c r="DEJ2" s="18"/>
      <c r="DEK2" s="18"/>
      <c r="DEL2" s="18"/>
      <c r="DEM2" s="18"/>
      <c r="DEN2" s="18"/>
      <c r="DEO2" s="18"/>
      <c r="DEP2" s="18"/>
      <c r="DEQ2" s="18"/>
      <c r="DER2" s="18"/>
      <c r="DES2" s="18"/>
      <c r="DET2" s="18"/>
      <c r="DEU2" s="18"/>
      <c r="DEV2" s="18"/>
      <c r="DEW2" s="18"/>
      <c r="DEX2" s="18"/>
      <c r="DEY2" s="18"/>
      <c r="DEZ2" s="18"/>
      <c r="DFA2" s="18"/>
      <c r="DFB2" s="18"/>
      <c r="DFC2" s="18"/>
      <c r="DFD2" s="18"/>
      <c r="DFE2" s="18"/>
      <c r="DFF2" s="18"/>
      <c r="DFG2" s="18"/>
      <c r="DFH2" s="18"/>
      <c r="DFI2" s="18"/>
      <c r="DFJ2" s="18"/>
      <c r="DFK2" s="18"/>
      <c r="DFL2" s="18"/>
      <c r="DFM2" s="18"/>
      <c r="DFN2" s="18"/>
      <c r="DFO2" s="18"/>
      <c r="DFP2" s="18"/>
      <c r="DFQ2" s="18"/>
      <c r="DFR2" s="18"/>
      <c r="DFS2" s="18"/>
      <c r="DFT2" s="18"/>
      <c r="DFU2" s="18"/>
      <c r="DFV2" s="18"/>
      <c r="DFW2" s="18"/>
      <c r="DFX2" s="18"/>
      <c r="DFY2" s="18"/>
      <c r="DFZ2" s="18"/>
      <c r="DGA2" s="18"/>
      <c r="DGB2" s="18"/>
      <c r="DGC2" s="18"/>
      <c r="DGD2" s="18"/>
      <c r="DGE2" s="18"/>
      <c r="DGF2" s="18"/>
      <c r="DGG2" s="18"/>
      <c r="DGH2" s="18"/>
      <c r="DGI2" s="18"/>
      <c r="DGJ2" s="18"/>
      <c r="DGK2" s="18"/>
      <c r="DGL2" s="18"/>
      <c r="DGM2" s="18"/>
      <c r="DGN2" s="18"/>
      <c r="DGO2" s="18"/>
      <c r="DGP2" s="18"/>
      <c r="DGQ2" s="18"/>
      <c r="DGR2" s="18"/>
      <c r="DGS2" s="18"/>
      <c r="DGT2" s="18"/>
      <c r="DGU2" s="18"/>
      <c r="DGV2" s="18"/>
      <c r="DGW2" s="18"/>
      <c r="DGX2" s="18"/>
      <c r="DGY2" s="18"/>
      <c r="DGZ2" s="18"/>
      <c r="DHA2" s="18"/>
      <c r="DHB2" s="18"/>
      <c r="DHC2" s="18"/>
      <c r="DHD2" s="18"/>
      <c r="DHE2" s="18"/>
      <c r="DHF2" s="18"/>
      <c r="DHG2" s="18"/>
      <c r="DHH2" s="18"/>
      <c r="DHI2" s="18"/>
      <c r="DHJ2" s="18"/>
      <c r="DHK2" s="18"/>
      <c r="DHL2" s="18"/>
      <c r="DHM2" s="18"/>
      <c r="DHN2" s="18"/>
      <c r="DHO2" s="18"/>
      <c r="DHP2" s="18"/>
      <c r="DHQ2" s="18"/>
      <c r="DHR2" s="18"/>
      <c r="DHS2" s="18"/>
      <c r="DHT2" s="18"/>
      <c r="DHU2" s="18"/>
      <c r="DHV2" s="18"/>
      <c r="DHW2" s="18"/>
      <c r="DHX2" s="18"/>
      <c r="DHY2" s="18"/>
      <c r="DHZ2" s="18"/>
      <c r="DIA2" s="18"/>
      <c r="DIB2" s="18"/>
      <c r="DIC2" s="18"/>
      <c r="DID2" s="18"/>
      <c r="DIE2" s="18"/>
      <c r="DIF2" s="18"/>
      <c r="DIG2" s="18"/>
      <c r="DIH2" s="18"/>
      <c r="DII2" s="18"/>
      <c r="DIJ2" s="18"/>
      <c r="DIK2" s="18"/>
      <c r="DIL2" s="18"/>
      <c r="DIM2" s="18"/>
      <c r="DIN2" s="18"/>
      <c r="DIO2" s="18"/>
      <c r="DIP2" s="18"/>
      <c r="DIQ2" s="18"/>
      <c r="DIR2" s="18"/>
      <c r="DIS2" s="18"/>
      <c r="DIT2" s="18"/>
      <c r="DIU2" s="18"/>
      <c r="DIV2" s="18"/>
      <c r="DIW2" s="18"/>
      <c r="DIX2" s="18"/>
      <c r="DIY2" s="18"/>
      <c r="DIZ2" s="18"/>
      <c r="DJA2" s="18"/>
      <c r="DJB2" s="18"/>
      <c r="DJC2" s="18"/>
      <c r="DJD2" s="18"/>
      <c r="DJE2" s="18"/>
      <c r="DJF2" s="18"/>
      <c r="DJG2" s="18"/>
      <c r="DJH2" s="18"/>
      <c r="DJI2" s="18"/>
      <c r="DJJ2" s="18"/>
      <c r="DJK2" s="18"/>
      <c r="DJL2" s="18"/>
      <c r="DJM2" s="18"/>
      <c r="DJN2" s="18"/>
      <c r="DJO2" s="18"/>
      <c r="DJP2" s="18"/>
      <c r="DJQ2" s="18"/>
      <c r="DJR2" s="18"/>
      <c r="DJS2" s="18"/>
      <c r="DJT2" s="18"/>
      <c r="DJU2" s="18"/>
      <c r="DJV2" s="18"/>
      <c r="DJW2" s="18"/>
      <c r="DJX2" s="18"/>
      <c r="DJY2" s="18"/>
      <c r="DJZ2" s="18"/>
      <c r="DKA2" s="18"/>
      <c r="DKB2" s="18"/>
      <c r="DKC2" s="18"/>
      <c r="DKD2" s="18"/>
      <c r="DKE2" s="18"/>
      <c r="DKF2" s="18"/>
      <c r="DKG2" s="18"/>
      <c r="DKH2" s="18"/>
      <c r="DKI2" s="18"/>
      <c r="DKJ2" s="18"/>
      <c r="DKK2" s="18"/>
      <c r="DKL2" s="18"/>
      <c r="DKM2" s="18"/>
      <c r="DKN2" s="18"/>
      <c r="DKO2" s="18"/>
      <c r="DKP2" s="18"/>
      <c r="DKQ2" s="18"/>
      <c r="DKR2" s="18"/>
      <c r="DKS2" s="18"/>
      <c r="DKT2" s="18"/>
      <c r="DKU2" s="18"/>
      <c r="DKV2" s="18"/>
      <c r="DKW2" s="18"/>
      <c r="DKX2" s="18"/>
      <c r="DKY2" s="18"/>
      <c r="DKZ2" s="18"/>
      <c r="DLA2" s="18"/>
      <c r="DLB2" s="18"/>
      <c r="DLC2" s="18"/>
      <c r="DLD2" s="18"/>
      <c r="DLE2" s="18"/>
      <c r="DLF2" s="18"/>
      <c r="DLG2" s="18"/>
      <c r="DLH2" s="18"/>
      <c r="DLI2" s="18"/>
      <c r="DLJ2" s="18"/>
      <c r="DLK2" s="18"/>
      <c r="DLL2" s="18"/>
      <c r="DLM2" s="18"/>
      <c r="DLN2" s="18"/>
      <c r="DLO2" s="18"/>
      <c r="DLP2" s="18"/>
      <c r="DLQ2" s="18"/>
      <c r="DLR2" s="18"/>
      <c r="DLS2" s="18"/>
      <c r="DLT2" s="18"/>
      <c r="DLU2" s="18"/>
      <c r="DLV2" s="18"/>
      <c r="DLW2" s="18"/>
      <c r="DLX2" s="18"/>
      <c r="DLY2" s="18"/>
      <c r="DLZ2" s="18"/>
      <c r="DMA2" s="18"/>
      <c r="DMB2" s="18"/>
      <c r="DMC2" s="18"/>
      <c r="DMD2" s="18"/>
      <c r="DME2" s="18"/>
      <c r="DMF2" s="18"/>
      <c r="DMG2" s="18"/>
      <c r="DMH2" s="18"/>
      <c r="DMI2" s="18"/>
      <c r="DMJ2" s="18"/>
      <c r="DMK2" s="18"/>
      <c r="DML2" s="18"/>
      <c r="DMM2" s="18"/>
      <c r="DMN2" s="18"/>
      <c r="DMO2" s="18"/>
      <c r="DMP2" s="18"/>
      <c r="DMQ2" s="18"/>
      <c r="DMR2" s="18"/>
      <c r="DMS2" s="18"/>
      <c r="DMT2" s="18"/>
      <c r="DMU2" s="18"/>
      <c r="DMV2" s="18"/>
      <c r="DMW2" s="18"/>
      <c r="DMX2" s="18"/>
      <c r="DMY2" s="18"/>
      <c r="DMZ2" s="18"/>
      <c r="DNA2" s="18"/>
      <c r="DNB2" s="18"/>
      <c r="DNC2" s="18"/>
      <c r="DND2" s="18"/>
      <c r="DNE2" s="18"/>
      <c r="DNF2" s="18"/>
      <c r="DNG2" s="18"/>
      <c r="DNH2" s="18"/>
      <c r="DNI2" s="18"/>
      <c r="DNJ2" s="18"/>
      <c r="DNK2" s="18"/>
      <c r="DNL2" s="18"/>
      <c r="DNM2" s="18"/>
      <c r="DNN2" s="18"/>
      <c r="DNO2" s="18"/>
      <c r="DNP2" s="18"/>
      <c r="DNQ2" s="18"/>
      <c r="DNR2" s="18"/>
      <c r="DNS2" s="18"/>
      <c r="DNT2" s="18"/>
      <c r="DNU2" s="18"/>
      <c r="DNV2" s="18"/>
      <c r="DNW2" s="18"/>
      <c r="DNX2" s="18"/>
      <c r="DNY2" s="18"/>
      <c r="DNZ2" s="18"/>
      <c r="DOA2" s="18"/>
      <c r="DOB2" s="18"/>
      <c r="DOC2" s="18"/>
      <c r="DOD2" s="18"/>
      <c r="DOE2" s="18"/>
      <c r="DOF2" s="18"/>
      <c r="DOG2" s="18"/>
      <c r="DOH2" s="18"/>
      <c r="DOI2" s="18"/>
      <c r="DOJ2" s="18"/>
      <c r="DOK2" s="18"/>
      <c r="DOL2" s="18"/>
      <c r="DOM2" s="18"/>
      <c r="DON2" s="18"/>
      <c r="DOO2" s="18"/>
      <c r="DOP2" s="18"/>
      <c r="DOQ2" s="18"/>
      <c r="DOR2" s="18"/>
      <c r="DOS2" s="18"/>
      <c r="DOT2" s="18"/>
      <c r="DOU2" s="18"/>
      <c r="DOV2" s="18"/>
      <c r="DOW2" s="18"/>
      <c r="DOX2" s="18"/>
      <c r="DOY2" s="18"/>
      <c r="DOZ2" s="18"/>
      <c r="DPA2" s="18"/>
      <c r="DPB2" s="18"/>
      <c r="DPC2" s="18"/>
      <c r="DPD2" s="18"/>
      <c r="DPE2" s="18"/>
      <c r="DPF2" s="18"/>
      <c r="DPG2" s="18"/>
      <c r="DPH2" s="18"/>
      <c r="DPI2" s="18"/>
      <c r="DPJ2" s="18"/>
      <c r="DPK2" s="18"/>
      <c r="DPL2" s="18"/>
      <c r="DPM2" s="18"/>
      <c r="DPN2" s="18"/>
      <c r="DPO2" s="18"/>
      <c r="DPP2" s="18"/>
      <c r="DPQ2" s="18"/>
      <c r="DPR2" s="18"/>
      <c r="DPS2" s="18"/>
      <c r="DPT2" s="18"/>
      <c r="DPU2" s="18"/>
      <c r="DPV2" s="18"/>
      <c r="DPW2" s="18"/>
      <c r="DPX2" s="18"/>
      <c r="DPY2" s="18"/>
      <c r="DPZ2" s="18"/>
      <c r="DQA2" s="18"/>
      <c r="DQB2" s="18"/>
      <c r="DQC2" s="18"/>
      <c r="DQD2" s="18"/>
      <c r="DQE2" s="18"/>
      <c r="DQF2" s="18"/>
      <c r="DQG2" s="18"/>
      <c r="DQH2" s="18"/>
      <c r="DQI2" s="18"/>
      <c r="DQJ2" s="18"/>
      <c r="DQK2" s="18"/>
      <c r="DQL2" s="18"/>
      <c r="DQM2" s="18"/>
      <c r="DQN2" s="18"/>
      <c r="DQO2" s="18"/>
      <c r="DQP2" s="18"/>
      <c r="DQQ2" s="18"/>
      <c r="DQR2" s="18"/>
      <c r="DQS2" s="18"/>
      <c r="DQT2" s="18"/>
      <c r="DQU2" s="18"/>
      <c r="DQV2" s="18"/>
      <c r="DQW2" s="18"/>
      <c r="DQX2" s="18"/>
      <c r="DQY2" s="18"/>
      <c r="DQZ2" s="18"/>
      <c r="DRA2" s="18"/>
      <c r="DRB2" s="18"/>
      <c r="DRC2" s="18"/>
      <c r="DRD2" s="18"/>
      <c r="DRE2" s="18"/>
      <c r="DRF2" s="18"/>
      <c r="DRG2" s="18"/>
      <c r="DRH2" s="18"/>
      <c r="DRI2" s="18"/>
      <c r="DRJ2" s="18"/>
      <c r="DRK2" s="18"/>
      <c r="DRL2" s="18"/>
      <c r="DRM2" s="18"/>
      <c r="DRN2" s="18"/>
      <c r="DRO2" s="18"/>
      <c r="DRP2" s="18"/>
      <c r="DRQ2" s="18"/>
      <c r="DRR2" s="18"/>
      <c r="DRS2" s="18"/>
      <c r="DRT2" s="18"/>
      <c r="DRU2" s="18"/>
      <c r="DRV2" s="18"/>
      <c r="DRW2" s="18"/>
      <c r="DRX2" s="18"/>
      <c r="DRY2" s="18"/>
      <c r="DRZ2" s="18"/>
      <c r="DSA2" s="18"/>
      <c r="DSB2" s="18"/>
      <c r="DSC2" s="18"/>
      <c r="DSD2" s="18"/>
      <c r="DSE2" s="18"/>
      <c r="DSF2" s="18"/>
      <c r="DSG2" s="18"/>
      <c r="DSH2" s="18"/>
      <c r="DSI2" s="18"/>
      <c r="DSJ2" s="18"/>
      <c r="DSK2" s="18"/>
      <c r="DSL2" s="18"/>
      <c r="DSM2" s="18"/>
      <c r="DSN2" s="18"/>
      <c r="DSO2" s="18"/>
      <c r="DSP2" s="18"/>
      <c r="DSQ2" s="18"/>
      <c r="DSR2" s="18"/>
      <c r="DSS2" s="18"/>
      <c r="DST2" s="18"/>
      <c r="DSU2" s="18"/>
      <c r="DSV2" s="18"/>
      <c r="DSW2" s="18"/>
      <c r="DSX2" s="18"/>
      <c r="DSY2" s="18"/>
      <c r="DSZ2" s="18"/>
      <c r="DTA2" s="18"/>
      <c r="DTB2" s="18"/>
      <c r="DTC2" s="18"/>
      <c r="DTD2" s="18"/>
      <c r="DTE2" s="18"/>
      <c r="DTF2" s="18"/>
      <c r="DTG2" s="18"/>
      <c r="DTH2" s="18"/>
      <c r="DTI2" s="18"/>
      <c r="DTJ2" s="18"/>
      <c r="DTK2" s="18"/>
      <c r="DTL2" s="18"/>
      <c r="DTM2" s="18"/>
      <c r="DTN2" s="18"/>
      <c r="DTO2" s="18"/>
      <c r="DTP2" s="18"/>
      <c r="DTQ2" s="18"/>
      <c r="DTR2" s="18"/>
      <c r="DTS2" s="18"/>
      <c r="DTT2" s="18"/>
      <c r="DTU2" s="18"/>
      <c r="DTV2" s="18"/>
      <c r="DTW2" s="18"/>
      <c r="DTX2" s="18"/>
      <c r="DTY2" s="18"/>
      <c r="DTZ2" s="18"/>
      <c r="DUA2" s="18"/>
      <c r="DUB2" s="18"/>
      <c r="DUC2" s="18"/>
      <c r="DUD2" s="18"/>
      <c r="DUE2" s="18"/>
      <c r="DUF2" s="18"/>
      <c r="DUG2" s="18"/>
      <c r="DUH2" s="18"/>
      <c r="DUI2" s="18"/>
      <c r="DUJ2" s="18"/>
      <c r="DUK2" s="18"/>
      <c r="DUL2" s="18"/>
      <c r="DUM2" s="18"/>
      <c r="DUN2" s="18"/>
      <c r="DUO2" s="18"/>
      <c r="DUP2" s="18"/>
      <c r="DUQ2" s="18"/>
      <c r="DUR2" s="18"/>
      <c r="DUS2" s="18"/>
      <c r="DUT2" s="18"/>
      <c r="DUU2" s="18"/>
      <c r="DUV2" s="18"/>
      <c r="DUW2" s="18"/>
      <c r="DUX2" s="18"/>
      <c r="DUY2" s="18"/>
      <c r="DUZ2" s="18"/>
      <c r="DVA2" s="18"/>
      <c r="DVB2" s="18"/>
      <c r="DVC2" s="18"/>
      <c r="DVD2" s="18"/>
      <c r="DVE2" s="18"/>
      <c r="DVF2" s="18"/>
      <c r="DVG2" s="18"/>
      <c r="DVH2" s="18"/>
      <c r="DVI2" s="18"/>
      <c r="DVJ2" s="18"/>
      <c r="DVK2" s="18"/>
      <c r="DVL2" s="18"/>
      <c r="DVM2" s="18"/>
      <c r="DVN2" s="18"/>
      <c r="DVO2" s="18"/>
      <c r="DVP2" s="18"/>
      <c r="DVQ2" s="18"/>
      <c r="DVR2" s="18"/>
      <c r="DVS2" s="18"/>
      <c r="DVT2" s="18"/>
      <c r="DVU2" s="18"/>
      <c r="DVV2" s="18"/>
      <c r="DVW2" s="18"/>
      <c r="DVX2" s="18"/>
      <c r="DVY2" s="18"/>
      <c r="DVZ2" s="18"/>
      <c r="DWA2" s="18"/>
      <c r="DWB2" s="18"/>
      <c r="DWC2" s="18"/>
      <c r="DWD2" s="18"/>
      <c r="DWE2" s="18"/>
      <c r="DWF2" s="18"/>
      <c r="DWG2" s="18"/>
      <c r="DWH2" s="18"/>
      <c r="DWI2" s="18"/>
      <c r="DWJ2" s="18"/>
      <c r="DWK2" s="18"/>
      <c r="DWL2" s="18"/>
      <c r="DWM2" s="18"/>
      <c r="DWN2" s="18"/>
      <c r="DWO2" s="18"/>
      <c r="DWP2" s="18"/>
      <c r="DWQ2" s="18"/>
      <c r="DWR2" s="18"/>
      <c r="DWS2" s="18"/>
      <c r="DWT2" s="18"/>
      <c r="DWU2" s="18"/>
      <c r="DWV2" s="18"/>
      <c r="DWW2" s="18"/>
      <c r="DWX2" s="18"/>
      <c r="DWY2" s="18"/>
      <c r="DWZ2" s="18"/>
      <c r="DXA2" s="18"/>
      <c r="DXB2" s="18"/>
      <c r="DXC2" s="18"/>
      <c r="DXD2" s="18"/>
      <c r="DXE2" s="18"/>
      <c r="DXF2" s="18"/>
      <c r="DXG2" s="18"/>
      <c r="DXH2" s="18"/>
      <c r="DXI2" s="18"/>
      <c r="DXJ2" s="18"/>
      <c r="DXK2" s="18"/>
      <c r="DXL2" s="18"/>
      <c r="DXM2" s="18"/>
      <c r="DXN2" s="18"/>
      <c r="DXO2" s="18"/>
      <c r="DXP2" s="18"/>
      <c r="DXQ2" s="18"/>
      <c r="DXR2" s="18"/>
      <c r="DXS2" s="18"/>
      <c r="DXT2" s="18"/>
      <c r="DXU2" s="18"/>
      <c r="DXV2" s="18"/>
      <c r="DXW2" s="18"/>
      <c r="DXX2" s="18"/>
      <c r="DXY2" s="18"/>
      <c r="DXZ2" s="18"/>
      <c r="DYA2" s="18"/>
      <c r="DYB2" s="18"/>
      <c r="DYC2" s="18"/>
      <c r="DYD2" s="18"/>
      <c r="DYE2" s="18"/>
      <c r="DYF2" s="18"/>
      <c r="DYG2" s="18"/>
      <c r="DYH2" s="18"/>
      <c r="DYI2" s="18"/>
      <c r="DYJ2" s="18"/>
      <c r="DYK2" s="18"/>
      <c r="DYL2" s="18"/>
      <c r="DYM2" s="18"/>
      <c r="DYN2" s="18"/>
      <c r="DYO2" s="18"/>
      <c r="DYP2" s="18"/>
      <c r="DYQ2" s="18"/>
      <c r="DYR2" s="18"/>
      <c r="DYS2" s="18"/>
      <c r="DYT2" s="18"/>
      <c r="DYU2" s="18"/>
      <c r="DYV2" s="18"/>
      <c r="DYW2" s="18"/>
      <c r="DYX2" s="18"/>
      <c r="DYY2" s="18"/>
      <c r="DYZ2" s="18"/>
      <c r="DZA2" s="18"/>
      <c r="DZB2" s="18"/>
      <c r="DZC2" s="18"/>
      <c r="DZD2" s="18"/>
      <c r="DZE2" s="18"/>
      <c r="DZF2" s="18"/>
      <c r="DZG2" s="18"/>
      <c r="DZH2" s="18"/>
      <c r="DZI2" s="18"/>
      <c r="DZJ2" s="18"/>
      <c r="DZK2" s="18"/>
      <c r="DZL2" s="18"/>
      <c r="DZM2" s="18"/>
      <c r="DZN2" s="18"/>
      <c r="DZO2" s="18"/>
      <c r="DZP2" s="18"/>
      <c r="DZQ2" s="18"/>
      <c r="DZR2" s="18"/>
      <c r="DZS2" s="18"/>
      <c r="DZT2" s="18"/>
      <c r="DZU2" s="18"/>
      <c r="DZV2" s="18"/>
      <c r="DZW2" s="18"/>
      <c r="DZX2" s="18"/>
      <c r="DZY2" s="18"/>
      <c r="DZZ2" s="18"/>
      <c r="EAA2" s="18"/>
      <c r="EAB2" s="18"/>
      <c r="EAC2" s="18"/>
      <c r="EAD2" s="18"/>
      <c r="EAE2" s="18"/>
      <c r="EAF2" s="18"/>
      <c r="EAG2" s="18"/>
      <c r="EAH2" s="18"/>
      <c r="EAI2" s="18"/>
      <c r="EAJ2" s="18"/>
      <c r="EAK2" s="18"/>
      <c r="EAL2" s="18"/>
      <c r="EAM2" s="18"/>
      <c r="EAN2" s="18"/>
      <c r="EAO2" s="18"/>
      <c r="EAP2" s="18"/>
      <c r="EAQ2" s="18"/>
      <c r="EAR2" s="18"/>
      <c r="EAS2" s="18"/>
      <c r="EAT2" s="18"/>
      <c r="EAU2" s="18"/>
      <c r="EAV2" s="18"/>
      <c r="EAW2" s="18"/>
      <c r="EAX2" s="18"/>
      <c r="EAY2" s="18"/>
      <c r="EAZ2" s="18"/>
      <c r="EBA2" s="18"/>
      <c r="EBB2" s="18"/>
      <c r="EBC2" s="18"/>
      <c r="EBD2" s="18"/>
      <c r="EBE2" s="18"/>
      <c r="EBF2" s="18"/>
      <c r="EBG2" s="18"/>
      <c r="EBH2" s="18"/>
      <c r="EBI2" s="18"/>
      <c r="EBJ2" s="18"/>
      <c r="EBK2" s="18"/>
      <c r="EBL2" s="18"/>
      <c r="EBM2" s="18"/>
      <c r="EBN2" s="18"/>
      <c r="EBO2" s="18"/>
      <c r="EBP2" s="18"/>
      <c r="EBQ2" s="18"/>
      <c r="EBR2" s="18"/>
      <c r="EBS2" s="18"/>
      <c r="EBT2" s="18"/>
      <c r="EBU2" s="18"/>
      <c r="EBV2" s="18"/>
      <c r="EBW2" s="18"/>
      <c r="EBX2" s="18"/>
      <c r="EBY2" s="18"/>
      <c r="EBZ2" s="18"/>
      <c r="ECA2" s="18"/>
      <c r="ECB2" s="18"/>
      <c r="ECC2" s="18"/>
      <c r="ECD2" s="18"/>
      <c r="ECE2" s="18"/>
      <c r="ECF2" s="18"/>
      <c r="ECG2" s="18"/>
      <c r="ECH2" s="18"/>
      <c r="ECI2" s="18"/>
      <c r="ECJ2" s="18"/>
      <c r="ECK2" s="18"/>
      <c r="ECL2" s="18"/>
      <c r="ECM2" s="18"/>
      <c r="ECN2" s="18"/>
      <c r="ECO2" s="18"/>
      <c r="ECP2" s="18"/>
      <c r="ECQ2" s="18"/>
      <c r="ECR2" s="18"/>
      <c r="ECS2" s="18"/>
      <c r="ECT2" s="18"/>
      <c r="ECU2" s="18"/>
      <c r="ECV2" s="18"/>
      <c r="ECW2" s="18"/>
      <c r="ECX2" s="18"/>
      <c r="ECY2" s="18"/>
      <c r="ECZ2" s="18"/>
      <c r="EDA2" s="18"/>
      <c r="EDB2" s="18"/>
      <c r="EDC2" s="18"/>
      <c r="EDD2" s="18"/>
      <c r="EDE2" s="18"/>
      <c r="EDF2" s="18"/>
      <c r="EDG2" s="18"/>
      <c r="EDH2" s="18"/>
      <c r="EDI2" s="18"/>
      <c r="EDJ2" s="18"/>
      <c r="EDK2" s="18"/>
      <c r="EDL2" s="18"/>
      <c r="EDM2" s="18"/>
      <c r="EDN2" s="18"/>
      <c r="EDO2" s="18"/>
      <c r="EDP2" s="18"/>
      <c r="EDQ2" s="18"/>
      <c r="EDR2" s="18"/>
      <c r="EDS2" s="18"/>
      <c r="EDT2" s="18"/>
      <c r="EDU2" s="18"/>
      <c r="EDV2" s="18"/>
      <c r="EDW2" s="18"/>
      <c r="EDX2" s="18"/>
      <c r="EDY2" s="18"/>
      <c r="EDZ2" s="18"/>
      <c r="EEA2" s="18"/>
      <c r="EEB2" s="18"/>
      <c r="EEC2" s="18"/>
      <c r="EED2" s="18"/>
      <c r="EEE2" s="18"/>
      <c r="EEF2" s="18"/>
      <c r="EEG2" s="18"/>
      <c r="EEH2" s="18"/>
      <c r="EEI2" s="18"/>
      <c r="EEJ2" s="18"/>
      <c r="EEK2" s="18"/>
      <c r="EEL2" s="18"/>
      <c r="EEM2" s="18"/>
      <c r="EEN2" s="18"/>
      <c r="EEO2" s="18"/>
      <c r="EEP2" s="18"/>
      <c r="EEQ2" s="18"/>
      <c r="EER2" s="18"/>
      <c r="EES2" s="18"/>
      <c r="EET2" s="18"/>
      <c r="EEU2" s="18"/>
      <c r="EEV2" s="18"/>
      <c r="EEW2" s="18"/>
      <c r="EEX2" s="18"/>
      <c r="EEY2" s="18"/>
      <c r="EEZ2" s="18"/>
      <c r="EFA2" s="18"/>
      <c r="EFB2" s="18"/>
      <c r="EFC2" s="18"/>
      <c r="EFD2" s="18"/>
      <c r="EFE2" s="18"/>
      <c r="EFF2" s="18"/>
      <c r="EFG2" s="18"/>
      <c r="EFH2" s="18"/>
      <c r="EFI2" s="18"/>
      <c r="EFJ2" s="18"/>
      <c r="EFK2" s="18"/>
      <c r="EFL2" s="18"/>
      <c r="EFM2" s="18"/>
      <c r="EFN2" s="18"/>
      <c r="EFO2" s="18"/>
      <c r="EFP2" s="18"/>
      <c r="EFQ2" s="18"/>
      <c r="EFR2" s="18"/>
      <c r="EFS2" s="18"/>
      <c r="EFT2" s="18"/>
      <c r="EFU2" s="18"/>
      <c r="EFV2" s="18"/>
      <c r="EFW2" s="18"/>
      <c r="EFX2" s="18"/>
      <c r="EFY2" s="18"/>
      <c r="EFZ2" s="18"/>
      <c r="EGA2" s="18"/>
      <c r="EGB2" s="18"/>
      <c r="EGC2" s="18"/>
      <c r="EGD2" s="18"/>
      <c r="EGE2" s="18"/>
      <c r="EGF2" s="18"/>
      <c r="EGG2" s="18"/>
      <c r="EGH2" s="18"/>
      <c r="EGI2" s="18"/>
      <c r="EGJ2" s="18"/>
      <c r="EGK2" s="18"/>
      <c r="EGL2" s="18"/>
      <c r="EGM2" s="18"/>
      <c r="EGN2" s="18"/>
      <c r="EGO2" s="18"/>
      <c r="EGP2" s="18"/>
      <c r="EGQ2" s="18"/>
      <c r="EGR2" s="18"/>
      <c r="EGS2" s="18"/>
      <c r="EGT2" s="18"/>
      <c r="EGU2" s="18"/>
      <c r="EGV2" s="18"/>
      <c r="EGW2" s="18"/>
      <c r="EGX2" s="18"/>
      <c r="EGY2" s="18"/>
      <c r="EGZ2" s="18"/>
      <c r="EHA2" s="18"/>
      <c r="EHB2" s="18"/>
      <c r="EHC2" s="18"/>
      <c r="EHD2" s="18"/>
      <c r="EHE2" s="18"/>
      <c r="EHF2" s="18"/>
      <c r="EHG2" s="18"/>
      <c r="EHH2" s="18"/>
      <c r="EHI2" s="18"/>
      <c r="EHJ2" s="18"/>
      <c r="EHK2" s="18"/>
      <c r="EHL2" s="18"/>
      <c r="EHM2" s="18"/>
      <c r="EHN2" s="18"/>
      <c r="EHO2" s="18"/>
      <c r="EHP2" s="18"/>
      <c r="EHQ2" s="18"/>
      <c r="EHR2" s="18"/>
      <c r="EHS2" s="18"/>
      <c r="EHT2" s="18"/>
      <c r="EHU2" s="18"/>
      <c r="EHV2" s="18"/>
      <c r="EHW2" s="18"/>
      <c r="EHX2" s="18"/>
      <c r="EHY2" s="18"/>
      <c r="EHZ2" s="18"/>
      <c r="EIA2" s="18"/>
      <c r="EIB2" s="18"/>
      <c r="EIC2" s="18"/>
      <c r="EID2" s="18"/>
      <c r="EIE2" s="18"/>
      <c r="EIF2" s="18"/>
      <c r="EIG2" s="18"/>
      <c r="EIH2" s="18"/>
      <c r="EII2" s="18"/>
      <c r="EIJ2" s="18"/>
      <c r="EIK2" s="18"/>
      <c r="EIL2" s="18"/>
      <c r="EIM2" s="18"/>
      <c r="EIN2" s="18"/>
      <c r="EIO2" s="18"/>
      <c r="EIP2" s="18"/>
      <c r="EIQ2" s="18"/>
      <c r="EIR2" s="18"/>
      <c r="EIS2" s="18"/>
      <c r="EIT2" s="18"/>
      <c r="EIU2" s="18"/>
      <c r="EIV2" s="18"/>
      <c r="EIW2" s="18"/>
      <c r="EIX2" s="18"/>
      <c r="EIY2" s="18"/>
      <c r="EIZ2" s="18"/>
      <c r="EJA2" s="18"/>
      <c r="EJB2" s="18"/>
      <c r="EJC2" s="18"/>
      <c r="EJD2" s="18"/>
      <c r="EJE2" s="18"/>
      <c r="EJF2" s="18"/>
      <c r="EJG2" s="18"/>
      <c r="EJH2" s="18"/>
      <c r="EJI2" s="18"/>
      <c r="EJJ2" s="18"/>
      <c r="EJK2" s="18"/>
      <c r="EJL2" s="18"/>
      <c r="EJM2" s="18"/>
      <c r="EJN2" s="18"/>
      <c r="EJO2" s="18"/>
      <c r="EJP2" s="18"/>
      <c r="EJQ2" s="18"/>
      <c r="EJR2" s="18"/>
      <c r="EJS2" s="18"/>
      <c r="EJT2" s="18"/>
      <c r="EJU2" s="18"/>
      <c r="EJV2" s="18"/>
      <c r="EJW2" s="18"/>
      <c r="EJX2" s="18"/>
      <c r="EJY2" s="18"/>
      <c r="EJZ2" s="18"/>
      <c r="EKA2" s="18"/>
      <c r="EKB2" s="18"/>
      <c r="EKC2" s="18"/>
      <c r="EKD2" s="18"/>
      <c r="EKE2" s="18"/>
      <c r="EKF2" s="18"/>
      <c r="EKG2" s="18"/>
      <c r="EKH2" s="18"/>
      <c r="EKI2" s="18"/>
      <c r="EKJ2" s="18"/>
      <c r="EKK2" s="18"/>
      <c r="EKL2" s="18"/>
      <c r="EKM2" s="18"/>
      <c r="EKN2" s="18"/>
      <c r="EKO2" s="18"/>
      <c r="EKP2" s="18"/>
      <c r="EKQ2" s="18"/>
      <c r="EKR2" s="18"/>
      <c r="EKS2" s="18"/>
      <c r="EKT2" s="18"/>
      <c r="EKU2" s="18"/>
      <c r="EKV2" s="18"/>
      <c r="EKW2" s="18"/>
      <c r="EKX2" s="18"/>
      <c r="EKY2" s="18"/>
      <c r="EKZ2" s="18"/>
      <c r="ELA2" s="18"/>
      <c r="ELB2" s="18"/>
      <c r="ELC2" s="18"/>
      <c r="ELD2" s="18"/>
      <c r="ELE2" s="18"/>
      <c r="ELF2" s="18"/>
      <c r="ELG2" s="18"/>
      <c r="ELH2" s="18"/>
      <c r="ELI2" s="18"/>
      <c r="ELJ2" s="18"/>
      <c r="ELK2" s="18"/>
      <c r="ELL2" s="18"/>
      <c r="ELM2" s="18"/>
      <c r="ELN2" s="18"/>
      <c r="ELO2" s="18"/>
      <c r="ELP2" s="18"/>
      <c r="ELQ2" s="18"/>
      <c r="ELR2" s="18"/>
      <c r="ELS2" s="18"/>
      <c r="ELT2" s="18"/>
      <c r="ELU2" s="18"/>
      <c r="ELV2" s="18"/>
      <c r="ELW2" s="18"/>
      <c r="ELX2" s="18"/>
      <c r="ELY2" s="18"/>
      <c r="ELZ2" s="18"/>
      <c r="EMA2" s="18"/>
      <c r="EMB2" s="18"/>
      <c r="EMC2" s="18"/>
      <c r="EMD2" s="18"/>
      <c r="EME2" s="18"/>
      <c r="EMF2" s="18"/>
      <c r="EMG2" s="18"/>
      <c r="EMH2" s="18"/>
      <c r="EMI2" s="18"/>
      <c r="EMJ2" s="18"/>
      <c r="EMK2" s="18"/>
      <c r="EML2" s="18"/>
      <c r="EMM2" s="18"/>
      <c r="EMN2" s="18"/>
      <c r="EMO2" s="18"/>
      <c r="EMP2" s="18"/>
      <c r="EMQ2" s="18"/>
      <c r="EMR2" s="18"/>
      <c r="EMS2" s="18"/>
      <c r="EMT2" s="18"/>
      <c r="EMU2" s="18"/>
      <c r="EMV2" s="18"/>
      <c r="EMW2" s="18"/>
      <c r="EMX2" s="18"/>
      <c r="EMY2" s="18"/>
      <c r="EMZ2" s="18"/>
      <c r="ENA2" s="18"/>
      <c r="ENB2" s="18"/>
      <c r="ENC2" s="18"/>
      <c r="END2" s="18"/>
      <c r="ENE2" s="18"/>
      <c r="ENF2" s="18"/>
      <c r="ENG2" s="18"/>
      <c r="ENH2" s="18"/>
      <c r="ENI2" s="18"/>
      <c r="ENJ2" s="18"/>
      <c r="ENK2" s="18"/>
      <c r="ENL2" s="18"/>
      <c r="ENM2" s="18"/>
      <c r="ENN2" s="18"/>
      <c r="ENO2" s="18"/>
      <c r="ENP2" s="18"/>
      <c r="ENQ2" s="18"/>
      <c r="ENR2" s="18"/>
      <c r="ENS2" s="18"/>
      <c r="ENT2" s="18"/>
      <c r="ENU2" s="18"/>
      <c r="ENV2" s="18"/>
      <c r="ENW2" s="18"/>
      <c r="ENX2" s="18"/>
      <c r="ENY2" s="18"/>
      <c r="ENZ2" s="18"/>
      <c r="EOA2" s="18"/>
      <c r="EOB2" s="18"/>
      <c r="EOC2" s="18"/>
      <c r="EOD2" s="18"/>
      <c r="EOE2" s="18"/>
      <c r="EOF2" s="18"/>
      <c r="EOG2" s="18"/>
      <c r="EOH2" s="18"/>
      <c r="EOI2" s="18"/>
      <c r="EOJ2" s="18"/>
      <c r="EOK2" s="18"/>
      <c r="EOL2" s="18"/>
      <c r="EOM2" s="18"/>
      <c r="EON2" s="18"/>
      <c r="EOO2" s="18"/>
      <c r="EOP2" s="18"/>
      <c r="EOQ2" s="18"/>
      <c r="EOR2" s="18"/>
      <c r="EOS2" s="18"/>
      <c r="EOT2" s="18"/>
      <c r="EOU2" s="18"/>
      <c r="EOV2" s="18"/>
      <c r="EOW2" s="18"/>
      <c r="EOX2" s="18"/>
      <c r="EOY2" s="18"/>
      <c r="EOZ2" s="18"/>
      <c r="EPA2" s="18"/>
      <c r="EPB2" s="18"/>
      <c r="EPC2" s="18"/>
      <c r="EPD2" s="18"/>
      <c r="EPE2" s="18"/>
      <c r="EPF2" s="18"/>
      <c r="EPG2" s="18"/>
      <c r="EPH2" s="18"/>
      <c r="EPI2" s="18"/>
      <c r="EPJ2" s="18"/>
      <c r="EPK2" s="18"/>
      <c r="EPL2" s="18"/>
      <c r="EPM2" s="18"/>
      <c r="EPN2" s="18"/>
      <c r="EPO2" s="18"/>
      <c r="EPP2" s="18"/>
      <c r="EPQ2" s="18"/>
      <c r="EPR2" s="18"/>
      <c r="EPS2" s="18"/>
      <c r="EPT2" s="18"/>
      <c r="EPU2" s="18"/>
      <c r="EPV2" s="18"/>
      <c r="EPW2" s="18"/>
      <c r="EPX2" s="18"/>
      <c r="EPY2" s="18"/>
      <c r="EPZ2" s="18"/>
      <c r="EQA2" s="18"/>
      <c r="EQB2" s="18"/>
      <c r="EQC2" s="18"/>
      <c r="EQD2" s="18"/>
      <c r="EQE2" s="18"/>
      <c r="EQF2" s="18"/>
      <c r="EQG2" s="18"/>
      <c r="EQH2" s="18"/>
      <c r="EQI2" s="18"/>
      <c r="EQJ2" s="18"/>
      <c r="EQK2" s="18"/>
      <c r="EQL2" s="18"/>
      <c r="EQM2" s="18"/>
      <c r="EQN2" s="18"/>
      <c r="EQO2" s="18"/>
      <c r="EQP2" s="18"/>
      <c r="EQQ2" s="18"/>
      <c r="EQR2" s="18"/>
      <c r="EQS2" s="18"/>
      <c r="EQT2" s="18"/>
      <c r="EQU2" s="18"/>
      <c r="EQV2" s="18"/>
      <c r="EQW2" s="18"/>
      <c r="EQX2" s="18"/>
      <c r="EQY2" s="18"/>
      <c r="EQZ2" s="18"/>
      <c r="ERA2" s="18"/>
      <c r="ERB2" s="18"/>
      <c r="ERC2" s="18"/>
      <c r="ERD2" s="18"/>
      <c r="ERE2" s="18"/>
      <c r="ERF2" s="18"/>
      <c r="ERG2" s="18"/>
      <c r="ERH2" s="18"/>
      <c r="ERI2" s="18"/>
      <c r="ERJ2" s="18"/>
      <c r="ERK2" s="18"/>
      <c r="ERL2" s="18"/>
      <c r="ERM2" s="18"/>
      <c r="ERN2" s="18"/>
      <c r="ERO2" s="18"/>
      <c r="ERP2" s="18"/>
      <c r="ERQ2" s="18"/>
      <c r="ERR2" s="18"/>
      <c r="ERS2" s="18"/>
      <c r="ERT2" s="18"/>
      <c r="ERU2" s="18"/>
      <c r="ERV2" s="18"/>
      <c r="ERW2" s="18"/>
      <c r="ERX2" s="18"/>
      <c r="ERY2" s="18"/>
      <c r="ERZ2" s="18"/>
      <c r="ESA2" s="18"/>
      <c r="ESB2" s="18"/>
      <c r="ESC2" s="18"/>
      <c r="ESD2" s="18"/>
      <c r="ESE2" s="18"/>
      <c r="ESF2" s="18"/>
      <c r="ESG2" s="18"/>
      <c r="ESH2" s="18"/>
      <c r="ESI2" s="18"/>
      <c r="ESJ2" s="18"/>
      <c r="ESK2" s="18"/>
      <c r="ESL2" s="18"/>
      <c r="ESM2" s="18"/>
      <c r="ESN2" s="18"/>
      <c r="ESO2" s="18"/>
      <c r="ESP2" s="18"/>
      <c r="ESQ2" s="18"/>
      <c r="ESR2" s="18"/>
      <c r="ESS2" s="18"/>
      <c r="EST2" s="18"/>
      <c r="ESU2" s="18"/>
      <c r="ESV2" s="18"/>
      <c r="ESW2" s="18"/>
      <c r="ESX2" s="18"/>
      <c r="ESY2" s="18"/>
      <c r="ESZ2" s="18"/>
      <c r="ETA2" s="18"/>
      <c r="ETB2" s="18"/>
      <c r="ETC2" s="18"/>
      <c r="ETD2" s="18"/>
      <c r="ETE2" s="18"/>
      <c r="ETF2" s="18"/>
      <c r="ETG2" s="18"/>
      <c r="ETH2" s="18"/>
      <c r="ETI2" s="18"/>
      <c r="ETJ2" s="18"/>
      <c r="ETK2" s="18"/>
      <c r="ETL2" s="18"/>
      <c r="ETM2" s="18"/>
      <c r="ETN2" s="18"/>
      <c r="ETO2" s="18"/>
      <c r="ETP2" s="18"/>
      <c r="ETQ2" s="18"/>
      <c r="ETR2" s="18"/>
      <c r="ETS2" s="18"/>
      <c r="ETT2" s="18"/>
      <c r="ETU2" s="18"/>
      <c r="ETV2" s="18"/>
      <c r="ETW2" s="18"/>
      <c r="ETX2" s="18"/>
      <c r="ETY2" s="18"/>
      <c r="ETZ2" s="18"/>
      <c r="EUA2" s="18"/>
      <c r="EUB2" s="18"/>
      <c r="EUC2" s="18"/>
      <c r="EUD2" s="18"/>
      <c r="EUE2" s="18"/>
      <c r="EUF2" s="18"/>
      <c r="EUG2" s="18"/>
      <c r="EUH2" s="18"/>
      <c r="EUI2" s="18"/>
      <c r="EUJ2" s="18"/>
      <c r="EUK2" s="18"/>
      <c r="EUL2" s="18"/>
      <c r="EUM2" s="18"/>
      <c r="EUN2" s="18"/>
      <c r="EUO2" s="18"/>
      <c r="EUP2" s="18"/>
      <c r="EUQ2" s="18"/>
      <c r="EUR2" s="18"/>
      <c r="EUS2" s="18"/>
      <c r="EUT2" s="18"/>
      <c r="EUU2" s="18"/>
      <c r="EUV2" s="18"/>
      <c r="EUW2" s="18"/>
      <c r="EUX2" s="18"/>
      <c r="EUY2" s="18"/>
      <c r="EUZ2" s="18"/>
      <c r="EVA2" s="18"/>
      <c r="EVB2" s="18"/>
      <c r="EVC2" s="18"/>
      <c r="EVD2" s="18"/>
      <c r="EVE2" s="18"/>
      <c r="EVF2" s="18"/>
      <c r="EVG2" s="18"/>
      <c r="EVH2" s="18"/>
      <c r="EVI2" s="18"/>
      <c r="EVJ2" s="18"/>
      <c r="EVK2" s="18"/>
      <c r="EVL2" s="18"/>
      <c r="EVM2" s="18"/>
      <c r="EVN2" s="18"/>
      <c r="EVO2" s="18"/>
      <c r="EVP2" s="18"/>
      <c r="EVQ2" s="18"/>
      <c r="EVR2" s="18"/>
      <c r="EVS2" s="18"/>
      <c r="EVT2" s="18"/>
      <c r="EVU2" s="18"/>
      <c r="EVV2" s="18"/>
      <c r="EVW2" s="18"/>
      <c r="EVX2" s="18"/>
      <c r="EVY2" s="18"/>
      <c r="EVZ2" s="18"/>
      <c r="EWA2" s="18"/>
      <c r="EWB2" s="18"/>
      <c r="EWC2" s="18"/>
      <c r="EWD2" s="18"/>
      <c r="EWE2" s="18"/>
      <c r="EWF2" s="18"/>
      <c r="EWG2" s="18"/>
      <c r="EWH2" s="18"/>
      <c r="EWI2" s="18"/>
      <c r="EWJ2" s="18"/>
      <c r="EWK2" s="18"/>
      <c r="EWL2" s="18"/>
      <c r="EWM2" s="18"/>
      <c r="EWN2" s="18"/>
      <c r="EWO2" s="18"/>
      <c r="EWP2" s="18"/>
      <c r="EWQ2" s="18"/>
      <c r="EWR2" s="18"/>
      <c r="EWS2" s="18"/>
      <c r="EWT2" s="18"/>
      <c r="EWU2" s="18"/>
      <c r="EWV2" s="18"/>
      <c r="EWW2" s="18"/>
      <c r="EWX2" s="18"/>
      <c r="EWY2" s="18"/>
      <c r="EWZ2" s="18"/>
      <c r="EXA2" s="18"/>
      <c r="EXB2" s="18"/>
      <c r="EXC2" s="18"/>
      <c r="EXD2" s="18"/>
      <c r="EXE2" s="18"/>
      <c r="EXF2" s="18"/>
      <c r="EXG2" s="18"/>
      <c r="EXH2" s="18"/>
      <c r="EXI2" s="18"/>
      <c r="EXJ2" s="18"/>
      <c r="EXK2" s="18"/>
      <c r="EXL2" s="18"/>
      <c r="EXM2" s="18"/>
      <c r="EXN2" s="18"/>
      <c r="EXO2" s="18"/>
      <c r="EXP2" s="18"/>
      <c r="EXQ2" s="18"/>
      <c r="EXR2" s="18"/>
      <c r="EXS2" s="18"/>
      <c r="EXT2" s="18"/>
      <c r="EXU2" s="18"/>
      <c r="EXV2" s="18"/>
      <c r="EXW2" s="18"/>
      <c r="EXX2" s="18"/>
      <c r="EXY2" s="18"/>
      <c r="EXZ2" s="18"/>
      <c r="EYA2" s="18"/>
      <c r="EYB2" s="18"/>
      <c r="EYC2" s="18"/>
      <c r="EYD2" s="18"/>
      <c r="EYE2" s="18"/>
      <c r="EYF2" s="18"/>
      <c r="EYG2" s="18"/>
      <c r="EYH2" s="18"/>
      <c r="EYI2" s="18"/>
      <c r="EYJ2" s="18"/>
      <c r="EYK2" s="18"/>
      <c r="EYL2" s="18"/>
      <c r="EYM2" s="18"/>
      <c r="EYN2" s="18"/>
      <c r="EYO2" s="18"/>
      <c r="EYP2" s="18"/>
      <c r="EYQ2" s="18"/>
      <c r="EYR2" s="18"/>
      <c r="EYS2" s="18"/>
      <c r="EYT2" s="18"/>
      <c r="EYU2" s="18"/>
      <c r="EYV2" s="18"/>
      <c r="EYW2" s="18"/>
      <c r="EYX2" s="18"/>
      <c r="EYY2" s="18"/>
      <c r="EYZ2" s="18"/>
      <c r="EZA2" s="18"/>
      <c r="EZB2" s="18"/>
      <c r="EZC2" s="18"/>
      <c r="EZD2" s="18"/>
      <c r="EZE2" s="18"/>
      <c r="EZF2" s="18"/>
      <c r="EZG2" s="18"/>
      <c r="EZH2" s="18"/>
      <c r="EZI2" s="18"/>
      <c r="EZJ2" s="18"/>
      <c r="EZK2" s="18"/>
      <c r="EZL2" s="18"/>
      <c r="EZM2" s="18"/>
      <c r="EZN2" s="18"/>
      <c r="EZO2" s="18"/>
      <c r="EZP2" s="18"/>
      <c r="EZQ2" s="18"/>
      <c r="EZR2" s="18"/>
      <c r="EZS2" s="18"/>
      <c r="EZT2" s="18"/>
      <c r="EZU2" s="18"/>
      <c r="EZV2" s="18"/>
      <c r="EZW2" s="18"/>
      <c r="EZX2" s="18"/>
      <c r="EZY2" s="18"/>
      <c r="EZZ2" s="18"/>
      <c r="FAA2" s="18"/>
      <c r="FAB2" s="18"/>
      <c r="FAC2" s="18"/>
      <c r="FAD2" s="18"/>
      <c r="FAE2" s="18"/>
      <c r="FAF2" s="18"/>
      <c r="FAG2" s="18"/>
      <c r="FAH2" s="18"/>
      <c r="FAI2" s="18"/>
      <c r="FAJ2" s="18"/>
      <c r="FAK2" s="18"/>
      <c r="FAL2" s="18"/>
      <c r="FAM2" s="18"/>
      <c r="FAN2" s="18"/>
      <c r="FAO2" s="18"/>
      <c r="FAP2" s="18"/>
      <c r="FAQ2" s="18"/>
      <c r="FAR2" s="18"/>
      <c r="FAS2" s="18"/>
      <c r="FAT2" s="18"/>
      <c r="FAU2" s="18"/>
      <c r="FAV2" s="18"/>
      <c r="FAW2" s="18"/>
      <c r="FAX2" s="18"/>
      <c r="FAY2" s="18"/>
      <c r="FAZ2" s="18"/>
      <c r="FBA2" s="18"/>
      <c r="FBB2" s="18"/>
      <c r="FBC2" s="18"/>
      <c r="FBD2" s="18"/>
      <c r="FBE2" s="18"/>
      <c r="FBF2" s="18"/>
      <c r="FBG2" s="18"/>
      <c r="FBH2" s="18"/>
      <c r="FBI2" s="18"/>
      <c r="FBJ2" s="18"/>
      <c r="FBK2" s="18"/>
      <c r="FBL2" s="18"/>
      <c r="FBM2" s="18"/>
      <c r="FBN2" s="18"/>
      <c r="FBO2" s="18"/>
      <c r="FBP2" s="18"/>
      <c r="FBQ2" s="18"/>
      <c r="FBR2" s="18"/>
      <c r="FBS2" s="18"/>
      <c r="FBT2" s="18"/>
      <c r="FBU2" s="18"/>
      <c r="FBV2" s="18"/>
      <c r="FBW2" s="18"/>
      <c r="FBX2" s="18"/>
      <c r="FBY2" s="18"/>
      <c r="FBZ2" s="18"/>
      <c r="FCA2" s="18"/>
      <c r="FCB2" s="18"/>
      <c r="FCC2" s="18"/>
      <c r="FCD2" s="18"/>
      <c r="FCE2" s="18"/>
      <c r="FCF2" s="18"/>
      <c r="FCG2" s="18"/>
      <c r="FCH2" s="18"/>
      <c r="FCI2" s="18"/>
      <c r="FCJ2" s="18"/>
      <c r="FCK2" s="18"/>
      <c r="FCL2" s="18"/>
      <c r="FCM2" s="18"/>
      <c r="FCN2" s="18"/>
      <c r="FCO2" s="18"/>
      <c r="FCP2" s="18"/>
      <c r="FCQ2" s="18"/>
      <c r="FCR2" s="18"/>
      <c r="FCS2" s="18"/>
      <c r="FCT2" s="18"/>
      <c r="FCU2" s="18"/>
      <c r="FCV2" s="18"/>
      <c r="FCW2" s="18"/>
      <c r="FCX2" s="18"/>
      <c r="FCY2" s="18"/>
      <c r="FCZ2" s="18"/>
      <c r="FDA2" s="18"/>
      <c r="FDB2" s="18"/>
      <c r="FDC2" s="18"/>
      <c r="FDD2" s="18"/>
      <c r="FDE2" s="18"/>
      <c r="FDF2" s="18"/>
      <c r="FDG2" s="18"/>
      <c r="FDH2" s="18"/>
      <c r="FDI2" s="18"/>
      <c r="FDJ2" s="18"/>
      <c r="FDK2" s="18"/>
      <c r="FDL2" s="18"/>
      <c r="FDM2" s="18"/>
      <c r="FDN2" s="18"/>
      <c r="FDO2" s="18"/>
      <c r="FDP2" s="18"/>
      <c r="FDQ2" s="18"/>
      <c r="FDR2" s="18"/>
      <c r="FDS2" s="18"/>
      <c r="FDT2" s="18"/>
      <c r="FDU2" s="18"/>
      <c r="FDV2" s="18"/>
      <c r="FDW2" s="18"/>
      <c r="FDX2" s="18"/>
      <c r="FDY2" s="18"/>
      <c r="FDZ2" s="18"/>
      <c r="FEA2" s="18"/>
      <c r="FEB2" s="18"/>
      <c r="FEC2" s="18"/>
      <c r="FED2" s="18"/>
      <c r="FEE2" s="18"/>
      <c r="FEF2" s="18"/>
      <c r="FEG2" s="18"/>
      <c r="FEH2" s="18"/>
      <c r="FEI2" s="18"/>
      <c r="FEJ2" s="18"/>
      <c r="FEK2" s="18"/>
      <c r="FEL2" s="18"/>
      <c r="FEM2" s="18"/>
      <c r="FEN2" s="18"/>
      <c r="FEO2" s="18"/>
      <c r="FEP2" s="18"/>
      <c r="FEQ2" s="18"/>
      <c r="FER2" s="18"/>
      <c r="FES2" s="18"/>
      <c r="FET2" s="18"/>
      <c r="FEU2" s="18"/>
      <c r="FEV2" s="18"/>
      <c r="FEW2" s="18"/>
      <c r="FEX2" s="18"/>
      <c r="FEY2" s="18"/>
      <c r="FEZ2" s="18"/>
      <c r="FFA2" s="18"/>
      <c r="FFB2" s="18"/>
      <c r="FFC2" s="18"/>
      <c r="FFD2" s="18"/>
      <c r="FFE2" s="18"/>
      <c r="FFF2" s="18"/>
      <c r="FFG2" s="18"/>
      <c r="FFH2" s="18"/>
      <c r="FFI2" s="18"/>
      <c r="FFJ2" s="18"/>
      <c r="FFK2" s="18"/>
      <c r="FFL2" s="18"/>
      <c r="FFM2" s="18"/>
      <c r="FFN2" s="18"/>
      <c r="FFO2" s="18"/>
      <c r="FFP2" s="18"/>
      <c r="FFQ2" s="18"/>
      <c r="FFR2" s="18"/>
      <c r="FFS2" s="18"/>
      <c r="FFT2" s="18"/>
      <c r="FFU2" s="18"/>
      <c r="FFV2" s="18"/>
      <c r="FFW2" s="18"/>
      <c r="FFX2" s="18"/>
      <c r="FFY2" s="18"/>
      <c r="FFZ2" s="18"/>
      <c r="FGA2" s="18"/>
      <c r="FGB2" s="18"/>
      <c r="FGC2" s="18"/>
      <c r="FGD2" s="18"/>
      <c r="FGE2" s="18"/>
      <c r="FGF2" s="18"/>
      <c r="FGG2" s="18"/>
      <c r="FGH2" s="18"/>
      <c r="FGI2" s="18"/>
      <c r="FGJ2" s="18"/>
      <c r="FGK2" s="18"/>
      <c r="FGL2" s="18"/>
      <c r="FGM2" s="18"/>
      <c r="FGN2" s="18"/>
      <c r="FGO2" s="18"/>
      <c r="FGP2" s="18"/>
      <c r="FGQ2" s="18"/>
      <c r="FGR2" s="18"/>
      <c r="FGS2" s="18"/>
      <c r="FGT2" s="18"/>
      <c r="FGU2" s="18"/>
      <c r="FGV2" s="18"/>
      <c r="FGW2" s="18"/>
      <c r="FGX2" s="18"/>
      <c r="FGY2" s="18"/>
      <c r="FGZ2" s="18"/>
      <c r="FHA2" s="18"/>
      <c r="FHB2" s="18"/>
      <c r="FHC2" s="18"/>
      <c r="FHD2" s="18"/>
      <c r="FHE2" s="18"/>
      <c r="FHF2" s="18"/>
      <c r="FHG2" s="18"/>
      <c r="FHH2" s="18"/>
      <c r="FHI2" s="18"/>
      <c r="FHJ2" s="18"/>
      <c r="FHK2" s="18"/>
      <c r="FHL2" s="18"/>
      <c r="FHM2" s="18"/>
      <c r="FHN2" s="18"/>
      <c r="FHO2" s="18"/>
      <c r="FHP2" s="18"/>
      <c r="FHQ2" s="18"/>
      <c r="FHR2" s="18"/>
      <c r="FHS2" s="18"/>
      <c r="FHT2" s="18"/>
      <c r="FHU2" s="18"/>
      <c r="FHV2" s="18"/>
      <c r="FHW2" s="18"/>
      <c r="FHX2" s="18"/>
      <c r="FHY2" s="18"/>
      <c r="FHZ2" s="18"/>
      <c r="FIA2" s="18"/>
      <c r="FIB2" s="18"/>
      <c r="FIC2" s="18"/>
      <c r="FID2" s="18"/>
      <c r="FIE2" s="18"/>
      <c r="FIF2" s="18"/>
      <c r="FIG2" s="18"/>
      <c r="FIH2" s="18"/>
      <c r="FII2" s="18"/>
      <c r="FIJ2" s="18"/>
      <c r="FIK2" s="18"/>
      <c r="FIL2" s="18"/>
      <c r="FIM2" s="18"/>
      <c r="FIN2" s="18"/>
      <c r="FIO2" s="18"/>
      <c r="FIP2" s="18"/>
      <c r="FIQ2" s="18"/>
      <c r="FIR2" s="18"/>
      <c r="FIS2" s="18"/>
      <c r="FIT2" s="18"/>
      <c r="FIU2" s="18"/>
      <c r="FIV2" s="18"/>
      <c r="FIW2" s="18"/>
      <c r="FIX2" s="18"/>
      <c r="FIY2" s="18"/>
      <c r="FIZ2" s="18"/>
      <c r="FJA2" s="18"/>
      <c r="FJB2" s="18"/>
      <c r="FJC2" s="18"/>
      <c r="FJD2" s="18"/>
      <c r="FJE2" s="18"/>
      <c r="FJF2" s="18"/>
      <c r="FJG2" s="18"/>
      <c r="FJH2" s="18"/>
      <c r="FJI2" s="18"/>
      <c r="FJJ2" s="18"/>
      <c r="FJK2" s="18"/>
      <c r="FJL2" s="18"/>
      <c r="FJM2" s="18"/>
      <c r="FJN2" s="18"/>
      <c r="FJO2" s="18"/>
      <c r="FJP2" s="18"/>
      <c r="FJQ2" s="18"/>
      <c r="FJR2" s="18"/>
      <c r="FJS2" s="18"/>
      <c r="FJT2" s="18"/>
      <c r="FJU2" s="18"/>
      <c r="FJV2" s="18"/>
      <c r="FJW2" s="18"/>
      <c r="FJX2" s="18"/>
      <c r="FJY2" s="18"/>
      <c r="FJZ2" s="18"/>
      <c r="FKA2" s="18"/>
      <c r="FKB2" s="18"/>
      <c r="FKC2" s="18"/>
      <c r="FKD2" s="18"/>
      <c r="FKE2" s="18"/>
      <c r="FKF2" s="18"/>
      <c r="FKG2" s="18"/>
      <c r="FKH2" s="18"/>
      <c r="FKI2" s="18"/>
      <c r="FKJ2" s="18"/>
      <c r="FKK2" s="18"/>
      <c r="FKL2" s="18"/>
      <c r="FKM2" s="18"/>
      <c r="FKN2" s="18"/>
      <c r="FKO2" s="18"/>
      <c r="FKP2" s="18"/>
      <c r="FKQ2" s="18"/>
      <c r="FKR2" s="18"/>
      <c r="FKS2" s="18"/>
      <c r="FKT2" s="18"/>
      <c r="FKU2" s="18"/>
      <c r="FKV2" s="18"/>
      <c r="FKW2" s="18"/>
      <c r="FKX2" s="18"/>
      <c r="FKY2" s="18"/>
      <c r="FKZ2" s="18"/>
      <c r="FLA2" s="18"/>
      <c r="FLB2" s="18"/>
      <c r="FLC2" s="18"/>
      <c r="FLD2" s="18"/>
      <c r="FLE2" s="18"/>
      <c r="FLF2" s="18"/>
      <c r="FLG2" s="18"/>
      <c r="FLH2" s="18"/>
      <c r="FLI2" s="18"/>
      <c r="FLJ2" s="18"/>
      <c r="FLK2" s="18"/>
      <c r="FLL2" s="18"/>
      <c r="FLM2" s="18"/>
      <c r="FLN2" s="18"/>
      <c r="FLO2" s="18"/>
      <c r="FLP2" s="18"/>
      <c r="FLQ2" s="18"/>
      <c r="FLR2" s="18"/>
      <c r="FLS2" s="18"/>
      <c r="FLT2" s="18"/>
      <c r="FLU2" s="18"/>
      <c r="FLV2" s="18"/>
      <c r="FLW2" s="18"/>
      <c r="FLX2" s="18"/>
      <c r="FLY2" s="18"/>
      <c r="FLZ2" s="18"/>
      <c r="FMA2" s="18"/>
      <c r="FMB2" s="18"/>
      <c r="FMC2" s="18"/>
      <c r="FMD2" s="18"/>
      <c r="FME2" s="18"/>
      <c r="FMF2" s="18"/>
      <c r="FMG2" s="18"/>
      <c r="FMH2" s="18"/>
      <c r="FMI2" s="18"/>
      <c r="FMJ2" s="18"/>
      <c r="FMK2" s="18"/>
      <c r="FML2" s="18"/>
      <c r="FMM2" s="18"/>
      <c r="FMN2" s="18"/>
      <c r="FMO2" s="18"/>
      <c r="FMP2" s="18"/>
      <c r="FMQ2" s="18"/>
      <c r="FMR2" s="18"/>
      <c r="FMS2" s="18"/>
      <c r="FMT2" s="18"/>
      <c r="FMU2" s="18"/>
      <c r="FMV2" s="18"/>
      <c r="FMW2" s="18"/>
      <c r="FMX2" s="18"/>
      <c r="FMY2" s="18"/>
      <c r="FMZ2" s="18"/>
      <c r="FNA2" s="18"/>
      <c r="FNB2" s="18"/>
      <c r="FNC2" s="18"/>
      <c r="FND2" s="18"/>
      <c r="FNE2" s="18"/>
      <c r="FNF2" s="18"/>
      <c r="FNG2" s="18"/>
      <c r="FNH2" s="18"/>
      <c r="FNI2" s="18"/>
      <c r="FNJ2" s="18"/>
      <c r="FNK2" s="18"/>
      <c r="FNL2" s="18"/>
      <c r="FNM2" s="18"/>
      <c r="FNN2" s="18"/>
      <c r="FNO2" s="18"/>
      <c r="FNP2" s="18"/>
      <c r="FNQ2" s="18"/>
      <c r="FNR2" s="18"/>
      <c r="FNS2" s="18"/>
      <c r="FNT2" s="18"/>
      <c r="FNU2" s="18"/>
      <c r="FNV2" s="18"/>
      <c r="FNW2" s="18"/>
      <c r="FNX2" s="18"/>
      <c r="FNY2" s="18"/>
      <c r="FNZ2" s="18"/>
      <c r="FOA2" s="18"/>
      <c r="FOB2" s="18"/>
      <c r="FOC2" s="18"/>
      <c r="FOD2" s="18"/>
      <c r="FOE2" s="18"/>
      <c r="FOF2" s="18"/>
      <c r="FOG2" s="18"/>
      <c r="FOH2" s="18"/>
      <c r="FOI2" s="18"/>
      <c r="FOJ2" s="18"/>
      <c r="FOK2" s="18"/>
      <c r="FOL2" s="18"/>
      <c r="FOM2" s="18"/>
      <c r="FON2" s="18"/>
      <c r="FOO2" s="18"/>
      <c r="FOP2" s="18"/>
      <c r="FOQ2" s="18"/>
      <c r="FOR2" s="18"/>
      <c r="FOS2" s="18"/>
      <c r="FOT2" s="18"/>
      <c r="FOU2" s="18"/>
      <c r="FOV2" s="18"/>
      <c r="FOW2" s="18"/>
      <c r="FOX2" s="18"/>
      <c r="FOY2" s="18"/>
      <c r="FOZ2" s="18"/>
      <c r="FPA2" s="18"/>
      <c r="FPB2" s="18"/>
      <c r="FPC2" s="18"/>
      <c r="FPD2" s="18"/>
      <c r="FPE2" s="18"/>
      <c r="FPF2" s="18"/>
      <c r="FPG2" s="18"/>
      <c r="FPH2" s="18"/>
      <c r="FPI2" s="18"/>
      <c r="FPJ2" s="18"/>
      <c r="FPK2" s="18"/>
      <c r="FPL2" s="18"/>
      <c r="FPM2" s="18"/>
      <c r="FPN2" s="18"/>
      <c r="FPO2" s="18"/>
      <c r="FPP2" s="18"/>
      <c r="FPQ2" s="18"/>
      <c r="FPR2" s="18"/>
      <c r="FPS2" s="18"/>
      <c r="FPT2" s="18"/>
      <c r="FPU2" s="18"/>
      <c r="FPV2" s="18"/>
      <c r="FPW2" s="18"/>
      <c r="FPX2" s="18"/>
      <c r="FPY2" s="18"/>
      <c r="FPZ2" s="18"/>
      <c r="FQA2" s="18"/>
      <c r="FQB2" s="18"/>
      <c r="FQC2" s="18"/>
      <c r="FQD2" s="18"/>
      <c r="FQE2" s="18"/>
      <c r="FQF2" s="18"/>
      <c r="FQG2" s="18"/>
      <c r="FQH2" s="18"/>
      <c r="FQI2" s="18"/>
      <c r="FQJ2" s="18"/>
      <c r="FQK2" s="18"/>
      <c r="FQL2" s="18"/>
      <c r="FQM2" s="18"/>
      <c r="FQN2" s="18"/>
      <c r="FQO2" s="18"/>
      <c r="FQP2" s="18"/>
      <c r="FQQ2" s="18"/>
      <c r="FQR2" s="18"/>
      <c r="FQS2" s="18"/>
      <c r="FQT2" s="18"/>
      <c r="FQU2" s="18"/>
      <c r="FQV2" s="18"/>
      <c r="FQW2" s="18"/>
      <c r="FQX2" s="18"/>
      <c r="FQY2" s="18"/>
      <c r="FQZ2" s="18"/>
      <c r="FRA2" s="18"/>
      <c r="FRB2" s="18"/>
      <c r="FRC2" s="18"/>
      <c r="FRD2" s="18"/>
      <c r="FRE2" s="18"/>
      <c r="FRF2" s="18"/>
      <c r="FRG2" s="18"/>
      <c r="FRH2" s="18"/>
      <c r="FRI2" s="18"/>
      <c r="FRJ2" s="18"/>
      <c r="FRK2" s="18"/>
      <c r="FRL2" s="18"/>
      <c r="FRM2" s="18"/>
      <c r="FRN2" s="18"/>
      <c r="FRO2" s="18"/>
      <c r="FRP2" s="18"/>
      <c r="FRQ2" s="18"/>
      <c r="FRR2" s="18"/>
      <c r="FRS2" s="18"/>
      <c r="FRT2" s="18"/>
      <c r="FRU2" s="18"/>
      <c r="FRV2" s="18"/>
      <c r="FRW2" s="18"/>
      <c r="FRX2" s="18"/>
      <c r="FRY2" s="18"/>
      <c r="FRZ2" s="18"/>
      <c r="FSA2" s="18"/>
      <c r="FSB2" s="18"/>
      <c r="FSC2" s="18"/>
      <c r="FSD2" s="18"/>
      <c r="FSE2" s="18"/>
      <c r="FSF2" s="18"/>
      <c r="FSG2" s="18"/>
      <c r="FSH2" s="18"/>
      <c r="FSI2" s="18"/>
      <c r="FSJ2" s="18"/>
      <c r="FSK2" s="18"/>
      <c r="FSL2" s="18"/>
      <c r="FSM2" s="18"/>
      <c r="FSN2" s="18"/>
      <c r="FSO2" s="18"/>
      <c r="FSP2" s="18"/>
      <c r="FSQ2" s="18"/>
      <c r="FSR2" s="18"/>
      <c r="FSS2" s="18"/>
      <c r="FST2" s="18"/>
      <c r="FSU2" s="18"/>
      <c r="FSV2" s="18"/>
      <c r="FSW2" s="18"/>
      <c r="FSX2" s="18"/>
      <c r="FSY2" s="18"/>
      <c r="FSZ2" s="18"/>
      <c r="FTA2" s="18"/>
      <c r="FTB2" s="18"/>
      <c r="FTC2" s="18"/>
      <c r="FTD2" s="18"/>
      <c r="FTE2" s="18"/>
      <c r="FTF2" s="18"/>
      <c r="FTG2" s="18"/>
      <c r="FTH2" s="18"/>
      <c r="FTI2" s="18"/>
      <c r="FTJ2" s="18"/>
      <c r="FTK2" s="18"/>
      <c r="FTL2" s="18"/>
      <c r="FTM2" s="18"/>
      <c r="FTN2" s="18"/>
      <c r="FTO2" s="18"/>
      <c r="FTP2" s="18"/>
      <c r="FTQ2" s="18"/>
      <c r="FTR2" s="18"/>
      <c r="FTS2" s="18"/>
      <c r="FTT2" s="18"/>
      <c r="FTU2" s="18"/>
      <c r="FTV2" s="18"/>
      <c r="FTW2" s="18"/>
      <c r="FTX2" s="18"/>
      <c r="FTY2" s="18"/>
      <c r="FTZ2" s="18"/>
      <c r="FUA2" s="18"/>
      <c r="FUB2" s="18"/>
      <c r="FUC2" s="18"/>
      <c r="FUD2" s="18"/>
      <c r="FUE2" s="18"/>
      <c r="FUF2" s="18"/>
      <c r="FUG2" s="18"/>
      <c r="FUH2" s="18"/>
      <c r="FUI2" s="18"/>
      <c r="FUJ2" s="18"/>
      <c r="FUK2" s="18"/>
      <c r="FUL2" s="18"/>
      <c r="FUM2" s="18"/>
      <c r="FUN2" s="18"/>
      <c r="FUO2" s="18"/>
      <c r="FUP2" s="18"/>
      <c r="FUQ2" s="18"/>
      <c r="FUR2" s="18"/>
      <c r="FUS2" s="18"/>
      <c r="FUT2" s="18"/>
      <c r="FUU2" s="18"/>
      <c r="FUV2" s="18"/>
      <c r="FUW2" s="18"/>
      <c r="FUX2" s="18"/>
      <c r="FUY2" s="18"/>
      <c r="FUZ2" s="18"/>
      <c r="FVA2" s="18"/>
      <c r="FVB2" s="18"/>
      <c r="FVC2" s="18"/>
      <c r="FVD2" s="18"/>
      <c r="FVE2" s="18"/>
      <c r="FVF2" s="18"/>
      <c r="FVG2" s="18"/>
      <c r="FVH2" s="18"/>
      <c r="FVI2" s="18"/>
      <c r="FVJ2" s="18"/>
      <c r="FVK2" s="18"/>
      <c r="FVL2" s="18"/>
      <c r="FVM2" s="18"/>
      <c r="FVN2" s="18"/>
      <c r="FVO2" s="18"/>
      <c r="FVP2" s="18"/>
      <c r="FVQ2" s="18"/>
      <c r="FVR2" s="18"/>
      <c r="FVS2" s="18"/>
      <c r="FVT2" s="18"/>
      <c r="FVU2" s="18"/>
      <c r="FVV2" s="18"/>
      <c r="FVW2" s="18"/>
      <c r="FVX2" s="18"/>
      <c r="FVY2" s="18"/>
      <c r="FVZ2" s="18"/>
      <c r="FWA2" s="18"/>
      <c r="FWB2" s="18"/>
      <c r="FWC2" s="18"/>
      <c r="FWD2" s="18"/>
      <c r="FWE2" s="18"/>
      <c r="FWF2" s="18"/>
      <c r="FWG2" s="18"/>
      <c r="FWH2" s="18"/>
      <c r="FWI2" s="18"/>
      <c r="FWJ2" s="18"/>
      <c r="FWK2" s="18"/>
      <c r="FWL2" s="18"/>
      <c r="FWM2" s="18"/>
      <c r="FWN2" s="18"/>
      <c r="FWO2" s="18"/>
      <c r="FWP2" s="18"/>
      <c r="FWQ2" s="18"/>
      <c r="FWR2" s="18"/>
      <c r="FWS2" s="18"/>
      <c r="FWT2" s="18"/>
      <c r="FWU2" s="18"/>
      <c r="FWV2" s="18"/>
      <c r="FWW2" s="18"/>
      <c r="FWX2" s="18"/>
      <c r="FWY2" s="18"/>
      <c r="FWZ2" s="18"/>
      <c r="FXA2" s="18"/>
      <c r="FXB2" s="18"/>
      <c r="FXC2" s="18"/>
      <c r="FXD2" s="18"/>
      <c r="FXE2" s="18"/>
      <c r="FXF2" s="18"/>
      <c r="FXG2" s="18"/>
      <c r="FXH2" s="18"/>
      <c r="FXI2" s="18"/>
      <c r="FXJ2" s="18"/>
      <c r="FXK2" s="18"/>
      <c r="FXL2" s="18"/>
      <c r="FXM2" s="18"/>
      <c r="FXN2" s="18"/>
      <c r="FXO2" s="18"/>
      <c r="FXP2" s="18"/>
      <c r="FXQ2" s="18"/>
      <c r="FXR2" s="18"/>
      <c r="FXS2" s="18"/>
      <c r="FXT2" s="18"/>
      <c r="FXU2" s="18"/>
      <c r="FXV2" s="18"/>
      <c r="FXW2" s="18"/>
      <c r="FXX2" s="18"/>
      <c r="FXY2" s="18"/>
      <c r="FXZ2" s="18"/>
      <c r="FYA2" s="18"/>
      <c r="FYB2" s="18"/>
      <c r="FYC2" s="18"/>
      <c r="FYD2" s="18"/>
      <c r="FYE2" s="18"/>
      <c r="FYF2" s="18"/>
      <c r="FYG2" s="18"/>
      <c r="FYH2" s="18"/>
      <c r="FYI2" s="18"/>
      <c r="FYJ2" s="18"/>
      <c r="FYK2" s="18"/>
      <c r="FYL2" s="18"/>
      <c r="FYM2" s="18"/>
      <c r="FYN2" s="18"/>
      <c r="FYO2" s="18"/>
      <c r="FYP2" s="18"/>
      <c r="FYQ2" s="18"/>
      <c r="FYR2" s="18"/>
      <c r="FYS2" s="18"/>
      <c r="FYT2" s="18"/>
      <c r="FYU2" s="18"/>
      <c r="FYV2" s="18"/>
      <c r="FYW2" s="18"/>
      <c r="FYX2" s="18"/>
      <c r="FYY2" s="18"/>
      <c r="FYZ2" s="18"/>
      <c r="FZA2" s="18"/>
      <c r="FZB2" s="18"/>
      <c r="FZC2" s="18"/>
      <c r="FZD2" s="18"/>
      <c r="FZE2" s="18"/>
      <c r="FZF2" s="18"/>
      <c r="FZG2" s="18"/>
      <c r="FZH2" s="18"/>
      <c r="FZI2" s="18"/>
      <c r="FZJ2" s="18"/>
      <c r="FZK2" s="18"/>
      <c r="FZL2" s="18"/>
      <c r="FZM2" s="18"/>
      <c r="FZN2" s="18"/>
      <c r="FZO2" s="18"/>
      <c r="FZP2" s="18"/>
      <c r="FZQ2" s="18"/>
      <c r="FZR2" s="18"/>
      <c r="FZS2" s="18"/>
      <c r="FZT2" s="18"/>
      <c r="FZU2" s="18"/>
      <c r="FZV2" s="18"/>
      <c r="FZW2" s="18"/>
      <c r="FZX2" s="18"/>
      <c r="FZY2" s="18"/>
      <c r="FZZ2" s="18"/>
      <c r="GAA2" s="18"/>
      <c r="GAB2" s="18"/>
      <c r="GAC2" s="18"/>
      <c r="GAD2" s="18"/>
      <c r="GAE2" s="18"/>
      <c r="GAF2" s="18"/>
      <c r="GAG2" s="18"/>
      <c r="GAH2" s="18"/>
      <c r="GAI2" s="18"/>
      <c r="GAJ2" s="18"/>
      <c r="GAK2" s="18"/>
      <c r="GAL2" s="18"/>
      <c r="GAM2" s="18"/>
      <c r="GAN2" s="18"/>
      <c r="GAO2" s="18"/>
      <c r="GAP2" s="18"/>
      <c r="GAQ2" s="18"/>
      <c r="GAR2" s="18"/>
      <c r="GAS2" s="18"/>
      <c r="GAT2" s="18"/>
      <c r="GAU2" s="18"/>
      <c r="GAV2" s="18"/>
      <c r="GAW2" s="18"/>
      <c r="GAX2" s="18"/>
      <c r="GAY2" s="18"/>
      <c r="GAZ2" s="18"/>
      <c r="GBA2" s="18"/>
      <c r="GBB2" s="18"/>
      <c r="GBC2" s="18"/>
      <c r="GBD2" s="18"/>
      <c r="GBE2" s="18"/>
      <c r="GBF2" s="18"/>
      <c r="GBG2" s="18"/>
      <c r="GBH2" s="18"/>
      <c r="GBI2" s="18"/>
      <c r="GBJ2" s="18"/>
      <c r="GBK2" s="18"/>
      <c r="GBL2" s="18"/>
      <c r="GBM2" s="18"/>
      <c r="GBN2" s="18"/>
      <c r="GBO2" s="18"/>
      <c r="GBP2" s="18"/>
      <c r="GBQ2" s="18"/>
      <c r="GBR2" s="18"/>
      <c r="GBS2" s="18"/>
      <c r="GBT2" s="18"/>
      <c r="GBU2" s="18"/>
      <c r="GBV2" s="18"/>
      <c r="GBW2" s="18"/>
      <c r="GBX2" s="18"/>
      <c r="GBY2" s="18"/>
      <c r="GBZ2" s="18"/>
      <c r="GCA2" s="18"/>
      <c r="GCB2" s="18"/>
      <c r="GCC2" s="18"/>
      <c r="GCD2" s="18"/>
      <c r="GCE2" s="18"/>
      <c r="GCF2" s="18"/>
      <c r="GCG2" s="18"/>
      <c r="GCH2" s="18"/>
      <c r="GCI2" s="18"/>
      <c r="GCJ2" s="18"/>
      <c r="GCK2" s="18"/>
      <c r="GCL2" s="18"/>
      <c r="GCM2" s="18"/>
      <c r="GCN2" s="18"/>
      <c r="GCO2" s="18"/>
      <c r="GCP2" s="18"/>
      <c r="GCQ2" s="18"/>
      <c r="GCR2" s="18"/>
      <c r="GCS2" s="18"/>
      <c r="GCT2" s="18"/>
      <c r="GCU2" s="18"/>
      <c r="GCV2" s="18"/>
      <c r="GCW2" s="18"/>
      <c r="GCX2" s="18"/>
      <c r="GCY2" s="18"/>
      <c r="GCZ2" s="18"/>
      <c r="GDA2" s="18"/>
      <c r="GDB2" s="18"/>
      <c r="GDC2" s="18"/>
      <c r="GDD2" s="18"/>
      <c r="GDE2" s="18"/>
      <c r="GDF2" s="18"/>
      <c r="GDG2" s="18"/>
      <c r="GDH2" s="18"/>
      <c r="GDI2" s="18"/>
      <c r="GDJ2" s="18"/>
      <c r="GDK2" s="18"/>
      <c r="GDL2" s="18"/>
      <c r="GDM2" s="18"/>
      <c r="GDN2" s="18"/>
      <c r="GDO2" s="18"/>
      <c r="GDP2" s="18"/>
      <c r="GDQ2" s="18"/>
      <c r="GDR2" s="18"/>
      <c r="GDS2" s="18"/>
      <c r="GDT2" s="18"/>
      <c r="GDU2" s="18"/>
      <c r="GDV2" s="18"/>
      <c r="GDW2" s="18"/>
      <c r="GDX2" s="18"/>
      <c r="GDY2" s="18"/>
      <c r="GDZ2" s="18"/>
      <c r="GEA2" s="18"/>
      <c r="GEB2" s="18"/>
      <c r="GEC2" s="18"/>
      <c r="GED2" s="18"/>
      <c r="GEE2" s="18"/>
      <c r="GEF2" s="18"/>
      <c r="GEG2" s="18"/>
      <c r="GEH2" s="18"/>
      <c r="GEI2" s="18"/>
      <c r="GEJ2" s="18"/>
      <c r="GEK2" s="18"/>
      <c r="GEL2" s="18"/>
      <c r="GEM2" s="18"/>
      <c r="GEN2" s="18"/>
      <c r="GEO2" s="18"/>
      <c r="GEP2" s="18"/>
      <c r="GEQ2" s="18"/>
      <c r="GER2" s="18"/>
      <c r="GES2" s="18"/>
      <c r="GET2" s="18"/>
      <c r="GEU2" s="18"/>
      <c r="GEV2" s="18"/>
      <c r="GEW2" s="18"/>
      <c r="GEX2" s="18"/>
      <c r="GEY2" s="18"/>
      <c r="GEZ2" s="18"/>
      <c r="GFA2" s="18"/>
      <c r="GFB2" s="18"/>
      <c r="GFC2" s="18"/>
      <c r="GFD2" s="18"/>
      <c r="GFE2" s="18"/>
      <c r="GFF2" s="18"/>
      <c r="GFG2" s="18"/>
      <c r="GFH2" s="18"/>
      <c r="GFI2" s="18"/>
      <c r="GFJ2" s="18"/>
      <c r="GFK2" s="18"/>
      <c r="GFL2" s="18"/>
      <c r="GFM2" s="18"/>
      <c r="GFN2" s="18"/>
      <c r="GFO2" s="18"/>
      <c r="GFP2" s="18"/>
      <c r="GFQ2" s="18"/>
      <c r="GFR2" s="18"/>
      <c r="GFS2" s="18"/>
      <c r="GFT2" s="18"/>
      <c r="GFU2" s="18"/>
      <c r="GFV2" s="18"/>
      <c r="GFW2" s="18"/>
      <c r="GFX2" s="18"/>
      <c r="GFY2" s="18"/>
      <c r="GFZ2" s="18"/>
      <c r="GGA2" s="18"/>
      <c r="GGB2" s="18"/>
      <c r="GGC2" s="18"/>
      <c r="GGD2" s="18"/>
      <c r="GGE2" s="18"/>
      <c r="GGF2" s="18"/>
      <c r="GGG2" s="18"/>
      <c r="GGH2" s="18"/>
      <c r="GGI2" s="18"/>
      <c r="GGJ2" s="18"/>
      <c r="GGK2" s="18"/>
      <c r="GGL2" s="18"/>
      <c r="GGM2" s="18"/>
      <c r="GGN2" s="18"/>
      <c r="GGO2" s="18"/>
      <c r="GGP2" s="18"/>
      <c r="GGQ2" s="18"/>
      <c r="GGR2" s="18"/>
      <c r="GGS2" s="18"/>
      <c r="GGT2" s="18"/>
      <c r="GGU2" s="18"/>
      <c r="GGV2" s="18"/>
      <c r="GGW2" s="18"/>
      <c r="GGX2" s="18"/>
      <c r="GGY2" s="18"/>
      <c r="GGZ2" s="18"/>
      <c r="GHA2" s="18"/>
      <c r="GHB2" s="18"/>
      <c r="GHC2" s="18"/>
      <c r="GHD2" s="18"/>
      <c r="GHE2" s="18"/>
      <c r="GHF2" s="18"/>
      <c r="GHG2" s="18"/>
      <c r="GHH2" s="18"/>
      <c r="GHI2" s="18"/>
      <c r="GHJ2" s="18"/>
      <c r="GHK2" s="18"/>
      <c r="GHL2" s="18"/>
      <c r="GHM2" s="18"/>
      <c r="GHN2" s="18"/>
      <c r="GHO2" s="18"/>
      <c r="GHP2" s="18"/>
      <c r="GHQ2" s="18"/>
      <c r="GHR2" s="18"/>
      <c r="GHS2" s="18"/>
      <c r="GHT2" s="18"/>
      <c r="GHU2" s="18"/>
      <c r="GHV2" s="18"/>
      <c r="GHW2" s="18"/>
      <c r="GHX2" s="18"/>
      <c r="GHY2" s="18"/>
      <c r="GHZ2" s="18"/>
      <c r="GIA2" s="18"/>
      <c r="GIB2" s="18"/>
      <c r="GIC2" s="18"/>
      <c r="GID2" s="18"/>
      <c r="GIE2" s="18"/>
      <c r="GIF2" s="18"/>
      <c r="GIG2" s="18"/>
      <c r="GIH2" s="18"/>
      <c r="GII2" s="18"/>
      <c r="GIJ2" s="18"/>
      <c r="GIK2" s="18"/>
      <c r="GIL2" s="18"/>
      <c r="GIM2" s="18"/>
      <c r="GIN2" s="18"/>
      <c r="GIO2" s="18"/>
      <c r="GIP2" s="18"/>
      <c r="GIQ2" s="18"/>
      <c r="GIR2" s="18"/>
      <c r="GIS2" s="18"/>
      <c r="GIT2" s="18"/>
      <c r="GIU2" s="18"/>
      <c r="GIV2" s="18"/>
      <c r="GIW2" s="18"/>
      <c r="GIX2" s="18"/>
      <c r="GIY2" s="18"/>
      <c r="GIZ2" s="18"/>
      <c r="GJA2" s="18"/>
      <c r="GJB2" s="18"/>
      <c r="GJC2" s="18"/>
      <c r="GJD2" s="18"/>
      <c r="GJE2" s="18"/>
      <c r="GJF2" s="18"/>
      <c r="GJG2" s="18"/>
      <c r="GJH2" s="18"/>
      <c r="GJI2" s="18"/>
      <c r="GJJ2" s="18"/>
      <c r="GJK2" s="18"/>
      <c r="GJL2" s="18"/>
      <c r="GJM2" s="18"/>
      <c r="GJN2" s="18"/>
      <c r="GJO2" s="18"/>
      <c r="GJP2" s="18"/>
      <c r="GJQ2" s="18"/>
      <c r="GJR2" s="18"/>
      <c r="GJS2" s="18"/>
      <c r="GJT2" s="18"/>
      <c r="GJU2" s="18"/>
      <c r="GJV2" s="18"/>
      <c r="GJW2" s="18"/>
      <c r="GJX2" s="18"/>
      <c r="GJY2" s="18"/>
      <c r="GJZ2" s="18"/>
      <c r="GKA2" s="18"/>
      <c r="GKB2" s="18"/>
      <c r="GKC2" s="18"/>
      <c r="GKD2" s="18"/>
      <c r="GKE2" s="18"/>
      <c r="GKF2" s="18"/>
      <c r="GKG2" s="18"/>
      <c r="GKH2" s="18"/>
      <c r="GKI2" s="18"/>
      <c r="GKJ2" s="18"/>
      <c r="GKK2" s="18"/>
      <c r="GKL2" s="18"/>
      <c r="GKM2" s="18"/>
      <c r="GKN2" s="18"/>
      <c r="GKO2" s="18"/>
      <c r="GKP2" s="18"/>
      <c r="GKQ2" s="18"/>
      <c r="GKR2" s="18"/>
      <c r="GKS2" s="18"/>
      <c r="GKT2" s="18"/>
      <c r="GKU2" s="18"/>
      <c r="GKV2" s="18"/>
      <c r="GKW2" s="18"/>
      <c r="GKX2" s="18"/>
      <c r="GKY2" s="18"/>
      <c r="GKZ2" s="18"/>
      <c r="GLA2" s="18"/>
      <c r="GLB2" s="18"/>
      <c r="GLC2" s="18"/>
      <c r="GLD2" s="18"/>
      <c r="GLE2" s="18"/>
      <c r="GLF2" s="18"/>
      <c r="GLG2" s="18"/>
      <c r="GLH2" s="18"/>
      <c r="GLI2" s="18"/>
      <c r="GLJ2" s="18"/>
      <c r="GLK2" s="18"/>
      <c r="GLL2" s="18"/>
      <c r="GLM2" s="18"/>
      <c r="GLN2" s="18"/>
      <c r="GLO2" s="18"/>
      <c r="GLP2" s="18"/>
      <c r="GLQ2" s="18"/>
      <c r="GLR2" s="18"/>
      <c r="GLS2" s="18"/>
      <c r="GLT2" s="18"/>
      <c r="GLU2" s="18"/>
      <c r="GLV2" s="18"/>
      <c r="GLW2" s="18"/>
      <c r="GLX2" s="18"/>
      <c r="GLY2" s="18"/>
      <c r="GLZ2" s="18"/>
      <c r="GMA2" s="18"/>
      <c r="GMB2" s="18"/>
      <c r="GMC2" s="18"/>
      <c r="GMD2" s="18"/>
      <c r="GME2" s="18"/>
      <c r="GMF2" s="18"/>
      <c r="GMG2" s="18"/>
      <c r="GMH2" s="18"/>
      <c r="GMI2" s="18"/>
      <c r="GMJ2" s="18"/>
      <c r="GMK2" s="18"/>
      <c r="GML2" s="18"/>
      <c r="GMM2" s="18"/>
      <c r="GMN2" s="18"/>
      <c r="GMO2" s="18"/>
      <c r="GMP2" s="18"/>
      <c r="GMQ2" s="18"/>
      <c r="GMR2" s="18"/>
      <c r="GMS2" s="18"/>
      <c r="GMT2" s="18"/>
      <c r="GMU2" s="18"/>
      <c r="GMV2" s="18"/>
      <c r="GMW2" s="18"/>
      <c r="GMX2" s="18"/>
      <c r="GMY2" s="18"/>
      <c r="GMZ2" s="18"/>
      <c r="GNA2" s="18"/>
      <c r="GNB2" s="18"/>
      <c r="GNC2" s="18"/>
      <c r="GND2" s="18"/>
      <c r="GNE2" s="18"/>
      <c r="GNF2" s="18"/>
      <c r="GNG2" s="18"/>
      <c r="GNH2" s="18"/>
      <c r="GNI2" s="18"/>
      <c r="GNJ2" s="18"/>
      <c r="GNK2" s="18"/>
      <c r="GNL2" s="18"/>
      <c r="GNM2" s="18"/>
      <c r="GNN2" s="18"/>
      <c r="GNO2" s="18"/>
      <c r="GNP2" s="18"/>
      <c r="GNQ2" s="18"/>
      <c r="GNR2" s="18"/>
      <c r="GNS2" s="18"/>
      <c r="GNT2" s="18"/>
      <c r="GNU2" s="18"/>
      <c r="GNV2" s="18"/>
      <c r="GNW2" s="18"/>
      <c r="GNX2" s="18"/>
      <c r="GNY2" s="18"/>
      <c r="GNZ2" s="18"/>
      <c r="GOA2" s="18"/>
      <c r="GOB2" s="18"/>
      <c r="GOC2" s="18"/>
      <c r="GOD2" s="18"/>
      <c r="GOE2" s="18"/>
      <c r="GOF2" s="18"/>
      <c r="GOG2" s="18"/>
      <c r="GOH2" s="18"/>
      <c r="GOI2" s="18"/>
      <c r="GOJ2" s="18"/>
      <c r="GOK2" s="18"/>
      <c r="GOL2" s="18"/>
      <c r="GOM2" s="18"/>
      <c r="GON2" s="18"/>
      <c r="GOO2" s="18"/>
      <c r="GOP2" s="18"/>
      <c r="GOQ2" s="18"/>
      <c r="GOR2" s="18"/>
      <c r="GOS2" s="18"/>
      <c r="GOT2" s="18"/>
      <c r="GOU2" s="18"/>
      <c r="GOV2" s="18"/>
      <c r="GOW2" s="18"/>
      <c r="GOX2" s="18"/>
      <c r="GOY2" s="18"/>
      <c r="GOZ2" s="18"/>
      <c r="GPA2" s="18"/>
      <c r="GPB2" s="18"/>
      <c r="GPC2" s="18"/>
      <c r="GPD2" s="18"/>
      <c r="GPE2" s="18"/>
      <c r="GPF2" s="18"/>
      <c r="GPG2" s="18"/>
      <c r="GPH2" s="18"/>
      <c r="GPI2" s="18"/>
      <c r="GPJ2" s="18"/>
      <c r="GPK2" s="18"/>
      <c r="GPL2" s="18"/>
      <c r="GPM2" s="18"/>
      <c r="GPN2" s="18"/>
      <c r="GPO2" s="18"/>
      <c r="GPP2" s="18"/>
      <c r="GPQ2" s="18"/>
      <c r="GPR2" s="18"/>
      <c r="GPS2" s="18"/>
      <c r="GPT2" s="18"/>
      <c r="GPU2" s="18"/>
      <c r="GPV2" s="18"/>
      <c r="GPW2" s="18"/>
      <c r="GPX2" s="18"/>
      <c r="GPY2" s="18"/>
      <c r="GPZ2" s="18"/>
      <c r="GQA2" s="18"/>
      <c r="GQB2" s="18"/>
      <c r="GQC2" s="18"/>
      <c r="GQD2" s="18"/>
      <c r="GQE2" s="18"/>
      <c r="GQF2" s="18"/>
      <c r="GQG2" s="18"/>
      <c r="GQH2" s="18"/>
      <c r="GQI2" s="18"/>
      <c r="GQJ2" s="18"/>
      <c r="GQK2" s="18"/>
      <c r="GQL2" s="18"/>
      <c r="GQM2" s="18"/>
      <c r="GQN2" s="18"/>
      <c r="GQO2" s="18"/>
      <c r="GQP2" s="18"/>
      <c r="GQQ2" s="18"/>
      <c r="GQR2" s="18"/>
      <c r="GQS2" s="18"/>
      <c r="GQT2" s="18"/>
      <c r="GQU2" s="18"/>
      <c r="GQV2" s="18"/>
      <c r="GQW2" s="18"/>
      <c r="GQX2" s="18"/>
      <c r="GQY2" s="18"/>
      <c r="GQZ2" s="18"/>
      <c r="GRA2" s="18"/>
      <c r="GRB2" s="18"/>
      <c r="GRC2" s="18"/>
      <c r="GRD2" s="18"/>
      <c r="GRE2" s="18"/>
      <c r="GRF2" s="18"/>
      <c r="GRG2" s="18"/>
      <c r="GRH2" s="18"/>
      <c r="GRI2" s="18"/>
      <c r="GRJ2" s="18"/>
      <c r="GRK2" s="18"/>
      <c r="GRL2" s="18"/>
      <c r="GRM2" s="18"/>
      <c r="GRN2" s="18"/>
      <c r="GRO2" s="18"/>
      <c r="GRP2" s="18"/>
      <c r="GRQ2" s="18"/>
      <c r="GRR2" s="18"/>
      <c r="GRS2" s="18"/>
      <c r="GRT2" s="18"/>
      <c r="GRU2" s="18"/>
      <c r="GRV2" s="18"/>
      <c r="GRW2" s="18"/>
      <c r="GRX2" s="18"/>
      <c r="GRY2" s="18"/>
      <c r="GRZ2" s="18"/>
      <c r="GSA2" s="18"/>
      <c r="GSB2" s="18"/>
      <c r="GSC2" s="18"/>
      <c r="GSD2" s="18"/>
      <c r="GSE2" s="18"/>
      <c r="GSF2" s="18"/>
      <c r="GSG2" s="18"/>
      <c r="GSH2" s="18"/>
      <c r="GSI2" s="18"/>
      <c r="GSJ2" s="18"/>
      <c r="GSK2" s="18"/>
      <c r="GSL2" s="18"/>
      <c r="GSM2" s="18"/>
      <c r="GSN2" s="18"/>
      <c r="GSO2" s="18"/>
      <c r="GSP2" s="18"/>
      <c r="GSQ2" s="18"/>
      <c r="GSR2" s="18"/>
      <c r="GSS2" s="18"/>
      <c r="GST2" s="18"/>
      <c r="GSU2" s="18"/>
      <c r="GSV2" s="18"/>
      <c r="GSW2" s="18"/>
      <c r="GSX2" s="18"/>
      <c r="GSY2" s="18"/>
      <c r="GSZ2" s="18"/>
      <c r="GTA2" s="18"/>
      <c r="GTB2" s="18"/>
      <c r="GTC2" s="18"/>
      <c r="GTD2" s="18"/>
      <c r="GTE2" s="18"/>
      <c r="GTF2" s="18"/>
      <c r="GTG2" s="18"/>
      <c r="GTH2" s="18"/>
      <c r="GTI2" s="18"/>
      <c r="GTJ2" s="18"/>
      <c r="GTK2" s="18"/>
      <c r="GTL2" s="18"/>
      <c r="GTM2" s="18"/>
      <c r="GTN2" s="18"/>
      <c r="GTO2" s="18"/>
      <c r="GTP2" s="18"/>
      <c r="GTQ2" s="18"/>
      <c r="GTR2" s="18"/>
      <c r="GTS2" s="18"/>
      <c r="GTT2" s="18"/>
      <c r="GTU2" s="18"/>
      <c r="GTV2" s="18"/>
      <c r="GTW2" s="18"/>
      <c r="GTX2" s="18"/>
      <c r="GTY2" s="18"/>
      <c r="GTZ2" s="18"/>
      <c r="GUA2" s="18"/>
      <c r="GUB2" s="18"/>
      <c r="GUC2" s="18"/>
      <c r="GUD2" s="18"/>
      <c r="GUE2" s="18"/>
      <c r="GUF2" s="18"/>
      <c r="GUG2" s="18"/>
      <c r="GUH2" s="18"/>
      <c r="GUI2" s="18"/>
      <c r="GUJ2" s="18"/>
      <c r="GUK2" s="18"/>
      <c r="GUL2" s="18"/>
      <c r="GUM2" s="18"/>
      <c r="GUN2" s="18"/>
      <c r="GUO2" s="18"/>
      <c r="GUP2" s="18"/>
      <c r="GUQ2" s="18"/>
      <c r="GUR2" s="18"/>
      <c r="GUS2" s="18"/>
      <c r="GUT2" s="18"/>
      <c r="GUU2" s="18"/>
      <c r="GUV2" s="18"/>
      <c r="GUW2" s="18"/>
      <c r="GUX2" s="18"/>
      <c r="GUY2" s="18"/>
      <c r="GUZ2" s="18"/>
      <c r="GVA2" s="18"/>
      <c r="GVB2" s="18"/>
      <c r="GVC2" s="18"/>
      <c r="GVD2" s="18"/>
      <c r="GVE2" s="18"/>
      <c r="GVF2" s="18"/>
      <c r="GVG2" s="18"/>
      <c r="GVH2" s="18"/>
      <c r="GVI2" s="18"/>
      <c r="GVJ2" s="18"/>
      <c r="GVK2" s="18"/>
      <c r="GVL2" s="18"/>
      <c r="GVM2" s="18"/>
      <c r="GVN2" s="18"/>
      <c r="GVO2" s="18"/>
      <c r="GVP2" s="18"/>
      <c r="GVQ2" s="18"/>
      <c r="GVR2" s="18"/>
      <c r="GVS2" s="18"/>
      <c r="GVT2" s="18"/>
      <c r="GVU2" s="18"/>
      <c r="GVV2" s="18"/>
      <c r="GVW2" s="18"/>
      <c r="GVX2" s="18"/>
      <c r="GVY2" s="18"/>
      <c r="GVZ2" s="18"/>
      <c r="GWA2" s="18"/>
      <c r="GWB2" s="18"/>
      <c r="GWC2" s="18"/>
      <c r="GWD2" s="18"/>
      <c r="GWE2" s="18"/>
      <c r="GWF2" s="18"/>
      <c r="GWG2" s="18"/>
      <c r="GWH2" s="18"/>
      <c r="GWI2" s="18"/>
      <c r="GWJ2" s="18"/>
      <c r="GWK2" s="18"/>
      <c r="GWL2" s="18"/>
      <c r="GWM2" s="18"/>
      <c r="GWN2" s="18"/>
      <c r="GWO2" s="18"/>
      <c r="GWP2" s="18"/>
      <c r="GWQ2" s="18"/>
      <c r="GWR2" s="18"/>
      <c r="GWS2" s="18"/>
      <c r="GWT2" s="18"/>
      <c r="GWU2" s="18"/>
      <c r="GWV2" s="18"/>
      <c r="GWW2" s="18"/>
      <c r="GWX2" s="18"/>
      <c r="GWY2" s="18"/>
      <c r="GWZ2" s="18"/>
      <c r="GXA2" s="18"/>
      <c r="GXB2" s="18"/>
      <c r="GXC2" s="18"/>
      <c r="GXD2" s="18"/>
      <c r="GXE2" s="18"/>
      <c r="GXF2" s="18"/>
      <c r="GXG2" s="18"/>
      <c r="GXH2" s="18"/>
      <c r="GXI2" s="18"/>
      <c r="GXJ2" s="18"/>
      <c r="GXK2" s="18"/>
      <c r="GXL2" s="18"/>
      <c r="GXM2" s="18"/>
      <c r="GXN2" s="18"/>
      <c r="GXO2" s="18"/>
      <c r="GXP2" s="18"/>
      <c r="GXQ2" s="18"/>
      <c r="GXR2" s="18"/>
      <c r="GXS2" s="18"/>
      <c r="GXT2" s="18"/>
      <c r="GXU2" s="18"/>
      <c r="GXV2" s="18"/>
      <c r="GXW2" s="18"/>
      <c r="GXX2" s="18"/>
      <c r="GXY2" s="18"/>
      <c r="GXZ2" s="18"/>
      <c r="GYA2" s="18"/>
      <c r="GYB2" s="18"/>
      <c r="GYC2" s="18"/>
      <c r="GYD2" s="18"/>
      <c r="GYE2" s="18"/>
      <c r="GYF2" s="18"/>
      <c r="GYG2" s="18"/>
      <c r="GYH2" s="18"/>
      <c r="GYI2" s="18"/>
      <c r="GYJ2" s="18"/>
      <c r="GYK2" s="18"/>
      <c r="GYL2" s="18"/>
      <c r="GYM2" s="18"/>
      <c r="GYN2" s="18"/>
      <c r="GYO2" s="18"/>
      <c r="GYP2" s="18"/>
      <c r="GYQ2" s="18"/>
      <c r="GYR2" s="18"/>
      <c r="GYS2" s="18"/>
      <c r="GYT2" s="18"/>
      <c r="GYU2" s="18"/>
      <c r="GYV2" s="18"/>
      <c r="GYW2" s="18"/>
      <c r="GYX2" s="18"/>
      <c r="GYY2" s="18"/>
      <c r="GYZ2" s="18"/>
      <c r="GZA2" s="18"/>
      <c r="GZB2" s="18"/>
      <c r="GZC2" s="18"/>
      <c r="GZD2" s="18"/>
      <c r="GZE2" s="18"/>
      <c r="GZF2" s="18"/>
      <c r="GZG2" s="18"/>
      <c r="GZH2" s="18"/>
      <c r="GZI2" s="18"/>
      <c r="GZJ2" s="18"/>
      <c r="GZK2" s="18"/>
      <c r="GZL2" s="18"/>
      <c r="GZM2" s="18"/>
      <c r="GZN2" s="18"/>
      <c r="GZO2" s="18"/>
      <c r="GZP2" s="18"/>
      <c r="GZQ2" s="18"/>
      <c r="GZR2" s="18"/>
      <c r="GZS2" s="18"/>
      <c r="GZT2" s="18"/>
      <c r="GZU2" s="18"/>
      <c r="GZV2" s="18"/>
      <c r="GZW2" s="18"/>
      <c r="GZX2" s="18"/>
      <c r="GZY2" s="18"/>
      <c r="GZZ2" s="18"/>
      <c r="HAA2" s="18"/>
      <c r="HAB2" s="18"/>
      <c r="HAC2" s="18"/>
      <c r="HAD2" s="18"/>
      <c r="HAE2" s="18"/>
      <c r="HAF2" s="18"/>
      <c r="HAG2" s="18"/>
      <c r="HAH2" s="18"/>
      <c r="HAI2" s="18"/>
      <c r="HAJ2" s="18"/>
      <c r="HAK2" s="18"/>
      <c r="HAL2" s="18"/>
      <c r="HAM2" s="18"/>
      <c r="HAN2" s="18"/>
      <c r="HAO2" s="18"/>
      <c r="HAP2" s="18"/>
      <c r="HAQ2" s="18"/>
      <c r="HAR2" s="18"/>
      <c r="HAS2" s="18"/>
      <c r="HAT2" s="18"/>
      <c r="HAU2" s="18"/>
      <c r="HAV2" s="18"/>
      <c r="HAW2" s="18"/>
      <c r="HAX2" s="18"/>
      <c r="HAY2" s="18"/>
      <c r="HAZ2" s="18"/>
      <c r="HBA2" s="18"/>
      <c r="HBB2" s="18"/>
      <c r="HBC2" s="18"/>
      <c r="HBD2" s="18"/>
      <c r="HBE2" s="18"/>
      <c r="HBF2" s="18"/>
      <c r="HBG2" s="18"/>
      <c r="HBH2" s="18"/>
      <c r="HBI2" s="18"/>
      <c r="HBJ2" s="18"/>
      <c r="HBK2" s="18"/>
      <c r="HBL2" s="18"/>
      <c r="HBM2" s="18"/>
      <c r="HBN2" s="18"/>
      <c r="HBO2" s="18"/>
      <c r="HBP2" s="18"/>
      <c r="HBQ2" s="18"/>
      <c r="HBR2" s="18"/>
      <c r="HBS2" s="18"/>
      <c r="HBT2" s="18"/>
      <c r="HBU2" s="18"/>
      <c r="HBV2" s="18"/>
      <c r="HBW2" s="18"/>
      <c r="HBX2" s="18"/>
      <c r="HBY2" s="18"/>
      <c r="HBZ2" s="18"/>
      <c r="HCA2" s="18"/>
      <c r="HCB2" s="18"/>
      <c r="HCC2" s="18"/>
      <c r="HCD2" s="18"/>
      <c r="HCE2" s="18"/>
      <c r="HCF2" s="18"/>
      <c r="HCG2" s="18"/>
      <c r="HCH2" s="18"/>
      <c r="HCI2" s="18"/>
      <c r="HCJ2" s="18"/>
      <c r="HCK2" s="18"/>
      <c r="HCL2" s="18"/>
      <c r="HCM2" s="18"/>
      <c r="HCN2" s="18"/>
      <c r="HCO2" s="18"/>
      <c r="HCP2" s="18"/>
      <c r="HCQ2" s="18"/>
      <c r="HCR2" s="18"/>
      <c r="HCS2" s="18"/>
      <c r="HCT2" s="18"/>
      <c r="HCU2" s="18"/>
      <c r="HCV2" s="18"/>
      <c r="HCW2" s="18"/>
      <c r="HCX2" s="18"/>
      <c r="HCY2" s="18"/>
      <c r="HCZ2" s="18"/>
      <c r="HDA2" s="18"/>
      <c r="HDB2" s="18"/>
      <c r="HDC2" s="18"/>
      <c r="HDD2" s="18"/>
      <c r="HDE2" s="18"/>
      <c r="HDF2" s="18"/>
      <c r="HDG2" s="18"/>
      <c r="HDH2" s="18"/>
      <c r="HDI2" s="18"/>
      <c r="HDJ2" s="18"/>
      <c r="HDK2" s="18"/>
      <c r="HDL2" s="18"/>
      <c r="HDM2" s="18"/>
      <c r="HDN2" s="18"/>
      <c r="HDO2" s="18"/>
      <c r="HDP2" s="18"/>
      <c r="HDQ2" s="18"/>
      <c r="HDR2" s="18"/>
      <c r="HDS2" s="18"/>
      <c r="HDT2" s="18"/>
      <c r="HDU2" s="18"/>
      <c r="HDV2" s="18"/>
      <c r="HDW2" s="18"/>
      <c r="HDX2" s="18"/>
      <c r="HDY2" s="18"/>
      <c r="HDZ2" s="18"/>
      <c r="HEA2" s="18"/>
      <c r="HEB2" s="18"/>
      <c r="HEC2" s="18"/>
      <c r="HED2" s="18"/>
      <c r="HEE2" s="18"/>
      <c r="HEF2" s="18"/>
      <c r="HEG2" s="18"/>
      <c r="HEH2" s="18"/>
      <c r="HEI2" s="18"/>
      <c r="HEJ2" s="18"/>
      <c r="HEK2" s="18"/>
      <c r="HEL2" s="18"/>
      <c r="HEM2" s="18"/>
      <c r="HEN2" s="18"/>
      <c r="HEO2" s="18"/>
      <c r="HEP2" s="18"/>
      <c r="HEQ2" s="18"/>
      <c r="HER2" s="18"/>
      <c r="HES2" s="18"/>
      <c r="HET2" s="18"/>
      <c r="HEU2" s="18"/>
      <c r="HEV2" s="18"/>
      <c r="HEW2" s="18"/>
      <c r="HEX2" s="18"/>
      <c r="HEY2" s="18"/>
      <c r="HEZ2" s="18"/>
      <c r="HFA2" s="18"/>
      <c r="HFB2" s="18"/>
      <c r="HFC2" s="18"/>
      <c r="HFD2" s="18"/>
      <c r="HFE2" s="18"/>
      <c r="HFF2" s="18"/>
      <c r="HFG2" s="18"/>
      <c r="HFH2" s="18"/>
      <c r="HFI2" s="18"/>
      <c r="HFJ2" s="18"/>
      <c r="HFK2" s="18"/>
      <c r="HFL2" s="18"/>
      <c r="HFM2" s="18"/>
      <c r="HFN2" s="18"/>
      <c r="HFO2" s="18"/>
      <c r="HFP2" s="18"/>
      <c r="HFQ2" s="18"/>
      <c r="HFR2" s="18"/>
      <c r="HFS2" s="18"/>
      <c r="HFT2" s="18"/>
      <c r="HFU2" s="18"/>
      <c r="HFV2" s="18"/>
      <c r="HFW2" s="18"/>
      <c r="HFX2" s="18"/>
      <c r="HFY2" s="18"/>
      <c r="HFZ2" s="18"/>
      <c r="HGA2" s="18"/>
      <c r="HGB2" s="18"/>
      <c r="HGC2" s="18"/>
      <c r="HGD2" s="18"/>
      <c r="HGE2" s="18"/>
      <c r="HGF2" s="18"/>
      <c r="HGG2" s="18"/>
      <c r="HGH2" s="18"/>
      <c r="HGI2" s="18"/>
      <c r="HGJ2" s="18"/>
      <c r="HGK2" s="18"/>
      <c r="HGL2" s="18"/>
      <c r="HGM2" s="18"/>
      <c r="HGN2" s="18"/>
      <c r="HGO2" s="18"/>
      <c r="HGP2" s="18"/>
      <c r="HGQ2" s="18"/>
      <c r="HGR2" s="18"/>
      <c r="HGS2" s="18"/>
      <c r="HGT2" s="18"/>
      <c r="HGU2" s="18"/>
      <c r="HGV2" s="18"/>
      <c r="HGW2" s="18"/>
      <c r="HGX2" s="18"/>
      <c r="HGY2" s="18"/>
      <c r="HGZ2" s="18"/>
      <c r="HHA2" s="18"/>
      <c r="HHB2" s="18"/>
      <c r="HHC2" s="18"/>
      <c r="HHD2" s="18"/>
      <c r="HHE2" s="18"/>
      <c r="HHF2" s="18"/>
      <c r="HHG2" s="18"/>
      <c r="HHH2" s="18"/>
      <c r="HHI2" s="18"/>
      <c r="HHJ2" s="18"/>
      <c r="HHK2" s="18"/>
      <c r="HHL2" s="18"/>
      <c r="HHM2" s="18"/>
      <c r="HHN2" s="18"/>
      <c r="HHO2" s="18"/>
      <c r="HHP2" s="18"/>
      <c r="HHQ2" s="18"/>
      <c r="HHR2" s="18"/>
      <c r="HHS2" s="18"/>
      <c r="HHT2" s="18"/>
      <c r="HHU2" s="18"/>
      <c r="HHV2" s="18"/>
      <c r="HHW2" s="18"/>
      <c r="HHX2" s="18"/>
      <c r="HHY2" s="18"/>
      <c r="HHZ2" s="18"/>
      <c r="HIA2" s="18"/>
      <c r="HIB2" s="18"/>
      <c r="HIC2" s="18"/>
      <c r="HID2" s="18"/>
      <c r="HIE2" s="18"/>
      <c r="HIF2" s="18"/>
      <c r="HIG2" s="18"/>
      <c r="HIH2" s="18"/>
      <c r="HII2" s="18"/>
      <c r="HIJ2" s="18"/>
      <c r="HIK2" s="18"/>
      <c r="HIL2" s="18"/>
      <c r="HIM2" s="18"/>
      <c r="HIN2" s="18"/>
      <c r="HIO2" s="18"/>
      <c r="HIP2" s="18"/>
      <c r="HIQ2" s="18"/>
      <c r="HIR2" s="18"/>
      <c r="HIS2" s="18"/>
      <c r="HIT2" s="18"/>
      <c r="HIU2" s="18"/>
      <c r="HIV2" s="18"/>
      <c r="HIW2" s="18"/>
      <c r="HIX2" s="18"/>
      <c r="HIY2" s="18"/>
      <c r="HIZ2" s="18"/>
      <c r="HJA2" s="18"/>
      <c r="HJB2" s="18"/>
      <c r="HJC2" s="18"/>
      <c r="HJD2" s="18"/>
      <c r="HJE2" s="18"/>
      <c r="HJF2" s="18"/>
      <c r="HJG2" s="18"/>
      <c r="HJH2" s="18"/>
      <c r="HJI2" s="18"/>
      <c r="HJJ2" s="18"/>
      <c r="HJK2" s="18"/>
      <c r="HJL2" s="18"/>
      <c r="HJM2" s="18"/>
      <c r="HJN2" s="18"/>
      <c r="HJO2" s="18"/>
      <c r="HJP2" s="18"/>
      <c r="HJQ2" s="18"/>
      <c r="HJR2" s="18"/>
      <c r="HJS2" s="18"/>
      <c r="HJT2" s="18"/>
      <c r="HJU2" s="18"/>
      <c r="HJV2" s="18"/>
      <c r="HJW2" s="18"/>
      <c r="HJX2" s="18"/>
      <c r="HJY2" s="18"/>
      <c r="HJZ2" s="18"/>
      <c r="HKA2" s="18"/>
      <c r="HKB2" s="18"/>
      <c r="HKC2" s="18"/>
      <c r="HKD2" s="18"/>
      <c r="HKE2" s="18"/>
      <c r="HKF2" s="18"/>
      <c r="HKG2" s="18"/>
      <c r="HKH2" s="18"/>
      <c r="HKI2" s="18"/>
      <c r="HKJ2" s="18"/>
      <c r="HKK2" s="18"/>
      <c r="HKL2" s="18"/>
      <c r="HKM2" s="18"/>
      <c r="HKN2" s="18"/>
      <c r="HKO2" s="18"/>
      <c r="HKP2" s="18"/>
      <c r="HKQ2" s="18"/>
      <c r="HKR2" s="18"/>
      <c r="HKS2" s="18"/>
      <c r="HKT2" s="18"/>
      <c r="HKU2" s="18"/>
      <c r="HKV2" s="18"/>
      <c r="HKW2" s="18"/>
      <c r="HKX2" s="18"/>
      <c r="HKY2" s="18"/>
      <c r="HKZ2" s="18"/>
      <c r="HLA2" s="18"/>
      <c r="HLB2" s="18"/>
      <c r="HLC2" s="18"/>
      <c r="HLD2" s="18"/>
      <c r="HLE2" s="18"/>
      <c r="HLF2" s="18"/>
      <c r="HLG2" s="18"/>
      <c r="HLH2" s="18"/>
      <c r="HLI2" s="18"/>
      <c r="HLJ2" s="18"/>
      <c r="HLK2" s="18"/>
      <c r="HLL2" s="18"/>
      <c r="HLM2" s="18"/>
      <c r="HLN2" s="18"/>
      <c r="HLO2" s="18"/>
      <c r="HLP2" s="18"/>
      <c r="HLQ2" s="18"/>
      <c r="HLR2" s="18"/>
      <c r="HLS2" s="18"/>
      <c r="HLT2" s="18"/>
      <c r="HLU2" s="18"/>
      <c r="HLV2" s="18"/>
      <c r="HLW2" s="18"/>
      <c r="HLX2" s="18"/>
      <c r="HLY2" s="18"/>
      <c r="HLZ2" s="18"/>
      <c r="HMA2" s="18"/>
      <c r="HMB2" s="18"/>
      <c r="HMC2" s="18"/>
      <c r="HMD2" s="18"/>
      <c r="HME2" s="18"/>
      <c r="HMF2" s="18"/>
      <c r="HMG2" s="18"/>
      <c r="HMH2" s="18"/>
      <c r="HMI2" s="18"/>
      <c r="HMJ2" s="18"/>
      <c r="HMK2" s="18"/>
      <c r="HML2" s="18"/>
      <c r="HMM2" s="18"/>
      <c r="HMN2" s="18"/>
      <c r="HMO2" s="18"/>
      <c r="HMP2" s="18"/>
      <c r="HMQ2" s="18"/>
      <c r="HMR2" s="18"/>
      <c r="HMS2" s="18"/>
      <c r="HMT2" s="18"/>
      <c r="HMU2" s="18"/>
      <c r="HMV2" s="18"/>
      <c r="HMW2" s="18"/>
      <c r="HMX2" s="18"/>
      <c r="HMY2" s="18"/>
      <c r="HMZ2" s="18"/>
      <c r="HNA2" s="18"/>
      <c r="HNB2" s="18"/>
      <c r="HNC2" s="18"/>
      <c r="HND2" s="18"/>
      <c r="HNE2" s="18"/>
      <c r="HNF2" s="18"/>
      <c r="HNG2" s="18"/>
      <c r="HNH2" s="18"/>
      <c r="HNI2" s="18"/>
      <c r="HNJ2" s="18"/>
      <c r="HNK2" s="18"/>
      <c r="HNL2" s="18"/>
      <c r="HNM2" s="18"/>
      <c r="HNN2" s="18"/>
      <c r="HNO2" s="18"/>
      <c r="HNP2" s="18"/>
      <c r="HNQ2" s="18"/>
      <c r="HNR2" s="18"/>
      <c r="HNS2" s="18"/>
      <c r="HNT2" s="18"/>
      <c r="HNU2" s="18"/>
      <c r="HNV2" s="18"/>
      <c r="HNW2" s="18"/>
      <c r="HNX2" s="18"/>
      <c r="HNY2" s="18"/>
      <c r="HNZ2" s="18"/>
      <c r="HOA2" s="18"/>
      <c r="HOB2" s="18"/>
      <c r="HOC2" s="18"/>
      <c r="HOD2" s="18"/>
      <c r="HOE2" s="18"/>
      <c r="HOF2" s="18"/>
      <c r="HOG2" s="18"/>
      <c r="HOH2" s="18"/>
      <c r="HOI2" s="18"/>
      <c r="HOJ2" s="18"/>
      <c r="HOK2" s="18"/>
      <c r="HOL2" s="18"/>
      <c r="HOM2" s="18"/>
      <c r="HON2" s="18"/>
      <c r="HOO2" s="18"/>
      <c r="HOP2" s="18"/>
      <c r="HOQ2" s="18"/>
      <c r="HOR2" s="18"/>
      <c r="HOS2" s="18"/>
      <c r="HOT2" s="18"/>
      <c r="HOU2" s="18"/>
      <c r="HOV2" s="18"/>
      <c r="HOW2" s="18"/>
      <c r="HOX2" s="18"/>
      <c r="HOY2" s="18"/>
      <c r="HOZ2" s="18"/>
      <c r="HPA2" s="18"/>
      <c r="HPB2" s="18"/>
      <c r="HPC2" s="18"/>
      <c r="HPD2" s="18"/>
      <c r="HPE2" s="18"/>
      <c r="HPF2" s="18"/>
      <c r="HPG2" s="18"/>
      <c r="HPH2" s="18"/>
      <c r="HPI2" s="18"/>
      <c r="HPJ2" s="18"/>
      <c r="HPK2" s="18"/>
      <c r="HPL2" s="18"/>
      <c r="HPM2" s="18"/>
      <c r="HPN2" s="18"/>
      <c r="HPO2" s="18"/>
      <c r="HPP2" s="18"/>
      <c r="HPQ2" s="18"/>
      <c r="HPR2" s="18"/>
      <c r="HPS2" s="18"/>
      <c r="HPT2" s="18"/>
      <c r="HPU2" s="18"/>
      <c r="HPV2" s="18"/>
      <c r="HPW2" s="18"/>
      <c r="HPX2" s="18"/>
      <c r="HPY2" s="18"/>
      <c r="HPZ2" s="18"/>
      <c r="HQA2" s="18"/>
      <c r="HQB2" s="18"/>
      <c r="HQC2" s="18"/>
      <c r="HQD2" s="18"/>
      <c r="HQE2" s="18"/>
      <c r="HQF2" s="18"/>
      <c r="HQG2" s="18"/>
      <c r="HQH2" s="18"/>
      <c r="HQI2" s="18"/>
      <c r="HQJ2" s="18"/>
      <c r="HQK2" s="18"/>
      <c r="HQL2" s="18"/>
      <c r="HQM2" s="18"/>
      <c r="HQN2" s="18"/>
      <c r="HQO2" s="18"/>
      <c r="HQP2" s="18"/>
      <c r="HQQ2" s="18"/>
      <c r="HQR2" s="18"/>
      <c r="HQS2" s="18"/>
      <c r="HQT2" s="18"/>
      <c r="HQU2" s="18"/>
      <c r="HQV2" s="18"/>
      <c r="HQW2" s="18"/>
      <c r="HQX2" s="18"/>
      <c r="HQY2" s="18"/>
      <c r="HQZ2" s="18"/>
      <c r="HRA2" s="18"/>
      <c r="HRB2" s="18"/>
      <c r="HRC2" s="18"/>
      <c r="HRD2" s="18"/>
      <c r="HRE2" s="18"/>
      <c r="HRF2" s="18"/>
      <c r="HRG2" s="18"/>
      <c r="HRH2" s="18"/>
      <c r="HRI2" s="18"/>
      <c r="HRJ2" s="18"/>
      <c r="HRK2" s="18"/>
      <c r="HRL2" s="18"/>
      <c r="HRM2" s="18"/>
      <c r="HRN2" s="18"/>
      <c r="HRO2" s="18"/>
      <c r="HRP2" s="18"/>
      <c r="HRQ2" s="18"/>
      <c r="HRR2" s="18"/>
      <c r="HRS2" s="18"/>
      <c r="HRT2" s="18"/>
      <c r="HRU2" s="18"/>
      <c r="HRV2" s="18"/>
      <c r="HRW2" s="18"/>
      <c r="HRX2" s="18"/>
      <c r="HRY2" s="18"/>
      <c r="HRZ2" s="18"/>
      <c r="HSA2" s="18"/>
      <c r="HSB2" s="18"/>
      <c r="HSC2" s="18"/>
      <c r="HSD2" s="18"/>
      <c r="HSE2" s="18"/>
      <c r="HSF2" s="18"/>
      <c r="HSG2" s="18"/>
      <c r="HSH2" s="18"/>
      <c r="HSI2" s="18"/>
      <c r="HSJ2" s="18"/>
      <c r="HSK2" s="18"/>
      <c r="HSL2" s="18"/>
      <c r="HSM2" s="18"/>
      <c r="HSN2" s="18"/>
      <c r="HSO2" s="18"/>
      <c r="HSP2" s="18"/>
      <c r="HSQ2" s="18"/>
      <c r="HSR2" s="18"/>
      <c r="HSS2" s="18"/>
      <c r="HST2" s="18"/>
      <c r="HSU2" s="18"/>
      <c r="HSV2" s="18"/>
      <c r="HSW2" s="18"/>
      <c r="HSX2" s="18"/>
      <c r="HSY2" s="18"/>
      <c r="HSZ2" s="18"/>
      <c r="HTA2" s="18"/>
      <c r="HTB2" s="18"/>
      <c r="HTC2" s="18"/>
      <c r="HTD2" s="18"/>
      <c r="HTE2" s="18"/>
      <c r="HTF2" s="18"/>
      <c r="HTG2" s="18"/>
      <c r="HTH2" s="18"/>
      <c r="HTI2" s="18"/>
      <c r="HTJ2" s="18"/>
      <c r="HTK2" s="18"/>
      <c r="HTL2" s="18"/>
      <c r="HTM2" s="18"/>
      <c r="HTN2" s="18"/>
      <c r="HTO2" s="18"/>
      <c r="HTP2" s="18"/>
      <c r="HTQ2" s="18"/>
      <c r="HTR2" s="18"/>
      <c r="HTS2" s="18"/>
      <c r="HTT2" s="18"/>
      <c r="HTU2" s="18"/>
      <c r="HTV2" s="18"/>
      <c r="HTW2" s="18"/>
      <c r="HTX2" s="18"/>
      <c r="HTY2" s="18"/>
      <c r="HTZ2" s="18"/>
      <c r="HUA2" s="18"/>
      <c r="HUB2" s="18"/>
      <c r="HUC2" s="18"/>
      <c r="HUD2" s="18"/>
      <c r="HUE2" s="18"/>
      <c r="HUF2" s="18"/>
      <c r="HUG2" s="18"/>
      <c r="HUH2" s="18"/>
      <c r="HUI2" s="18"/>
      <c r="HUJ2" s="18"/>
      <c r="HUK2" s="18"/>
      <c r="HUL2" s="18"/>
      <c r="HUM2" s="18"/>
      <c r="HUN2" s="18"/>
      <c r="HUO2" s="18"/>
      <c r="HUP2" s="18"/>
      <c r="HUQ2" s="18"/>
      <c r="HUR2" s="18"/>
      <c r="HUS2" s="18"/>
      <c r="HUT2" s="18"/>
      <c r="HUU2" s="18"/>
      <c r="HUV2" s="18"/>
      <c r="HUW2" s="18"/>
      <c r="HUX2" s="18"/>
      <c r="HUY2" s="18"/>
      <c r="HUZ2" s="18"/>
      <c r="HVA2" s="18"/>
      <c r="HVB2" s="18"/>
      <c r="HVC2" s="18"/>
      <c r="HVD2" s="18"/>
      <c r="HVE2" s="18"/>
      <c r="HVF2" s="18"/>
      <c r="HVG2" s="18"/>
      <c r="HVH2" s="18"/>
      <c r="HVI2" s="18"/>
      <c r="HVJ2" s="18"/>
      <c r="HVK2" s="18"/>
      <c r="HVL2" s="18"/>
      <c r="HVM2" s="18"/>
      <c r="HVN2" s="18"/>
      <c r="HVO2" s="18"/>
      <c r="HVP2" s="18"/>
      <c r="HVQ2" s="18"/>
      <c r="HVR2" s="18"/>
      <c r="HVS2" s="18"/>
      <c r="HVT2" s="18"/>
      <c r="HVU2" s="18"/>
      <c r="HVV2" s="18"/>
      <c r="HVW2" s="18"/>
      <c r="HVX2" s="18"/>
      <c r="HVY2" s="18"/>
      <c r="HVZ2" s="18"/>
      <c r="HWA2" s="18"/>
      <c r="HWB2" s="18"/>
      <c r="HWC2" s="18"/>
      <c r="HWD2" s="18"/>
      <c r="HWE2" s="18"/>
      <c r="HWF2" s="18"/>
      <c r="HWG2" s="18"/>
      <c r="HWH2" s="18"/>
      <c r="HWI2" s="18"/>
      <c r="HWJ2" s="18"/>
      <c r="HWK2" s="18"/>
      <c r="HWL2" s="18"/>
      <c r="HWM2" s="18"/>
      <c r="HWN2" s="18"/>
      <c r="HWO2" s="18"/>
      <c r="HWP2" s="18"/>
      <c r="HWQ2" s="18"/>
      <c r="HWR2" s="18"/>
      <c r="HWS2" s="18"/>
      <c r="HWT2" s="18"/>
      <c r="HWU2" s="18"/>
      <c r="HWV2" s="18"/>
      <c r="HWW2" s="18"/>
      <c r="HWX2" s="18"/>
      <c r="HWY2" s="18"/>
      <c r="HWZ2" s="18"/>
      <c r="HXA2" s="18"/>
      <c r="HXB2" s="18"/>
      <c r="HXC2" s="18"/>
      <c r="HXD2" s="18"/>
      <c r="HXE2" s="18"/>
      <c r="HXF2" s="18"/>
      <c r="HXG2" s="18"/>
      <c r="HXH2" s="18"/>
      <c r="HXI2" s="18"/>
      <c r="HXJ2" s="18"/>
      <c r="HXK2" s="18"/>
      <c r="HXL2" s="18"/>
      <c r="HXM2" s="18"/>
      <c r="HXN2" s="18"/>
      <c r="HXO2" s="18"/>
      <c r="HXP2" s="18"/>
      <c r="HXQ2" s="18"/>
      <c r="HXR2" s="18"/>
      <c r="HXS2" s="18"/>
      <c r="HXT2" s="18"/>
      <c r="HXU2" s="18"/>
      <c r="HXV2" s="18"/>
      <c r="HXW2" s="18"/>
      <c r="HXX2" s="18"/>
      <c r="HXY2" s="18"/>
      <c r="HXZ2" s="18"/>
      <c r="HYA2" s="18"/>
      <c r="HYB2" s="18"/>
      <c r="HYC2" s="18"/>
      <c r="HYD2" s="18"/>
      <c r="HYE2" s="18"/>
      <c r="HYF2" s="18"/>
      <c r="HYG2" s="18"/>
      <c r="HYH2" s="18"/>
      <c r="HYI2" s="18"/>
      <c r="HYJ2" s="18"/>
      <c r="HYK2" s="18"/>
      <c r="HYL2" s="18"/>
      <c r="HYM2" s="18"/>
      <c r="HYN2" s="18"/>
      <c r="HYO2" s="18"/>
      <c r="HYP2" s="18"/>
      <c r="HYQ2" s="18"/>
      <c r="HYR2" s="18"/>
      <c r="HYS2" s="18"/>
      <c r="HYT2" s="18"/>
      <c r="HYU2" s="18"/>
      <c r="HYV2" s="18"/>
      <c r="HYW2" s="18"/>
      <c r="HYX2" s="18"/>
      <c r="HYY2" s="18"/>
      <c r="HYZ2" s="18"/>
      <c r="HZA2" s="18"/>
      <c r="HZB2" s="18"/>
      <c r="HZC2" s="18"/>
      <c r="HZD2" s="18"/>
      <c r="HZE2" s="18"/>
      <c r="HZF2" s="18"/>
      <c r="HZG2" s="18"/>
      <c r="HZH2" s="18"/>
      <c r="HZI2" s="18"/>
      <c r="HZJ2" s="18"/>
      <c r="HZK2" s="18"/>
      <c r="HZL2" s="18"/>
      <c r="HZM2" s="18"/>
      <c r="HZN2" s="18"/>
      <c r="HZO2" s="18"/>
      <c r="HZP2" s="18"/>
      <c r="HZQ2" s="18"/>
      <c r="HZR2" s="18"/>
      <c r="HZS2" s="18"/>
      <c r="HZT2" s="18"/>
      <c r="HZU2" s="18"/>
      <c r="HZV2" s="18"/>
      <c r="HZW2" s="18"/>
      <c r="HZX2" s="18"/>
      <c r="HZY2" s="18"/>
      <c r="HZZ2" s="18"/>
      <c r="IAA2" s="18"/>
      <c r="IAB2" s="18"/>
      <c r="IAC2" s="18"/>
      <c r="IAD2" s="18"/>
      <c r="IAE2" s="18"/>
      <c r="IAF2" s="18"/>
      <c r="IAG2" s="18"/>
      <c r="IAH2" s="18"/>
      <c r="IAI2" s="18"/>
      <c r="IAJ2" s="18"/>
      <c r="IAK2" s="18"/>
      <c r="IAL2" s="18"/>
      <c r="IAM2" s="18"/>
      <c r="IAN2" s="18"/>
      <c r="IAO2" s="18"/>
      <c r="IAP2" s="18"/>
      <c r="IAQ2" s="18"/>
      <c r="IAR2" s="18"/>
      <c r="IAS2" s="18"/>
      <c r="IAT2" s="18"/>
      <c r="IAU2" s="18"/>
      <c r="IAV2" s="18"/>
      <c r="IAW2" s="18"/>
      <c r="IAX2" s="18"/>
      <c r="IAY2" s="18"/>
      <c r="IAZ2" s="18"/>
      <c r="IBA2" s="18"/>
      <c r="IBB2" s="18"/>
      <c r="IBC2" s="18"/>
      <c r="IBD2" s="18"/>
      <c r="IBE2" s="18"/>
      <c r="IBF2" s="18"/>
      <c r="IBG2" s="18"/>
      <c r="IBH2" s="18"/>
      <c r="IBI2" s="18"/>
      <c r="IBJ2" s="18"/>
      <c r="IBK2" s="18"/>
      <c r="IBL2" s="18"/>
      <c r="IBM2" s="18"/>
      <c r="IBN2" s="18"/>
      <c r="IBO2" s="18"/>
      <c r="IBP2" s="18"/>
      <c r="IBQ2" s="18"/>
      <c r="IBR2" s="18"/>
      <c r="IBS2" s="18"/>
      <c r="IBT2" s="18"/>
      <c r="IBU2" s="18"/>
      <c r="IBV2" s="18"/>
      <c r="IBW2" s="18"/>
      <c r="IBX2" s="18"/>
      <c r="IBY2" s="18"/>
      <c r="IBZ2" s="18"/>
      <c r="ICA2" s="18"/>
      <c r="ICB2" s="18"/>
      <c r="ICC2" s="18"/>
      <c r="ICD2" s="18"/>
      <c r="ICE2" s="18"/>
      <c r="ICF2" s="18"/>
      <c r="ICG2" s="18"/>
      <c r="ICH2" s="18"/>
      <c r="ICI2" s="18"/>
      <c r="ICJ2" s="18"/>
      <c r="ICK2" s="18"/>
      <c r="ICL2" s="18"/>
      <c r="ICM2" s="18"/>
      <c r="ICN2" s="18"/>
      <c r="ICO2" s="18"/>
      <c r="ICP2" s="18"/>
      <c r="ICQ2" s="18"/>
      <c r="ICR2" s="18"/>
      <c r="ICS2" s="18"/>
      <c r="ICT2" s="18"/>
      <c r="ICU2" s="18"/>
      <c r="ICV2" s="18"/>
      <c r="ICW2" s="18"/>
      <c r="ICX2" s="18"/>
      <c r="ICY2" s="18"/>
      <c r="ICZ2" s="18"/>
      <c r="IDA2" s="18"/>
      <c r="IDB2" s="18"/>
      <c r="IDC2" s="18"/>
      <c r="IDD2" s="18"/>
      <c r="IDE2" s="18"/>
      <c r="IDF2" s="18"/>
      <c r="IDG2" s="18"/>
      <c r="IDH2" s="18"/>
      <c r="IDI2" s="18"/>
      <c r="IDJ2" s="18"/>
      <c r="IDK2" s="18"/>
      <c r="IDL2" s="18"/>
      <c r="IDM2" s="18"/>
      <c r="IDN2" s="18"/>
      <c r="IDO2" s="18"/>
      <c r="IDP2" s="18"/>
      <c r="IDQ2" s="18"/>
      <c r="IDR2" s="18"/>
      <c r="IDS2" s="18"/>
      <c r="IDT2" s="18"/>
      <c r="IDU2" s="18"/>
      <c r="IDV2" s="18"/>
      <c r="IDW2" s="18"/>
      <c r="IDX2" s="18"/>
      <c r="IDY2" s="18"/>
      <c r="IDZ2" s="18"/>
      <c r="IEA2" s="18"/>
      <c r="IEB2" s="18"/>
      <c r="IEC2" s="18"/>
      <c r="IED2" s="18"/>
      <c r="IEE2" s="18"/>
      <c r="IEF2" s="18"/>
      <c r="IEG2" s="18"/>
      <c r="IEH2" s="18"/>
      <c r="IEI2" s="18"/>
      <c r="IEJ2" s="18"/>
      <c r="IEK2" s="18"/>
      <c r="IEL2" s="18"/>
      <c r="IEM2" s="18"/>
      <c r="IEN2" s="18"/>
      <c r="IEO2" s="18"/>
      <c r="IEP2" s="18"/>
      <c r="IEQ2" s="18"/>
      <c r="IER2" s="18"/>
      <c r="IES2" s="18"/>
      <c r="IET2" s="18"/>
      <c r="IEU2" s="18"/>
      <c r="IEV2" s="18"/>
      <c r="IEW2" s="18"/>
      <c r="IEX2" s="18"/>
      <c r="IEY2" s="18"/>
      <c r="IEZ2" s="18"/>
      <c r="IFA2" s="18"/>
      <c r="IFB2" s="18"/>
      <c r="IFC2" s="18"/>
      <c r="IFD2" s="18"/>
      <c r="IFE2" s="18"/>
      <c r="IFF2" s="18"/>
      <c r="IFG2" s="18"/>
      <c r="IFH2" s="18"/>
      <c r="IFI2" s="18"/>
      <c r="IFJ2" s="18"/>
      <c r="IFK2" s="18"/>
      <c r="IFL2" s="18"/>
      <c r="IFM2" s="18"/>
      <c r="IFN2" s="18"/>
      <c r="IFO2" s="18"/>
      <c r="IFP2" s="18"/>
      <c r="IFQ2" s="18"/>
      <c r="IFR2" s="18"/>
      <c r="IFS2" s="18"/>
      <c r="IFT2" s="18"/>
      <c r="IFU2" s="18"/>
      <c r="IFV2" s="18"/>
      <c r="IFW2" s="18"/>
      <c r="IFX2" s="18"/>
      <c r="IFY2" s="18"/>
      <c r="IFZ2" s="18"/>
      <c r="IGA2" s="18"/>
      <c r="IGB2" s="18"/>
      <c r="IGC2" s="18"/>
      <c r="IGD2" s="18"/>
      <c r="IGE2" s="18"/>
      <c r="IGF2" s="18"/>
      <c r="IGG2" s="18"/>
      <c r="IGH2" s="18"/>
      <c r="IGI2" s="18"/>
      <c r="IGJ2" s="18"/>
      <c r="IGK2" s="18"/>
      <c r="IGL2" s="18"/>
      <c r="IGM2" s="18"/>
      <c r="IGN2" s="18"/>
      <c r="IGO2" s="18"/>
      <c r="IGP2" s="18"/>
      <c r="IGQ2" s="18"/>
      <c r="IGR2" s="18"/>
      <c r="IGS2" s="18"/>
      <c r="IGT2" s="18"/>
      <c r="IGU2" s="18"/>
      <c r="IGV2" s="18"/>
      <c r="IGW2" s="18"/>
      <c r="IGX2" s="18"/>
      <c r="IGY2" s="18"/>
      <c r="IGZ2" s="18"/>
      <c r="IHA2" s="18"/>
      <c r="IHB2" s="18"/>
      <c r="IHC2" s="18"/>
      <c r="IHD2" s="18"/>
      <c r="IHE2" s="18"/>
      <c r="IHF2" s="18"/>
      <c r="IHG2" s="18"/>
      <c r="IHH2" s="18"/>
      <c r="IHI2" s="18"/>
      <c r="IHJ2" s="18"/>
      <c r="IHK2" s="18"/>
      <c r="IHL2" s="18"/>
      <c r="IHM2" s="18"/>
      <c r="IHN2" s="18"/>
      <c r="IHO2" s="18"/>
      <c r="IHP2" s="18"/>
      <c r="IHQ2" s="18"/>
      <c r="IHR2" s="18"/>
      <c r="IHS2" s="18"/>
      <c r="IHT2" s="18"/>
      <c r="IHU2" s="18"/>
      <c r="IHV2" s="18"/>
      <c r="IHW2" s="18"/>
      <c r="IHX2" s="18"/>
      <c r="IHY2" s="18"/>
      <c r="IHZ2" s="18"/>
      <c r="IIA2" s="18"/>
      <c r="IIB2" s="18"/>
      <c r="IIC2" s="18"/>
      <c r="IID2" s="18"/>
      <c r="IIE2" s="18"/>
      <c r="IIF2" s="18"/>
      <c r="IIG2" s="18"/>
      <c r="IIH2" s="18"/>
      <c r="III2" s="18"/>
      <c r="IIJ2" s="18"/>
      <c r="IIK2" s="18"/>
      <c r="IIL2" s="18"/>
      <c r="IIM2" s="18"/>
      <c r="IIN2" s="18"/>
      <c r="IIO2" s="18"/>
      <c r="IIP2" s="18"/>
      <c r="IIQ2" s="18"/>
      <c r="IIR2" s="18"/>
      <c r="IIS2" s="18"/>
      <c r="IIT2" s="18"/>
      <c r="IIU2" s="18"/>
      <c r="IIV2" s="18"/>
      <c r="IIW2" s="18"/>
      <c r="IIX2" s="18"/>
      <c r="IIY2" s="18"/>
      <c r="IIZ2" s="18"/>
      <c r="IJA2" s="18"/>
      <c r="IJB2" s="18"/>
      <c r="IJC2" s="18"/>
      <c r="IJD2" s="18"/>
      <c r="IJE2" s="18"/>
      <c r="IJF2" s="18"/>
      <c r="IJG2" s="18"/>
      <c r="IJH2" s="18"/>
      <c r="IJI2" s="18"/>
      <c r="IJJ2" s="18"/>
      <c r="IJK2" s="18"/>
      <c r="IJL2" s="18"/>
      <c r="IJM2" s="18"/>
      <c r="IJN2" s="18"/>
      <c r="IJO2" s="18"/>
      <c r="IJP2" s="18"/>
      <c r="IJQ2" s="18"/>
      <c r="IJR2" s="18"/>
      <c r="IJS2" s="18"/>
      <c r="IJT2" s="18"/>
      <c r="IJU2" s="18"/>
      <c r="IJV2" s="18"/>
      <c r="IJW2" s="18"/>
      <c r="IJX2" s="18"/>
      <c r="IJY2" s="18"/>
      <c r="IJZ2" s="18"/>
      <c r="IKA2" s="18"/>
      <c r="IKB2" s="18"/>
      <c r="IKC2" s="18"/>
      <c r="IKD2" s="18"/>
      <c r="IKE2" s="18"/>
      <c r="IKF2" s="18"/>
      <c r="IKG2" s="18"/>
      <c r="IKH2" s="18"/>
      <c r="IKI2" s="18"/>
      <c r="IKJ2" s="18"/>
      <c r="IKK2" s="18"/>
      <c r="IKL2" s="18"/>
      <c r="IKM2" s="18"/>
      <c r="IKN2" s="18"/>
      <c r="IKO2" s="18"/>
      <c r="IKP2" s="18"/>
      <c r="IKQ2" s="18"/>
      <c r="IKR2" s="18"/>
      <c r="IKS2" s="18"/>
      <c r="IKT2" s="18"/>
      <c r="IKU2" s="18"/>
      <c r="IKV2" s="18"/>
      <c r="IKW2" s="18"/>
      <c r="IKX2" s="18"/>
      <c r="IKY2" s="18"/>
      <c r="IKZ2" s="18"/>
      <c r="ILA2" s="18"/>
      <c r="ILB2" s="18"/>
      <c r="ILC2" s="18"/>
      <c r="ILD2" s="18"/>
      <c r="ILE2" s="18"/>
      <c r="ILF2" s="18"/>
      <c r="ILG2" s="18"/>
      <c r="ILH2" s="18"/>
      <c r="ILI2" s="18"/>
      <c r="ILJ2" s="18"/>
      <c r="ILK2" s="18"/>
      <c r="ILL2" s="18"/>
      <c r="ILM2" s="18"/>
      <c r="ILN2" s="18"/>
      <c r="ILO2" s="18"/>
      <c r="ILP2" s="18"/>
      <c r="ILQ2" s="18"/>
      <c r="ILR2" s="18"/>
      <c r="ILS2" s="18"/>
      <c r="ILT2" s="18"/>
      <c r="ILU2" s="18"/>
      <c r="ILV2" s="18"/>
      <c r="ILW2" s="18"/>
      <c r="ILX2" s="18"/>
      <c r="ILY2" s="18"/>
      <c r="ILZ2" s="18"/>
      <c r="IMA2" s="18"/>
      <c r="IMB2" s="18"/>
      <c r="IMC2" s="18"/>
      <c r="IMD2" s="18"/>
      <c r="IME2" s="18"/>
      <c r="IMF2" s="18"/>
      <c r="IMG2" s="18"/>
      <c r="IMH2" s="18"/>
      <c r="IMI2" s="18"/>
      <c r="IMJ2" s="18"/>
      <c r="IMK2" s="18"/>
      <c r="IML2" s="18"/>
      <c r="IMM2" s="18"/>
      <c r="IMN2" s="18"/>
      <c r="IMO2" s="18"/>
      <c r="IMP2" s="18"/>
      <c r="IMQ2" s="18"/>
      <c r="IMR2" s="18"/>
      <c r="IMS2" s="18"/>
      <c r="IMT2" s="18"/>
      <c r="IMU2" s="18"/>
      <c r="IMV2" s="18"/>
      <c r="IMW2" s="18"/>
      <c r="IMX2" s="18"/>
      <c r="IMY2" s="18"/>
      <c r="IMZ2" s="18"/>
      <c r="INA2" s="18"/>
      <c r="INB2" s="18"/>
      <c r="INC2" s="18"/>
      <c r="IND2" s="18"/>
      <c r="INE2" s="18"/>
      <c r="INF2" s="18"/>
      <c r="ING2" s="18"/>
      <c r="INH2" s="18"/>
      <c r="INI2" s="18"/>
      <c r="INJ2" s="18"/>
      <c r="INK2" s="18"/>
      <c r="INL2" s="18"/>
      <c r="INM2" s="18"/>
      <c r="INN2" s="18"/>
      <c r="INO2" s="18"/>
      <c r="INP2" s="18"/>
      <c r="INQ2" s="18"/>
      <c r="INR2" s="18"/>
      <c r="INS2" s="18"/>
      <c r="INT2" s="18"/>
      <c r="INU2" s="18"/>
      <c r="INV2" s="18"/>
      <c r="INW2" s="18"/>
      <c r="INX2" s="18"/>
      <c r="INY2" s="18"/>
      <c r="INZ2" s="18"/>
      <c r="IOA2" s="18"/>
      <c r="IOB2" s="18"/>
      <c r="IOC2" s="18"/>
      <c r="IOD2" s="18"/>
      <c r="IOE2" s="18"/>
      <c r="IOF2" s="18"/>
      <c r="IOG2" s="18"/>
      <c r="IOH2" s="18"/>
      <c r="IOI2" s="18"/>
      <c r="IOJ2" s="18"/>
      <c r="IOK2" s="18"/>
      <c r="IOL2" s="18"/>
      <c r="IOM2" s="18"/>
      <c r="ION2" s="18"/>
      <c r="IOO2" s="18"/>
      <c r="IOP2" s="18"/>
      <c r="IOQ2" s="18"/>
      <c r="IOR2" s="18"/>
      <c r="IOS2" s="18"/>
      <c r="IOT2" s="18"/>
      <c r="IOU2" s="18"/>
      <c r="IOV2" s="18"/>
      <c r="IOW2" s="18"/>
      <c r="IOX2" s="18"/>
      <c r="IOY2" s="18"/>
      <c r="IOZ2" s="18"/>
      <c r="IPA2" s="18"/>
      <c r="IPB2" s="18"/>
      <c r="IPC2" s="18"/>
      <c r="IPD2" s="18"/>
      <c r="IPE2" s="18"/>
      <c r="IPF2" s="18"/>
      <c r="IPG2" s="18"/>
      <c r="IPH2" s="18"/>
      <c r="IPI2" s="18"/>
      <c r="IPJ2" s="18"/>
      <c r="IPK2" s="18"/>
      <c r="IPL2" s="18"/>
      <c r="IPM2" s="18"/>
      <c r="IPN2" s="18"/>
      <c r="IPO2" s="18"/>
      <c r="IPP2" s="18"/>
      <c r="IPQ2" s="18"/>
      <c r="IPR2" s="18"/>
      <c r="IPS2" s="18"/>
      <c r="IPT2" s="18"/>
      <c r="IPU2" s="18"/>
      <c r="IPV2" s="18"/>
      <c r="IPW2" s="18"/>
      <c r="IPX2" s="18"/>
      <c r="IPY2" s="18"/>
      <c r="IPZ2" s="18"/>
      <c r="IQA2" s="18"/>
      <c r="IQB2" s="18"/>
      <c r="IQC2" s="18"/>
      <c r="IQD2" s="18"/>
      <c r="IQE2" s="18"/>
      <c r="IQF2" s="18"/>
      <c r="IQG2" s="18"/>
      <c r="IQH2" s="18"/>
      <c r="IQI2" s="18"/>
      <c r="IQJ2" s="18"/>
      <c r="IQK2" s="18"/>
      <c r="IQL2" s="18"/>
      <c r="IQM2" s="18"/>
      <c r="IQN2" s="18"/>
      <c r="IQO2" s="18"/>
      <c r="IQP2" s="18"/>
      <c r="IQQ2" s="18"/>
      <c r="IQR2" s="18"/>
      <c r="IQS2" s="18"/>
      <c r="IQT2" s="18"/>
      <c r="IQU2" s="18"/>
      <c r="IQV2" s="18"/>
      <c r="IQW2" s="18"/>
      <c r="IQX2" s="18"/>
      <c r="IQY2" s="18"/>
      <c r="IQZ2" s="18"/>
      <c r="IRA2" s="18"/>
      <c r="IRB2" s="18"/>
      <c r="IRC2" s="18"/>
      <c r="IRD2" s="18"/>
      <c r="IRE2" s="18"/>
      <c r="IRF2" s="18"/>
      <c r="IRG2" s="18"/>
      <c r="IRH2" s="18"/>
      <c r="IRI2" s="18"/>
      <c r="IRJ2" s="18"/>
      <c r="IRK2" s="18"/>
      <c r="IRL2" s="18"/>
      <c r="IRM2" s="18"/>
      <c r="IRN2" s="18"/>
      <c r="IRO2" s="18"/>
      <c r="IRP2" s="18"/>
      <c r="IRQ2" s="18"/>
      <c r="IRR2" s="18"/>
      <c r="IRS2" s="18"/>
      <c r="IRT2" s="18"/>
      <c r="IRU2" s="18"/>
      <c r="IRV2" s="18"/>
      <c r="IRW2" s="18"/>
      <c r="IRX2" s="18"/>
      <c r="IRY2" s="18"/>
      <c r="IRZ2" s="18"/>
      <c r="ISA2" s="18"/>
      <c r="ISB2" s="18"/>
      <c r="ISC2" s="18"/>
      <c r="ISD2" s="18"/>
      <c r="ISE2" s="18"/>
      <c r="ISF2" s="18"/>
      <c r="ISG2" s="18"/>
      <c r="ISH2" s="18"/>
      <c r="ISI2" s="18"/>
      <c r="ISJ2" s="18"/>
      <c r="ISK2" s="18"/>
      <c r="ISL2" s="18"/>
      <c r="ISM2" s="18"/>
      <c r="ISN2" s="18"/>
      <c r="ISO2" s="18"/>
      <c r="ISP2" s="18"/>
      <c r="ISQ2" s="18"/>
      <c r="ISR2" s="18"/>
      <c r="ISS2" s="18"/>
      <c r="IST2" s="18"/>
      <c r="ISU2" s="18"/>
      <c r="ISV2" s="18"/>
      <c r="ISW2" s="18"/>
      <c r="ISX2" s="18"/>
      <c r="ISY2" s="18"/>
      <c r="ISZ2" s="18"/>
      <c r="ITA2" s="18"/>
      <c r="ITB2" s="18"/>
      <c r="ITC2" s="18"/>
      <c r="ITD2" s="18"/>
      <c r="ITE2" s="18"/>
      <c r="ITF2" s="18"/>
      <c r="ITG2" s="18"/>
      <c r="ITH2" s="18"/>
      <c r="ITI2" s="18"/>
      <c r="ITJ2" s="18"/>
      <c r="ITK2" s="18"/>
      <c r="ITL2" s="18"/>
      <c r="ITM2" s="18"/>
      <c r="ITN2" s="18"/>
      <c r="ITO2" s="18"/>
      <c r="ITP2" s="18"/>
      <c r="ITQ2" s="18"/>
      <c r="ITR2" s="18"/>
      <c r="ITS2" s="18"/>
      <c r="ITT2" s="18"/>
      <c r="ITU2" s="18"/>
      <c r="ITV2" s="18"/>
      <c r="ITW2" s="18"/>
      <c r="ITX2" s="18"/>
      <c r="ITY2" s="18"/>
      <c r="ITZ2" s="18"/>
      <c r="IUA2" s="18"/>
      <c r="IUB2" s="18"/>
      <c r="IUC2" s="18"/>
      <c r="IUD2" s="18"/>
      <c r="IUE2" s="18"/>
      <c r="IUF2" s="18"/>
      <c r="IUG2" s="18"/>
      <c r="IUH2" s="18"/>
      <c r="IUI2" s="18"/>
      <c r="IUJ2" s="18"/>
      <c r="IUK2" s="18"/>
      <c r="IUL2" s="18"/>
      <c r="IUM2" s="18"/>
      <c r="IUN2" s="18"/>
      <c r="IUO2" s="18"/>
      <c r="IUP2" s="18"/>
      <c r="IUQ2" s="18"/>
      <c r="IUR2" s="18"/>
      <c r="IUS2" s="18"/>
      <c r="IUT2" s="18"/>
      <c r="IUU2" s="18"/>
      <c r="IUV2" s="18"/>
      <c r="IUW2" s="18"/>
      <c r="IUX2" s="18"/>
      <c r="IUY2" s="18"/>
      <c r="IUZ2" s="18"/>
      <c r="IVA2" s="18"/>
      <c r="IVB2" s="18"/>
      <c r="IVC2" s="18"/>
      <c r="IVD2" s="18"/>
      <c r="IVE2" s="18"/>
      <c r="IVF2" s="18"/>
      <c r="IVG2" s="18"/>
      <c r="IVH2" s="18"/>
      <c r="IVI2" s="18"/>
      <c r="IVJ2" s="18"/>
      <c r="IVK2" s="18"/>
      <c r="IVL2" s="18"/>
      <c r="IVM2" s="18"/>
      <c r="IVN2" s="18"/>
      <c r="IVO2" s="18"/>
      <c r="IVP2" s="18"/>
      <c r="IVQ2" s="18"/>
      <c r="IVR2" s="18"/>
      <c r="IVS2" s="18"/>
      <c r="IVT2" s="18"/>
      <c r="IVU2" s="18"/>
      <c r="IVV2" s="18"/>
      <c r="IVW2" s="18"/>
      <c r="IVX2" s="18"/>
      <c r="IVY2" s="18"/>
      <c r="IVZ2" s="18"/>
      <c r="IWA2" s="18"/>
      <c r="IWB2" s="18"/>
      <c r="IWC2" s="18"/>
      <c r="IWD2" s="18"/>
      <c r="IWE2" s="18"/>
      <c r="IWF2" s="18"/>
      <c r="IWG2" s="18"/>
      <c r="IWH2" s="18"/>
      <c r="IWI2" s="18"/>
      <c r="IWJ2" s="18"/>
      <c r="IWK2" s="18"/>
      <c r="IWL2" s="18"/>
      <c r="IWM2" s="18"/>
      <c r="IWN2" s="18"/>
      <c r="IWO2" s="18"/>
      <c r="IWP2" s="18"/>
      <c r="IWQ2" s="18"/>
      <c r="IWR2" s="18"/>
      <c r="IWS2" s="18"/>
      <c r="IWT2" s="18"/>
      <c r="IWU2" s="18"/>
      <c r="IWV2" s="18"/>
      <c r="IWW2" s="18"/>
      <c r="IWX2" s="18"/>
      <c r="IWY2" s="18"/>
      <c r="IWZ2" s="18"/>
      <c r="IXA2" s="18"/>
      <c r="IXB2" s="18"/>
      <c r="IXC2" s="18"/>
      <c r="IXD2" s="18"/>
      <c r="IXE2" s="18"/>
      <c r="IXF2" s="18"/>
      <c r="IXG2" s="18"/>
      <c r="IXH2" s="18"/>
      <c r="IXI2" s="18"/>
      <c r="IXJ2" s="18"/>
      <c r="IXK2" s="18"/>
      <c r="IXL2" s="18"/>
      <c r="IXM2" s="18"/>
      <c r="IXN2" s="18"/>
      <c r="IXO2" s="18"/>
      <c r="IXP2" s="18"/>
      <c r="IXQ2" s="18"/>
      <c r="IXR2" s="18"/>
      <c r="IXS2" s="18"/>
      <c r="IXT2" s="18"/>
      <c r="IXU2" s="18"/>
      <c r="IXV2" s="18"/>
      <c r="IXW2" s="18"/>
      <c r="IXX2" s="18"/>
      <c r="IXY2" s="18"/>
      <c r="IXZ2" s="18"/>
      <c r="IYA2" s="18"/>
      <c r="IYB2" s="18"/>
      <c r="IYC2" s="18"/>
      <c r="IYD2" s="18"/>
      <c r="IYE2" s="18"/>
      <c r="IYF2" s="18"/>
      <c r="IYG2" s="18"/>
      <c r="IYH2" s="18"/>
      <c r="IYI2" s="18"/>
      <c r="IYJ2" s="18"/>
      <c r="IYK2" s="18"/>
      <c r="IYL2" s="18"/>
      <c r="IYM2" s="18"/>
      <c r="IYN2" s="18"/>
      <c r="IYO2" s="18"/>
      <c r="IYP2" s="18"/>
      <c r="IYQ2" s="18"/>
      <c r="IYR2" s="18"/>
      <c r="IYS2" s="18"/>
      <c r="IYT2" s="18"/>
      <c r="IYU2" s="18"/>
      <c r="IYV2" s="18"/>
      <c r="IYW2" s="18"/>
      <c r="IYX2" s="18"/>
      <c r="IYY2" s="18"/>
      <c r="IYZ2" s="18"/>
      <c r="IZA2" s="18"/>
      <c r="IZB2" s="18"/>
      <c r="IZC2" s="18"/>
      <c r="IZD2" s="18"/>
      <c r="IZE2" s="18"/>
      <c r="IZF2" s="18"/>
      <c r="IZG2" s="18"/>
      <c r="IZH2" s="18"/>
      <c r="IZI2" s="18"/>
      <c r="IZJ2" s="18"/>
      <c r="IZK2" s="18"/>
      <c r="IZL2" s="18"/>
      <c r="IZM2" s="18"/>
      <c r="IZN2" s="18"/>
      <c r="IZO2" s="18"/>
      <c r="IZP2" s="18"/>
      <c r="IZQ2" s="18"/>
      <c r="IZR2" s="18"/>
      <c r="IZS2" s="18"/>
      <c r="IZT2" s="18"/>
      <c r="IZU2" s="18"/>
      <c r="IZV2" s="18"/>
      <c r="IZW2" s="18"/>
      <c r="IZX2" s="18"/>
      <c r="IZY2" s="18"/>
      <c r="IZZ2" s="18"/>
      <c r="JAA2" s="18"/>
      <c r="JAB2" s="18"/>
      <c r="JAC2" s="18"/>
      <c r="JAD2" s="18"/>
      <c r="JAE2" s="18"/>
      <c r="JAF2" s="18"/>
      <c r="JAG2" s="18"/>
      <c r="JAH2" s="18"/>
      <c r="JAI2" s="18"/>
      <c r="JAJ2" s="18"/>
      <c r="JAK2" s="18"/>
      <c r="JAL2" s="18"/>
      <c r="JAM2" s="18"/>
      <c r="JAN2" s="18"/>
      <c r="JAO2" s="18"/>
      <c r="JAP2" s="18"/>
      <c r="JAQ2" s="18"/>
      <c r="JAR2" s="18"/>
      <c r="JAS2" s="18"/>
      <c r="JAT2" s="18"/>
      <c r="JAU2" s="18"/>
      <c r="JAV2" s="18"/>
      <c r="JAW2" s="18"/>
      <c r="JAX2" s="18"/>
      <c r="JAY2" s="18"/>
      <c r="JAZ2" s="18"/>
      <c r="JBA2" s="18"/>
      <c r="JBB2" s="18"/>
      <c r="JBC2" s="18"/>
      <c r="JBD2" s="18"/>
      <c r="JBE2" s="18"/>
      <c r="JBF2" s="18"/>
      <c r="JBG2" s="18"/>
      <c r="JBH2" s="18"/>
      <c r="JBI2" s="18"/>
      <c r="JBJ2" s="18"/>
      <c r="JBK2" s="18"/>
      <c r="JBL2" s="18"/>
      <c r="JBM2" s="18"/>
      <c r="JBN2" s="18"/>
      <c r="JBO2" s="18"/>
      <c r="JBP2" s="18"/>
      <c r="JBQ2" s="18"/>
      <c r="JBR2" s="18"/>
      <c r="JBS2" s="18"/>
      <c r="JBT2" s="18"/>
      <c r="JBU2" s="18"/>
      <c r="JBV2" s="18"/>
      <c r="JBW2" s="18"/>
      <c r="JBX2" s="18"/>
      <c r="JBY2" s="18"/>
      <c r="JBZ2" s="18"/>
      <c r="JCA2" s="18"/>
      <c r="JCB2" s="18"/>
      <c r="JCC2" s="18"/>
      <c r="JCD2" s="18"/>
      <c r="JCE2" s="18"/>
      <c r="JCF2" s="18"/>
      <c r="JCG2" s="18"/>
      <c r="JCH2" s="18"/>
      <c r="JCI2" s="18"/>
      <c r="JCJ2" s="18"/>
      <c r="JCK2" s="18"/>
      <c r="JCL2" s="18"/>
      <c r="JCM2" s="18"/>
      <c r="JCN2" s="18"/>
      <c r="JCO2" s="18"/>
      <c r="JCP2" s="18"/>
      <c r="JCQ2" s="18"/>
      <c r="JCR2" s="18"/>
      <c r="JCS2" s="18"/>
      <c r="JCT2" s="18"/>
      <c r="JCU2" s="18"/>
      <c r="JCV2" s="18"/>
      <c r="JCW2" s="18"/>
      <c r="JCX2" s="18"/>
      <c r="JCY2" s="18"/>
      <c r="JCZ2" s="18"/>
      <c r="JDA2" s="18"/>
      <c r="JDB2" s="18"/>
      <c r="JDC2" s="18"/>
      <c r="JDD2" s="18"/>
      <c r="JDE2" s="18"/>
      <c r="JDF2" s="18"/>
      <c r="JDG2" s="18"/>
      <c r="JDH2" s="18"/>
      <c r="JDI2" s="18"/>
      <c r="JDJ2" s="18"/>
      <c r="JDK2" s="18"/>
      <c r="JDL2" s="18"/>
      <c r="JDM2" s="18"/>
      <c r="JDN2" s="18"/>
      <c r="JDO2" s="18"/>
      <c r="JDP2" s="18"/>
      <c r="JDQ2" s="18"/>
      <c r="JDR2" s="18"/>
      <c r="JDS2" s="18"/>
      <c r="JDT2" s="18"/>
      <c r="JDU2" s="18"/>
      <c r="JDV2" s="18"/>
      <c r="JDW2" s="18"/>
      <c r="JDX2" s="18"/>
      <c r="JDY2" s="18"/>
      <c r="JDZ2" s="18"/>
      <c r="JEA2" s="18"/>
      <c r="JEB2" s="18"/>
      <c r="JEC2" s="18"/>
      <c r="JED2" s="18"/>
      <c r="JEE2" s="18"/>
      <c r="JEF2" s="18"/>
      <c r="JEG2" s="18"/>
      <c r="JEH2" s="18"/>
      <c r="JEI2" s="18"/>
      <c r="JEJ2" s="18"/>
      <c r="JEK2" s="18"/>
      <c r="JEL2" s="18"/>
      <c r="JEM2" s="18"/>
      <c r="JEN2" s="18"/>
      <c r="JEO2" s="18"/>
      <c r="JEP2" s="18"/>
      <c r="JEQ2" s="18"/>
      <c r="JER2" s="18"/>
      <c r="JES2" s="18"/>
      <c r="JET2" s="18"/>
      <c r="JEU2" s="18"/>
      <c r="JEV2" s="18"/>
      <c r="JEW2" s="18"/>
      <c r="JEX2" s="18"/>
      <c r="JEY2" s="18"/>
      <c r="JEZ2" s="18"/>
      <c r="JFA2" s="18"/>
      <c r="JFB2" s="18"/>
      <c r="JFC2" s="18"/>
      <c r="JFD2" s="18"/>
      <c r="JFE2" s="18"/>
      <c r="JFF2" s="18"/>
      <c r="JFG2" s="18"/>
      <c r="JFH2" s="18"/>
      <c r="JFI2" s="18"/>
      <c r="JFJ2" s="18"/>
      <c r="JFK2" s="18"/>
      <c r="JFL2" s="18"/>
      <c r="JFM2" s="18"/>
      <c r="JFN2" s="18"/>
      <c r="JFO2" s="18"/>
      <c r="JFP2" s="18"/>
      <c r="JFQ2" s="18"/>
      <c r="JFR2" s="18"/>
      <c r="JFS2" s="18"/>
      <c r="JFT2" s="18"/>
      <c r="JFU2" s="18"/>
      <c r="JFV2" s="18"/>
      <c r="JFW2" s="18"/>
      <c r="JFX2" s="18"/>
      <c r="JFY2" s="18"/>
      <c r="JFZ2" s="18"/>
      <c r="JGA2" s="18"/>
      <c r="JGB2" s="18"/>
      <c r="JGC2" s="18"/>
      <c r="JGD2" s="18"/>
      <c r="JGE2" s="18"/>
      <c r="JGF2" s="18"/>
      <c r="JGG2" s="18"/>
      <c r="JGH2" s="18"/>
      <c r="JGI2" s="18"/>
      <c r="JGJ2" s="18"/>
      <c r="JGK2" s="18"/>
      <c r="JGL2" s="18"/>
      <c r="JGM2" s="18"/>
      <c r="JGN2" s="18"/>
      <c r="JGO2" s="18"/>
      <c r="JGP2" s="18"/>
      <c r="JGQ2" s="18"/>
      <c r="JGR2" s="18"/>
      <c r="JGS2" s="18"/>
      <c r="JGT2" s="18"/>
      <c r="JGU2" s="18"/>
      <c r="JGV2" s="18"/>
      <c r="JGW2" s="18"/>
      <c r="JGX2" s="18"/>
      <c r="JGY2" s="18"/>
      <c r="JGZ2" s="18"/>
      <c r="JHA2" s="18"/>
      <c r="JHB2" s="18"/>
      <c r="JHC2" s="18"/>
      <c r="JHD2" s="18"/>
      <c r="JHE2" s="18"/>
      <c r="JHF2" s="18"/>
      <c r="JHG2" s="18"/>
      <c r="JHH2" s="18"/>
      <c r="JHI2" s="18"/>
      <c r="JHJ2" s="18"/>
      <c r="JHK2" s="18"/>
      <c r="JHL2" s="18"/>
      <c r="JHM2" s="18"/>
      <c r="JHN2" s="18"/>
      <c r="JHO2" s="18"/>
      <c r="JHP2" s="18"/>
      <c r="JHQ2" s="18"/>
      <c r="JHR2" s="18"/>
      <c r="JHS2" s="18"/>
      <c r="JHT2" s="18"/>
      <c r="JHU2" s="18"/>
      <c r="JHV2" s="18"/>
      <c r="JHW2" s="18"/>
      <c r="JHX2" s="18"/>
      <c r="JHY2" s="18"/>
      <c r="JHZ2" s="18"/>
      <c r="JIA2" s="18"/>
      <c r="JIB2" s="18"/>
      <c r="JIC2" s="18"/>
      <c r="JID2" s="18"/>
      <c r="JIE2" s="18"/>
      <c r="JIF2" s="18"/>
      <c r="JIG2" s="18"/>
      <c r="JIH2" s="18"/>
      <c r="JII2" s="18"/>
      <c r="JIJ2" s="18"/>
      <c r="JIK2" s="18"/>
      <c r="JIL2" s="18"/>
      <c r="JIM2" s="18"/>
      <c r="JIN2" s="18"/>
      <c r="JIO2" s="18"/>
      <c r="JIP2" s="18"/>
      <c r="JIQ2" s="18"/>
      <c r="JIR2" s="18"/>
      <c r="JIS2" s="18"/>
      <c r="JIT2" s="18"/>
      <c r="JIU2" s="18"/>
      <c r="JIV2" s="18"/>
      <c r="JIW2" s="18"/>
      <c r="JIX2" s="18"/>
      <c r="JIY2" s="18"/>
      <c r="JIZ2" s="18"/>
      <c r="JJA2" s="18"/>
      <c r="JJB2" s="18"/>
      <c r="JJC2" s="18"/>
      <c r="JJD2" s="18"/>
      <c r="JJE2" s="18"/>
      <c r="JJF2" s="18"/>
      <c r="JJG2" s="18"/>
      <c r="JJH2" s="18"/>
      <c r="JJI2" s="18"/>
      <c r="JJJ2" s="18"/>
      <c r="JJK2" s="18"/>
      <c r="JJL2" s="18"/>
      <c r="JJM2" s="18"/>
      <c r="JJN2" s="18"/>
      <c r="JJO2" s="18"/>
      <c r="JJP2" s="18"/>
      <c r="JJQ2" s="18"/>
      <c r="JJR2" s="18"/>
      <c r="JJS2" s="18"/>
      <c r="JJT2" s="18"/>
      <c r="JJU2" s="18"/>
      <c r="JJV2" s="18"/>
      <c r="JJW2" s="18"/>
      <c r="JJX2" s="18"/>
      <c r="JJY2" s="18"/>
      <c r="JJZ2" s="18"/>
      <c r="JKA2" s="18"/>
      <c r="JKB2" s="18"/>
      <c r="JKC2" s="18"/>
      <c r="JKD2" s="18"/>
      <c r="JKE2" s="18"/>
      <c r="JKF2" s="18"/>
      <c r="JKG2" s="18"/>
      <c r="JKH2" s="18"/>
      <c r="JKI2" s="18"/>
      <c r="JKJ2" s="18"/>
      <c r="JKK2" s="18"/>
      <c r="JKL2" s="18"/>
      <c r="JKM2" s="18"/>
      <c r="JKN2" s="18"/>
      <c r="JKO2" s="18"/>
      <c r="JKP2" s="18"/>
      <c r="JKQ2" s="18"/>
      <c r="JKR2" s="18"/>
      <c r="JKS2" s="18"/>
      <c r="JKT2" s="18"/>
      <c r="JKU2" s="18"/>
      <c r="JKV2" s="18"/>
      <c r="JKW2" s="18"/>
      <c r="JKX2" s="18"/>
      <c r="JKY2" s="18"/>
      <c r="JKZ2" s="18"/>
      <c r="JLA2" s="18"/>
      <c r="JLB2" s="18"/>
      <c r="JLC2" s="18"/>
      <c r="JLD2" s="18"/>
      <c r="JLE2" s="18"/>
      <c r="JLF2" s="18"/>
      <c r="JLG2" s="18"/>
      <c r="JLH2" s="18"/>
      <c r="JLI2" s="18"/>
      <c r="JLJ2" s="18"/>
      <c r="JLK2" s="18"/>
      <c r="JLL2" s="18"/>
      <c r="JLM2" s="18"/>
      <c r="JLN2" s="18"/>
      <c r="JLO2" s="18"/>
      <c r="JLP2" s="18"/>
      <c r="JLQ2" s="18"/>
      <c r="JLR2" s="18"/>
      <c r="JLS2" s="18"/>
      <c r="JLT2" s="18"/>
      <c r="JLU2" s="18"/>
      <c r="JLV2" s="18"/>
      <c r="JLW2" s="18"/>
      <c r="JLX2" s="18"/>
      <c r="JLY2" s="18"/>
      <c r="JLZ2" s="18"/>
      <c r="JMA2" s="18"/>
      <c r="JMB2" s="18"/>
      <c r="JMC2" s="18"/>
      <c r="JMD2" s="18"/>
      <c r="JME2" s="18"/>
      <c r="JMF2" s="18"/>
      <c r="JMG2" s="18"/>
      <c r="JMH2" s="18"/>
      <c r="JMI2" s="18"/>
      <c r="JMJ2" s="18"/>
      <c r="JMK2" s="18"/>
      <c r="JML2" s="18"/>
      <c r="JMM2" s="18"/>
      <c r="JMN2" s="18"/>
      <c r="JMO2" s="18"/>
      <c r="JMP2" s="18"/>
      <c r="JMQ2" s="18"/>
      <c r="JMR2" s="18"/>
      <c r="JMS2" s="18"/>
      <c r="JMT2" s="18"/>
      <c r="JMU2" s="18"/>
      <c r="JMV2" s="18"/>
      <c r="JMW2" s="18"/>
      <c r="JMX2" s="18"/>
      <c r="JMY2" s="18"/>
      <c r="JMZ2" s="18"/>
      <c r="JNA2" s="18"/>
      <c r="JNB2" s="18"/>
      <c r="JNC2" s="18"/>
      <c r="JND2" s="18"/>
      <c r="JNE2" s="18"/>
      <c r="JNF2" s="18"/>
      <c r="JNG2" s="18"/>
      <c r="JNH2" s="18"/>
      <c r="JNI2" s="18"/>
      <c r="JNJ2" s="18"/>
      <c r="JNK2" s="18"/>
      <c r="JNL2" s="18"/>
      <c r="JNM2" s="18"/>
      <c r="JNN2" s="18"/>
      <c r="JNO2" s="18"/>
      <c r="JNP2" s="18"/>
      <c r="JNQ2" s="18"/>
      <c r="JNR2" s="18"/>
      <c r="JNS2" s="18"/>
      <c r="JNT2" s="18"/>
      <c r="JNU2" s="18"/>
      <c r="JNV2" s="18"/>
      <c r="JNW2" s="18"/>
      <c r="JNX2" s="18"/>
      <c r="JNY2" s="18"/>
      <c r="JNZ2" s="18"/>
      <c r="JOA2" s="18"/>
      <c r="JOB2" s="18"/>
      <c r="JOC2" s="18"/>
      <c r="JOD2" s="18"/>
      <c r="JOE2" s="18"/>
      <c r="JOF2" s="18"/>
      <c r="JOG2" s="18"/>
      <c r="JOH2" s="18"/>
      <c r="JOI2" s="18"/>
      <c r="JOJ2" s="18"/>
      <c r="JOK2" s="18"/>
      <c r="JOL2" s="18"/>
      <c r="JOM2" s="18"/>
      <c r="JON2" s="18"/>
      <c r="JOO2" s="18"/>
      <c r="JOP2" s="18"/>
      <c r="JOQ2" s="18"/>
      <c r="JOR2" s="18"/>
      <c r="JOS2" s="18"/>
      <c r="JOT2" s="18"/>
      <c r="JOU2" s="18"/>
      <c r="JOV2" s="18"/>
      <c r="JOW2" s="18"/>
      <c r="JOX2" s="18"/>
      <c r="JOY2" s="18"/>
      <c r="JOZ2" s="18"/>
      <c r="JPA2" s="18"/>
      <c r="JPB2" s="18"/>
      <c r="JPC2" s="18"/>
      <c r="JPD2" s="18"/>
      <c r="JPE2" s="18"/>
      <c r="JPF2" s="18"/>
      <c r="JPG2" s="18"/>
      <c r="JPH2" s="18"/>
      <c r="JPI2" s="18"/>
      <c r="JPJ2" s="18"/>
      <c r="JPK2" s="18"/>
      <c r="JPL2" s="18"/>
      <c r="JPM2" s="18"/>
      <c r="JPN2" s="18"/>
      <c r="JPO2" s="18"/>
      <c r="JPP2" s="18"/>
      <c r="JPQ2" s="18"/>
      <c r="JPR2" s="18"/>
      <c r="JPS2" s="18"/>
      <c r="JPT2" s="18"/>
      <c r="JPU2" s="18"/>
      <c r="JPV2" s="18"/>
      <c r="JPW2" s="18"/>
      <c r="JPX2" s="18"/>
      <c r="JPY2" s="18"/>
      <c r="JPZ2" s="18"/>
      <c r="JQA2" s="18"/>
      <c r="JQB2" s="18"/>
      <c r="JQC2" s="18"/>
      <c r="JQD2" s="18"/>
      <c r="JQE2" s="18"/>
      <c r="JQF2" s="18"/>
      <c r="JQG2" s="18"/>
      <c r="JQH2" s="18"/>
      <c r="JQI2" s="18"/>
      <c r="JQJ2" s="18"/>
      <c r="JQK2" s="18"/>
      <c r="JQL2" s="18"/>
      <c r="JQM2" s="18"/>
      <c r="JQN2" s="18"/>
      <c r="JQO2" s="18"/>
      <c r="JQP2" s="18"/>
      <c r="JQQ2" s="18"/>
      <c r="JQR2" s="18"/>
      <c r="JQS2" s="18"/>
      <c r="JQT2" s="18"/>
      <c r="JQU2" s="18"/>
      <c r="JQV2" s="18"/>
      <c r="JQW2" s="18"/>
      <c r="JQX2" s="18"/>
      <c r="JQY2" s="18"/>
      <c r="JQZ2" s="18"/>
      <c r="JRA2" s="18"/>
      <c r="JRB2" s="18"/>
      <c r="JRC2" s="18"/>
      <c r="JRD2" s="18"/>
      <c r="JRE2" s="18"/>
      <c r="JRF2" s="18"/>
      <c r="JRG2" s="18"/>
      <c r="JRH2" s="18"/>
      <c r="JRI2" s="18"/>
      <c r="JRJ2" s="18"/>
      <c r="JRK2" s="18"/>
      <c r="JRL2" s="18"/>
      <c r="JRM2" s="18"/>
      <c r="JRN2" s="18"/>
      <c r="JRO2" s="18"/>
      <c r="JRP2" s="18"/>
      <c r="JRQ2" s="18"/>
      <c r="JRR2" s="18"/>
      <c r="JRS2" s="18"/>
      <c r="JRT2" s="18"/>
      <c r="JRU2" s="18"/>
      <c r="JRV2" s="18"/>
      <c r="JRW2" s="18"/>
      <c r="JRX2" s="18"/>
      <c r="JRY2" s="18"/>
      <c r="JRZ2" s="18"/>
      <c r="JSA2" s="18"/>
      <c r="JSB2" s="18"/>
      <c r="JSC2" s="18"/>
      <c r="JSD2" s="18"/>
      <c r="JSE2" s="18"/>
      <c r="JSF2" s="18"/>
      <c r="JSG2" s="18"/>
      <c r="JSH2" s="18"/>
      <c r="JSI2" s="18"/>
      <c r="JSJ2" s="18"/>
      <c r="JSK2" s="18"/>
      <c r="JSL2" s="18"/>
      <c r="JSM2" s="18"/>
      <c r="JSN2" s="18"/>
      <c r="JSO2" s="18"/>
      <c r="JSP2" s="18"/>
      <c r="JSQ2" s="18"/>
      <c r="JSR2" s="18"/>
      <c r="JSS2" s="18"/>
      <c r="JST2" s="18"/>
      <c r="JSU2" s="18"/>
      <c r="JSV2" s="18"/>
      <c r="JSW2" s="18"/>
      <c r="JSX2" s="18"/>
      <c r="JSY2" s="18"/>
      <c r="JSZ2" s="18"/>
      <c r="JTA2" s="18"/>
      <c r="JTB2" s="18"/>
      <c r="JTC2" s="18"/>
      <c r="JTD2" s="18"/>
      <c r="JTE2" s="18"/>
      <c r="JTF2" s="18"/>
      <c r="JTG2" s="18"/>
      <c r="JTH2" s="18"/>
      <c r="JTI2" s="18"/>
      <c r="JTJ2" s="18"/>
      <c r="JTK2" s="18"/>
      <c r="JTL2" s="18"/>
      <c r="JTM2" s="18"/>
      <c r="JTN2" s="18"/>
      <c r="JTO2" s="18"/>
      <c r="JTP2" s="18"/>
      <c r="JTQ2" s="18"/>
      <c r="JTR2" s="18"/>
      <c r="JTS2" s="18"/>
      <c r="JTT2" s="18"/>
      <c r="JTU2" s="18"/>
      <c r="JTV2" s="18"/>
      <c r="JTW2" s="18"/>
      <c r="JTX2" s="18"/>
      <c r="JTY2" s="18"/>
      <c r="JTZ2" s="18"/>
      <c r="JUA2" s="18"/>
      <c r="JUB2" s="18"/>
      <c r="JUC2" s="18"/>
      <c r="JUD2" s="18"/>
      <c r="JUE2" s="18"/>
      <c r="JUF2" s="18"/>
      <c r="JUG2" s="18"/>
      <c r="JUH2" s="18"/>
      <c r="JUI2" s="18"/>
      <c r="JUJ2" s="18"/>
      <c r="JUK2" s="18"/>
      <c r="JUL2" s="18"/>
      <c r="JUM2" s="18"/>
      <c r="JUN2" s="18"/>
      <c r="JUO2" s="18"/>
      <c r="JUP2" s="18"/>
      <c r="JUQ2" s="18"/>
      <c r="JUR2" s="18"/>
      <c r="JUS2" s="18"/>
      <c r="JUT2" s="18"/>
      <c r="JUU2" s="18"/>
      <c r="JUV2" s="18"/>
      <c r="JUW2" s="18"/>
      <c r="JUX2" s="18"/>
      <c r="JUY2" s="18"/>
      <c r="JUZ2" s="18"/>
      <c r="JVA2" s="18"/>
      <c r="JVB2" s="18"/>
      <c r="JVC2" s="18"/>
      <c r="JVD2" s="18"/>
      <c r="JVE2" s="18"/>
      <c r="JVF2" s="18"/>
      <c r="JVG2" s="18"/>
      <c r="JVH2" s="18"/>
      <c r="JVI2" s="18"/>
      <c r="JVJ2" s="18"/>
      <c r="JVK2" s="18"/>
      <c r="JVL2" s="18"/>
      <c r="JVM2" s="18"/>
      <c r="JVN2" s="18"/>
      <c r="JVO2" s="18"/>
      <c r="JVP2" s="18"/>
      <c r="JVQ2" s="18"/>
      <c r="JVR2" s="18"/>
      <c r="JVS2" s="18"/>
      <c r="JVT2" s="18"/>
      <c r="JVU2" s="18"/>
      <c r="JVV2" s="18"/>
      <c r="JVW2" s="18"/>
      <c r="JVX2" s="18"/>
      <c r="JVY2" s="18"/>
      <c r="JVZ2" s="18"/>
      <c r="JWA2" s="18"/>
      <c r="JWB2" s="18"/>
      <c r="JWC2" s="18"/>
      <c r="JWD2" s="18"/>
      <c r="JWE2" s="18"/>
      <c r="JWF2" s="18"/>
      <c r="JWG2" s="18"/>
      <c r="JWH2" s="18"/>
      <c r="JWI2" s="18"/>
      <c r="JWJ2" s="18"/>
      <c r="JWK2" s="18"/>
      <c r="JWL2" s="18"/>
      <c r="JWM2" s="18"/>
      <c r="JWN2" s="18"/>
      <c r="JWO2" s="18"/>
      <c r="JWP2" s="18"/>
      <c r="JWQ2" s="18"/>
      <c r="JWR2" s="18"/>
      <c r="JWS2" s="18"/>
      <c r="JWT2" s="18"/>
      <c r="JWU2" s="18"/>
      <c r="JWV2" s="18"/>
      <c r="JWW2" s="18"/>
      <c r="JWX2" s="18"/>
      <c r="JWY2" s="18"/>
      <c r="JWZ2" s="18"/>
      <c r="JXA2" s="18"/>
      <c r="JXB2" s="18"/>
      <c r="JXC2" s="18"/>
      <c r="JXD2" s="18"/>
      <c r="JXE2" s="18"/>
      <c r="JXF2" s="18"/>
      <c r="JXG2" s="18"/>
      <c r="JXH2" s="18"/>
      <c r="JXI2" s="18"/>
      <c r="JXJ2" s="18"/>
      <c r="JXK2" s="18"/>
      <c r="JXL2" s="18"/>
      <c r="JXM2" s="18"/>
      <c r="JXN2" s="18"/>
      <c r="JXO2" s="18"/>
      <c r="JXP2" s="18"/>
      <c r="JXQ2" s="18"/>
      <c r="JXR2" s="18"/>
      <c r="JXS2" s="18"/>
      <c r="JXT2" s="18"/>
      <c r="JXU2" s="18"/>
      <c r="JXV2" s="18"/>
      <c r="JXW2" s="18"/>
      <c r="JXX2" s="18"/>
      <c r="JXY2" s="18"/>
      <c r="JXZ2" s="18"/>
      <c r="JYA2" s="18"/>
      <c r="JYB2" s="18"/>
      <c r="JYC2" s="18"/>
      <c r="JYD2" s="18"/>
      <c r="JYE2" s="18"/>
      <c r="JYF2" s="18"/>
      <c r="JYG2" s="18"/>
      <c r="JYH2" s="18"/>
      <c r="JYI2" s="18"/>
      <c r="JYJ2" s="18"/>
      <c r="JYK2" s="18"/>
      <c r="JYL2" s="18"/>
      <c r="JYM2" s="18"/>
      <c r="JYN2" s="18"/>
      <c r="JYO2" s="18"/>
      <c r="JYP2" s="18"/>
      <c r="JYQ2" s="18"/>
      <c r="JYR2" s="18"/>
      <c r="JYS2" s="18"/>
      <c r="JYT2" s="18"/>
      <c r="JYU2" s="18"/>
      <c r="JYV2" s="18"/>
      <c r="JYW2" s="18"/>
      <c r="JYX2" s="18"/>
      <c r="JYY2" s="18"/>
      <c r="JYZ2" s="18"/>
      <c r="JZA2" s="18"/>
      <c r="JZB2" s="18"/>
      <c r="JZC2" s="18"/>
      <c r="JZD2" s="18"/>
      <c r="JZE2" s="18"/>
      <c r="JZF2" s="18"/>
      <c r="JZG2" s="18"/>
      <c r="JZH2" s="18"/>
      <c r="JZI2" s="18"/>
      <c r="JZJ2" s="18"/>
      <c r="JZK2" s="18"/>
      <c r="JZL2" s="18"/>
      <c r="JZM2" s="18"/>
      <c r="JZN2" s="18"/>
      <c r="JZO2" s="18"/>
      <c r="JZP2" s="18"/>
      <c r="JZQ2" s="18"/>
      <c r="JZR2" s="18"/>
      <c r="JZS2" s="18"/>
      <c r="JZT2" s="18"/>
      <c r="JZU2" s="18"/>
      <c r="JZV2" s="18"/>
      <c r="JZW2" s="18"/>
      <c r="JZX2" s="18"/>
      <c r="JZY2" s="18"/>
      <c r="JZZ2" s="18"/>
      <c r="KAA2" s="18"/>
      <c r="KAB2" s="18"/>
      <c r="KAC2" s="18"/>
      <c r="KAD2" s="18"/>
      <c r="KAE2" s="18"/>
      <c r="KAF2" s="18"/>
      <c r="KAG2" s="18"/>
      <c r="KAH2" s="18"/>
      <c r="KAI2" s="18"/>
      <c r="KAJ2" s="18"/>
      <c r="KAK2" s="18"/>
      <c r="KAL2" s="18"/>
      <c r="KAM2" s="18"/>
      <c r="KAN2" s="18"/>
      <c r="KAO2" s="18"/>
      <c r="KAP2" s="18"/>
      <c r="KAQ2" s="18"/>
      <c r="KAR2" s="18"/>
      <c r="KAS2" s="18"/>
      <c r="KAT2" s="18"/>
      <c r="KAU2" s="18"/>
      <c r="KAV2" s="18"/>
      <c r="KAW2" s="18"/>
      <c r="KAX2" s="18"/>
      <c r="KAY2" s="18"/>
      <c r="KAZ2" s="18"/>
      <c r="KBA2" s="18"/>
      <c r="KBB2" s="18"/>
      <c r="KBC2" s="18"/>
      <c r="KBD2" s="18"/>
      <c r="KBE2" s="18"/>
      <c r="KBF2" s="18"/>
      <c r="KBG2" s="18"/>
      <c r="KBH2" s="18"/>
      <c r="KBI2" s="18"/>
      <c r="KBJ2" s="18"/>
      <c r="KBK2" s="18"/>
      <c r="KBL2" s="18"/>
      <c r="KBM2" s="18"/>
      <c r="KBN2" s="18"/>
      <c r="KBO2" s="18"/>
      <c r="KBP2" s="18"/>
      <c r="KBQ2" s="18"/>
      <c r="KBR2" s="18"/>
      <c r="KBS2" s="18"/>
      <c r="KBT2" s="18"/>
      <c r="KBU2" s="18"/>
      <c r="KBV2" s="18"/>
      <c r="KBW2" s="18"/>
      <c r="KBX2" s="18"/>
      <c r="KBY2" s="18"/>
      <c r="KBZ2" s="18"/>
      <c r="KCA2" s="18"/>
      <c r="KCB2" s="18"/>
      <c r="KCC2" s="18"/>
      <c r="KCD2" s="18"/>
      <c r="KCE2" s="18"/>
      <c r="KCF2" s="18"/>
      <c r="KCG2" s="18"/>
      <c r="KCH2" s="18"/>
      <c r="KCI2" s="18"/>
      <c r="KCJ2" s="18"/>
      <c r="KCK2" s="18"/>
      <c r="KCL2" s="18"/>
      <c r="KCM2" s="18"/>
      <c r="KCN2" s="18"/>
      <c r="KCO2" s="18"/>
      <c r="KCP2" s="18"/>
      <c r="KCQ2" s="18"/>
      <c r="KCR2" s="18"/>
      <c r="KCS2" s="18"/>
      <c r="KCT2" s="18"/>
      <c r="KCU2" s="18"/>
      <c r="KCV2" s="18"/>
      <c r="KCW2" s="18"/>
      <c r="KCX2" s="18"/>
      <c r="KCY2" s="18"/>
      <c r="KCZ2" s="18"/>
      <c r="KDA2" s="18"/>
      <c r="KDB2" s="18"/>
      <c r="KDC2" s="18"/>
      <c r="KDD2" s="18"/>
      <c r="KDE2" s="18"/>
      <c r="KDF2" s="18"/>
      <c r="KDG2" s="18"/>
      <c r="KDH2" s="18"/>
      <c r="KDI2" s="18"/>
      <c r="KDJ2" s="18"/>
      <c r="KDK2" s="18"/>
      <c r="KDL2" s="18"/>
      <c r="KDM2" s="18"/>
      <c r="KDN2" s="18"/>
      <c r="KDO2" s="18"/>
      <c r="KDP2" s="18"/>
      <c r="KDQ2" s="18"/>
      <c r="KDR2" s="18"/>
      <c r="KDS2" s="18"/>
      <c r="KDT2" s="18"/>
      <c r="KDU2" s="18"/>
      <c r="KDV2" s="18"/>
      <c r="KDW2" s="18"/>
      <c r="KDX2" s="18"/>
      <c r="KDY2" s="18"/>
      <c r="KDZ2" s="18"/>
      <c r="KEA2" s="18"/>
      <c r="KEB2" s="18"/>
      <c r="KEC2" s="18"/>
      <c r="KED2" s="18"/>
      <c r="KEE2" s="18"/>
      <c r="KEF2" s="18"/>
      <c r="KEG2" s="18"/>
      <c r="KEH2" s="18"/>
      <c r="KEI2" s="18"/>
      <c r="KEJ2" s="18"/>
      <c r="KEK2" s="18"/>
      <c r="KEL2" s="18"/>
      <c r="KEM2" s="18"/>
      <c r="KEN2" s="18"/>
      <c r="KEO2" s="18"/>
      <c r="KEP2" s="18"/>
      <c r="KEQ2" s="18"/>
      <c r="KER2" s="18"/>
      <c r="KES2" s="18"/>
      <c r="KET2" s="18"/>
      <c r="KEU2" s="18"/>
      <c r="KEV2" s="18"/>
      <c r="KEW2" s="18"/>
      <c r="KEX2" s="18"/>
      <c r="KEY2" s="18"/>
      <c r="KEZ2" s="18"/>
      <c r="KFA2" s="18"/>
      <c r="KFB2" s="18"/>
      <c r="KFC2" s="18"/>
      <c r="KFD2" s="18"/>
      <c r="KFE2" s="18"/>
      <c r="KFF2" s="18"/>
      <c r="KFG2" s="18"/>
      <c r="KFH2" s="18"/>
      <c r="KFI2" s="18"/>
      <c r="KFJ2" s="18"/>
      <c r="KFK2" s="18"/>
      <c r="KFL2" s="18"/>
      <c r="KFM2" s="18"/>
      <c r="KFN2" s="18"/>
      <c r="KFO2" s="18"/>
      <c r="KFP2" s="18"/>
      <c r="KFQ2" s="18"/>
      <c r="KFR2" s="18"/>
      <c r="KFS2" s="18"/>
      <c r="KFT2" s="18"/>
      <c r="KFU2" s="18"/>
      <c r="KFV2" s="18"/>
      <c r="KFW2" s="18"/>
      <c r="KFX2" s="18"/>
      <c r="KFY2" s="18"/>
      <c r="KFZ2" s="18"/>
      <c r="KGA2" s="18"/>
      <c r="KGB2" s="18"/>
      <c r="KGC2" s="18"/>
      <c r="KGD2" s="18"/>
      <c r="KGE2" s="18"/>
      <c r="KGF2" s="18"/>
      <c r="KGG2" s="18"/>
      <c r="KGH2" s="18"/>
      <c r="KGI2" s="18"/>
      <c r="KGJ2" s="18"/>
      <c r="KGK2" s="18"/>
      <c r="KGL2" s="18"/>
      <c r="KGM2" s="18"/>
      <c r="KGN2" s="18"/>
      <c r="KGO2" s="18"/>
      <c r="KGP2" s="18"/>
      <c r="KGQ2" s="18"/>
      <c r="KGR2" s="18"/>
      <c r="KGS2" s="18"/>
      <c r="KGT2" s="18"/>
      <c r="KGU2" s="18"/>
      <c r="KGV2" s="18"/>
      <c r="KGW2" s="18"/>
      <c r="KGX2" s="18"/>
      <c r="KGY2" s="18"/>
      <c r="KGZ2" s="18"/>
      <c r="KHA2" s="18"/>
      <c r="KHB2" s="18"/>
      <c r="KHC2" s="18"/>
      <c r="KHD2" s="18"/>
      <c r="KHE2" s="18"/>
      <c r="KHF2" s="18"/>
      <c r="KHG2" s="18"/>
      <c r="KHH2" s="18"/>
      <c r="KHI2" s="18"/>
      <c r="KHJ2" s="18"/>
      <c r="KHK2" s="18"/>
      <c r="KHL2" s="18"/>
      <c r="KHM2" s="18"/>
      <c r="KHN2" s="18"/>
      <c r="KHO2" s="18"/>
      <c r="KHP2" s="18"/>
      <c r="KHQ2" s="18"/>
      <c r="KHR2" s="18"/>
      <c r="KHS2" s="18"/>
      <c r="KHT2" s="18"/>
      <c r="KHU2" s="18"/>
      <c r="KHV2" s="18"/>
      <c r="KHW2" s="18"/>
      <c r="KHX2" s="18"/>
      <c r="KHY2" s="18"/>
      <c r="KHZ2" s="18"/>
      <c r="KIA2" s="18"/>
      <c r="KIB2" s="18"/>
      <c r="KIC2" s="18"/>
      <c r="KID2" s="18"/>
      <c r="KIE2" s="18"/>
      <c r="KIF2" s="18"/>
      <c r="KIG2" s="18"/>
      <c r="KIH2" s="18"/>
      <c r="KII2" s="18"/>
      <c r="KIJ2" s="18"/>
      <c r="KIK2" s="18"/>
      <c r="KIL2" s="18"/>
      <c r="KIM2" s="18"/>
      <c r="KIN2" s="18"/>
      <c r="KIO2" s="18"/>
      <c r="KIP2" s="18"/>
      <c r="KIQ2" s="18"/>
      <c r="KIR2" s="18"/>
      <c r="KIS2" s="18"/>
      <c r="KIT2" s="18"/>
      <c r="KIU2" s="18"/>
      <c r="KIV2" s="18"/>
      <c r="KIW2" s="18"/>
      <c r="KIX2" s="18"/>
      <c r="KIY2" s="18"/>
      <c r="KIZ2" s="18"/>
      <c r="KJA2" s="18"/>
      <c r="KJB2" s="18"/>
      <c r="KJC2" s="18"/>
      <c r="KJD2" s="18"/>
      <c r="KJE2" s="18"/>
      <c r="KJF2" s="18"/>
      <c r="KJG2" s="18"/>
      <c r="KJH2" s="18"/>
      <c r="KJI2" s="18"/>
      <c r="KJJ2" s="18"/>
      <c r="KJK2" s="18"/>
      <c r="KJL2" s="18"/>
      <c r="KJM2" s="18"/>
      <c r="KJN2" s="18"/>
      <c r="KJO2" s="18"/>
      <c r="KJP2" s="18"/>
      <c r="KJQ2" s="18"/>
      <c r="KJR2" s="18"/>
      <c r="KJS2" s="18"/>
      <c r="KJT2" s="18"/>
      <c r="KJU2" s="18"/>
      <c r="KJV2" s="18"/>
      <c r="KJW2" s="18"/>
      <c r="KJX2" s="18"/>
      <c r="KJY2" s="18"/>
      <c r="KJZ2" s="18"/>
      <c r="KKA2" s="18"/>
      <c r="KKB2" s="18"/>
      <c r="KKC2" s="18"/>
      <c r="KKD2" s="18"/>
      <c r="KKE2" s="18"/>
      <c r="KKF2" s="18"/>
      <c r="KKG2" s="18"/>
      <c r="KKH2" s="18"/>
      <c r="KKI2" s="18"/>
      <c r="KKJ2" s="18"/>
      <c r="KKK2" s="18"/>
      <c r="KKL2" s="18"/>
      <c r="KKM2" s="18"/>
      <c r="KKN2" s="18"/>
      <c r="KKO2" s="18"/>
      <c r="KKP2" s="18"/>
      <c r="KKQ2" s="18"/>
      <c r="KKR2" s="18"/>
      <c r="KKS2" s="18"/>
      <c r="KKT2" s="18"/>
      <c r="KKU2" s="18"/>
      <c r="KKV2" s="18"/>
      <c r="KKW2" s="18"/>
      <c r="KKX2" s="18"/>
      <c r="KKY2" s="18"/>
      <c r="KKZ2" s="18"/>
      <c r="KLA2" s="18"/>
      <c r="KLB2" s="18"/>
      <c r="KLC2" s="18"/>
      <c r="KLD2" s="18"/>
      <c r="KLE2" s="18"/>
      <c r="KLF2" s="18"/>
      <c r="KLG2" s="18"/>
      <c r="KLH2" s="18"/>
      <c r="KLI2" s="18"/>
      <c r="KLJ2" s="18"/>
      <c r="KLK2" s="18"/>
      <c r="KLL2" s="18"/>
      <c r="KLM2" s="18"/>
      <c r="KLN2" s="18"/>
      <c r="KLO2" s="18"/>
      <c r="KLP2" s="18"/>
      <c r="KLQ2" s="18"/>
      <c r="KLR2" s="18"/>
      <c r="KLS2" s="18"/>
      <c r="KLT2" s="18"/>
      <c r="KLU2" s="18"/>
      <c r="KLV2" s="18"/>
      <c r="KLW2" s="18"/>
      <c r="KLX2" s="18"/>
      <c r="KLY2" s="18"/>
      <c r="KLZ2" s="18"/>
      <c r="KMA2" s="18"/>
      <c r="KMB2" s="18"/>
      <c r="KMC2" s="18"/>
      <c r="KMD2" s="18"/>
      <c r="KME2" s="18"/>
      <c r="KMF2" s="18"/>
      <c r="KMG2" s="18"/>
      <c r="KMH2" s="18"/>
      <c r="KMI2" s="18"/>
      <c r="KMJ2" s="18"/>
      <c r="KMK2" s="18"/>
      <c r="KML2" s="18"/>
      <c r="KMM2" s="18"/>
      <c r="KMN2" s="18"/>
      <c r="KMO2" s="18"/>
      <c r="KMP2" s="18"/>
      <c r="KMQ2" s="18"/>
      <c r="KMR2" s="18"/>
      <c r="KMS2" s="18"/>
      <c r="KMT2" s="18"/>
      <c r="KMU2" s="18"/>
      <c r="KMV2" s="18"/>
      <c r="KMW2" s="18"/>
      <c r="KMX2" s="18"/>
      <c r="KMY2" s="18"/>
      <c r="KMZ2" s="18"/>
      <c r="KNA2" s="18"/>
      <c r="KNB2" s="18"/>
      <c r="KNC2" s="18"/>
      <c r="KND2" s="18"/>
      <c r="KNE2" s="18"/>
      <c r="KNF2" s="18"/>
      <c r="KNG2" s="18"/>
      <c r="KNH2" s="18"/>
      <c r="KNI2" s="18"/>
      <c r="KNJ2" s="18"/>
      <c r="KNK2" s="18"/>
      <c r="KNL2" s="18"/>
      <c r="KNM2" s="18"/>
      <c r="KNN2" s="18"/>
      <c r="KNO2" s="18"/>
      <c r="KNP2" s="18"/>
      <c r="KNQ2" s="18"/>
      <c r="KNR2" s="18"/>
      <c r="KNS2" s="18"/>
      <c r="KNT2" s="18"/>
      <c r="KNU2" s="18"/>
      <c r="KNV2" s="18"/>
      <c r="KNW2" s="18"/>
      <c r="KNX2" s="18"/>
      <c r="KNY2" s="18"/>
      <c r="KNZ2" s="18"/>
      <c r="KOA2" s="18"/>
      <c r="KOB2" s="18"/>
      <c r="KOC2" s="18"/>
      <c r="KOD2" s="18"/>
      <c r="KOE2" s="18"/>
      <c r="KOF2" s="18"/>
      <c r="KOG2" s="18"/>
      <c r="KOH2" s="18"/>
      <c r="KOI2" s="18"/>
      <c r="KOJ2" s="18"/>
      <c r="KOK2" s="18"/>
      <c r="KOL2" s="18"/>
      <c r="KOM2" s="18"/>
      <c r="KON2" s="18"/>
      <c r="KOO2" s="18"/>
      <c r="KOP2" s="18"/>
      <c r="KOQ2" s="18"/>
      <c r="KOR2" s="18"/>
      <c r="KOS2" s="18"/>
      <c r="KOT2" s="18"/>
      <c r="KOU2" s="18"/>
      <c r="KOV2" s="18"/>
      <c r="KOW2" s="18"/>
      <c r="KOX2" s="18"/>
      <c r="KOY2" s="18"/>
      <c r="KOZ2" s="18"/>
      <c r="KPA2" s="18"/>
      <c r="KPB2" s="18"/>
      <c r="KPC2" s="18"/>
      <c r="KPD2" s="18"/>
      <c r="KPE2" s="18"/>
      <c r="KPF2" s="18"/>
      <c r="KPG2" s="18"/>
      <c r="KPH2" s="18"/>
      <c r="KPI2" s="18"/>
      <c r="KPJ2" s="18"/>
      <c r="KPK2" s="18"/>
      <c r="KPL2" s="18"/>
      <c r="KPM2" s="18"/>
      <c r="KPN2" s="18"/>
      <c r="KPO2" s="18"/>
      <c r="KPP2" s="18"/>
      <c r="KPQ2" s="18"/>
      <c r="KPR2" s="18"/>
      <c r="KPS2" s="18"/>
      <c r="KPT2" s="18"/>
      <c r="KPU2" s="18"/>
      <c r="KPV2" s="18"/>
      <c r="KPW2" s="18"/>
      <c r="KPX2" s="18"/>
      <c r="KPY2" s="18"/>
      <c r="KPZ2" s="18"/>
      <c r="KQA2" s="18"/>
      <c r="KQB2" s="18"/>
      <c r="KQC2" s="18"/>
      <c r="KQD2" s="18"/>
      <c r="KQE2" s="18"/>
      <c r="KQF2" s="18"/>
      <c r="KQG2" s="18"/>
      <c r="KQH2" s="18"/>
      <c r="KQI2" s="18"/>
      <c r="KQJ2" s="18"/>
      <c r="KQK2" s="18"/>
      <c r="KQL2" s="18"/>
      <c r="KQM2" s="18"/>
      <c r="KQN2" s="18"/>
      <c r="KQO2" s="18"/>
      <c r="KQP2" s="18"/>
      <c r="KQQ2" s="18"/>
      <c r="KQR2" s="18"/>
      <c r="KQS2" s="18"/>
      <c r="KQT2" s="18"/>
      <c r="KQU2" s="18"/>
      <c r="KQV2" s="18"/>
      <c r="KQW2" s="18"/>
      <c r="KQX2" s="18"/>
      <c r="KQY2" s="18"/>
      <c r="KQZ2" s="18"/>
      <c r="KRA2" s="18"/>
      <c r="KRB2" s="18"/>
      <c r="KRC2" s="18"/>
      <c r="KRD2" s="18"/>
      <c r="KRE2" s="18"/>
      <c r="KRF2" s="18"/>
      <c r="KRG2" s="18"/>
      <c r="KRH2" s="18"/>
      <c r="KRI2" s="18"/>
      <c r="KRJ2" s="18"/>
      <c r="KRK2" s="18"/>
      <c r="KRL2" s="18"/>
      <c r="KRM2" s="18"/>
      <c r="KRN2" s="18"/>
      <c r="KRO2" s="18"/>
      <c r="KRP2" s="18"/>
      <c r="KRQ2" s="18"/>
      <c r="KRR2" s="18"/>
      <c r="KRS2" s="18"/>
      <c r="KRT2" s="18"/>
      <c r="KRU2" s="18"/>
      <c r="KRV2" s="18"/>
      <c r="KRW2" s="18"/>
      <c r="KRX2" s="18"/>
      <c r="KRY2" s="18"/>
      <c r="KRZ2" s="18"/>
      <c r="KSA2" s="18"/>
      <c r="KSB2" s="18"/>
      <c r="KSC2" s="18"/>
      <c r="KSD2" s="18"/>
      <c r="KSE2" s="18"/>
      <c r="KSF2" s="18"/>
      <c r="KSG2" s="18"/>
      <c r="KSH2" s="18"/>
      <c r="KSI2" s="18"/>
      <c r="KSJ2" s="18"/>
      <c r="KSK2" s="18"/>
      <c r="KSL2" s="18"/>
      <c r="KSM2" s="18"/>
      <c r="KSN2" s="18"/>
      <c r="KSO2" s="18"/>
      <c r="KSP2" s="18"/>
      <c r="KSQ2" s="18"/>
      <c r="KSR2" s="18"/>
      <c r="KSS2" s="18"/>
      <c r="KST2" s="18"/>
      <c r="KSU2" s="18"/>
      <c r="KSV2" s="18"/>
      <c r="KSW2" s="18"/>
      <c r="KSX2" s="18"/>
      <c r="KSY2" s="18"/>
      <c r="KSZ2" s="18"/>
      <c r="KTA2" s="18"/>
      <c r="KTB2" s="18"/>
      <c r="KTC2" s="18"/>
      <c r="KTD2" s="18"/>
      <c r="KTE2" s="18"/>
      <c r="KTF2" s="18"/>
      <c r="KTG2" s="18"/>
      <c r="KTH2" s="18"/>
      <c r="KTI2" s="18"/>
      <c r="KTJ2" s="18"/>
      <c r="KTK2" s="18"/>
      <c r="KTL2" s="18"/>
      <c r="KTM2" s="18"/>
      <c r="KTN2" s="18"/>
      <c r="KTO2" s="18"/>
      <c r="KTP2" s="18"/>
      <c r="KTQ2" s="18"/>
      <c r="KTR2" s="18"/>
      <c r="KTS2" s="18"/>
      <c r="KTT2" s="18"/>
      <c r="KTU2" s="18"/>
      <c r="KTV2" s="18"/>
      <c r="KTW2" s="18"/>
      <c r="KTX2" s="18"/>
      <c r="KTY2" s="18"/>
      <c r="KTZ2" s="18"/>
      <c r="KUA2" s="18"/>
      <c r="KUB2" s="18"/>
      <c r="KUC2" s="18"/>
      <c r="KUD2" s="18"/>
      <c r="KUE2" s="18"/>
      <c r="KUF2" s="18"/>
      <c r="KUG2" s="18"/>
      <c r="KUH2" s="18"/>
      <c r="KUI2" s="18"/>
      <c r="KUJ2" s="18"/>
      <c r="KUK2" s="18"/>
      <c r="KUL2" s="18"/>
      <c r="KUM2" s="18"/>
      <c r="KUN2" s="18"/>
      <c r="KUO2" s="18"/>
      <c r="KUP2" s="18"/>
      <c r="KUQ2" s="18"/>
      <c r="KUR2" s="18"/>
      <c r="KUS2" s="18"/>
      <c r="KUT2" s="18"/>
      <c r="KUU2" s="18"/>
      <c r="KUV2" s="18"/>
      <c r="KUW2" s="18"/>
      <c r="KUX2" s="18"/>
      <c r="KUY2" s="18"/>
      <c r="KUZ2" s="18"/>
      <c r="KVA2" s="18"/>
      <c r="KVB2" s="18"/>
      <c r="KVC2" s="18"/>
      <c r="KVD2" s="18"/>
      <c r="KVE2" s="18"/>
      <c r="KVF2" s="18"/>
      <c r="KVG2" s="18"/>
      <c r="KVH2" s="18"/>
      <c r="KVI2" s="18"/>
      <c r="KVJ2" s="18"/>
      <c r="KVK2" s="18"/>
      <c r="KVL2" s="18"/>
      <c r="KVM2" s="18"/>
      <c r="KVN2" s="18"/>
      <c r="KVO2" s="18"/>
      <c r="KVP2" s="18"/>
      <c r="KVQ2" s="18"/>
      <c r="KVR2" s="18"/>
      <c r="KVS2" s="18"/>
      <c r="KVT2" s="18"/>
      <c r="KVU2" s="18"/>
      <c r="KVV2" s="18"/>
      <c r="KVW2" s="18"/>
      <c r="KVX2" s="18"/>
      <c r="KVY2" s="18"/>
      <c r="KVZ2" s="18"/>
      <c r="KWA2" s="18"/>
      <c r="KWB2" s="18"/>
      <c r="KWC2" s="18"/>
      <c r="KWD2" s="18"/>
      <c r="KWE2" s="18"/>
      <c r="KWF2" s="18"/>
      <c r="KWG2" s="18"/>
      <c r="KWH2" s="18"/>
      <c r="KWI2" s="18"/>
      <c r="KWJ2" s="18"/>
      <c r="KWK2" s="18"/>
      <c r="KWL2" s="18"/>
      <c r="KWM2" s="18"/>
      <c r="KWN2" s="18"/>
      <c r="KWO2" s="18"/>
      <c r="KWP2" s="18"/>
      <c r="KWQ2" s="18"/>
      <c r="KWR2" s="18"/>
      <c r="KWS2" s="18"/>
      <c r="KWT2" s="18"/>
      <c r="KWU2" s="18"/>
      <c r="KWV2" s="18"/>
      <c r="KWW2" s="18"/>
      <c r="KWX2" s="18"/>
      <c r="KWY2" s="18"/>
      <c r="KWZ2" s="18"/>
      <c r="KXA2" s="18"/>
      <c r="KXB2" s="18"/>
      <c r="KXC2" s="18"/>
      <c r="KXD2" s="18"/>
      <c r="KXE2" s="18"/>
      <c r="KXF2" s="18"/>
      <c r="KXG2" s="18"/>
      <c r="KXH2" s="18"/>
      <c r="KXI2" s="18"/>
      <c r="KXJ2" s="18"/>
      <c r="KXK2" s="18"/>
      <c r="KXL2" s="18"/>
      <c r="KXM2" s="18"/>
      <c r="KXN2" s="18"/>
      <c r="KXO2" s="18"/>
      <c r="KXP2" s="18"/>
      <c r="KXQ2" s="18"/>
      <c r="KXR2" s="18"/>
      <c r="KXS2" s="18"/>
      <c r="KXT2" s="18"/>
      <c r="KXU2" s="18"/>
      <c r="KXV2" s="18"/>
      <c r="KXW2" s="18"/>
      <c r="KXX2" s="18"/>
      <c r="KXY2" s="18"/>
      <c r="KXZ2" s="18"/>
      <c r="KYA2" s="18"/>
      <c r="KYB2" s="18"/>
      <c r="KYC2" s="18"/>
      <c r="KYD2" s="18"/>
      <c r="KYE2" s="18"/>
      <c r="KYF2" s="18"/>
      <c r="KYG2" s="18"/>
      <c r="KYH2" s="18"/>
      <c r="KYI2" s="18"/>
      <c r="KYJ2" s="18"/>
      <c r="KYK2" s="18"/>
      <c r="KYL2" s="18"/>
      <c r="KYM2" s="18"/>
      <c r="KYN2" s="18"/>
      <c r="KYO2" s="18"/>
      <c r="KYP2" s="18"/>
      <c r="KYQ2" s="18"/>
      <c r="KYR2" s="18"/>
      <c r="KYS2" s="18"/>
      <c r="KYT2" s="18"/>
      <c r="KYU2" s="18"/>
      <c r="KYV2" s="18"/>
      <c r="KYW2" s="18"/>
      <c r="KYX2" s="18"/>
      <c r="KYY2" s="18"/>
      <c r="KYZ2" s="18"/>
      <c r="KZA2" s="18"/>
      <c r="KZB2" s="18"/>
      <c r="KZC2" s="18"/>
      <c r="KZD2" s="18"/>
      <c r="KZE2" s="18"/>
      <c r="KZF2" s="18"/>
      <c r="KZG2" s="18"/>
      <c r="KZH2" s="18"/>
      <c r="KZI2" s="18"/>
      <c r="KZJ2" s="18"/>
      <c r="KZK2" s="18"/>
      <c r="KZL2" s="18"/>
      <c r="KZM2" s="18"/>
      <c r="KZN2" s="18"/>
      <c r="KZO2" s="18"/>
      <c r="KZP2" s="18"/>
      <c r="KZQ2" s="18"/>
      <c r="KZR2" s="18"/>
      <c r="KZS2" s="18"/>
      <c r="KZT2" s="18"/>
      <c r="KZU2" s="18"/>
      <c r="KZV2" s="18"/>
      <c r="KZW2" s="18"/>
      <c r="KZX2" s="18"/>
      <c r="KZY2" s="18"/>
      <c r="KZZ2" s="18"/>
      <c r="LAA2" s="18"/>
      <c r="LAB2" s="18"/>
      <c r="LAC2" s="18"/>
      <c r="LAD2" s="18"/>
      <c r="LAE2" s="18"/>
      <c r="LAF2" s="18"/>
      <c r="LAG2" s="18"/>
      <c r="LAH2" s="18"/>
      <c r="LAI2" s="18"/>
      <c r="LAJ2" s="18"/>
      <c r="LAK2" s="18"/>
      <c r="LAL2" s="18"/>
      <c r="LAM2" s="18"/>
      <c r="LAN2" s="18"/>
      <c r="LAO2" s="18"/>
      <c r="LAP2" s="18"/>
      <c r="LAQ2" s="18"/>
      <c r="LAR2" s="18"/>
      <c r="LAS2" s="18"/>
      <c r="LAT2" s="18"/>
      <c r="LAU2" s="18"/>
      <c r="LAV2" s="18"/>
      <c r="LAW2" s="18"/>
      <c r="LAX2" s="18"/>
      <c r="LAY2" s="18"/>
      <c r="LAZ2" s="18"/>
      <c r="LBA2" s="18"/>
      <c r="LBB2" s="18"/>
      <c r="LBC2" s="18"/>
      <c r="LBD2" s="18"/>
      <c r="LBE2" s="18"/>
      <c r="LBF2" s="18"/>
      <c r="LBG2" s="18"/>
      <c r="LBH2" s="18"/>
      <c r="LBI2" s="18"/>
      <c r="LBJ2" s="18"/>
      <c r="LBK2" s="18"/>
      <c r="LBL2" s="18"/>
      <c r="LBM2" s="18"/>
      <c r="LBN2" s="18"/>
      <c r="LBO2" s="18"/>
      <c r="LBP2" s="18"/>
      <c r="LBQ2" s="18"/>
      <c r="LBR2" s="18"/>
      <c r="LBS2" s="18"/>
      <c r="LBT2" s="18"/>
      <c r="LBU2" s="18"/>
      <c r="LBV2" s="18"/>
      <c r="LBW2" s="18"/>
      <c r="LBX2" s="18"/>
      <c r="LBY2" s="18"/>
      <c r="LBZ2" s="18"/>
      <c r="LCA2" s="18"/>
      <c r="LCB2" s="18"/>
      <c r="LCC2" s="18"/>
      <c r="LCD2" s="18"/>
      <c r="LCE2" s="18"/>
      <c r="LCF2" s="18"/>
      <c r="LCG2" s="18"/>
      <c r="LCH2" s="18"/>
      <c r="LCI2" s="18"/>
      <c r="LCJ2" s="18"/>
      <c r="LCK2" s="18"/>
      <c r="LCL2" s="18"/>
      <c r="LCM2" s="18"/>
      <c r="LCN2" s="18"/>
      <c r="LCO2" s="18"/>
      <c r="LCP2" s="18"/>
      <c r="LCQ2" s="18"/>
      <c r="LCR2" s="18"/>
      <c r="LCS2" s="18"/>
      <c r="LCT2" s="18"/>
      <c r="LCU2" s="18"/>
      <c r="LCV2" s="18"/>
      <c r="LCW2" s="18"/>
      <c r="LCX2" s="18"/>
      <c r="LCY2" s="18"/>
      <c r="LCZ2" s="18"/>
      <c r="LDA2" s="18"/>
      <c r="LDB2" s="18"/>
      <c r="LDC2" s="18"/>
      <c r="LDD2" s="18"/>
      <c r="LDE2" s="18"/>
      <c r="LDF2" s="18"/>
      <c r="LDG2" s="18"/>
      <c r="LDH2" s="18"/>
      <c r="LDI2" s="18"/>
      <c r="LDJ2" s="18"/>
      <c r="LDK2" s="18"/>
      <c r="LDL2" s="18"/>
      <c r="LDM2" s="18"/>
      <c r="LDN2" s="18"/>
      <c r="LDO2" s="18"/>
      <c r="LDP2" s="18"/>
      <c r="LDQ2" s="18"/>
      <c r="LDR2" s="18"/>
      <c r="LDS2" s="18"/>
      <c r="LDT2" s="18"/>
      <c r="LDU2" s="18"/>
      <c r="LDV2" s="18"/>
      <c r="LDW2" s="18"/>
      <c r="LDX2" s="18"/>
      <c r="LDY2" s="18"/>
      <c r="LDZ2" s="18"/>
      <c r="LEA2" s="18"/>
      <c r="LEB2" s="18"/>
      <c r="LEC2" s="18"/>
      <c r="LED2" s="18"/>
      <c r="LEE2" s="18"/>
      <c r="LEF2" s="18"/>
      <c r="LEG2" s="18"/>
      <c r="LEH2" s="18"/>
      <c r="LEI2" s="18"/>
      <c r="LEJ2" s="18"/>
      <c r="LEK2" s="18"/>
      <c r="LEL2" s="18"/>
      <c r="LEM2" s="18"/>
      <c r="LEN2" s="18"/>
      <c r="LEO2" s="18"/>
      <c r="LEP2" s="18"/>
      <c r="LEQ2" s="18"/>
      <c r="LER2" s="18"/>
      <c r="LES2" s="18"/>
      <c r="LET2" s="18"/>
      <c r="LEU2" s="18"/>
      <c r="LEV2" s="18"/>
      <c r="LEW2" s="18"/>
      <c r="LEX2" s="18"/>
      <c r="LEY2" s="18"/>
      <c r="LEZ2" s="18"/>
      <c r="LFA2" s="18"/>
      <c r="LFB2" s="18"/>
      <c r="LFC2" s="18"/>
      <c r="LFD2" s="18"/>
      <c r="LFE2" s="18"/>
      <c r="LFF2" s="18"/>
      <c r="LFG2" s="18"/>
      <c r="LFH2" s="18"/>
      <c r="LFI2" s="18"/>
      <c r="LFJ2" s="18"/>
      <c r="LFK2" s="18"/>
      <c r="LFL2" s="18"/>
      <c r="LFM2" s="18"/>
      <c r="LFN2" s="18"/>
      <c r="LFO2" s="18"/>
      <c r="LFP2" s="18"/>
      <c r="LFQ2" s="18"/>
      <c r="LFR2" s="18"/>
      <c r="LFS2" s="18"/>
      <c r="LFT2" s="18"/>
      <c r="LFU2" s="18"/>
      <c r="LFV2" s="18"/>
      <c r="LFW2" s="18"/>
      <c r="LFX2" s="18"/>
      <c r="LFY2" s="18"/>
      <c r="LFZ2" s="18"/>
      <c r="LGA2" s="18"/>
      <c r="LGB2" s="18"/>
      <c r="LGC2" s="18"/>
      <c r="LGD2" s="18"/>
      <c r="LGE2" s="18"/>
      <c r="LGF2" s="18"/>
      <c r="LGG2" s="18"/>
      <c r="LGH2" s="18"/>
      <c r="LGI2" s="18"/>
      <c r="LGJ2" s="18"/>
      <c r="LGK2" s="18"/>
      <c r="LGL2" s="18"/>
      <c r="LGM2" s="18"/>
      <c r="LGN2" s="18"/>
      <c r="LGO2" s="18"/>
      <c r="LGP2" s="18"/>
      <c r="LGQ2" s="18"/>
      <c r="LGR2" s="18"/>
      <c r="LGS2" s="18"/>
      <c r="LGT2" s="18"/>
      <c r="LGU2" s="18"/>
      <c r="LGV2" s="18"/>
      <c r="LGW2" s="18"/>
      <c r="LGX2" s="18"/>
      <c r="LGY2" s="18"/>
      <c r="LGZ2" s="18"/>
      <c r="LHA2" s="18"/>
      <c r="LHB2" s="18"/>
      <c r="LHC2" s="18"/>
      <c r="LHD2" s="18"/>
      <c r="LHE2" s="18"/>
      <c r="LHF2" s="18"/>
      <c r="LHG2" s="18"/>
      <c r="LHH2" s="18"/>
      <c r="LHI2" s="18"/>
      <c r="LHJ2" s="18"/>
      <c r="LHK2" s="18"/>
      <c r="LHL2" s="18"/>
      <c r="LHM2" s="18"/>
      <c r="LHN2" s="18"/>
      <c r="LHO2" s="18"/>
      <c r="LHP2" s="18"/>
      <c r="LHQ2" s="18"/>
      <c r="LHR2" s="18"/>
      <c r="LHS2" s="18"/>
      <c r="LHT2" s="18"/>
      <c r="LHU2" s="18"/>
      <c r="LHV2" s="18"/>
      <c r="LHW2" s="18"/>
      <c r="LHX2" s="18"/>
      <c r="LHY2" s="18"/>
      <c r="LHZ2" s="18"/>
      <c r="LIA2" s="18"/>
      <c r="LIB2" s="18"/>
      <c r="LIC2" s="18"/>
      <c r="LID2" s="18"/>
      <c r="LIE2" s="18"/>
      <c r="LIF2" s="18"/>
      <c r="LIG2" s="18"/>
      <c r="LIH2" s="18"/>
      <c r="LII2" s="18"/>
      <c r="LIJ2" s="18"/>
      <c r="LIK2" s="18"/>
      <c r="LIL2" s="18"/>
      <c r="LIM2" s="18"/>
      <c r="LIN2" s="18"/>
      <c r="LIO2" s="18"/>
      <c r="LIP2" s="18"/>
      <c r="LIQ2" s="18"/>
      <c r="LIR2" s="18"/>
      <c r="LIS2" s="18"/>
      <c r="LIT2" s="18"/>
      <c r="LIU2" s="18"/>
      <c r="LIV2" s="18"/>
      <c r="LIW2" s="18"/>
      <c r="LIX2" s="18"/>
      <c r="LIY2" s="18"/>
      <c r="LIZ2" s="18"/>
      <c r="LJA2" s="18"/>
      <c r="LJB2" s="18"/>
      <c r="LJC2" s="18"/>
      <c r="LJD2" s="18"/>
      <c r="LJE2" s="18"/>
      <c r="LJF2" s="18"/>
      <c r="LJG2" s="18"/>
      <c r="LJH2" s="18"/>
      <c r="LJI2" s="18"/>
      <c r="LJJ2" s="18"/>
      <c r="LJK2" s="18"/>
      <c r="LJL2" s="18"/>
      <c r="LJM2" s="18"/>
      <c r="LJN2" s="18"/>
      <c r="LJO2" s="18"/>
      <c r="LJP2" s="18"/>
      <c r="LJQ2" s="18"/>
      <c r="LJR2" s="18"/>
      <c r="LJS2" s="18"/>
      <c r="LJT2" s="18"/>
      <c r="LJU2" s="18"/>
      <c r="LJV2" s="18"/>
      <c r="LJW2" s="18"/>
      <c r="LJX2" s="18"/>
      <c r="LJY2" s="18"/>
      <c r="LJZ2" s="18"/>
      <c r="LKA2" s="18"/>
      <c r="LKB2" s="18"/>
      <c r="LKC2" s="18"/>
      <c r="LKD2" s="18"/>
      <c r="LKE2" s="18"/>
      <c r="LKF2" s="18"/>
      <c r="LKG2" s="18"/>
      <c r="LKH2" s="18"/>
      <c r="LKI2" s="18"/>
      <c r="LKJ2" s="18"/>
      <c r="LKK2" s="18"/>
      <c r="LKL2" s="18"/>
      <c r="LKM2" s="18"/>
      <c r="LKN2" s="18"/>
      <c r="LKO2" s="18"/>
      <c r="LKP2" s="18"/>
      <c r="LKQ2" s="18"/>
      <c r="LKR2" s="18"/>
      <c r="LKS2" s="18"/>
      <c r="LKT2" s="18"/>
      <c r="LKU2" s="18"/>
      <c r="LKV2" s="18"/>
      <c r="LKW2" s="18"/>
      <c r="LKX2" s="18"/>
      <c r="LKY2" s="18"/>
      <c r="LKZ2" s="18"/>
      <c r="LLA2" s="18"/>
      <c r="LLB2" s="18"/>
      <c r="LLC2" s="18"/>
      <c r="LLD2" s="18"/>
      <c r="LLE2" s="18"/>
      <c r="LLF2" s="18"/>
      <c r="LLG2" s="18"/>
      <c r="LLH2" s="18"/>
      <c r="LLI2" s="18"/>
      <c r="LLJ2" s="18"/>
      <c r="LLK2" s="18"/>
      <c r="LLL2" s="18"/>
      <c r="LLM2" s="18"/>
      <c r="LLN2" s="18"/>
      <c r="LLO2" s="18"/>
      <c r="LLP2" s="18"/>
      <c r="LLQ2" s="18"/>
      <c r="LLR2" s="18"/>
      <c r="LLS2" s="18"/>
      <c r="LLT2" s="18"/>
      <c r="LLU2" s="18"/>
      <c r="LLV2" s="18"/>
      <c r="LLW2" s="18"/>
      <c r="LLX2" s="18"/>
      <c r="LLY2" s="18"/>
      <c r="LLZ2" s="18"/>
      <c r="LMA2" s="18"/>
      <c r="LMB2" s="18"/>
      <c r="LMC2" s="18"/>
      <c r="LMD2" s="18"/>
      <c r="LME2" s="18"/>
      <c r="LMF2" s="18"/>
      <c r="LMG2" s="18"/>
      <c r="LMH2" s="18"/>
      <c r="LMI2" s="18"/>
      <c r="LMJ2" s="18"/>
      <c r="LMK2" s="18"/>
      <c r="LML2" s="18"/>
      <c r="LMM2" s="18"/>
      <c r="LMN2" s="18"/>
      <c r="LMO2" s="18"/>
      <c r="LMP2" s="18"/>
      <c r="LMQ2" s="18"/>
      <c r="LMR2" s="18"/>
      <c r="LMS2" s="18"/>
      <c r="LMT2" s="18"/>
      <c r="LMU2" s="18"/>
      <c r="LMV2" s="18"/>
      <c r="LMW2" s="18"/>
      <c r="LMX2" s="18"/>
      <c r="LMY2" s="18"/>
      <c r="LMZ2" s="18"/>
      <c r="LNA2" s="18"/>
      <c r="LNB2" s="18"/>
      <c r="LNC2" s="18"/>
      <c r="LND2" s="18"/>
      <c r="LNE2" s="18"/>
      <c r="LNF2" s="18"/>
      <c r="LNG2" s="18"/>
      <c r="LNH2" s="18"/>
      <c r="LNI2" s="18"/>
      <c r="LNJ2" s="18"/>
      <c r="LNK2" s="18"/>
      <c r="LNL2" s="18"/>
      <c r="LNM2" s="18"/>
      <c r="LNN2" s="18"/>
      <c r="LNO2" s="18"/>
      <c r="LNP2" s="18"/>
      <c r="LNQ2" s="18"/>
      <c r="LNR2" s="18"/>
      <c r="LNS2" s="18"/>
      <c r="LNT2" s="18"/>
      <c r="LNU2" s="18"/>
      <c r="LNV2" s="18"/>
      <c r="LNW2" s="18"/>
      <c r="LNX2" s="18"/>
      <c r="LNY2" s="18"/>
      <c r="LNZ2" s="18"/>
      <c r="LOA2" s="18"/>
      <c r="LOB2" s="18"/>
      <c r="LOC2" s="18"/>
      <c r="LOD2" s="18"/>
      <c r="LOE2" s="18"/>
      <c r="LOF2" s="18"/>
      <c r="LOG2" s="18"/>
      <c r="LOH2" s="18"/>
      <c r="LOI2" s="18"/>
      <c r="LOJ2" s="18"/>
      <c r="LOK2" s="18"/>
      <c r="LOL2" s="18"/>
      <c r="LOM2" s="18"/>
      <c r="LON2" s="18"/>
      <c r="LOO2" s="18"/>
      <c r="LOP2" s="18"/>
      <c r="LOQ2" s="18"/>
      <c r="LOR2" s="18"/>
      <c r="LOS2" s="18"/>
      <c r="LOT2" s="18"/>
      <c r="LOU2" s="18"/>
      <c r="LOV2" s="18"/>
      <c r="LOW2" s="18"/>
      <c r="LOX2" s="18"/>
      <c r="LOY2" s="18"/>
      <c r="LOZ2" s="18"/>
      <c r="LPA2" s="18"/>
      <c r="LPB2" s="18"/>
      <c r="LPC2" s="18"/>
      <c r="LPD2" s="18"/>
      <c r="LPE2" s="18"/>
      <c r="LPF2" s="18"/>
      <c r="LPG2" s="18"/>
      <c r="LPH2" s="18"/>
      <c r="LPI2" s="18"/>
      <c r="LPJ2" s="18"/>
      <c r="LPK2" s="18"/>
      <c r="LPL2" s="18"/>
      <c r="LPM2" s="18"/>
      <c r="LPN2" s="18"/>
      <c r="LPO2" s="18"/>
      <c r="LPP2" s="18"/>
      <c r="LPQ2" s="18"/>
      <c r="LPR2" s="18"/>
      <c r="LPS2" s="18"/>
      <c r="LPT2" s="18"/>
      <c r="LPU2" s="18"/>
      <c r="LPV2" s="18"/>
      <c r="LPW2" s="18"/>
      <c r="LPX2" s="18"/>
      <c r="LPY2" s="18"/>
      <c r="LPZ2" s="18"/>
      <c r="LQA2" s="18"/>
      <c r="LQB2" s="18"/>
      <c r="LQC2" s="18"/>
      <c r="LQD2" s="18"/>
      <c r="LQE2" s="18"/>
      <c r="LQF2" s="18"/>
      <c r="LQG2" s="18"/>
      <c r="LQH2" s="18"/>
      <c r="LQI2" s="18"/>
      <c r="LQJ2" s="18"/>
      <c r="LQK2" s="18"/>
      <c r="LQL2" s="18"/>
      <c r="LQM2" s="18"/>
      <c r="LQN2" s="18"/>
      <c r="LQO2" s="18"/>
      <c r="LQP2" s="18"/>
      <c r="LQQ2" s="18"/>
      <c r="LQR2" s="18"/>
      <c r="LQS2" s="18"/>
      <c r="LQT2" s="18"/>
      <c r="LQU2" s="18"/>
      <c r="LQV2" s="18"/>
      <c r="LQW2" s="18"/>
      <c r="LQX2" s="18"/>
      <c r="LQY2" s="18"/>
      <c r="LQZ2" s="18"/>
      <c r="LRA2" s="18"/>
      <c r="LRB2" s="18"/>
      <c r="LRC2" s="18"/>
      <c r="LRD2" s="18"/>
      <c r="LRE2" s="18"/>
      <c r="LRF2" s="18"/>
      <c r="LRG2" s="18"/>
      <c r="LRH2" s="18"/>
      <c r="LRI2" s="18"/>
      <c r="LRJ2" s="18"/>
      <c r="LRK2" s="18"/>
      <c r="LRL2" s="18"/>
      <c r="LRM2" s="18"/>
      <c r="LRN2" s="18"/>
      <c r="LRO2" s="18"/>
      <c r="LRP2" s="18"/>
      <c r="LRQ2" s="18"/>
      <c r="LRR2" s="18"/>
      <c r="LRS2" s="18"/>
      <c r="LRT2" s="18"/>
      <c r="LRU2" s="18"/>
      <c r="LRV2" s="18"/>
      <c r="LRW2" s="18"/>
      <c r="LRX2" s="18"/>
      <c r="LRY2" s="18"/>
      <c r="LRZ2" s="18"/>
      <c r="LSA2" s="18"/>
      <c r="LSB2" s="18"/>
      <c r="LSC2" s="18"/>
      <c r="LSD2" s="18"/>
      <c r="LSE2" s="18"/>
      <c r="LSF2" s="18"/>
      <c r="LSG2" s="18"/>
      <c r="LSH2" s="18"/>
      <c r="LSI2" s="18"/>
      <c r="LSJ2" s="18"/>
      <c r="LSK2" s="18"/>
      <c r="LSL2" s="18"/>
      <c r="LSM2" s="18"/>
      <c r="LSN2" s="18"/>
      <c r="LSO2" s="18"/>
      <c r="LSP2" s="18"/>
      <c r="LSQ2" s="18"/>
      <c r="LSR2" s="18"/>
      <c r="LSS2" s="18"/>
      <c r="LST2" s="18"/>
      <c r="LSU2" s="18"/>
      <c r="LSV2" s="18"/>
      <c r="LSW2" s="18"/>
      <c r="LSX2" s="18"/>
      <c r="LSY2" s="18"/>
      <c r="LSZ2" s="18"/>
      <c r="LTA2" s="18"/>
      <c r="LTB2" s="18"/>
      <c r="LTC2" s="18"/>
      <c r="LTD2" s="18"/>
      <c r="LTE2" s="18"/>
      <c r="LTF2" s="18"/>
      <c r="LTG2" s="18"/>
      <c r="LTH2" s="18"/>
      <c r="LTI2" s="18"/>
      <c r="LTJ2" s="18"/>
      <c r="LTK2" s="18"/>
      <c r="LTL2" s="18"/>
      <c r="LTM2" s="18"/>
      <c r="LTN2" s="18"/>
      <c r="LTO2" s="18"/>
      <c r="LTP2" s="18"/>
      <c r="LTQ2" s="18"/>
      <c r="LTR2" s="18"/>
      <c r="LTS2" s="18"/>
      <c r="LTT2" s="18"/>
      <c r="LTU2" s="18"/>
      <c r="LTV2" s="18"/>
      <c r="LTW2" s="18"/>
      <c r="LTX2" s="18"/>
      <c r="LTY2" s="18"/>
      <c r="LTZ2" s="18"/>
      <c r="LUA2" s="18"/>
      <c r="LUB2" s="18"/>
      <c r="LUC2" s="18"/>
      <c r="LUD2" s="18"/>
      <c r="LUE2" s="18"/>
      <c r="LUF2" s="18"/>
      <c r="LUG2" s="18"/>
      <c r="LUH2" s="18"/>
      <c r="LUI2" s="18"/>
      <c r="LUJ2" s="18"/>
      <c r="LUK2" s="18"/>
      <c r="LUL2" s="18"/>
      <c r="LUM2" s="18"/>
      <c r="LUN2" s="18"/>
      <c r="LUO2" s="18"/>
      <c r="LUP2" s="18"/>
      <c r="LUQ2" s="18"/>
      <c r="LUR2" s="18"/>
      <c r="LUS2" s="18"/>
      <c r="LUT2" s="18"/>
      <c r="LUU2" s="18"/>
      <c r="LUV2" s="18"/>
      <c r="LUW2" s="18"/>
      <c r="LUX2" s="18"/>
      <c r="LUY2" s="18"/>
      <c r="LUZ2" s="18"/>
      <c r="LVA2" s="18"/>
      <c r="LVB2" s="18"/>
      <c r="LVC2" s="18"/>
      <c r="LVD2" s="18"/>
      <c r="LVE2" s="18"/>
      <c r="LVF2" s="18"/>
      <c r="LVG2" s="18"/>
      <c r="LVH2" s="18"/>
      <c r="LVI2" s="18"/>
      <c r="LVJ2" s="18"/>
      <c r="LVK2" s="18"/>
      <c r="LVL2" s="18"/>
      <c r="LVM2" s="18"/>
      <c r="LVN2" s="18"/>
      <c r="LVO2" s="18"/>
      <c r="LVP2" s="18"/>
      <c r="LVQ2" s="18"/>
      <c r="LVR2" s="18"/>
      <c r="LVS2" s="18"/>
      <c r="LVT2" s="18"/>
      <c r="LVU2" s="18"/>
      <c r="LVV2" s="18"/>
      <c r="LVW2" s="18"/>
      <c r="LVX2" s="18"/>
      <c r="LVY2" s="18"/>
      <c r="LVZ2" s="18"/>
      <c r="LWA2" s="18"/>
      <c r="LWB2" s="18"/>
      <c r="LWC2" s="18"/>
      <c r="LWD2" s="18"/>
      <c r="LWE2" s="18"/>
      <c r="LWF2" s="18"/>
      <c r="LWG2" s="18"/>
      <c r="LWH2" s="18"/>
      <c r="LWI2" s="18"/>
      <c r="LWJ2" s="18"/>
      <c r="LWK2" s="18"/>
      <c r="LWL2" s="18"/>
      <c r="LWM2" s="18"/>
      <c r="LWN2" s="18"/>
      <c r="LWO2" s="18"/>
      <c r="LWP2" s="18"/>
      <c r="LWQ2" s="18"/>
      <c r="LWR2" s="18"/>
      <c r="LWS2" s="18"/>
      <c r="LWT2" s="18"/>
      <c r="LWU2" s="18"/>
      <c r="LWV2" s="18"/>
      <c r="LWW2" s="18"/>
      <c r="LWX2" s="18"/>
      <c r="LWY2" s="18"/>
      <c r="LWZ2" s="18"/>
      <c r="LXA2" s="18"/>
      <c r="LXB2" s="18"/>
      <c r="LXC2" s="18"/>
      <c r="LXD2" s="18"/>
      <c r="LXE2" s="18"/>
      <c r="LXF2" s="18"/>
      <c r="LXG2" s="18"/>
      <c r="LXH2" s="18"/>
      <c r="LXI2" s="18"/>
      <c r="LXJ2" s="18"/>
      <c r="LXK2" s="18"/>
      <c r="LXL2" s="18"/>
      <c r="LXM2" s="18"/>
      <c r="LXN2" s="18"/>
      <c r="LXO2" s="18"/>
      <c r="LXP2" s="18"/>
      <c r="LXQ2" s="18"/>
      <c r="LXR2" s="18"/>
      <c r="LXS2" s="18"/>
      <c r="LXT2" s="18"/>
      <c r="LXU2" s="18"/>
      <c r="LXV2" s="18"/>
      <c r="LXW2" s="18"/>
      <c r="LXX2" s="18"/>
      <c r="LXY2" s="18"/>
      <c r="LXZ2" s="18"/>
      <c r="LYA2" s="18"/>
      <c r="LYB2" s="18"/>
      <c r="LYC2" s="18"/>
      <c r="LYD2" s="18"/>
      <c r="LYE2" s="18"/>
      <c r="LYF2" s="18"/>
      <c r="LYG2" s="18"/>
      <c r="LYH2" s="18"/>
      <c r="LYI2" s="18"/>
      <c r="LYJ2" s="18"/>
      <c r="LYK2" s="18"/>
      <c r="LYL2" s="18"/>
      <c r="LYM2" s="18"/>
      <c r="LYN2" s="18"/>
      <c r="LYO2" s="18"/>
      <c r="LYP2" s="18"/>
      <c r="LYQ2" s="18"/>
      <c r="LYR2" s="18"/>
      <c r="LYS2" s="18"/>
      <c r="LYT2" s="18"/>
      <c r="LYU2" s="18"/>
      <c r="LYV2" s="18"/>
      <c r="LYW2" s="18"/>
      <c r="LYX2" s="18"/>
      <c r="LYY2" s="18"/>
      <c r="LYZ2" s="18"/>
      <c r="LZA2" s="18"/>
      <c r="LZB2" s="18"/>
      <c r="LZC2" s="18"/>
      <c r="LZD2" s="18"/>
      <c r="LZE2" s="18"/>
      <c r="LZF2" s="18"/>
      <c r="LZG2" s="18"/>
      <c r="LZH2" s="18"/>
      <c r="LZI2" s="18"/>
      <c r="LZJ2" s="18"/>
      <c r="LZK2" s="18"/>
      <c r="LZL2" s="18"/>
      <c r="LZM2" s="18"/>
      <c r="LZN2" s="18"/>
      <c r="LZO2" s="18"/>
      <c r="LZP2" s="18"/>
      <c r="LZQ2" s="18"/>
      <c r="LZR2" s="18"/>
      <c r="LZS2" s="18"/>
      <c r="LZT2" s="18"/>
      <c r="LZU2" s="18"/>
      <c r="LZV2" s="18"/>
      <c r="LZW2" s="18"/>
      <c r="LZX2" s="18"/>
      <c r="LZY2" s="18"/>
      <c r="LZZ2" s="18"/>
      <c r="MAA2" s="18"/>
      <c r="MAB2" s="18"/>
      <c r="MAC2" s="18"/>
      <c r="MAD2" s="18"/>
      <c r="MAE2" s="18"/>
      <c r="MAF2" s="18"/>
      <c r="MAG2" s="18"/>
      <c r="MAH2" s="18"/>
      <c r="MAI2" s="18"/>
      <c r="MAJ2" s="18"/>
      <c r="MAK2" s="18"/>
      <c r="MAL2" s="18"/>
      <c r="MAM2" s="18"/>
      <c r="MAN2" s="18"/>
      <c r="MAO2" s="18"/>
      <c r="MAP2" s="18"/>
      <c r="MAQ2" s="18"/>
      <c r="MAR2" s="18"/>
      <c r="MAS2" s="18"/>
      <c r="MAT2" s="18"/>
      <c r="MAU2" s="18"/>
      <c r="MAV2" s="18"/>
      <c r="MAW2" s="18"/>
      <c r="MAX2" s="18"/>
      <c r="MAY2" s="18"/>
      <c r="MAZ2" s="18"/>
      <c r="MBA2" s="18"/>
      <c r="MBB2" s="18"/>
      <c r="MBC2" s="18"/>
      <c r="MBD2" s="18"/>
      <c r="MBE2" s="18"/>
      <c r="MBF2" s="18"/>
      <c r="MBG2" s="18"/>
      <c r="MBH2" s="18"/>
      <c r="MBI2" s="18"/>
      <c r="MBJ2" s="18"/>
      <c r="MBK2" s="18"/>
      <c r="MBL2" s="18"/>
      <c r="MBM2" s="18"/>
      <c r="MBN2" s="18"/>
      <c r="MBO2" s="18"/>
      <c r="MBP2" s="18"/>
      <c r="MBQ2" s="18"/>
      <c r="MBR2" s="18"/>
      <c r="MBS2" s="18"/>
      <c r="MBT2" s="18"/>
      <c r="MBU2" s="18"/>
      <c r="MBV2" s="18"/>
      <c r="MBW2" s="18"/>
      <c r="MBX2" s="18"/>
      <c r="MBY2" s="18"/>
      <c r="MBZ2" s="18"/>
      <c r="MCA2" s="18"/>
      <c r="MCB2" s="18"/>
      <c r="MCC2" s="18"/>
      <c r="MCD2" s="18"/>
      <c r="MCE2" s="18"/>
      <c r="MCF2" s="18"/>
      <c r="MCG2" s="18"/>
      <c r="MCH2" s="18"/>
      <c r="MCI2" s="18"/>
      <c r="MCJ2" s="18"/>
      <c r="MCK2" s="18"/>
      <c r="MCL2" s="18"/>
      <c r="MCM2" s="18"/>
      <c r="MCN2" s="18"/>
      <c r="MCO2" s="18"/>
      <c r="MCP2" s="18"/>
      <c r="MCQ2" s="18"/>
      <c r="MCR2" s="18"/>
      <c r="MCS2" s="18"/>
      <c r="MCT2" s="18"/>
      <c r="MCU2" s="18"/>
      <c r="MCV2" s="18"/>
      <c r="MCW2" s="18"/>
      <c r="MCX2" s="18"/>
      <c r="MCY2" s="18"/>
      <c r="MCZ2" s="18"/>
      <c r="MDA2" s="18"/>
      <c r="MDB2" s="18"/>
      <c r="MDC2" s="18"/>
      <c r="MDD2" s="18"/>
      <c r="MDE2" s="18"/>
      <c r="MDF2" s="18"/>
      <c r="MDG2" s="18"/>
      <c r="MDH2" s="18"/>
      <c r="MDI2" s="18"/>
      <c r="MDJ2" s="18"/>
      <c r="MDK2" s="18"/>
      <c r="MDL2" s="18"/>
      <c r="MDM2" s="18"/>
      <c r="MDN2" s="18"/>
      <c r="MDO2" s="18"/>
      <c r="MDP2" s="18"/>
      <c r="MDQ2" s="18"/>
      <c r="MDR2" s="18"/>
      <c r="MDS2" s="18"/>
      <c r="MDT2" s="18"/>
      <c r="MDU2" s="18"/>
      <c r="MDV2" s="18"/>
      <c r="MDW2" s="18"/>
      <c r="MDX2" s="18"/>
      <c r="MDY2" s="18"/>
      <c r="MDZ2" s="18"/>
      <c r="MEA2" s="18"/>
      <c r="MEB2" s="18"/>
      <c r="MEC2" s="18"/>
      <c r="MED2" s="18"/>
      <c r="MEE2" s="18"/>
      <c r="MEF2" s="18"/>
      <c r="MEG2" s="18"/>
      <c r="MEH2" s="18"/>
      <c r="MEI2" s="18"/>
      <c r="MEJ2" s="18"/>
      <c r="MEK2" s="18"/>
      <c r="MEL2" s="18"/>
      <c r="MEM2" s="18"/>
      <c r="MEN2" s="18"/>
      <c r="MEO2" s="18"/>
      <c r="MEP2" s="18"/>
      <c r="MEQ2" s="18"/>
      <c r="MER2" s="18"/>
      <c r="MES2" s="18"/>
      <c r="MET2" s="18"/>
      <c r="MEU2" s="18"/>
      <c r="MEV2" s="18"/>
      <c r="MEW2" s="18"/>
      <c r="MEX2" s="18"/>
      <c r="MEY2" s="18"/>
      <c r="MEZ2" s="18"/>
      <c r="MFA2" s="18"/>
      <c r="MFB2" s="18"/>
      <c r="MFC2" s="18"/>
      <c r="MFD2" s="18"/>
      <c r="MFE2" s="18"/>
      <c r="MFF2" s="18"/>
      <c r="MFG2" s="18"/>
      <c r="MFH2" s="18"/>
      <c r="MFI2" s="18"/>
      <c r="MFJ2" s="18"/>
      <c r="MFK2" s="18"/>
      <c r="MFL2" s="18"/>
      <c r="MFM2" s="18"/>
      <c r="MFN2" s="18"/>
      <c r="MFO2" s="18"/>
      <c r="MFP2" s="18"/>
      <c r="MFQ2" s="18"/>
      <c r="MFR2" s="18"/>
      <c r="MFS2" s="18"/>
      <c r="MFT2" s="18"/>
      <c r="MFU2" s="18"/>
      <c r="MFV2" s="18"/>
      <c r="MFW2" s="18"/>
      <c r="MFX2" s="18"/>
      <c r="MFY2" s="18"/>
      <c r="MFZ2" s="18"/>
      <c r="MGA2" s="18"/>
      <c r="MGB2" s="18"/>
      <c r="MGC2" s="18"/>
      <c r="MGD2" s="18"/>
      <c r="MGE2" s="18"/>
      <c r="MGF2" s="18"/>
      <c r="MGG2" s="18"/>
      <c r="MGH2" s="18"/>
      <c r="MGI2" s="18"/>
      <c r="MGJ2" s="18"/>
      <c r="MGK2" s="18"/>
      <c r="MGL2" s="18"/>
      <c r="MGM2" s="18"/>
      <c r="MGN2" s="18"/>
      <c r="MGO2" s="18"/>
      <c r="MGP2" s="18"/>
      <c r="MGQ2" s="18"/>
      <c r="MGR2" s="18"/>
      <c r="MGS2" s="18"/>
      <c r="MGT2" s="18"/>
      <c r="MGU2" s="18"/>
      <c r="MGV2" s="18"/>
      <c r="MGW2" s="18"/>
      <c r="MGX2" s="18"/>
      <c r="MGY2" s="18"/>
      <c r="MGZ2" s="18"/>
      <c r="MHA2" s="18"/>
      <c r="MHB2" s="18"/>
      <c r="MHC2" s="18"/>
      <c r="MHD2" s="18"/>
      <c r="MHE2" s="18"/>
      <c r="MHF2" s="18"/>
      <c r="MHG2" s="18"/>
      <c r="MHH2" s="18"/>
      <c r="MHI2" s="18"/>
      <c r="MHJ2" s="18"/>
      <c r="MHK2" s="18"/>
      <c r="MHL2" s="18"/>
      <c r="MHM2" s="18"/>
      <c r="MHN2" s="18"/>
      <c r="MHO2" s="18"/>
      <c r="MHP2" s="18"/>
      <c r="MHQ2" s="18"/>
      <c r="MHR2" s="18"/>
      <c r="MHS2" s="18"/>
      <c r="MHT2" s="18"/>
      <c r="MHU2" s="18"/>
      <c r="MHV2" s="18"/>
      <c r="MHW2" s="18"/>
      <c r="MHX2" s="18"/>
      <c r="MHY2" s="18"/>
      <c r="MHZ2" s="18"/>
      <c r="MIA2" s="18"/>
      <c r="MIB2" s="18"/>
      <c r="MIC2" s="18"/>
      <c r="MID2" s="18"/>
      <c r="MIE2" s="18"/>
      <c r="MIF2" s="18"/>
      <c r="MIG2" s="18"/>
      <c r="MIH2" s="18"/>
      <c r="MII2" s="18"/>
      <c r="MIJ2" s="18"/>
      <c r="MIK2" s="18"/>
      <c r="MIL2" s="18"/>
      <c r="MIM2" s="18"/>
      <c r="MIN2" s="18"/>
      <c r="MIO2" s="18"/>
      <c r="MIP2" s="18"/>
      <c r="MIQ2" s="18"/>
      <c r="MIR2" s="18"/>
      <c r="MIS2" s="18"/>
      <c r="MIT2" s="18"/>
      <c r="MIU2" s="18"/>
      <c r="MIV2" s="18"/>
      <c r="MIW2" s="18"/>
      <c r="MIX2" s="18"/>
      <c r="MIY2" s="18"/>
      <c r="MIZ2" s="18"/>
      <c r="MJA2" s="18"/>
      <c r="MJB2" s="18"/>
      <c r="MJC2" s="18"/>
      <c r="MJD2" s="18"/>
      <c r="MJE2" s="18"/>
      <c r="MJF2" s="18"/>
      <c r="MJG2" s="18"/>
      <c r="MJH2" s="18"/>
      <c r="MJI2" s="18"/>
      <c r="MJJ2" s="18"/>
      <c r="MJK2" s="18"/>
      <c r="MJL2" s="18"/>
      <c r="MJM2" s="18"/>
      <c r="MJN2" s="18"/>
      <c r="MJO2" s="18"/>
      <c r="MJP2" s="18"/>
      <c r="MJQ2" s="18"/>
      <c r="MJR2" s="18"/>
      <c r="MJS2" s="18"/>
      <c r="MJT2" s="18"/>
      <c r="MJU2" s="18"/>
      <c r="MJV2" s="18"/>
      <c r="MJW2" s="18"/>
      <c r="MJX2" s="18"/>
      <c r="MJY2" s="18"/>
      <c r="MJZ2" s="18"/>
      <c r="MKA2" s="18"/>
      <c r="MKB2" s="18"/>
      <c r="MKC2" s="18"/>
      <c r="MKD2" s="18"/>
      <c r="MKE2" s="18"/>
      <c r="MKF2" s="18"/>
      <c r="MKG2" s="18"/>
      <c r="MKH2" s="18"/>
      <c r="MKI2" s="18"/>
      <c r="MKJ2" s="18"/>
      <c r="MKK2" s="18"/>
      <c r="MKL2" s="18"/>
      <c r="MKM2" s="18"/>
      <c r="MKN2" s="18"/>
      <c r="MKO2" s="18"/>
      <c r="MKP2" s="18"/>
      <c r="MKQ2" s="18"/>
      <c r="MKR2" s="18"/>
      <c r="MKS2" s="18"/>
      <c r="MKT2" s="18"/>
      <c r="MKU2" s="18"/>
      <c r="MKV2" s="18"/>
      <c r="MKW2" s="18"/>
      <c r="MKX2" s="18"/>
      <c r="MKY2" s="18"/>
      <c r="MKZ2" s="18"/>
      <c r="MLA2" s="18"/>
      <c r="MLB2" s="18"/>
      <c r="MLC2" s="18"/>
      <c r="MLD2" s="18"/>
      <c r="MLE2" s="18"/>
      <c r="MLF2" s="18"/>
      <c r="MLG2" s="18"/>
      <c r="MLH2" s="18"/>
      <c r="MLI2" s="18"/>
      <c r="MLJ2" s="18"/>
      <c r="MLK2" s="18"/>
      <c r="MLL2" s="18"/>
      <c r="MLM2" s="18"/>
      <c r="MLN2" s="18"/>
      <c r="MLO2" s="18"/>
      <c r="MLP2" s="18"/>
      <c r="MLQ2" s="18"/>
      <c r="MLR2" s="18"/>
      <c r="MLS2" s="18"/>
      <c r="MLT2" s="18"/>
      <c r="MLU2" s="18"/>
      <c r="MLV2" s="18"/>
      <c r="MLW2" s="18"/>
      <c r="MLX2" s="18"/>
      <c r="MLY2" s="18"/>
      <c r="MLZ2" s="18"/>
      <c r="MMA2" s="18"/>
      <c r="MMB2" s="18"/>
      <c r="MMC2" s="18"/>
      <c r="MMD2" s="18"/>
      <c r="MME2" s="18"/>
      <c r="MMF2" s="18"/>
      <c r="MMG2" s="18"/>
      <c r="MMH2" s="18"/>
      <c r="MMI2" s="18"/>
      <c r="MMJ2" s="18"/>
      <c r="MMK2" s="18"/>
      <c r="MML2" s="18"/>
      <c r="MMM2" s="18"/>
      <c r="MMN2" s="18"/>
      <c r="MMO2" s="18"/>
      <c r="MMP2" s="18"/>
      <c r="MMQ2" s="18"/>
      <c r="MMR2" s="18"/>
      <c r="MMS2" s="18"/>
      <c r="MMT2" s="18"/>
      <c r="MMU2" s="18"/>
      <c r="MMV2" s="18"/>
      <c r="MMW2" s="18"/>
      <c r="MMX2" s="18"/>
      <c r="MMY2" s="18"/>
      <c r="MMZ2" s="18"/>
      <c r="MNA2" s="18"/>
      <c r="MNB2" s="18"/>
      <c r="MNC2" s="18"/>
      <c r="MND2" s="18"/>
      <c r="MNE2" s="18"/>
      <c r="MNF2" s="18"/>
      <c r="MNG2" s="18"/>
      <c r="MNH2" s="18"/>
      <c r="MNI2" s="18"/>
      <c r="MNJ2" s="18"/>
      <c r="MNK2" s="18"/>
      <c r="MNL2" s="18"/>
      <c r="MNM2" s="18"/>
      <c r="MNN2" s="18"/>
      <c r="MNO2" s="18"/>
      <c r="MNP2" s="18"/>
      <c r="MNQ2" s="18"/>
      <c r="MNR2" s="18"/>
      <c r="MNS2" s="18"/>
      <c r="MNT2" s="18"/>
      <c r="MNU2" s="18"/>
      <c r="MNV2" s="18"/>
      <c r="MNW2" s="18"/>
      <c r="MNX2" s="18"/>
      <c r="MNY2" s="18"/>
      <c r="MNZ2" s="18"/>
      <c r="MOA2" s="18"/>
      <c r="MOB2" s="18"/>
      <c r="MOC2" s="18"/>
      <c r="MOD2" s="18"/>
      <c r="MOE2" s="18"/>
      <c r="MOF2" s="18"/>
      <c r="MOG2" s="18"/>
      <c r="MOH2" s="18"/>
      <c r="MOI2" s="18"/>
      <c r="MOJ2" s="18"/>
      <c r="MOK2" s="18"/>
      <c r="MOL2" s="18"/>
      <c r="MOM2" s="18"/>
      <c r="MON2" s="18"/>
      <c r="MOO2" s="18"/>
      <c r="MOP2" s="18"/>
      <c r="MOQ2" s="18"/>
      <c r="MOR2" s="18"/>
      <c r="MOS2" s="18"/>
      <c r="MOT2" s="18"/>
      <c r="MOU2" s="18"/>
      <c r="MOV2" s="18"/>
      <c r="MOW2" s="18"/>
      <c r="MOX2" s="18"/>
      <c r="MOY2" s="18"/>
      <c r="MOZ2" s="18"/>
      <c r="MPA2" s="18"/>
      <c r="MPB2" s="18"/>
      <c r="MPC2" s="18"/>
      <c r="MPD2" s="18"/>
      <c r="MPE2" s="18"/>
      <c r="MPF2" s="18"/>
      <c r="MPG2" s="18"/>
      <c r="MPH2" s="18"/>
      <c r="MPI2" s="18"/>
      <c r="MPJ2" s="18"/>
      <c r="MPK2" s="18"/>
      <c r="MPL2" s="18"/>
      <c r="MPM2" s="18"/>
      <c r="MPN2" s="18"/>
      <c r="MPO2" s="18"/>
      <c r="MPP2" s="18"/>
      <c r="MPQ2" s="18"/>
      <c r="MPR2" s="18"/>
      <c r="MPS2" s="18"/>
      <c r="MPT2" s="18"/>
      <c r="MPU2" s="18"/>
      <c r="MPV2" s="18"/>
      <c r="MPW2" s="18"/>
      <c r="MPX2" s="18"/>
      <c r="MPY2" s="18"/>
      <c r="MPZ2" s="18"/>
      <c r="MQA2" s="18"/>
      <c r="MQB2" s="18"/>
      <c r="MQC2" s="18"/>
      <c r="MQD2" s="18"/>
      <c r="MQE2" s="18"/>
      <c r="MQF2" s="18"/>
      <c r="MQG2" s="18"/>
      <c r="MQH2" s="18"/>
      <c r="MQI2" s="18"/>
      <c r="MQJ2" s="18"/>
      <c r="MQK2" s="18"/>
      <c r="MQL2" s="18"/>
      <c r="MQM2" s="18"/>
      <c r="MQN2" s="18"/>
      <c r="MQO2" s="18"/>
      <c r="MQP2" s="18"/>
      <c r="MQQ2" s="18"/>
      <c r="MQR2" s="18"/>
      <c r="MQS2" s="18"/>
      <c r="MQT2" s="18"/>
      <c r="MQU2" s="18"/>
      <c r="MQV2" s="18"/>
      <c r="MQW2" s="18"/>
      <c r="MQX2" s="18"/>
      <c r="MQY2" s="18"/>
      <c r="MQZ2" s="18"/>
      <c r="MRA2" s="18"/>
      <c r="MRB2" s="18"/>
      <c r="MRC2" s="18"/>
      <c r="MRD2" s="18"/>
      <c r="MRE2" s="18"/>
      <c r="MRF2" s="18"/>
      <c r="MRG2" s="18"/>
      <c r="MRH2" s="18"/>
      <c r="MRI2" s="18"/>
      <c r="MRJ2" s="18"/>
      <c r="MRK2" s="18"/>
      <c r="MRL2" s="18"/>
      <c r="MRM2" s="18"/>
      <c r="MRN2" s="18"/>
      <c r="MRO2" s="18"/>
      <c r="MRP2" s="18"/>
      <c r="MRQ2" s="18"/>
      <c r="MRR2" s="18"/>
      <c r="MRS2" s="18"/>
      <c r="MRT2" s="18"/>
      <c r="MRU2" s="18"/>
      <c r="MRV2" s="18"/>
      <c r="MRW2" s="18"/>
      <c r="MRX2" s="18"/>
      <c r="MRY2" s="18"/>
      <c r="MRZ2" s="18"/>
      <c r="MSA2" s="18"/>
      <c r="MSB2" s="18"/>
      <c r="MSC2" s="18"/>
      <c r="MSD2" s="18"/>
      <c r="MSE2" s="18"/>
      <c r="MSF2" s="18"/>
      <c r="MSG2" s="18"/>
      <c r="MSH2" s="18"/>
      <c r="MSI2" s="18"/>
      <c r="MSJ2" s="18"/>
      <c r="MSK2" s="18"/>
      <c r="MSL2" s="18"/>
      <c r="MSM2" s="18"/>
      <c r="MSN2" s="18"/>
      <c r="MSO2" s="18"/>
      <c r="MSP2" s="18"/>
      <c r="MSQ2" s="18"/>
      <c r="MSR2" s="18"/>
      <c r="MSS2" s="18"/>
      <c r="MST2" s="18"/>
      <c r="MSU2" s="18"/>
      <c r="MSV2" s="18"/>
      <c r="MSW2" s="18"/>
      <c r="MSX2" s="18"/>
      <c r="MSY2" s="18"/>
      <c r="MSZ2" s="18"/>
      <c r="MTA2" s="18"/>
      <c r="MTB2" s="18"/>
      <c r="MTC2" s="18"/>
      <c r="MTD2" s="18"/>
      <c r="MTE2" s="18"/>
      <c r="MTF2" s="18"/>
      <c r="MTG2" s="18"/>
      <c r="MTH2" s="18"/>
      <c r="MTI2" s="18"/>
      <c r="MTJ2" s="18"/>
      <c r="MTK2" s="18"/>
      <c r="MTL2" s="18"/>
      <c r="MTM2" s="18"/>
      <c r="MTN2" s="18"/>
      <c r="MTO2" s="18"/>
      <c r="MTP2" s="18"/>
      <c r="MTQ2" s="18"/>
      <c r="MTR2" s="18"/>
      <c r="MTS2" s="18"/>
      <c r="MTT2" s="18"/>
      <c r="MTU2" s="18"/>
      <c r="MTV2" s="18"/>
      <c r="MTW2" s="18"/>
      <c r="MTX2" s="18"/>
      <c r="MTY2" s="18"/>
      <c r="MTZ2" s="18"/>
      <c r="MUA2" s="18"/>
      <c r="MUB2" s="18"/>
      <c r="MUC2" s="18"/>
      <c r="MUD2" s="18"/>
      <c r="MUE2" s="18"/>
      <c r="MUF2" s="18"/>
      <c r="MUG2" s="18"/>
      <c r="MUH2" s="18"/>
      <c r="MUI2" s="18"/>
      <c r="MUJ2" s="18"/>
      <c r="MUK2" s="18"/>
      <c r="MUL2" s="18"/>
      <c r="MUM2" s="18"/>
      <c r="MUN2" s="18"/>
      <c r="MUO2" s="18"/>
      <c r="MUP2" s="18"/>
      <c r="MUQ2" s="18"/>
      <c r="MUR2" s="18"/>
      <c r="MUS2" s="18"/>
      <c r="MUT2" s="18"/>
      <c r="MUU2" s="18"/>
      <c r="MUV2" s="18"/>
      <c r="MUW2" s="18"/>
      <c r="MUX2" s="18"/>
      <c r="MUY2" s="18"/>
      <c r="MUZ2" s="18"/>
      <c r="MVA2" s="18"/>
      <c r="MVB2" s="18"/>
      <c r="MVC2" s="18"/>
      <c r="MVD2" s="18"/>
      <c r="MVE2" s="18"/>
      <c r="MVF2" s="18"/>
      <c r="MVG2" s="18"/>
      <c r="MVH2" s="18"/>
      <c r="MVI2" s="18"/>
      <c r="MVJ2" s="18"/>
      <c r="MVK2" s="18"/>
      <c r="MVL2" s="18"/>
      <c r="MVM2" s="18"/>
      <c r="MVN2" s="18"/>
      <c r="MVO2" s="18"/>
      <c r="MVP2" s="18"/>
      <c r="MVQ2" s="18"/>
      <c r="MVR2" s="18"/>
      <c r="MVS2" s="18"/>
      <c r="MVT2" s="18"/>
      <c r="MVU2" s="18"/>
      <c r="MVV2" s="18"/>
      <c r="MVW2" s="18"/>
      <c r="MVX2" s="18"/>
      <c r="MVY2" s="18"/>
      <c r="MVZ2" s="18"/>
      <c r="MWA2" s="18"/>
      <c r="MWB2" s="18"/>
      <c r="MWC2" s="18"/>
      <c r="MWD2" s="18"/>
      <c r="MWE2" s="18"/>
      <c r="MWF2" s="18"/>
      <c r="MWG2" s="18"/>
      <c r="MWH2" s="18"/>
      <c r="MWI2" s="18"/>
      <c r="MWJ2" s="18"/>
      <c r="MWK2" s="18"/>
      <c r="MWL2" s="18"/>
      <c r="MWM2" s="18"/>
      <c r="MWN2" s="18"/>
      <c r="MWO2" s="18"/>
      <c r="MWP2" s="18"/>
      <c r="MWQ2" s="18"/>
      <c r="MWR2" s="18"/>
      <c r="MWS2" s="18"/>
      <c r="MWT2" s="18"/>
      <c r="MWU2" s="18"/>
      <c r="MWV2" s="18"/>
      <c r="MWW2" s="18"/>
      <c r="MWX2" s="18"/>
      <c r="MWY2" s="18"/>
      <c r="MWZ2" s="18"/>
      <c r="MXA2" s="18"/>
      <c r="MXB2" s="18"/>
      <c r="MXC2" s="18"/>
      <c r="MXD2" s="18"/>
      <c r="MXE2" s="18"/>
      <c r="MXF2" s="18"/>
      <c r="MXG2" s="18"/>
      <c r="MXH2" s="18"/>
      <c r="MXI2" s="18"/>
      <c r="MXJ2" s="18"/>
      <c r="MXK2" s="18"/>
      <c r="MXL2" s="18"/>
      <c r="MXM2" s="18"/>
      <c r="MXN2" s="18"/>
      <c r="MXO2" s="18"/>
      <c r="MXP2" s="18"/>
      <c r="MXQ2" s="18"/>
      <c r="MXR2" s="18"/>
      <c r="MXS2" s="18"/>
      <c r="MXT2" s="18"/>
      <c r="MXU2" s="18"/>
      <c r="MXV2" s="18"/>
      <c r="MXW2" s="18"/>
      <c r="MXX2" s="18"/>
      <c r="MXY2" s="18"/>
      <c r="MXZ2" s="18"/>
      <c r="MYA2" s="18"/>
      <c r="MYB2" s="18"/>
      <c r="MYC2" s="18"/>
      <c r="MYD2" s="18"/>
      <c r="MYE2" s="18"/>
      <c r="MYF2" s="18"/>
      <c r="MYG2" s="18"/>
      <c r="MYH2" s="18"/>
      <c r="MYI2" s="18"/>
      <c r="MYJ2" s="18"/>
      <c r="MYK2" s="18"/>
      <c r="MYL2" s="18"/>
      <c r="MYM2" s="18"/>
      <c r="MYN2" s="18"/>
      <c r="MYO2" s="18"/>
      <c r="MYP2" s="18"/>
      <c r="MYQ2" s="18"/>
      <c r="MYR2" s="18"/>
      <c r="MYS2" s="18"/>
      <c r="MYT2" s="18"/>
      <c r="MYU2" s="18"/>
      <c r="MYV2" s="18"/>
      <c r="MYW2" s="18"/>
      <c r="MYX2" s="18"/>
      <c r="MYY2" s="18"/>
      <c r="MYZ2" s="18"/>
      <c r="MZA2" s="18"/>
      <c r="MZB2" s="18"/>
      <c r="MZC2" s="18"/>
      <c r="MZD2" s="18"/>
      <c r="MZE2" s="18"/>
      <c r="MZF2" s="18"/>
      <c r="MZG2" s="18"/>
      <c r="MZH2" s="18"/>
      <c r="MZI2" s="18"/>
      <c r="MZJ2" s="18"/>
      <c r="MZK2" s="18"/>
      <c r="MZL2" s="18"/>
      <c r="MZM2" s="18"/>
      <c r="MZN2" s="18"/>
      <c r="MZO2" s="18"/>
      <c r="MZP2" s="18"/>
      <c r="MZQ2" s="18"/>
      <c r="MZR2" s="18"/>
      <c r="MZS2" s="18"/>
      <c r="MZT2" s="18"/>
      <c r="MZU2" s="18"/>
      <c r="MZV2" s="18"/>
      <c r="MZW2" s="18"/>
      <c r="MZX2" s="18"/>
      <c r="MZY2" s="18"/>
      <c r="MZZ2" s="18"/>
      <c r="NAA2" s="18"/>
      <c r="NAB2" s="18"/>
      <c r="NAC2" s="18"/>
      <c r="NAD2" s="18"/>
      <c r="NAE2" s="18"/>
      <c r="NAF2" s="18"/>
      <c r="NAG2" s="18"/>
      <c r="NAH2" s="18"/>
      <c r="NAI2" s="18"/>
      <c r="NAJ2" s="18"/>
      <c r="NAK2" s="18"/>
      <c r="NAL2" s="18"/>
      <c r="NAM2" s="18"/>
      <c r="NAN2" s="18"/>
      <c r="NAO2" s="18"/>
      <c r="NAP2" s="18"/>
      <c r="NAQ2" s="18"/>
      <c r="NAR2" s="18"/>
      <c r="NAS2" s="18"/>
      <c r="NAT2" s="18"/>
      <c r="NAU2" s="18"/>
      <c r="NAV2" s="18"/>
      <c r="NAW2" s="18"/>
      <c r="NAX2" s="18"/>
      <c r="NAY2" s="18"/>
      <c r="NAZ2" s="18"/>
      <c r="NBA2" s="18"/>
      <c r="NBB2" s="18"/>
      <c r="NBC2" s="18"/>
      <c r="NBD2" s="18"/>
      <c r="NBE2" s="18"/>
      <c r="NBF2" s="18"/>
      <c r="NBG2" s="18"/>
      <c r="NBH2" s="18"/>
      <c r="NBI2" s="18"/>
      <c r="NBJ2" s="18"/>
      <c r="NBK2" s="18"/>
      <c r="NBL2" s="18"/>
      <c r="NBM2" s="18"/>
      <c r="NBN2" s="18"/>
      <c r="NBO2" s="18"/>
      <c r="NBP2" s="18"/>
      <c r="NBQ2" s="18"/>
      <c r="NBR2" s="18"/>
      <c r="NBS2" s="18"/>
      <c r="NBT2" s="18"/>
      <c r="NBU2" s="18"/>
      <c r="NBV2" s="18"/>
      <c r="NBW2" s="18"/>
      <c r="NBX2" s="18"/>
      <c r="NBY2" s="18"/>
      <c r="NBZ2" s="18"/>
      <c r="NCA2" s="18"/>
      <c r="NCB2" s="18"/>
      <c r="NCC2" s="18"/>
      <c r="NCD2" s="18"/>
      <c r="NCE2" s="18"/>
      <c r="NCF2" s="18"/>
      <c r="NCG2" s="18"/>
      <c r="NCH2" s="18"/>
      <c r="NCI2" s="18"/>
      <c r="NCJ2" s="18"/>
      <c r="NCK2" s="18"/>
      <c r="NCL2" s="18"/>
      <c r="NCM2" s="18"/>
      <c r="NCN2" s="18"/>
      <c r="NCO2" s="18"/>
      <c r="NCP2" s="18"/>
      <c r="NCQ2" s="18"/>
      <c r="NCR2" s="18"/>
      <c r="NCS2" s="18"/>
      <c r="NCT2" s="18"/>
      <c r="NCU2" s="18"/>
      <c r="NCV2" s="18"/>
      <c r="NCW2" s="18"/>
      <c r="NCX2" s="18"/>
      <c r="NCY2" s="18"/>
      <c r="NCZ2" s="18"/>
      <c r="NDA2" s="18"/>
      <c r="NDB2" s="18"/>
      <c r="NDC2" s="18"/>
      <c r="NDD2" s="18"/>
      <c r="NDE2" s="18"/>
      <c r="NDF2" s="18"/>
      <c r="NDG2" s="18"/>
      <c r="NDH2" s="18"/>
      <c r="NDI2" s="18"/>
      <c r="NDJ2" s="18"/>
      <c r="NDK2" s="18"/>
      <c r="NDL2" s="18"/>
      <c r="NDM2" s="18"/>
      <c r="NDN2" s="18"/>
      <c r="NDO2" s="18"/>
      <c r="NDP2" s="18"/>
      <c r="NDQ2" s="18"/>
      <c r="NDR2" s="18"/>
      <c r="NDS2" s="18"/>
      <c r="NDT2" s="18"/>
      <c r="NDU2" s="18"/>
      <c r="NDV2" s="18"/>
      <c r="NDW2" s="18"/>
      <c r="NDX2" s="18"/>
      <c r="NDY2" s="18"/>
      <c r="NDZ2" s="18"/>
      <c r="NEA2" s="18"/>
      <c r="NEB2" s="18"/>
      <c r="NEC2" s="18"/>
      <c r="NED2" s="18"/>
      <c r="NEE2" s="18"/>
      <c r="NEF2" s="18"/>
      <c r="NEG2" s="18"/>
      <c r="NEH2" s="18"/>
      <c r="NEI2" s="18"/>
      <c r="NEJ2" s="18"/>
      <c r="NEK2" s="18"/>
      <c r="NEL2" s="18"/>
      <c r="NEM2" s="18"/>
      <c r="NEN2" s="18"/>
      <c r="NEO2" s="18"/>
      <c r="NEP2" s="18"/>
      <c r="NEQ2" s="18"/>
      <c r="NER2" s="18"/>
      <c r="NES2" s="18"/>
      <c r="NET2" s="18"/>
      <c r="NEU2" s="18"/>
      <c r="NEV2" s="18"/>
      <c r="NEW2" s="18"/>
      <c r="NEX2" s="18"/>
      <c r="NEY2" s="18"/>
      <c r="NEZ2" s="18"/>
      <c r="NFA2" s="18"/>
      <c r="NFB2" s="18"/>
      <c r="NFC2" s="18"/>
      <c r="NFD2" s="18"/>
      <c r="NFE2" s="18"/>
      <c r="NFF2" s="18"/>
      <c r="NFG2" s="18"/>
      <c r="NFH2" s="18"/>
      <c r="NFI2" s="18"/>
      <c r="NFJ2" s="18"/>
      <c r="NFK2" s="18"/>
      <c r="NFL2" s="18"/>
      <c r="NFM2" s="18"/>
      <c r="NFN2" s="18"/>
      <c r="NFO2" s="18"/>
      <c r="NFP2" s="18"/>
      <c r="NFQ2" s="18"/>
      <c r="NFR2" s="18"/>
      <c r="NFS2" s="18"/>
      <c r="NFT2" s="18"/>
      <c r="NFU2" s="18"/>
      <c r="NFV2" s="18"/>
      <c r="NFW2" s="18"/>
      <c r="NFX2" s="18"/>
      <c r="NFY2" s="18"/>
      <c r="NFZ2" s="18"/>
      <c r="NGA2" s="18"/>
      <c r="NGB2" s="18"/>
      <c r="NGC2" s="18"/>
      <c r="NGD2" s="18"/>
      <c r="NGE2" s="18"/>
      <c r="NGF2" s="18"/>
      <c r="NGG2" s="18"/>
      <c r="NGH2" s="18"/>
      <c r="NGI2" s="18"/>
      <c r="NGJ2" s="18"/>
      <c r="NGK2" s="18"/>
      <c r="NGL2" s="18"/>
      <c r="NGM2" s="18"/>
      <c r="NGN2" s="18"/>
      <c r="NGO2" s="18"/>
      <c r="NGP2" s="18"/>
      <c r="NGQ2" s="18"/>
      <c r="NGR2" s="18"/>
      <c r="NGS2" s="18"/>
      <c r="NGT2" s="18"/>
      <c r="NGU2" s="18"/>
      <c r="NGV2" s="18"/>
      <c r="NGW2" s="18"/>
      <c r="NGX2" s="18"/>
      <c r="NGY2" s="18"/>
      <c r="NGZ2" s="18"/>
      <c r="NHA2" s="18"/>
      <c r="NHB2" s="18"/>
      <c r="NHC2" s="18"/>
      <c r="NHD2" s="18"/>
      <c r="NHE2" s="18"/>
      <c r="NHF2" s="18"/>
      <c r="NHG2" s="18"/>
      <c r="NHH2" s="18"/>
      <c r="NHI2" s="18"/>
      <c r="NHJ2" s="18"/>
      <c r="NHK2" s="18"/>
      <c r="NHL2" s="18"/>
      <c r="NHM2" s="18"/>
      <c r="NHN2" s="18"/>
      <c r="NHO2" s="18"/>
      <c r="NHP2" s="18"/>
      <c r="NHQ2" s="18"/>
      <c r="NHR2" s="18"/>
      <c r="NHS2" s="18"/>
      <c r="NHT2" s="18"/>
      <c r="NHU2" s="18"/>
      <c r="NHV2" s="18"/>
      <c r="NHW2" s="18"/>
      <c r="NHX2" s="18"/>
      <c r="NHY2" s="18"/>
      <c r="NHZ2" s="18"/>
      <c r="NIA2" s="18"/>
      <c r="NIB2" s="18"/>
      <c r="NIC2" s="18"/>
      <c r="NID2" s="18"/>
      <c r="NIE2" s="18"/>
      <c r="NIF2" s="18"/>
      <c r="NIG2" s="18"/>
      <c r="NIH2" s="18"/>
      <c r="NII2" s="18"/>
      <c r="NIJ2" s="18"/>
      <c r="NIK2" s="18"/>
      <c r="NIL2" s="18"/>
      <c r="NIM2" s="18"/>
      <c r="NIN2" s="18"/>
      <c r="NIO2" s="18"/>
      <c r="NIP2" s="18"/>
      <c r="NIQ2" s="18"/>
      <c r="NIR2" s="18"/>
      <c r="NIS2" s="18"/>
      <c r="NIT2" s="18"/>
      <c r="NIU2" s="18"/>
      <c r="NIV2" s="18"/>
      <c r="NIW2" s="18"/>
      <c r="NIX2" s="18"/>
      <c r="NIY2" s="18"/>
      <c r="NIZ2" s="18"/>
      <c r="NJA2" s="18"/>
      <c r="NJB2" s="18"/>
      <c r="NJC2" s="18"/>
      <c r="NJD2" s="18"/>
      <c r="NJE2" s="18"/>
      <c r="NJF2" s="18"/>
      <c r="NJG2" s="18"/>
      <c r="NJH2" s="18"/>
      <c r="NJI2" s="18"/>
      <c r="NJJ2" s="18"/>
      <c r="NJK2" s="18"/>
      <c r="NJL2" s="18"/>
      <c r="NJM2" s="18"/>
      <c r="NJN2" s="18"/>
      <c r="NJO2" s="18"/>
      <c r="NJP2" s="18"/>
      <c r="NJQ2" s="18"/>
      <c r="NJR2" s="18"/>
      <c r="NJS2" s="18"/>
      <c r="NJT2" s="18"/>
      <c r="NJU2" s="18"/>
      <c r="NJV2" s="18"/>
      <c r="NJW2" s="18"/>
      <c r="NJX2" s="18"/>
      <c r="NJY2" s="18"/>
      <c r="NJZ2" s="18"/>
      <c r="NKA2" s="18"/>
      <c r="NKB2" s="18"/>
      <c r="NKC2" s="18"/>
      <c r="NKD2" s="18"/>
      <c r="NKE2" s="18"/>
      <c r="NKF2" s="18"/>
      <c r="NKG2" s="18"/>
      <c r="NKH2" s="18"/>
      <c r="NKI2" s="18"/>
      <c r="NKJ2" s="18"/>
      <c r="NKK2" s="18"/>
      <c r="NKL2" s="18"/>
      <c r="NKM2" s="18"/>
      <c r="NKN2" s="18"/>
      <c r="NKO2" s="18"/>
      <c r="NKP2" s="18"/>
      <c r="NKQ2" s="18"/>
      <c r="NKR2" s="18"/>
      <c r="NKS2" s="18"/>
      <c r="NKT2" s="18"/>
      <c r="NKU2" s="18"/>
      <c r="NKV2" s="18"/>
      <c r="NKW2" s="18"/>
      <c r="NKX2" s="18"/>
      <c r="NKY2" s="18"/>
      <c r="NKZ2" s="18"/>
      <c r="NLA2" s="18"/>
      <c r="NLB2" s="18"/>
      <c r="NLC2" s="18"/>
      <c r="NLD2" s="18"/>
      <c r="NLE2" s="18"/>
      <c r="NLF2" s="18"/>
      <c r="NLG2" s="18"/>
      <c r="NLH2" s="18"/>
      <c r="NLI2" s="18"/>
      <c r="NLJ2" s="18"/>
      <c r="NLK2" s="18"/>
      <c r="NLL2" s="18"/>
      <c r="NLM2" s="18"/>
      <c r="NLN2" s="18"/>
      <c r="NLO2" s="18"/>
      <c r="NLP2" s="18"/>
      <c r="NLQ2" s="18"/>
      <c r="NLR2" s="18"/>
      <c r="NLS2" s="18"/>
      <c r="NLT2" s="18"/>
      <c r="NLU2" s="18"/>
      <c r="NLV2" s="18"/>
      <c r="NLW2" s="18"/>
      <c r="NLX2" s="18"/>
      <c r="NLY2" s="18"/>
      <c r="NLZ2" s="18"/>
      <c r="NMA2" s="18"/>
      <c r="NMB2" s="18"/>
      <c r="NMC2" s="18"/>
      <c r="NMD2" s="18"/>
      <c r="NME2" s="18"/>
      <c r="NMF2" s="18"/>
      <c r="NMG2" s="18"/>
      <c r="NMH2" s="18"/>
      <c r="NMI2" s="18"/>
      <c r="NMJ2" s="18"/>
      <c r="NMK2" s="18"/>
      <c r="NML2" s="18"/>
      <c r="NMM2" s="18"/>
      <c r="NMN2" s="18"/>
      <c r="NMO2" s="18"/>
      <c r="NMP2" s="18"/>
      <c r="NMQ2" s="18"/>
      <c r="NMR2" s="18"/>
      <c r="NMS2" s="18"/>
      <c r="NMT2" s="18"/>
      <c r="NMU2" s="18"/>
      <c r="NMV2" s="18"/>
      <c r="NMW2" s="18"/>
      <c r="NMX2" s="18"/>
      <c r="NMY2" s="18"/>
      <c r="NMZ2" s="18"/>
      <c r="NNA2" s="18"/>
      <c r="NNB2" s="18"/>
      <c r="NNC2" s="18"/>
      <c r="NND2" s="18"/>
      <c r="NNE2" s="18"/>
      <c r="NNF2" s="18"/>
      <c r="NNG2" s="18"/>
      <c r="NNH2" s="18"/>
      <c r="NNI2" s="18"/>
      <c r="NNJ2" s="18"/>
      <c r="NNK2" s="18"/>
      <c r="NNL2" s="18"/>
      <c r="NNM2" s="18"/>
      <c r="NNN2" s="18"/>
      <c r="NNO2" s="18"/>
      <c r="NNP2" s="18"/>
      <c r="NNQ2" s="18"/>
      <c r="NNR2" s="18"/>
      <c r="NNS2" s="18"/>
      <c r="NNT2" s="18"/>
      <c r="NNU2" s="18"/>
      <c r="NNV2" s="18"/>
      <c r="NNW2" s="18"/>
      <c r="NNX2" s="18"/>
      <c r="NNY2" s="18"/>
      <c r="NNZ2" s="18"/>
      <c r="NOA2" s="18"/>
      <c r="NOB2" s="18"/>
      <c r="NOC2" s="18"/>
      <c r="NOD2" s="18"/>
      <c r="NOE2" s="18"/>
      <c r="NOF2" s="18"/>
      <c r="NOG2" s="18"/>
      <c r="NOH2" s="18"/>
      <c r="NOI2" s="18"/>
      <c r="NOJ2" s="18"/>
      <c r="NOK2" s="18"/>
      <c r="NOL2" s="18"/>
      <c r="NOM2" s="18"/>
      <c r="NON2" s="18"/>
      <c r="NOO2" s="18"/>
      <c r="NOP2" s="18"/>
      <c r="NOQ2" s="18"/>
      <c r="NOR2" s="18"/>
      <c r="NOS2" s="18"/>
      <c r="NOT2" s="18"/>
      <c r="NOU2" s="18"/>
      <c r="NOV2" s="18"/>
      <c r="NOW2" s="18"/>
      <c r="NOX2" s="18"/>
      <c r="NOY2" s="18"/>
      <c r="NOZ2" s="18"/>
      <c r="NPA2" s="18"/>
      <c r="NPB2" s="18"/>
      <c r="NPC2" s="18"/>
      <c r="NPD2" s="18"/>
      <c r="NPE2" s="18"/>
      <c r="NPF2" s="18"/>
      <c r="NPG2" s="18"/>
      <c r="NPH2" s="18"/>
      <c r="NPI2" s="18"/>
      <c r="NPJ2" s="18"/>
      <c r="NPK2" s="18"/>
      <c r="NPL2" s="18"/>
      <c r="NPM2" s="18"/>
      <c r="NPN2" s="18"/>
      <c r="NPO2" s="18"/>
      <c r="NPP2" s="18"/>
      <c r="NPQ2" s="18"/>
      <c r="NPR2" s="18"/>
      <c r="NPS2" s="18"/>
      <c r="NPT2" s="18"/>
      <c r="NPU2" s="18"/>
      <c r="NPV2" s="18"/>
      <c r="NPW2" s="18"/>
      <c r="NPX2" s="18"/>
      <c r="NPY2" s="18"/>
      <c r="NPZ2" s="18"/>
      <c r="NQA2" s="18"/>
      <c r="NQB2" s="18"/>
      <c r="NQC2" s="18"/>
      <c r="NQD2" s="18"/>
      <c r="NQE2" s="18"/>
      <c r="NQF2" s="18"/>
      <c r="NQG2" s="18"/>
      <c r="NQH2" s="18"/>
      <c r="NQI2" s="18"/>
      <c r="NQJ2" s="18"/>
      <c r="NQK2" s="18"/>
      <c r="NQL2" s="18"/>
      <c r="NQM2" s="18"/>
      <c r="NQN2" s="18"/>
      <c r="NQO2" s="18"/>
      <c r="NQP2" s="18"/>
      <c r="NQQ2" s="18"/>
      <c r="NQR2" s="18"/>
      <c r="NQS2" s="18"/>
      <c r="NQT2" s="18"/>
      <c r="NQU2" s="18"/>
      <c r="NQV2" s="18"/>
      <c r="NQW2" s="18"/>
      <c r="NQX2" s="18"/>
      <c r="NQY2" s="18"/>
      <c r="NQZ2" s="18"/>
      <c r="NRA2" s="18"/>
      <c r="NRB2" s="18"/>
      <c r="NRC2" s="18"/>
      <c r="NRD2" s="18"/>
      <c r="NRE2" s="18"/>
      <c r="NRF2" s="18"/>
      <c r="NRG2" s="18"/>
      <c r="NRH2" s="18"/>
      <c r="NRI2" s="18"/>
      <c r="NRJ2" s="18"/>
      <c r="NRK2" s="18"/>
      <c r="NRL2" s="18"/>
      <c r="NRM2" s="18"/>
      <c r="NRN2" s="18"/>
      <c r="NRO2" s="18"/>
      <c r="NRP2" s="18"/>
      <c r="NRQ2" s="18"/>
      <c r="NRR2" s="18"/>
      <c r="NRS2" s="18"/>
      <c r="NRT2" s="18"/>
      <c r="NRU2" s="18"/>
      <c r="NRV2" s="18"/>
      <c r="NRW2" s="18"/>
      <c r="NRX2" s="18"/>
      <c r="NRY2" s="18"/>
      <c r="NRZ2" s="18"/>
      <c r="NSA2" s="18"/>
      <c r="NSB2" s="18"/>
      <c r="NSC2" s="18"/>
      <c r="NSD2" s="18"/>
      <c r="NSE2" s="18"/>
      <c r="NSF2" s="18"/>
      <c r="NSG2" s="18"/>
      <c r="NSH2" s="18"/>
      <c r="NSI2" s="18"/>
      <c r="NSJ2" s="18"/>
      <c r="NSK2" s="18"/>
      <c r="NSL2" s="18"/>
      <c r="NSM2" s="18"/>
      <c r="NSN2" s="18"/>
      <c r="NSO2" s="18"/>
      <c r="NSP2" s="18"/>
      <c r="NSQ2" s="18"/>
      <c r="NSR2" s="18"/>
      <c r="NSS2" s="18"/>
      <c r="NST2" s="18"/>
      <c r="NSU2" s="18"/>
      <c r="NSV2" s="18"/>
      <c r="NSW2" s="18"/>
      <c r="NSX2" s="18"/>
      <c r="NSY2" s="18"/>
      <c r="NSZ2" s="18"/>
      <c r="NTA2" s="18"/>
      <c r="NTB2" s="18"/>
      <c r="NTC2" s="18"/>
      <c r="NTD2" s="18"/>
      <c r="NTE2" s="18"/>
      <c r="NTF2" s="18"/>
      <c r="NTG2" s="18"/>
      <c r="NTH2" s="18"/>
      <c r="NTI2" s="18"/>
      <c r="NTJ2" s="18"/>
      <c r="NTK2" s="18"/>
      <c r="NTL2" s="18"/>
      <c r="NTM2" s="18"/>
      <c r="NTN2" s="18"/>
      <c r="NTO2" s="18"/>
      <c r="NTP2" s="18"/>
      <c r="NTQ2" s="18"/>
      <c r="NTR2" s="18"/>
      <c r="NTS2" s="18"/>
      <c r="NTT2" s="18"/>
      <c r="NTU2" s="18"/>
      <c r="NTV2" s="18"/>
      <c r="NTW2" s="18"/>
      <c r="NTX2" s="18"/>
      <c r="NTY2" s="18"/>
      <c r="NTZ2" s="18"/>
      <c r="NUA2" s="18"/>
      <c r="NUB2" s="18"/>
      <c r="NUC2" s="18"/>
      <c r="NUD2" s="18"/>
      <c r="NUE2" s="18"/>
      <c r="NUF2" s="18"/>
      <c r="NUG2" s="18"/>
      <c r="NUH2" s="18"/>
      <c r="NUI2" s="18"/>
      <c r="NUJ2" s="18"/>
      <c r="NUK2" s="18"/>
      <c r="NUL2" s="18"/>
      <c r="NUM2" s="18"/>
      <c r="NUN2" s="18"/>
      <c r="NUO2" s="18"/>
      <c r="NUP2" s="18"/>
      <c r="NUQ2" s="18"/>
      <c r="NUR2" s="18"/>
      <c r="NUS2" s="18"/>
      <c r="NUT2" s="18"/>
      <c r="NUU2" s="18"/>
      <c r="NUV2" s="18"/>
      <c r="NUW2" s="18"/>
      <c r="NUX2" s="18"/>
      <c r="NUY2" s="18"/>
      <c r="NUZ2" s="18"/>
      <c r="NVA2" s="18"/>
      <c r="NVB2" s="18"/>
      <c r="NVC2" s="18"/>
      <c r="NVD2" s="18"/>
      <c r="NVE2" s="18"/>
      <c r="NVF2" s="18"/>
      <c r="NVG2" s="18"/>
      <c r="NVH2" s="18"/>
      <c r="NVI2" s="18"/>
      <c r="NVJ2" s="18"/>
      <c r="NVK2" s="18"/>
      <c r="NVL2" s="18"/>
      <c r="NVM2" s="18"/>
      <c r="NVN2" s="18"/>
      <c r="NVO2" s="18"/>
      <c r="NVP2" s="18"/>
      <c r="NVQ2" s="18"/>
      <c r="NVR2" s="18"/>
      <c r="NVS2" s="18"/>
      <c r="NVT2" s="18"/>
      <c r="NVU2" s="18"/>
      <c r="NVV2" s="18"/>
      <c r="NVW2" s="18"/>
      <c r="NVX2" s="18"/>
      <c r="NVY2" s="18"/>
      <c r="NVZ2" s="18"/>
      <c r="NWA2" s="18"/>
      <c r="NWB2" s="18"/>
      <c r="NWC2" s="18"/>
      <c r="NWD2" s="18"/>
      <c r="NWE2" s="18"/>
      <c r="NWF2" s="18"/>
      <c r="NWG2" s="18"/>
      <c r="NWH2" s="18"/>
      <c r="NWI2" s="18"/>
      <c r="NWJ2" s="18"/>
      <c r="NWK2" s="18"/>
      <c r="NWL2" s="18"/>
      <c r="NWM2" s="18"/>
      <c r="NWN2" s="18"/>
      <c r="NWO2" s="18"/>
      <c r="NWP2" s="18"/>
      <c r="NWQ2" s="18"/>
      <c r="NWR2" s="18"/>
      <c r="NWS2" s="18"/>
      <c r="NWT2" s="18"/>
      <c r="NWU2" s="18"/>
      <c r="NWV2" s="18"/>
      <c r="NWW2" s="18"/>
      <c r="NWX2" s="18"/>
      <c r="NWY2" s="18"/>
      <c r="NWZ2" s="18"/>
      <c r="NXA2" s="18"/>
      <c r="NXB2" s="18"/>
      <c r="NXC2" s="18"/>
      <c r="NXD2" s="18"/>
      <c r="NXE2" s="18"/>
      <c r="NXF2" s="18"/>
      <c r="NXG2" s="18"/>
      <c r="NXH2" s="18"/>
      <c r="NXI2" s="18"/>
      <c r="NXJ2" s="18"/>
      <c r="NXK2" s="18"/>
      <c r="NXL2" s="18"/>
      <c r="NXM2" s="18"/>
      <c r="NXN2" s="18"/>
      <c r="NXO2" s="18"/>
      <c r="NXP2" s="18"/>
      <c r="NXQ2" s="18"/>
      <c r="NXR2" s="18"/>
      <c r="NXS2" s="18"/>
      <c r="NXT2" s="18"/>
      <c r="NXU2" s="18"/>
      <c r="NXV2" s="18"/>
      <c r="NXW2" s="18"/>
      <c r="NXX2" s="18"/>
      <c r="NXY2" s="18"/>
      <c r="NXZ2" s="18"/>
      <c r="NYA2" s="18"/>
      <c r="NYB2" s="18"/>
      <c r="NYC2" s="18"/>
      <c r="NYD2" s="18"/>
      <c r="NYE2" s="18"/>
      <c r="NYF2" s="18"/>
      <c r="NYG2" s="18"/>
      <c r="NYH2" s="18"/>
      <c r="NYI2" s="18"/>
      <c r="NYJ2" s="18"/>
      <c r="NYK2" s="18"/>
      <c r="NYL2" s="18"/>
      <c r="NYM2" s="18"/>
      <c r="NYN2" s="18"/>
      <c r="NYO2" s="18"/>
      <c r="NYP2" s="18"/>
      <c r="NYQ2" s="18"/>
      <c r="NYR2" s="18"/>
      <c r="NYS2" s="18"/>
      <c r="NYT2" s="18"/>
      <c r="NYU2" s="18"/>
      <c r="NYV2" s="18"/>
      <c r="NYW2" s="18"/>
      <c r="NYX2" s="18"/>
      <c r="NYY2" s="18"/>
      <c r="NYZ2" s="18"/>
      <c r="NZA2" s="18"/>
      <c r="NZB2" s="18"/>
      <c r="NZC2" s="18"/>
      <c r="NZD2" s="18"/>
      <c r="NZE2" s="18"/>
      <c r="NZF2" s="18"/>
      <c r="NZG2" s="18"/>
      <c r="NZH2" s="18"/>
      <c r="NZI2" s="18"/>
      <c r="NZJ2" s="18"/>
      <c r="NZK2" s="18"/>
      <c r="NZL2" s="18"/>
      <c r="NZM2" s="18"/>
      <c r="NZN2" s="18"/>
      <c r="NZO2" s="18"/>
      <c r="NZP2" s="18"/>
      <c r="NZQ2" s="18"/>
      <c r="NZR2" s="18"/>
      <c r="NZS2" s="18"/>
      <c r="NZT2" s="18"/>
      <c r="NZU2" s="18"/>
      <c r="NZV2" s="18"/>
      <c r="NZW2" s="18"/>
      <c r="NZX2" s="18"/>
      <c r="NZY2" s="18"/>
      <c r="NZZ2" s="18"/>
      <c r="OAA2" s="18"/>
      <c r="OAB2" s="18"/>
      <c r="OAC2" s="18"/>
      <c r="OAD2" s="18"/>
      <c r="OAE2" s="18"/>
      <c r="OAF2" s="18"/>
      <c r="OAG2" s="18"/>
      <c r="OAH2" s="18"/>
      <c r="OAI2" s="18"/>
      <c r="OAJ2" s="18"/>
      <c r="OAK2" s="18"/>
      <c r="OAL2" s="18"/>
      <c r="OAM2" s="18"/>
      <c r="OAN2" s="18"/>
      <c r="OAO2" s="18"/>
      <c r="OAP2" s="18"/>
      <c r="OAQ2" s="18"/>
      <c r="OAR2" s="18"/>
      <c r="OAS2" s="18"/>
      <c r="OAT2" s="18"/>
      <c r="OAU2" s="18"/>
      <c r="OAV2" s="18"/>
      <c r="OAW2" s="18"/>
      <c r="OAX2" s="18"/>
      <c r="OAY2" s="18"/>
      <c r="OAZ2" s="18"/>
      <c r="OBA2" s="18"/>
      <c r="OBB2" s="18"/>
      <c r="OBC2" s="18"/>
      <c r="OBD2" s="18"/>
      <c r="OBE2" s="18"/>
      <c r="OBF2" s="18"/>
      <c r="OBG2" s="18"/>
      <c r="OBH2" s="18"/>
      <c r="OBI2" s="18"/>
      <c r="OBJ2" s="18"/>
      <c r="OBK2" s="18"/>
      <c r="OBL2" s="18"/>
      <c r="OBM2" s="18"/>
      <c r="OBN2" s="18"/>
      <c r="OBO2" s="18"/>
      <c r="OBP2" s="18"/>
      <c r="OBQ2" s="18"/>
      <c r="OBR2" s="18"/>
      <c r="OBS2" s="18"/>
      <c r="OBT2" s="18"/>
      <c r="OBU2" s="18"/>
      <c r="OBV2" s="18"/>
      <c r="OBW2" s="18"/>
      <c r="OBX2" s="18"/>
      <c r="OBY2" s="18"/>
      <c r="OBZ2" s="18"/>
      <c r="OCA2" s="18"/>
      <c r="OCB2" s="18"/>
      <c r="OCC2" s="18"/>
      <c r="OCD2" s="18"/>
      <c r="OCE2" s="18"/>
      <c r="OCF2" s="18"/>
      <c r="OCG2" s="18"/>
      <c r="OCH2" s="18"/>
      <c r="OCI2" s="18"/>
      <c r="OCJ2" s="18"/>
      <c r="OCK2" s="18"/>
      <c r="OCL2" s="18"/>
      <c r="OCM2" s="18"/>
      <c r="OCN2" s="18"/>
      <c r="OCO2" s="18"/>
      <c r="OCP2" s="18"/>
      <c r="OCQ2" s="18"/>
      <c r="OCR2" s="18"/>
      <c r="OCS2" s="18"/>
      <c r="OCT2" s="18"/>
      <c r="OCU2" s="18"/>
      <c r="OCV2" s="18"/>
      <c r="OCW2" s="18"/>
      <c r="OCX2" s="18"/>
      <c r="OCY2" s="18"/>
      <c r="OCZ2" s="18"/>
      <c r="ODA2" s="18"/>
      <c r="ODB2" s="18"/>
      <c r="ODC2" s="18"/>
      <c r="ODD2" s="18"/>
      <c r="ODE2" s="18"/>
      <c r="ODF2" s="18"/>
      <c r="ODG2" s="18"/>
      <c r="ODH2" s="18"/>
      <c r="ODI2" s="18"/>
      <c r="ODJ2" s="18"/>
      <c r="ODK2" s="18"/>
      <c r="ODL2" s="18"/>
      <c r="ODM2" s="18"/>
      <c r="ODN2" s="18"/>
      <c r="ODO2" s="18"/>
      <c r="ODP2" s="18"/>
      <c r="ODQ2" s="18"/>
      <c r="ODR2" s="18"/>
      <c r="ODS2" s="18"/>
      <c r="ODT2" s="18"/>
      <c r="ODU2" s="18"/>
      <c r="ODV2" s="18"/>
      <c r="ODW2" s="18"/>
      <c r="ODX2" s="18"/>
      <c r="ODY2" s="18"/>
      <c r="ODZ2" s="18"/>
      <c r="OEA2" s="18"/>
      <c r="OEB2" s="18"/>
      <c r="OEC2" s="18"/>
      <c r="OED2" s="18"/>
      <c r="OEE2" s="18"/>
      <c r="OEF2" s="18"/>
      <c r="OEG2" s="18"/>
      <c r="OEH2" s="18"/>
      <c r="OEI2" s="18"/>
      <c r="OEJ2" s="18"/>
      <c r="OEK2" s="18"/>
      <c r="OEL2" s="18"/>
      <c r="OEM2" s="18"/>
      <c r="OEN2" s="18"/>
      <c r="OEO2" s="18"/>
      <c r="OEP2" s="18"/>
      <c r="OEQ2" s="18"/>
      <c r="OER2" s="18"/>
      <c r="OES2" s="18"/>
      <c r="OET2" s="18"/>
      <c r="OEU2" s="18"/>
      <c r="OEV2" s="18"/>
      <c r="OEW2" s="18"/>
      <c r="OEX2" s="18"/>
      <c r="OEY2" s="18"/>
      <c r="OEZ2" s="18"/>
      <c r="OFA2" s="18"/>
      <c r="OFB2" s="18"/>
      <c r="OFC2" s="18"/>
      <c r="OFD2" s="18"/>
      <c r="OFE2" s="18"/>
      <c r="OFF2" s="18"/>
      <c r="OFG2" s="18"/>
      <c r="OFH2" s="18"/>
      <c r="OFI2" s="18"/>
      <c r="OFJ2" s="18"/>
      <c r="OFK2" s="18"/>
      <c r="OFL2" s="18"/>
      <c r="OFM2" s="18"/>
      <c r="OFN2" s="18"/>
      <c r="OFO2" s="18"/>
      <c r="OFP2" s="18"/>
      <c r="OFQ2" s="18"/>
      <c r="OFR2" s="18"/>
      <c r="OFS2" s="18"/>
      <c r="OFT2" s="18"/>
      <c r="OFU2" s="18"/>
      <c r="OFV2" s="18"/>
      <c r="OFW2" s="18"/>
      <c r="OFX2" s="18"/>
      <c r="OFY2" s="18"/>
      <c r="OFZ2" s="18"/>
      <c r="OGA2" s="18"/>
      <c r="OGB2" s="18"/>
      <c r="OGC2" s="18"/>
      <c r="OGD2" s="18"/>
      <c r="OGE2" s="18"/>
      <c r="OGF2" s="18"/>
      <c r="OGG2" s="18"/>
      <c r="OGH2" s="18"/>
      <c r="OGI2" s="18"/>
      <c r="OGJ2" s="18"/>
      <c r="OGK2" s="18"/>
      <c r="OGL2" s="18"/>
      <c r="OGM2" s="18"/>
      <c r="OGN2" s="18"/>
      <c r="OGO2" s="18"/>
      <c r="OGP2" s="18"/>
      <c r="OGQ2" s="18"/>
      <c r="OGR2" s="18"/>
      <c r="OGS2" s="18"/>
      <c r="OGT2" s="18"/>
      <c r="OGU2" s="18"/>
      <c r="OGV2" s="18"/>
      <c r="OGW2" s="18"/>
      <c r="OGX2" s="18"/>
      <c r="OGY2" s="18"/>
      <c r="OGZ2" s="18"/>
      <c r="OHA2" s="18"/>
      <c r="OHB2" s="18"/>
      <c r="OHC2" s="18"/>
      <c r="OHD2" s="18"/>
      <c r="OHE2" s="18"/>
      <c r="OHF2" s="18"/>
      <c r="OHG2" s="18"/>
      <c r="OHH2" s="18"/>
      <c r="OHI2" s="18"/>
      <c r="OHJ2" s="18"/>
      <c r="OHK2" s="18"/>
      <c r="OHL2" s="18"/>
      <c r="OHM2" s="18"/>
      <c r="OHN2" s="18"/>
      <c r="OHO2" s="18"/>
      <c r="OHP2" s="18"/>
      <c r="OHQ2" s="18"/>
      <c r="OHR2" s="18"/>
      <c r="OHS2" s="18"/>
      <c r="OHT2" s="18"/>
      <c r="OHU2" s="18"/>
      <c r="OHV2" s="18"/>
      <c r="OHW2" s="18"/>
      <c r="OHX2" s="18"/>
      <c r="OHY2" s="18"/>
      <c r="OHZ2" s="18"/>
      <c r="OIA2" s="18"/>
      <c r="OIB2" s="18"/>
      <c r="OIC2" s="18"/>
      <c r="OID2" s="18"/>
      <c r="OIE2" s="18"/>
      <c r="OIF2" s="18"/>
      <c r="OIG2" s="18"/>
      <c r="OIH2" s="18"/>
      <c r="OII2" s="18"/>
      <c r="OIJ2" s="18"/>
      <c r="OIK2" s="18"/>
      <c r="OIL2" s="18"/>
      <c r="OIM2" s="18"/>
      <c r="OIN2" s="18"/>
      <c r="OIO2" s="18"/>
      <c r="OIP2" s="18"/>
      <c r="OIQ2" s="18"/>
      <c r="OIR2" s="18"/>
      <c r="OIS2" s="18"/>
      <c r="OIT2" s="18"/>
      <c r="OIU2" s="18"/>
      <c r="OIV2" s="18"/>
      <c r="OIW2" s="18"/>
      <c r="OIX2" s="18"/>
      <c r="OIY2" s="18"/>
      <c r="OIZ2" s="18"/>
      <c r="OJA2" s="18"/>
      <c r="OJB2" s="18"/>
      <c r="OJC2" s="18"/>
      <c r="OJD2" s="18"/>
      <c r="OJE2" s="18"/>
      <c r="OJF2" s="18"/>
      <c r="OJG2" s="18"/>
      <c r="OJH2" s="18"/>
      <c r="OJI2" s="18"/>
      <c r="OJJ2" s="18"/>
      <c r="OJK2" s="18"/>
      <c r="OJL2" s="18"/>
      <c r="OJM2" s="18"/>
      <c r="OJN2" s="18"/>
      <c r="OJO2" s="18"/>
      <c r="OJP2" s="18"/>
      <c r="OJQ2" s="18"/>
      <c r="OJR2" s="18"/>
      <c r="OJS2" s="18"/>
      <c r="OJT2" s="18"/>
      <c r="OJU2" s="18"/>
      <c r="OJV2" s="18"/>
      <c r="OJW2" s="18"/>
      <c r="OJX2" s="18"/>
      <c r="OJY2" s="18"/>
      <c r="OJZ2" s="18"/>
      <c r="OKA2" s="18"/>
      <c r="OKB2" s="18"/>
      <c r="OKC2" s="18"/>
      <c r="OKD2" s="18"/>
      <c r="OKE2" s="18"/>
      <c r="OKF2" s="18"/>
      <c r="OKG2" s="18"/>
      <c r="OKH2" s="18"/>
      <c r="OKI2" s="18"/>
      <c r="OKJ2" s="18"/>
      <c r="OKK2" s="18"/>
      <c r="OKL2" s="18"/>
      <c r="OKM2" s="18"/>
      <c r="OKN2" s="18"/>
      <c r="OKO2" s="18"/>
      <c r="OKP2" s="18"/>
      <c r="OKQ2" s="18"/>
      <c r="OKR2" s="18"/>
      <c r="OKS2" s="18"/>
      <c r="OKT2" s="18"/>
      <c r="OKU2" s="18"/>
      <c r="OKV2" s="18"/>
      <c r="OKW2" s="18"/>
      <c r="OKX2" s="18"/>
      <c r="OKY2" s="18"/>
      <c r="OKZ2" s="18"/>
      <c r="OLA2" s="18"/>
      <c r="OLB2" s="18"/>
      <c r="OLC2" s="18"/>
      <c r="OLD2" s="18"/>
      <c r="OLE2" s="18"/>
      <c r="OLF2" s="18"/>
      <c r="OLG2" s="18"/>
      <c r="OLH2" s="18"/>
      <c r="OLI2" s="18"/>
      <c r="OLJ2" s="18"/>
      <c r="OLK2" s="18"/>
      <c r="OLL2" s="18"/>
      <c r="OLM2" s="18"/>
      <c r="OLN2" s="18"/>
      <c r="OLO2" s="18"/>
      <c r="OLP2" s="18"/>
      <c r="OLQ2" s="18"/>
      <c r="OLR2" s="18"/>
      <c r="OLS2" s="18"/>
      <c r="OLT2" s="18"/>
      <c r="OLU2" s="18"/>
      <c r="OLV2" s="18"/>
      <c r="OLW2" s="18"/>
      <c r="OLX2" s="18"/>
      <c r="OLY2" s="18"/>
      <c r="OLZ2" s="18"/>
      <c r="OMA2" s="18"/>
      <c r="OMB2" s="18"/>
      <c r="OMC2" s="18"/>
      <c r="OMD2" s="18"/>
      <c r="OME2" s="18"/>
      <c r="OMF2" s="18"/>
      <c r="OMG2" s="18"/>
      <c r="OMH2" s="18"/>
      <c r="OMI2" s="18"/>
      <c r="OMJ2" s="18"/>
      <c r="OMK2" s="18"/>
      <c r="OML2" s="18"/>
      <c r="OMM2" s="18"/>
      <c r="OMN2" s="18"/>
      <c r="OMO2" s="18"/>
      <c r="OMP2" s="18"/>
      <c r="OMQ2" s="18"/>
      <c r="OMR2" s="18"/>
      <c r="OMS2" s="18"/>
      <c r="OMT2" s="18"/>
      <c r="OMU2" s="18"/>
      <c r="OMV2" s="18"/>
      <c r="OMW2" s="18"/>
      <c r="OMX2" s="18"/>
      <c r="OMY2" s="18"/>
      <c r="OMZ2" s="18"/>
      <c r="ONA2" s="18"/>
      <c r="ONB2" s="18"/>
      <c r="ONC2" s="18"/>
      <c r="OND2" s="18"/>
      <c r="ONE2" s="18"/>
      <c r="ONF2" s="18"/>
      <c r="ONG2" s="18"/>
      <c r="ONH2" s="18"/>
      <c r="ONI2" s="18"/>
      <c r="ONJ2" s="18"/>
      <c r="ONK2" s="18"/>
      <c r="ONL2" s="18"/>
      <c r="ONM2" s="18"/>
      <c r="ONN2" s="18"/>
      <c r="ONO2" s="18"/>
      <c r="ONP2" s="18"/>
      <c r="ONQ2" s="18"/>
      <c r="ONR2" s="18"/>
      <c r="ONS2" s="18"/>
      <c r="ONT2" s="18"/>
      <c r="ONU2" s="18"/>
      <c r="ONV2" s="18"/>
      <c r="ONW2" s="18"/>
      <c r="ONX2" s="18"/>
      <c r="ONY2" s="18"/>
      <c r="ONZ2" s="18"/>
      <c r="OOA2" s="18"/>
      <c r="OOB2" s="18"/>
      <c r="OOC2" s="18"/>
      <c r="OOD2" s="18"/>
      <c r="OOE2" s="18"/>
      <c r="OOF2" s="18"/>
      <c r="OOG2" s="18"/>
      <c r="OOH2" s="18"/>
      <c r="OOI2" s="18"/>
      <c r="OOJ2" s="18"/>
      <c r="OOK2" s="18"/>
      <c r="OOL2" s="18"/>
      <c r="OOM2" s="18"/>
      <c r="OON2" s="18"/>
      <c r="OOO2" s="18"/>
      <c r="OOP2" s="18"/>
      <c r="OOQ2" s="18"/>
      <c r="OOR2" s="18"/>
      <c r="OOS2" s="18"/>
      <c r="OOT2" s="18"/>
      <c r="OOU2" s="18"/>
      <c r="OOV2" s="18"/>
      <c r="OOW2" s="18"/>
      <c r="OOX2" s="18"/>
      <c r="OOY2" s="18"/>
      <c r="OOZ2" s="18"/>
      <c r="OPA2" s="18"/>
      <c r="OPB2" s="18"/>
      <c r="OPC2" s="18"/>
      <c r="OPD2" s="18"/>
      <c r="OPE2" s="18"/>
      <c r="OPF2" s="18"/>
      <c r="OPG2" s="18"/>
      <c r="OPH2" s="18"/>
      <c r="OPI2" s="18"/>
      <c r="OPJ2" s="18"/>
      <c r="OPK2" s="18"/>
      <c r="OPL2" s="18"/>
      <c r="OPM2" s="18"/>
      <c r="OPN2" s="18"/>
      <c r="OPO2" s="18"/>
      <c r="OPP2" s="18"/>
      <c r="OPQ2" s="18"/>
      <c r="OPR2" s="18"/>
      <c r="OPS2" s="18"/>
      <c r="OPT2" s="18"/>
      <c r="OPU2" s="18"/>
      <c r="OPV2" s="18"/>
      <c r="OPW2" s="18"/>
      <c r="OPX2" s="18"/>
      <c r="OPY2" s="18"/>
      <c r="OPZ2" s="18"/>
      <c r="OQA2" s="18"/>
      <c r="OQB2" s="18"/>
      <c r="OQC2" s="18"/>
      <c r="OQD2" s="18"/>
      <c r="OQE2" s="18"/>
      <c r="OQF2" s="18"/>
      <c r="OQG2" s="18"/>
      <c r="OQH2" s="18"/>
      <c r="OQI2" s="18"/>
      <c r="OQJ2" s="18"/>
      <c r="OQK2" s="18"/>
      <c r="OQL2" s="18"/>
      <c r="OQM2" s="18"/>
      <c r="OQN2" s="18"/>
      <c r="OQO2" s="18"/>
      <c r="OQP2" s="18"/>
      <c r="OQQ2" s="18"/>
      <c r="OQR2" s="18"/>
      <c r="OQS2" s="18"/>
      <c r="OQT2" s="18"/>
      <c r="OQU2" s="18"/>
      <c r="OQV2" s="18"/>
      <c r="OQW2" s="18"/>
      <c r="OQX2" s="18"/>
      <c r="OQY2" s="18"/>
      <c r="OQZ2" s="18"/>
      <c r="ORA2" s="18"/>
      <c r="ORB2" s="18"/>
      <c r="ORC2" s="18"/>
      <c r="ORD2" s="18"/>
      <c r="ORE2" s="18"/>
      <c r="ORF2" s="18"/>
      <c r="ORG2" s="18"/>
      <c r="ORH2" s="18"/>
      <c r="ORI2" s="18"/>
      <c r="ORJ2" s="18"/>
      <c r="ORK2" s="18"/>
      <c r="ORL2" s="18"/>
      <c r="ORM2" s="18"/>
      <c r="ORN2" s="18"/>
      <c r="ORO2" s="18"/>
      <c r="ORP2" s="18"/>
      <c r="ORQ2" s="18"/>
      <c r="ORR2" s="18"/>
      <c r="ORS2" s="18"/>
      <c r="ORT2" s="18"/>
      <c r="ORU2" s="18"/>
      <c r="ORV2" s="18"/>
      <c r="ORW2" s="18"/>
      <c r="ORX2" s="18"/>
      <c r="ORY2" s="18"/>
      <c r="ORZ2" s="18"/>
      <c r="OSA2" s="18"/>
      <c r="OSB2" s="18"/>
      <c r="OSC2" s="18"/>
      <c r="OSD2" s="18"/>
      <c r="OSE2" s="18"/>
      <c r="OSF2" s="18"/>
      <c r="OSG2" s="18"/>
      <c r="OSH2" s="18"/>
      <c r="OSI2" s="18"/>
      <c r="OSJ2" s="18"/>
      <c r="OSK2" s="18"/>
      <c r="OSL2" s="18"/>
      <c r="OSM2" s="18"/>
      <c r="OSN2" s="18"/>
      <c r="OSO2" s="18"/>
      <c r="OSP2" s="18"/>
      <c r="OSQ2" s="18"/>
      <c r="OSR2" s="18"/>
      <c r="OSS2" s="18"/>
      <c r="OST2" s="18"/>
      <c r="OSU2" s="18"/>
      <c r="OSV2" s="18"/>
      <c r="OSW2" s="18"/>
      <c r="OSX2" s="18"/>
      <c r="OSY2" s="18"/>
      <c r="OSZ2" s="18"/>
      <c r="OTA2" s="18"/>
      <c r="OTB2" s="18"/>
      <c r="OTC2" s="18"/>
      <c r="OTD2" s="18"/>
      <c r="OTE2" s="18"/>
      <c r="OTF2" s="18"/>
      <c r="OTG2" s="18"/>
      <c r="OTH2" s="18"/>
      <c r="OTI2" s="18"/>
      <c r="OTJ2" s="18"/>
      <c r="OTK2" s="18"/>
      <c r="OTL2" s="18"/>
      <c r="OTM2" s="18"/>
      <c r="OTN2" s="18"/>
      <c r="OTO2" s="18"/>
      <c r="OTP2" s="18"/>
      <c r="OTQ2" s="18"/>
      <c r="OTR2" s="18"/>
      <c r="OTS2" s="18"/>
      <c r="OTT2" s="18"/>
      <c r="OTU2" s="18"/>
      <c r="OTV2" s="18"/>
      <c r="OTW2" s="18"/>
      <c r="OTX2" s="18"/>
      <c r="OTY2" s="18"/>
      <c r="OTZ2" s="18"/>
      <c r="OUA2" s="18"/>
      <c r="OUB2" s="18"/>
      <c r="OUC2" s="18"/>
      <c r="OUD2" s="18"/>
      <c r="OUE2" s="18"/>
      <c r="OUF2" s="18"/>
      <c r="OUG2" s="18"/>
      <c r="OUH2" s="18"/>
      <c r="OUI2" s="18"/>
      <c r="OUJ2" s="18"/>
      <c r="OUK2" s="18"/>
      <c r="OUL2" s="18"/>
      <c r="OUM2" s="18"/>
      <c r="OUN2" s="18"/>
      <c r="OUO2" s="18"/>
      <c r="OUP2" s="18"/>
      <c r="OUQ2" s="18"/>
      <c r="OUR2" s="18"/>
      <c r="OUS2" s="18"/>
      <c r="OUT2" s="18"/>
      <c r="OUU2" s="18"/>
      <c r="OUV2" s="18"/>
      <c r="OUW2" s="18"/>
      <c r="OUX2" s="18"/>
      <c r="OUY2" s="18"/>
      <c r="OUZ2" s="18"/>
      <c r="OVA2" s="18"/>
      <c r="OVB2" s="18"/>
      <c r="OVC2" s="18"/>
      <c r="OVD2" s="18"/>
      <c r="OVE2" s="18"/>
      <c r="OVF2" s="18"/>
      <c r="OVG2" s="18"/>
      <c r="OVH2" s="18"/>
      <c r="OVI2" s="18"/>
      <c r="OVJ2" s="18"/>
      <c r="OVK2" s="18"/>
      <c r="OVL2" s="18"/>
      <c r="OVM2" s="18"/>
      <c r="OVN2" s="18"/>
      <c r="OVO2" s="18"/>
      <c r="OVP2" s="18"/>
      <c r="OVQ2" s="18"/>
      <c r="OVR2" s="18"/>
      <c r="OVS2" s="18"/>
      <c r="OVT2" s="18"/>
      <c r="OVU2" s="18"/>
      <c r="OVV2" s="18"/>
      <c r="OVW2" s="18"/>
      <c r="OVX2" s="18"/>
      <c r="OVY2" s="18"/>
      <c r="OVZ2" s="18"/>
      <c r="OWA2" s="18"/>
      <c r="OWB2" s="18"/>
      <c r="OWC2" s="18"/>
      <c r="OWD2" s="18"/>
      <c r="OWE2" s="18"/>
      <c r="OWF2" s="18"/>
      <c r="OWG2" s="18"/>
      <c r="OWH2" s="18"/>
      <c r="OWI2" s="18"/>
      <c r="OWJ2" s="18"/>
      <c r="OWK2" s="18"/>
      <c r="OWL2" s="18"/>
      <c r="OWM2" s="18"/>
      <c r="OWN2" s="18"/>
      <c r="OWO2" s="18"/>
      <c r="OWP2" s="18"/>
      <c r="OWQ2" s="18"/>
      <c r="OWR2" s="18"/>
      <c r="OWS2" s="18"/>
      <c r="OWT2" s="18"/>
      <c r="OWU2" s="18"/>
      <c r="OWV2" s="18"/>
      <c r="OWW2" s="18"/>
      <c r="OWX2" s="18"/>
      <c r="OWY2" s="18"/>
      <c r="OWZ2" s="18"/>
      <c r="OXA2" s="18"/>
      <c r="OXB2" s="18"/>
      <c r="OXC2" s="18"/>
      <c r="OXD2" s="18"/>
      <c r="OXE2" s="18"/>
      <c r="OXF2" s="18"/>
      <c r="OXG2" s="18"/>
      <c r="OXH2" s="18"/>
      <c r="OXI2" s="18"/>
      <c r="OXJ2" s="18"/>
      <c r="OXK2" s="18"/>
      <c r="OXL2" s="18"/>
      <c r="OXM2" s="18"/>
      <c r="OXN2" s="18"/>
      <c r="OXO2" s="18"/>
      <c r="OXP2" s="18"/>
      <c r="OXQ2" s="18"/>
      <c r="OXR2" s="18"/>
      <c r="OXS2" s="18"/>
      <c r="OXT2" s="18"/>
      <c r="OXU2" s="18"/>
      <c r="OXV2" s="18"/>
      <c r="OXW2" s="18"/>
      <c r="OXX2" s="18"/>
      <c r="OXY2" s="18"/>
      <c r="OXZ2" s="18"/>
      <c r="OYA2" s="18"/>
      <c r="OYB2" s="18"/>
      <c r="OYC2" s="18"/>
      <c r="OYD2" s="18"/>
      <c r="OYE2" s="18"/>
      <c r="OYF2" s="18"/>
      <c r="OYG2" s="18"/>
      <c r="OYH2" s="18"/>
      <c r="OYI2" s="18"/>
      <c r="OYJ2" s="18"/>
      <c r="OYK2" s="18"/>
      <c r="OYL2" s="18"/>
      <c r="OYM2" s="18"/>
      <c r="OYN2" s="18"/>
      <c r="OYO2" s="18"/>
      <c r="OYP2" s="18"/>
      <c r="OYQ2" s="18"/>
      <c r="OYR2" s="18"/>
      <c r="OYS2" s="18"/>
      <c r="OYT2" s="18"/>
      <c r="OYU2" s="18"/>
      <c r="OYV2" s="18"/>
      <c r="OYW2" s="18"/>
      <c r="OYX2" s="18"/>
      <c r="OYY2" s="18"/>
      <c r="OYZ2" s="18"/>
      <c r="OZA2" s="18"/>
      <c r="OZB2" s="18"/>
      <c r="OZC2" s="18"/>
      <c r="OZD2" s="18"/>
      <c r="OZE2" s="18"/>
      <c r="OZF2" s="18"/>
      <c r="OZG2" s="18"/>
      <c r="OZH2" s="18"/>
      <c r="OZI2" s="18"/>
      <c r="OZJ2" s="18"/>
      <c r="OZK2" s="18"/>
      <c r="OZL2" s="18"/>
      <c r="OZM2" s="18"/>
      <c r="OZN2" s="18"/>
      <c r="OZO2" s="18"/>
      <c r="OZP2" s="18"/>
      <c r="OZQ2" s="18"/>
      <c r="OZR2" s="18"/>
      <c r="OZS2" s="18"/>
      <c r="OZT2" s="18"/>
      <c r="OZU2" s="18"/>
      <c r="OZV2" s="18"/>
      <c r="OZW2" s="18"/>
      <c r="OZX2" s="18"/>
      <c r="OZY2" s="18"/>
      <c r="OZZ2" s="18"/>
      <c r="PAA2" s="18"/>
      <c r="PAB2" s="18"/>
      <c r="PAC2" s="18"/>
      <c r="PAD2" s="18"/>
      <c r="PAE2" s="18"/>
      <c r="PAF2" s="18"/>
      <c r="PAG2" s="18"/>
      <c r="PAH2" s="18"/>
      <c r="PAI2" s="18"/>
      <c r="PAJ2" s="18"/>
      <c r="PAK2" s="18"/>
      <c r="PAL2" s="18"/>
      <c r="PAM2" s="18"/>
      <c r="PAN2" s="18"/>
      <c r="PAO2" s="18"/>
      <c r="PAP2" s="18"/>
      <c r="PAQ2" s="18"/>
      <c r="PAR2" s="18"/>
      <c r="PAS2" s="18"/>
      <c r="PAT2" s="18"/>
      <c r="PAU2" s="18"/>
      <c r="PAV2" s="18"/>
      <c r="PAW2" s="18"/>
      <c r="PAX2" s="18"/>
      <c r="PAY2" s="18"/>
      <c r="PAZ2" s="18"/>
      <c r="PBA2" s="18"/>
      <c r="PBB2" s="18"/>
      <c r="PBC2" s="18"/>
      <c r="PBD2" s="18"/>
      <c r="PBE2" s="18"/>
      <c r="PBF2" s="18"/>
      <c r="PBG2" s="18"/>
      <c r="PBH2" s="18"/>
      <c r="PBI2" s="18"/>
      <c r="PBJ2" s="18"/>
      <c r="PBK2" s="18"/>
      <c r="PBL2" s="18"/>
      <c r="PBM2" s="18"/>
      <c r="PBN2" s="18"/>
      <c r="PBO2" s="18"/>
      <c r="PBP2" s="18"/>
      <c r="PBQ2" s="18"/>
      <c r="PBR2" s="18"/>
      <c r="PBS2" s="18"/>
      <c r="PBT2" s="18"/>
      <c r="PBU2" s="18"/>
      <c r="PBV2" s="18"/>
      <c r="PBW2" s="18"/>
      <c r="PBX2" s="18"/>
      <c r="PBY2" s="18"/>
      <c r="PBZ2" s="18"/>
      <c r="PCA2" s="18"/>
      <c r="PCB2" s="18"/>
      <c r="PCC2" s="18"/>
      <c r="PCD2" s="18"/>
      <c r="PCE2" s="18"/>
      <c r="PCF2" s="18"/>
      <c r="PCG2" s="18"/>
      <c r="PCH2" s="18"/>
      <c r="PCI2" s="18"/>
      <c r="PCJ2" s="18"/>
      <c r="PCK2" s="18"/>
      <c r="PCL2" s="18"/>
      <c r="PCM2" s="18"/>
      <c r="PCN2" s="18"/>
      <c r="PCO2" s="18"/>
      <c r="PCP2" s="18"/>
      <c r="PCQ2" s="18"/>
      <c r="PCR2" s="18"/>
      <c r="PCS2" s="18"/>
      <c r="PCT2" s="18"/>
      <c r="PCU2" s="18"/>
      <c r="PCV2" s="18"/>
      <c r="PCW2" s="18"/>
      <c r="PCX2" s="18"/>
      <c r="PCY2" s="18"/>
      <c r="PCZ2" s="18"/>
      <c r="PDA2" s="18"/>
      <c r="PDB2" s="18"/>
      <c r="PDC2" s="18"/>
      <c r="PDD2" s="18"/>
      <c r="PDE2" s="18"/>
      <c r="PDF2" s="18"/>
      <c r="PDG2" s="18"/>
      <c r="PDH2" s="18"/>
      <c r="PDI2" s="18"/>
      <c r="PDJ2" s="18"/>
      <c r="PDK2" s="18"/>
      <c r="PDL2" s="18"/>
      <c r="PDM2" s="18"/>
      <c r="PDN2" s="18"/>
      <c r="PDO2" s="18"/>
      <c r="PDP2" s="18"/>
      <c r="PDQ2" s="18"/>
      <c r="PDR2" s="18"/>
      <c r="PDS2" s="18"/>
      <c r="PDT2" s="18"/>
      <c r="PDU2" s="18"/>
      <c r="PDV2" s="18"/>
      <c r="PDW2" s="18"/>
      <c r="PDX2" s="18"/>
      <c r="PDY2" s="18"/>
      <c r="PDZ2" s="18"/>
      <c r="PEA2" s="18"/>
      <c r="PEB2" s="18"/>
      <c r="PEC2" s="18"/>
      <c r="PED2" s="18"/>
      <c r="PEE2" s="18"/>
      <c r="PEF2" s="18"/>
      <c r="PEG2" s="18"/>
      <c r="PEH2" s="18"/>
      <c r="PEI2" s="18"/>
      <c r="PEJ2" s="18"/>
      <c r="PEK2" s="18"/>
      <c r="PEL2" s="18"/>
      <c r="PEM2" s="18"/>
      <c r="PEN2" s="18"/>
      <c r="PEO2" s="18"/>
      <c r="PEP2" s="18"/>
      <c r="PEQ2" s="18"/>
      <c r="PER2" s="18"/>
      <c r="PES2" s="18"/>
      <c r="PET2" s="18"/>
      <c r="PEU2" s="18"/>
      <c r="PEV2" s="18"/>
      <c r="PEW2" s="18"/>
      <c r="PEX2" s="18"/>
      <c r="PEY2" s="18"/>
      <c r="PEZ2" s="18"/>
      <c r="PFA2" s="18"/>
      <c r="PFB2" s="18"/>
      <c r="PFC2" s="18"/>
      <c r="PFD2" s="18"/>
      <c r="PFE2" s="18"/>
      <c r="PFF2" s="18"/>
      <c r="PFG2" s="18"/>
      <c r="PFH2" s="18"/>
      <c r="PFI2" s="18"/>
      <c r="PFJ2" s="18"/>
      <c r="PFK2" s="18"/>
      <c r="PFL2" s="18"/>
      <c r="PFM2" s="18"/>
      <c r="PFN2" s="18"/>
      <c r="PFO2" s="18"/>
      <c r="PFP2" s="18"/>
      <c r="PFQ2" s="18"/>
      <c r="PFR2" s="18"/>
      <c r="PFS2" s="18"/>
      <c r="PFT2" s="18"/>
      <c r="PFU2" s="18"/>
      <c r="PFV2" s="18"/>
      <c r="PFW2" s="18"/>
      <c r="PFX2" s="18"/>
      <c r="PFY2" s="18"/>
      <c r="PFZ2" s="18"/>
      <c r="PGA2" s="18"/>
      <c r="PGB2" s="18"/>
      <c r="PGC2" s="18"/>
      <c r="PGD2" s="18"/>
      <c r="PGE2" s="18"/>
      <c r="PGF2" s="18"/>
      <c r="PGG2" s="18"/>
      <c r="PGH2" s="18"/>
      <c r="PGI2" s="18"/>
      <c r="PGJ2" s="18"/>
      <c r="PGK2" s="18"/>
      <c r="PGL2" s="18"/>
      <c r="PGM2" s="18"/>
      <c r="PGN2" s="18"/>
      <c r="PGO2" s="18"/>
      <c r="PGP2" s="18"/>
      <c r="PGQ2" s="18"/>
      <c r="PGR2" s="18"/>
      <c r="PGS2" s="18"/>
      <c r="PGT2" s="18"/>
      <c r="PGU2" s="18"/>
      <c r="PGV2" s="18"/>
      <c r="PGW2" s="18"/>
      <c r="PGX2" s="18"/>
      <c r="PGY2" s="18"/>
      <c r="PGZ2" s="18"/>
      <c r="PHA2" s="18"/>
      <c r="PHB2" s="18"/>
      <c r="PHC2" s="18"/>
      <c r="PHD2" s="18"/>
      <c r="PHE2" s="18"/>
      <c r="PHF2" s="18"/>
      <c r="PHG2" s="18"/>
      <c r="PHH2" s="18"/>
      <c r="PHI2" s="18"/>
      <c r="PHJ2" s="18"/>
      <c r="PHK2" s="18"/>
      <c r="PHL2" s="18"/>
      <c r="PHM2" s="18"/>
      <c r="PHN2" s="18"/>
      <c r="PHO2" s="18"/>
      <c r="PHP2" s="18"/>
      <c r="PHQ2" s="18"/>
      <c r="PHR2" s="18"/>
      <c r="PHS2" s="18"/>
      <c r="PHT2" s="18"/>
      <c r="PHU2" s="18"/>
      <c r="PHV2" s="18"/>
      <c r="PHW2" s="18"/>
      <c r="PHX2" s="18"/>
      <c r="PHY2" s="18"/>
      <c r="PHZ2" s="18"/>
      <c r="PIA2" s="18"/>
      <c r="PIB2" s="18"/>
      <c r="PIC2" s="18"/>
      <c r="PID2" s="18"/>
      <c r="PIE2" s="18"/>
      <c r="PIF2" s="18"/>
      <c r="PIG2" s="18"/>
      <c r="PIH2" s="18"/>
      <c r="PII2" s="18"/>
      <c r="PIJ2" s="18"/>
      <c r="PIK2" s="18"/>
      <c r="PIL2" s="18"/>
      <c r="PIM2" s="18"/>
      <c r="PIN2" s="18"/>
      <c r="PIO2" s="18"/>
      <c r="PIP2" s="18"/>
      <c r="PIQ2" s="18"/>
      <c r="PIR2" s="18"/>
      <c r="PIS2" s="18"/>
      <c r="PIT2" s="18"/>
      <c r="PIU2" s="18"/>
      <c r="PIV2" s="18"/>
      <c r="PIW2" s="18"/>
      <c r="PIX2" s="18"/>
      <c r="PIY2" s="18"/>
      <c r="PIZ2" s="18"/>
      <c r="PJA2" s="18"/>
      <c r="PJB2" s="18"/>
      <c r="PJC2" s="18"/>
      <c r="PJD2" s="18"/>
      <c r="PJE2" s="18"/>
      <c r="PJF2" s="18"/>
      <c r="PJG2" s="18"/>
      <c r="PJH2" s="18"/>
      <c r="PJI2" s="18"/>
      <c r="PJJ2" s="18"/>
      <c r="PJK2" s="18"/>
      <c r="PJL2" s="18"/>
      <c r="PJM2" s="18"/>
      <c r="PJN2" s="18"/>
      <c r="PJO2" s="18"/>
      <c r="PJP2" s="18"/>
      <c r="PJQ2" s="18"/>
      <c r="PJR2" s="18"/>
      <c r="PJS2" s="18"/>
      <c r="PJT2" s="18"/>
      <c r="PJU2" s="18"/>
      <c r="PJV2" s="18"/>
      <c r="PJW2" s="18"/>
      <c r="PJX2" s="18"/>
      <c r="PJY2" s="18"/>
      <c r="PJZ2" s="18"/>
      <c r="PKA2" s="18"/>
      <c r="PKB2" s="18"/>
      <c r="PKC2" s="18"/>
      <c r="PKD2" s="18"/>
      <c r="PKE2" s="18"/>
      <c r="PKF2" s="18"/>
      <c r="PKG2" s="18"/>
      <c r="PKH2" s="18"/>
      <c r="PKI2" s="18"/>
      <c r="PKJ2" s="18"/>
      <c r="PKK2" s="18"/>
      <c r="PKL2" s="18"/>
      <c r="PKM2" s="18"/>
      <c r="PKN2" s="18"/>
      <c r="PKO2" s="18"/>
      <c r="PKP2" s="18"/>
      <c r="PKQ2" s="18"/>
      <c r="PKR2" s="18"/>
      <c r="PKS2" s="18"/>
      <c r="PKT2" s="18"/>
      <c r="PKU2" s="18"/>
      <c r="PKV2" s="18"/>
      <c r="PKW2" s="18"/>
      <c r="PKX2" s="18"/>
      <c r="PKY2" s="18"/>
      <c r="PKZ2" s="18"/>
      <c r="PLA2" s="18"/>
      <c r="PLB2" s="18"/>
      <c r="PLC2" s="18"/>
      <c r="PLD2" s="18"/>
      <c r="PLE2" s="18"/>
      <c r="PLF2" s="18"/>
      <c r="PLG2" s="18"/>
      <c r="PLH2" s="18"/>
      <c r="PLI2" s="18"/>
      <c r="PLJ2" s="18"/>
      <c r="PLK2" s="18"/>
      <c r="PLL2" s="18"/>
      <c r="PLM2" s="18"/>
      <c r="PLN2" s="18"/>
      <c r="PLO2" s="18"/>
      <c r="PLP2" s="18"/>
      <c r="PLQ2" s="18"/>
      <c r="PLR2" s="18"/>
      <c r="PLS2" s="18"/>
      <c r="PLT2" s="18"/>
      <c r="PLU2" s="18"/>
      <c r="PLV2" s="18"/>
      <c r="PLW2" s="18"/>
      <c r="PLX2" s="18"/>
      <c r="PLY2" s="18"/>
      <c r="PLZ2" s="18"/>
      <c r="PMA2" s="18"/>
      <c r="PMB2" s="18"/>
      <c r="PMC2" s="18"/>
      <c r="PMD2" s="18"/>
      <c r="PME2" s="18"/>
      <c r="PMF2" s="18"/>
      <c r="PMG2" s="18"/>
      <c r="PMH2" s="18"/>
      <c r="PMI2" s="18"/>
      <c r="PMJ2" s="18"/>
      <c r="PMK2" s="18"/>
      <c r="PML2" s="18"/>
      <c r="PMM2" s="18"/>
      <c r="PMN2" s="18"/>
      <c r="PMO2" s="18"/>
      <c r="PMP2" s="18"/>
      <c r="PMQ2" s="18"/>
      <c r="PMR2" s="18"/>
      <c r="PMS2" s="18"/>
      <c r="PMT2" s="18"/>
      <c r="PMU2" s="18"/>
      <c r="PMV2" s="18"/>
      <c r="PMW2" s="18"/>
      <c r="PMX2" s="18"/>
      <c r="PMY2" s="18"/>
      <c r="PMZ2" s="18"/>
      <c r="PNA2" s="18"/>
      <c r="PNB2" s="18"/>
      <c r="PNC2" s="18"/>
      <c r="PND2" s="18"/>
      <c r="PNE2" s="18"/>
      <c r="PNF2" s="18"/>
      <c r="PNG2" s="18"/>
      <c r="PNH2" s="18"/>
      <c r="PNI2" s="18"/>
      <c r="PNJ2" s="18"/>
      <c r="PNK2" s="18"/>
      <c r="PNL2" s="18"/>
      <c r="PNM2" s="18"/>
      <c r="PNN2" s="18"/>
      <c r="PNO2" s="18"/>
      <c r="PNP2" s="18"/>
      <c r="PNQ2" s="18"/>
      <c r="PNR2" s="18"/>
      <c r="PNS2" s="18"/>
      <c r="PNT2" s="18"/>
      <c r="PNU2" s="18"/>
      <c r="PNV2" s="18"/>
      <c r="PNW2" s="18"/>
      <c r="PNX2" s="18"/>
      <c r="PNY2" s="18"/>
      <c r="PNZ2" s="18"/>
      <c r="POA2" s="18"/>
      <c r="POB2" s="18"/>
      <c r="POC2" s="18"/>
      <c r="POD2" s="18"/>
      <c r="POE2" s="18"/>
      <c r="POF2" s="18"/>
      <c r="POG2" s="18"/>
      <c r="POH2" s="18"/>
      <c r="POI2" s="18"/>
      <c r="POJ2" s="18"/>
      <c r="POK2" s="18"/>
      <c r="POL2" s="18"/>
      <c r="POM2" s="18"/>
      <c r="PON2" s="18"/>
      <c r="POO2" s="18"/>
      <c r="POP2" s="18"/>
      <c r="POQ2" s="18"/>
      <c r="POR2" s="18"/>
      <c r="POS2" s="18"/>
      <c r="POT2" s="18"/>
      <c r="POU2" s="18"/>
      <c r="POV2" s="18"/>
      <c r="POW2" s="18"/>
      <c r="POX2" s="18"/>
      <c r="POY2" s="18"/>
      <c r="POZ2" s="18"/>
      <c r="PPA2" s="18"/>
      <c r="PPB2" s="18"/>
      <c r="PPC2" s="18"/>
      <c r="PPD2" s="18"/>
      <c r="PPE2" s="18"/>
      <c r="PPF2" s="18"/>
      <c r="PPG2" s="18"/>
      <c r="PPH2" s="18"/>
      <c r="PPI2" s="18"/>
      <c r="PPJ2" s="18"/>
      <c r="PPK2" s="18"/>
      <c r="PPL2" s="18"/>
      <c r="PPM2" s="18"/>
      <c r="PPN2" s="18"/>
      <c r="PPO2" s="18"/>
      <c r="PPP2" s="18"/>
      <c r="PPQ2" s="18"/>
      <c r="PPR2" s="18"/>
      <c r="PPS2" s="18"/>
      <c r="PPT2" s="18"/>
      <c r="PPU2" s="18"/>
      <c r="PPV2" s="18"/>
      <c r="PPW2" s="18"/>
      <c r="PPX2" s="18"/>
      <c r="PPY2" s="18"/>
      <c r="PPZ2" s="18"/>
      <c r="PQA2" s="18"/>
      <c r="PQB2" s="18"/>
      <c r="PQC2" s="18"/>
      <c r="PQD2" s="18"/>
      <c r="PQE2" s="18"/>
      <c r="PQF2" s="18"/>
      <c r="PQG2" s="18"/>
      <c r="PQH2" s="18"/>
      <c r="PQI2" s="18"/>
      <c r="PQJ2" s="18"/>
      <c r="PQK2" s="18"/>
      <c r="PQL2" s="18"/>
      <c r="PQM2" s="18"/>
      <c r="PQN2" s="18"/>
      <c r="PQO2" s="18"/>
      <c r="PQP2" s="18"/>
      <c r="PQQ2" s="18"/>
      <c r="PQR2" s="18"/>
      <c r="PQS2" s="18"/>
      <c r="PQT2" s="18"/>
      <c r="PQU2" s="18"/>
      <c r="PQV2" s="18"/>
      <c r="PQW2" s="18"/>
      <c r="PQX2" s="18"/>
      <c r="PQY2" s="18"/>
      <c r="PQZ2" s="18"/>
      <c r="PRA2" s="18"/>
      <c r="PRB2" s="18"/>
      <c r="PRC2" s="18"/>
      <c r="PRD2" s="18"/>
      <c r="PRE2" s="18"/>
      <c r="PRF2" s="18"/>
      <c r="PRG2" s="18"/>
      <c r="PRH2" s="18"/>
      <c r="PRI2" s="18"/>
      <c r="PRJ2" s="18"/>
      <c r="PRK2" s="18"/>
      <c r="PRL2" s="18"/>
      <c r="PRM2" s="18"/>
      <c r="PRN2" s="18"/>
      <c r="PRO2" s="18"/>
      <c r="PRP2" s="18"/>
      <c r="PRQ2" s="18"/>
      <c r="PRR2" s="18"/>
      <c r="PRS2" s="18"/>
      <c r="PRT2" s="18"/>
      <c r="PRU2" s="18"/>
      <c r="PRV2" s="18"/>
      <c r="PRW2" s="18"/>
      <c r="PRX2" s="18"/>
      <c r="PRY2" s="18"/>
      <c r="PRZ2" s="18"/>
      <c r="PSA2" s="18"/>
      <c r="PSB2" s="18"/>
      <c r="PSC2" s="18"/>
      <c r="PSD2" s="18"/>
      <c r="PSE2" s="18"/>
      <c r="PSF2" s="18"/>
      <c r="PSG2" s="18"/>
      <c r="PSH2" s="18"/>
      <c r="PSI2" s="18"/>
      <c r="PSJ2" s="18"/>
      <c r="PSK2" s="18"/>
      <c r="PSL2" s="18"/>
      <c r="PSM2" s="18"/>
      <c r="PSN2" s="18"/>
      <c r="PSO2" s="18"/>
      <c r="PSP2" s="18"/>
      <c r="PSQ2" s="18"/>
      <c r="PSR2" s="18"/>
      <c r="PSS2" s="18"/>
      <c r="PST2" s="18"/>
      <c r="PSU2" s="18"/>
      <c r="PSV2" s="18"/>
      <c r="PSW2" s="18"/>
      <c r="PSX2" s="18"/>
      <c r="PSY2" s="18"/>
      <c r="PSZ2" s="18"/>
      <c r="PTA2" s="18"/>
      <c r="PTB2" s="18"/>
      <c r="PTC2" s="18"/>
      <c r="PTD2" s="18"/>
      <c r="PTE2" s="18"/>
      <c r="PTF2" s="18"/>
      <c r="PTG2" s="18"/>
      <c r="PTH2" s="18"/>
      <c r="PTI2" s="18"/>
      <c r="PTJ2" s="18"/>
      <c r="PTK2" s="18"/>
      <c r="PTL2" s="18"/>
      <c r="PTM2" s="18"/>
      <c r="PTN2" s="18"/>
      <c r="PTO2" s="18"/>
      <c r="PTP2" s="18"/>
      <c r="PTQ2" s="18"/>
      <c r="PTR2" s="18"/>
      <c r="PTS2" s="18"/>
      <c r="PTT2" s="18"/>
      <c r="PTU2" s="18"/>
      <c r="PTV2" s="18"/>
      <c r="PTW2" s="18"/>
      <c r="PTX2" s="18"/>
      <c r="PTY2" s="18"/>
      <c r="PTZ2" s="18"/>
      <c r="PUA2" s="18"/>
      <c r="PUB2" s="18"/>
      <c r="PUC2" s="18"/>
      <c r="PUD2" s="18"/>
      <c r="PUE2" s="18"/>
      <c r="PUF2" s="18"/>
      <c r="PUG2" s="18"/>
      <c r="PUH2" s="18"/>
      <c r="PUI2" s="18"/>
      <c r="PUJ2" s="18"/>
      <c r="PUK2" s="18"/>
      <c r="PUL2" s="18"/>
      <c r="PUM2" s="18"/>
      <c r="PUN2" s="18"/>
      <c r="PUO2" s="18"/>
      <c r="PUP2" s="18"/>
      <c r="PUQ2" s="18"/>
      <c r="PUR2" s="18"/>
      <c r="PUS2" s="18"/>
      <c r="PUT2" s="18"/>
      <c r="PUU2" s="18"/>
      <c r="PUV2" s="18"/>
      <c r="PUW2" s="18"/>
      <c r="PUX2" s="18"/>
      <c r="PUY2" s="18"/>
      <c r="PUZ2" s="18"/>
      <c r="PVA2" s="18"/>
      <c r="PVB2" s="18"/>
      <c r="PVC2" s="18"/>
      <c r="PVD2" s="18"/>
      <c r="PVE2" s="18"/>
      <c r="PVF2" s="18"/>
      <c r="PVG2" s="18"/>
      <c r="PVH2" s="18"/>
      <c r="PVI2" s="18"/>
      <c r="PVJ2" s="18"/>
      <c r="PVK2" s="18"/>
      <c r="PVL2" s="18"/>
      <c r="PVM2" s="18"/>
      <c r="PVN2" s="18"/>
      <c r="PVO2" s="18"/>
      <c r="PVP2" s="18"/>
      <c r="PVQ2" s="18"/>
      <c r="PVR2" s="18"/>
      <c r="PVS2" s="18"/>
      <c r="PVT2" s="18"/>
      <c r="PVU2" s="18"/>
      <c r="PVV2" s="18"/>
      <c r="PVW2" s="18"/>
      <c r="PVX2" s="18"/>
      <c r="PVY2" s="18"/>
      <c r="PVZ2" s="18"/>
      <c r="PWA2" s="18"/>
      <c r="PWB2" s="18"/>
      <c r="PWC2" s="18"/>
      <c r="PWD2" s="18"/>
      <c r="PWE2" s="18"/>
      <c r="PWF2" s="18"/>
      <c r="PWG2" s="18"/>
      <c r="PWH2" s="18"/>
      <c r="PWI2" s="18"/>
      <c r="PWJ2" s="18"/>
      <c r="PWK2" s="18"/>
      <c r="PWL2" s="18"/>
      <c r="PWM2" s="18"/>
      <c r="PWN2" s="18"/>
      <c r="PWO2" s="18"/>
      <c r="PWP2" s="18"/>
      <c r="PWQ2" s="18"/>
      <c r="PWR2" s="18"/>
      <c r="PWS2" s="18"/>
      <c r="PWT2" s="18"/>
      <c r="PWU2" s="18"/>
      <c r="PWV2" s="18"/>
      <c r="PWW2" s="18"/>
      <c r="PWX2" s="18"/>
      <c r="PWY2" s="18"/>
      <c r="PWZ2" s="18"/>
      <c r="PXA2" s="18"/>
      <c r="PXB2" s="18"/>
      <c r="PXC2" s="18"/>
      <c r="PXD2" s="18"/>
      <c r="PXE2" s="18"/>
      <c r="PXF2" s="18"/>
      <c r="PXG2" s="18"/>
      <c r="PXH2" s="18"/>
      <c r="PXI2" s="18"/>
      <c r="PXJ2" s="18"/>
      <c r="PXK2" s="18"/>
      <c r="PXL2" s="18"/>
      <c r="PXM2" s="18"/>
      <c r="PXN2" s="18"/>
      <c r="PXO2" s="18"/>
      <c r="PXP2" s="18"/>
      <c r="PXQ2" s="18"/>
      <c r="PXR2" s="18"/>
      <c r="PXS2" s="18"/>
      <c r="PXT2" s="18"/>
      <c r="PXU2" s="18"/>
      <c r="PXV2" s="18"/>
      <c r="PXW2" s="18"/>
      <c r="PXX2" s="18"/>
      <c r="PXY2" s="18"/>
      <c r="PXZ2" s="18"/>
      <c r="PYA2" s="18"/>
      <c r="PYB2" s="18"/>
      <c r="PYC2" s="18"/>
      <c r="PYD2" s="18"/>
      <c r="PYE2" s="18"/>
      <c r="PYF2" s="18"/>
      <c r="PYG2" s="18"/>
      <c r="PYH2" s="18"/>
      <c r="PYI2" s="18"/>
      <c r="PYJ2" s="18"/>
      <c r="PYK2" s="18"/>
      <c r="PYL2" s="18"/>
      <c r="PYM2" s="18"/>
      <c r="PYN2" s="18"/>
      <c r="PYO2" s="18"/>
      <c r="PYP2" s="18"/>
      <c r="PYQ2" s="18"/>
      <c r="PYR2" s="18"/>
      <c r="PYS2" s="18"/>
      <c r="PYT2" s="18"/>
      <c r="PYU2" s="18"/>
      <c r="PYV2" s="18"/>
      <c r="PYW2" s="18"/>
      <c r="PYX2" s="18"/>
      <c r="PYY2" s="18"/>
      <c r="PYZ2" s="18"/>
      <c r="PZA2" s="18"/>
      <c r="PZB2" s="18"/>
      <c r="PZC2" s="18"/>
      <c r="PZD2" s="18"/>
      <c r="PZE2" s="18"/>
      <c r="PZF2" s="18"/>
      <c r="PZG2" s="18"/>
      <c r="PZH2" s="18"/>
      <c r="PZI2" s="18"/>
      <c r="PZJ2" s="18"/>
      <c r="PZK2" s="18"/>
      <c r="PZL2" s="18"/>
      <c r="PZM2" s="18"/>
      <c r="PZN2" s="18"/>
      <c r="PZO2" s="18"/>
      <c r="PZP2" s="18"/>
      <c r="PZQ2" s="18"/>
      <c r="PZR2" s="18"/>
      <c r="PZS2" s="18"/>
      <c r="PZT2" s="18"/>
      <c r="PZU2" s="18"/>
      <c r="PZV2" s="18"/>
      <c r="PZW2" s="18"/>
      <c r="PZX2" s="18"/>
      <c r="PZY2" s="18"/>
      <c r="PZZ2" s="18"/>
      <c r="QAA2" s="18"/>
      <c r="QAB2" s="18"/>
      <c r="QAC2" s="18"/>
      <c r="QAD2" s="18"/>
      <c r="QAE2" s="18"/>
      <c r="QAF2" s="18"/>
      <c r="QAG2" s="18"/>
      <c r="QAH2" s="18"/>
      <c r="QAI2" s="18"/>
      <c r="QAJ2" s="18"/>
      <c r="QAK2" s="18"/>
      <c r="QAL2" s="18"/>
      <c r="QAM2" s="18"/>
      <c r="QAN2" s="18"/>
      <c r="QAO2" s="18"/>
      <c r="QAP2" s="18"/>
      <c r="QAQ2" s="18"/>
      <c r="QAR2" s="18"/>
      <c r="QAS2" s="18"/>
      <c r="QAT2" s="18"/>
      <c r="QAU2" s="18"/>
      <c r="QAV2" s="18"/>
      <c r="QAW2" s="18"/>
      <c r="QAX2" s="18"/>
      <c r="QAY2" s="18"/>
      <c r="QAZ2" s="18"/>
      <c r="QBA2" s="18"/>
      <c r="QBB2" s="18"/>
      <c r="QBC2" s="18"/>
      <c r="QBD2" s="18"/>
      <c r="QBE2" s="18"/>
      <c r="QBF2" s="18"/>
      <c r="QBG2" s="18"/>
      <c r="QBH2" s="18"/>
      <c r="QBI2" s="18"/>
      <c r="QBJ2" s="18"/>
      <c r="QBK2" s="18"/>
      <c r="QBL2" s="18"/>
      <c r="QBM2" s="18"/>
      <c r="QBN2" s="18"/>
      <c r="QBO2" s="18"/>
      <c r="QBP2" s="18"/>
      <c r="QBQ2" s="18"/>
      <c r="QBR2" s="18"/>
      <c r="QBS2" s="18"/>
      <c r="QBT2" s="18"/>
      <c r="QBU2" s="18"/>
      <c r="QBV2" s="18"/>
      <c r="QBW2" s="18"/>
      <c r="QBX2" s="18"/>
      <c r="QBY2" s="18"/>
      <c r="QBZ2" s="18"/>
      <c r="QCA2" s="18"/>
      <c r="QCB2" s="18"/>
      <c r="QCC2" s="18"/>
      <c r="QCD2" s="18"/>
      <c r="QCE2" s="18"/>
      <c r="QCF2" s="18"/>
      <c r="QCG2" s="18"/>
      <c r="QCH2" s="18"/>
      <c r="QCI2" s="18"/>
      <c r="QCJ2" s="18"/>
      <c r="QCK2" s="18"/>
      <c r="QCL2" s="18"/>
      <c r="QCM2" s="18"/>
      <c r="QCN2" s="18"/>
      <c r="QCO2" s="18"/>
      <c r="QCP2" s="18"/>
      <c r="QCQ2" s="18"/>
      <c r="QCR2" s="18"/>
      <c r="QCS2" s="18"/>
      <c r="QCT2" s="18"/>
      <c r="QCU2" s="18"/>
      <c r="QCV2" s="18"/>
      <c r="QCW2" s="18"/>
      <c r="QCX2" s="18"/>
      <c r="QCY2" s="18"/>
      <c r="QCZ2" s="18"/>
      <c r="QDA2" s="18"/>
      <c r="QDB2" s="18"/>
      <c r="QDC2" s="18"/>
      <c r="QDD2" s="18"/>
      <c r="QDE2" s="18"/>
      <c r="QDF2" s="18"/>
      <c r="QDG2" s="18"/>
      <c r="QDH2" s="18"/>
      <c r="QDI2" s="18"/>
      <c r="QDJ2" s="18"/>
      <c r="QDK2" s="18"/>
      <c r="QDL2" s="18"/>
      <c r="QDM2" s="18"/>
      <c r="QDN2" s="18"/>
      <c r="QDO2" s="18"/>
      <c r="QDP2" s="18"/>
      <c r="QDQ2" s="18"/>
      <c r="QDR2" s="18"/>
      <c r="QDS2" s="18"/>
      <c r="QDT2" s="18"/>
      <c r="QDU2" s="18"/>
      <c r="QDV2" s="18"/>
      <c r="QDW2" s="18"/>
      <c r="QDX2" s="18"/>
      <c r="QDY2" s="18"/>
      <c r="QDZ2" s="18"/>
      <c r="QEA2" s="18"/>
      <c r="QEB2" s="18"/>
      <c r="QEC2" s="18"/>
      <c r="QED2" s="18"/>
      <c r="QEE2" s="18"/>
      <c r="QEF2" s="18"/>
      <c r="QEG2" s="18"/>
      <c r="QEH2" s="18"/>
      <c r="QEI2" s="18"/>
      <c r="QEJ2" s="18"/>
      <c r="QEK2" s="18"/>
      <c r="QEL2" s="18"/>
      <c r="QEM2" s="18"/>
      <c r="QEN2" s="18"/>
      <c r="QEO2" s="18"/>
      <c r="QEP2" s="18"/>
      <c r="QEQ2" s="18"/>
      <c r="QER2" s="18"/>
      <c r="QES2" s="18"/>
      <c r="QET2" s="18"/>
      <c r="QEU2" s="18"/>
      <c r="QEV2" s="18"/>
      <c r="QEW2" s="18"/>
      <c r="QEX2" s="18"/>
      <c r="QEY2" s="18"/>
      <c r="QEZ2" s="18"/>
      <c r="QFA2" s="18"/>
      <c r="QFB2" s="18"/>
      <c r="QFC2" s="18"/>
      <c r="QFD2" s="18"/>
      <c r="QFE2" s="18"/>
      <c r="QFF2" s="18"/>
      <c r="QFG2" s="18"/>
      <c r="QFH2" s="18"/>
      <c r="QFI2" s="18"/>
      <c r="QFJ2" s="18"/>
      <c r="QFK2" s="18"/>
      <c r="QFL2" s="18"/>
      <c r="QFM2" s="18"/>
      <c r="QFN2" s="18"/>
      <c r="QFO2" s="18"/>
      <c r="QFP2" s="18"/>
      <c r="QFQ2" s="18"/>
      <c r="QFR2" s="18"/>
      <c r="QFS2" s="18"/>
      <c r="QFT2" s="18"/>
      <c r="QFU2" s="18"/>
      <c r="QFV2" s="18"/>
      <c r="QFW2" s="18"/>
      <c r="QFX2" s="18"/>
      <c r="QFY2" s="18"/>
      <c r="QFZ2" s="18"/>
      <c r="QGA2" s="18"/>
      <c r="QGB2" s="18"/>
      <c r="QGC2" s="18"/>
      <c r="QGD2" s="18"/>
      <c r="QGE2" s="18"/>
      <c r="QGF2" s="18"/>
      <c r="QGG2" s="18"/>
      <c r="QGH2" s="18"/>
      <c r="QGI2" s="18"/>
      <c r="QGJ2" s="18"/>
      <c r="QGK2" s="18"/>
      <c r="QGL2" s="18"/>
      <c r="QGM2" s="18"/>
      <c r="QGN2" s="18"/>
      <c r="QGO2" s="18"/>
      <c r="QGP2" s="18"/>
      <c r="QGQ2" s="18"/>
      <c r="QGR2" s="18"/>
      <c r="QGS2" s="18"/>
      <c r="QGT2" s="18"/>
      <c r="QGU2" s="18"/>
      <c r="QGV2" s="18"/>
      <c r="QGW2" s="18"/>
      <c r="QGX2" s="18"/>
      <c r="QGY2" s="18"/>
      <c r="QGZ2" s="18"/>
      <c r="QHA2" s="18"/>
      <c r="QHB2" s="18"/>
      <c r="QHC2" s="18"/>
      <c r="QHD2" s="18"/>
      <c r="QHE2" s="18"/>
      <c r="QHF2" s="18"/>
      <c r="QHG2" s="18"/>
      <c r="QHH2" s="18"/>
      <c r="QHI2" s="18"/>
      <c r="QHJ2" s="18"/>
      <c r="QHK2" s="18"/>
      <c r="QHL2" s="18"/>
      <c r="QHM2" s="18"/>
      <c r="QHN2" s="18"/>
      <c r="QHO2" s="18"/>
      <c r="QHP2" s="18"/>
      <c r="QHQ2" s="18"/>
      <c r="QHR2" s="18"/>
      <c r="QHS2" s="18"/>
      <c r="QHT2" s="18"/>
      <c r="QHU2" s="18"/>
      <c r="QHV2" s="18"/>
      <c r="QHW2" s="18"/>
      <c r="QHX2" s="18"/>
      <c r="QHY2" s="18"/>
      <c r="QHZ2" s="18"/>
      <c r="QIA2" s="18"/>
      <c r="QIB2" s="18"/>
      <c r="QIC2" s="18"/>
      <c r="QID2" s="18"/>
      <c r="QIE2" s="18"/>
      <c r="QIF2" s="18"/>
      <c r="QIG2" s="18"/>
      <c r="QIH2" s="18"/>
      <c r="QII2" s="18"/>
      <c r="QIJ2" s="18"/>
      <c r="QIK2" s="18"/>
      <c r="QIL2" s="18"/>
      <c r="QIM2" s="18"/>
      <c r="QIN2" s="18"/>
      <c r="QIO2" s="18"/>
      <c r="QIP2" s="18"/>
      <c r="QIQ2" s="18"/>
      <c r="QIR2" s="18"/>
      <c r="QIS2" s="18"/>
      <c r="QIT2" s="18"/>
      <c r="QIU2" s="18"/>
      <c r="QIV2" s="18"/>
      <c r="QIW2" s="18"/>
      <c r="QIX2" s="18"/>
      <c r="QIY2" s="18"/>
      <c r="QIZ2" s="18"/>
      <c r="QJA2" s="18"/>
      <c r="QJB2" s="18"/>
      <c r="QJC2" s="18"/>
      <c r="QJD2" s="18"/>
      <c r="QJE2" s="18"/>
      <c r="QJF2" s="18"/>
      <c r="QJG2" s="18"/>
      <c r="QJH2" s="18"/>
      <c r="QJI2" s="18"/>
      <c r="QJJ2" s="18"/>
      <c r="QJK2" s="18"/>
      <c r="QJL2" s="18"/>
      <c r="QJM2" s="18"/>
      <c r="QJN2" s="18"/>
      <c r="QJO2" s="18"/>
      <c r="QJP2" s="18"/>
      <c r="QJQ2" s="18"/>
      <c r="QJR2" s="18"/>
      <c r="QJS2" s="18"/>
      <c r="QJT2" s="18"/>
      <c r="QJU2" s="18"/>
      <c r="QJV2" s="18"/>
      <c r="QJW2" s="18"/>
      <c r="QJX2" s="18"/>
      <c r="QJY2" s="18"/>
      <c r="QJZ2" s="18"/>
      <c r="QKA2" s="18"/>
      <c r="QKB2" s="18"/>
      <c r="QKC2" s="18"/>
      <c r="QKD2" s="18"/>
      <c r="QKE2" s="18"/>
      <c r="QKF2" s="18"/>
      <c r="QKG2" s="18"/>
      <c r="QKH2" s="18"/>
      <c r="QKI2" s="18"/>
      <c r="QKJ2" s="18"/>
      <c r="QKK2" s="18"/>
      <c r="QKL2" s="18"/>
      <c r="QKM2" s="18"/>
      <c r="QKN2" s="18"/>
      <c r="QKO2" s="18"/>
      <c r="QKP2" s="18"/>
      <c r="QKQ2" s="18"/>
      <c r="QKR2" s="18"/>
      <c r="QKS2" s="18"/>
      <c r="QKT2" s="18"/>
      <c r="QKU2" s="18"/>
      <c r="QKV2" s="18"/>
      <c r="QKW2" s="18"/>
      <c r="QKX2" s="18"/>
      <c r="QKY2" s="18"/>
      <c r="QKZ2" s="18"/>
      <c r="QLA2" s="18"/>
      <c r="QLB2" s="18"/>
      <c r="QLC2" s="18"/>
      <c r="QLD2" s="18"/>
      <c r="QLE2" s="18"/>
      <c r="QLF2" s="18"/>
      <c r="QLG2" s="18"/>
      <c r="QLH2" s="18"/>
      <c r="QLI2" s="18"/>
      <c r="QLJ2" s="18"/>
      <c r="QLK2" s="18"/>
      <c r="QLL2" s="18"/>
      <c r="QLM2" s="18"/>
      <c r="QLN2" s="18"/>
      <c r="QLO2" s="18"/>
      <c r="QLP2" s="18"/>
      <c r="QLQ2" s="18"/>
      <c r="QLR2" s="18"/>
      <c r="QLS2" s="18"/>
      <c r="QLT2" s="18"/>
      <c r="QLU2" s="18"/>
      <c r="QLV2" s="18"/>
      <c r="QLW2" s="18"/>
      <c r="QLX2" s="18"/>
      <c r="QLY2" s="18"/>
      <c r="QLZ2" s="18"/>
      <c r="QMA2" s="18"/>
      <c r="QMB2" s="18"/>
      <c r="QMC2" s="18"/>
      <c r="QMD2" s="18"/>
      <c r="QME2" s="18"/>
      <c r="QMF2" s="18"/>
      <c r="QMG2" s="18"/>
      <c r="QMH2" s="18"/>
      <c r="QMI2" s="18"/>
      <c r="QMJ2" s="18"/>
      <c r="QMK2" s="18"/>
      <c r="QML2" s="18"/>
      <c r="QMM2" s="18"/>
      <c r="QMN2" s="18"/>
      <c r="QMO2" s="18"/>
      <c r="QMP2" s="18"/>
      <c r="QMQ2" s="18"/>
      <c r="QMR2" s="18"/>
      <c r="QMS2" s="18"/>
      <c r="QMT2" s="18"/>
      <c r="QMU2" s="18"/>
      <c r="QMV2" s="18"/>
      <c r="QMW2" s="18"/>
      <c r="QMX2" s="18"/>
      <c r="QMY2" s="18"/>
      <c r="QMZ2" s="18"/>
      <c r="QNA2" s="18"/>
      <c r="QNB2" s="18"/>
      <c r="QNC2" s="18"/>
      <c r="QND2" s="18"/>
      <c r="QNE2" s="18"/>
      <c r="QNF2" s="18"/>
      <c r="QNG2" s="18"/>
      <c r="QNH2" s="18"/>
      <c r="QNI2" s="18"/>
      <c r="QNJ2" s="18"/>
      <c r="QNK2" s="18"/>
      <c r="QNL2" s="18"/>
      <c r="QNM2" s="18"/>
      <c r="QNN2" s="18"/>
      <c r="QNO2" s="18"/>
      <c r="QNP2" s="18"/>
      <c r="QNQ2" s="18"/>
      <c r="QNR2" s="18"/>
      <c r="QNS2" s="18"/>
      <c r="QNT2" s="18"/>
      <c r="QNU2" s="18"/>
      <c r="QNV2" s="18"/>
      <c r="QNW2" s="18"/>
      <c r="QNX2" s="18"/>
      <c r="QNY2" s="18"/>
      <c r="QNZ2" s="18"/>
      <c r="QOA2" s="18"/>
      <c r="QOB2" s="18"/>
      <c r="QOC2" s="18"/>
      <c r="QOD2" s="18"/>
      <c r="QOE2" s="18"/>
      <c r="QOF2" s="18"/>
      <c r="QOG2" s="18"/>
      <c r="QOH2" s="18"/>
      <c r="QOI2" s="18"/>
      <c r="QOJ2" s="18"/>
      <c r="QOK2" s="18"/>
      <c r="QOL2" s="18"/>
      <c r="QOM2" s="18"/>
      <c r="QON2" s="18"/>
      <c r="QOO2" s="18"/>
      <c r="QOP2" s="18"/>
      <c r="QOQ2" s="18"/>
      <c r="QOR2" s="18"/>
      <c r="QOS2" s="18"/>
      <c r="QOT2" s="18"/>
      <c r="QOU2" s="18"/>
      <c r="QOV2" s="18"/>
      <c r="QOW2" s="18"/>
      <c r="QOX2" s="18"/>
      <c r="QOY2" s="18"/>
      <c r="QOZ2" s="18"/>
      <c r="QPA2" s="18"/>
      <c r="QPB2" s="18"/>
      <c r="QPC2" s="18"/>
      <c r="QPD2" s="18"/>
      <c r="QPE2" s="18"/>
      <c r="QPF2" s="18"/>
      <c r="QPG2" s="18"/>
      <c r="QPH2" s="18"/>
      <c r="QPI2" s="18"/>
      <c r="QPJ2" s="18"/>
      <c r="QPK2" s="18"/>
      <c r="QPL2" s="18"/>
      <c r="QPM2" s="18"/>
      <c r="QPN2" s="18"/>
      <c r="QPO2" s="18"/>
      <c r="QPP2" s="18"/>
      <c r="QPQ2" s="18"/>
      <c r="QPR2" s="18"/>
      <c r="QPS2" s="18"/>
      <c r="QPT2" s="18"/>
      <c r="QPU2" s="18"/>
      <c r="QPV2" s="18"/>
      <c r="QPW2" s="18"/>
      <c r="QPX2" s="18"/>
      <c r="QPY2" s="18"/>
      <c r="QPZ2" s="18"/>
      <c r="QQA2" s="18"/>
      <c r="QQB2" s="18"/>
      <c r="QQC2" s="18"/>
      <c r="QQD2" s="18"/>
      <c r="QQE2" s="18"/>
      <c r="QQF2" s="18"/>
      <c r="QQG2" s="18"/>
      <c r="QQH2" s="18"/>
      <c r="QQI2" s="18"/>
      <c r="QQJ2" s="18"/>
      <c r="QQK2" s="18"/>
      <c r="QQL2" s="18"/>
      <c r="QQM2" s="18"/>
      <c r="QQN2" s="18"/>
      <c r="QQO2" s="18"/>
      <c r="QQP2" s="18"/>
      <c r="QQQ2" s="18"/>
      <c r="QQR2" s="18"/>
      <c r="QQS2" s="18"/>
      <c r="QQT2" s="18"/>
      <c r="QQU2" s="18"/>
      <c r="QQV2" s="18"/>
      <c r="QQW2" s="18"/>
      <c r="QQX2" s="18"/>
      <c r="QQY2" s="18"/>
      <c r="QQZ2" s="18"/>
      <c r="QRA2" s="18"/>
      <c r="QRB2" s="18"/>
      <c r="QRC2" s="18"/>
      <c r="QRD2" s="18"/>
      <c r="QRE2" s="18"/>
      <c r="QRF2" s="18"/>
      <c r="QRG2" s="18"/>
      <c r="QRH2" s="18"/>
      <c r="QRI2" s="18"/>
      <c r="QRJ2" s="18"/>
      <c r="QRK2" s="18"/>
      <c r="QRL2" s="18"/>
      <c r="QRM2" s="18"/>
      <c r="QRN2" s="18"/>
      <c r="QRO2" s="18"/>
      <c r="QRP2" s="18"/>
      <c r="QRQ2" s="18"/>
      <c r="QRR2" s="18"/>
      <c r="QRS2" s="18"/>
      <c r="QRT2" s="18"/>
      <c r="QRU2" s="18"/>
      <c r="QRV2" s="18"/>
      <c r="QRW2" s="18"/>
      <c r="QRX2" s="18"/>
      <c r="QRY2" s="18"/>
      <c r="QRZ2" s="18"/>
      <c r="QSA2" s="18"/>
      <c r="QSB2" s="18"/>
      <c r="QSC2" s="18"/>
      <c r="QSD2" s="18"/>
      <c r="QSE2" s="18"/>
      <c r="QSF2" s="18"/>
      <c r="QSG2" s="18"/>
      <c r="QSH2" s="18"/>
      <c r="QSI2" s="18"/>
      <c r="QSJ2" s="18"/>
      <c r="QSK2" s="18"/>
      <c r="QSL2" s="18"/>
      <c r="QSM2" s="18"/>
      <c r="QSN2" s="18"/>
      <c r="QSO2" s="18"/>
      <c r="QSP2" s="18"/>
      <c r="QSQ2" s="18"/>
      <c r="QSR2" s="18"/>
      <c r="QSS2" s="18"/>
      <c r="QST2" s="18"/>
      <c r="QSU2" s="18"/>
      <c r="QSV2" s="18"/>
      <c r="QSW2" s="18"/>
      <c r="QSX2" s="18"/>
      <c r="QSY2" s="18"/>
      <c r="QSZ2" s="18"/>
      <c r="QTA2" s="18"/>
      <c r="QTB2" s="18"/>
      <c r="QTC2" s="18"/>
      <c r="QTD2" s="18"/>
      <c r="QTE2" s="18"/>
      <c r="QTF2" s="18"/>
      <c r="QTG2" s="18"/>
      <c r="QTH2" s="18"/>
      <c r="QTI2" s="18"/>
      <c r="QTJ2" s="18"/>
      <c r="QTK2" s="18"/>
      <c r="QTL2" s="18"/>
      <c r="QTM2" s="18"/>
      <c r="QTN2" s="18"/>
      <c r="QTO2" s="18"/>
      <c r="QTP2" s="18"/>
      <c r="QTQ2" s="18"/>
      <c r="QTR2" s="18"/>
      <c r="QTS2" s="18"/>
      <c r="QTT2" s="18"/>
      <c r="QTU2" s="18"/>
      <c r="QTV2" s="18"/>
      <c r="QTW2" s="18"/>
      <c r="QTX2" s="18"/>
      <c r="QTY2" s="18"/>
      <c r="QTZ2" s="18"/>
      <c r="QUA2" s="18"/>
      <c r="QUB2" s="18"/>
      <c r="QUC2" s="18"/>
      <c r="QUD2" s="18"/>
      <c r="QUE2" s="18"/>
      <c r="QUF2" s="18"/>
      <c r="QUG2" s="18"/>
      <c r="QUH2" s="18"/>
      <c r="QUI2" s="18"/>
      <c r="QUJ2" s="18"/>
      <c r="QUK2" s="18"/>
      <c r="QUL2" s="18"/>
      <c r="QUM2" s="18"/>
      <c r="QUN2" s="18"/>
      <c r="QUO2" s="18"/>
      <c r="QUP2" s="18"/>
      <c r="QUQ2" s="18"/>
      <c r="QUR2" s="18"/>
      <c r="QUS2" s="18"/>
      <c r="QUT2" s="18"/>
      <c r="QUU2" s="18"/>
      <c r="QUV2" s="18"/>
      <c r="QUW2" s="18"/>
      <c r="QUX2" s="18"/>
      <c r="QUY2" s="18"/>
      <c r="QUZ2" s="18"/>
      <c r="QVA2" s="18"/>
      <c r="QVB2" s="18"/>
      <c r="QVC2" s="18"/>
      <c r="QVD2" s="18"/>
      <c r="QVE2" s="18"/>
      <c r="QVF2" s="18"/>
      <c r="QVG2" s="18"/>
      <c r="QVH2" s="18"/>
      <c r="QVI2" s="18"/>
      <c r="QVJ2" s="18"/>
      <c r="QVK2" s="18"/>
      <c r="QVL2" s="18"/>
      <c r="QVM2" s="18"/>
      <c r="QVN2" s="18"/>
      <c r="QVO2" s="18"/>
      <c r="QVP2" s="18"/>
      <c r="QVQ2" s="18"/>
      <c r="QVR2" s="18"/>
      <c r="QVS2" s="18"/>
      <c r="QVT2" s="18"/>
      <c r="QVU2" s="18"/>
      <c r="QVV2" s="18"/>
      <c r="QVW2" s="18"/>
      <c r="QVX2" s="18"/>
      <c r="QVY2" s="18"/>
      <c r="QVZ2" s="18"/>
      <c r="QWA2" s="18"/>
      <c r="QWB2" s="18"/>
      <c r="QWC2" s="18"/>
      <c r="QWD2" s="18"/>
      <c r="QWE2" s="18"/>
      <c r="QWF2" s="18"/>
      <c r="QWG2" s="18"/>
      <c r="QWH2" s="18"/>
      <c r="QWI2" s="18"/>
      <c r="QWJ2" s="18"/>
      <c r="QWK2" s="18"/>
      <c r="QWL2" s="18"/>
      <c r="QWM2" s="18"/>
      <c r="QWN2" s="18"/>
      <c r="QWO2" s="18"/>
      <c r="QWP2" s="18"/>
      <c r="QWQ2" s="18"/>
      <c r="QWR2" s="18"/>
      <c r="QWS2" s="18"/>
      <c r="QWT2" s="18"/>
      <c r="QWU2" s="18"/>
      <c r="QWV2" s="18"/>
      <c r="QWW2" s="18"/>
      <c r="QWX2" s="18"/>
      <c r="QWY2" s="18"/>
      <c r="QWZ2" s="18"/>
      <c r="QXA2" s="18"/>
      <c r="QXB2" s="18"/>
      <c r="QXC2" s="18"/>
      <c r="QXD2" s="18"/>
      <c r="QXE2" s="18"/>
      <c r="QXF2" s="18"/>
      <c r="QXG2" s="18"/>
      <c r="QXH2" s="18"/>
      <c r="QXI2" s="18"/>
      <c r="QXJ2" s="18"/>
      <c r="QXK2" s="18"/>
      <c r="QXL2" s="18"/>
      <c r="QXM2" s="18"/>
      <c r="QXN2" s="18"/>
      <c r="QXO2" s="18"/>
      <c r="QXP2" s="18"/>
      <c r="QXQ2" s="18"/>
      <c r="QXR2" s="18"/>
      <c r="QXS2" s="18"/>
      <c r="QXT2" s="18"/>
      <c r="QXU2" s="18"/>
      <c r="QXV2" s="18"/>
      <c r="QXW2" s="18"/>
      <c r="QXX2" s="18"/>
      <c r="QXY2" s="18"/>
      <c r="QXZ2" s="18"/>
      <c r="QYA2" s="18"/>
      <c r="QYB2" s="18"/>
      <c r="QYC2" s="18"/>
      <c r="QYD2" s="18"/>
      <c r="QYE2" s="18"/>
      <c r="QYF2" s="18"/>
      <c r="QYG2" s="18"/>
      <c r="QYH2" s="18"/>
      <c r="QYI2" s="18"/>
      <c r="QYJ2" s="18"/>
      <c r="QYK2" s="18"/>
      <c r="QYL2" s="18"/>
      <c r="QYM2" s="18"/>
      <c r="QYN2" s="18"/>
      <c r="QYO2" s="18"/>
      <c r="QYP2" s="18"/>
      <c r="QYQ2" s="18"/>
      <c r="QYR2" s="18"/>
      <c r="QYS2" s="18"/>
      <c r="QYT2" s="18"/>
      <c r="QYU2" s="18"/>
      <c r="QYV2" s="18"/>
      <c r="QYW2" s="18"/>
      <c r="QYX2" s="18"/>
      <c r="QYY2" s="18"/>
      <c r="QYZ2" s="18"/>
      <c r="QZA2" s="18"/>
      <c r="QZB2" s="18"/>
      <c r="QZC2" s="18"/>
      <c r="QZD2" s="18"/>
      <c r="QZE2" s="18"/>
      <c r="QZF2" s="18"/>
      <c r="QZG2" s="18"/>
      <c r="QZH2" s="18"/>
      <c r="QZI2" s="18"/>
      <c r="QZJ2" s="18"/>
      <c r="QZK2" s="18"/>
      <c r="QZL2" s="18"/>
      <c r="QZM2" s="18"/>
      <c r="QZN2" s="18"/>
      <c r="QZO2" s="18"/>
      <c r="QZP2" s="18"/>
      <c r="QZQ2" s="18"/>
      <c r="QZR2" s="18"/>
      <c r="QZS2" s="18"/>
      <c r="QZT2" s="18"/>
      <c r="QZU2" s="18"/>
      <c r="QZV2" s="18"/>
      <c r="QZW2" s="18"/>
      <c r="QZX2" s="18"/>
      <c r="QZY2" s="18"/>
      <c r="QZZ2" s="18"/>
      <c r="RAA2" s="18"/>
      <c r="RAB2" s="18"/>
      <c r="RAC2" s="18"/>
      <c r="RAD2" s="18"/>
      <c r="RAE2" s="18"/>
      <c r="RAF2" s="18"/>
      <c r="RAG2" s="18"/>
      <c r="RAH2" s="18"/>
      <c r="RAI2" s="18"/>
      <c r="RAJ2" s="18"/>
      <c r="RAK2" s="18"/>
      <c r="RAL2" s="18"/>
      <c r="RAM2" s="18"/>
      <c r="RAN2" s="18"/>
      <c r="RAO2" s="18"/>
      <c r="RAP2" s="18"/>
      <c r="RAQ2" s="18"/>
      <c r="RAR2" s="18"/>
      <c r="RAS2" s="18"/>
      <c r="RAT2" s="18"/>
      <c r="RAU2" s="18"/>
      <c r="RAV2" s="18"/>
      <c r="RAW2" s="18"/>
      <c r="RAX2" s="18"/>
      <c r="RAY2" s="18"/>
      <c r="RAZ2" s="18"/>
      <c r="RBA2" s="18"/>
      <c r="RBB2" s="18"/>
      <c r="RBC2" s="18"/>
      <c r="RBD2" s="18"/>
      <c r="RBE2" s="18"/>
      <c r="RBF2" s="18"/>
      <c r="RBG2" s="18"/>
      <c r="RBH2" s="18"/>
      <c r="RBI2" s="18"/>
      <c r="RBJ2" s="18"/>
      <c r="RBK2" s="18"/>
      <c r="RBL2" s="18"/>
      <c r="RBM2" s="18"/>
      <c r="RBN2" s="18"/>
      <c r="RBO2" s="18"/>
      <c r="RBP2" s="18"/>
      <c r="RBQ2" s="18"/>
      <c r="RBR2" s="18"/>
      <c r="RBS2" s="18"/>
      <c r="RBT2" s="18"/>
      <c r="RBU2" s="18"/>
      <c r="RBV2" s="18"/>
      <c r="RBW2" s="18"/>
      <c r="RBX2" s="18"/>
      <c r="RBY2" s="18"/>
      <c r="RBZ2" s="18"/>
      <c r="RCA2" s="18"/>
      <c r="RCB2" s="18"/>
      <c r="RCC2" s="18"/>
      <c r="RCD2" s="18"/>
      <c r="RCE2" s="18"/>
      <c r="RCF2" s="18"/>
      <c r="RCG2" s="18"/>
      <c r="RCH2" s="18"/>
      <c r="RCI2" s="18"/>
      <c r="RCJ2" s="18"/>
      <c r="RCK2" s="18"/>
      <c r="RCL2" s="18"/>
      <c r="RCM2" s="18"/>
      <c r="RCN2" s="18"/>
      <c r="RCO2" s="18"/>
      <c r="RCP2" s="18"/>
      <c r="RCQ2" s="18"/>
      <c r="RCR2" s="18"/>
      <c r="RCS2" s="18"/>
      <c r="RCT2" s="18"/>
      <c r="RCU2" s="18"/>
      <c r="RCV2" s="18"/>
      <c r="RCW2" s="18"/>
      <c r="RCX2" s="18"/>
      <c r="RCY2" s="18"/>
      <c r="RCZ2" s="18"/>
      <c r="RDA2" s="18"/>
      <c r="RDB2" s="18"/>
      <c r="RDC2" s="18"/>
      <c r="RDD2" s="18"/>
      <c r="RDE2" s="18"/>
      <c r="RDF2" s="18"/>
      <c r="RDG2" s="18"/>
      <c r="RDH2" s="18"/>
      <c r="RDI2" s="18"/>
      <c r="RDJ2" s="18"/>
      <c r="RDK2" s="18"/>
      <c r="RDL2" s="18"/>
      <c r="RDM2" s="18"/>
      <c r="RDN2" s="18"/>
      <c r="RDO2" s="18"/>
      <c r="RDP2" s="18"/>
      <c r="RDQ2" s="18"/>
      <c r="RDR2" s="18"/>
      <c r="RDS2" s="18"/>
      <c r="RDT2" s="18"/>
      <c r="RDU2" s="18"/>
      <c r="RDV2" s="18"/>
      <c r="RDW2" s="18"/>
      <c r="RDX2" s="18"/>
      <c r="RDY2" s="18"/>
      <c r="RDZ2" s="18"/>
      <c r="REA2" s="18"/>
      <c r="REB2" s="18"/>
      <c r="REC2" s="18"/>
      <c r="RED2" s="18"/>
      <c r="REE2" s="18"/>
      <c r="REF2" s="18"/>
      <c r="REG2" s="18"/>
      <c r="REH2" s="18"/>
      <c r="REI2" s="18"/>
      <c r="REJ2" s="18"/>
      <c r="REK2" s="18"/>
      <c r="REL2" s="18"/>
      <c r="REM2" s="18"/>
      <c r="REN2" s="18"/>
      <c r="REO2" s="18"/>
      <c r="REP2" s="18"/>
      <c r="REQ2" s="18"/>
      <c r="RER2" s="18"/>
      <c r="RES2" s="18"/>
      <c r="RET2" s="18"/>
      <c r="REU2" s="18"/>
      <c r="REV2" s="18"/>
      <c r="REW2" s="18"/>
      <c r="REX2" s="18"/>
      <c r="REY2" s="18"/>
      <c r="REZ2" s="18"/>
      <c r="RFA2" s="18"/>
      <c r="RFB2" s="18"/>
      <c r="RFC2" s="18"/>
      <c r="RFD2" s="18"/>
      <c r="RFE2" s="18"/>
      <c r="RFF2" s="18"/>
      <c r="RFG2" s="18"/>
      <c r="RFH2" s="18"/>
      <c r="RFI2" s="18"/>
      <c r="RFJ2" s="18"/>
      <c r="RFK2" s="18"/>
      <c r="RFL2" s="18"/>
      <c r="RFM2" s="18"/>
      <c r="RFN2" s="18"/>
      <c r="RFO2" s="18"/>
      <c r="RFP2" s="18"/>
      <c r="RFQ2" s="18"/>
      <c r="RFR2" s="18"/>
      <c r="RFS2" s="18"/>
      <c r="RFT2" s="18"/>
      <c r="RFU2" s="18"/>
      <c r="RFV2" s="18"/>
      <c r="RFW2" s="18"/>
      <c r="RFX2" s="18"/>
      <c r="RFY2" s="18"/>
      <c r="RFZ2" s="18"/>
      <c r="RGA2" s="18"/>
      <c r="RGB2" s="18"/>
      <c r="RGC2" s="18"/>
      <c r="RGD2" s="18"/>
      <c r="RGE2" s="18"/>
      <c r="RGF2" s="18"/>
      <c r="RGG2" s="18"/>
      <c r="RGH2" s="18"/>
      <c r="RGI2" s="18"/>
      <c r="RGJ2" s="18"/>
      <c r="RGK2" s="18"/>
      <c r="RGL2" s="18"/>
      <c r="RGM2" s="18"/>
      <c r="RGN2" s="18"/>
      <c r="RGO2" s="18"/>
      <c r="RGP2" s="18"/>
      <c r="RGQ2" s="18"/>
      <c r="RGR2" s="18"/>
      <c r="RGS2" s="18"/>
      <c r="RGT2" s="18"/>
      <c r="RGU2" s="18"/>
      <c r="RGV2" s="18"/>
      <c r="RGW2" s="18"/>
      <c r="RGX2" s="18"/>
      <c r="RGY2" s="18"/>
      <c r="RGZ2" s="18"/>
      <c r="RHA2" s="18"/>
      <c r="RHB2" s="18"/>
      <c r="RHC2" s="18"/>
      <c r="RHD2" s="18"/>
      <c r="RHE2" s="18"/>
      <c r="RHF2" s="18"/>
      <c r="RHG2" s="18"/>
      <c r="RHH2" s="18"/>
      <c r="RHI2" s="18"/>
      <c r="RHJ2" s="18"/>
      <c r="RHK2" s="18"/>
      <c r="RHL2" s="18"/>
      <c r="RHM2" s="18"/>
      <c r="RHN2" s="18"/>
      <c r="RHO2" s="18"/>
      <c r="RHP2" s="18"/>
      <c r="RHQ2" s="18"/>
      <c r="RHR2" s="18"/>
      <c r="RHS2" s="18"/>
      <c r="RHT2" s="18"/>
      <c r="RHU2" s="18"/>
      <c r="RHV2" s="18"/>
      <c r="RHW2" s="18"/>
      <c r="RHX2" s="18"/>
      <c r="RHY2" s="18"/>
      <c r="RHZ2" s="18"/>
      <c r="RIA2" s="18"/>
      <c r="RIB2" s="18"/>
      <c r="RIC2" s="18"/>
      <c r="RID2" s="18"/>
      <c r="RIE2" s="18"/>
      <c r="RIF2" s="18"/>
      <c r="RIG2" s="18"/>
      <c r="RIH2" s="18"/>
      <c r="RII2" s="18"/>
      <c r="RIJ2" s="18"/>
      <c r="RIK2" s="18"/>
      <c r="RIL2" s="18"/>
      <c r="RIM2" s="18"/>
      <c r="RIN2" s="18"/>
      <c r="RIO2" s="18"/>
      <c r="RIP2" s="18"/>
      <c r="RIQ2" s="18"/>
      <c r="RIR2" s="18"/>
      <c r="RIS2" s="18"/>
      <c r="RIT2" s="18"/>
      <c r="RIU2" s="18"/>
      <c r="RIV2" s="18"/>
      <c r="RIW2" s="18"/>
      <c r="RIX2" s="18"/>
      <c r="RIY2" s="18"/>
      <c r="RIZ2" s="18"/>
      <c r="RJA2" s="18"/>
      <c r="RJB2" s="18"/>
      <c r="RJC2" s="18"/>
      <c r="RJD2" s="18"/>
      <c r="RJE2" s="18"/>
      <c r="RJF2" s="18"/>
      <c r="RJG2" s="18"/>
      <c r="RJH2" s="18"/>
      <c r="RJI2" s="18"/>
      <c r="RJJ2" s="18"/>
      <c r="RJK2" s="18"/>
      <c r="RJL2" s="18"/>
      <c r="RJM2" s="18"/>
      <c r="RJN2" s="18"/>
      <c r="RJO2" s="18"/>
      <c r="RJP2" s="18"/>
      <c r="RJQ2" s="18"/>
      <c r="RJR2" s="18"/>
      <c r="RJS2" s="18"/>
      <c r="RJT2" s="18"/>
      <c r="RJU2" s="18"/>
      <c r="RJV2" s="18"/>
      <c r="RJW2" s="18"/>
      <c r="RJX2" s="18"/>
      <c r="RJY2" s="18"/>
      <c r="RJZ2" s="18"/>
      <c r="RKA2" s="18"/>
      <c r="RKB2" s="18"/>
      <c r="RKC2" s="18"/>
      <c r="RKD2" s="18"/>
      <c r="RKE2" s="18"/>
      <c r="RKF2" s="18"/>
      <c r="RKG2" s="18"/>
      <c r="RKH2" s="18"/>
      <c r="RKI2" s="18"/>
      <c r="RKJ2" s="18"/>
      <c r="RKK2" s="18"/>
      <c r="RKL2" s="18"/>
      <c r="RKM2" s="18"/>
      <c r="RKN2" s="18"/>
      <c r="RKO2" s="18"/>
      <c r="RKP2" s="18"/>
      <c r="RKQ2" s="18"/>
      <c r="RKR2" s="18"/>
      <c r="RKS2" s="18"/>
      <c r="RKT2" s="18"/>
      <c r="RKU2" s="18"/>
      <c r="RKV2" s="18"/>
      <c r="RKW2" s="18"/>
      <c r="RKX2" s="18"/>
      <c r="RKY2" s="18"/>
      <c r="RKZ2" s="18"/>
      <c r="RLA2" s="18"/>
      <c r="RLB2" s="18"/>
      <c r="RLC2" s="18"/>
      <c r="RLD2" s="18"/>
      <c r="RLE2" s="18"/>
      <c r="RLF2" s="18"/>
      <c r="RLG2" s="18"/>
      <c r="RLH2" s="18"/>
      <c r="RLI2" s="18"/>
      <c r="RLJ2" s="18"/>
      <c r="RLK2" s="18"/>
      <c r="RLL2" s="18"/>
      <c r="RLM2" s="18"/>
      <c r="RLN2" s="18"/>
      <c r="RLO2" s="18"/>
      <c r="RLP2" s="18"/>
      <c r="RLQ2" s="18"/>
      <c r="RLR2" s="18"/>
      <c r="RLS2" s="18"/>
      <c r="RLT2" s="18"/>
      <c r="RLU2" s="18"/>
      <c r="RLV2" s="18"/>
      <c r="RLW2" s="18"/>
      <c r="RLX2" s="18"/>
      <c r="RLY2" s="18"/>
      <c r="RLZ2" s="18"/>
      <c r="RMA2" s="18"/>
      <c r="RMB2" s="18"/>
      <c r="RMC2" s="18"/>
      <c r="RMD2" s="18"/>
      <c r="RME2" s="18"/>
      <c r="RMF2" s="18"/>
      <c r="RMG2" s="18"/>
      <c r="RMH2" s="18"/>
      <c r="RMI2" s="18"/>
      <c r="RMJ2" s="18"/>
      <c r="RMK2" s="18"/>
      <c r="RML2" s="18"/>
      <c r="RMM2" s="18"/>
      <c r="RMN2" s="18"/>
      <c r="RMO2" s="18"/>
      <c r="RMP2" s="18"/>
      <c r="RMQ2" s="18"/>
      <c r="RMR2" s="18"/>
      <c r="RMS2" s="18"/>
      <c r="RMT2" s="18"/>
      <c r="RMU2" s="18"/>
      <c r="RMV2" s="18"/>
      <c r="RMW2" s="18"/>
      <c r="RMX2" s="18"/>
      <c r="RMY2" s="18"/>
      <c r="RMZ2" s="18"/>
      <c r="RNA2" s="18"/>
      <c r="RNB2" s="18"/>
      <c r="RNC2" s="18"/>
      <c r="RND2" s="18"/>
      <c r="RNE2" s="18"/>
      <c r="RNF2" s="18"/>
      <c r="RNG2" s="18"/>
      <c r="RNH2" s="18"/>
      <c r="RNI2" s="18"/>
      <c r="RNJ2" s="18"/>
      <c r="RNK2" s="18"/>
      <c r="RNL2" s="18"/>
      <c r="RNM2" s="18"/>
      <c r="RNN2" s="18"/>
      <c r="RNO2" s="18"/>
      <c r="RNP2" s="18"/>
      <c r="RNQ2" s="18"/>
      <c r="RNR2" s="18"/>
      <c r="RNS2" s="18"/>
      <c r="RNT2" s="18"/>
      <c r="RNU2" s="18"/>
      <c r="RNV2" s="18"/>
      <c r="RNW2" s="18"/>
      <c r="RNX2" s="18"/>
      <c r="RNY2" s="18"/>
      <c r="RNZ2" s="18"/>
      <c r="ROA2" s="18"/>
      <c r="ROB2" s="18"/>
      <c r="ROC2" s="18"/>
      <c r="ROD2" s="18"/>
      <c r="ROE2" s="18"/>
      <c r="ROF2" s="18"/>
      <c r="ROG2" s="18"/>
      <c r="ROH2" s="18"/>
      <c r="ROI2" s="18"/>
      <c r="ROJ2" s="18"/>
      <c r="ROK2" s="18"/>
      <c r="ROL2" s="18"/>
      <c r="ROM2" s="18"/>
      <c r="RON2" s="18"/>
      <c r="ROO2" s="18"/>
      <c r="ROP2" s="18"/>
      <c r="ROQ2" s="18"/>
      <c r="ROR2" s="18"/>
      <c r="ROS2" s="18"/>
      <c r="ROT2" s="18"/>
      <c r="ROU2" s="18"/>
      <c r="ROV2" s="18"/>
      <c r="ROW2" s="18"/>
      <c r="ROX2" s="18"/>
      <c r="ROY2" s="18"/>
      <c r="ROZ2" s="18"/>
      <c r="RPA2" s="18"/>
      <c r="RPB2" s="18"/>
      <c r="RPC2" s="18"/>
      <c r="RPD2" s="18"/>
      <c r="RPE2" s="18"/>
      <c r="RPF2" s="18"/>
      <c r="RPG2" s="18"/>
      <c r="RPH2" s="18"/>
      <c r="RPI2" s="18"/>
      <c r="RPJ2" s="18"/>
      <c r="RPK2" s="18"/>
      <c r="RPL2" s="18"/>
      <c r="RPM2" s="18"/>
      <c r="RPN2" s="18"/>
      <c r="RPO2" s="18"/>
      <c r="RPP2" s="18"/>
      <c r="RPQ2" s="18"/>
      <c r="RPR2" s="18"/>
      <c r="RPS2" s="18"/>
      <c r="RPT2" s="18"/>
      <c r="RPU2" s="18"/>
      <c r="RPV2" s="18"/>
      <c r="RPW2" s="18"/>
      <c r="RPX2" s="18"/>
      <c r="RPY2" s="18"/>
      <c r="RPZ2" s="18"/>
      <c r="RQA2" s="18"/>
      <c r="RQB2" s="18"/>
      <c r="RQC2" s="18"/>
      <c r="RQD2" s="18"/>
      <c r="RQE2" s="18"/>
      <c r="RQF2" s="18"/>
      <c r="RQG2" s="18"/>
      <c r="RQH2" s="18"/>
      <c r="RQI2" s="18"/>
      <c r="RQJ2" s="18"/>
      <c r="RQK2" s="18"/>
      <c r="RQL2" s="18"/>
      <c r="RQM2" s="18"/>
      <c r="RQN2" s="18"/>
      <c r="RQO2" s="18"/>
      <c r="RQP2" s="18"/>
      <c r="RQQ2" s="18"/>
      <c r="RQR2" s="18"/>
      <c r="RQS2" s="18"/>
      <c r="RQT2" s="18"/>
      <c r="RQU2" s="18"/>
      <c r="RQV2" s="18"/>
      <c r="RQW2" s="18"/>
      <c r="RQX2" s="18"/>
      <c r="RQY2" s="18"/>
      <c r="RQZ2" s="18"/>
      <c r="RRA2" s="18"/>
      <c r="RRB2" s="18"/>
      <c r="RRC2" s="18"/>
      <c r="RRD2" s="18"/>
      <c r="RRE2" s="18"/>
      <c r="RRF2" s="18"/>
      <c r="RRG2" s="18"/>
      <c r="RRH2" s="18"/>
      <c r="RRI2" s="18"/>
      <c r="RRJ2" s="18"/>
      <c r="RRK2" s="18"/>
      <c r="RRL2" s="18"/>
      <c r="RRM2" s="18"/>
      <c r="RRN2" s="18"/>
      <c r="RRO2" s="18"/>
      <c r="RRP2" s="18"/>
      <c r="RRQ2" s="18"/>
      <c r="RRR2" s="18"/>
      <c r="RRS2" s="18"/>
      <c r="RRT2" s="18"/>
      <c r="RRU2" s="18"/>
      <c r="RRV2" s="18"/>
      <c r="RRW2" s="18"/>
      <c r="RRX2" s="18"/>
      <c r="RRY2" s="18"/>
      <c r="RRZ2" s="18"/>
      <c r="RSA2" s="18"/>
      <c r="RSB2" s="18"/>
      <c r="RSC2" s="18"/>
      <c r="RSD2" s="18"/>
      <c r="RSE2" s="18"/>
      <c r="RSF2" s="18"/>
      <c r="RSG2" s="18"/>
      <c r="RSH2" s="18"/>
      <c r="RSI2" s="18"/>
      <c r="RSJ2" s="18"/>
      <c r="RSK2" s="18"/>
      <c r="RSL2" s="18"/>
      <c r="RSM2" s="18"/>
      <c r="RSN2" s="18"/>
      <c r="RSO2" s="18"/>
      <c r="RSP2" s="18"/>
      <c r="RSQ2" s="18"/>
      <c r="RSR2" s="18"/>
      <c r="RSS2" s="18"/>
      <c r="RST2" s="18"/>
      <c r="RSU2" s="18"/>
      <c r="RSV2" s="18"/>
      <c r="RSW2" s="18"/>
      <c r="RSX2" s="18"/>
      <c r="RSY2" s="18"/>
      <c r="RSZ2" s="18"/>
      <c r="RTA2" s="18"/>
      <c r="RTB2" s="18"/>
      <c r="RTC2" s="18"/>
      <c r="RTD2" s="18"/>
      <c r="RTE2" s="18"/>
      <c r="RTF2" s="18"/>
      <c r="RTG2" s="18"/>
      <c r="RTH2" s="18"/>
      <c r="RTI2" s="18"/>
      <c r="RTJ2" s="18"/>
      <c r="RTK2" s="18"/>
      <c r="RTL2" s="18"/>
      <c r="RTM2" s="18"/>
      <c r="RTN2" s="18"/>
      <c r="RTO2" s="18"/>
      <c r="RTP2" s="18"/>
      <c r="RTQ2" s="18"/>
      <c r="RTR2" s="18"/>
      <c r="RTS2" s="18"/>
      <c r="RTT2" s="18"/>
      <c r="RTU2" s="18"/>
      <c r="RTV2" s="18"/>
      <c r="RTW2" s="18"/>
      <c r="RTX2" s="18"/>
      <c r="RTY2" s="18"/>
      <c r="RTZ2" s="18"/>
      <c r="RUA2" s="18"/>
      <c r="RUB2" s="18"/>
      <c r="RUC2" s="18"/>
      <c r="RUD2" s="18"/>
      <c r="RUE2" s="18"/>
      <c r="RUF2" s="18"/>
      <c r="RUG2" s="18"/>
      <c r="RUH2" s="18"/>
      <c r="RUI2" s="18"/>
      <c r="RUJ2" s="18"/>
      <c r="RUK2" s="18"/>
      <c r="RUL2" s="18"/>
      <c r="RUM2" s="18"/>
      <c r="RUN2" s="18"/>
      <c r="RUO2" s="18"/>
      <c r="RUP2" s="18"/>
      <c r="RUQ2" s="18"/>
      <c r="RUR2" s="18"/>
      <c r="RUS2" s="18"/>
      <c r="RUT2" s="18"/>
      <c r="RUU2" s="18"/>
      <c r="RUV2" s="18"/>
      <c r="RUW2" s="18"/>
      <c r="RUX2" s="18"/>
      <c r="RUY2" s="18"/>
      <c r="RUZ2" s="18"/>
      <c r="RVA2" s="18"/>
      <c r="RVB2" s="18"/>
      <c r="RVC2" s="18"/>
      <c r="RVD2" s="18"/>
      <c r="RVE2" s="18"/>
      <c r="RVF2" s="18"/>
      <c r="RVG2" s="18"/>
      <c r="RVH2" s="18"/>
      <c r="RVI2" s="18"/>
      <c r="RVJ2" s="18"/>
      <c r="RVK2" s="18"/>
      <c r="RVL2" s="18"/>
      <c r="RVM2" s="18"/>
      <c r="RVN2" s="18"/>
      <c r="RVO2" s="18"/>
      <c r="RVP2" s="18"/>
      <c r="RVQ2" s="18"/>
      <c r="RVR2" s="18"/>
      <c r="RVS2" s="18"/>
      <c r="RVT2" s="18"/>
      <c r="RVU2" s="18"/>
      <c r="RVV2" s="18"/>
      <c r="RVW2" s="18"/>
      <c r="RVX2" s="18"/>
      <c r="RVY2" s="18"/>
      <c r="RVZ2" s="18"/>
      <c r="RWA2" s="18"/>
      <c r="RWB2" s="18"/>
      <c r="RWC2" s="18"/>
      <c r="RWD2" s="18"/>
      <c r="RWE2" s="18"/>
      <c r="RWF2" s="18"/>
      <c r="RWG2" s="18"/>
      <c r="RWH2" s="18"/>
      <c r="RWI2" s="18"/>
      <c r="RWJ2" s="18"/>
      <c r="RWK2" s="18"/>
      <c r="RWL2" s="18"/>
      <c r="RWM2" s="18"/>
      <c r="RWN2" s="18"/>
      <c r="RWO2" s="18"/>
      <c r="RWP2" s="18"/>
      <c r="RWQ2" s="18"/>
      <c r="RWR2" s="18"/>
      <c r="RWS2" s="18"/>
      <c r="RWT2" s="18"/>
      <c r="RWU2" s="18"/>
      <c r="RWV2" s="18"/>
      <c r="RWW2" s="18"/>
      <c r="RWX2" s="18"/>
      <c r="RWY2" s="18"/>
      <c r="RWZ2" s="18"/>
      <c r="RXA2" s="18"/>
      <c r="RXB2" s="18"/>
      <c r="RXC2" s="18"/>
      <c r="RXD2" s="18"/>
      <c r="RXE2" s="18"/>
      <c r="RXF2" s="18"/>
      <c r="RXG2" s="18"/>
      <c r="RXH2" s="18"/>
      <c r="RXI2" s="18"/>
      <c r="RXJ2" s="18"/>
      <c r="RXK2" s="18"/>
      <c r="RXL2" s="18"/>
      <c r="RXM2" s="18"/>
      <c r="RXN2" s="18"/>
      <c r="RXO2" s="18"/>
      <c r="RXP2" s="18"/>
      <c r="RXQ2" s="18"/>
      <c r="RXR2" s="18"/>
      <c r="RXS2" s="18"/>
      <c r="RXT2" s="18"/>
      <c r="RXU2" s="18"/>
      <c r="RXV2" s="18"/>
      <c r="RXW2" s="18"/>
      <c r="RXX2" s="18"/>
      <c r="RXY2" s="18"/>
      <c r="RXZ2" s="18"/>
      <c r="RYA2" s="18"/>
      <c r="RYB2" s="18"/>
      <c r="RYC2" s="18"/>
      <c r="RYD2" s="18"/>
      <c r="RYE2" s="18"/>
      <c r="RYF2" s="18"/>
      <c r="RYG2" s="18"/>
      <c r="RYH2" s="18"/>
      <c r="RYI2" s="18"/>
      <c r="RYJ2" s="18"/>
      <c r="RYK2" s="18"/>
      <c r="RYL2" s="18"/>
      <c r="RYM2" s="18"/>
      <c r="RYN2" s="18"/>
      <c r="RYO2" s="18"/>
      <c r="RYP2" s="18"/>
      <c r="RYQ2" s="18"/>
      <c r="RYR2" s="18"/>
      <c r="RYS2" s="18"/>
      <c r="RYT2" s="18"/>
      <c r="RYU2" s="18"/>
      <c r="RYV2" s="18"/>
      <c r="RYW2" s="18"/>
      <c r="RYX2" s="18"/>
      <c r="RYY2" s="18"/>
      <c r="RYZ2" s="18"/>
      <c r="RZA2" s="18"/>
      <c r="RZB2" s="18"/>
      <c r="RZC2" s="18"/>
      <c r="RZD2" s="18"/>
      <c r="RZE2" s="18"/>
      <c r="RZF2" s="18"/>
      <c r="RZG2" s="18"/>
      <c r="RZH2" s="18"/>
      <c r="RZI2" s="18"/>
      <c r="RZJ2" s="18"/>
      <c r="RZK2" s="18"/>
      <c r="RZL2" s="18"/>
      <c r="RZM2" s="18"/>
      <c r="RZN2" s="18"/>
      <c r="RZO2" s="18"/>
      <c r="RZP2" s="18"/>
      <c r="RZQ2" s="18"/>
      <c r="RZR2" s="18"/>
      <c r="RZS2" s="18"/>
      <c r="RZT2" s="18"/>
      <c r="RZU2" s="18"/>
      <c r="RZV2" s="18"/>
      <c r="RZW2" s="18"/>
      <c r="RZX2" s="18"/>
      <c r="RZY2" s="18"/>
      <c r="RZZ2" s="18"/>
      <c r="SAA2" s="18"/>
      <c r="SAB2" s="18"/>
      <c r="SAC2" s="18"/>
      <c r="SAD2" s="18"/>
      <c r="SAE2" s="18"/>
      <c r="SAF2" s="18"/>
      <c r="SAG2" s="18"/>
      <c r="SAH2" s="18"/>
      <c r="SAI2" s="18"/>
      <c r="SAJ2" s="18"/>
      <c r="SAK2" s="18"/>
      <c r="SAL2" s="18"/>
      <c r="SAM2" s="18"/>
      <c r="SAN2" s="18"/>
      <c r="SAO2" s="18"/>
      <c r="SAP2" s="18"/>
      <c r="SAQ2" s="18"/>
      <c r="SAR2" s="18"/>
      <c r="SAS2" s="18"/>
      <c r="SAT2" s="18"/>
      <c r="SAU2" s="18"/>
      <c r="SAV2" s="18"/>
      <c r="SAW2" s="18"/>
      <c r="SAX2" s="18"/>
      <c r="SAY2" s="18"/>
      <c r="SAZ2" s="18"/>
      <c r="SBA2" s="18"/>
      <c r="SBB2" s="18"/>
      <c r="SBC2" s="18"/>
      <c r="SBD2" s="18"/>
      <c r="SBE2" s="18"/>
      <c r="SBF2" s="18"/>
      <c r="SBG2" s="18"/>
      <c r="SBH2" s="18"/>
      <c r="SBI2" s="18"/>
      <c r="SBJ2" s="18"/>
      <c r="SBK2" s="18"/>
      <c r="SBL2" s="18"/>
      <c r="SBM2" s="18"/>
      <c r="SBN2" s="18"/>
      <c r="SBO2" s="18"/>
      <c r="SBP2" s="18"/>
      <c r="SBQ2" s="18"/>
      <c r="SBR2" s="18"/>
      <c r="SBS2" s="18"/>
      <c r="SBT2" s="18"/>
      <c r="SBU2" s="18"/>
      <c r="SBV2" s="18"/>
      <c r="SBW2" s="18"/>
      <c r="SBX2" s="18"/>
      <c r="SBY2" s="18"/>
      <c r="SBZ2" s="18"/>
      <c r="SCA2" s="18"/>
      <c r="SCB2" s="18"/>
      <c r="SCC2" s="18"/>
      <c r="SCD2" s="18"/>
      <c r="SCE2" s="18"/>
      <c r="SCF2" s="18"/>
      <c r="SCG2" s="18"/>
      <c r="SCH2" s="18"/>
      <c r="SCI2" s="18"/>
      <c r="SCJ2" s="18"/>
      <c r="SCK2" s="18"/>
      <c r="SCL2" s="18"/>
      <c r="SCM2" s="18"/>
      <c r="SCN2" s="18"/>
      <c r="SCO2" s="18"/>
      <c r="SCP2" s="18"/>
      <c r="SCQ2" s="18"/>
      <c r="SCR2" s="18"/>
      <c r="SCS2" s="18"/>
      <c r="SCT2" s="18"/>
      <c r="SCU2" s="18"/>
      <c r="SCV2" s="18"/>
      <c r="SCW2" s="18"/>
      <c r="SCX2" s="18"/>
      <c r="SCY2" s="18"/>
      <c r="SCZ2" s="18"/>
      <c r="SDA2" s="18"/>
      <c r="SDB2" s="18"/>
      <c r="SDC2" s="18"/>
      <c r="SDD2" s="18"/>
      <c r="SDE2" s="18"/>
      <c r="SDF2" s="18"/>
      <c r="SDG2" s="18"/>
      <c r="SDH2" s="18"/>
      <c r="SDI2" s="18"/>
      <c r="SDJ2" s="18"/>
      <c r="SDK2" s="18"/>
      <c r="SDL2" s="18"/>
      <c r="SDM2" s="18"/>
      <c r="SDN2" s="18"/>
      <c r="SDO2" s="18"/>
      <c r="SDP2" s="18"/>
      <c r="SDQ2" s="18"/>
      <c r="SDR2" s="18"/>
      <c r="SDS2" s="18"/>
      <c r="SDT2" s="18"/>
      <c r="SDU2" s="18"/>
      <c r="SDV2" s="18"/>
      <c r="SDW2" s="18"/>
      <c r="SDX2" s="18"/>
      <c r="SDY2" s="18"/>
      <c r="SDZ2" s="18"/>
      <c r="SEA2" s="18"/>
      <c r="SEB2" s="18"/>
      <c r="SEC2" s="18"/>
      <c r="SED2" s="18"/>
      <c r="SEE2" s="18"/>
      <c r="SEF2" s="18"/>
      <c r="SEG2" s="18"/>
      <c r="SEH2" s="18"/>
      <c r="SEI2" s="18"/>
      <c r="SEJ2" s="18"/>
      <c r="SEK2" s="18"/>
      <c r="SEL2" s="18"/>
      <c r="SEM2" s="18"/>
      <c r="SEN2" s="18"/>
      <c r="SEO2" s="18"/>
      <c r="SEP2" s="18"/>
      <c r="SEQ2" s="18"/>
      <c r="SER2" s="18"/>
      <c r="SES2" s="18"/>
      <c r="SET2" s="18"/>
      <c r="SEU2" s="18"/>
      <c r="SEV2" s="18"/>
      <c r="SEW2" s="18"/>
      <c r="SEX2" s="18"/>
      <c r="SEY2" s="18"/>
      <c r="SEZ2" s="18"/>
      <c r="SFA2" s="18"/>
      <c r="SFB2" s="18"/>
      <c r="SFC2" s="18"/>
      <c r="SFD2" s="18"/>
      <c r="SFE2" s="18"/>
      <c r="SFF2" s="18"/>
      <c r="SFG2" s="18"/>
      <c r="SFH2" s="18"/>
      <c r="SFI2" s="18"/>
      <c r="SFJ2" s="18"/>
      <c r="SFK2" s="18"/>
      <c r="SFL2" s="18"/>
      <c r="SFM2" s="18"/>
      <c r="SFN2" s="18"/>
      <c r="SFO2" s="18"/>
      <c r="SFP2" s="18"/>
      <c r="SFQ2" s="18"/>
      <c r="SFR2" s="18"/>
      <c r="SFS2" s="18"/>
      <c r="SFT2" s="18"/>
      <c r="SFU2" s="18"/>
      <c r="SFV2" s="18"/>
      <c r="SFW2" s="18"/>
      <c r="SFX2" s="18"/>
      <c r="SFY2" s="18"/>
      <c r="SFZ2" s="18"/>
      <c r="SGA2" s="18"/>
      <c r="SGB2" s="18"/>
      <c r="SGC2" s="18"/>
      <c r="SGD2" s="18"/>
      <c r="SGE2" s="18"/>
      <c r="SGF2" s="18"/>
      <c r="SGG2" s="18"/>
      <c r="SGH2" s="18"/>
      <c r="SGI2" s="18"/>
      <c r="SGJ2" s="18"/>
      <c r="SGK2" s="18"/>
      <c r="SGL2" s="18"/>
      <c r="SGM2" s="18"/>
      <c r="SGN2" s="18"/>
      <c r="SGO2" s="18"/>
      <c r="SGP2" s="18"/>
      <c r="SGQ2" s="18"/>
      <c r="SGR2" s="18"/>
      <c r="SGS2" s="18"/>
      <c r="SGT2" s="18"/>
      <c r="SGU2" s="18"/>
      <c r="SGV2" s="18"/>
      <c r="SGW2" s="18"/>
      <c r="SGX2" s="18"/>
      <c r="SGY2" s="18"/>
      <c r="SGZ2" s="18"/>
      <c r="SHA2" s="18"/>
      <c r="SHB2" s="18"/>
      <c r="SHC2" s="18"/>
      <c r="SHD2" s="18"/>
      <c r="SHE2" s="18"/>
      <c r="SHF2" s="18"/>
      <c r="SHG2" s="18"/>
      <c r="SHH2" s="18"/>
      <c r="SHI2" s="18"/>
      <c r="SHJ2" s="18"/>
      <c r="SHK2" s="18"/>
      <c r="SHL2" s="18"/>
      <c r="SHM2" s="18"/>
      <c r="SHN2" s="18"/>
      <c r="SHO2" s="18"/>
      <c r="SHP2" s="18"/>
      <c r="SHQ2" s="18"/>
      <c r="SHR2" s="18"/>
      <c r="SHS2" s="18"/>
      <c r="SHT2" s="18"/>
      <c r="SHU2" s="18"/>
      <c r="SHV2" s="18"/>
      <c r="SHW2" s="18"/>
      <c r="SHX2" s="18"/>
      <c r="SHY2" s="18"/>
      <c r="SHZ2" s="18"/>
      <c r="SIA2" s="18"/>
      <c r="SIB2" s="18"/>
      <c r="SIC2" s="18"/>
      <c r="SID2" s="18"/>
      <c r="SIE2" s="18"/>
      <c r="SIF2" s="18"/>
      <c r="SIG2" s="18"/>
      <c r="SIH2" s="18"/>
      <c r="SII2" s="18"/>
      <c r="SIJ2" s="18"/>
      <c r="SIK2" s="18"/>
      <c r="SIL2" s="18"/>
      <c r="SIM2" s="18"/>
      <c r="SIN2" s="18"/>
      <c r="SIO2" s="18"/>
      <c r="SIP2" s="18"/>
      <c r="SIQ2" s="18"/>
      <c r="SIR2" s="18"/>
      <c r="SIS2" s="18"/>
      <c r="SIT2" s="18"/>
      <c r="SIU2" s="18"/>
      <c r="SIV2" s="18"/>
      <c r="SIW2" s="18"/>
      <c r="SIX2" s="18"/>
      <c r="SIY2" s="18"/>
      <c r="SIZ2" s="18"/>
      <c r="SJA2" s="18"/>
      <c r="SJB2" s="18"/>
      <c r="SJC2" s="18"/>
      <c r="SJD2" s="18"/>
      <c r="SJE2" s="18"/>
      <c r="SJF2" s="18"/>
      <c r="SJG2" s="18"/>
      <c r="SJH2" s="18"/>
      <c r="SJI2" s="18"/>
      <c r="SJJ2" s="18"/>
      <c r="SJK2" s="18"/>
      <c r="SJL2" s="18"/>
      <c r="SJM2" s="18"/>
      <c r="SJN2" s="18"/>
      <c r="SJO2" s="18"/>
      <c r="SJP2" s="18"/>
      <c r="SJQ2" s="18"/>
      <c r="SJR2" s="18"/>
      <c r="SJS2" s="18"/>
      <c r="SJT2" s="18"/>
      <c r="SJU2" s="18"/>
      <c r="SJV2" s="18"/>
      <c r="SJW2" s="18"/>
      <c r="SJX2" s="18"/>
      <c r="SJY2" s="18"/>
      <c r="SJZ2" s="18"/>
      <c r="SKA2" s="18"/>
      <c r="SKB2" s="18"/>
      <c r="SKC2" s="18"/>
      <c r="SKD2" s="18"/>
      <c r="SKE2" s="18"/>
      <c r="SKF2" s="18"/>
      <c r="SKG2" s="18"/>
      <c r="SKH2" s="18"/>
      <c r="SKI2" s="18"/>
      <c r="SKJ2" s="18"/>
      <c r="SKK2" s="18"/>
      <c r="SKL2" s="18"/>
      <c r="SKM2" s="18"/>
      <c r="SKN2" s="18"/>
      <c r="SKO2" s="18"/>
      <c r="SKP2" s="18"/>
      <c r="SKQ2" s="18"/>
      <c r="SKR2" s="18"/>
      <c r="SKS2" s="18"/>
      <c r="SKT2" s="18"/>
      <c r="SKU2" s="18"/>
      <c r="SKV2" s="18"/>
      <c r="SKW2" s="18"/>
      <c r="SKX2" s="18"/>
      <c r="SKY2" s="18"/>
      <c r="SKZ2" s="18"/>
      <c r="SLA2" s="18"/>
      <c r="SLB2" s="18"/>
      <c r="SLC2" s="18"/>
      <c r="SLD2" s="18"/>
      <c r="SLE2" s="18"/>
      <c r="SLF2" s="18"/>
      <c r="SLG2" s="18"/>
      <c r="SLH2" s="18"/>
      <c r="SLI2" s="18"/>
      <c r="SLJ2" s="18"/>
      <c r="SLK2" s="18"/>
      <c r="SLL2" s="18"/>
      <c r="SLM2" s="18"/>
      <c r="SLN2" s="18"/>
      <c r="SLO2" s="18"/>
      <c r="SLP2" s="18"/>
      <c r="SLQ2" s="18"/>
      <c r="SLR2" s="18"/>
      <c r="SLS2" s="18"/>
      <c r="SLT2" s="18"/>
      <c r="SLU2" s="18"/>
      <c r="SLV2" s="18"/>
      <c r="SLW2" s="18"/>
      <c r="SLX2" s="18"/>
      <c r="SLY2" s="18"/>
      <c r="SLZ2" s="18"/>
      <c r="SMA2" s="18"/>
      <c r="SMB2" s="18"/>
      <c r="SMC2" s="18"/>
      <c r="SMD2" s="18"/>
      <c r="SME2" s="18"/>
      <c r="SMF2" s="18"/>
      <c r="SMG2" s="18"/>
      <c r="SMH2" s="18"/>
      <c r="SMI2" s="18"/>
      <c r="SMJ2" s="18"/>
      <c r="SMK2" s="18"/>
      <c r="SML2" s="18"/>
      <c r="SMM2" s="18"/>
      <c r="SMN2" s="18"/>
      <c r="SMO2" s="18"/>
      <c r="SMP2" s="18"/>
      <c r="SMQ2" s="18"/>
      <c r="SMR2" s="18"/>
      <c r="SMS2" s="18"/>
      <c r="SMT2" s="18"/>
      <c r="SMU2" s="18"/>
      <c r="SMV2" s="18"/>
      <c r="SMW2" s="18"/>
      <c r="SMX2" s="18"/>
      <c r="SMY2" s="18"/>
      <c r="SMZ2" s="18"/>
      <c r="SNA2" s="18"/>
      <c r="SNB2" s="18"/>
      <c r="SNC2" s="18"/>
      <c r="SND2" s="18"/>
      <c r="SNE2" s="18"/>
      <c r="SNF2" s="18"/>
      <c r="SNG2" s="18"/>
      <c r="SNH2" s="18"/>
      <c r="SNI2" s="18"/>
      <c r="SNJ2" s="18"/>
      <c r="SNK2" s="18"/>
      <c r="SNL2" s="18"/>
      <c r="SNM2" s="18"/>
      <c r="SNN2" s="18"/>
      <c r="SNO2" s="18"/>
      <c r="SNP2" s="18"/>
      <c r="SNQ2" s="18"/>
      <c r="SNR2" s="18"/>
      <c r="SNS2" s="18"/>
      <c r="SNT2" s="18"/>
      <c r="SNU2" s="18"/>
      <c r="SNV2" s="18"/>
      <c r="SNW2" s="18"/>
      <c r="SNX2" s="18"/>
      <c r="SNY2" s="18"/>
      <c r="SNZ2" s="18"/>
      <c r="SOA2" s="18"/>
      <c r="SOB2" s="18"/>
      <c r="SOC2" s="18"/>
      <c r="SOD2" s="18"/>
      <c r="SOE2" s="18"/>
      <c r="SOF2" s="18"/>
      <c r="SOG2" s="18"/>
      <c r="SOH2" s="18"/>
      <c r="SOI2" s="18"/>
      <c r="SOJ2" s="18"/>
      <c r="SOK2" s="18"/>
      <c r="SOL2" s="18"/>
      <c r="SOM2" s="18"/>
      <c r="SON2" s="18"/>
      <c r="SOO2" s="18"/>
      <c r="SOP2" s="18"/>
      <c r="SOQ2" s="18"/>
      <c r="SOR2" s="18"/>
      <c r="SOS2" s="18"/>
      <c r="SOT2" s="18"/>
      <c r="SOU2" s="18"/>
      <c r="SOV2" s="18"/>
      <c r="SOW2" s="18"/>
      <c r="SOX2" s="18"/>
      <c r="SOY2" s="18"/>
      <c r="SOZ2" s="18"/>
      <c r="SPA2" s="18"/>
      <c r="SPB2" s="18"/>
      <c r="SPC2" s="18"/>
      <c r="SPD2" s="18"/>
      <c r="SPE2" s="18"/>
      <c r="SPF2" s="18"/>
      <c r="SPG2" s="18"/>
      <c r="SPH2" s="18"/>
      <c r="SPI2" s="18"/>
      <c r="SPJ2" s="18"/>
      <c r="SPK2" s="18"/>
      <c r="SPL2" s="18"/>
      <c r="SPM2" s="18"/>
      <c r="SPN2" s="18"/>
      <c r="SPO2" s="18"/>
      <c r="SPP2" s="18"/>
      <c r="SPQ2" s="18"/>
      <c r="SPR2" s="18"/>
      <c r="SPS2" s="18"/>
      <c r="SPT2" s="18"/>
      <c r="SPU2" s="18"/>
      <c r="SPV2" s="18"/>
      <c r="SPW2" s="18"/>
      <c r="SPX2" s="18"/>
      <c r="SPY2" s="18"/>
      <c r="SPZ2" s="18"/>
      <c r="SQA2" s="18"/>
      <c r="SQB2" s="18"/>
      <c r="SQC2" s="18"/>
      <c r="SQD2" s="18"/>
      <c r="SQE2" s="18"/>
      <c r="SQF2" s="18"/>
      <c r="SQG2" s="18"/>
      <c r="SQH2" s="18"/>
      <c r="SQI2" s="18"/>
      <c r="SQJ2" s="18"/>
      <c r="SQK2" s="18"/>
      <c r="SQL2" s="18"/>
      <c r="SQM2" s="18"/>
      <c r="SQN2" s="18"/>
      <c r="SQO2" s="18"/>
      <c r="SQP2" s="18"/>
      <c r="SQQ2" s="18"/>
      <c r="SQR2" s="18"/>
      <c r="SQS2" s="18"/>
      <c r="SQT2" s="18"/>
      <c r="SQU2" s="18"/>
      <c r="SQV2" s="18"/>
      <c r="SQW2" s="18"/>
      <c r="SQX2" s="18"/>
      <c r="SQY2" s="18"/>
      <c r="SQZ2" s="18"/>
      <c r="SRA2" s="18"/>
      <c r="SRB2" s="18"/>
      <c r="SRC2" s="18"/>
      <c r="SRD2" s="18"/>
      <c r="SRE2" s="18"/>
      <c r="SRF2" s="18"/>
      <c r="SRG2" s="18"/>
      <c r="SRH2" s="18"/>
      <c r="SRI2" s="18"/>
      <c r="SRJ2" s="18"/>
      <c r="SRK2" s="18"/>
      <c r="SRL2" s="18"/>
      <c r="SRM2" s="18"/>
      <c r="SRN2" s="18"/>
      <c r="SRO2" s="18"/>
      <c r="SRP2" s="18"/>
      <c r="SRQ2" s="18"/>
      <c r="SRR2" s="18"/>
      <c r="SRS2" s="18"/>
      <c r="SRT2" s="18"/>
      <c r="SRU2" s="18"/>
      <c r="SRV2" s="18"/>
      <c r="SRW2" s="18"/>
      <c r="SRX2" s="18"/>
      <c r="SRY2" s="18"/>
      <c r="SRZ2" s="18"/>
      <c r="SSA2" s="18"/>
      <c r="SSB2" s="18"/>
      <c r="SSC2" s="18"/>
      <c r="SSD2" s="18"/>
      <c r="SSE2" s="18"/>
      <c r="SSF2" s="18"/>
      <c r="SSG2" s="18"/>
      <c r="SSH2" s="18"/>
      <c r="SSI2" s="18"/>
      <c r="SSJ2" s="18"/>
      <c r="SSK2" s="18"/>
      <c r="SSL2" s="18"/>
      <c r="SSM2" s="18"/>
      <c r="SSN2" s="18"/>
      <c r="SSO2" s="18"/>
      <c r="SSP2" s="18"/>
      <c r="SSQ2" s="18"/>
      <c r="SSR2" s="18"/>
      <c r="SSS2" s="18"/>
      <c r="SST2" s="18"/>
      <c r="SSU2" s="18"/>
      <c r="SSV2" s="18"/>
      <c r="SSW2" s="18"/>
      <c r="SSX2" s="18"/>
      <c r="SSY2" s="18"/>
      <c r="SSZ2" s="18"/>
      <c r="STA2" s="18"/>
      <c r="STB2" s="18"/>
      <c r="STC2" s="18"/>
      <c r="STD2" s="18"/>
      <c r="STE2" s="18"/>
      <c r="STF2" s="18"/>
      <c r="STG2" s="18"/>
      <c r="STH2" s="18"/>
      <c r="STI2" s="18"/>
      <c r="STJ2" s="18"/>
      <c r="STK2" s="18"/>
      <c r="STL2" s="18"/>
      <c r="STM2" s="18"/>
      <c r="STN2" s="18"/>
      <c r="STO2" s="18"/>
      <c r="STP2" s="18"/>
      <c r="STQ2" s="18"/>
      <c r="STR2" s="18"/>
      <c r="STS2" s="18"/>
      <c r="STT2" s="18"/>
      <c r="STU2" s="18"/>
      <c r="STV2" s="18"/>
      <c r="STW2" s="18"/>
      <c r="STX2" s="18"/>
      <c r="STY2" s="18"/>
      <c r="STZ2" s="18"/>
      <c r="SUA2" s="18"/>
      <c r="SUB2" s="18"/>
      <c r="SUC2" s="18"/>
      <c r="SUD2" s="18"/>
      <c r="SUE2" s="18"/>
      <c r="SUF2" s="18"/>
      <c r="SUG2" s="18"/>
      <c r="SUH2" s="18"/>
      <c r="SUI2" s="18"/>
      <c r="SUJ2" s="18"/>
      <c r="SUK2" s="18"/>
      <c r="SUL2" s="18"/>
      <c r="SUM2" s="18"/>
      <c r="SUN2" s="18"/>
      <c r="SUO2" s="18"/>
      <c r="SUP2" s="18"/>
      <c r="SUQ2" s="18"/>
      <c r="SUR2" s="18"/>
      <c r="SUS2" s="18"/>
      <c r="SUT2" s="18"/>
      <c r="SUU2" s="18"/>
      <c r="SUV2" s="18"/>
      <c r="SUW2" s="18"/>
      <c r="SUX2" s="18"/>
      <c r="SUY2" s="18"/>
      <c r="SUZ2" s="18"/>
      <c r="SVA2" s="18"/>
      <c r="SVB2" s="18"/>
      <c r="SVC2" s="18"/>
      <c r="SVD2" s="18"/>
      <c r="SVE2" s="18"/>
      <c r="SVF2" s="18"/>
      <c r="SVG2" s="18"/>
      <c r="SVH2" s="18"/>
      <c r="SVI2" s="18"/>
      <c r="SVJ2" s="18"/>
      <c r="SVK2" s="18"/>
      <c r="SVL2" s="18"/>
      <c r="SVM2" s="18"/>
      <c r="SVN2" s="18"/>
      <c r="SVO2" s="18"/>
      <c r="SVP2" s="18"/>
      <c r="SVQ2" s="18"/>
      <c r="SVR2" s="18"/>
      <c r="SVS2" s="18"/>
      <c r="SVT2" s="18"/>
      <c r="SVU2" s="18"/>
      <c r="SVV2" s="18"/>
      <c r="SVW2" s="18"/>
      <c r="SVX2" s="18"/>
      <c r="SVY2" s="18"/>
      <c r="SVZ2" s="18"/>
      <c r="SWA2" s="18"/>
      <c r="SWB2" s="18"/>
      <c r="SWC2" s="18"/>
      <c r="SWD2" s="18"/>
      <c r="SWE2" s="18"/>
      <c r="SWF2" s="18"/>
      <c r="SWG2" s="18"/>
      <c r="SWH2" s="18"/>
      <c r="SWI2" s="18"/>
      <c r="SWJ2" s="18"/>
      <c r="SWK2" s="18"/>
      <c r="SWL2" s="18"/>
      <c r="SWM2" s="18"/>
      <c r="SWN2" s="18"/>
      <c r="SWO2" s="18"/>
      <c r="SWP2" s="18"/>
      <c r="SWQ2" s="18"/>
      <c r="SWR2" s="18"/>
      <c r="SWS2" s="18"/>
      <c r="SWT2" s="18"/>
      <c r="SWU2" s="18"/>
      <c r="SWV2" s="18"/>
      <c r="SWW2" s="18"/>
      <c r="SWX2" s="18"/>
      <c r="SWY2" s="18"/>
      <c r="SWZ2" s="18"/>
      <c r="SXA2" s="18"/>
      <c r="SXB2" s="18"/>
      <c r="SXC2" s="18"/>
      <c r="SXD2" s="18"/>
      <c r="SXE2" s="18"/>
      <c r="SXF2" s="18"/>
      <c r="SXG2" s="18"/>
      <c r="SXH2" s="18"/>
      <c r="SXI2" s="18"/>
      <c r="SXJ2" s="18"/>
      <c r="SXK2" s="18"/>
      <c r="SXL2" s="18"/>
      <c r="SXM2" s="18"/>
      <c r="SXN2" s="18"/>
      <c r="SXO2" s="18"/>
      <c r="SXP2" s="18"/>
      <c r="SXQ2" s="18"/>
      <c r="SXR2" s="18"/>
      <c r="SXS2" s="18"/>
      <c r="SXT2" s="18"/>
      <c r="SXU2" s="18"/>
      <c r="SXV2" s="18"/>
      <c r="SXW2" s="18"/>
      <c r="SXX2" s="18"/>
      <c r="SXY2" s="18"/>
      <c r="SXZ2" s="18"/>
      <c r="SYA2" s="18"/>
      <c r="SYB2" s="18"/>
      <c r="SYC2" s="18"/>
      <c r="SYD2" s="18"/>
      <c r="SYE2" s="18"/>
      <c r="SYF2" s="18"/>
      <c r="SYG2" s="18"/>
      <c r="SYH2" s="18"/>
      <c r="SYI2" s="18"/>
      <c r="SYJ2" s="18"/>
      <c r="SYK2" s="18"/>
      <c r="SYL2" s="18"/>
      <c r="SYM2" s="18"/>
      <c r="SYN2" s="18"/>
      <c r="SYO2" s="18"/>
      <c r="SYP2" s="18"/>
      <c r="SYQ2" s="18"/>
      <c r="SYR2" s="18"/>
      <c r="SYS2" s="18"/>
      <c r="SYT2" s="18"/>
      <c r="SYU2" s="18"/>
      <c r="SYV2" s="18"/>
      <c r="SYW2" s="18"/>
      <c r="SYX2" s="18"/>
      <c r="SYY2" s="18"/>
      <c r="SYZ2" s="18"/>
      <c r="SZA2" s="18"/>
      <c r="SZB2" s="18"/>
      <c r="SZC2" s="18"/>
      <c r="SZD2" s="18"/>
      <c r="SZE2" s="18"/>
      <c r="SZF2" s="18"/>
      <c r="SZG2" s="18"/>
      <c r="SZH2" s="18"/>
      <c r="SZI2" s="18"/>
      <c r="SZJ2" s="18"/>
      <c r="SZK2" s="18"/>
      <c r="SZL2" s="18"/>
      <c r="SZM2" s="18"/>
      <c r="SZN2" s="18"/>
      <c r="SZO2" s="18"/>
      <c r="SZP2" s="18"/>
      <c r="SZQ2" s="18"/>
      <c r="SZR2" s="18"/>
      <c r="SZS2" s="18"/>
      <c r="SZT2" s="18"/>
      <c r="SZU2" s="18"/>
      <c r="SZV2" s="18"/>
      <c r="SZW2" s="18"/>
      <c r="SZX2" s="18"/>
      <c r="SZY2" s="18"/>
      <c r="SZZ2" s="18"/>
      <c r="TAA2" s="18"/>
      <c r="TAB2" s="18"/>
      <c r="TAC2" s="18"/>
      <c r="TAD2" s="18"/>
      <c r="TAE2" s="18"/>
      <c r="TAF2" s="18"/>
      <c r="TAG2" s="18"/>
      <c r="TAH2" s="18"/>
      <c r="TAI2" s="18"/>
      <c r="TAJ2" s="18"/>
      <c r="TAK2" s="18"/>
      <c r="TAL2" s="18"/>
      <c r="TAM2" s="18"/>
      <c r="TAN2" s="18"/>
      <c r="TAO2" s="18"/>
      <c r="TAP2" s="18"/>
      <c r="TAQ2" s="18"/>
      <c r="TAR2" s="18"/>
      <c r="TAS2" s="18"/>
      <c r="TAT2" s="18"/>
      <c r="TAU2" s="18"/>
      <c r="TAV2" s="18"/>
      <c r="TAW2" s="18"/>
      <c r="TAX2" s="18"/>
      <c r="TAY2" s="18"/>
      <c r="TAZ2" s="18"/>
      <c r="TBA2" s="18"/>
      <c r="TBB2" s="18"/>
      <c r="TBC2" s="18"/>
      <c r="TBD2" s="18"/>
      <c r="TBE2" s="18"/>
      <c r="TBF2" s="18"/>
      <c r="TBG2" s="18"/>
      <c r="TBH2" s="18"/>
      <c r="TBI2" s="18"/>
      <c r="TBJ2" s="18"/>
      <c r="TBK2" s="18"/>
      <c r="TBL2" s="18"/>
      <c r="TBM2" s="18"/>
      <c r="TBN2" s="18"/>
      <c r="TBO2" s="18"/>
      <c r="TBP2" s="18"/>
      <c r="TBQ2" s="18"/>
      <c r="TBR2" s="18"/>
      <c r="TBS2" s="18"/>
      <c r="TBT2" s="18"/>
      <c r="TBU2" s="18"/>
      <c r="TBV2" s="18"/>
      <c r="TBW2" s="18"/>
      <c r="TBX2" s="18"/>
      <c r="TBY2" s="18"/>
      <c r="TBZ2" s="18"/>
      <c r="TCA2" s="18"/>
      <c r="TCB2" s="18"/>
      <c r="TCC2" s="18"/>
      <c r="TCD2" s="18"/>
      <c r="TCE2" s="18"/>
      <c r="TCF2" s="18"/>
      <c r="TCG2" s="18"/>
      <c r="TCH2" s="18"/>
      <c r="TCI2" s="18"/>
      <c r="TCJ2" s="18"/>
      <c r="TCK2" s="18"/>
      <c r="TCL2" s="18"/>
      <c r="TCM2" s="18"/>
      <c r="TCN2" s="18"/>
      <c r="TCO2" s="18"/>
      <c r="TCP2" s="18"/>
      <c r="TCQ2" s="18"/>
      <c r="TCR2" s="18"/>
      <c r="TCS2" s="18"/>
      <c r="TCT2" s="18"/>
      <c r="TCU2" s="18"/>
      <c r="TCV2" s="18"/>
      <c r="TCW2" s="18"/>
      <c r="TCX2" s="18"/>
      <c r="TCY2" s="18"/>
      <c r="TCZ2" s="18"/>
      <c r="TDA2" s="18"/>
      <c r="TDB2" s="18"/>
      <c r="TDC2" s="18"/>
      <c r="TDD2" s="18"/>
      <c r="TDE2" s="18"/>
      <c r="TDF2" s="18"/>
      <c r="TDG2" s="18"/>
      <c r="TDH2" s="18"/>
      <c r="TDI2" s="18"/>
      <c r="TDJ2" s="18"/>
      <c r="TDK2" s="18"/>
      <c r="TDL2" s="18"/>
      <c r="TDM2" s="18"/>
      <c r="TDN2" s="18"/>
      <c r="TDO2" s="18"/>
      <c r="TDP2" s="18"/>
      <c r="TDQ2" s="18"/>
      <c r="TDR2" s="18"/>
      <c r="TDS2" s="18"/>
      <c r="TDT2" s="18"/>
      <c r="TDU2" s="18"/>
      <c r="TDV2" s="18"/>
      <c r="TDW2" s="18"/>
      <c r="TDX2" s="18"/>
      <c r="TDY2" s="18"/>
      <c r="TDZ2" s="18"/>
      <c r="TEA2" s="18"/>
      <c r="TEB2" s="18"/>
      <c r="TEC2" s="18"/>
      <c r="TED2" s="18"/>
      <c r="TEE2" s="18"/>
      <c r="TEF2" s="18"/>
      <c r="TEG2" s="18"/>
      <c r="TEH2" s="18"/>
      <c r="TEI2" s="18"/>
      <c r="TEJ2" s="18"/>
      <c r="TEK2" s="18"/>
      <c r="TEL2" s="18"/>
      <c r="TEM2" s="18"/>
      <c r="TEN2" s="18"/>
      <c r="TEO2" s="18"/>
      <c r="TEP2" s="18"/>
      <c r="TEQ2" s="18"/>
      <c r="TER2" s="18"/>
      <c r="TES2" s="18"/>
      <c r="TET2" s="18"/>
      <c r="TEU2" s="18"/>
      <c r="TEV2" s="18"/>
      <c r="TEW2" s="18"/>
      <c r="TEX2" s="18"/>
      <c r="TEY2" s="18"/>
      <c r="TEZ2" s="18"/>
      <c r="TFA2" s="18"/>
      <c r="TFB2" s="18"/>
      <c r="TFC2" s="18"/>
      <c r="TFD2" s="18"/>
      <c r="TFE2" s="18"/>
      <c r="TFF2" s="18"/>
      <c r="TFG2" s="18"/>
      <c r="TFH2" s="18"/>
      <c r="TFI2" s="18"/>
      <c r="TFJ2" s="18"/>
      <c r="TFK2" s="18"/>
      <c r="TFL2" s="18"/>
      <c r="TFM2" s="18"/>
      <c r="TFN2" s="18"/>
      <c r="TFO2" s="18"/>
      <c r="TFP2" s="18"/>
      <c r="TFQ2" s="18"/>
      <c r="TFR2" s="18"/>
      <c r="TFS2" s="18"/>
      <c r="TFT2" s="18"/>
      <c r="TFU2" s="18"/>
      <c r="TFV2" s="18"/>
      <c r="TFW2" s="18"/>
      <c r="TFX2" s="18"/>
      <c r="TFY2" s="18"/>
      <c r="TFZ2" s="18"/>
      <c r="TGA2" s="18"/>
      <c r="TGB2" s="18"/>
      <c r="TGC2" s="18"/>
      <c r="TGD2" s="18"/>
      <c r="TGE2" s="18"/>
      <c r="TGF2" s="18"/>
      <c r="TGG2" s="18"/>
      <c r="TGH2" s="18"/>
      <c r="TGI2" s="18"/>
      <c r="TGJ2" s="18"/>
      <c r="TGK2" s="18"/>
      <c r="TGL2" s="18"/>
      <c r="TGM2" s="18"/>
      <c r="TGN2" s="18"/>
      <c r="TGO2" s="18"/>
      <c r="TGP2" s="18"/>
      <c r="TGQ2" s="18"/>
      <c r="TGR2" s="18"/>
      <c r="TGS2" s="18"/>
      <c r="TGT2" s="18"/>
      <c r="TGU2" s="18"/>
      <c r="TGV2" s="18"/>
      <c r="TGW2" s="18"/>
      <c r="TGX2" s="18"/>
      <c r="TGY2" s="18"/>
      <c r="TGZ2" s="18"/>
      <c r="THA2" s="18"/>
      <c r="THB2" s="18"/>
      <c r="THC2" s="18"/>
      <c r="THD2" s="18"/>
      <c r="THE2" s="18"/>
      <c r="THF2" s="18"/>
      <c r="THG2" s="18"/>
      <c r="THH2" s="18"/>
      <c r="THI2" s="18"/>
      <c r="THJ2" s="18"/>
      <c r="THK2" s="18"/>
      <c r="THL2" s="18"/>
      <c r="THM2" s="18"/>
      <c r="THN2" s="18"/>
      <c r="THO2" s="18"/>
      <c r="THP2" s="18"/>
      <c r="THQ2" s="18"/>
      <c r="THR2" s="18"/>
      <c r="THS2" s="18"/>
      <c r="THT2" s="18"/>
      <c r="THU2" s="18"/>
      <c r="THV2" s="18"/>
      <c r="THW2" s="18"/>
      <c r="THX2" s="18"/>
      <c r="THY2" s="18"/>
      <c r="THZ2" s="18"/>
      <c r="TIA2" s="18"/>
      <c r="TIB2" s="18"/>
      <c r="TIC2" s="18"/>
      <c r="TID2" s="18"/>
      <c r="TIE2" s="18"/>
      <c r="TIF2" s="18"/>
      <c r="TIG2" s="18"/>
      <c r="TIH2" s="18"/>
      <c r="TII2" s="18"/>
      <c r="TIJ2" s="18"/>
      <c r="TIK2" s="18"/>
      <c r="TIL2" s="18"/>
      <c r="TIM2" s="18"/>
      <c r="TIN2" s="18"/>
      <c r="TIO2" s="18"/>
      <c r="TIP2" s="18"/>
      <c r="TIQ2" s="18"/>
      <c r="TIR2" s="18"/>
      <c r="TIS2" s="18"/>
      <c r="TIT2" s="18"/>
      <c r="TIU2" s="18"/>
      <c r="TIV2" s="18"/>
      <c r="TIW2" s="18"/>
      <c r="TIX2" s="18"/>
      <c r="TIY2" s="18"/>
      <c r="TIZ2" s="18"/>
      <c r="TJA2" s="18"/>
      <c r="TJB2" s="18"/>
      <c r="TJC2" s="18"/>
      <c r="TJD2" s="18"/>
      <c r="TJE2" s="18"/>
      <c r="TJF2" s="18"/>
      <c r="TJG2" s="18"/>
      <c r="TJH2" s="18"/>
      <c r="TJI2" s="18"/>
      <c r="TJJ2" s="18"/>
      <c r="TJK2" s="18"/>
      <c r="TJL2" s="18"/>
      <c r="TJM2" s="18"/>
      <c r="TJN2" s="18"/>
      <c r="TJO2" s="18"/>
      <c r="TJP2" s="18"/>
      <c r="TJQ2" s="18"/>
      <c r="TJR2" s="18"/>
      <c r="TJS2" s="18"/>
      <c r="TJT2" s="18"/>
      <c r="TJU2" s="18"/>
      <c r="TJV2" s="18"/>
      <c r="TJW2" s="18"/>
      <c r="TJX2" s="18"/>
      <c r="TJY2" s="18"/>
      <c r="TJZ2" s="18"/>
      <c r="TKA2" s="18"/>
      <c r="TKB2" s="18"/>
      <c r="TKC2" s="18"/>
      <c r="TKD2" s="18"/>
      <c r="TKE2" s="18"/>
      <c r="TKF2" s="18"/>
      <c r="TKG2" s="18"/>
      <c r="TKH2" s="18"/>
      <c r="TKI2" s="18"/>
      <c r="TKJ2" s="18"/>
      <c r="TKK2" s="18"/>
      <c r="TKL2" s="18"/>
      <c r="TKM2" s="18"/>
      <c r="TKN2" s="18"/>
      <c r="TKO2" s="18"/>
      <c r="TKP2" s="18"/>
      <c r="TKQ2" s="18"/>
      <c r="TKR2" s="18"/>
      <c r="TKS2" s="18"/>
      <c r="TKT2" s="18"/>
      <c r="TKU2" s="18"/>
      <c r="TKV2" s="18"/>
      <c r="TKW2" s="18"/>
      <c r="TKX2" s="18"/>
      <c r="TKY2" s="18"/>
      <c r="TKZ2" s="18"/>
      <c r="TLA2" s="18"/>
      <c r="TLB2" s="18"/>
      <c r="TLC2" s="18"/>
      <c r="TLD2" s="18"/>
      <c r="TLE2" s="18"/>
      <c r="TLF2" s="18"/>
      <c r="TLG2" s="18"/>
      <c r="TLH2" s="18"/>
      <c r="TLI2" s="18"/>
      <c r="TLJ2" s="18"/>
      <c r="TLK2" s="18"/>
      <c r="TLL2" s="18"/>
      <c r="TLM2" s="18"/>
      <c r="TLN2" s="18"/>
      <c r="TLO2" s="18"/>
      <c r="TLP2" s="18"/>
      <c r="TLQ2" s="18"/>
      <c r="TLR2" s="18"/>
      <c r="TLS2" s="18"/>
      <c r="TLT2" s="18"/>
      <c r="TLU2" s="18"/>
      <c r="TLV2" s="18"/>
      <c r="TLW2" s="18"/>
      <c r="TLX2" s="18"/>
      <c r="TLY2" s="18"/>
      <c r="TLZ2" s="18"/>
      <c r="TMA2" s="18"/>
      <c r="TMB2" s="18"/>
      <c r="TMC2" s="18"/>
      <c r="TMD2" s="18"/>
      <c r="TME2" s="18"/>
      <c r="TMF2" s="18"/>
      <c r="TMG2" s="18"/>
      <c r="TMH2" s="18"/>
      <c r="TMI2" s="18"/>
      <c r="TMJ2" s="18"/>
      <c r="TMK2" s="18"/>
      <c r="TML2" s="18"/>
      <c r="TMM2" s="18"/>
      <c r="TMN2" s="18"/>
      <c r="TMO2" s="18"/>
      <c r="TMP2" s="18"/>
      <c r="TMQ2" s="18"/>
      <c r="TMR2" s="18"/>
      <c r="TMS2" s="18"/>
      <c r="TMT2" s="18"/>
      <c r="TMU2" s="18"/>
      <c r="TMV2" s="18"/>
      <c r="TMW2" s="18"/>
      <c r="TMX2" s="18"/>
      <c r="TMY2" s="18"/>
      <c r="TMZ2" s="18"/>
      <c r="TNA2" s="18"/>
      <c r="TNB2" s="18"/>
      <c r="TNC2" s="18"/>
      <c r="TND2" s="18"/>
      <c r="TNE2" s="18"/>
      <c r="TNF2" s="18"/>
      <c r="TNG2" s="18"/>
      <c r="TNH2" s="18"/>
      <c r="TNI2" s="18"/>
      <c r="TNJ2" s="18"/>
      <c r="TNK2" s="18"/>
      <c r="TNL2" s="18"/>
      <c r="TNM2" s="18"/>
      <c r="TNN2" s="18"/>
      <c r="TNO2" s="18"/>
      <c r="TNP2" s="18"/>
      <c r="TNQ2" s="18"/>
      <c r="TNR2" s="18"/>
      <c r="TNS2" s="18"/>
      <c r="TNT2" s="18"/>
      <c r="TNU2" s="18"/>
      <c r="TNV2" s="18"/>
      <c r="TNW2" s="18"/>
      <c r="TNX2" s="18"/>
      <c r="TNY2" s="18"/>
      <c r="TNZ2" s="18"/>
      <c r="TOA2" s="18"/>
      <c r="TOB2" s="18"/>
      <c r="TOC2" s="18"/>
      <c r="TOD2" s="18"/>
      <c r="TOE2" s="18"/>
      <c r="TOF2" s="18"/>
      <c r="TOG2" s="18"/>
      <c r="TOH2" s="18"/>
      <c r="TOI2" s="18"/>
      <c r="TOJ2" s="18"/>
      <c r="TOK2" s="18"/>
      <c r="TOL2" s="18"/>
      <c r="TOM2" s="18"/>
      <c r="TON2" s="18"/>
      <c r="TOO2" s="18"/>
      <c r="TOP2" s="18"/>
      <c r="TOQ2" s="18"/>
      <c r="TOR2" s="18"/>
      <c r="TOS2" s="18"/>
      <c r="TOT2" s="18"/>
      <c r="TOU2" s="18"/>
      <c r="TOV2" s="18"/>
      <c r="TOW2" s="18"/>
      <c r="TOX2" s="18"/>
      <c r="TOY2" s="18"/>
      <c r="TOZ2" s="18"/>
      <c r="TPA2" s="18"/>
      <c r="TPB2" s="18"/>
      <c r="TPC2" s="18"/>
      <c r="TPD2" s="18"/>
      <c r="TPE2" s="18"/>
      <c r="TPF2" s="18"/>
      <c r="TPG2" s="18"/>
      <c r="TPH2" s="18"/>
      <c r="TPI2" s="18"/>
      <c r="TPJ2" s="18"/>
      <c r="TPK2" s="18"/>
      <c r="TPL2" s="18"/>
      <c r="TPM2" s="18"/>
      <c r="TPN2" s="18"/>
      <c r="TPO2" s="18"/>
      <c r="TPP2" s="18"/>
      <c r="TPQ2" s="18"/>
      <c r="TPR2" s="18"/>
      <c r="TPS2" s="18"/>
      <c r="TPT2" s="18"/>
      <c r="TPU2" s="18"/>
      <c r="TPV2" s="18"/>
      <c r="TPW2" s="18"/>
      <c r="TPX2" s="18"/>
      <c r="TPY2" s="18"/>
      <c r="TPZ2" s="18"/>
      <c r="TQA2" s="18"/>
      <c r="TQB2" s="18"/>
      <c r="TQC2" s="18"/>
      <c r="TQD2" s="18"/>
      <c r="TQE2" s="18"/>
      <c r="TQF2" s="18"/>
      <c r="TQG2" s="18"/>
      <c r="TQH2" s="18"/>
      <c r="TQI2" s="18"/>
      <c r="TQJ2" s="18"/>
      <c r="TQK2" s="18"/>
      <c r="TQL2" s="18"/>
      <c r="TQM2" s="18"/>
      <c r="TQN2" s="18"/>
      <c r="TQO2" s="18"/>
      <c r="TQP2" s="18"/>
      <c r="TQQ2" s="18"/>
      <c r="TQR2" s="18"/>
      <c r="TQS2" s="18"/>
      <c r="TQT2" s="18"/>
      <c r="TQU2" s="18"/>
      <c r="TQV2" s="18"/>
      <c r="TQW2" s="18"/>
      <c r="TQX2" s="18"/>
      <c r="TQY2" s="18"/>
      <c r="TQZ2" s="18"/>
      <c r="TRA2" s="18"/>
      <c r="TRB2" s="18"/>
      <c r="TRC2" s="18"/>
      <c r="TRD2" s="18"/>
      <c r="TRE2" s="18"/>
      <c r="TRF2" s="18"/>
      <c r="TRG2" s="18"/>
      <c r="TRH2" s="18"/>
      <c r="TRI2" s="18"/>
      <c r="TRJ2" s="18"/>
      <c r="TRK2" s="18"/>
      <c r="TRL2" s="18"/>
      <c r="TRM2" s="18"/>
      <c r="TRN2" s="18"/>
      <c r="TRO2" s="18"/>
      <c r="TRP2" s="18"/>
      <c r="TRQ2" s="18"/>
      <c r="TRR2" s="18"/>
      <c r="TRS2" s="18"/>
      <c r="TRT2" s="18"/>
      <c r="TRU2" s="18"/>
      <c r="TRV2" s="18"/>
      <c r="TRW2" s="18"/>
      <c r="TRX2" s="18"/>
      <c r="TRY2" s="18"/>
      <c r="TRZ2" s="18"/>
      <c r="TSA2" s="18"/>
      <c r="TSB2" s="18"/>
      <c r="TSC2" s="18"/>
      <c r="TSD2" s="18"/>
      <c r="TSE2" s="18"/>
      <c r="TSF2" s="18"/>
      <c r="TSG2" s="18"/>
      <c r="TSH2" s="18"/>
      <c r="TSI2" s="18"/>
      <c r="TSJ2" s="18"/>
      <c r="TSK2" s="18"/>
      <c r="TSL2" s="18"/>
      <c r="TSM2" s="18"/>
      <c r="TSN2" s="18"/>
      <c r="TSO2" s="18"/>
      <c r="TSP2" s="18"/>
      <c r="TSQ2" s="18"/>
      <c r="TSR2" s="18"/>
      <c r="TSS2" s="18"/>
      <c r="TST2" s="18"/>
      <c r="TSU2" s="18"/>
      <c r="TSV2" s="18"/>
      <c r="TSW2" s="18"/>
      <c r="TSX2" s="18"/>
      <c r="TSY2" s="18"/>
      <c r="TSZ2" s="18"/>
      <c r="TTA2" s="18"/>
      <c r="TTB2" s="18"/>
      <c r="TTC2" s="18"/>
      <c r="TTD2" s="18"/>
      <c r="TTE2" s="18"/>
      <c r="TTF2" s="18"/>
      <c r="TTG2" s="18"/>
      <c r="TTH2" s="18"/>
      <c r="TTI2" s="18"/>
      <c r="TTJ2" s="18"/>
      <c r="TTK2" s="18"/>
      <c r="TTL2" s="18"/>
      <c r="TTM2" s="18"/>
      <c r="TTN2" s="18"/>
      <c r="TTO2" s="18"/>
      <c r="TTP2" s="18"/>
      <c r="TTQ2" s="18"/>
      <c r="TTR2" s="18"/>
      <c r="TTS2" s="18"/>
      <c r="TTT2" s="18"/>
      <c r="TTU2" s="18"/>
      <c r="TTV2" s="18"/>
      <c r="TTW2" s="18"/>
      <c r="TTX2" s="18"/>
      <c r="TTY2" s="18"/>
      <c r="TTZ2" s="18"/>
      <c r="TUA2" s="18"/>
      <c r="TUB2" s="18"/>
      <c r="TUC2" s="18"/>
      <c r="TUD2" s="18"/>
      <c r="TUE2" s="18"/>
      <c r="TUF2" s="18"/>
      <c r="TUG2" s="18"/>
      <c r="TUH2" s="18"/>
      <c r="TUI2" s="18"/>
      <c r="TUJ2" s="18"/>
      <c r="TUK2" s="18"/>
      <c r="TUL2" s="18"/>
      <c r="TUM2" s="18"/>
      <c r="TUN2" s="18"/>
      <c r="TUO2" s="18"/>
      <c r="TUP2" s="18"/>
      <c r="TUQ2" s="18"/>
      <c r="TUR2" s="18"/>
      <c r="TUS2" s="18"/>
      <c r="TUT2" s="18"/>
      <c r="TUU2" s="18"/>
      <c r="TUV2" s="18"/>
      <c r="TUW2" s="18"/>
      <c r="TUX2" s="18"/>
      <c r="TUY2" s="18"/>
      <c r="TUZ2" s="18"/>
      <c r="TVA2" s="18"/>
      <c r="TVB2" s="18"/>
      <c r="TVC2" s="18"/>
      <c r="TVD2" s="18"/>
      <c r="TVE2" s="18"/>
      <c r="TVF2" s="18"/>
      <c r="TVG2" s="18"/>
      <c r="TVH2" s="18"/>
      <c r="TVI2" s="18"/>
      <c r="TVJ2" s="18"/>
      <c r="TVK2" s="18"/>
      <c r="TVL2" s="18"/>
      <c r="TVM2" s="18"/>
      <c r="TVN2" s="18"/>
      <c r="TVO2" s="18"/>
      <c r="TVP2" s="18"/>
      <c r="TVQ2" s="18"/>
      <c r="TVR2" s="18"/>
      <c r="TVS2" s="18"/>
      <c r="TVT2" s="18"/>
      <c r="TVU2" s="18"/>
      <c r="TVV2" s="18"/>
      <c r="TVW2" s="18"/>
      <c r="TVX2" s="18"/>
      <c r="TVY2" s="18"/>
      <c r="TVZ2" s="18"/>
      <c r="TWA2" s="18"/>
      <c r="TWB2" s="18"/>
      <c r="TWC2" s="18"/>
      <c r="TWD2" s="18"/>
      <c r="TWE2" s="18"/>
      <c r="TWF2" s="18"/>
      <c r="TWG2" s="18"/>
      <c r="TWH2" s="18"/>
      <c r="TWI2" s="18"/>
      <c r="TWJ2" s="18"/>
      <c r="TWK2" s="18"/>
      <c r="TWL2" s="18"/>
      <c r="TWM2" s="18"/>
      <c r="TWN2" s="18"/>
      <c r="TWO2" s="18"/>
      <c r="TWP2" s="18"/>
      <c r="TWQ2" s="18"/>
      <c r="TWR2" s="18"/>
      <c r="TWS2" s="18"/>
      <c r="TWT2" s="18"/>
      <c r="TWU2" s="18"/>
      <c r="TWV2" s="18"/>
      <c r="TWW2" s="18"/>
      <c r="TWX2" s="18"/>
      <c r="TWY2" s="18"/>
      <c r="TWZ2" s="18"/>
      <c r="TXA2" s="18"/>
      <c r="TXB2" s="18"/>
      <c r="TXC2" s="18"/>
      <c r="TXD2" s="18"/>
      <c r="TXE2" s="18"/>
      <c r="TXF2" s="18"/>
      <c r="TXG2" s="18"/>
      <c r="TXH2" s="18"/>
      <c r="TXI2" s="18"/>
      <c r="TXJ2" s="18"/>
      <c r="TXK2" s="18"/>
      <c r="TXL2" s="18"/>
      <c r="TXM2" s="18"/>
      <c r="TXN2" s="18"/>
      <c r="TXO2" s="18"/>
      <c r="TXP2" s="18"/>
      <c r="TXQ2" s="18"/>
      <c r="TXR2" s="18"/>
      <c r="TXS2" s="18"/>
      <c r="TXT2" s="18"/>
      <c r="TXU2" s="18"/>
      <c r="TXV2" s="18"/>
      <c r="TXW2" s="18"/>
      <c r="TXX2" s="18"/>
      <c r="TXY2" s="18"/>
      <c r="TXZ2" s="18"/>
      <c r="TYA2" s="18"/>
      <c r="TYB2" s="18"/>
      <c r="TYC2" s="18"/>
      <c r="TYD2" s="18"/>
      <c r="TYE2" s="18"/>
      <c r="TYF2" s="18"/>
      <c r="TYG2" s="18"/>
      <c r="TYH2" s="18"/>
      <c r="TYI2" s="18"/>
      <c r="TYJ2" s="18"/>
      <c r="TYK2" s="18"/>
      <c r="TYL2" s="18"/>
      <c r="TYM2" s="18"/>
      <c r="TYN2" s="18"/>
      <c r="TYO2" s="18"/>
      <c r="TYP2" s="18"/>
      <c r="TYQ2" s="18"/>
      <c r="TYR2" s="18"/>
      <c r="TYS2" s="18"/>
      <c r="TYT2" s="18"/>
      <c r="TYU2" s="18"/>
      <c r="TYV2" s="18"/>
      <c r="TYW2" s="18"/>
      <c r="TYX2" s="18"/>
      <c r="TYY2" s="18"/>
      <c r="TYZ2" s="18"/>
      <c r="TZA2" s="18"/>
      <c r="TZB2" s="18"/>
      <c r="TZC2" s="18"/>
      <c r="TZD2" s="18"/>
      <c r="TZE2" s="18"/>
      <c r="TZF2" s="18"/>
      <c r="TZG2" s="18"/>
      <c r="TZH2" s="18"/>
      <c r="TZI2" s="18"/>
      <c r="TZJ2" s="18"/>
      <c r="TZK2" s="18"/>
      <c r="TZL2" s="18"/>
      <c r="TZM2" s="18"/>
      <c r="TZN2" s="18"/>
      <c r="TZO2" s="18"/>
      <c r="TZP2" s="18"/>
      <c r="TZQ2" s="18"/>
      <c r="TZR2" s="18"/>
      <c r="TZS2" s="18"/>
      <c r="TZT2" s="18"/>
      <c r="TZU2" s="18"/>
      <c r="TZV2" s="18"/>
      <c r="TZW2" s="18"/>
      <c r="TZX2" s="18"/>
      <c r="TZY2" s="18"/>
      <c r="TZZ2" s="18"/>
      <c r="UAA2" s="18"/>
      <c r="UAB2" s="18"/>
      <c r="UAC2" s="18"/>
      <c r="UAD2" s="18"/>
      <c r="UAE2" s="18"/>
      <c r="UAF2" s="18"/>
      <c r="UAG2" s="18"/>
      <c r="UAH2" s="18"/>
      <c r="UAI2" s="18"/>
      <c r="UAJ2" s="18"/>
      <c r="UAK2" s="18"/>
      <c r="UAL2" s="18"/>
      <c r="UAM2" s="18"/>
      <c r="UAN2" s="18"/>
      <c r="UAO2" s="18"/>
      <c r="UAP2" s="18"/>
      <c r="UAQ2" s="18"/>
      <c r="UAR2" s="18"/>
      <c r="UAS2" s="18"/>
      <c r="UAT2" s="18"/>
      <c r="UAU2" s="18"/>
      <c r="UAV2" s="18"/>
      <c r="UAW2" s="18"/>
      <c r="UAX2" s="18"/>
      <c r="UAY2" s="18"/>
      <c r="UAZ2" s="18"/>
      <c r="UBA2" s="18"/>
      <c r="UBB2" s="18"/>
      <c r="UBC2" s="18"/>
      <c r="UBD2" s="18"/>
      <c r="UBE2" s="18"/>
      <c r="UBF2" s="18"/>
      <c r="UBG2" s="18"/>
      <c r="UBH2" s="18"/>
      <c r="UBI2" s="18"/>
      <c r="UBJ2" s="18"/>
      <c r="UBK2" s="18"/>
      <c r="UBL2" s="18"/>
      <c r="UBM2" s="18"/>
      <c r="UBN2" s="18"/>
      <c r="UBO2" s="18"/>
      <c r="UBP2" s="18"/>
      <c r="UBQ2" s="18"/>
      <c r="UBR2" s="18"/>
      <c r="UBS2" s="18"/>
      <c r="UBT2" s="18"/>
      <c r="UBU2" s="18"/>
      <c r="UBV2" s="18"/>
      <c r="UBW2" s="18"/>
      <c r="UBX2" s="18"/>
      <c r="UBY2" s="18"/>
      <c r="UBZ2" s="18"/>
      <c r="UCA2" s="18"/>
      <c r="UCB2" s="18"/>
      <c r="UCC2" s="18"/>
      <c r="UCD2" s="18"/>
      <c r="UCE2" s="18"/>
      <c r="UCF2" s="18"/>
      <c r="UCG2" s="18"/>
      <c r="UCH2" s="18"/>
      <c r="UCI2" s="18"/>
      <c r="UCJ2" s="18"/>
      <c r="UCK2" s="18"/>
      <c r="UCL2" s="18"/>
      <c r="UCM2" s="18"/>
      <c r="UCN2" s="18"/>
      <c r="UCO2" s="18"/>
      <c r="UCP2" s="18"/>
      <c r="UCQ2" s="18"/>
      <c r="UCR2" s="18"/>
      <c r="UCS2" s="18"/>
      <c r="UCT2" s="18"/>
      <c r="UCU2" s="18"/>
      <c r="UCV2" s="18"/>
      <c r="UCW2" s="18"/>
      <c r="UCX2" s="18"/>
      <c r="UCY2" s="18"/>
      <c r="UCZ2" s="18"/>
      <c r="UDA2" s="18"/>
      <c r="UDB2" s="18"/>
      <c r="UDC2" s="18"/>
      <c r="UDD2" s="18"/>
      <c r="UDE2" s="18"/>
      <c r="UDF2" s="18"/>
      <c r="UDG2" s="18"/>
      <c r="UDH2" s="18"/>
      <c r="UDI2" s="18"/>
      <c r="UDJ2" s="18"/>
      <c r="UDK2" s="18"/>
      <c r="UDL2" s="18"/>
      <c r="UDM2" s="18"/>
      <c r="UDN2" s="18"/>
      <c r="UDO2" s="18"/>
      <c r="UDP2" s="18"/>
      <c r="UDQ2" s="18"/>
      <c r="UDR2" s="18"/>
      <c r="UDS2" s="18"/>
      <c r="UDT2" s="18"/>
      <c r="UDU2" s="18"/>
      <c r="UDV2" s="18"/>
      <c r="UDW2" s="18"/>
      <c r="UDX2" s="18"/>
      <c r="UDY2" s="18"/>
      <c r="UDZ2" s="18"/>
      <c r="UEA2" s="18"/>
      <c r="UEB2" s="18"/>
      <c r="UEC2" s="18"/>
      <c r="UED2" s="18"/>
      <c r="UEE2" s="18"/>
      <c r="UEF2" s="18"/>
      <c r="UEG2" s="18"/>
      <c r="UEH2" s="18"/>
      <c r="UEI2" s="18"/>
      <c r="UEJ2" s="18"/>
      <c r="UEK2" s="18"/>
      <c r="UEL2" s="18"/>
      <c r="UEM2" s="18"/>
      <c r="UEN2" s="18"/>
      <c r="UEO2" s="18"/>
      <c r="UEP2" s="18"/>
      <c r="UEQ2" s="18"/>
      <c r="UER2" s="18"/>
      <c r="UES2" s="18"/>
      <c r="UET2" s="18"/>
      <c r="UEU2" s="18"/>
      <c r="UEV2" s="18"/>
      <c r="UEW2" s="18"/>
      <c r="UEX2" s="18"/>
      <c r="UEY2" s="18"/>
      <c r="UEZ2" s="18"/>
      <c r="UFA2" s="18"/>
      <c r="UFB2" s="18"/>
      <c r="UFC2" s="18"/>
      <c r="UFD2" s="18"/>
      <c r="UFE2" s="18"/>
      <c r="UFF2" s="18"/>
      <c r="UFG2" s="18"/>
      <c r="UFH2" s="18"/>
      <c r="UFI2" s="18"/>
      <c r="UFJ2" s="18"/>
      <c r="UFK2" s="18"/>
      <c r="UFL2" s="18"/>
      <c r="UFM2" s="18"/>
      <c r="UFN2" s="18"/>
      <c r="UFO2" s="18"/>
      <c r="UFP2" s="18"/>
      <c r="UFQ2" s="18"/>
      <c r="UFR2" s="18"/>
      <c r="UFS2" s="18"/>
      <c r="UFT2" s="18"/>
      <c r="UFU2" s="18"/>
      <c r="UFV2" s="18"/>
      <c r="UFW2" s="18"/>
      <c r="UFX2" s="18"/>
      <c r="UFY2" s="18"/>
      <c r="UFZ2" s="18"/>
      <c r="UGA2" s="18"/>
      <c r="UGB2" s="18"/>
      <c r="UGC2" s="18"/>
      <c r="UGD2" s="18"/>
      <c r="UGE2" s="18"/>
      <c r="UGF2" s="18"/>
      <c r="UGG2" s="18"/>
      <c r="UGH2" s="18"/>
      <c r="UGI2" s="18"/>
      <c r="UGJ2" s="18"/>
      <c r="UGK2" s="18"/>
      <c r="UGL2" s="18"/>
      <c r="UGM2" s="18"/>
      <c r="UGN2" s="18"/>
      <c r="UGO2" s="18"/>
      <c r="UGP2" s="18"/>
      <c r="UGQ2" s="18"/>
      <c r="UGR2" s="18"/>
      <c r="UGS2" s="18"/>
      <c r="UGT2" s="18"/>
      <c r="UGU2" s="18"/>
      <c r="UGV2" s="18"/>
      <c r="UGW2" s="18"/>
      <c r="UGX2" s="18"/>
      <c r="UGY2" s="18"/>
      <c r="UGZ2" s="18"/>
      <c r="UHA2" s="18"/>
      <c r="UHB2" s="18"/>
      <c r="UHC2" s="18"/>
      <c r="UHD2" s="18"/>
      <c r="UHE2" s="18"/>
      <c r="UHF2" s="18"/>
      <c r="UHG2" s="18"/>
      <c r="UHH2" s="18"/>
      <c r="UHI2" s="18"/>
      <c r="UHJ2" s="18"/>
      <c r="UHK2" s="18"/>
      <c r="UHL2" s="18"/>
      <c r="UHM2" s="18"/>
      <c r="UHN2" s="18"/>
      <c r="UHO2" s="18"/>
      <c r="UHP2" s="18"/>
      <c r="UHQ2" s="18"/>
      <c r="UHR2" s="18"/>
      <c r="UHS2" s="18"/>
      <c r="UHT2" s="18"/>
      <c r="UHU2" s="18"/>
      <c r="UHV2" s="18"/>
      <c r="UHW2" s="18"/>
      <c r="UHX2" s="18"/>
      <c r="UHY2" s="18"/>
      <c r="UHZ2" s="18"/>
      <c r="UIA2" s="18"/>
      <c r="UIB2" s="18"/>
      <c r="UIC2" s="18"/>
      <c r="UID2" s="18"/>
      <c r="UIE2" s="18"/>
      <c r="UIF2" s="18"/>
      <c r="UIG2" s="18"/>
      <c r="UIH2" s="18"/>
      <c r="UII2" s="18"/>
      <c r="UIJ2" s="18"/>
      <c r="UIK2" s="18"/>
      <c r="UIL2" s="18"/>
      <c r="UIM2" s="18"/>
      <c r="UIN2" s="18"/>
      <c r="UIO2" s="18"/>
      <c r="UIP2" s="18"/>
      <c r="UIQ2" s="18"/>
      <c r="UIR2" s="18"/>
      <c r="UIS2" s="18"/>
      <c r="UIT2" s="18"/>
      <c r="UIU2" s="18"/>
      <c r="UIV2" s="18"/>
      <c r="UIW2" s="18"/>
      <c r="UIX2" s="18"/>
      <c r="UIY2" s="18"/>
      <c r="UIZ2" s="18"/>
      <c r="UJA2" s="18"/>
      <c r="UJB2" s="18"/>
      <c r="UJC2" s="18"/>
      <c r="UJD2" s="18"/>
      <c r="UJE2" s="18"/>
      <c r="UJF2" s="18"/>
      <c r="UJG2" s="18"/>
      <c r="UJH2" s="18"/>
      <c r="UJI2" s="18"/>
      <c r="UJJ2" s="18"/>
      <c r="UJK2" s="18"/>
      <c r="UJL2" s="18"/>
      <c r="UJM2" s="18"/>
      <c r="UJN2" s="18"/>
      <c r="UJO2" s="18"/>
      <c r="UJP2" s="18"/>
      <c r="UJQ2" s="18"/>
      <c r="UJR2" s="18"/>
      <c r="UJS2" s="18"/>
      <c r="UJT2" s="18"/>
      <c r="UJU2" s="18"/>
      <c r="UJV2" s="18"/>
      <c r="UJW2" s="18"/>
      <c r="UJX2" s="18"/>
      <c r="UJY2" s="18"/>
      <c r="UJZ2" s="18"/>
      <c r="UKA2" s="18"/>
      <c r="UKB2" s="18"/>
      <c r="UKC2" s="18"/>
      <c r="UKD2" s="18"/>
      <c r="UKE2" s="18"/>
      <c r="UKF2" s="18"/>
      <c r="UKG2" s="18"/>
      <c r="UKH2" s="18"/>
      <c r="UKI2" s="18"/>
      <c r="UKJ2" s="18"/>
      <c r="UKK2" s="18"/>
      <c r="UKL2" s="18"/>
      <c r="UKM2" s="18"/>
      <c r="UKN2" s="18"/>
      <c r="UKO2" s="18"/>
      <c r="UKP2" s="18"/>
      <c r="UKQ2" s="18"/>
      <c r="UKR2" s="18"/>
      <c r="UKS2" s="18"/>
      <c r="UKT2" s="18"/>
      <c r="UKU2" s="18"/>
      <c r="UKV2" s="18"/>
      <c r="UKW2" s="18"/>
      <c r="UKX2" s="18"/>
      <c r="UKY2" s="18"/>
      <c r="UKZ2" s="18"/>
      <c r="ULA2" s="18"/>
      <c r="ULB2" s="18"/>
      <c r="ULC2" s="18"/>
      <c r="ULD2" s="18"/>
      <c r="ULE2" s="18"/>
      <c r="ULF2" s="18"/>
      <c r="ULG2" s="18"/>
      <c r="ULH2" s="18"/>
      <c r="ULI2" s="18"/>
      <c r="ULJ2" s="18"/>
      <c r="ULK2" s="18"/>
      <c r="ULL2" s="18"/>
      <c r="ULM2" s="18"/>
      <c r="ULN2" s="18"/>
      <c r="ULO2" s="18"/>
      <c r="ULP2" s="18"/>
      <c r="ULQ2" s="18"/>
      <c r="ULR2" s="18"/>
      <c r="ULS2" s="18"/>
      <c r="ULT2" s="18"/>
      <c r="ULU2" s="18"/>
      <c r="ULV2" s="18"/>
      <c r="ULW2" s="18"/>
      <c r="ULX2" s="18"/>
      <c r="ULY2" s="18"/>
      <c r="ULZ2" s="18"/>
      <c r="UMA2" s="18"/>
      <c r="UMB2" s="18"/>
      <c r="UMC2" s="18"/>
      <c r="UMD2" s="18"/>
      <c r="UME2" s="18"/>
      <c r="UMF2" s="18"/>
      <c r="UMG2" s="18"/>
      <c r="UMH2" s="18"/>
      <c r="UMI2" s="18"/>
      <c r="UMJ2" s="18"/>
      <c r="UMK2" s="18"/>
      <c r="UML2" s="18"/>
      <c r="UMM2" s="18"/>
      <c r="UMN2" s="18"/>
      <c r="UMO2" s="18"/>
      <c r="UMP2" s="18"/>
      <c r="UMQ2" s="18"/>
      <c r="UMR2" s="18"/>
      <c r="UMS2" s="18"/>
      <c r="UMT2" s="18"/>
      <c r="UMU2" s="18"/>
      <c r="UMV2" s="18"/>
      <c r="UMW2" s="18"/>
      <c r="UMX2" s="18"/>
      <c r="UMY2" s="18"/>
      <c r="UMZ2" s="18"/>
      <c r="UNA2" s="18"/>
      <c r="UNB2" s="18"/>
      <c r="UNC2" s="18"/>
      <c r="UND2" s="18"/>
      <c r="UNE2" s="18"/>
      <c r="UNF2" s="18"/>
      <c r="UNG2" s="18"/>
      <c r="UNH2" s="18"/>
      <c r="UNI2" s="18"/>
      <c r="UNJ2" s="18"/>
      <c r="UNK2" s="18"/>
      <c r="UNL2" s="18"/>
      <c r="UNM2" s="18"/>
      <c r="UNN2" s="18"/>
      <c r="UNO2" s="18"/>
      <c r="UNP2" s="18"/>
      <c r="UNQ2" s="18"/>
      <c r="UNR2" s="18"/>
      <c r="UNS2" s="18"/>
      <c r="UNT2" s="18"/>
      <c r="UNU2" s="18"/>
      <c r="UNV2" s="18"/>
      <c r="UNW2" s="18"/>
      <c r="UNX2" s="18"/>
      <c r="UNY2" s="18"/>
      <c r="UNZ2" s="18"/>
      <c r="UOA2" s="18"/>
      <c r="UOB2" s="18"/>
      <c r="UOC2" s="18"/>
      <c r="UOD2" s="18"/>
      <c r="UOE2" s="18"/>
      <c r="UOF2" s="18"/>
      <c r="UOG2" s="18"/>
      <c r="UOH2" s="18"/>
      <c r="UOI2" s="18"/>
      <c r="UOJ2" s="18"/>
      <c r="UOK2" s="18"/>
      <c r="UOL2" s="18"/>
      <c r="UOM2" s="18"/>
      <c r="UON2" s="18"/>
      <c r="UOO2" s="18"/>
      <c r="UOP2" s="18"/>
      <c r="UOQ2" s="18"/>
      <c r="UOR2" s="18"/>
      <c r="UOS2" s="18"/>
      <c r="UOT2" s="18"/>
      <c r="UOU2" s="18"/>
      <c r="UOV2" s="18"/>
      <c r="UOW2" s="18"/>
      <c r="UOX2" s="18"/>
      <c r="UOY2" s="18"/>
      <c r="UOZ2" s="18"/>
      <c r="UPA2" s="18"/>
      <c r="UPB2" s="18"/>
      <c r="UPC2" s="18"/>
      <c r="UPD2" s="18"/>
      <c r="UPE2" s="18"/>
      <c r="UPF2" s="18"/>
      <c r="UPG2" s="18"/>
      <c r="UPH2" s="18"/>
      <c r="UPI2" s="18"/>
      <c r="UPJ2" s="18"/>
      <c r="UPK2" s="18"/>
      <c r="UPL2" s="18"/>
      <c r="UPM2" s="18"/>
      <c r="UPN2" s="18"/>
      <c r="UPO2" s="18"/>
      <c r="UPP2" s="18"/>
      <c r="UPQ2" s="18"/>
      <c r="UPR2" s="18"/>
      <c r="UPS2" s="18"/>
      <c r="UPT2" s="18"/>
      <c r="UPU2" s="18"/>
      <c r="UPV2" s="18"/>
      <c r="UPW2" s="18"/>
      <c r="UPX2" s="18"/>
      <c r="UPY2" s="18"/>
      <c r="UPZ2" s="18"/>
      <c r="UQA2" s="18"/>
      <c r="UQB2" s="18"/>
      <c r="UQC2" s="18"/>
      <c r="UQD2" s="18"/>
      <c r="UQE2" s="18"/>
      <c r="UQF2" s="18"/>
      <c r="UQG2" s="18"/>
      <c r="UQH2" s="18"/>
      <c r="UQI2" s="18"/>
      <c r="UQJ2" s="18"/>
      <c r="UQK2" s="18"/>
      <c r="UQL2" s="18"/>
      <c r="UQM2" s="18"/>
      <c r="UQN2" s="18"/>
      <c r="UQO2" s="18"/>
      <c r="UQP2" s="18"/>
      <c r="UQQ2" s="18"/>
      <c r="UQR2" s="18"/>
      <c r="UQS2" s="18"/>
      <c r="UQT2" s="18"/>
      <c r="UQU2" s="18"/>
      <c r="UQV2" s="18"/>
      <c r="UQW2" s="18"/>
      <c r="UQX2" s="18"/>
      <c r="UQY2" s="18"/>
      <c r="UQZ2" s="18"/>
      <c r="URA2" s="18"/>
      <c r="URB2" s="18"/>
      <c r="URC2" s="18"/>
      <c r="URD2" s="18"/>
      <c r="URE2" s="18"/>
      <c r="URF2" s="18"/>
      <c r="URG2" s="18"/>
      <c r="URH2" s="18"/>
      <c r="URI2" s="18"/>
      <c r="URJ2" s="18"/>
      <c r="URK2" s="18"/>
      <c r="URL2" s="18"/>
      <c r="URM2" s="18"/>
      <c r="URN2" s="18"/>
      <c r="URO2" s="18"/>
      <c r="URP2" s="18"/>
      <c r="URQ2" s="18"/>
      <c r="URR2" s="18"/>
      <c r="URS2" s="18"/>
      <c r="URT2" s="18"/>
      <c r="URU2" s="18"/>
      <c r="URV2" s="18"/>
      <c r="URW2" s="18"/>
      <c r="URX2" s="18"/>
      <c r="URY2" s="18"/>
      <c r="URZ2" s="18"/>
      <c r="USA2" s="18"/>
      <c r="USB2" s="18"/>
      <c r="USC2" s="18"/>
      <c r="USD2" s="18"/>
      <c r="USE2" s="18"/>
      <c r="USF2" s="18"/>
      <c r="USG2" s="18"/>
      <c r="USH2" s="18"/>
      <c r="USI2" s="18"/>
      <c r="USJ2" s="18"/>
      <c r="USK2" s="18"/>
      <c r="USL2" s="18"/>
      <c r="USM2" s="18"/>
      <c r="USN2" s="18"/>
      <c r="USO2" s="18"/>
      <c r="USP2" s="18"/>
      <c r="USQ2" s="18"/>
      <c r="USR2" s="18"/>
      <c r="USS2" s="18"/>
      <c r="UST2" s="18"/>
      <c r="USU2" s="18"/>
      <c r="USV2" s="18"/>
      <c r="USW2" s="18"/>
      <c r="USX2" s="18"/>
      <c r="USY2" s="18"/>
      <c r="USZ2" s="18"/>
      <c r="UTA2" s="18"/>
      <c r="UTB2" s="18"/>
      <c r="UTC2" s="18"/>
      <c r="UTD2" s="18"/>
      <c r="UTE2" s="18"/>
      <c r="UTF2" s="18"/>
      <c r="UTG2" s="18"/>
      <c r="UTH2" s="18"/>
      <c r="UTI2" s="18"/>
      <c r="UTJ2" s="18"/>
      <c r="UTK2" s="18"/>
      <c r="UTL2" s="18"/>
      <c r="UTM2" s="18"/>
      <c r="UTN2" s="18"/>
      <c r="UTO2" s="18"/>
      <c r="UTP2" s="18"/>
      <c r="UTQ2" s="18"/>
      <c r="UTR2" s="18"/>
      <c r="UTS2" s="18"/>
      <c r="UTT2" s="18"/>
      <c r="UTU2" s="18"/>
      <c r="UTV2" s="18"/>
      <c r="UTW2" s="18"/>
      <c r="UTX2" s="18"/>
      <c r="UTY2" s="18"/>
      <c r="UTZ2" s="18"/>
      <c r="UUA2" s="18"/>
      <c r="UUB2" s="18"/>
      <c r="UUC2" s="18"/>
      <c r="UUD2" s="18"/>
      <c r="UUE2" s="18"/>
      <c r="UUF2" s="18"/>
      <c r="UUG2" s="18"/>
      <c r="UUH2" s="18"/>
      <c r="UUI2" s="18"/>
      <c r="UUJ2" s="18"/>
      <c r="UUK2" s="18"/>
      <c r="UUL2" s="18"/>
      <c r="UUM2" s="18"/>
      <c r="UUN2" s="18"/>
      <c r="UUO2" s="18"/>
      <c r="UUP2" s="18"/>
      <c r="UUQ2" s="18"/>
      <c r="UUR2" s="18"/>
      <c r="UUS2" s="18"/>
      <c r="UUT2" s="18"/>
      <c r="UUU2" s="18"/>
      <c r="UUV2" s="18"/>
      <c r="UUW2" s="18"/>
      <c r="UUX2" s="18"/>
      <c r="UUY2" s="18"/>
      <c r="UUZ2" s="18"/>
      <c r="UVA2" s="18"/>
      <c r="UVB2" s="18"/>
      <c r="UVC2" s="18"/>
      <c r="UVD2" s="18"/>
      <c r="UVE2" s="18"/>
      <c r="UVF2" s="18"/>
      <c r="UVG2" s="18"/>
      <c r="UVH2" s="18"/>
      <c r="UVI2" s="18"/>
      <c r="UVJ2" s="18"/>
      <c r="UVK2" s="18"/>
      <c r="UVL2" s="18"/>
      <c r="UVM2" s="18"/>
      <c r="UVN2" s="18"/>
      <c r="UVO2" s="18"/>
      <c r="UVP2" s="18"/>
      <c r="UVQ2" s="18"/>
      <c r="UVR2" s="18"/>
      <c r="UVS2" s="18"/>
      <c r="UVT2" s="18"/>
      <c r="UVU2" s="18"/>
      <c r="UVV2" s="18"/>
      <c r="UVW2" s="18"/>
      <c r="UVX2" s="18"/>
      <c r="UVY2" s="18"/>
      <c r="UVZ2" s="18"/>
      <c r="UWA2" s="18"/>
      <c r="UWB2" s="18"/>
      <c r="UWC2" s="18"/>
      <c r="UWD2" s="18"/>
      <c r="UWE2" s="18"/>
      <c r="UWF2" s="18"/>
      <c r="UWG2" s="18"/>
      <c r="UWH2" s="18"/>
      <c r="UWI2" s="18"/>
      <c r="UWJ2" s="18"/>
      <c r="UWK2" s="18"/>
      <c r="UWL2" s="18"/>
      <c r="UWM2" s="18"/>
      <c r="UWN2" s="18"/>
      <c r="UWO2" s="18"/>
      <c r="UWP2" s="18"/>
      <c r="UWQ2" s="18"/>
      <c r="UWR2" s="18"/>
      <c r="UWS2" s="18"/>
      <c r="UWT2" s="18"/>
      <c r="UWU2" s="18"/>
      <c r="UWV2" s="18"/>
      <c r="UWW2" s="18"/>
      <c r="UWX2" s="18"/>
      <c r="UWY2" s="18"/>
      <c r="UWZ2" s="18"/>
      <c r="UXA2" s="18"/>
      <c r="UXB2" s="18"/>
      <c r="UXC2" s="18"/>
      <c r="UXD2" s="18"/>
      <c r="UXE2" s="18"/>
      <c r="UXF2" s="18"/>
      <c r="UXG2" s="18"/>
      <c r="UXH2" s="18"/>
      <c r="UXI2" s="18"/>
      <c r="UXJ2" s="18"/>
      <c r="UXK2" s="18"/>
      <c r="UXL2" s="18"/>
      <c r="UXM2" s="18"/>
      <c r="UXN2" s="18"/>
      <c r="UXO2" s="18"/>
      <c r="UXP2" s="18"/>
      <c r="UXQ2" s="18"/>
      <c r="UXR2" s="18"/>
      <c r="UXS2" s="18"/>
      <c r="UXT2" s="18"/>
      <c r="UXU2" s="18"/>
      <c r="UXV2" s="18"/>
      <c r="UXW2" s="18"/>
      <c r="UXX2" s="18"/>
      <c r="UXY2" s="18"/>
      <c r="UXZ2" s="18"/>
      <c r="UYA2" s="18"/>
      <c r="UYB2" s="18"/>
      <c r="UYC2" s="18"/>
      <c r="UYD2" s="18"/>
      <c r="UYE2" s="18"/>
      <c r="UYF2" s="18"/>
      <c r="UYG2" s="18"/>
      <c r="UYH2" s="18"/>
      <c r="UYI2" s="18"/>
      <c r="UYJ2" s="18"/>
      <c r="UYK2" s="18"/>
      <c r="UYL2" s="18"/>
      <c r="UYM2" s="18"/>
      <c r="UYN2" s="18"/>
      <c r="UYO2" s="18"/>
      <c r="UYP2" s="18"/>
      <c r="UYQ2" s="18"/>
      <c r="UYR2" s="18"/>
      <c r="UYS2" s="18"/>
      <c r="UYT2" s="18"/>
      <c r="UYU2" s="18"/>
      <c r="UYV2" s="18"/>
      <c r="UYW2" s="18"/>
      <c r="UYX2" s="18"/>
      <c r="UYY2" s="18"/>
      <c r="UYZ2" s="18"/>
      <c r="UZA2" s="18"/>
      <c r="UZB2" s="18"/>
      <c r="UZC2" s="18"/>
      <c r="UZD2" s="18"/>
      <c r="UZE2" s="18"/>
      <c r="UZF2" s="18"/>
      <c r="UZG2" s="18"/>
      <c r="UZH2" s="18"/>
      <c r="UZI2" s="18"/>
      <c r="UZJ2" s="18"/>
      <c r="UZK2" s="18"/>
      <c r="UZL2" s="18"/>
      <c r="UZM2" s="18"/>
      <c r="UZN2" s="18"/>
      <c r="UZO2" s="18"/>
      <c r="UZP2" s="18"/>
      <c r="UZQ2" s="18"/>
      <c r="UZR2" s="18"/>
      <c r="UZS2" s="18"/>
      <c r="UZT2" s="18"/>
      <c r="UZU2" s="18"/>
      <c r="UZV2" s="18"/>
      <c r="UZW2" s="18"/>
      <c r="UZX2" s="18"/>
      <c r="UZY2" s="18"/>
      <c r="UZZ2" s="18"/>
      <c r="VAA2" s="18"/>
      <c r="VAB2" s="18"/>
      <c r="VAC2" s="18"/>
      <c r="VAD2" s="18"/>
      <c r="VAE2" s="18"/>
      <c r="VAF2" s="18"/>
      <c r="VAG2" s="18"/>
      <c r="VAH2" s="18"/>
      <c r="VAI2" s="18"/>
      <c r="VAJ2" s="18"/>
      <c r="VAK2" s="18"/>
      <c r="VAL2" s="18"/>
      <c r="VAM2" s="18"/>
      <c r="VAN2" s="18"/>
      <c r="VAO2" s="18"/>
      <c r="VAP2" s="18"/>
      <c r="VAQ2" s="18"/>
      <c r="VAR2" s="18"/>
      <c r="VAS2" s="18"/>
      <c r="VAT2" s="18"/>
      <c r="VAU2" s="18"/>
      <c r="VAV2" s="18"/>
      <c r="VAW2" s="18"/>
      <c r="VAX2" s="18"/>
      <c r="VAY2" s="18"/>
      <c r="VAZ2" s="18"/>
      <c r="VBA2" s="18"/>
      <c r="VBB2" s="18"/>
      <c r="VBC2" s="18"/>
      <c r="VBD2" s="18"/>
      <c r="VBE2" s="18"/>
      <c r="VBF2" s="18"/>
      <c r="VBG2" s="18"/>
      <c r="VBH2" s="18"/>
      <c r="VBI2" s="18"/>
      <c r="VBJ2" s="18"/>
      <c r="VBK2" s="18"/>
      <c r="VBL2" s="18"/>
      <c r="VBM2" s="18"/>
      <c r="VBN2" s="18"/>
      <c r="VBO2" s="18"/>
      <c r="VBP2" s="18"/>
      <c r="VBQ2" s="18"/>
      <c r="VBR2" s="18"/>
      <c r="VBS2" s="18"/>
      <c r="VBT2" s="18"/>
      <c r="VBU2" s="18"/>
      <c r="VBV2" s="18"/>
      <c r="VBW2" s="18"/>
      <c r="VBX2" s="18"/>
      <c r="VBY2" s="18"/>
      <c r="VBZ2" s="18"/>
      <c r="VCA2" s="18"/>
      <c r="VCB2" s="18"/>
      <c r="VCC2" s="18"/>
      <c r="VCD2" s="18"/>
      <c r="VCE2" s="18"/>
      <c r="VCF2" s="18"/>
      <c r="VCG2" s="18"/>
      <c r="VCH2" s="18"/>
      <c r="VCI2" s="18"/>
      <c r="VCJ2" s="18"/>
      <c r="VCK2" s="18"/>
      <c r="VCL2" s="18"/>
      <c r="VCM2" s="18"/>
      <c r="VCN2" s="18"/>
      <c r="VCO2" s="18"/>
      <c r="VCP2" s="18"/>
      <c r="VCQ2" s="18"/>
      <c r="VCR2" s="18"/>
      <c r="VCS2" s="18"/>
      <c r="VCT2" s="18"/>
      <c r="VCU2" s="18"/>
      <c r="VCV2" s="18"/>
      <c r="VCW2" s="18"/>
      <c r="VCX2" s="18"/>
      <c r="VCY2" s="18"/>
      <c r="VCZ2" s="18"/>
      <c r="VDA2" s="18"/>
      <c r="VDB2" s="18"/>
      <c r="VDC2" s="18"/>
      <c r="VDD2" s="18"/>
      <c r="VDE2" s="18"/>
      <c r="VDF2" s="18"/>
      <c r="VDG2" s="18"/>
      <c r="VDH2" s="18"/>
      <c r="VDI2" s="18"/>
      <c r="VDJ2" s="18"/>
      <c r="VDK2" s="18"/>
      <c r="VDL2" s="18"/>
      <c r="VDM2" s="18"/>
      <c r="VDN2" s="18"/>
      <c r="VDO2" s="18"/>
      <c r="VDP2" s="18"/>
      <c r="VDQ2" s="18"/>
      <c r="VDR2" s="18"/>
      <c r="VDS2" s="18"/>
      <c r="VDT2" s="18"/>
      <c r="VDU2" s="18"/>
      <c r="VDV2" s="18"/>
      <c r="VDW2" s="18"/>
      <c r="VDX2" s="18"/>
      <c r="VDY2" s="18"/>
      <c r="VDZ2" s="18"/>
      <c r="VEA2" s="18"/>
      <c r="VEB2" s="18"/>
      <c r="VEC2" s="18"/>
      <c r="VED2" s="18"/>
      <c r="VEE2" s="18"/>
      <c r="VEF2" s="18"/>
      <c r="VEG2" s="18"/>
      <c r="VEH2" s="18"/>
      <c r="VEI2" s="18"/>
      <c r="VEJ2" s="18"/>
      <c r="VEK2" s="18"/>
      <c r="VEL2" s="18"/>
      <c r="VEM2" s="18"/>
      <c r="VEN2" s="18"/>
      <c r="VEO2" s="18"/>
      <c r="VEP2" s="18"/>
      <c r="VEQ2" s="18"/>
      <c r="VER2" s="18"/>
      <c r="VES2" s="18"/>
      <c r="VET2" s="18"/>
      <c r="VEU2" s="18"/>
      <c r="VEV2" s="18"/>
      <c r="VEW2" s="18"/>
      <c r="VEX2" s="18"/>
      <c r="VEY2" s="18"/>
      <c r="VEZ2" s="18"/>
      <c r="VFA2" s="18"/>
      <c r="VFB2" s="18"/>
      <c r="VFC2" s="18"/>
      <c r="VFD2" s="18"/>
      <c r="VFE2" s="18"/>
      <c r="VFF2" s="18"/>
      <c r="VFG2" s="18"/>
      <c r="VFH2" s="18"/>
      <c r="VFI2" s="18"/>
      <c r="VFJ2" s="18"/>
      <c r="VFK2" s="18"/>
      <c r="VFL2" s="18"/>
      <c r="VFM2" s="18"/>
      <c r="VFN2" s="18"/>
      <c r="VFO2" s="18"/>
      <c r="VFP2" s="18"/>
      <c r="VFQ2" s="18"/>
      <c r="VFR2" s="18"/>
      <c r="VFS2" s="18"/>
      <c r="VFT2" s="18"/>
      <c r="VFU2" s="18"/>
      <c r="VFV2" s="18"/>
      <c r="VFW2" s="18"/>
      <c r="VFX2" s="18"/>
      <c r="VFY2" s="18"/>
      <c r="VFZ2" s="18"/>
      <c r="VGA2" s="18"/>
      <c r="VGB2" s="18"/>
      <c r="VGC2" s="18"/>
      <c r="VGD2" s="18"/>
      <c r="VGE2" s="18"/>
      <c r="VGF2" s="18"/>
      <c r="VGG2" s="18"/>
      <c r="VGH2" s="18"/>
      <c r="VGI2" s="18"/>
      <c r="VGJ2" s="18"/>
      <c r="VGK2" s="18"/>
      <c r="VGL2" s="18"/>
      <c r="VGM2" s="18"/>
      <c r="VGN2" s="18"/>
      <c r="VGO2" s="18"/>
      <c r="VGP2" s="18"/>
      <c r="VGQ2" s="18"/>
      <c r="VGR2" s="18"/>
      <c r="VGS2" s="18"/>
      <c r="VGT2" s="18"/>
      <c r="VGU2" s="18"/>
      <c r="VGV2" s="18"/>
      <c r="VGW2" s="18"/>
      <c r="VGX2" s="18"/>
      <c r="VGY2" s="18"/>
      <c r="VGZ2" s="18"/>
      <c r="VHA2" s="18"/>
      <c r="VHB2" s="18"/>
      <c r="VHC2" s="18"/>
      <c r="VHD2" s="18"/>
      <c r="VHE2" s="18"/>
      <c r="VHF2" s="18"/>
      <c r="VHG2" s="18"/>
      <c r="VHH2" s="18"/>
      <c r="VHI2" s="18"/>
      <c r="VHJ2" s="18"/>
      <c r="VHK2" s="18"/>
      <c r="VHL2" s="18"/>
      <c r="VHM2" s="18"/>
      <c r="VHN2" s="18"/>
      <c r="VHO2" s="18"/>
      <c r="VHP2" s="18"/>
      <c r="VHQ2" s="18"/>
      <c r="VHR2" s="18"/>
      <c r="VHS2" s="18"/>
      <c r="VHT2" s="18"/>
      <c r="VHU2" s="18"/>
      <c r="VHV2" s="18"/>
      <c r="VHW2" s="18"/>
      <c r="VHX2" s="18"/>
      <c r="VHY2" s="18"/>
      <c r="VHZ2" s="18"/>
      <c r="VIA2" s="18"/>
      <c r="VIB2" s="18"/>
      <c r="VIC2" s="18"/>
      <c r="VID2" s="18"/>
      <c r="VIE2" s="18"/>
      <c r="VIF2" s="18"/>
      <c r="VIG2" s="18"/>
      <c r="VIH2" s="18"/>
      <c r="VII2" s="18"/>
      <c r="VIJ2" s="18"/>
      <c r="VIK2" s="18"/>
      <c r="VIL2" s="18"/>
      <c r="VIM2" s="18"/>
      <c r="VIN2" s="18"/>
      <c r="VIO2" s="18"/>
      <c r="VIP2" s="18"/>
      <c r="VIQ2" s="18"/>
      <c r="VIR2" s="18"/>
      <c r="VIS2" s="18"/>
      <c r="VIT2" s="18"/>
      <c r="VIU2" s="18"/>
      <c r="VIV2" s="18"/>
      <c r="VIW2" s="18"/>
      <c r="VIX2" s="18"/>
      <c r="VIY2" s="18"/>
      <c r="VIZ2" s="18"/>
      <c r="VJA2" s="18"/>
      <c r="VJB2" s="18"/>
      <c r="VJC2" s="18"/>
      <c r="VJD2" s="18"/>
      <c r="VJE2" s="18"/>
      <c r="VJF2" s="18"/>
      <c r="VJG2" s="18"/>
      <c r="VJH2" s="18"/>
      <c r="VJI2" s="18"/>
      <c r="VJJ2" s="18"/>
      <c r="VJK2" s="18"/>
      <c r="VJL2" s="18"/>
      <c r="VJM2" s="18"/>
      <c r="VJN2" s="18"/>
      <c r="VJO2" s="18"/>
      <c r="VJP2" s="18"/>
      <c r="VJQ2" s="18"/>
      <c r="VJR2" s="18"/>
      <c r="VJS2" s="18"/>
      <c r="VJT2" s="18"/>
      <c r="VJU2" s="18"/>
      <c r="VJV2" s="18"/>
      <c r="VJW2" s="18"/>
      <c r="VJX2" s="18"/>
      <c r="VJY2" s="18"/>
      <c r="VJZ2" s="18"/>
      <c r="VKA2" s="18"/>
      <c r="VKB2" s="18"/>
      <c r="VKC2" s="18"/>
      <c r="VKD2" s="18"/>
      <c r="VKE2" s="18"/>
      <c r="VKF2" s="18"/>
      <c r="VKG2" s="18"/>
      <c r="VKH2" s="18"/>
      <c r="VKI2" s="18"/>
      <c r="VKJ2" s="18"/>
      <c r="VKK2" s="18"/>
      <c r="VKL2" s="18"/>
      <c r="VKM2" s="18"/>
      <c r="VKN2" s="18"/>
      <c r="VKO2" s="18"/>
      <c r="VKP2" s="18"/>
      <c r="VKQ2" s="18"/>
      <c r="VKR2" s="18"/>
      <c r="VKS2" s="18"/>
      <c r="VKT2" s="18"/>
      <c r="VKU2" s="18"/>
      <c r="VKV2" s="18"/>
      <c r="VKW2" s="18"/>
      <c r="VKX2" s="18"/>
      <c r="VKY2" s="18"/>
      <c r="VKZ2" s="18"/>
      <c r="VLA2" s="18"/>
      <c r="VLB2" s="18"/>
      <c r="VLC2" s="18"/>
      <c r="VLD2" s="18"/>
      <c r="VLE2" s="18"/>
      <c r="VLF2" s="18"/>
      <c r="VLG2" s="18"/>
      <c r="VLH2" s="18"/>
      <c r="VLI2" s="18"/>
      <c r="VLJ2" s="18"/>
      <c r="VLK2" s="18"/>
      <c r="VLL2" s="18"/>
      <c r="VLM2" s="18"/>
      <c r="VLN2" s="18"/>
      <c r="VLO2" s="18"/>
      <c r="VLP2" s="18"/>
      <c r="VLQ2" s="18"/>
      <c r="VLR2" s="18"/>
      <c r="VLS2" s="18"/>
      <c r="VLT2" s="18"/>
      <c r="VLU2" s="18"/>
      <c r="VLV2" s="18"/>
      <c r="VLW2" s="18"/>
      <c r="VLX2" s="18"/>
      <c r="VLY2" s="18"/>
      <c r="VLZ2" s="18"/>
      <c r="VMA2" s="18"/>
      <c r="VMB2" s="18"/>
      <c r="VMC2" s="18"/>
      <c r="VMD2" s="18"/>
      <c r="VME2" s="18"/>
      <c r="VMF2" s="18"/>
      <c r="VMG2" s="18"/>
      <c r="VMH2" s="18"/>
      <c r="VMI2" s="18"/>
      <c r="VMJ2" s="18"/>
      <c r="VMK2" s="18"/>
      <c r="VML2" s="18"/>
      <c r="VMM2" s="18"/>
      <c r="VMN2" s="18"/>
      <c r="VMO2" s="18"/>
      <c r="VMP2" s="18"/>
      <c r="VMQ2" s="18"/>
      <c r="VMR2" s="18"/>
      <c r="VMS2" s="18"/>
      <c r="VMT2" s="18"/>
      <c r="VMU2" s="18"/>
      <c r="VMV2" s="18"/>
      <c r="VMW2" s="18"/>
      <c r="VMX2" s="18"/>
      <c r="VMY2" s="18"/>
      <c r="VMZ2" s="18"/>
      <c r="VNA2" s="18"/>
      <c r="VNB2" s="18"/>
      <c r="VNC2" s="18"/>
      <c r="VND2" s="18"/>
      <c r="VNE2" s="18"/>
      <c r="VNF2" s="18"/>
      <c r="VNG2" s="18"/>
      <c r="VNH2" s="18"/>
      <c r="VNI2" s="18"/>
      <c r="VNJ2" s="18"/>
      <c r="VNK2" s="18"/>
      <c r="VNL2" s="18"/>
      <c r="VNM2" s="18"/>
      <c r="VNN2" s="18"/>
      <c r="VNO2" s="18"/>
      <c r="VNP2" s="18"/>
      <c r="VNQ2" s="18"/>
      <c r="VNR2" s="18"/>
      <c r="VNS2" s="18"/>
      <c r="VNT2" s="18"/>
      <c r="VNU2" s="18"/>
      <c r="VNV2" s="18"/>
      <c r="VNW2" s="18"/>
      <c r="VNX2" s="18"/>
      <c r="VNY2" s="18"/>
      <c r="VNZ2" s="18"/>
      <c r="VOA2" s="18"/>
      <c r="VOB2" s="18"/>
      <c r="VOC2" s="18"/>
      <c r="VOD2" s="18"/>
      <c r="VOE2" s="18"/>
      <c r="VOF2" s="18"/>
      <c r="VOG2" s="18"/>
      <c r="VOH2" s="18"/>
      <c r="VOI2" s="18"/>
      <c r="VOJ2" s="18"/>
      <c r="VOK2" s="18"/>
      <c r="VOL2" s="18"/>
      <c r="VOM2" s="18"/>
      <c r="VON2" s="18"/>
      <c r="VOO2" s="18"/>
      <c r="VOP2" s="18"/>
      <c r="VOQ2" s="18"/>
      <c r="VOR2" s="18"/>
      <c r="VOS2" s="18"/>
      <c r="VOT2" s="18"/>
      <c r="VOU2" s="18"/>
      <c r="VOV2" s="18"/>
      <c r="VOW2" s="18"/>
      <c r="VOX2" s="18"/>
      <c r="VOY2" s="18"/>
      <c r="VOZ2" s="18"/>
      <c r="VPA2" s="18"/>
      <c r="VPB2" s="18"/>
      <c r="VPC2" s="18"/>
      <c r="VPD2" s="18"/>
      <c r="VPE2" s="18"/>
      <c r="VPF2" s="18"/>
      <c r="VPG2" s="18"/>
      <c r="VPH2" s="18"/>
      <c r="VPI2" s="18"/>
      <c r="VPJ2" s="18"/>
      <c r="VPK2" s="18"/>
      <c r="VPL2" s="18"/>
      <c r="VPM2" s="18"/>
      <c r="VPN2" s="18"/>
      <c r="VPO2" s="18"/>
      <c r="VPP2" s="18"/>
      <c r="VPQ2" s="18"/>
      <c r="VPR2" s="18"/>
      <c r="VPS2" s="18"/>
      <c r="VPT2" s="18"/>
      <c r="VPU2" s="18"/>
      <c r="VPV2" s="18"/>
      <c r="VPW2" s="18"/>
      <c r="VPX2" s="18"/>
      <c r="VPY2" s="18"/>
      <c r="VPZ2" s="18"/>
      <c r="VQA2" s="18"/>
      <c r="VQB2" s="18"/>
      <c r="VQC2" s="18"/>
      <c r="VQD2" s="18"/>
      <c r="VQE2" s="18"/>
      <c r="VQF2" s="18"/>
      <c r="VQG2" s="18"/>
      <c r="VQH2" s="18"/>
      <c r="VQI2" s="18"/>
      <c r="VQJ2" s="18"/>
      <c r="VQK2" s="18"/>
      <c r="VQL2" s="18"/>
      <c r="VQM2" s="18"/>
      <c r="VQN2" s="18"/>
      <c r="VQO2" s="18"/>
      <c r="VQP2" s="18"/>
      <c r="VQQ2" s="18"/>
      <c r="VQR2" s="18"/>
      <c r="VQS2" s="18"/>
      <c r="VQT2" s="18"/>
      <c r="VQU2" s="18"/>
      <c r="VQV2" s="18"/>
      <c r="VQW2" s="18"/>
      <c r="VQX2" s="18"/>
      <c r="VQY2" s="18"/>
      <c r="VQZ2" s="18"/>
      <c r="VRA2" s="18"/>
      <c r="VRB2" s="18"/>
      <c r="VRC2" s="18"/>
      <c r="VRD2" s="18"/>
      <c r="VRE2" s="18"/>
      <c r="VRF2" s="18"/>
      <c r="VRG2" s="18"/>
      <c r="VRH2" s="18"/>
      <c r="VRI2" s="18"/>
      <c r="VRJ2" s="18"/>
      <c r="VRK2" s="18"/>
      <c r="VRL2" s="18"/>
      <c r="VRM2" s="18"/>
      <c r="VRN2" s="18"/>
      <c r="VRO2" s="18"/>
      <c r="VRP2" s="18"/>
      <c r="VRQ2" s="18"/>
      <c r="VRR2" s="18"/>
      <c r="VRS2" s="18"/>
      <c r="VRT2" s="18"/>
      <c r="VRU2" s="18"/>
      <c r="VRV2" s="18"/>
      <c r="VRW2" s="18"/>
      <c r="VRX2" s="18"/>
      <c r="VRY2" s="18"/>
      <c r="VRZ2" s="18"/>
      <c r="VSA2" s="18"/>
      <c r="VSB2" s="18"/>
      <c r="VSC2" s="18"/>
      <c r="VSD2" s="18"/>
      <c r="VSE2" s="18"/>
      <c r="VSF2" s="18"/>
      <c r="VSG2" s="18"/>
      <c r="VSH2" s="18"/>
      <c r="VSI2" s="18"/>
      <c r="VSJ2" s="18"/>
      <c r="VSK2" s="18"/>
      <c r="VSL2" s="18"/>
      <c r="VSM2" s="18"/>
      <c r="VSN2" s="18"/>
      <c r="VSO2" s="18"/>
      <c r="VSP2" s="18"/>
      <c r="VSQ2" s="18"/>
      <c r="VSR2" s="18"/>
      <c r="VSS2" s="18"/>
      <c r="VST2" s="18"/>
      <c r="VSU2" s="18"/>
      <c r="VSV2" s="18"/>
      <c r="VSW2" s="18"/>
      <c r="VSX2" s="18"/>
      <c r="VSY2" s="18"/>
      <c r="VSZ2" s="18"/>
      <c r="VTA2" s="18"/>
      <c r="VTB2" s="18"/>
      <c r="VTC2" s="18"/>
      <c r="VTD2" s="18"/>
      <c r="VTE2" s="18"/>
      <c r="VTF2" s="18"/>
      <c r="VTG2" s="18"/>
      <c r="VTH2" s="18"/>
      <c r="VTI2" s="18"/>
      <c r="VTJ2" s="18"/>
      <c r="VTK2" s="18"/>
      <c r="VTL2" s="18"/>
      <c r="VTM2" s="18"/>
      <c r="VTN2" s="18"/>
      <c r="VTO2" s="18"/>
      <c r="VTP2" s="18"/>
      <c r="VTQ2" s="18"/>
      <c r="VTR2" s="18"/>
      <c r="VTS2" s="18"/>
      <c r="VTT2" s="18"/>
      <c r="VTU2" s="18"/>
      <c r="VTV2" s="18"/>
      <c r="VTW2" s="18"/>
      <c r="VTX2" s="18"/>
      <c r="VTY2" s="18"/>
      <c r="VTZ2" s="18"/>
      <c r="VUA2" s="18"/>
      <c r="VUB2" s="18"/>
      <c r="VUC2" s="18"/>
      <c r="VUD2" s="18"/>
      <c r="VUE2" s="18"/>
      <c r="VUF2" s="18"/>
      <c r="VUG2" s="18"/>
      <c r="VUH2" s="18"/>
      <c r="VUI2" s="18"/>
      <c r="VUJ2" s="18"/>
      <c r="VUK2" s="18"/>
      <c r="VUL2" s="18"/>
      <c r="VUM2" s="18"/>
      <c r="VUN2" s="18"/>
      <c r="VUO2" s="18"/>
      <c r="VUP2" s="18"/>
      <c r="VUQ2" s="18"/>
      <c r="VUR2" s="18"/>
      <c r="VUS2" s="18"/>
      <c r="VUT2" s="18"/>
      <c r="VUU2" s="18"/>
      <c r="VUV2" s="18"/>
      <c r="VUW2" s="18"/>
      <c r="VUX2" s="18"/>
      <c r="VUY2" s="18"/>
      <c r="VUZ2" s="18"/>
      <c r="VVA2" s="18"/>
      <c r="VVB2" s="18"/>
      <c r="VVC2" s="18"/>
      <c r="VVD2" s="18"/>
      <c r="VVE2" s="18"/>
      <c r="VVF2" s="18"/>
      <c r="VVG2" s="18"/>
      <c r="VVH2" s="18"/>
      <c r="VVI2" s="18"/>
      <c r="VVJ2" s="18"/>
      <c r="VVK2" s="18"/>
      <c r="VVL2" s="18"/>
      <c r="VVM2" s="18"/>
      <c r="VVN2" s="18"/>
      <c r="VVO2" s="18"/>
      <c r="VVP2" s="18"/>
      <c r="VVQ2" s="18"/>
      <c r="VVR2" s="18"/>
      <c r="VVS2" s="18"/>
      <c r="VVT2" s="18"/>
      <c r="VVU2" s="18"/>
      <c r="VVV2" s="18"/>
      <c r="VVW2" s="18"/>
      <c r="VVX2" s="18"/>
      <c r="VVY2" s="18"/>
      <c r="VVZ2" s="18"/>
      <c r="VWA2" s="18"/>
      <c r="VWB2" s="18"/>
      <c r="VWC2" s="18"/>
      <c r="VWD2" s="18"/>
      <c r="VWE2" s="18"/>
      <c r="VWF2" s="18"/>
      <c r="VWG2" s="18"/>
      <c r="VWH2" s="18"/>
      <c r="VWI2" s="18"/>
      <c r="VWJ2" s="18"/>
      <c r="VWK2" s="18"/>
      <c r="VWL2" s="18"/>
      <c r="VWM2" s="18"/>
      <c r="VWN2" s="18"/>
      <c r="VWO2" s="18"/>
      <c r="VWP2" s="18"/>
      <c r="VWQ2" s="18"/>
      <c r="VWR2" s="18"/>
      <c r="VWS2" s="18"/>
      <c r="VWT2" s="18"/>
      <c r="VWU2" s="18"/>
      <c r="VWV2" s="18"/>
      <c r="VWW2" s="18"/>
      <c r="VWX2" s="18"/>
      <c r="VWY2" s="18"/>
      <c r="VWZ2" s="18"/>
      <c r="VXA2" s="18"/>
      <c r="VXB2" s="18"/>
      <c r="VXC2" s="18"/>
      <c r="VXD2" s="18"/>
      <c r="VXE2" s="18"/>
      <c r="VXF2" s="18"/>
      <c r="VXG2" s="18"/>
      <c r="VXH2" s="18"/>
      <c r="VXI2" s="18"/>
      <c r="VXJ2" s="18"/>
      <c r="VXK2" s="18"/>
      <c r="VXL2" s="18"/>
      <c r="VXM2" s="18"/>
      <c r="VXN2" s="18"/>
      <c r="VXO2" s="18"/>
      <c r="VXP2" s="18"/>
      <c r="VXQ2" s="18"/>
      <c r="VXR2" s="18"/>
      <c r="VXS2" s="18"/>
      <c r="VXT2" s="18"/>
      <c r="VXU2" s="18"/>
      <c r="VXV2" s="18"/>
      <c r="VXW2" s="18"/>
      <c r="VXX2" s="18"/>
      <c r="VXY2" s="18"/>
      <c r="VXZ2" s="18"/>
      <c r="VYA2" s="18"/>
      <c r="VYB2" s="18"/>
      <c r="VYC2" s="18"/>
      <c r="VYD2" s="18"/>
      <c r="VYE2" s="18"/>
      <c r="VYF2" s="18"/>
      <c r="VYG2" s="18"/>
      <c r="VYH2" s="18"/>
      <c r="VYI2" s="18"/>
      <c r="VYJ2" s="18"/>
      <c r="VYK2" s="18"/>
      <c r="VYL2" s="18"/>
      <c r="VYM2" s="18"/>
      <c r="VYN2" s="18"/>
      <c r="VYO2" s="18"/>
      <c r="VYP2" s="18"/>
      <c r="VYQ2" s="18"/>
      <c r="VYR2" s="18"/>
      <c r="VYS2" s="18"/>
      <c r="VYT2" s="18"/>
      <c r="VYU2" s="18"/>
      <c r="VYV2" s="18"/>
      <c r="VYW2" s="18"/>
      <c r="VYX2" s="18"/>
      <c r="VYY2" s="18"/>
      <c r="VYZ2" s="18"/>
      <c r="VZA2" s="18"/>
      <c r="VZB2" s="18"/>
      <c r="VZC2" s="18"/>
      <c r="VZD2" s="18"/>
      <c r="VZE2" s="18"/>
      <c r="VZF2" s="18"/>
      <c r="VZG2" s="18"/>
      <c r="VZH2" s="18"/>
      <c r="VZI2" s="18"/>
      <c r="VZJ2" s="18"/>
      <c r="VZK2" s="18"/>
      <c r="VZL2" s="18"/>
      <c r="VZM2" s="18"/>
      <c r="VZN2" s="18"/>
      <c r="VZO2" s="18"/>
      <c r="VZP2" s="18"/>
      <c r="VZQ2" s="18"/>
      <c r="VZR2" s="18"/>
      <c r="VZS2" s="18"/>
      <c r="VZT2" s="18"/>
      <c r="VZU2" s="18"/>
      <c r="VZV2" s="18"/>
      <c r="VZW2" s="18"/>
      <c r="VZX2" s="18"/>
      <c r="VZY2" s="18"/>
      <c r="VZZ2" s="18"/>
      <c r="WAA2" s="18"/>
      <c r="WAB2" s="18"/>
      <c r="WAC2" s="18"/>
      <c r="WAD2" s="18"/>
      <c r="WAE2" s="18"/>
      <c r="WAF2" s="18"/>
      <c r="WAG2" s="18"/>
      <c r="WAH2" s="18"/>
      <c r="WAI2" s="18"/>
      <c r="WAJ2" s="18"/>
      <c r="WAK2" s="18"/>
      <c r="WAL2" s="18"/>
      <c r="WAM2" s="18"/>
      <c r="WAN2" s="18"/>
      <c r="WAO2" s="18"/>
      <c r="WAP2" s="18"/>
      <c r="WAQ2" s="18"/>
      <c r="WAR2" s="18"/>
      <c r="WAS2" s="18"/>
      <c r="WAT2" s="18"/>
      <c r="WAU2" s="18"/>
      <c r="WAV2" s="18"/>
      <c r="WAW2" s="18"/>
      <c r="WAX2" s="18"/>
      <c r="WAY2" s="18"/>
      <c r="WAZ2" s="18"/>
      <c r="WBA2" s="18"/>
      <c r="WBB2" s="18"/>
      <c r="WBC2" s="18"/>
      <c r="WBD2" s="18"/>
      <c r="WBE2" s="18"/>
      <c r="WBF2" s="18"/>
      <c r="WBG2" s="18"/>
      <c r="WBH2" s="18"/>
      <c r="WBI2" s="18"/>
      <c r="WBJ2" s="18"/>
      <c r="WBK2" s="18"/>
      <c r="WBL2" s="18"/>
      <c r="WBM2" s="18"/>
      <c r="WBN2" s="18"/>
      <c r="WBO2" s="18"/>
      <c r="WBP2" s="18"/>
      <c r="WBQ2" s="18"/>
      <c r="WBR2" s="18"/>
      <c r="WBS2" s="18"/>
      <c r="WBT2" s="18"/>
      <c r="WBU2" s="18"/>
      <c r="WBV2" s="18"/>
      <c r="WBW2" s="18"/>
      <c r="WBX2" s="18"/>
      <c r="WBY2" s="18"/>
      <c r="WBZ2" s="18"/>
      <c r="WCA2" s="18"/>
      <c r="WCB2" s="18"/>
      <c r="WCC2" s="18"/>
      <c r="WCD2" s="18"/>
      <c r="WCE2" s="18"/>
      <c r="WCF2" s="18"/>
      <c r="WCG2" s="18"/>
      <c r="WCH2" s="18"/>
      <c r="WCI2" s="18"/>
      <c r="WCJ2" s="18"/>
      <c r="WCK2" s="18"/>
      <c r="WCL2" s="18"/>
      <c r="WCM2" s="18"/>
      <c r="WCN2" s="18"/>
      <c r="WCO2" s="18"/>
      <c r="WCP2" s="18"/>
      <c r="WCQ2" s="18"/>
      <c r="WCR2" s="18"/>
      <c r="WCS2" s="18"/>
      <c r="WCT2" s="18"/>
      <c r="WCU2" s="18"/>
      <c r="WCV2" s="18"/>
      <c r="WCW2" s="18"/>
      <c r="WCX2" s="18"/>
      <c r="WCY2" s="18"/>
      <c r="WCZ2" s="18"/>
      <c r="WDA2" s="18"/>
      <c r="WDB2" s="18"/>
      <c r="WDC2" s="18"/>
      <c r="WDD2" s="18"/>
      <c r="WDE2" s="18"/>
      <c r="WDF2" s="18"/>
      <c r="WDG2" s="18"/>
      <c r="WDH2" s="18"/>
      <c r="WDI2" s="18"/>
      <c r="WDJ2" s="18"/>
      <c r="WDK2" s="18"/>
      <c r="WDL2" s="18"/>
      <c r="WDM2" s="18"/>
      <c r="WDN2" s="18"/>
      <c r="WDO2" s="18"/>
      <c r="WDP2" s="18"/>
      <c r="WDQ2" s="18"/>
      <c r="WDR2" s="18"/>
      <c r="WDS2" s="18"/>
      <c r="WDT2" s="18"/>
      <c r="WDU2" s="18"/>
      <c r="WDV2" s="18"/>
      <c r="WDW2" s="18"/>
      <c r="WDX2" s="18"/>
      <c r="WDY2" s="18"/>
      <c r="WDZ2" s="18"/>
      <c r="WEA2" s="18"/>
      <c r="WEB2" s="18"/>
      <c r="WEC2" s="18"/>
      <c r="WED2" s="18"/>
      <c r="WEE2" s="18"/>
      <c r="WEF2" s="18"/>
      <c r="WEG2" s="18"/>
      <c r="WEH2" s="18"/>
      <c r="WEI2" s="18"/>
      <c r="WEJ2" s="18"/>
      <c r="WEK2" s="18"/>
      <c r="WEL2" s="18"/>
      <c r="WEM2" s="18"/>
      <c r="WEN2" s="18"/>
      <c r="WEO2" s="18"/>
      <c r="WEP2" s="18"/>
      <c r="WEQ2" s="18"/>
      <c r="WER2" s="18"/>
      <c r="WES2" s="18"/>
      <c r="WET2" s="18"/>
      <c r="WEU2" s="18"/>
      <c r="WEV2" s="18"/>
      <c r="WEW2" s="18"/>
      <c r="WEX2" s="18"/>
      <c r="WEY2" s="18"/>
      <c r="WEZ2" s="18"/>
      <c r="WFA2" s="18"/>
      <c r="WFB2" s="18"/>
      <c r="WFC2" s="18"/>
      <c r="WFD2" s="18"/>
      <c r="WFE2" s="18"/>
      <c r="WFF2" s="18"/>
      <c r="WFG2" s="18"/>
      <c r="WFH2" s="18"/>
      <c r="WFI2" s="18"/>
      <c r="WFJ2" s="18"/>
      <c r="WFK2" s="18"/>
      <c r="WFL2" s="18"/>
      <c r="WFM2" s="18"/>
      <c r="WFN2" s="18"/>
      <c r="WFO2" s="18"/>
      <c r="WFP2" s="18"/>
      <c r="WFQ2" s="18"/>
      <c r="WFR2" s="18"/>
      <c r="WFS2" s="18"/>
      <c r="WFT2" s="18"/>
      <c r="WFU2" s="18"/>
      <c r="WFV2" s="18"/>
      <c r="WFW2" s="18"/>
      <c r="WFX2" s="18"/>
      <c r="WFY2" s="18"/>
      <c r="WFZ2" s="18"/>
      <c r="WGA2" s="18"/>
      <c r="WGB2" s="18"/>
      <c r="WGC2" s="18"/>
      <c r="WGD2" s="18"/>
      <c r="WGE2" s="18"/>
      <c r="WGF2" s="18"/>
      <c r="WGG2" s="18"/>
      <c r="WGH2" s="18"/>
      <c r="WGI2" s="18"/>
      <c r="WGJ2" s="18"/>
      <c r="WGK2" s="18"/>
      <c r="WGL2" s="18"/>
      <c r="WGM2" s="18"/>
      <c r="WGN2" s="18"/>
      <c r="WGO2" s="18"/>
      <c r="WGP2" s="18"/>
      <c r="WGQ2" s="18"/>
      <c r="WGR2" s="18"/>
      <c r="WGS2" s="18"/>
      <c r="WGT2" s="18"/>
      <c r="WGU2" s="18"/>
      <c r="WGV2" s="18"/>
      <c r="WGW2" s="18"/>
      <c r="WGX2" s="18"/>
      <c r="WGY2" s="18"/>
      <c r="WGZ2" s="18"/>
      <c r="WHA2" s="18"/>
      <c r="WHB2" s="18"/>
      <c r="WHC2" s="18"/>
      <c r="WHD2" s="18"/>
      <c r="WHE2" s="18"/>
      <c r="WHF2" s="18"/>
      <c r="WHG2" s="18"/>
      <c r="WHH2" s="18"/>
      <c r="WHI2" s="18"/>
      <c r="WHJ2" s="18"/>
      <c r="WHK2" s="18"/>
      <c r="WHL2" s="18"/>
      <c r="WHM2" s="18"/>
      <c r="WHN2" s="18"/>
      <c r="WHO2" s="18"/>
      <c r="WHP2" s="18"/>
      <c r="WHQ2" s="18"/>
      <c r="WHR2" s="18"/>
      <c r="WHS2" s="18"/>
      <c r="WHT2" s="18"/>
      <c r="WHU2" s="18"/>
      <c r="WHV2" s="18"/>
      <c r="WHW2" s="18"/>
      <c r="WHX2" s="18"/>
      <c r="WHY2" s="18"/>
      <c r="WHZ2" s="18"/>
      <c r="WIA2" s="18"/>
      <c r="WIB2" s="18"/>
      <c r="WIC2" s="18"/>
      <c r="WID2" s="18"/>
      <c r="WIE2" s="18"/>
      <c r="WIF2" s="18"/>
      <c r="WIG2" s="18"/>
      <c r="WIH2" s="18"/>
      <c r="WII2" s="18"/>
      <c r="WIJ2" s="18"/>
      <c r="WIK2" s="18"/>
      <c r="WIL2" s="18"/>
      <c r="WIM2" s="18"/>
      <c r="WIN2" s="18"/>
      <c r="WIO2" s="18"/>
      <c r="WIP2" s="18"/>
      <c r="WIQ2" s="18"/>
      <c r="WIR2" s="18"/>
      <c r="WIS2" s="18"/>
      <c r="WIT2" s="18"/>
      <c r="WIU2" s="18"/>
      <c r="WIV2" s="18"/>
      <c r="WIW2" s="18"/>
      <c r="WIX2" s="18"/>
      <c r="WIY2" s="18"/>
      <c r="WIZ2" s="18"/>
      <c r="WJA2" s="18"/>
      <c r="WJB2" s="18"/>
      <c r="WJC2" s="18"/>
      <c r="WJD2" s="18"/>
      <c r="WJE2" s="18"/>
      <c r="WJF2" s="18"/>
      <c r="WJG2" s="18"/>
      <c r="WJH2" s="18"/>
      <c r="WJI2" s="18"/>
      <c r="WJJ2" s="18"/>
      <c r="WJK2" s="18"/>
      <c r="WJL2" s="18"/>
      <c r="WJM2" s="18"/>
      <c r="WJN2" s="18"/>
      <c r="WJO2" s="18"/>
      <c r="WJP2" s="18"/>
      <c r="WJQ2" s="18"/>
      <c r="WJR2" s="18"/>
      <c r="WJS2" s="18"/>
      <c r="WJT2" s="18"/>
      <c r="WJU2" s="18"/>
      <c r="WJV2" s="18"/>
      <c r="WJW2" s="18"/>
      <c r="WJX2" s="18"/>
      <c r="WJY2" s="18"/>
      <c r="WJZ2" s="18"/>
      <c r="WKA2" s="18"/>
      <c r="WKB2" s="18"/>
      <c r="WKC2" s="18"/>
      <c r="WKD2" s="18"/>
      <c r="WKE2" s="18"/>
      <c r="WKF2" s="18"/>
      <c r="WKG2" s="18"/>
      <c r="WKH2" s="18"/>
      <c r="WKI2" s="18"/>
      <c r="WKJ2" s="18"/>
      <c r="WKK2" s="18"/>
      <c r="WKL2" s="18"/>
      <c r="WKM2" s="18"/>
      <c r="WKN2" s="18"/>
      <c r="WKO2" s="18"/>
      <c r="WKP2" s="18"/>
      <c r="WKQ2" s="18"/>
      <c r="WKR2" s="18"/>
      <c r="WKS2" s="18"/>
      <c r="WKT2" s="18"/>
      <c r="WKU2" s="18"/>
      <c r="WKV2" s="18"/>
      <c r="WKW2" s="18"/>
      <c r="WKX2" s="18"/>
      <c r="WKY2" s="18"/>
      <c r="WKZ2" s="18"/>
      <c r="WLA2" s="18"/>
      <c r="WLB2" s="18"/>
      <c r="WLC2" s="18"/>
      <c r="WLD2" s="18"/>
      <c r="WLE2" s="18"/>
      <c r="WLF2" s="18"/>
      <c r="WLG2" s="18"/>
      <c r="WLH2" s="18"/>
      <c r="WLI2" s="18"/>
      <c r="WLJ2" s="18"/>
      <c r="WLK2" s="18"/>
      <c r="WLL2" s="18"/>
      <c r="WLM2" s="18"/>
      <c r="WLN2" s="18"/>
      <c r="WLO2" s="18"/>
      <c r="WLP2" s="18"/>
      <c r="WLQ2" s="18"/>
      <c r="WLR2" s="18"/>
      <c r="WLS2" s="18"/>
      <c r="WLT2" s="18"/>
      <c r="WLU2" s="18"/>
      <c r="WLV2" s="18"/>
      <c r="WLW2" s="18"/>
      <c r="WLX2" s="18"/>
      <c r="WLY2" s="18"/>
      <c r="WLZ2" s="18"/>
      <c r="WMA2" s="18"/>
      <c r="WMB2" s="18"/>
      <c r="WMC2" s="18"/>
      <c r="WMD2" s="18"/>
      <c r="WME2" s="18"/>
      <c r="WMF2" s="18"/>
      <c r="WMG2" s="18"/>
      <c r="WMH2" s="18"/>
      <c r="WMI2" s="18"/>
      <c r="WMJ2" s="18"/>
      <c r="WMK2" s="18"/>
      <c r="WML2" s="18"/>
      <c r="WMM2" s="18"/>
      <c r="WMN2" s="18"/>
      <c r="WMO2" s="18"/>
      <c r="WMP2" s="18"/>
      <c r="WMQ2" s="18"/>
      <c r="WMR2" s="18"/>
      <c r="WMS2" s="18"/>
      <c r="WMT2" s="18"/>
      <c r="WMU2" s="18"/>
      <c r="WMV2" s="18"/>
      <c r="WMW2" s="18"/>
      <c r="WMX2" s="18"/>
      <c r="WMY2" s="18"/>
      <c r="WMZ2" s="18"/>
      <c r="WNA2" s="18"/>
      <c r="WNB2" s="18"/>
      <c r="WNC2" s="18"/>
      <c r="WND2" s="18"/>
      <c r="WNE2" s="18"/>
      <c r="WNF2" s="18"/>
      <c r="WNG2" s="18"/>
      <c r="WNH2" s="18"/>
      <c r="WNI2" s="18"/>
      <c r="WNJ2" s="18"/>
      <c r="WNK2" s="18"/>
      <c r="WNL2" s="18"/>
      <c r="WNM2" s="18"/>
      <c r="WNN2" s="18"/>
      <c r="WNO2" s="18"/>
      <c r="WNP2" s="18"/>
      <c r="WNQ2" s="18"/>
      <c r="WNR2" s="18"/>
      <c r="WNS2" s="18"/>
      <c r="WNT2" s="18"/>
      <c r="WNU2" s="18"/>
      <c r="WNV2" s="18"/>
      <c r="WNW2" s="18"/>
      <c r="WNX2" s="18"/>
      <c r="WNY2" s="18"/>
      <c r="WNZ2" s="18"/>
      <c r="WOA2" s="18"/>
      <c r="WOB2" s="18"/>
      <c r="WOC2" s="18"/>
      <c r="WOD2" s="18"/>
      <c r="WOE2" s="18"/>
      <c r="WOF2" s="18"/>
      <c r="WOG2" s="18"/>
      <c r="WOH2" s="18"/>
      <c r="WOI2" s="18"/>
      <c r="WOJ2" s="18"/>
      <c r="WOK2" s="18"/>
      <c r="WOL2" s="18"/>
      <c r="WOM2" s="18"/>
      <c r="WON2" s="18"/>
      <c r="WOO2" s="18"/>
      <c r="WOP2" s="18"/>
      <c r="WOQ2" s="18"/>
      <c r="WOR2" s="18"/>
      <c r="WOS2" s="18"/>
      <c r="WOT2" s="18"/>
      <c r="WOU2" s="18"/>
      <c r="WOV2" s="18"/>
      <c r="WOW2" s="18"/>
      <c r="WOX2" s="18"/>
      <c r="WOY2" s="18"/>
      <c r="WOZ2" s="18"/>
      <c r="WPA2" s="18"/>
      <c r="WPB2" s="18"/>
      <c r="WPC2" s="18"/>
      <c r="WPD2" s="18"/>
      <c r="WPE2" s="18"/>
      <c r="WPF2" s="18"/>
      <c r="WPG2" s="18"/>
      <c r="WPH2" s="18"/>
      <c r="WPI2" s="18"/>
      <c r="WPJ2" s="18"/>
      <c r="WPK2" s="18"/>
      <c r="WPL2" s="18"/>
      <c r="WPM2" s="18"/>
      <c r="WPN2" s="18"/>
      <c r="WPO2" s="18"/>
      <c r="WPP2" s="18"/>
      <c r="WPQ2" s="18"/>
      <c r="WPR2" s="18"/>
      <c r="WPS2" s="18"/>
      <c r="WPT2" s="18"/>
      <c r="WPU2" s="18"/>
      <c r="WPV2" s="18"/>
      <c r="WPW2" s="18"/>
      <c r="WPX2" s="18"/>
      <c r="WPY2" s="18"/>
      <c r="WPZ2" s="18"/>
      <c r="WQA2" s="18"/>
      <c r="WQB2" s="18"/>
      <c r="WQC2" s="18"/>
      <c r="WQD2" s="18"/>
      <c r="WQE2" s="18"/>
      <c r="WQF2" s="18"/>
      <c r="WQG2" s="18"/>
      <c r="WQH2" s="18"/>
      <c r="WQI2" s="18"/>
      <c r="WQJ2" s="18"/>
      <c r="WQK2" s="18"/>
      <c r="WQL2" s="18"/>
      <c r="WQM2" s="18"/>
      <c r="WQN2" s="18"/>
      <c r="WQO2" s="18"/>
      <c r="WQP2" s="18"/>
      <c r="WQQ2" s="18"/>
      <c r="WQR2" s="18"/>
      <c r="WQS2" s="18"/>
      <c r="WQT2" s="18"/>
      <c r="WQU2" s="18"/>
      <c r="WQV2" s="18"/>
      <c r="WQW2" s="18"/>
      <c r="WQX2" s="18"/>
      <c r="WQY2" s="18"/>
      <c r="WQZ2" s="18"/>
      <c r="WRA2" s="18"/>
      <c r="WRB2" s="18"/>
      <c r="WRC2" s="18"/>
      <c r="WRD2" s="18"/>
      <c r="WRE2" s="18"/>
      <c r="WRF2" s="18"/>
      <c r="WRG2" s="18"/>
      <c r="WRH2" s="18"/>
      <c r="WRI2" s="18"/>
      <c r="WRJ2" s="18"/>
      <c r="WRK2" s="18"/>
      <c r="WRL2" s="18"/>
      <c r="WRM2" s="18"/>
      <c r="WRN2" s="18"/>
      <c r="WRO2" s="18"/>
      <c r="WRP2" s="18"/>
      <c r="WRQ2" s="18"/>
      <c r="WRR2" s="18"/>
      <c r="WRS2" s="18"/>
      <c r="WRT2" s="18"/>
      <c r="WRU2" s="18"/>
      <c r="WRV2" s="18"/>
      <c r="WRW2" s="18"/>
      <c r="WRX2" s="18"/>
      <c r="WRY2" s="18"/>
      <c r="WRZ2" s="18"/>
      <c r="WSA2" s="18"/>
      <c r="WSB2" s="18"/>
      <c r="WSC2" s="18"/>
      <c r="WSD2" s="18"/>
      <c r="WSE2" s="18"/>
      <c r="WSF2" s="18"/>
      <c r="WSG2" s="18"/>
      <c r="WSH2" s="18"/>
      <c r="WSI2" s="18"/>
      <c r="WSJ2" s="18"/>
      <c r="WSK2" s="18"/>
      <c r="WSL2" s="18"/>
      <c r="WSM2" s="18"/>
      <c r="WSN2" s="18"/>
      <c r="WSO2" s="18"/>
      <c r="WSP2" s="18"/>
      <c r="WSQ2" s="18"/>
      <c r="WSR2" s="18"/>
      <c r="WSS2" s="18"/>
      <c r="WST2" s="18"/>
      <c r="WSU2" s="18"/>
      <c r="WSV2" s="18"/>
      <c r="WSW2" s="18"/>
      <c r="WSX2" s="18"/>
      <c r="WSY2" s="18"/>
      <c r="WSZ2" s="18"/>
      <c r="WTA2" s="18"/>
      <c r="WTB2" s="18"/>
      <c r="WTC2" s="18"/>
      <c r="WTD2" s="18"/>
      <c r="WTE2" s="18"/>
      <c r="WTF2" s="18"/>
      <c r="WTG2" s="18"/>
      <c r="WTH2" s="18"/>
      <c r="WTI2" s="18"/>
      <c r="WTJ2" s="18"/>
      <c r="WTK2" s="18"/>
      <c r="WTL2" s="18"/>
      <c r="WTM2" s="18"/>
      <c r="WTN2" s="18"/>
      <c r="WTO2" s="18"/>
      <c r="WTP2" s="18"/>
      <c r="WTQ2" s="18"/>
      <c r="WTR2" s="18"/>
      <c r="WTS2" s="18"/>
      <c r="WTT2" s="18"/>
      <c r="WTU2" s="18"/>
      <c r="WTV2" s="18"/>
      <c r="WTW2" s="18"/>
      <c r="WTX2" s="18"/>
      <c r="WTY2" s="18"/>
      <c r="WTZ2" s="18"/>
      <c r="WUA2" s="18"/>
      <c r="WUB2" s="18"/>
      <c r="WUC2" s="18"/>
      <c r="WUD2" s="18"/>
      <c r="WUE2" s="18"/>
      <c r="WUF2" s="18"/>
      <c r="WUG2" s="18"/>
      <c r="WUH2" s="18"/>
      <c r="WUI2" s="18"/>
      <c r="WUJ2" s="18"/>
      <c r="WUK2" s="18"/>
      <c r="WUL2" s="18"/>
      <c r="WUM2" s="18"/>
      <c r="WUN2" s="18"/>
      <c r="WUO2" s="18"/>
      <c r="WUP2" s="18"/>
      <c r="WUQ2" s="18"/>
      <c r="WUR2" s="18"/>
      <c r="WUS2" s="18"/>
      <c r="WUT2" s="18"/>
      <c r="WUU2" s="18"/>
      <c r="WUV2" s="18"/>
      <c r="WUW2" s="18"/>
      <c r="WUX2" s="18"/>
      <c r="WUY2" s="18"/>
      <c r="WUZ2" s="18"/>
      <c r="WVA2" s="18"/>
      <c r="WVB2" s="18"/>
      <c r="WVC2" s="18"/>
      <c r="WVD2" s="18"/>
      <c r="WVE2" s="18"/>
      <c r="WVF2" s="18"/>
      <c r="WVG2" s="18"/>
      <c r="WVH2" s="18"/>
      <c r="WVI2" s="18"/>
      <c r="WVJ2" s="18"/>
      <c r="WVK2" s="18"/>
      <c r="WVL2" s="18"/>
      <c r="WVM2" s="18"/>
      <c r="WVN2" s="18"/>
      <c r="WVO2" s="18"/>
      <c r="WVP2" s="18"/>
      <c r="WVQ2" s="18"/>
      <c r="WVR2" s="18"/>
      <c r="WVS2" s="18"/>
      <c r="WVT2" s="18"/>
      <c r="WVU2" s="18"/>
      <c r="WVV2" s="18"/>
      <c r="WVW2" s="18"/>
      <c r="WVX2" s="18"/>
      <c r="WVY2" s="18"/>
      <c r="WVZ2" s="18"/>
      <c r="WWA2" s="18"/>
      <c r="WWB2" s="18"/>
      <c r="WWC2" s="18"/>
      <c r="WWD2" s="18"/>
      <c r="WWE2" s="18"/>
      <c r="WWF2" s="18"/>
      <c r="WWG2" s="18"/>
      <c r="WWH2" s="18"/>
      <c r="WWI2" s="18"/>
      <c r="WWJ2" s="18"/>
      <c r="WWK2" s="18"/>
      <c r="WWL2" s="18"/>
      <c r="WWM2" s="18"/>
      <c r="WWN2" s="18"/>
      <c r="WWO2" s="18"/>
      <c r="WWP2" s="18"/>
      <c r="WWQ2" s="18"/>
      <c r="WWR2" s="18"/>
      <c r="WWS2" s="18"/>
      <c r="WWT2" s="18"/>
      <c r="WWU2" s="18"/>
      <c r="WWV2" s="18"/>
      <c r="WWW2" s="18"/>
      <c r="WWX2" s="18"/>
      <c r="WWY2" s="18"/>
      <c r="WWZ2" s="18"/>
      <c r="WXA2" s="18"/>
      <c r="WXB2" s="18"/>
      <c r="WXC2" s="18"/>
      <c r="WXD2" s="18"/>
      <c r="WXE2" s="18"/>
      <c r="WXF2" s="18"/>
      <c r="WXG2" s="18"/>
      <c r="WXH2" s="18"/>
      <c r="WXI2" s="18"/>
      <c r="WXJ2" s="18"/>
      <c r="WXK2" s="18"/>
      <c r="WXL2" s="18"/>
      <c r="WXM2" s="18"/>
      <c r="WXN2" s="18"/>
      <c r="WXO2" s="18"/>
      <c r="WXP2" s="18"/>
      <c r="WXQ2" s="18"/>
      <c r="WXR2" s="18"/>
      <c r="WXS2" s="18"/>
      <c r="WXT2" s="18"/>
      <c r="WXU2" s="18"/>
      <c r="WXV2" s="18"/>
      <c r="WXW2" s="18"/>
      <c r="WXX2" s="18"/>
      <c r="WXY2" s="18"/>
      <c r="WXZ2" s="18"/>
      <c r="WYA2" s="18"/>
      <c r="WYB2" s="18"/>
      <c r="WYC2" s="18"/>
      <c r="WYD2" s="18"/>
      <c r="WYE2" s="18"/>
      <c r="WYF2" s="18"/>
      <c r="WYG2" s="18"/>
      <c r="WYH2" s="18"/>
      <c r="WYI2" s="18"/>
      <c r="WYJ2" s="18"/>
      <c r="WYK2" s="18"/>
      <c r="WYL2" s="18"/>
      <c r="WYM2" s="18"/>
      <c r="WYN2" s="18"/>
      <c r="WYO2" s="18"/>
      <c r="WYP2" s="18"/>
      <c r="WYQ2" s="18"/>
      <c r="WYR2" s="18"/>
      <c r="WYS2" s="18"/>
      <c r="WYT2" s="18"/>
      <c r="WYU2" s="18"/>
      <c r="WYV2" s="18"/>
      <c r="WYW2" s="18"/>
      <c r="WYX2" s="18"/>
      <c r="WYY2" s="18"/>
      <c r="WYZ2" s="18"/>
      <c r="WZA2" s="18"/>
      <c r="WZB2" s="18"/>
      <c r="WZC2" s="18"/>
      <c r="WZD2" s="18"/>
      <c r="WZE2" s="18"/>
      <c r="WZF2" s="18"/>
      <c r="WZG2" s="18"/>
      <c r="WZH2" s="18"/>
      <c r="WZI2" s="18"/>
      <c r="WZJ2" s="18"/>
      <c r="WZK2" s="18"/>
      <c r="WZL2" s="18"/>
      <c r="WZM2" s="18"/>
      <c r="WZN2" s="18"/>
      <c r="WZO2" s="18"/>
      <c r="WZP2" s="18"/>
      <c r="WZQ2" s="18"/>
      <c r="WZR2" s="18"/>
      <c r="WZS2" s="18"/>
      <c r="WZT2" s="18"/>
      <c r="WZU2" s="18"/>
      <c r="WZV2" s="18"/>
      <c r="WZW2" s="18"/>
      <c r="WZX2" s="18"/>
      <c r="WZY2" s="18"/>
      <c r="WZZ2" s="18"/>
      <c r="XAA2" s="18"/>
      <c r="XAB2" s="18"/>
      <c r="XAC2" s="18"/>
      <c r="XAD2" s="18"/>
      <c r="XAE2" s="18"/>
      <c r="XAF2" s="18"/>
      <c r="XAG2" s="18"/>
      <c r="XAH2" s="18"/>
      <c r="XAI2" s="18"/>
      <c r="XAJ2" s="18"/>
      <c r="XAK2" s="18"/>
      <c r="XAL2" s="18"/>
      <c r="XAM2" s="18"/>
      <c r="XAN2" s="18"/>
      <c r="XAO2" s="18"/>
      <c r="XAP2" s="18"/>
      <c r="XAQ2" s="18"/>
      <c r="XAR2" s="18"/>
      <c r="XAS2" s="18"/>
      <c r="XAT2" s="18"/>
      <c r="XAU2" s="18"/>
      <c r="XAV2" s="18"/>
      <c r="XAW2" s="18"/>
      <c r="XAX2" s="18"/>
      <c r="XAY2" s="18"/>
      <c r="XAZ2" s="18"/>
      <c r="XBA2" s="18"/>
      <c r="XBB2" s="18"/>
      <c r="XBC2" s="18"/>
      <c r="XBD2" s="18"/>
      <c r="XBE2" s="18"/>
      <c r="XBF2" s="18"/>
      <c r="XBG2" s="18"/>
      <c r="XBH2" s="18"/>
      <c r="XBI2" s="18"/>
      <c r="XBJ2" s="18"/>
      <c r="XBK2" s="18"/>
      <c r="XBL2" s="18"/>
      <c r="XBM2" s="18"/>
      <c r="XBN2" s="18"/>
      <c r="XBO2" s="18"/>
      <c r="XBP2" s="18"/>
      <c r="XBQ2" s="18"/>
      <c r="XBR2" s="18"/>
      <c r="XBS2" s="18"/>
      <c r="XBT2" s="18"/>
      <c r="XBU2" s="18"/>
      <c r="XBV2" s="18"/>
      <c r="XBW2" s="18"/>
      <c r="XBX2" s="18"/>
      <c r="XBY2" s="18"/>
      <c r="XBZ2" s="18"/>
      <c r="XCA2" s="18"/>
      <c r="XCB2" s="18"/>
      <c r="XCC2" s="18"/>
      <c r="XCD2" s="18"/>
      <c r="XCE2" s="18"/>
      <c r="XCF2" s="18"/>
      <c r="XCG2" s="18"/>
      <c r="XCH2" s="18"/>
      <c r="XCI2" s="18"/>
      <c r="XCJ2" s="18"/>
      <c r="XCK2" s="18"/>
      <c r="XCL2" s="18"/>
      <c r="XCM2" s="18"/>
      <c r="XCN2" s="18"/>
      <c r="XCO2" s="18"/>
      <c r="XCP2" s="18"/>
      <c r="XCQ2" s="18"/>
      <c r="XCR2" s="18"/>
      <c r="XCS2" s="18"/>
      <c r="XCT2" s="18"/>
      <c r="XCU2" s="18"/>
      <c r="XCV2" s="18"/>
      <c r="XCW2" s="18"/>
      <c r="XCX2" s="18"/>
      <c r="XCY2" s="18"/>
      <c r="XCZ2" s="18"/>
      <c r="XDA2" s="18"/>
      <c r="XDB2" s="18"/>
      <c r="XDC2" s="18"/>
      <c r="XDD2" s="18"/>
      <c r="XDE2" s="18"/>
      <c r="XDF2" s="18"/>
      <c r="XDG2" s="18"/>
      <c r="XDH2" s="18"/>
      <c r="XDI2" s="18"/>
      <c r="XDJ2" s="18"/>
      <c r="XDK2" s="18"/>
      <c r="XDL2" s="18"/>
      <c r="XDM2" s="18"/>
      <c r="XDN2" s="18"/>
      <c r="XDO2" s="18"/>
      <c r="XDP2" s="18"/>
      <c r="XDQ2" s="18"/>
      <c r="XDR2" s="18"/>
      <c r="XDS2" s="18"/>
      <c r="XDT2" s="18"/>
      <c r="XDU2" s="18"/>
      <c r="XDV2" s="18"/>
      <c r="XDW2" s="18"/>
      <c r="XDX2" s="18"/>
      <c r="XDY2" s="18"/>
      <c r="XDZ2" s="18"/>
      <c r="XEA2" s="18"/>
      <c r="XEB2" s="18"/>
      <c r="XEC2" s="18"/>
      <c r="XED2" s="18"/>
      <c r="XEE2" s="18"/>
      <c r="XEF2" s="18"/>
      <c r="XEG2" s="18"/>
      <c r="XEH2" s="18"/>
      <c r="XEI2" s="18"/>
      <c r="XEJ2" s="18"/>
      <c r="XEK2" s="18"/>
      <c r="XEL2" s="18"/>
      <c r="XEM2" s="18"/>
      <c r="XEN2" s="18"/>
      <c r="XEO2" s="18"/>
      <c r="XEP2" s="18"/>
      <c r="XEQ2" s="18"/>
      <c r="XER2" s="18"/>
      <c r="XES2" s="18"/>
      <c r="XET2" s="18"/>
      <c r="XEU2" s="18"/>
      <c r="XEV2" s="18"/>
      <c r="XEW2" s="18"/>
      <c r="XEX2" s="18"/>
      <c r="XEY2" s="18"/>
      <c r="XEZ2" s="18"/>
      <c r="XFA2" s="18"/>
    </row>
    <row r="3" spans="2:16381" s="18" customFormat="1" ht="16" thickBot="1" x14ac:dyDescent="0.4"/>
    <row r="4" spans="2:16381" x14ac:dyDescent="0.35">
      <c r="B4" s="140"/>
      <c r="C4" s="24"/>
      <c r="D4" s="24"/>
      <c r="E4" s="24"/>
      <c r="F4" s="24"/>
      <c r="G4" s="24"/>
      <c r="H4" s="24"/>
      <c r="I4" s="24"/>
      <c r="J4" s="24"/>
      <c r="K4" s="24"/>
      <c r="L4" s="24"/>
      <c r="M4" s="24"/>
      <c r="N4" s="25"/>
    </row>
    <row r="5" spans="2:16381" ht="53.25" customHeight="1" x14ac:dyDescent="0.35">
      <c r="B5" s="26"/>
      <c r="C5" s="141" t="str">
        <f>"Welcome to the Government Regulatory Impact Model (GRIM) for the 
"&amp;Intro!$C$10&amp;" Rulemaking"</f>
        <v>Welcome to the Government Regulatory Impact Model (GRIM) for the 
Air Cleaners Rulemaking</v>
      </c>
      <c r="D5" s="142"/>
      <c r="E5" s="142"/>
      <c r="F5" s="142"/>
      <c r="G5" s="142"/>
      <c r="H5" s="142"/>
      <c r="I5" s="142"/>
      <c r="J5" s="142"/>
      <c r="K5" s="142"/>
      <c r="L5" s="142"/>
      <c r="M5" s="143"/>
      <c r="N5" s="40"/>
    </row>
    <row r="6" spans="2:16381" ht="30" customHeight="1" x14ac:dyDescent="0.35">
      <c r="B6" s="26"/>
      <c r="C6" s="144" t="s">
        <v>98</v>
      </c>
      <c r="D6" s="145"/>
      <c r="E6" s="145"/>
      <c r="F6" s="145"/>
      <c r="G6" s="145"/>
      <c r="H6" s="145"/>
      <c r="I6" s="145"/>
      <c r="J6" s="145"/>
      <c r="K6" s="145"/>
      <c r="L6" s="145"/>
      <c r="M6" s="146"/>
      <c r="N6" s="40"/>
    </row>
    <row r="7" spans="2:16381" ht="75" customHeight="1" x14ac:dyDescent="0.35">
      <c r="B7" s="26"/>
      <c r="C7" s="796" t="s">
        <v>312</v>
      </c>
      <c r="D7" s="797"/>
      <c r="E7" s="797"/>
      <c r="F7" s="797"/>
      <c r="G7" s="797"/>
      <c r="H7" s="797"/>
      <c r="I7" s="797"/>
      <c r="J7" s="797"/>
      <c r="K7" s="797"/>
      <c r="L7" s="797"/>
      <c r="M7" s="147"/>
      <c r="N7" s="40"/>
    </row>
    <row r="8" spans="2:16381" ht="75" customHeight="1" x14ac:dyDescent="0.35">
      <c r="B8" s="26"/>
      <c r="C8" s="796" t="s">
        <v>337</v>
      </c>
      <c r="D8" s="797"/>
      <c r="E8" s="797"/>
      <c r="F8" s="797"/>
      <c r="G8" s="797"/>
      <c r="H8" s="797"/>
      <c r="I8" s="797"/>
      <c r="J8" s="797"/>
      <c r="K8" s="797"/>
      <c r="L8" s="797"/>
      <c r="M8" s="148"/>
      <c r="N8" s="40"/>
    </row>
    <row r="9" spans="2:16381" ht="75" customHeight="1" x14ac:dyDescent="0.35">
      <c r="B9" s="26"/>
      <c r="C9" s="796" t="s">
        <v>336</v>
      </c>
      <c r="D9" s="797"/>
      <c r="E9" s="797"/>
      <c r="F9" s="797"/>
      <c r="G9" s="797"/>
      <c r="H9" s="797"/>
      <c r="I9" s="797"/>
      <c r="J9" s="797"/>
      <c r="K9" s="797"/>
      <c r="L9" s="797"/>
      <c r="M9" s="147"/>
      <c r="N9" s="40"/>
    </row>
    <row r="10" spans="2:16381" ht="75" customHeight="1" x14ac:dyDescent="0.35">
      <c r="B10" s="26"/>
      <c r="C10" s="796" t="s">
        <v>335</v>
      </c>
      <c r="D10" s="797"/>
      <c r="E10" s="797"/>
      <c r="F10" s="797"/>
      <c r="G10" s="797"/>
      <c r="H10" s="797"/>
      <c r="I10" s="797"/>
      <c r="J10" s="797"/>
      <c r="K10" s="797"/>
      <c r="L10" s="797"/>
      <c r="M10" s="147"/>
      <c r="N10" s="40"/>
    </row>
    <row r="11" spans="2:16381" ht="16" thickBot="1" x14ac:dyDescent="0.4">
      <c r="B11" s="149"/>
      <c r="C11" s="61"/>
      <c r="D11" s="61"/>
      <c r="E11" s="61"/>
      <c r="F11" s="61"/>
      <c r="G11" s="61"/>
      <c r="H11" s="61"/>
      <c r="I11" s="61"/>
      <c r="J11" s="61"/>
      <c r="K11" s="61"/>
      <c r="L11" s="61"/>
      <c r="M11" s="61"/>
      <c r="N11" s="62"/>
    </row>
    <row r="12" spans="2:16381" s="18" customFormat="1" x14ac:dyDescent="0.35"/>
    <row r="13" spans="2:16381" s="18" customFormat="1" x14ac:dyDescent="0.35"/>
    <row r="14" spans="2:16381" s="18" customFormat="1" x14ac:dyDescent="0.35"/>
  </sheetData>
  <sheetProtection algorithmName="SHA-512" hashValue="M+eu6q5mZXT5YBnmgFScjS8zoTuLZ/MtmRhQf+oX0ehR+iuF9Wa1cCbAcSesGZmuXDxXmUaWNSLcqTXz5X6J1w==" saltValue="MhqblSFtaQ7K7xEANbc45A==" spinCount="100000" sheet="1" objects="1" scenarios="1"/>
  <mergeCells count="5">
    <mergeCell ref="C9:L9"/>
    <mergeCell ref="C10:L10"/>
    <mergeCell ref="L2:M2"/>
    <mergeCell ref="C7:L7"/>
    <mergeCell ref="C8:L8"/>
  </mergeCells>
  <hyperlinks>
    <hyperlink ref="L2" location="Navigation!A1" display="Navigation" xr:uid="{00000000-0004-0000-0100-000000000000}"/>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tabColor rgb="FFFFC000"/>
  </sheetPr>
  <dimension ref="A1:Q38"/>
  <sheetViews>
    <sheetView zoomScale="70" zoomScaleNormal="70" workbookViewId="0"/>
  </sheetViews>
  <sheetFormatPr defaultColWidth="0" defaultRowHeight="0" customHeight="1" zeroHeight="1" x14ac:dyDescent="0.3"/>
  <cols>
    <col min="1" max="2" width="3.54296875" style="150" customWidth="1"/>
    <col min="3" max="3" width="20.54296875" style="150" customWidth="1"/>
    <col min="4" max="4" width="3.54296875" style="150" customWidth="1"/>
    <col min="5" max="5" width="20.54296875" style="150" customWidth="1"/>
    <col min="6" max="6" width="3.54296875" style="150" customWidth="1"/>
    <col min="7" max="7" width="23.54296875" style="150" customWidth="1"/>
    <col min="8" max="8" width="3.54296875" style="150" customWidth="1"/>
    <col min="9" max="9" width="20.54296875" style="150" customWidth="1"/>
    <col min="10" max="10" width="3.54296875" style="150" customWidth="1"/>
    <col min="11" max="11" width="20.54296875" style="150" customWidth="1"/>
    <col min="12" max="13" width="3.54296875" style="150" customWidth="1"/>
    <col min="14" max="17" width="0" style="150" hidden="1" customWidth="1"/>
    <col min="18" max="16384" width="9.453125" style="150" hidden="1"/>
  </cols>
  <sheetData>
    <row r="1" spans="1:13" ht="18" customHeight="1" thickBot="1" x14ac:dyDescent="0.4">
      <c r="A1" s="21"/>
      <c r="B1" s="21"/>
      <c r="C1" s="21"/>
      <c r="D1" s="21"/>
      <c r="E1" s="21"/>
      <c r="F1" s="21"/>
      <c r="G1" s="21"/>
      <c r="H1" s="21"/>
      <c r="I1" s="21"/>
      <c r="J1" s="21"/>
      <c r="K1" s="21"/>
      <c r="L1" s="21"/>
      <c r="M1" s="21"/>
    </row>
    <row r="2" spans="1:13" ht="18" customHeight="1" thickBot="1" x14ac:dyDescent="0.4">
      <c r="A2" s="21"/>
      <c r="B2" s="151" t="s">
        <v>159</v>
      </c>
      <c r="C2" s="152"/>
      <c r="D2" s="152"/>
      <c r="E2" s="152"/>
      <c r="F2" s="152"/>
      <c r="G2" s="152"/>
      <c r="H2" s="152"/>
      <c r="I2" s="152"/>
      <c r="J2" s="152"/>
      <c r="K2" s="152"/>
      <c r="L2" s="153"/>
      <c r="M2" s="21"/>
    </row>
    <row r="3" spans="1:13" ht="18" customHeight="1" thickBot="1" x14ac:dyDescent="0.4">
      <c r="A3" s="21"/>
      <c r="B3" s="21"/>
      <c r="C3" s="21"/>
      <c r="D3" s="21"/>
      <c r="E3" s="21"/>
      <c r="F3" s="21"/>
      <c r="G3" s="21"/>
      <c r="H3" s="21"/>
      <c r="I3" s="21"/>
      <c r="J3" s="21"/>
      <c r="K3" s="21"/>
      <c r="L3" s="21"/>
      <c r="M3" s="21"/>
    </row>
    <row r="4" spans="1:13" ht="18" customHeight="1" x14ac:dyDescent="0.35">
      <c r="A4" s="21"/>
      <c r="B4" s="154"/>
      <c r="C4" s="155"/>
      <c r="D4" s="155"/>
      <c r="E4" s="155"/>
      <c r="F4" s="155"/>
      <c r="G4" s="155"/>
      <c r="H4" s="155"/>
      <c r="I4" s="155"/>
      <c r="J4" s="155"/>
      <c r="K4" s="155"/>
      <c r="L4" s="156"/>
      <c r="M4" s="21"/>
    </row>
    <row r="5" spans="1:13" ht="18" customHeight="1" x14ac:dyDescent="0.35">
      <c r="A5" s="21"/>
      <c r="B5" s="157"/>
      <c r="C5" s="158" t="s">
        <v>162</v>
      </c>
      <c r="D5" s="159"/>
      <c r="E5" s="158" t="s">
        <v>163</v>
      </c>
      <c r="F5" s="159"/>
      <c r="G5" s="158" t="s">
        <v>164</v>
      </c>
      <c r="H5" s="159"/>
      <c r="I5" s="158" t="s">
        <v>165</v>
      </c>
      <c r="J5" s="159"/>
      <c r="K5" s="158" t="s">
        <v>268</v>
      </c>
      <c r="L5" s="160"/>
      <c r="M5" s="21"/>
    </row>
    <row r="6" spans="1:13" ht="18" customHeight="1" thickBot="1" x14ac:dyDescent="0.4">
      <c r="A6" s="21"/>
      <c r="B6" s="157"/>
      <c r="C6" s="159"/>
      <c r="D6" s="159"/>
      <c r="E6" s="159"/>
      <c r="F6" s="159"/>
      <c r="G6" s="159"/>
      <c r="H6" s="159"/>
      <c r="I6" s="159"/>
      <c r="J6" s="159"/>
      <c r="K6" s="159"/>
      <c r="L6" s="161"/>
      <c r="M6" s="21"/>
    </row>
    <row r="7" spans="1:13" ht="18" customHeight="1" thickTop="1" x14ac:dyDescent="0.35">
      <c r="A7" s="21"/>
      <c r="B7" s="157"/>
      <c r="C7" s="800" t="s">
        <v>160</v>
      </c>
      <c r="D7" s="159"/>
      <c r="E7" s="798" t="s">
        <v>166</v>
      </c>
      <c r="F7" s="159"/>
      <c r="G7" s="804" t="s">
        <v>107</v>
      </c>
      <c r="H7" s="159"/>
      <c r="I7" s="806" t="s">
        <v>236</v>
      </c>
      <c r="J7" s="159"/>
      <c r="K7" s="808" t="s">
        <v>74</v>
      </c>
      <c r="L7" s="160"/>
      <c r="M7" s="21"/>
    </row>
    <row r="8" spans="1:13" ht="18" customHeight="1" thickBot="1" x14ac:dyDescent="0.4">
      <c r="A8" s="21"/>
      <c r="B8" s="157"/>
      <c r="C8" s="801"/>
      <c r="D8" s="159"/>
      <c r="E8" s="799"/>
      <c r="F8" s="159"/>
      <c r="G8" s="805"/>
      <c r="H8" s="159"/>
      <c r="I8" s="807"/>
      <c r="J8" s="159"/>
      <c r="K8" s="809"/>
      <c r="L8" s="160"/>
      <c r="M8" s="21"/>
    </row>
    <row r="9" spans="1:13" ht="18" customHeight="1" thickTop="1" thickBot="1" x14ac:dyDescent="0.4">
      <c r="A9" s="21"/>
      <c r="B9" s="157"/>
      <c r="C9" s="162"/>
      <c r="D9" s="162"/>
      <c r="E9" s="162"/>
      <c r="F9" s="162"/>
      <c r="G9" s="162"/>
      <c r="H9" s="162"/>
      <c r="I9" s="162"/>
      <c r="J9" s="162"/>
      <c r="K9" s="159"/>
      <c r="L9" s="160"/>
      <c r="M9" s="21"/>
    </row>
    <row r="10" spans="1:13" ht="18" customHeight="1" thickTop="1" x14ac:dyDescent="0.35">
      <c r="A10" s="21"/>
      <c r="B10" s="157"/>
      <c r="C10" s="800" t="s">
        <v>121</v>
      </c>
      <c r="D10" s="159"/>
      <c r="E10" s="798" t="s">
        <v>167</v>
      </c>
      <c r="F10" s="159"/>
      <c r="G10" s="804" t="s">
        <v>240</v>
      </c>
      <c r="H10" s="159"/>
      <c r="I10" s="806" t="s">
        <v>174</v>
      </c>
      <c r="J10" s="159"/>
      <c r="K10" s="802" t="s">
        <v>175</v>
      </c>
      <c r="L10" s="160"/>
      <c r="M10" s="21"/>
    </row>
    <row r="11" spans="1:13" ht="18" customHeight="1" thickBot="1" x14ac:dyDescent="0.4">
      <c r="A11" s="21"/>
      <c r="B11" s="157"/>
      <c r="C11" s="801"/>
      <c r="D11" s="159"/>
      <c r="E11" s="799"/>
      <c r="F11" s="159"/>
      <c r="G11" s="805"/>
      <c r="H11" s="159"/>
      <c r="I11" s="807"/>
      <c r="J11" s="159"/>
      <c r="K11" s="803"/>
      <c r="L11" s="160"/>
      <c r="M11" s="21"/>
    </row>
    <row r="12" spans="1:13" ht="18" customHeight="1" thickTop="1" thickBot="1" x14ac:dyDescent="0.4">
      <c r="A12" s="21"/>
      <c r="B12" s="157"/>
      <c r="C12" s="162"/>
      <c r="D12" s="162"/>
      <c r="E12" s="162"/>
      <c r="F12" s="162"/>
      <c r="G12" s="162"/>
      <c r="H12" s="162"/>
      <c r="I12" s="162"/>
      <c r="J12" s="162"/>
      <c r="K12" s="159"/>
      <c r="L12" s="160"/>
      <c r="M12" s="21"/>
    </row>
    <row r="13" spans="1:13" ht="18" customHeight="1" thickTop="1" x14ac:dyDescent="0.35">
      <c r="A13" s="21"/>
      <c r="B13" s="157"/>
      <c r="C13" s="800" t="s">
        <v>159</v>
      </c>
      <c r="D13" s="159"/>
      <c r="E13" s="798" t="s">
        <v>168</v>
      </c>
      <c r="F13" s="159"/>
      <c r="G13" s="804" t="s">
        <v>173</v>
      </c>
      <c r="H13" s="159"/>
      <c r="I13" s="162"/>
      <c r="J13" s="159"/>
      <c r="K13" s="802" t="s">
        <v>157</v>
      </c>
      <c r="L13" s="160"/>
      <c r="M13" s="21"/>
    </row>
    <row r="14" spans="1:13" ht="18" customHeight="1" thickBot="1" x14ac:dyDescent="0.4">
      <c r="A14" s="21"/>
      <c r="B14" s="157"/>
      <c r="C14" s="801"/>
      <c r="D14" s="159"/>
      <c r="E14" s="799"/>
      <c r="F14" s="159"/>
      <c r="G14" s="805"/>
      <c r="H14" s="159"/>
      <c r="I14" s="162"/>
      <c r="J14" s="159"/>
      <c r="K14" s="803"/>
      <c r="L14" s="160"/>
      <c r="M14" s="21"/>
    </row>
    <row r="15" spans="1:13" ht="18" customHeight="1" thickTop="1" thickBot="1" x14ac:dyDescent="0.4">
      <c r="A15" s="21"/>
      <c r="B15" s="157"/>
      <c r="C15" s="162"/>
      <c r="D15" s="162"/>
      <c r="E15" s="162"/>
      <c r="F15" s="162"/>
      <c r="G15" s="159"/>
      <c r="H15" s="159"/>
      <c r="I15" s="162"/>
      <c r="J15" s="159"/>
      <c r="K15" s="159"/>
      <c r="L15" s="160"/>
      <c r="M15" s="21"/>
    </row>
    <row r="16" spans="1:13" ht="18" customHeight="1" thickTop="1" x14ac:dyDescent="0.35">
      <c r="A16" s="21"/>
      <c r="B16" s="157"/>
      <c r="C16" s="800" t="s">
        <v>76</v>
      </c>
      <c r="D16" s="159"/>
      <c r="E16" s="798" t="s">
        <v>169</v>
      </c>
      <c r="F16" s="159"/>
      <c r="G16" s="159"/>
      <c r="H16" s="159"/>
      <c r="I16" s="162"/>
      <c r="J16" s="159"/>
      <c r="K16" s="159"/>
      <c r="L16" s="160"/>
      <c r="M16" s="21"/>
    </row>
    <row r="17" spans="1:13" ht="18" customHeight="1" thickBot="1" x14ac:dyDescent="0.4">
      <c r="A17" s="21"/>
      <c r="B17" s="157"/>
      <c r="C17" s="801"/>
      <c r="D17" s="159"/>
      <c r="E17" s="799"/>
      <c r="F17" s="159"/>
      <c r="G17" s="159"/>
      <c r="H17" s="159"/>
      <c r="I17" s="162"/>
      <c r="J17" s="159"/>
      <c r="K17" s="159"/>
      <c r="L17" s="160"/>
      <c r="M17" s="21"/>
    </row>
    <row r="18" spans="1:13" ht="18" customHeight="1" thickTop="1" thickBot="1" x14ac:dyDescent="0.4">
      <c r="A18" s="21"/>
      <c r="B18" s="157"/>
      <c r="C18" s="162"/>
      <c r="D18" s="162"/>
      <c r="E18" s="162"/>
      <c r="F18" s="162"/>
      <c r="G18" s="159"/>
      <c r="H18" s="159"/>
      <c r="I18" s="162"/>
      <c r="J18" s="159"/>
      <c r="K18" s="159"/>
      <c r="L18" s="161"/>
      <c r="M18" s="21"/>
    </row>
    <row r="19" spans="1:13" ht="18" customHeight="1" thickTop="1" x14ac:dyDescent="0.35">
      <c r="A19" s="21"/>
      <c r="B19" s="157"/>
      <c r="C19" s="800" t="s">
        <v>122</v>
      </c>
      <c r="D19" s="159"/>
      <c r="E19" s="798" t="s">
        <v>170</v>
      </c>
      <c r="F19" s="159"/>
      <c r="G19" s="159"/>
      <c r="H19" s="159"/>
      <c r="I19" s="162"/>
      <c r="J19" s="159"/>
      <c r="K19" s="159"/>
      <c r="L19" s="160"/>
      <c r="M19" s="21"/>
    </row>
    <row r="20" spans="1:13" ht="18" customHeight="1" thickBot="1" x14ac:dyDescent="0.4">
      <c r="A20" s="21"/>
      <c r="B20" s="157"/>
      <c r="C20" s="801"/>
      <c r="D20" s="159"/>
      <c r="E20" s="799"/>
      <c r="F20" s="159"/>
      <c r="G20" s="159"/>
      <c r="H20" s="159"/>
      <c r="I20" s="162"/>
      <c r="J20" s="159"/>
      <c r="K20" s="159"/>
      <c r="L20" s="161"/>
      <c r="M20" s="7"/>
    </row>
    <row r="21" spans="1:13" ht="18" customHeight="1" thickTop="1" thickBot="1" x14ac:dyDescent="0.4">
      <c r="A21" s="21"/>
      <c r="B21" s="157"/>
      <c r="C21" s="159"/>
      <c r="D21" s="159"/>
      <c r="E21" s="159"/>
      <c r="F21" s="159"/>
      <c r="G21" s="159"/>
      <c r="H21" s="159"/>
      <c r="I21" s="159"/>
      <c r="J21" s="159"/>
      <c r="K21" s="159"/>
      <c r="L21" s="160"/>
      <c r="M21" s="21"/>
    </row>
    <row r="22" spans="1:13" ht="18" customHeight="1" thickTop="1" x14ac:dyDescent="0.35">
      <c r="A22" s="21"/>
      <c r="B22" s="157"/>
      <c r="C22" s="159"/>
      <c r="D22" s="159"/>
      <c r="E22" s="798" t="s">
        <v>118</v>
      </c>
      <c r="F22" s="159"/>
      <c r="G22" s="159"/>
      <c r="H22" s="159"/>
      <c r="I22" s="159"/>
      <c r="J22" s="159"/>
      <c r="K22" s="159"/>
      <c r="L22" s="160"/>
      <c r="M22" s="21"/>
    </row>
    <row r="23" spans="1:13" ht="18" customHeight="1" thickBot="1" x14ac:dyDescent="0.4">
      <c r="A23" s="21"/>
      <c r="B23" s="157"/>
      <c r="C23" s="159"/>
      <c r="D23" s="159"/>
      <c r="E23" s="799"/>
      <c r="F23" s="159"/>
      <c r="G23" s="159"/>
      <c r="H23" s="159"/>
      <c r="I23" s="159"/>
      <c r="J23" s="159"/>
      <c r="K23" s="159"/>
      <c r="L23" s="160"/>
      <c r="M23" s="21"/>
    </row>
    <row r="24" spans="1:13" ht="18" customHeight="1" thickTop="1" thickBot="1" x14ac:dyDescent="0.4">
      <c r="A24" s="21"/>
      <c r="B24" s="163"/>
      <c r="C24" s="159"/>
      <c r="D24" s="159"/>
      <c r="E24" s="159"/>
      <c r="F24" s="159"/>
      <c r="G24" s="159"/>
      <c r="H24" s="159"/>
      <c r="I24" s="159"/>
      <c r="J24" s="159"/>
      <c r="K24" s="159"/>
      <c r="L24" s="160"/>
      <c r="M24" s="21"/>
    </row>
    <row r="25" spans="1:13" ht="18" customHeight="1" thickTop="1" x14ac:dyDescent="0.35">
      <c r="A25" s="21"/>
      <c r="B25" s="163"/>
      <c r="C25" s="159"/>
      <c r="D25" s="159"/>
      <c r="E25" s="798" t="s">
        <v>171</v>
      </c>
      <c r="F25" s="159"/>
      <c r="G25" s="159"/>
      <c r="H25" s="159"/>
      <c r="I25" s="159"/>
      <c r="J25" s="159"/>
      <c r="K25" s="159"/>
      <c r="L25" s="160"/>
      <c r="M25" s="21"/>
    </row>
    <row r="26" spans="1:13" ht="18" customHeight="1" thickBot="1" x14ac:dyDescent="0.4">
      <c r="A26" s="21"/>
      <c r="B26" s="157"/>
      <c r="C26" s="159"/>
      <c r="D26" s="159"/>
      <c r="E26" s="799"/>
      <c r="F26" s="159"/>
      <c r="G26" s="159"/>
      <c r="H26" s="159"/>
      <c r="I26" s="159"/>
      <c r="J26" s="159"/>
      <c r="K26" s="159"/>
      <c r="L26" s="160"/>
      <c r="M26" s="21"/>
    </row>
    <row r="27" spans="1:13" ht="18" customHeight="1" thickTop="1" thickBot="1" x14ac:dyDescent="0.4">
      <c r="A27" s="21"/>
      <c r="B27" s="163"/>
      <c r="C27" s="159"/>
      <c r="D27" s="159"/>
      <c r="E27" s="159"/>
      <c r="F27" s="159"/>
      <c r="G27" s="159"/>
      <c r="H27" s="159"/>
      <c r="I27" s="159"/>
      <c r="J27" s="159"/>
      <c r="K27" s="159"/>
      <c r="L27" s="160"/>
      <c r="M27" s="21"/>
    </row>
    <row r="28" spans="1:13" ht="18" customHeight="1" thickTop="1" x14ac:dyDescent="0.35">
      <c r="A28" s="21"/>
      <c r="B28" s="157"/>
      <c r="C28" s="159"/>
      <c r="D28" s="159"/>
      <c r="E28" s="798" t="s">
        <v>29</v>
      </c>
      <c r="F28" s="159"/>
      <c r="G28" s="159"/>
      <c r="H28" s="159"/>
      <c r="I28" s="159"/>
      <c r="J28" s="159"/>
      <c r="K28" s="159"/>
      <c r="L28" s="160"/>
      <c r="M28" s="21"/>
    </row>
    <row r="29" spans="1:13" ht="18" customHeight="1" thickBot="1" x14ac:dyDescent="0.4">
      <c r="A29" s="21"/>
      <c r="B29" s="157"/>
      <c r="C29" s="159"/>
      <c r="D29" s="159"/>
      <c r="E29" s="799"/>
      <c r="F29" s="159"/>
      <c r="G29" s="159"/>
      <c r="H29" s="159"/>
      <c r="I29" s="159"/>
      <c r="J29" s="159"/>
      <c r="K29" s="159"/>
      <c r="L29" s="160"/>
      <c r="M29" s="21"/>
    </row>
    <row r="30" spans="1:13" ht="18" customHeight="1" thickTop="1" thickBot="1" x14ac:dyDescent="0.4">
      <c r="A30" s="21"/>
      <c r="B30" s="157"/>
      <c r="C30" s="159"/>
      <c r="D30" s="159"/>
      <c r="E30" s="159"/>
      <c r="F30" s="159"/>
      <c r="G30" s="159"/>
      <c r="H30" s="159"/>
      <c r="I30" s="159"/>
      <c r="J30" s="159"/>
      <c r="K30" s="159"/>
      <c r="L30" s="160"/>
      <c r="M30" s="21"/>
    </row>
    <row r="31" spans="1:13" ht="18" customHeight="1" thickTop="1" x14ac:dyDescent="0.35">
      <c r="A31" s="21"/>
      <c r="B31" s="157"/>
      <c r="C31" s="159"/>
      <c r="D31" s="159"/>
      <c r="E31" s="798" t="s">
        <v>172</v>
      </c>
      <c r="F31" s="159"/>
      <c r="G31" s="159"/>
      <c r="H31" s="159"/>
      <c r="I31" s="159"/>
      <c r="J31" s="159"/>
      <c r="K31" s="159"/>
      <c r="L31" s="160"/>
      <c r="M31" s="21"/>
    </row>
    <row r="32" spans="1:13" ht="18" customHeight="1" thickBot="1" x14ac:dyDescent="0.4">
      <c r="A32" s="21"/>
      <c r="B32" s="157"/>
      <c r="C32" s="159"/>
      <c r="D32" s="159"/>
      <c r="E32" s="799"/>
      <c r="F32" s="159"/>
      <c r="G32" s="159"/>
      <c r="H32" s="159"/>
      <c r="I32" s="159"/>
      <c r="J32" s="159"/>
      <c r="K32" s="159"/>
      <c r="L32" s="160"/>
      <c r="M32" s="21"/>
    </row>
    <row r="33" spans="1:13" ht="18" customHeight="1" thickTop="1" thickBot="1" x14ac:dyDescent="0.4">
      <c r="A33" s="21"/>
      <c r="B33" s="157"/>
      <c r="C33" s="159"/>
      <c r="D33" s="159"/>
      <c r="E33" s="159"/>
      <c r="F33" s="159"/>
      <c r="G33" s="159"/>
      <c r="H33" s="159"/>
      <c r="I33" s="159"/>
      <c r="J33" s="159"/>
      <c r="K33" s="159"/>
      <c r="L33" s="160"/>
      <c r="M33" s="21"/>
    </row>
    <row r="34" spans="1:13" ht="18" customHeight="1" thickTop="1" x14ac:dyDescent="0.35">
      <c r="A34" s="21"/>
      <c r="B34" s="157"/>
      <c r="C34" s="159"/>
      <c r="D34" s="159"/>
      <c r="E34" s="798" t="s">
        <v>87</v>
      </c>
      <c r="F34" s="159"/>
      <c r="G34" s="159"/>
      <c r="H34" s="159"/>
      <c r="I34" s="159"/>
      <c r="J34" s="159"/>
      <c r="K34" s="159"/>
      <c r="L34" s="160"/>
      <c r="M34" s="21"/>
    </row>
    <row r="35" spans="1:13" ht="18" customHeight="1" thickBot="1" x14ac:dyDescent="0.4">
      <c r="A35" s="21"/>
      <c r="B35" s="157"/>
      <c r="C35" s="159"/>
      <c r="D35" s="159"/>
      <c r="E35" s="799"/>
      <c r="F35" s="159"/>
      <c r="G35" s="159"/>
      <c r="H35" s="159"/>
      <c r="I35" s="159"/>
      <c r="J35" s="159"/>
      <c r="K35" s="159"/>
      <c r="L35" s="160"/>
      <c r="M35" s="21"/>
    </row>
    <row r="36" spans="1:13" ht="18" customHeight="1" thickTop="1" thickBot="1" x14ac:dyDescent="0.4">
      <c r="A36" s="21"/>
      <c r="B36" s="164"/>
      <c r="C36" s="165"/>
      <c r="D36" s="166"/>
      <c r="E36" s="165"/>
      <c r="F36" s="166"/>
      <c r="G36" s="165"/>
      <c r="H36" s="166"/>
      <c r="I36" s="165"/>
      <c r="J36" s="166"/>
      <c r="K36" s="165"/>
      <c r="L36" s="167"/>
      <c r="M36" s="21"/>
    </row>
    <row r="37" spans="1:13" ht="18" customHeight="1" x14ac:dyDescent="0.35">
      <c r="A37" s="21"/>
      <c r="B37" s="21"/>
      <c r="C37" s="21"/>
      <c r="D37" s="21"/>
      <c r="E37" s="21"/>
      <c r="F37" s="21"/>
      <c r="G37" s="21"/>
      <c r="H37" s="21"/>
      <c r="I37" s="21"/>
      <c r="J37" s="21"/>
      <c r="K37" s="21"/>
      <c r="L37" s="21"/>
      <c r="M37" s="21"/>
    </row>
    <row r="38" spans="1:13" ht="18" hidden="1" customHeight="1" x14ac:dyDescent="0.3"/>
  </sheetData>
  <sheetProtection algorithmName="SHA-512" hashValue="0lXqyvAfxzeqANGJ7P2XJjE1kyXmSyDhM8I7FU+Z/uqnZPlQvyy/dUzLROuckiczQo3Fiwp2aJMa6ZLD3YCU8w==" saltValue="nYWNVJ392MrHuR3cCP/AAQ==" spinCount="100000" sheet="1" objects="1" scenarios="1"/>
  <mergeCells count="23">
    <mergeCell ref="K10:K11"/>
    <mergeCell ref="K13:K14"/>
    <mergeCell ref="G7:G8"/>
    <mergeCell ref="G10:G11"/>
    <mergeCell ref="G13:G14"/>
    <mergeCell ref="I7:I8"/>
    <mergeCell ref="I10:I11"/>
    <mergeCell ref="K7:K8"/>
    <mergeCell ref="E34:E35"/>
    <mergeCell ref="C7:C8"/>
    <mergeCell ref="C10:C11"/>
    <mergeCell ref="C13:C14"/>
    <mergeCell ref="C16:C17"/>
    <mergeCell ref="C19:C20"/>
    <mergeCell ref="E7:E8"/>
    <mergeCell ref="E10:E11"/>
    <mergeCell ref="E13:E14"/>
    <mergeCell ref="E16:E17"/>
    <mergeCell ref="E19:E20"/>
    <mergeCell ref="E22:E23"/>
    <mergeCell ref="E25:E26"/>
    <mergeCell ref="E28:E29"/>
    <mergeCell ref="E31:E32"/>
  </mergeCells>
  <hyperlinks>
    <hyperlink ref="C7:C8" location="Intro!A1" display="Intro" xr:uid="{00000000-0004-0000-0200-000000000000}"/>
    <hyperlink ref="C10:C11" location="Instructions!A1" display="Instructions" xr:uid="{00000000-0004-0000-0200-000001000000}"/>
    <hyperlink ref="C13:C14" location="Navigation!A1" display="Navigation" xr:uid="{00000000-0004-0000-0200-000002000000}"/>
    <hyperlink ref="C16:C17" location="Glossary!A1" display="Glossary of Terms" xr:uid="{00000000-0004-0000-0200-000003000000}"/>
    <hyperlink ref="C19:C20" location="'INPV Calculation'!A1" display="INPV Calculation" xr:uid="{00000000-0004-0000-0200-000004000000}"/>
    <hyperlink ref="E7:E8" location="Scenario!A1" display="Scenario" xr:uid="{00000000-0004-0000-0200-000005000000}"/>
    <hyperlink ref="E10:E11" location="Financials!A1" display="Financials" xr:uid="{00000000-0004-0000-0200-000006000000}"/>
    <hyperlink ref="E13:E14" location="'EL and TSL Setup'!A1" display="EL and TSL Setup" xr:uid="{00000000-0004-0000-0200-000007000000}"/>
    <hyperlink ref="E16:E17" location="Markups!A1" display="Markups" xr:uid="{00000000-0004-0000-0200-000008000000}"/>
    <hyperlink ref="E19:E20" location="'MPC Breakdown'!A1" display="MPC Breakdown" xr:uid="{00000000-0004-0000-0200-000009000000}"/>
    <hyperlink ref="E22:E23" location="Learning!A1" display="Learning" xr:uid="{00000000-0004-0000-0200-00000A000000}"/>
    <hyperlink ref="E25:E26" location="Shipments!A1" display="Shipments" xr:uid="{00000000-0004-0000-0200-00000B000000}"/>
    <hyperlink ref="E28:E29" location="'Conversion Costs'!A1" display="Conversion Costs" xr:uid="{00000000-0004-0000-0200-00000C000000}"/>
    <hyperlink ref="E31:E32" location="'Conversion Cost Timing'!A1" display="Conversion Cost Timing" xr:uid="{00000000-0004-0000-0200-00000D000000}"/>
    <hyperlink ref="E34:E35" location="Employment!A1" display="Employment" xr:uid="{00000000-0004-0000-0200-00000E000000}"/>
    <hyperlink ref="G7:G8" location="MSP!A1" display="MSP" xr:uid="{00000000-0004-0000-0200-00000F000000}"/>
    <hyperlink ref="G10:G11" location="'No STDs Case Rev &amp; Cost'!A1" display="No STDs Case Revenue &amp; Cost" xr:uid="{00000000-0004-0000-0200-000010000000}"/>
    <hyperlink ref="G13:G14" location="'STANDARDS Rev &amp; Cost'!A1" display="Standards Revenue &amp; Cost" xr:uid="{00000000-0004-0000-0200-000011000000}"/>
    <hyperlink ref="I7:I8" location="'No STDs Case DCF'!A1" display="No STDs Case DCF" xr:uid="{00000000-0004-0000-0200-000012000000}"/>
    <hyperlink ref="I10:I11" location="'STANDARDS CASE DCF'!A1" display="Standards Case DCF" xr:uid="{00000000-0004-0000-0200-000013000000}"/>
    <hyperlink ref="K7:K8" location="'Summary Report'!A1" display="Summary Report" xr:uid="{00000000-0004-0000-0200-000014000000}"/>
    <hyperlink ref="K10:K11" location="'Data for Graphs'!A1" display="Data for Graphs" xr:uid="{00000000-0004-0000-0200-000015000000}"/>
    <hyperlink ref="K13:K14" location="Dashboard!A1" display="Dashboard" xr:uid="{00000000-0004-0000-0200-000016000000}"/>
  </hyperlinks>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4AA81-9FDC-446B-8B27-18971BF3F6D1}">
  <sheetPr codeName="Sheet2">
    <tabColor rgb="FFFFC000"/>
  </sheetPr>
  <dimension ref="A1:G46"/>
  <sheetViews>
    <sheetView workbookViewId="0"/>
  </sheetViews>
  <sheetFormatPr defaultColWidth="8.81640625" defaultRowHeight="91.5" customHeight="1" x14ac:dyDescent="0.35"/>
  <cols>
    <col min="1" max="2" width="6.54296875" style="688" customWidth="1"/>
    <col min="3" max="3" width="53.54296875" style="703" customWidth="1"/>
    <col min="4" max="4" width="27.453125" style="704" customWidth="1"/>
    <col min="5" max="5" width="69.81640625" style="704" customWidth="1"/>
    <col min="6" max="6" width="19.1796875" style="688" customWidth="1"/>
    <col min="7" max="7" width="6.54296875" style="688" customWidth="1"/>
    <col min="8" max="16384" width="8.81640625" style="688"/>
  </cols>
  <sheetData>
    <row r="1" spans="1:7" ht="16" thickBot="1" x14ac:dyDescent="0.4">
      <c r="A1" s="685"/>
      <c r="B1" s="685"/>
      <c r="C1" s="686"/>
      <c r="D1" s="687"/>
      <c r="E1" s="687"/>
      <c r="F1" s="685"/>
      <c r="G1" s="685"/>
    </row>
    <row r="2" spans="1:7" ht="16.5" thickTop="1" thickBot="1" x14ac:dyDescent="0.4">
      <c r="A2" s="685"/>
      <c r="B2" s="685"/>
      <c r="C2" s="689" t="s">
        <v>161</v>
      </c>
      <c r="D2" s="687"/>
      <c r="E2" s="690" t="s">
        <v>159</v>
      </c>
      <c r="F2" s="685"/>
      <c r="G2" s="685"/>
    </row>
    <row r="3" spans="1:7" ht="16" thickBot="1" x14ac:dyDescent="0.4">
      <c r="A3" s="685"/>
      <c r="B3" s="685"/>
      <c r="C3" s="686"/>
      <c r="D3" s="687"/>
      <c r="E3" s="687"/>
      <c r="F3" s="685"/>
      <c r="G3" s="685"/>
    </row>
    <row r="4" spans="1:7" ht="15.5" x14ac:dyDescent="0.35">
      <c r="A4" s="685"/>
      <c r="B4" s="691"/>
      <c r="C4" s="692"/>
      <c r="D4" s="693"/>
      <c r="E4" s="693"/>
      <c r="F4" s="694"/>
      <c r="G4" s="685"/>
    </row>
    <row r="5" spans="1:7" ht="33.75" customHeight="1" x14ac:dyDescent="0.35">
      <c r="A5" s="685"/>
      <c r="B5" s="695"/>
      <c r="C5" s="696" t="s">
        <v>1</v>
      </c>
      <c r="D5" s="810" t="s">
        <v>284</v>
      </c>
      <c r="E5" s="811"/>
      <c r="F5" s="697"/>
      <c r="G5" s="685"/>
    </row>
    <row r="6" spans="1:7" ht="33.75" customHeight="1" x14ac:dyDescent="0.35">
      <c r="A6" s="685"/>
      <c r="B6" s="695"/>
      <c r="C6" s="696" t="s">
        <v>285</v>
      </c>
      <c r="D6" s="810" t="s">
        <v>286</v>
      </c>
      <c r="E6" s="811"/>
      <c r="F6" s="697"/>
      <c r="G6" s="685"/>
    </row>
    <row r="7" spans="1:7" ht="78" customHeight="1" x14ac:dyDescent="0.35">
      <c r="A7" s="685"/>
      <c r="B7" s="695"/>
      <c r="C7" s="696" t="s">
        <v>29</v>
      </c>
      <c r="D7" s="812" t="s">
        <v>315</v>
      </c>
      <c r="E7" s="813"/>
      <c r="F7" s="697"/>
      <c r="G7" s="685"/>
    </row>
    <row r="8" spans="1:7" ht="36.75" customHeight="1" x14ac:dyDescent="0.35">
      <c r="A8" s="685"/>
      <c r="B8" s="695"/>
      <c r="C8" s="696" t="s">
        <v>8</v>
      </c>
      <c r="D8" s="812" t="s">
        <v>287</v>
      </c>
      <c r="E8" s="813"/>
      <c r="F8" s="697"/>
      <c r="G8" s="685"/>
    </row>
    <row r="9" spans="1:7" ht="36.75" customHeight="1" x14ac:dyDescent="0.35">
      <c r="A9" s="685"/>
      <c r="B9" s="695"/>
      <c r="C9" s="696" t="s">
        <v>233</v>
      </c>
      <c r="D9" s="812" t="s">
        <v>325</v>
      </c>
      <c r="E9" s="813"/>
      <c r="F9" s="697"/>
      <c r="G9" s="685"/>
    </row>
    <row r="10" spans="1:7" ht="38.25" customHeight="1" x14ac:dyDescent="0.35">
      <c r="A10" s="685"/>
      <c r="B10" s="695"/>
      <c r="C10" s="696" t="s">
        <v>32</v>
      </c>
      <c r="D10" s="810" t="s">
        <v>288</v>
      </c>
      <c r="E10" s="811"/>
      <c r="F10" s="697"/>
      <c r="G10" s="685"/>
    </row>
    <row r="11" spans="1:7" ht="39" customHeight="1" x14ac:dyDescent="0.35">
      <c r="A11" s="685"/>
      <c r="B11" s="695"/>
      <c r="C11" s="696" t="s">
        <v>33</v>
      </c>
      <c r="D11" s="810" t="s">
        <v>289</v>
      </c>
      <c r="E11" s="811" t="s">
        <v>126</v>
      </c>
      <c r="F11" s="697"/>
      <c r="G11" s="685"/>
    </row>
    <row r="12" spans="1:7" ht="15.5" x14ac:dyDescent="0.35">
      <c r="A12" s="685"/>
      <c r="B12" s="695"/>
      <c r="C12" s="696" t="s">
        <v>290</v>
      </c>
      <c r="D12" s="810" t="s">
        <v>39</v>
      </c>
      <c r="E12" s="811" t="s">
        <v>39</v>
      </c>
      <c r="F12" s="697"/>
      <c r="G12" s="685"/>
    </row>
    <row r="13" spans="1:7" ht="33.75" customHeight="1" x14ac:dyDescent="0.35">
      <c r="A13" s="685"/>
      <c r="B13" s="695"/>
      <c r="C13" s="696" t="s">
        <v>72</v>
      </c>
      <c r="D13" s="810" t="s">
        <v>291</v>
      </c>
      <c r="E13" s="811" t="s">
        <v>93</v>
      </c>
      <c r="F13" s="697"/>
      <c r="G13" s="685"/>
    </row>
    <row r="14" spans="1:7" ht="15.5" x14ac:dyDescent="0.35">
      <c r="A14" s="685"/>
      <c r="B14" s="695"/>
      <c r="C14" s="696" t="s">
        <v>3</v>
      </c>
      <c r="D14" s="810" t="s">
        <v>292</v>
      </c>
      <c r="E14" s="811" t="s">
        <v>73</v>
      </c>
      <c r="F14" s="697"/>
      <c r="G14" s="685"/>
    </row>
    <row r="15" spans="1:7" ht="15.5" x14ac:dyDescent="0.35">
      <c r="A15" s="685"/>
      <c r="B15" s="695"/>
      <c r="C15" s="696" t="s">
        <v>94</v>
      </c>
      <c r="D15" s="810" t="s">
        <v>317</v>
      </c>
      <c r="E15" s="811" t="s">
        <v>45</v>
      </c>
      <c r="F15" s="697"/>
      <c r="G15" s="685"/>
    </row>
    <row r="16" spans="1:7" ht="34.5" customHeight="1" x14ac:dyDescent="0.35">
      <c r="A16" s="685"/>
      <c r="B16" s="695"/>
      <c r="C16" s="696" t="s">
        <v>293</v>
      </c>
      <c r="D16" s="810" t="s">
        <v>270</v>
      </c>
      <c r="E16" s="811" t="s">
        <v>40</v>
      </c>
      <c r="F16" s="697"/>
      <c r="G16" s="685"/>
    </row>
    <row r="17" spans="1:7" ht="33" customHeight="1" x14ac:dyDescent="0.35">
      <c r="A17" s="685"/>
      <c r="B17" s="695"/>
      <c r="C17" s="696" t="s">
        <v>95</v>
      </c>
      <c r="D17" s="810" t="s">
        <v>271</v>
      </c>
      <c r="E17" s="811" t="s">
        <v>110</v>
      </c>
      <c r="F17" s="697"/>
      <c r="G17" s="685"/>
    </row>
    <row r="18" spans="1:7" ht="33" customHeight="1" x14ac:dyDescent="0.35">
      <c r="A18" s="685"/>
      <c r="B18" s="695"/>
      <c r="C18" s="696" t="s">
        <v>294</v>
      </c>
      <c r="D18" s="810" t="s">
        <v>295</v>
      </c>
      <c r="E18" s="811" t="s">
        <v>111</v>
      </c>
      <c r="F18" s="697"/>
      <c r="G18" s="685"/>
    </row>
    <row r="19" spans="1:7" ht="31.5" customHeight="1" x14ac:dyDescent="0.35">
      <c r="A19" s="685"/>
      <c r="B19" s="695"/>
      <c r="C19" s="696" t="s">
        <v>296</v>
      </c>
      <c r="D19" s="810" t="s">
        <v>297</v>
      </c>
      <c r="E19" s="811" t="s">
        <v>127</v>
      </c>
      <c r="F19" s="697"/>
      <c r="G19" s="685"/>
    </row>
    <row r="20" spans="1:7" ht="15.5" x14ac:dyDescent="0.35">
      <c r="A20" s="685"/>
      <c r="B20" s="695"/>
      <c r="C20" s="696" t="s">
        <v>41</v>
      </c>
      <c r="D20" s="810" t="s">
        <v>272</v>
      </c>
      <c r="E20" s="811" t="s">
        <v>42</v>
      </c>
      <c r="F20" s="697"/>
      <c r="G20" s="685"/>
    </row>
    <row r="21" spans="1:7" ht="31.5" customHeight="1" x14ac:dyDescent="0.35">
      <c r="A21" s="685"/>
      <c r="B21" s="695"/>
      <c r="C21" s="696" t="s">
        <v>43</v>
      </c>
      <c r="D21" s="810" t="s">
        <v>298</v>
      </c>
      <c r="E21" s="811" t="s">
        <v>44</v>
      </c>
      <c r="F21" s="697"/>
      <c r="G21" s="685"/>
    </row>
    <row r="22" spans="1:7" ht="30" customHeight="1" x14ac:dyDescent="0.35">
      <c r="A22" s="685"/>
      <c r="B22" s="695"/>
      <c r="C22" s="696" t="s">
        <v>299</v>
      </c>
      <c r="D22" s="810" t="s">
        <v>300</v>
      </c>
      <c r="E22" s="811"/>
      <c r="F22" s="697"/>
      <c r="G22" s="685"/>
    </row>
    <row r="23" spans="1:7" ht="30.75" customHeight="1" x14ac:dyDescent="0.35">
      <c r="A23" s="685"/>
      <c r="B23" s="695"/>
      <c r="C23" s="696" t="s">
        <v>47</v>
      </c>
      <c r="D23" s="810" t="s">
        <v>273</v>
      </c>
      <c r="E23" s="811" t="s">
        <v>48</v>
      </c>
      <c r="F23" s="697"/>
      <c r="G23" s="685"/>
    </row>
    <row r="24" spans="1:7" ht="53.15" customHeight="1" x14ac:dyDescent="0.35">
      <c r="A24" s="685"/>
      <c r="B24" s="695"/>
      <c r="C24" s="696" t="s">
        <v>16</v>
      </c>
      <c r="D24" s="810" t="s">
        <v>322</v>
      </c>
      <c r="E24" s="811" t="s">
        <v>48</v>
      </c>
      <c r="F24" s="697"/>
      <c r="G24" s="685"/>
    </row>
    <row r="25" spans="1:7" ht="50.25" customHeight="1" x14ac:dyDescent="0.35">
      <c r="A25" s="685"/>
      <c r="B25" s="695"/>
      <c r="C25" s="696" t="s">
        <v>301</v>
      </c>
      <c r="D25" s="810" t="s">
        <v>302</v>
      </c>
      <c r="E25" s="811" t="s">
        <v>112</v>
      </c>
      <c r="F25" s="697"/>
      <c r="G25" s="685"/>
    </row>
    <row r="26" spans="1:7" ht="31.5" customHeight="1" x14ac:dyDescent="0.35">
      <c r="A26" s="685"/>
      <c r="B26" s="695"/>
      <c r="C26" s="696" t="s">
        <v>303</v>
      </c>
      <c r="D26" s="810" t="s">
        <v>304</v>
      </c>
      <c r="E26" s="811" t="s">
        <v>96</v>
      </c>
      <c r="F26" s="697"/>
      <c r="G26" s="685"/>
    </row>
    <row r="27" spans="1:7" ht="31.5" customHeight="1" x14ac:dyDescent="0.35">
      <c r="A27" s="685"/>
      <c r="B27" s="695"/>
      <c r="C27" s="696" t="s">
        <v>232</v>
      </c>
      <c r="D27" s="814" t="s">
        <v>324</v>
      </c>
      <c r="E27" s="815"/>
      <c r="F27" s="697"/>
      <c r="G27" s="685"/>
    </row>
    <row r="28" spans="1:7" ht="51" customHeight="1" x14ac:dyDescent="0.35">
      <c r="A28" s="685"/>
      <c r="B28" s="695"/>
      <c r="C28" s="696" t="s">
        <v>318</v>
      </c>
      <c r="D28" s="814" t="s">
        <v>320</v>
      </c>
      <c r="E28" s="815"/>
      <c r="F28" s="697"/>
      <c r="G28" s="685"/>
    </row>
    <row r="29" spans="1:7" ht="30" customHeight="1" x14ac:dyDescent="0.35">
      <c r="A29" s="685"/>
      <c r="B29" s="695"/>
      <c r="C29" s="696" t="s">
        <v>19</v>
      </c>
      <c r="D29" s="810" t="s">
        <v>274</v>
      </c>
      <c r="E29" s="811" t="s">
        <v>113</v>
      </c>
      <c r="F29" s="697"/>
      <c r="G29" s="685"/>
    </row>
    <row r="30" spans="1:7" ht="15.5" x14ac:dyDescent="0.35">
      <c r="A30" s="685"/>
      <c r="B30" s="695"/>
      <c r="C30" s="696" t="s">
        <v>49</v>
      </c>
      <c r="D30" s="810" t="s">
        <v>50</v>
      </c>
      <c r="E30" s="811" t="s">
        <v>50</v>
      </c>
      <c r="F30" s="697"/>
      <c r="G30" s="685"/>
    </row>
    <row r="31" spans="1:7" ht="15.5" x14ac:dyDescent="0.35">
      <c r="A31" s="685"/>
      <c r="B31" s="695"/>
      <c r="C31" s="698" t="s">
        <v>31</v>
      </c>
      <c r="D31" s="810" t="s">
        <v>305</v>
      </c>
      <c r="E31" s="811" t="s">
        <v>51</v>
      </c>
      <c r="F31" s="697"/>
      <c r="G31" s="685"/>
    </row>
    <row r="32" spans="1:7" ht="15.5" x14ac:dyDescent="0.35">
      <c r="A32" s="685"/>
      <c r="B32" s="695"/>
      <c r="C32" s="696" t="s">
        <v>52</v>
      </c>
      <c r="D32" s="810" t="s">
        <v>319</v>
      </c>
      <c r="E32" s="811" t="s">
        <v>227</v>
      </c>
      <c r="F32" s="697"/>
      <c r="G32" s="685"/>
    </row>
    <row r="33" spans="1:7" ht="32.25" customHeight="1" x14ac:dyDescent="0.35">
      <c r="A33" s="685"/>
      <c r="B33" s="695"/>
      <c r="C33" s="696" t="s">
        <v>30</v>
      </c>
      <c r="D33" s="810" t="s">
        <v>306</v>
      </c>
      <c r="E33" s="811" t="s">
        <v>53</v>
      </c>
      <c r="F33" s="697"/>
      <c r="G33" s="685"/>
    </row>
    <row r="34" spans="1:7" ht="30.75" customHeight="1" x14ac:dyDescent="0.35">
      <c r="A34" s="685"/>
      <c r="B34" s="695"/>
      <c r="C34" s="696" t="s">
        <v>243</v>
      </c>
      <c r="D34" s="810" t="s">
        <v>307</v>
      </c>
      <c r="E34" s="811" t="s">
        <v>228</v>
      </c>
      <c r="F34" s="697"/>
      <c r="G34" s="685"/>
    </row>
    <row r="35" spans="1:7" ht="30" customHeight="1" x14ac:dyDescent="0.35">
      <c r="A35" s="685"/>
      <c r="B35" s="695"/>
      <c r="C35" s="696" t="s">
        <v>245</v>
      </c>
      <c r="D35" s="810" t="s">
        <v>326</v>
      </c>
      <c r="E35" s="811" t="s">
        <v>116</v>
      </c>
      <c r="F35" s="697"/>
      <c r="G35" s="685"/>
    </row>
    <row r="36" spans="1:7" ht="51" customHeight="1" x14ac:dyDescent="0.35">
      <c r="A36" s="685"/>
      <c r="B36" s="695"/>
      <c r="C36" s="696" t="s">
        <v>328</v>
      </c>
      <c r="D36" s="810" t="s">
        <v>329</v>
      </c>
      <c r="E36" s="811" t="s">
        <v>116</v>
      </c>
      <c r="F36" s="697"/>
      <c r="G36" s="685"/>
    </row>
    <row r="37" spans="1:7" ht="30.75" customHeight="1" x14ac:dyDescent="0.35">
      <c r="A37" s="685"/>
      <c r="B37" s="695"/>
      <c r="C37" s="696" t="s">
        <v>75</v>
      </c>
      <c r="D37" s="810" t="s">
        <v>308</v>
      </c>
      <c r="E37" s="811" t="s">
        <v>114</v>
      </c>
      <c r="F37" s="697"/>
      <c r="G37" s="685"/>
    </row>
    <row r="38" spans="1:7" ht="52.4" customHeight="1" x14ac:dyDescent="0.35">
      <c r="A38" s="685"/>
      <c r="B38" s="695"/>
      <c r="C38" s="696" t="s">
        <v>15</v>
      </c>
      <c r="D38" s="814" t="s">
        <v>321</v>
      </c>
      <c r="E38" s="815"/>
      <c r="F38" s="697"/>
      <c r="G38" s="685"/>
    </row>
    <row r="39" spans="1:7" ht="15.5" x14ac:dyDescent="0.35">
      <c r="A39" s="685"/>
      <c r="B39" s="695"/>
      <c r="C39" s="696" t="s">
        <v>2</v>
      </c>
      <c r="D39" s="814" t="s">
        <v>327</v>
      </c>
      <c r="E39" s="815"/>
      <c r="F39" s="697"/>
      <c r="G39" s="685"/>
    </row>
    <row r="40" spans="1:7" ht="19.5" customHeight="1" x14ac:dyDescent="0.35">
      <c r="A40" s="685"/>
      <c r="B40" s="695"/>
      <c r="C40" s="696" t="s">
        <v>83</v>
      </c>
      <c r="D40" s="810" t="s">
        <v>309</v>
      </c>
      <c r="E40" s="811" t="s">
        <v>115</v>
      </c>
      <c r="F40" s="697"/>
      <c r="G40" s="685"/>
    </row>
    <row r="41" spans="1:7" ht="47.25" customHeight="1" x14ac:dyDescent="0.35">
      <c r="A41" s="685"/>
      <c r="B41" s="695"/>
      <c r="C41" s="696" t="s">
        <v>20</v>
      </c>
      <c r="D41" s="810" t="s">
        <v>310</v>
      </c>
      <c r="E41" s="811" t="s">
        <v>54</v>
      </c>
      <c r="F41" s="697"/>
      <c r="G41" s="685"/>
    </row>
    <row r="42" spans="1:7" ht="30.75" customHeight="1" x14ac:dyDescent="0.35">
      <c r="A42" s="685"/>
      <c r="B42" s="695"/>
      <c r="C42" s="696" t="s">
        <v>311</v>
      </c>
      <c r="D42" s="810" t="s">
        <v>46</v>
      </c>
      <c r="E42" s="811" t="s">
        <v>46</v>
      </c>
      <c r="F42" s="697"/>
      <c r="G42" s="685"/>
    </row>
    <row r="43" spans="1:7" ht="16" thickBot="1" x14ac:dyDescent="0.4">
      <c r="A43" s="685"/>
      <c r="B43" s="699"/>
      <c r="C43" s="700"/>
      <c r="D43" s="701"/>
      <c r="E43" s="701"/>
      <c r="F43" s="702"/>
      <c r="G43" s="685"/>
    </row>
    <row r="44" spans="1:7" ht="15.5" x14ac:dyDescent="0.35">
      <c r="A44" s="685"/>
      <c r="B44" s="685"/>
      <c r="C44" s="686"/>
      <c r="D44" s="687"/>
      <c r="E44" s="687"/>
      <c r="F44" s="685"/>
      <c r="G44" s="685"/>
    </row>
    <row r="45" spans="1:7" ht="14.5" x14ac:dyDescent="0.35"/>
    <row r="46" spans="1:7" ht="14.5" x14ac:dyDescent="0.35"/>
  </sheetData>
  <sheetProtection algorithmName="SHA-512" hashValue="Hx8etN4La12msIXSGFOZLjKjp/jSv6TTvhuWPtc8Q9Mt3fQD/ABJgq/uGNzsEPECki9qPGoIWFzNYHnCz2+Naw==" saltValue="rjYWV27F9NHz1fWRGFUcCg==" spinCount="100000" sheet="1" objects="1" scenarios="1"/>
  <mergeCells count="38">
    <mergeCell ref="D41:E41"/>
    <mergeCell ref="D42:E42"/>
    <mergeCell ref="D32:E32"/>
    <mergeCell ref="D33:E33"/>
    <mergeCell ref="D34:E34"/>
    <mergeCell ref="D35:E35"/>
    <mergeCell ref="D37:E37"/>
    <mergeCell ref="D40:E40"/>
    <mergeCell ref="D38:E38"/>
    <mergeCell ref="D39:E39"/>
    <mergeCell ref="D36:E36"/>
    <mergeCell ref="D31:E31"/>
    <mergeCell ref="D17:E17"/>
    <mergeCell ref="D18:E18"/>
    <mergeCell ref="D19:E19"/>
    <mergeCell ref="D20:E20"/>
    <mergeCell ref="D21:E21"/>
    <mergeCell ref="D22:E22"/>
    <mergeCell ref="D23:E23"/>
    <mergeCell ref="D25:E25"/>
    <mergeCell ref="D26:E26"/>
    <mergeCell ref="D29:E29"/>
    <mergeCell ref="D30:E30"/>
    <mergeCell ref="D28:E28"/>
    <mergeCell ref="D24:E24"/>
    <mergeCell ref="D27:E27"/>
    <mergeCell ref="D16:E16"/>
    <mergeCell ref="D5:E5"/>
    <mergeCell ref="D6:E6"/>
    <mergeCell ref="D7:E7"/>
    <mergeCell ref="D8:E8"/>
    <mergeCell ref="D10:E10"/>
    <mergeCell ref="D11:E11"/>
    <mergeCell ref="D12:E12"/>
    <mergeCell ref="D13:E13"/>
    <mergeCell ref="D14:E14"/>
    <mergeCell ref="D15:E15"/>
    <mergeCell ref="D9:E9"/>
  </mergeCells>
  <hyperlinks>
    <hyperlink ref="E2" location="Navigation!A1" display="Navigation" xr:uid="{6F852962-8931-48AB-B51A-449BAEBEE7B3}"/>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tabColor rgb="FFFFC000"/>
  </sheetPr>
  <dimension ref="A1:K32"/>
  <sheetViews>
    <sheetView zoomScale="80" zoomScaleNormal="80" workbookViewId="0"/>
  </sheetViews>
  <sheetFormatPr defaultColWidth="0" defaultRowHeight="0" customHeight="1" zeroHeight="1" x14ac:dyDescent="0.35"/>
  <cols>
    <col min="1" max="1" width="3.54296875" style="18" customWidth="1"/>
    <col min="2" max="2" width="3.54296875" style="21" customWidth="1"/>
    <col min="3" max="9" width="15.54296875" style="21" customWidth="1"/>
    <col min="10" max="10" width="3.54296875" style="21" customWidth="1"/>
    <col min="11" max="11" width="3.54296875" style="18" customWidth="1"/>
    <col min="12" max="16384" width="9.453125" style="21" hidden="1"/>
  </cols>
  <sheetData>
    <row r="1" spans="2:10" s="18" customFormat="1" ht="15" customHeight="1" thickBot="1" x14ac:dyDescent="0.4"/>
    <row r="2" spans="2:10" ht="18" customHeight="1" thickTop="1" thickBot="1" x14ac:dyDescent="0.4">
      <c r="B2" s="18"/>
      <c r="C2" s="19" t="s">
        <v>122</v>
      </c>
      <c r="D2" s="20"/>
      <c r="E2" s="18"/>
      <c r="F2" s="18"/>
      <c r="G2" s="18"/>
      <c r="H2" s="18"/>
      <c r="I2" s="10" t="s">
        <v>159</v>
      </c>
      <c r="J2" s="18"/>
    </row>
    <row r="3" spans="2:10" s="18" customFormat="1" ht="15" customHeight="1" thickBot="1" x14ac:dyDescent="0.4"/>
    <row r="4" spans="2:10" ht="15" customHeight="1" x14ac:dyDescent="0.35">
      <c r="B4" s="22"/>
      <c r="C4" s="23"/>
      <c r="D4" s="23"/>
      <c r="E4" s="23"/>
      <c r="F4" s="23"/>
      <c r="G4" s="23"/>
      <c r="H4" s="23"/>
      <c r="I4" s="23"/>
      <c r="J4" s="169"/>
    </row>
    <row r="5" spans="2:10" ht="15" customHeight="1" x14ac:dyDescent="0.35">
      <c r="B5" s="170"/>
      <c r="C5" s="171"/>
      <c r="D5" s="172"/>
      <c r="E5" s="172"/>
      <c r="F5" s="173"/>
      <c r="G5" s="174"/>
      <c r="H5" s="174"/>
      <c r="I5" s="175"/>
      <c r="J5" s="49"/>
    </row>
    <row r="6" spans="2:10" ht="15" customHeight="1" x14ac:dyDescent="0.35">
      <c r="B6" s="176"/>
      <c r="C6" s="41"/>
      <c r="D6" s="47"/>
      <c r="E6" s="47"/>
      <c r="F6" s="47"/>
      <c r="G6" s="177"/>
      <c r="H6" s="177"/>
      <c r="I6" s="178"/>
      <c r="J6" s="49"/>
    </row>
    <row r="7" spans="2:10" ht="15" customHeight="1" x14ac:dyDescent="0.35">
      <c r="B7" s="176"/>
      <c r="C7" s="41"/>
      <c r="D7" s="47"/>
      <c r="E7" s="47"/>
      <c r="F7" s="47"/>
      <c r="G7" s="177"/>
      <c r="H7" s="177"/>
      <c r="I7" s="178"/>
      <c r="J7" s="49"/>
    </row>
    <row r="8" spans="2:10" ht="15" customHeight="1" x14ac:dyDescent="0.35">
      <c r="B8" s="176"/>
      <c r="C8" s="41"/>
      <c r="D8" s="47"/>
      <c r="E8" s="47"/>
      <c r="F8" s="47"/>
      <c r="G8" s="47"/>
      <c r="H8" s="47"/>
      <c r="I8" s="48"/>
      <c r="J8" s="49"/>
    </row>
    <row r="9" spans="2:10" ht="15" customHeight="1" x14ac:dyDescent="0.35">
      <c r="B9" s="176"/>
      <c r="C9" s="41"/>
      <c r="D9" s="47"/>
      <c r="E9" s="47"/>
      <c r="F9" s="47"/>
      <c r="G9" s="47"/>
      <c r="H9" s="47"/>
      <c r="I9" s="48"/>
      <c r="J9" s="49"/>
    </row>
    <row r="10" spans="2:10" ht="15" customHeight="1" x14ac:dyDescent="0.35">
      <c r="B10" s="176"/>
      <c r="C10" s="41"/>
      <c r="D10" s="47"/>
      <c r="E10" s="47"/>
      <c r="F10" s="47"/>
      <c r="G10" s="47"/>
      <c r="H10" s="47"/>
      <c r="I10" s="48"/>
      <c r="J10" s="49"/>
    </row>
    <row r="11" spans="2:10" ht="15" customHeight="1" x14ac:dyDescent="0.35">
      <c r="B11" s="176"/>
      <c r="C11" s="41"/>
      <c r="D11" s="47"/>
      <c r="E11" s="47"/>
      <c r="F11" s="47"/>
      <c r="G11" s="47"/>
      <c r="H11" s="47"/>
      <c r="I11" s="48"/>
      <c r="J11" s="49"/>
    </row>
    <row r="12" spans="2:10" ht="15" customHeight="1" x14ac:dyDescent="0.35">
      <c r="B12" s="176"/>
      <c r="C12" s="41"/>
      <c r="D12" s="47"/>
      <c r="E12" s="47"/>
      <c r="F12" s="47"/>
      <c r="G12" s="47"/>
      <c r="H12" s="47"/>
      <c r="I12" s="48"/>
      <c r="J12" s="49"/>
    </row>
    <row r="13" spans="2:10" ht="15" customHeight="1" x14ac:dyDescent="0.35">
      <c r="B13" s="176"/>
      <c r="C13" s="41"/>
      <c r="D13" s="47"/>
      <c r="E13" s="47"/>
      <c r="F13" s="47"/>
      <c r="G13" s="47"/>
      <c r="H13" s="47"/>
      <c r="I13" s="48"/>
      <c r="J13" s="49"/>
    </row>
    <row r="14" spans="2:10" ht="15" customHeight="1" x14ac:dyDescent="0.35">
      <c r="B14" s="176"/>
      <c r="C14" s="41"/>
      <c r="D14" s="47"/>
      <c r="E14" s="47"/>
      <c r="F14" s="47"/>
      <c r="G14" s="47"/>
      <c r="H14" s="47"/>
      <c r="I14" s="48"/>
      <c r="J14" s="49"/>
    </row>
    <row r="15" spans="2:10" ht="15" customHeight="1" x14ac:dyDescent="0.35">
      <c r="B15" s="176"/>
      <c r="C15" s="41"/>
      <c r="D15" s="47"/>
      <c r="E15" s="47"/>
      <c r="F15" s="47"/>
      <c r="G15" s="47"/>
      <c r="H15" s="47"/>
      <c r="I15" s="48"/>
      <c r="J15" s="49"/>
    </row>
    <row r="16" spans="2:10" ht="15" customHeight="1" x14ac:dyDescent="0.35">
      <c r="B16" s="176"/>
      <c r="C16" s="41"/>
      <c r="D16" s="47"/>
      <c r="E16" s="47"/>
      <c r="F16" s="47"/>
      <c r="G16" s="47"/>
      <c r="H16" s="47"/>
      <c r="I16" s="48"/>
      <c r="J16" s="49"/>
    </row>
    <row r="17" spans="2:11" ht="15" customHeight="1" x14ac:dyDescent="0.35">
      <c r="B17" s="176"/>
      <c r="C17" s="41"/>
      <c r="D17" s="47"/>
      <c r="E17" s="47"/>
      <c r="F17" s="47"/>
      <c r="G17" s="47"/>
      <c r="H17" s="47"/>
      <c r="I17" s="48"/>
      <c r="J17" s="49"/>
    </row>
    <row r="18" spans="2:11" ht="15" customHeight="1" x14ac:dyDescent="0.35">
      <c r="B18" s="179"/>
      <c r="C18" s="180"/>
      <c r="D18" s="44"/>
      <c r="E18" s="47"/>
      <c r="F18" s="47"/>
      <c r="G18" s="46"/>
      <c r="H18" s="47"/>
      <c r="I18" s="48"/>
      <c r="J18" s="49"/>
    </row>
    <row r="19" spans="2:11" ht="15" customHeight="1" x14ac:dyDescent="0.35">
      <c r="B19" s="176"/>
      <c r="C19" s="41"/>
      <c r="D19" s="47"/>
      <c r="E19" s="47"/>
      <c r="F19" s="47"/>
      <c r="G19" s="47"/>
      <c r="H19" s="47"/>
      <c r="I19" s="48"/>
      <c r="J19" s="49"/>
      <c r="K19" s="50"/>
    </row>
    <row r="20" spans="2:11" ht="15" customHeight="1" x14ac:dyDescent="0.35">
      <c r="B20" s="176"/>
      <c r="C20" s="41"/>
      <c r="D20" s="47"/>
      <c r="E20" s="47"/>
      <c r="F20" s="47"/>
      <c r="G20" s="47"/>
      <c r="H20" s="47"/>
      <c r="I20" s="48"/>
      <c r="J20" s="49"/>
    </row>
    <row r="21" spans="2:11" ht="15" customHeight="1" x14ac:dyDescent="0.35">
      <c r="B21" s="176"/>
      <c r="C21" s="41"/>
      <c r="D21" s="47"/>
      <c r="E21" s="47"/>
      <c r="F21" s="47"/>
      <c r="G21" s="47"/>
      <c r="H21" s="47"/>
      <c r="I21" s="48"/>
      <c r="J21" s="49"/>
    </row>
    <row r="22" spans="2:11" ht="15" customHeight="1" x14ac:dyDescent="0.35">
      <c r="B22" s="176"/>
      <c r="C22" s="41"/>
      <c r="D22" s="47"/>
      <c r="E22" s="47"/>
      <c r="F22" s="47"/>
      <c r="G22" s="47"/>
      <c r="H22" s="47"/>
      <c r="I22" s="48"/>
      <c r="J22" s="49"/>
    </row>
    <row r="23" spans="2:11" ht="15" customHeight="1" x14ac:dyDescent="0.35">
      <c r="B23" s="181"/>
      <c r="C23" s="41"/>
      <c r="D23" s="47"/>
      <c r="E23" s="47"/>
      <c r="F23" s="47"/>
      <c r="G23" s="182"/>
      <c r="H23" s="47"/>
      <c r="I23" s="48"/>
      <c r="J23" s="49"/>
    </row>
    <row r="24" spans="2:11" ht="15" customHeight="1" x14ac:dyDescent="0.35">
      <c r="B24" s="181"/>
      <c r="C24" s="41"/>
      <c r="D24" s="47"/>
      <c r="E24" s="47"/>
      <c r="F24" s="47"/>
      <c r="G24" s="47"/>
      <c r="H24" s="47"/>
      <c r="I24" s="48"/>
      <c r="J24" s="49"/>
    </row>
    <row r="25" spans="2:11" ht="15" customHeight="1" x14ac:dyDescent="0.35">
      <c r="B25" s="176"/>
      <c r="C25" s="41"/>
      <c r="D25" s="47"/>
      <c r="E25" s="47"/>
      <c r="F25" s="47"/>
      <c r="G25" s="47"/>
      <c r="H25" s="47"/>
      <c r="I25" s="48"/>
      <c r="J25" s="49"/>
    </row>
    <row r="26" spans="2:11" ht="15" customHeight="1" x14ac:dyDescent="0.35">
      <c r="B26" s="181"/>
      <c r="C26" s="41"/>
      <c r="D26" s="47"/>
      <c r="E26" s="47"/>
      <c r="F26" s="47"/>
      <c r="G26" s="47"/>
      <c r="H26" s="47"/>
      <c r="I26" s="48"/>
      <c r="J26" s="49"/>
    </row>
    <row r="27" spans="2:11" ht="15" customHeight="1" x14ac:dyDescent="0.35">
      <c r="B27" s="176"/>
      <c r="C27" s="41"/>
      <c r="D27" s="47"/>
      <c r="E27" s="47"/>
      <c r="F27" s="47"/>
      <c r="G27" s="47"/>
      <c r="H27" s="47"/>
      <c r="I27" s="48"/>
      <c r="J27" s="49"/>
    </row>
    <row r="28" spans="2:11" ht="15" customHeight="1" x14ac:dyDescent="0.35">
      <c r="B28" s="176"/>
      <c r="C28" s="41"/>
      <c r="D28" s="47"/>
      <c r="E28" s="47"/>
      <c r="F28" s="47"/>
      <c r="G28" s="47"/>
      <c r="H28" s="47"/>
      <c r="I28" s="48"/>
      <c r="J28" s="49"/>
    </row>
    <row r="29" spans="2:11" ht="15" customHeight="1" x14ac:dyDescent="0.35">
      <c r="B29" s="176"/>
      <c r="C29" s="55"/>
      <c r="D29" s="56"/>
      <c r="E29" s="56"/>
      <c r="F29" s="56"/>
      <c r="G29" s="56"/>
      <c r="H29" s="56"/>
      <c r="I29" s="183"/>
      <c r="J29" s="49"/>
    </row>
    <row r="30" spans="2:11" ht="15" customHeight="1" thickBot="1" x14ac:dyDescent="0.4">
      <c r="B30" s="59"/>
      <c r="C30" s="60"/>
      <c r="D30" s="60"/>
      <c r="E30" s="60"/>
      <c r="F30" s="60"/>
      <c r="G30" s="60"/>
      <c r="H30" s="60"/>
      <c r="I30" s="60"/>
      <c r="J30" s="184"/>
    </row>
    <row r="31" spans="2:11" s="18" customFormat="1" ht="15" customHeight="1" x14ac:dyDescent="0.35"/>
    <row r="32" spans="2:11" ht="15" hidden="1" customHeight="1" x14ac:dyDescent="0.35"/>
  </sheetData>
  <sheetProtection algorithmName="SHA-512" hashValue="S6KV3wOLz+6/eGQ4aQKH0b9Fu+KGBhuF9+Hp0fKnvlGoXbOLYJxLQzse55cXk0cL66TK7EvykuCwMuSiUu7Wkw==" saltValue="p2wdCxYCgCDJmDXEUT8aEw==" spinCount="100000" sheet="1" objects="1" scenarios="1"/>
  <hyperlinks>
    <hyperlink ref="I2" location="Navigation!A1" display="Navigation" xr:uid="{00000000-0004-0000-0400-000000000000}"/>
  </hyperlinks>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C000"/>
  </sheetPr>
  <dimension ref="B1:Q104"/>
  <sheetViews>
    <sheetView zoomScale="70" zoomScaleNormal="70" workbookViewId="0"/>
  </sheetViews>
  <sheetFormatPr defaultColWidth="9.453125" defaultRowHeight="15.5" x14ac:dyDescent="0.35"/>
  <cols>
    <col min="1" max="1" width="3.54296875" style="185" customWidth="1"/>
    <col min="2" max="2" width="28.453125" style="185" bestFit="1" customWidth="1"/>
    <col min="3" max="3" width="3.54296875" style="186" customWidth="1"/>
    <col min="4" max="4" width="13.54296875" style="186" customWidth="1"/>
    <col min="5" max="5" width="30.453125" style="194" customWidth="1"/>
    <col min="6" max="6" width="28.453125" style="194" customWidth="1"/>
    <col min="7" max="7" width="23.453125" style="194" bestFit="1" customWidth="1"/>
    <col min="8" max="8" width="3.54296875" style="186" customWidth="1"/>
    <col min="9" max="9" width="18.54296875" style="185" customWidth="1"/>
    <col min="10" max="10" width="3.54296875" style="186" customWidth="1"/>
    <col min="11" max="11" width="20.453125" style="185" customWidth="1"/>
    <col min="12" max="12" width="3.54296875" style="185" customWidth="1"/>
    <col min="13" max="13" width="29.453125" style="185" bestFit="1" customWidth="1"/>
    <col min="14" max="14" width="3.54296875" style="185" customWidth="1"/>
    <col min="15" max="15" width="31.54296875" style="185" bestFit="1" customWidth="1"/>
    <col min="16" max="16" width="3.54296875" style="185" customWidth="1"/>
    <col min="17" max="17" width="30.54296875" style="185" bestFit="1" customWidth="1"/>
    <col min="18" max="16384" width="9.453125" style="185"/>
  </cols>
  <sheetData>
    <row r="1" spans="2:17" x14ac:dyDescent="0.35">
      <c r="E1" s="187"/>
      <c r="F1" s="187"/>
      <c r="G1" s="187"/>
    </row>
    <row r="2" spans="2:17" ht="30" x14ac:dyDescent="0.35">
      <c r="D2" s="188" t="s">
        <v>101</v>
      </c>
      <c r="E2" s="188"/>
      <c r="F2" s="188"/>
      <c r="G2" s="188"/>
      <c r="K2" s="189" t="s">
        <v>119</v>
      </c>
    </row>
    <row r="3" spans="2:17" ht="16" thickBot="1" x14ac:dyDescent="0.4">
      <c r="B3" s="189" t="s">
        <v>195</v>
      </c>
      <c r="E3" s="190" t="s">
        <v>189</v>
      </c>
      <c r="F3" s="190" t="s">
        <v>188</v>
      </c>
      <c r="G3" s="187"/>
      <c r="K3" s="190" t="s">
        <v>194</v>
      </c>
      <c r="M3" s="189" t="s">
        <v>202</v>
      </c>
      <c r="O3" s="189" t="s">
        <v>203</v>
      </c>
      <c r="Q3" s="189" t="s">
        <v>204</v>
      </c>
    </row>
    <row r="4" spans="2:17" ht="16" thickBot="1" x14ac:dyDescent="0.4">
      <c r="B4" s="191">
        <f>3+(4*($E$4+1))+SUM($F$6:$F$104)</f>
        <v>27</v>
      </c>
      <c r="C4" s="187"/>
      <c r="E4" s="191">
        <f>COUNTA(E6:E104)-1</f>
        <v>2</v>
      </c>
      <c r="F4" s="191">
        <f>MAX(F6:F104)</f>
        <v>4</v>
      </c>
      <c r="G4" s="187"/>
      <c r="I4" s="192" t="s">
        <v>102</v>
      </c>
      <c r="K4" s="191">
        <f>COUNTA(K6:K104)</f>
        <v>1</v>
      </c>
      <c r="M4" s="191">
        <f>COUNTA(M6:M104)</f>
        <v>2</v>
      </c>
      <c r="O4" s="191">
        <f>COUNTA(O6:O104)</f>
        <v>1</v>
      </c>
      <c r="Q4" s="191">
        <f>COUNTA(Q6:Q104)</f>
        <v>2</v>
      </c>
    </row>
    <row r="5" spans="2:17" ht="37.5" customHeight="1" x14ac:dyDescent="0.35">
      <c r="B5" s="193" t="s">
        <v>103</v>
      </c>
      <c r="D5" s="193" t="s">
        <v>104</v>
      </c>
      <c r="E5" s="193" t="s">
        <v>105</v>
      </c>
      <c r="F5" s="193" t="s">
        <v>178</v>
      </c>
      <c r="G5" s="193" t="s">
        <v>158</v>
      </c>
      <c r="I5" s="194" t="s">
        <v>81</v>
      </c>
      <c r="J5" s="187"/>
      <c r="K5" s="194" t="s">
        <v>237</v>
      </c>
      <c r="M5" s="192" t="s">
        <v>100</v>
      </c>
      <c r="O5" s="189" t="s">
        <v>201</v>
      </c>
      <c r="Q5" s="192" t="s">
        <v>200</v>
      </c>
    </row>
    <row r="6" spans="2:17" x14ac:dyDescent="0.35">
      <c r="B6" s="195">
        <v>1</v>
      </c>
      <c r="D6" s="196" t="s">
        <v>99</v>
      </c>
      <c r="E6" s="563" t="s">
        <v>354</v>
      </c>
      <c r="F6" s="563">
        <v>4</v>
      </c>
      <c r="G6" s="198" t="b">
        <v>1</v>
      </c>
      <c r="I6" s="199" t="str">
        <f t="shared" ref="I6:I9" si="0">IF($B6&lt;=MAX($F$6:$F$104),"EL "&amp;$B6,"")</f>
        <v>EL 1</v>
      </c>
      <c r="J6" s="187"/>
      <c r="K6" s="197" t="s">
        <v>90</v>
      </c>
      <c r="M6" s="564" t="s">
        <v>231</v>
      </c>
      <c r="O6" s="564" t="s">
        <v>206</v>
      </c>
      <c r="Q6" s="564" t="s">
        <v>205</v>
      </c>
    </row>
    <row r="7" spans="2:17" x14ac:dyDescent="0.35">
      <c r="B7" s="195">
        <v>2</v>
      </c>
      <c r="D7" s="196" t="s">
        <v>180</v>
      </c>
      <c r="E7" s="563" t="s">
        <v>355</v>
      </c>
      <c r="F7" s="563">
        <v>4</v>
      </c>
      <c r="G7" s="198" t="b">
        <v>1</v>
      </c>
      <c r="I7" s="199" t="str">
        <f t="shared" si="0"/>
        <v>EL 2</v>
      </c>
      <c r="J7" s="187"/>
      <c r="K7" s="197"/>
      <c r="M7" s="563" t="s">
        <v>334</v>
      </c>
      <c r="O7" s="197"/>
      <c r="Q7" s="197" t="s">
        <v>118</v>
      </c>
    </row>
    <row r="8" spans="2:17" x14ac:dyDescent="0.35">
      <c r="B8" s="195">
        <v>3</v>
      </c>
      <c r="D8" s="196" t="s">
        <v>181</v>
      </c>
      <c r="E8" s="563" t="s">
        <v>356</v>
      </c>
      <c r="F8" s="563">
        <v>4</v>
      </c>
      <c r="G8" s="198" t="b">
        <v>1</v>
      </c>
      <c r="I8" s="199" t="str">
        <f t="shared" si="0"/>
        <v>EL 3</v>
      </c>
      <c r="J8" s="187"/>
      <c r="K8" s="197"/>
      <c r="M8" s="197"/>
      <c r="O8" s="197"/>
      <c r="Q8" s="197"/>
    </row>
    <row r="9" spans="2:17" x14ac:dyDescent="0.35">
      <c r="B9" s="195">
        <v>4</v>
      </c>
      <c r="D9" s="785"/>
      <c r="E9" s="786"/>
      <c r="F9" s="786"/>
      <c r="G9" s="787"/>
      <c r="I9" s="199" t="str">
        <f t="shared" si="0"/>
        <v>EL 4</v>
      </c>
      <c r="J9" s="187"/>
      <c r="K9" s="197"/>
      <c r="M9" s="197"/>
      <c r="O9" s="197"/>
      <c r="Q9" s="197"/>
    </row>
    <row r="10" spans="2:17" x14ac:dyDescent="0.35">
      <c r="B10" s="195">
        <v>5</v>
      </c>
      <c r="D10" s="785"/>
      <c r="E10" s="786"/>
      <c r="F10" s="786"/>
      <c r="G10" s="787"/>
      <c r="I10" s="787"/>
      <c r="J10" s="787"/>
      <c r="K10" s="787"/>
      <c r="M10" s="197"/>
      <c r="O10" s="197"/>
      <c r="Q10" s="197"/>
    </row>
    <row r="11" spans="2:17" x14ac:dyDescent="0.35">
      <c r="B11" s="195">
        <v>6</v>
      </c>
      <c r="D11" s="785"/>
      <c r="E11" s="786"/>
      <c r="F11" s="786"/>
      <c r="G11" s="787"/>
      <c r="I11" s="787"/>
      <c r="J11" s="787"/>
      <c r="K11" s="787"/>
    </row>
    <row r="12" spans="2:17" x14ac:dyDescent="0.35">
      <c r="B12" s="195">
        <v>7</v>
      </c>
      <c r="D12" s="785"/>
      <c r="E12" s="788"/>
      <c r="F12" s="788"/>
      <c r="G12" s="787"/>
      <c r="I12" s="787"/>
      <c r="J12" s="787"/>
      <c r="K12" s="787"/>
    </row>
    <row r="13" spans="2:17" x14ac:dyDescent="0.35">
      <c r="B13" s="195">
        <v>8</v>
      </c>
      <c r="D13" s="785"/>
      <c r="E13" s="788"/>
      <c r="F13" s="788"/>
      <c r="G13" s="787"/>
      <c r="I13" s="787"/>
      <c r="J13" s="787"/>
      <c r="K13" s="787"/>
    </row>
    <row r="14" spans="2:17" x14ac:dyDescent="0.35">
      <c r="B14" s="195">
        <v>9</v>
      </c>
      <c r="D14" s="785"/>
      <c r="E14" s="788"/>
      <c r="F14" s="788"/>
      <c r="G14" s="787"/>
      <c r="I14" s="787"/>
      <c r="J14" s="787"/>
      <c r="K14" s="787"/>
    </row>
    <row r="15" spans="2:17" x14ac:dyDescent="0.35">
      <c r="B15" s="195">
        <v>10</v>
      </c>
      <c r="D15" s="785"/>
      <c r="E15" s="788"/>
      <c r="F15" s="788"/>
      <c r="G15" s="787"/>
      <c r="I15" s="787"/>
      <c r="J15" s="787"/>
      <c r="K15" s="787"/>
    </row>
    <row r="16" spans="2:17" x14ac:dyDescent="0.35">
      <c r="B16" s="195">
        <v>11</v>
      </c>
      <c r="C16" s="185"/>
      <c r="D16" s="785"/>
      <c r="E16" s="186"/>
      <c r="F16" s="788"/>
      <c r="G16" s="787"/>
      <c r="I16" s="787"/>
      <c r="J16" s="787"/>
      <c r="K16" s="787"/>
    </row>
    <row r="17" spans="2:11" x14ac:dyDescent="0.35">
      <c r="B17" s="195">
        <v>12</v>
      </c>
      <c r="C17" s="185"/>
      <c r="D17" s="785"/>
      <c r="E17" s="186"/>
      <c r="F17" s="788"/>
      <c r="G17" s="787"/>
      <c r="H17" s="185"/>
      <c r="I17" s="787"/>
      <c r="J17" s="787"/>
      <c r="K17" s="787"/>
    </row>
    <row r="18" spans="2:11" x14ac:dyDescent="0.35">
      <c r="B18" s="195">
        <v>13</v>
      </c>
      <c r="C18" s="185"/>
      <c r="D18" s="785"/>
      <c r="E18" s="186"/>
      <c r="F18" s="788"/>
      <c r="G18" s="787"/>
      <c r="H18" s="185"/>
      <c r="I18" s="787"/>
      <c r="J18" s="787"/>
      <c r="K18" s="787"/>
    </row>
    <row r="19" spans="2:11" x14ac:dyDescent="0.35">
      <c r="B19" s="195">
        <v>14</v>
      </c>
      <c r="C19" s="185"/>
      <c r="D19" s="785"/>
      <c r="E19" s="186"/>
      <c r="F19" s="788"/>
      <c r="G19" s="787"/>
      <c r="H19" s="185"/>
      <c r="I19" s="787"/>
      <c r="J19" s="787"/>
      <c r="K19" s="787"/>
    </row>
    <row r="20" spans="2:11" x14ac:dyDescent="0.35">
      <c r="B20" s="195">
        <v>15</v>
      </c>
      <c r="C20" s="185"/>
      <c r="D20" s="785"/>
      <c r="E20" s="186"/>
      <c r="F20" s="186"/>
      <c r="G20" s="789"/>
      <c r="H20" s="185"/>
      <c r="I20" s="787"/>
      <c r="J20" s="787"/>
      <c r="K20" s="787"/>
    </row>
    <row r="21" spans="2:11" x14ac:dyDescent="0.35">
      <c r="B21" s="195">
        <v>16</v>
      </c>
      <c r="C21" s="185"/>
      <c r="D21" s="785"/>
      <c r="E21" s="186"/>
      <c r="F21" s="186"/>
      <c r="G21" s="789"/>
      <c r="H21" s="185"/>
      <c r="I21" s="787"/>
      <c r="J21" s="787"/>
      <c r="K21" s="787"/>
    </row>
    <row r="22" spans="2:11" x14ac:dyDescent="0.35">
      <c r="B22" s="195">
        <v>17</v>
      </c>
      <c r="C22" s="185"/>
      <c r="D22" s="785"/>
      <c r="E22" s="186"/>
      <c r="F22" s="186"/>
      <c r="G22" s="186"/>
      <c r="H22" s="185"/>
      <c r="I22" s="787"/>
      <c r="J22" s="787"/>
      <c r="K22" s="787"/>
    </row>
    <row r="23" spans="2:11" x14ac:dyDescent="0.35">
      <c r="B23" s="195">
        <v>18</v>
      </c>
      <c r="C23" s="185"/>
      <c r="D23" s="785"/>
      <c r="E23" s="186"/>
      <c r="F23" s="186"/>
      <c r="G23" s="186"/>
      <c r="H23" s="185"/>
      <c r="I23" s="787"/>
      <c r="J23" s="787"/>
      <c r="K23" s="787"/>
    </row>
    <row r="24" spans="2:11" x14ac:dyDescent="0.35">
      <c r="B24" s="195">
        <v>19</v>
      </c>
      <c r="C24" s="185"/>
      <c r="D24" s="785"/>
      <c r="E24" s="186"/>
      <c r="F24" s="186"/>
      <c r="G24" s="186"/>
      <c r="H24" s="185"/>
      <c r="I24" s="787"/>
      <c r="J24" s="787"/>
      <c r="K24" s="787"/>
    </row>
    <row r="25" spans="2:11" x14ac:dyDescent="0.35">
      <c r="B25" s="195">
        <v>20</v>
      </c>
      <c r="C25" s="185"/>
      <c r="D25" s="785"/>
      <c r="E25" s="186"/>
      <c r="F25" s="186"/>
      <c r="G25" s="186"/>
      <c r="H25" s="185"/>
      <c r="I25" s="787"/>
      <c r="J25" s="787"/>
      <c r="K25" s="787"/>
    </row>
    <row r="26" spans="2:11" x14ac:dyDescent="0.35">
      <c r="B26" s="195">
        <v>21</v>
      </c>
      <c r="C26" s="185"/>
      <c r="D26" s="785"/>
      <c r="E26" s="186"/>
      <c r="F26" s="186"/>
      <c r="G26" s="186"/>
      <c r="H26" s="185"/>
      <c r="I26" s="787"/>
      <c r="J26" s="787"/>
      <c r="K26" s="787"/>
    </row>
    <row r="27" spans="2:11" x14ac:dyDescent="0.35">
      <c r="B27" s="195">
        <v>22</v>
      </c>
      <c r="C27" s="185"/>
      <c r="D27" s="785"/>
      <c r="E27" s="186"/>
      <c r="F27" s="186"/>
      <c r="G27" s="186"/>
      <c r="H27" s="185"/>
      <c r="I27" s="787"/>
      <c r="J27" s="787"/>
      <c r="K27" s="787"/>
    </row>
    <row r="28" spans="2:11" x14ac:dyDescent="0.35">
      <c r="B28" s="195">
        <v>23</v>
      </c>
      <c r="C28" s="185"/>
      <c r="D28" s="785"/>
      <c r="E28" s="186"/>
      <c r="F28" s="186"/>
      <c r="G28" s="186"/>
      <c r="H28" s="185"/>
      <c r="I28" s="787"/>
      <c r="J28" s="787"/>
      <c r="K28" s="787"/>
    </row>
    <row r="29" spans="2:11" x14ac:dyDescent="0.35">
      <c r="B29" s="195">
        <v>24</v>
      </c>
      <c r="C29" s="185"/>
      <c r="D29" s="785"/>
      <c r="E29" s="186"/>
      <c r="F29" s="186"/>
      <c r="G29" s="186"/>
      <c r="H29" s="185"/>
      <c r="I29" s="787"/>
      <c r="J29" s="787"/>
      <c r="K29" s="787"/>
    </row>
    <row r="30" spans="2:11" x14ac:dyDescent="0.35">
      <c r="B30" s="195">
        <v>25</v>
      </c>
      <c r="C30" s="185"/>
      <c r="D30" s="785"/>
      <c r="E30" s="186"/>
      <c r="F30" s="186"/>
      <c r="G30" s="186"/>
      <c r="H30" s="185"/>
      <c r="I30" s="787"/>
      <c r="J30" s="787"/>
      <c r="K30" s="787"/>
    </row>
    <row r="31" spans="2:11" x14ac:dyDescent="0.35">
      <c r="B31" s="195">
        <v>26</v>
      </c>
      <c r="C31" s="185"/>
      <c r="D31" s="785"/>
      <c r="E31" s="186"/>
      <c r="F31" s="186"/>
      <c r="G31" s="186"/>
      <c r="H31" s="185"/>
      <c r="I31" s="787"/>
      <c r="J31" s="787"/>
      <c r="K31" s="787"/>
    </row>
    <row r="32" spans="2:11" x14ac:dyDescent="0.35">
      <c r="B32" s="195">
        <v>27</v>
      </c>
      <c r="C32" s="185"/>
      <c r="D32" s="785"/>
      <c r="E32" s="186"/>
      <c r="F32" s="186"/>
      <c r="G32" s="186"/>
      <c r="H32" s="185"/>
      <c r="I32" s="787"/>
      <c r="J32" s="787"/>
      <c r="K32" s="787"/>
    </row>
    <row r="33" spans="2:11" x14ac:dyDescent="0.35">
      <c r="B33" s="195">
        <v>28</v>
      </c>
      <c r="C33" s="185"/>
      <c r="D33" s="785"/>
      <c r="E33" s="186"/>
      <c r="F33" s="186"/>
      <c r="G33" s="186"/>
      <c r="H33" s="185"/>
      <c r="I33" s="787"/>
      <c r="J33" s="787"/>
      <c r="K33" s="787"/>
    </row>
    <row r="34" spans="2:11" x14ac:dyDescent="0.35">
      <c r="B34" s="195">
        <v>29</v>
      </c>
      <c r="C34" s="185"/>
      <c r="D34" s="785"/>
      <c r="E34" s="186"/>
      <c r="F34" s="186"/>
      <c r="G34" s="186"/>
      <c r="H34" s="185"/>
      <c r="I34" s="787"/>
      <c r="J34" s="787"/>
      <c r="K34" s="787"/>
    </row>
    <row r="35" spans="2:11" x14ac:dyDescent="0.35">
      <c r="B35" s="195">
        <v>30</v>
      </c>
      <c r="C35" s="185"/>
      <c r="D35" s="785"/>
      <c r="E35" s="186"/>
      <c r="F35" s="186"/>
      <c r="G35" s="186"/>
      <c r="H35" s="185"/>
      <c r="I35" s="787"/>
      <c r="J35" s="787"/>
      <c r="K35" s="787"/>
    </row>
    <row r="36" spans="2:11" x14ac:dyDescent="0.35">
      <c r="B36" s="195">
        <v>31</v>
      </c>
      <c r="C36" s="185"/>
      <c r="D36" s="785"/>
      <c r="E36" s="186"/>
      <c r="F36" s="186"/>
      <c r="G36" s="186"/>
      <c r="H36" s="185"/>
      <c r="I36" s="787"/>
      <c r="J36" s="787"/>
      <c r="K36" s="787"/>
    </row>
    <row r="37" spans="2:11" x14ac:dyDescent="0.35">
      <c r="B37" s="195">
        <v>32</v>
      </c>
      <c r="C37" s="185"/>
      <c r="D37" s="785"/>
      <c r="E37" s="186"/>
      <c r="F37" s="186"/>
      <c r="G37" s="186"/>
      <c r="H37" s="185"/>
      <c r="I37" s="787"/>
      <c r="J37" s="787"/>
      <c r="K37" s="787"/>
    </row>
    <row r="38" spans="2:11" x14ac:dyDescent="0.35">
      <c r="B38" s="195">
        <v>33</v>
      </c>
      <c r="C38" s="185"/>
      <c r="D38" s="785"/>
      <c r="E38" s="186"/>
      <c r="F38" s="186"/>
      <c r="G38" s="186"/>
      <c r="H38" s="185"/>
      <c r="I38" s="787"/>
      <c r="J38" s="787"/>
      <c r="K38" s="787"/>
    </row>
    <row r="39" spans="2:11" x14ac:dyDescent="0.35">
      <c r="B39" s="195">
        <v>34</v>
      </c>
      <c r="C39" s="185"/>
      <c r="D39" s="785"/>
      <c r="E39" s="186"/>
      <c r="F39" s="186"/>
      <c r="G39" s="186"/>
      <c r="H39" s="185"/>
      <c r="I39" s="787"/>
      <c r="J39" s="787"/>
      <c r="K39" s="787"/>
    </row>
    <row r="40" spans="2:11" x14ac:dyDescent="0.35">
      <c r="B40" s="195">
        <v>35</v>
      </c>
      <c r="C40" s="185"/>
      <c r="D40" s="785"/>
      <c r="E40" s="186"/>
      <c r="F40" s="186"/>
      <c r="G40" s="186"/>
      <c r="H40" s="185"/>
      <c r="I40" s="787"/>
      <c r="J40" s="787"/>
      <c r="K40" s="787"/>
    </row>
    <row r="41" spans="2:11" x14ac:dyDescent="0.35">
      <c r="B41" s="195">
        <v>36</v>
      </c>
      <c r="C41" s="185"/>
      <c r="D41" s="785"/>
      <c r="E41" s="186"/>
      <c r="F41" s="186"/>
      <c r="G41" s="186"/>
      <c r="H41" s="185"/>
      <c r="I41" s="787"/>
      <c r="J41" s="787"/>
      <c r="K41" s="787"/>
    </row>
    <row r="42" spans="2:11" x14ac:dyDescent="0.35">
      <c r="B42" s="195">
        <v>37</v>
      </c>
      <c r="C42" s="185"/>
      <c r="D42" s="785"/>
      <c r="E42" s="186"/>
      <c r="F42" s="186"/>
      <c r="G42" s="186"/>
      <c r="H42" s="185"/>
      <c r="I42" s="787"/>
      <c r="J42" s="787"/>
      <c r="K42" s="787"/>
    </row>
    <row r="43" spans="2:11" x14ac:dyDescent="0.35">
      <c r="B43" s="195">
        <v>38</v>
      </c>
      <c r="C43" s="185"/>
      <c r="D43" s="785"/>
      <c r="E43" s="186"/>
      <c r="F43" s="186"/>
      <c r="G43" s="186"/>
      <c r="H43" s="185"/>
      <c r="I43" s="787"/>
      <c r="J43" s="787"/>
      <c r="K43" s="787"/>
    </row>
    <row r="44" spans="2:11" x14ac:dyDescent="0.35">
      <c r="B44" s="195">
        <v>39</v>
      </c>
      <c r="C44" s="185"/>
      <c r="D44" s="785"/>
      <c r="E44" s="186"/>
      <c r="F44" s="186"/>
      <c r="G44" s="186"/>
      <c r="H44" s="185"/>
      <c r="I44" s="787"/>
      <c r="J44" s="787"/>
      <c r="K44" s="787"/>
    </row>
    <row r="45" spans="2:11" x14ac:dyDescent="0.35">
      <c r="B45" s="195">
        <v>40</v>
      </c>
      <c r="C45" s="185"/>
      <c r="D45" s="785"/>
      <c r="E45" s="186"/>
      <c r="F45" s="186"/>
      <c r="G45" s="186"/>
      <c r="H45" s="185"/>
      <c r="I45" s="787"/>
      <c r="J45" s="787"/>
      <c r="K45" s="787"/>
    </row>
    <row r="46" spans="2:11" x14ac:dyDescent="0.35">
      <c r="B46" s="195">
        <v>41</v>
      </c>
      <c r="C46" s="185"/>
      <c r="D46" s="785"/>
      <c r="E46" s="186"/>
      <c r="F46" s="186"/>
      <c r="G46" s="186"/>
      <c r="H46" s="185"/>
      <c r="I46" s="787"/>
      <c r="J46" s="787"/>
      <c r="K46" s="787"/>
    </row>
    <row r="47" spans="2:11" x14ac:dyDescent="0.35">
      <c r="B47" s="195">
        <v>42</v>
      </c>
      <c r="C47" s="185"/>
      <c r="D47" s="785"/>
      <c r="E47" s="186"/>
      <c r="F47" s="186"/>
      <c r="G47" s="186"/>
      <c r="H47" s="185"/>
      <c r="I47" s="787"/>
      <c r="J47" s="787"/>
      <c r="K47" s="787"/>
    </row>
    <row r="48" spans="2:11" x14ac:dyDescent="0.35">
      <c r="B48" s="195">
        <v>43</v>
      </c>
      <c r="C48" s="185"/>
      <c r="D48" s="785"/>
      <c r="E48" s="186"/>
      <c r="F48" s="186"/>
      <c r="G48" s="186"/>
      <c r="H48" s="185"/>
      <c r="I48" s="787"/>
      <c r="J48" s="787"/>
      <c r="K48" s="787"/>
    </row>
    <row r="49" spans="2:11" x14ac:dyDescent="0.35">
      <c r="B49" s="195">
        <v>44</v>
      </c>
      <c r="C49" s="185"/>
      <c r="D49" s="785"/>
      <c r="E49" s="186"/>
      <c r="F49" s="186"/>
      <c r="G49" s="186"/>
      <c r="H49" s="185"/>
      <c r="I49" s="787"/>
      <c r="J49" s="787"/>
      <c r="K49" s="787"/>
    </row>
    <row r="50" spans="2:11" x14ac:dyDescent="0.35">
      <c r="B50" s="195">
        <v>45</v>
      </c>
      <c r="C50" s="185"/>
      <c r="D50" s="785"/>
      <c r="E50" s="186"/>
      <c r="F50" s="186"/>
      <c r="G50" s="186"/>
      <c r="H50" s="185"/>
      <c r="I50" s="787"/>
      <c r="J50" s="787"/>
      <c r="K50" s="787"/>
    </row>
    <row r="51" spans="2:11" x14ac:dyDescent="0.35">
      <c r="B51" s="195">
        <v>46</v>
      </c>
      <c r="C51" s="185"/>
      <c r="D51" s="785"/>
      <c r="E51" s="186"/>
      <c r="F51" s="186"/>
      <c r="G51" s="186"/>
      <c r="H51" s="185"/>
      <c r="I51" s="787"/>
      <c r="J51" s="787"/>
      <c r="K51" s="787"/>
    </row>
    <row r="52" spans="2:11" x14ac:dyDescent="0.35">
      <c r="B52" s="195">
        <v>47</v>
      </c>
      <c r="C52" s="185"/>
      <c r="D52" s="785"/>
      <c r="E52" s="186"/>
      <c r="F52" s="186"/>
      <c r="G52" s="186"/>
      <c r="H52" s="185"/>
      <c r="I52" s="787"/>
      <c r="J52" s="787"/>
      <c r="K52" s="787"/>
    </row>
    <row r="53" spans="2:11" x14ac:dyDescent="0.35">
      <c r="B53" s="195">
        <v>48</v>
      </c>
      <c r="C53" s="185"/>
      <c r="D53" s="785"/>
      <c r="E53" s="186"/>
      <c r="F53" s="186"/>
      <c r="G53" s="186"/>
      <c r="H53" s="185"/>
      <c r="I53" s="787"/>
      <c r="J53" s="787"/>
      <c r="K53" s="787"/>
    </row>
    <row r="54" spans="2:11" x14ac:dyDescent="0.35">
      <c r="B54" s="195">
        <v>49</v>
      </c>
      <c r="C54" s="185"/>
      <c r="D54" s="785"/>
      <c r="E54" s="186"/>
      <c r="F54" s="186"/>
      <c r="G54" s="186"/>
      <c r="H54" s="185"/>
      <c r="I54" s="787"/>
      <c r="J54" s="787"/>
      <c r="K54" s="787"/>
    </row>
    <row r="55" spans="2:11" x14ac:dyDescent="0.35">
      <c r="B55" s="195">
        <v>50</v>
      </c>
      <c r="C55" s="185"/>
      <c r="D55" s="785"/>
      <c r="E55" s="186"/>
      <c r="F55" s="186"/>
      <c r="G55" s="186"/>
      <c r="H55" s="185"/>
      <c r="I55" s="787"/>
      <c r="J55" s="787"/>
      <c r="K55" s="787"/>
    </row>
    <row r="56" spans="2:11" x14ac:dyDescent="0.35">
      <c r="B56" s="195">
        <v>51</v>
      </c>
      <c r="D56" s="785"/>
      <c r="I56" s="787"/>
      <c r="J56" s="787"/>
      <c r="K56" s="787"/>
    </row>
    <row r="57" spans="2:11" x14ac:dyDescent="0.35">
      <c r="B57" s="195">
        <v>52</v>
      </c>
      <c r="D57" s="785"/>
      <c r="I57" s="787"/>
      <c r="J57" s="787"/>
      <c r="K57" s="787"/>
    </row>
    <row r="58" spans="2:11" x14ac:dyDescent="0.35">
      <c r="B58" s="195">
        <v>53</v>
      </c>
      <c r="D58" s="785"/>
      <c r="I58" s="787"/>
      <c r="J58" s="787"/>
      <c r="K58" s="787"/>
    </row>
    <row r="59" spans="2:11" x14ac:dyDescent="0.35">
      <c r="B59" s="195">
        <v>54</v>
      </c>
      <c r="D59" s="785"/>
      <c r="I59" s="787"/>
      <c r="J59" s="787"/>
      <c r="K59" s="787"/>
    </row>
    <row r="60" spans="2:11" x14ac:dyDescent="0.35">
      <c r="B60" s="195">
        <v>55</v>
      </c>
      <c r="D60" s="785"/>
      <c r="I60" s="787"/>
      <c r="J60" s="787"/>
      <c r="K60" s="787"/>
    </row>
    <row r="61" spans="2:11" x14ac:dyDescent="0.35">
      <c r="B61" s="195">
        <v>56</v>
      </c>
      <c r="D61" s="785"/>
      <c r="I61" s="787"/>
      <c r="J61" s="787"/>
      <c r="K61" s="787"/>
    </row>
    <row r="62" spans="2:11" x14ac:dyDescent="0.35">
      <c r="B62" s="195">
        <v>57</v>
      </c>
      <c r="D62" s="785"/>
      <c r="I62" s="787"/>
      <c r="J62" s="787"/>
      <c r="K62" s="787"/>
    </row>
    <row r="63" spans="2:11" x14ac:dyDescent="0.35">
      <c r="B63" s="195">
        <v>58</v>
      </c>
      <c r="D63" s="785"/>
      <c r="I63" s="787"/>
      <c r="J63" s="787"/>
      <c r="K63" s="787"/>
    </row>
    <row r="64" spans="2:11" x14ac:dyDescent="0.35">
      <c r="B64" s="195">
        <v>59</v>
      </c>
      <c r="D64" s="785"/>
      <c r="I64" s="787"/>
      <c r="J64" s="787"/>
      <c r="K64" s="787"/>
    </row>
    <row r="65" spans="2:11" x14ac:dyDescent="0.35">
      <c r="B65" s="195">
        <v>60</v>
      </c>
      <c r="D65" s="785"/>
      <c r="I65" s="787"/>
      <c r="J65" s="787"/>
      <c r="K65" s="787"/>
    </row>
    <row r="66" spans="2:11" x14ac:dyDescent="0.35">
      <c r="B66" s="195">
        <v>61</v>
      </c>
      <c r="D66" s="785"/>
      <c r="I66" s="787"/>
      <c r="J66" s="787"/>
      <c r="K66" s="787"/>
    </row>
    <row r="67" spans="2:11" x14ac:dyDescent="0.35">
      <c r="B67" s="195">
        <v>62</v>
      </c>
      <c r="D67" s="785"/>
      <c r="I67" s="787"/>
      <c r="J67" s="787"/>
      <c r="K67" s="787"/>
    </row>
    <row r="68" spans="2:11" x14ac:dyDescent="0.35">
      <c r="B68" s="195">
        <v>63</v>
      </c>
      <c r="D68" s="785"/>
      <c r="I68" s="787"/>
      <c r="J68" s="787"/>
      <c r="K68" s="787"/>
    </row>
    <row r="69" spans="2:11" x14ac:dyDescent="0.35">
      <c r="B69" s="195">
        <v>64</v>
      </c>
      <c r="D69" s="785"/>
      <c r="I69" s="787"/>
      <c r="J69" s="787"/>
      <c r="K69" s="787"/>
    </row>
    <row r="70" spans="2:11" x14ac:dyDescent="0.35">
      <c r="B70" s="195">
        <v>65</v>
      </c>
      <c r="D70" s="785"/>
      <c r="I70" s="787"/>
      <c r="J70" s="787"/>
      <c r="K70" s="787"/>
    </row>
    <row r="71" spans="2:11" x14ac:dyDescent="0.35">
      <c r="B71" s="195">
        <v>66</v>
      </c>
      <c r="D71" s="785"/>
      <c r="I71" s="787"/>
      <c r="J71" s="787"/>
      <c r="K71" s="787"/>
    </row>
    <row r="72" spans="2:11" x14ac:dyDescent="0.35">
      <c r="B72" s="195">
        <v>67</v>
      </c>
      <c r="D72" s="785"/>
      <c r="I72" s="787"/>
      <c r="J72" s="787"/>
      <c r="K72" s="787"/>
    </row>
    <row r="73" spans="2:11" x14ac:dyDescent="0.35">
      <c r="B73" s="195">
        <v>68</v>
      </c>
      <c r="D73" s="785"/>
      <c r="I73" s="787"/>
      <c r="J73" s="787"/>
      <c r="K73" s="787"/>
    </row>
    <row r="74" spans="2:11" x14ac:dyDescent="0.35">
      <c r="B74" s="195">
        <v>69</v>
      </c>
      <c r="D74" s="785"/>
      <c r="I74" s="787"/>
      <c r="J74" s="787"/>
      <c r="K74" s="787"/>
    </row>
    <row r="75" spans="2:11" x14ac:dyDescent="0.35">
      <c r="B75" s="195">
        <v>70</v>
      </c>
      <c r="D75" s="785"/>
      <c r="I75" s="787"/>
      <c r="J75" s="787"/>
      <c r="K75" s="787"/>
    </row>
    <row r="76" spans="2:11" x14ac:dyDescent="0.35">
      <c r="B76" s="195">
        <v>71</v>
      </c>
      <c r="D76" s="785"/>
      <c r="I76" s="787"/>
      <c r="J76" s="787"/>
      <c r="K76" s="787"/>
    </row>
    <row r="77" spans="2:11" x14ac:dyDescent="0.35">
      <c r="B77" s="195">
        <v>72</v>
      </c>
      <c r="D77" s="785"/>
      <c r="I77" s="787"/>
      <c r="J77" s="787"/>
      <c r="K77" s="787"/>
    </row>
    <row r="78" spans="2:11" x14ac:dyDescent="0.35">
      <c r="B78" s="195">
        <v>73</v>
      </c>
      <c r="D78" s="785"/>
      <c r="I78" s="787"/>
      <c r="J78" s="787"/>
      <c r="K78" s="787"/>
    </row>
    <row r="79" spans="2:11" x14ac:dyDescent="0.35">
      <c r="B79" s="195">
        <v>74</v>
      </c>
      <c r="D79" s="785"/>
      <c r="I79" s="787"/>
      <c r="J79" s="787"/>
      <c r="K79" s="787"/>
    </row>
    <row r="80" spans="2:11" x14ac:dyDescent="0.35">
      <c r="B80" s="195">
        <v>75</v>
      </c>
      <c r="D80" s="785"/>
      <c r="I80" s="787"/>
      <c r="J80" s="787"/>
      <c r="K80" s="787"/>
    </row>
    <row r="81" spans="2:11" x14ac:dyDescent="0.35">
      <c r="B81" s="195">
        <v>76</v>
      </c>
      <c r="D81" s="785"/>
      <c r="I81" s="787"/>
      <c r="J81" s="787"/>
      <c r="K81" s="787"/>
    </row>
    <row r="82" spans="2:11" x14ac:dyDescent="0.35">
      <c r="B82" s="195">
        <v>77</v>
      </c>
      <c r="D82" s="785"/>
      <c r="I82" s="787"/>
      <c r="J82" s="787"/>
      <c r="K82" s="787"/>
    </row>
    <row r="83" spans="2:11" x14ac:dyDescent="0.35">
      <c r="B83" s="195">
        <v>78</v>
      </c>
      <c r="D83" s="785"/>
      <c r="I83" s="787"/>
      <c r="J83" s="787"/>
      <c r="K83" s="787"/>
    </row>
    <row r="84" spans="2:11" x14ac:dyDescent="0.35">
      <c r="B84" s="195">
        <v>79</v>
      </c>
      <c r="D84" s="785"/>
      <c r="I84" s="787"/>
      <c r="J84" s="787"/>
      <c r="K84" s="787"/>
    </row>
    <row r="85" spans="2:11" x14ac:dyDescent="0.35">
      <c r="B85" s="195">
        <v>80</v>
      </c>
      <c r="D85" s="785"/>
      <c r="I85" s="787"/>
      <c r="J85" s="787"/>
      <c r="K85" s="787"/>
    </row>
    <row r="86" spans="2:11" x14ac:dyDescent="0.35">
      <c r="B86" s="195">
        <v>81</v>
      </c>
      <c r="D86" s="785"/>
      <c r="I86" s="787"/>
      <c r="J86" s="787"/>
      <c r="K86" s="787"/>
    </row>
    <row r="87" spans="2:11" x14ac:dyDescent="0.35">
      <c r="B87" s="195">
        <v>82</v>
      </c>
      <c r="D87" s="785"/>
      <c r="I87" s="787"/>
      <c r="J87" s="787"/>
      <c r="K87" s="787"/>
    </row>
    <row r="88" spans="2:11" x14ac:dyDescent="0.35">
      <c r="B88" s="195">
        <v>83</v>
      </c>
      <c r="D88" s="785"/>
      <c r="I88" s="787"/>
      <c r="J88" s="787"/>
      <c r="K88" s="787"/>
    </row>
    <row r="89" spans="2:11" x14ac:dyDescent="0.35">
      <c r="B89" s="195">
        <v>84</v>
      </c>
      <c r="D89" s="785"/>
      <c r="I89" s="787"/>
      <c r="J89" s="787"/>
      <c r="K89" s="787"/>
    </row>
    <row r="90" spans="2:11" x14ac:dyDescent="0.35">
      <c r="B90" s="195">
        <v>85</v>
      </c>
      <c r="D90" s="785"/>
      <c r="I90" s="787"/>
      <c r="J90" s="787"/>
      <c r="K90" s="787"/>
    </row>
    <row r="91" spans="2:11" x14ac:dyDescent="0.35">
      <c r="B91" s="195">
        <v>86</v>
      </c>
      <c r="D91" s="785"/>
      <c r="I91" s="787"/>
      <c r="J91" s="787"/>
      <c r="K91" s="787"/>
    </row>
    <row r="92" spans="2:11" x14ac:dyDescent="0.35">
      <c r="B92" s="195">
        <v>87</v>
      </c>
      <c r="D92" s="785"/>
      <c r="I92" s="787"/>
      <c r="J92" s="787"/>
      <c r="K92" s="787"/>
    </row>
    <row r="93" spans="2:11" x14ac:dyDescent="0.35">
      <c r="B93" s="195">
        <v>88</v>
      </c>
      <c r="D93" s="785"/>
      <c r="I93" s="787"/>
      <c r="J93" s="787"/>
      <c r="K93" s="787"/>
    </row>
    <row r="94" spans="2:11" x14ac:dyDescent="0.35">
      <c r="B94" s="195">
        <v>89</v>
      </c>
      <c r="D94" s="785"/>
      <c r="I94" s="787"/>
      <c r="J94" s="787"/>
      <c r="K94" s="787"/>
    </row>
    <row r="95" spans="2:11" x14ac:dyDescent="0.35">
      <c r="B95" s="195">
        <v>90</v>
      </c>
      <c r="D95" s="785"/>
      <c r="I95" s="787"/>
      <c r="J95" s="787"/>
      <c r="K95" s="787"/>
    </row>
    <row r="96" spans="2:11" x14ac:dyDescent="0.35">
      <c r="B96" s="195">
        <v>91</v>
      </c>
      <c r="D96" s="785"/>
      <c r="I96" s="787"/>
      <c r="J96" s="787"/>
      <c r="K96" s="787"/>
    </row>
    <row r="97" spans="2:11" x14ac:dyDescent="0.35">
      <c r="B97" s="195">
        <v>92</v>
      </c>
      <c r="D97" s="785"/>
      <c r="I97" s="787"/>
      <c r="J97" s="787"/>
      <c r="K97" s="787"/>
    </row>
    <row r="98" spans="2:11" x14ac:dyDescent="0.35">
      <c r="B98" s="195">
        <v>93</v>
      </c>
      <c r="D98" s="785"/>
      <c r="I98" s="787"/>
      <c r="J98" s="787"/>
      <c r="K98" s="787"/>
    </row>
    <row r="99" spans="2:11" x14ac:dyDescent="0.35">
      <c r="B99" s="195">
        <v>94</v>
      </c>
      <c r="D99" s="785"/>
      <c r="I99" s="787"/>
      <c r="J99" s="787"/>
      <c r="K99" s="787"/>
    </row>
    <row r="100" spans="2:11" x14ac:dyDescent="0.35">
      <c r="B100" s="195">
        <v>95</v>
      </c>
      <c r="D100" s="785"/>
      <c r="I100" s="787"/>
      <c r="J100" s="787"/>
      <c r="K100" s="787"/>
    </row>
    <row r="101" spans="2:11" x14ac:dyDescent="0.35">
      <c r="B101" s="195">
        <v>96</v>
      </c>
      <c r="D101" s="785"/>
      <c r="I101" s="787"/>
      <c r="J101" s="787"/>
      <c r="K101" s="787"/>
    </row>
    <row r="102" spans="2:11" x14ac:dyDescent="0.35">
      <c r="B102" s="195">
        <v>97</v>
      </c>
      <c r="D102" s="785"/>
      <c r="I102" s="787"/>
      <c r="J102" s="787"/>
      <c r="K102" s="787"/>
    </row>
    <row r="103" spans="2:11" x14ac:dyDescent="0.35">
      <c r="B103" s="195">
        <v>98</v>
      </c>
      <c r="D103" s="785"/>
      <c r="I103" s="787"/>
      <c r="J103" s="787"/>
      <c r="K103" s="787"/>
    </row>
    <row r="104" spans="2:11" x14ac:dyDescent="0.35">
      <c r="B104" s="195">
        <v>99</v>
      </c>
      <c r="D104" s="785"/>
      <c r="I104" s="787"/>
      <c r="J104" s="787"/>
      <c r="K104" s="78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8" tint="-0.499984740745262"/>
  </sheetPr>
  <dimension ref="A1:AR39"/>
  <sheetViews>
    <sheetView zoomScale="85" zoomScaleNormal="85" workbookViewId="0">
      <selection activeCell="F5" sqref="F5"/>
    </sheetView>
  </sheetViews>
  <sheetFormatPr defaultColWidth="0" defaultRowHeight="0" customHeight="1" zeroHeight="1" x14ac:dyDescent="0.35"/>
  <cols>
    <col min="1" max="1" width="3.54296875" style="18" customWidth="1"/>
    <col min="2" max="3" width="3.54296875" style="239" customWidth="1"/>
    <col min="4" max="4" width="37.453125" style="21" bestFit="1" customWidth="1"/>
    <col min="5" max="5" width="5.54296875" style="21" customWidth="1"/>
    <col min="6" max="6" width="50.453125" style="240" customWidth="1"/>
    <col min="7" max="8" width="3.54296875" style="21" customWidth="1"/>
    <col min="9" max="9" width="3.54296875" style="18" customWidth="1"/>
    <col min="10" max="10" width="5.54296875" style="18" customWidth="1"/>
    <col min="11" max="11" width="51.453125" style="21" customWidth="1"/>
    <col min="12" max="13" width="3.54296875" style="21" customWidth="1"/>
    <col min="14" max="44" width="0" style="21" hidden="1" customWidth="1"/>
    <col min="45" max="16384" width="9.453125" style="21" hidden="1"/>
  </cols>
  <sheetData>
    <row r="1" spans="1:44" s="201" customFormat="1" ht="18" customHeight="1" thickBot="1" x14ac:dyDescent="0.4">
      <c r="A1" s="18"/>
      <c r="B1" s="200"/>
      <c r="C1" s="200"/>
      <c r="D1" s="18"/>
      <c r="E1" s="18"/>
      <c r="F1" s="18"/>
      <c r="G1" s="18"/>
      <c r="H1" s="18"/>
      <c r="I1" s="18"/>
      <c r="J1" s="18"/>
      <c r="K1" s="18"/>
      <c r="L1" s="18"/>
      <c r="M1" s="18"/>
    </row>
    <row r="2" spans="1:44" ht="18" customHeight="1" thickTop="1" thickBot="1" x14ac:dyDescent="0.4">
      <c r="B2" s="200"/>
      <c r="C2" s="200"/>
      <c r="D2" s="202" t="s">
        <v>106</v>
      </c>
      <c r="E2" s="18"/>
      <c r="F2" s="10" t="s">
        <v>159</v>
      </c>
      <c r="G2" s="18"/>
      <c r="H2" s="18"/>
      <c r="K2" s="18"/>
      <c r="L2" s="18"/>
      <c r="M2" s="18"/>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row>
    <row r="3" spans="1:44" s="18" customFormat="1" ht="18" customHeight="1" thickBot="1" x14ac:dyDescent="0.4">
      <c r="B3" s="200"/>
      <c r="C3" s="200"/>
    </row>
    <row r="4" spans="1:44" ht="18" customHeight="1" thickBot="1" x14ac:dyDescent="0.4">
      <c r="B4" s="203"/>
      <c r="C4" s="204"/>
      <c r="D4" s="205"/>
      <c r="E4" s="206"/>
      <c r="F4" s="206"/>
      <c r="G4" s="207"/>
      <c r="H4" s="18"/>
      <c r="I4" s="208"/>
      <c r="J4" s="209"/>
      <c r="K4" s="209"/>
      <c r="L4" s="210"/>
      <c r="M4" s="18"/>
    </row>
    <row r="5" spans="1:44" ht="18" customHeight="1" thickTop="1" thickBot="1" x14ac:dyDescent="0.4">
      <c r="B5" s="211"/>
      <c r="C5" s="212"/>
      <c r="D5" s="213" t="s">
        <v>123</v>
      </c>
      <c r="E5" s="214"/>
      <c r="F5" s="215" t="s">
        <v>90</v>
      </c>
      <c r="G5" s="216"/>
      <c r="H5" s="18"/>
      <c r="I5" s="217"/>
      <c r="J5" s="218"/>
      <c r="K5" s="219" t="s">
        <v>179</v>
      </c>
      <c r="L5" s="220"/>
      <c r="M5" s="18"/>
    </row>
    <row r="6" spans="1:44" ht="18" customHeight="1" thickTop="1" thickBot="1" x14ac:dyDescent="0.4">
      <c r="B6" s="211"/>
      <c r="C6" s="212"/>
      <c r="D6" s="218"/>
      <c r="E6" s="214"/>
      <c r="F6" s="214"/>
      <c r="G6" s="216"/>
      <c r="H6" s="18"/>
      <c r="I6" s="217"/>
      <c r="J6" s="218"/>
      <c r="K6" s="705" t="str">
        <f>NAMES!E6</f>
        <v>10 ≤ PM2.5 CADR &lt; 100</v>
      </c>
      <c r="L6" s="220"/>
      <c r="M6" s="18"/>
    </row>
    <row r="7" spans="1:44" ht="18" customHeight="1" thickTop="1" thickBot="1" x14ac:dyDescent="0.4">
      <c r="B7" s="211"/>
      <c r="C7" s="212"/>
      <c r="D7" s="222" t="s">
        <v>124</v>
      </c>
      <c r="E7" s="214"/>
      <c r="F7" s="215" t="s">
        <v>334</v>
      </c>
      <c r="G7" s="216"/>
      <c r="H7" s="18"/>
      <c r="I7" s="217"/>
      <c r="J7" s="218"/>
      <c r="K7" s="705" t="str">
        <f>NAMES!E7</f>
        <v>100 ≤ PM2.5 CADR &lt; 150</v>
      </c>
      <c r="L7" s="220"/>
      <c r="M7" s="18"/>
    </row>
    <row r="8" spans="1:44" ht="18" customHeight="1" thickTop="1" thickBot="1" x14ac:dyDescent="0.4">
      <c r="B8" s="211"/>
      <c r="C8" s="212"/>
      <c r="D8" s="223"/>
      <c r="E8" s="214"/>
      <c r="F8" s="224"/>
      <c r="G8" s="225"/>
      <c r="H8" s="18"/>
      <c r="I8" s="217"/>
      <c r="J8" s="218"/>
      <c r="K8" s="705" t="str">
        <f>NAMES!E8</f>
        <v>PM2.5 CADR ≥ 150</v>
      </c>
      <c r="L8" s="220"/>
      <c r="M8" s="18"/>
    </row>
    <row r="9" spans="1:44" ht="18" customHeight="1" thickTop="1" thickBot="1" x14ac:dyDescent="0.4">
      <c r="B9" s="211"/>
      <c r="C9" s="212"/>
      <c r="D9" s="226" t="s">
        <v>134</v>
      </c>
      <c r="E9" s="214"/>
      <c r="F9" s="215" t="s">
        <v>206</v>
      </c>
      <c r="G9" s="216"/>
      <c r="H9" s="18"/>
      <c r="I9" s="217"/>
      <c r="J9" s="218"/>
      <c r="K9" s="221"/>
      <c r="L9" s="220"/>
      <c r="M9" s="18"/>
    </row>
    <row r="10" spans="1:44" ht="18" customHeight="1" thickTop="1" thickBot="1" x14ac:dyDescent="0.4">
      <c r="B10" s="211"/>
      <c r="C10" s="212"/>
      <c r="D10" s="224"/>
      <c r="E10" s="214"/>
      <c r="F10" s="224"/>
      <c r="G10" s="227"/>
      <c r="H10" s="18"/>
      <c r="I10" s="217"/>
      <c r="J10" s="218"/>
      <c r="K10" s="221"/>
      <c r="L10" s="220"/>
      <c r="M10" s="18"/>
    </row>
    <row r="11" spans="1:44" ht="18" customHeight="1" thickTop="1" thickBot="1" x14ac:dyDescent="0.4">
      <c r="B11" s="211"/>
      <c r="C11" s="212"/>
      <c r="D11" s="222" t="s">
        <v>125</v>
      </c>
      <c r="E11" s="214"/>
      <c r="F11" s="215" t="s">
        <v>118</v>
      </c>
      <c r="G11" s="216"/>
      <c r="H11" s="18"/>
      <c r="I11" s="217"/>
      <c r="J11" s="218"/>
      <c r="K11" s="221"/>
      <c r="L11" s="220"/>
      <c r="M11" s="18"/>
    </row>
    <row r="12" spans="1:44" ht="18" customHeight="1" thickTop="1" x14ac:dyDescent="0.35">
      <c r="B12" s="211"/>
      <c r="C12" s="212"/>
      <c r="D12" s="218"/>
      <c r="E12" s="214"/>
      <c r="F12" s="228"/>
      <c r="G12" s="216"/>
      <c r="H12" s="18"/>
      <c r="I12" s="217"/>
      <c r="J12" s="218"/>
      <c r="K12" s="221"/>
      <c r="L12" s="220"/>
      <c r="M12" s="18"/>
    </row>
    <row r="13" spans="1:44" ht="18" customHeight="1" x14ac:dyDescent="0.35">
      <c r="B13" s="211"/>
      <c r="C13" s="212"/>
      <c r="D13" s="224"/>
      <c r="E13" s="214"/>
      <c r="F13" s="229"/>
      <c r="G13" s="216"/>
      <c r="H13" s="18"/>
      <c r="I13" s="217"/>
      <c r="J13" s="218"/>
      <c r="K13" s="221"/>
      <c r="L13" s="220"/>
      <c r="M13" s="18"/>
    </row>
    <row r="14" spans="1:44" ht="18" customHeight="1" x14ac:dyDescent="0.35">
      <c r="B14" s="211"/>
      <c r="C14" s="212"/>
      <c r="D14" s="218"/>
      <c r="E14" s="214"/>
      <c r="F14" s="228"/>
      <c r="G14" s="216"/>
      <c r="H14" s="18"/>
      <c r="I14" s="217"/>
      <c r="J14" s="218"/>
      <c r="K14" s="221"/>
      <c r="L14" s="220"/>
      <c r="M14" s="18"/>
    </row>
    <row r="15" spans="1:44" ht="18" customHeight="1" x14ac:dyDescent="0.35">
      <c r="B15" s="211"/>
      <c r="C15" s="230"/>
      <c r="D15" s="214"/>
      <c r="E15" s="214"/>
      <c r="F15" s="229"/>
      <c r="G15" s="216"/>
      <c r="H15" s="18"/>
      <c r="I15" s="217"/>
      <c r="J15" s="218"/>
      <c r="K15" s="221"/>
      <c r="L15" s="220"/>
      <c r="M15" s="18"/>
    </row>
    <row r="16" spans="1:44" ht="18" customHeight="1" x14ac:dyDescent="0.35">
      <c r="B16" s="211"/>
      <c r="C16" s="230"/>
      <c r="D16" s="214"/>
      <c r="E16" s="214"/>
      <c r="F16" s="229"/>
      <c r="G16" s="216"/>
      <c r="H16" s="18"/>
      <c r="I16" s="217"/>
      <c r="J16" s="218"/>
      <c r="K16" s="221"/>
      <c r="L16" s="220"/>
      <c r="M16" s="18"/>
    </row>
    <row r="17" spans="2:13" ht="18" customHeight="1" x14ac:dyDescent="0.35">
      <c r="B17" s="211"/>
      <c r="C17" s="212"/>
      <c r="D17" s="214"/>
      <c r="E17" s="214"/>
      <c r="F17" s="228"/>
      <c r="G17" s="216"/>
      <c r="H17" s="18"/>
      <c r="I17" s="217"/>
      <c r="J17" s="218"/>
      <c r="K17" s="221"/>
      <c r="L17" s="220"/>
      <c r="M17" s="18"/>
    </row>
    <row r="18" spans="2:13" ht="18" customHeight="1" x14ac:dyDescent="0.35">
      <c r="B18" s="211"/>
      <c r="C18" s="212"/>
      <c r="D18" s="214"/>
      <c r="E18" s="214"/>
      <c r="F18" s="228"/>
      <c r="G18" s="216"/>
      <c r="H18" s="18"/>
      <c r="I18" s="217"/>
      <c r="J18" s="218"/>
      <c r="K18" s="221"/>
      <c r="L18" s="220"/>
      <c r="M18" s="18"/>
    </row>
    <row r="19" spans="2:13" ht="18" customHeight="1" x14ac:dyDescent="0.35">
      <c r="B19" s="211"/>
      <c r="C19" s="212"/>
      <c r="D19" s="214"/>
      <c r="E19" s="214"/>
      <c r="F19" s="228"/>
      <c r="G19" s="216"/>
      <c r="H19" s="18"/>
      <c r="I19" s="217"/>
      <c r="J19" s="218"/>
      <c r="K19" s="221"/>
      <c r="L19" s="220"/>
      <c r="M19" s="18"/>
    </row>
    <row r="20" spans="2:13" ht="18" customHeight="1" x14ac:dyDescent="0.35">
      <c r="B20" s="211"/>
      <c r="C20" s="212"/>
      <c r="D20" s="214"/>
      <c r="E20" s="214"/>
      <c r="F20" s="228"/>
      <c r="G20" s="216"/>
      <c r="H20" s="18"/>
      <c r="I20" s="217"/>
      <c r="J20" s="218"/>
      <c r="K20" s="221"/>
      <c r="L20" s="220"/>
      <c r="M20" s="18"/>
    </row>
    <row r="21" spans="2:13" ht="18" customHeight="1" x14ac:dyDescent="0.35">
      <c r="B21" s="211"/>
      <c r="C21" s="212"/>
      <c r="D21" s="214"/>
      <c r="E21" s="214"/>
      <c r="F21" s="228"/>
      <c r="G21" s="216"/>
      <c r="H21" s="18"/>
      <c r="I21" s="217"/>
      <c r="J21" s="218"/>
      <c r="K21" s="221"/>
      <c r="L21" s="220"/>
      <c r="M21" s="18"/>
    </row>
    <row r="22" spans="2:13" ht="18" customHeight="1" x14ac:dyDescent="0.35">
      <c r="B22" s="211"/>
      <c r="C22" s="212"/>
      <c r="D22" s="214"/>
      <c r="E22" s="214"/>
      <c r="F22" s="228"/>
      <c r="G22" s="216"/>
      <c r="H22" s="18"/>
      <c r="I22" s="217"/>
      <c r="J22" s="218"/>
      <c r="K22" s="221"/>
      <c r="L22" s="220"/>
      <c r="M22" s="18"/>
    </row>
    <row r="23" spans="2:13" ht="18" customHeight="1" x14ac:dyDescent="0.35">
      <c r="B23" s="211"/>
      <c r="C23" s="212"/>
      <c r="D23" s="214"/>
      <c r="E23" s="214"/>
      <c r="F23" s="228"/>
      <c r="G23" s="216"/>
      <c r="H23" s="18"/>
      <c r="I23" s="217"/>
      <c r="J23" s="218"/>
      <c r="K23" s="221"/>
      <c r="L23" s="220"/>
      <c r="M23" s="18"/>
    </row>
    <row r="24" spans="2:13" ht="18" customHeight="1" x14ac:dyDescent="0.35">
      <c r="B24" s="211"/>
      <c r="C24" s="212"/>
      <c r="D24" s="214"/>
      <c r="E24" s="214"/>
      <c r="F24" s="228"/>
      <c r="G24" s="216"/>
      <c r="H24" s="18"/>
      <c r="I24" s="217"/>
      <c r="J24" s="218"/>
      <c r="K24" s="221"/>
      <c r="L24" s="220"/>
      <c r="M24" s="18"/>
    </row>
    <row r="25" spans="2:13" ht="18" customHeight="1" x14ac:dyDescent="0.35">
      <c r="B25" s="211"/>
      <c r="C25" s="212"/>
      <c r="D25" s="229"/>
      <c r="E25" s="214"/>
      <c r="F25" s="229"/>
      <c r="G25" s="216"/>
      <c r="H25" s="18"/>
      <c r="I25" s="217"/>
      <c r="J25" s="218"/>
      <c r="K25" s="221"/>
      <c r="L25" s="220"/>
      <c r="M25" s="18"/>
    </row>
    <row r="26" spans="2:13" ht="18" customHeight="1" thickBot="1" x14ac:dyDescent="0.4">
      <c r="B26" s="231"/>
      <c r="C26" s="232"/>
      <c r="D26" s="233"/>
      <c r="E26" s="233"/>
      <c r="F26" s="233"/>
      <c r="G26" s="234"/>
      <c r="H26" s="18"/>
      <c r="I26" s="235"/>
      <c r="J26" s="236"/>
      <c r="K26" s="236"/>
      <c r="L26" s="237"/>
      <c r="M26" s="18"/>
    </row>
    <row r="27" spans="2:13" s="18" customFormat="1" ht="18" customHeight="1" x14ac:dyDescent="0.35">
      <c r="B27" s="200"/>
      <c r="C27" s="200"/>
      <c r="I27" s="238"/>
      <c r="J27" s="238"/>
    </row>
    <row r="28" spans="2:13" ht="18" hidden="1" customHeight="1" x14ac:dyDescent="0.35">
      <c r="H28" s="201"/>
      <c r="M28" s="201"/>
    </row>
    <row r="29" spans="2:13" ht="18" hidden="1" customHeight="1" x14ac:dyDescent="0.35">
      <c r="H29" s="201"/>
      <c r="M29" s="201"/>
    </row>
    <row r="30" spans="2:13" ht="18" hidden="1" customHeight="1" x14ac:dyDescent="0.35">
      <c r="H30" s="201"/>
    </row>
    <row r="31" spans="2:13" ht="18" hidden="1" customHeight="1" x14ac:dyDescent="0.35">
      <c r="H31" s="201"/>
    </row>
    <row r="32" spans="2:13" ht="18" hidden="1" customHeight="1" x14ac:dyDescent="0.35">
      <c r="H32" s="201"/>
    </row>
    <row r="33" spans="8:8" ht="18" hidden="1" customHeight="1" x14ac:dyDescent="0.35">
      <c r="H33" s="201"/>
    </row>
    <row r="34" spans="8:8" ht="18" hidden="1" customHeight="1" x14ac:dyDescent="0.35">
      <c r="H34" s="201"/>
    </row>
    <row r="35" spans="8:8" ht="18" hidden="1" customHeight="1" x14ac:dyDescent="0.35">
      <c r="H35" s="201"/>
    </row>
    <row r="36" spans="8:8" ht="18" hidden="1" customHeight="1" x14ac:dyDescent="0.35"/>
    <row r="37" spans="8:8" ht="18" hidden="1" customHeight="1" x14ac:dyDescent="0.35"/>
    <row r="38" spans="8:8" ht="18" hidden="1" customHeight="1" x14ac:dyDescent="0.35"/>
    <row r="39" spans="8:8" ht="18" hidden="1" customHeight="1" x14ac:dyDescent="0.35"/>
  </sheetData>
  <dataValidations count="4">
    <dataValidation type="list" allowBlank="1" showInputMessage="1" showErrorMessage="1" sqref="F11" xr:uid="{00000000-0002-0000-0600-000000000000}">
      <formula1>Learning_Scenario_List</formula1>
    </dataValidation>
    <dataValidation type="list" allowBlank="1" showInputMessage="1" showErrorMessage="1" sqref="F9" xr:uid="{00000000-0002-0000-0600-000001000000}">
      <formula1>Shipments_Scenario_List</formula1>
    </dataValidation>
    <dataValidation type="list" allowBlank="1" showErrorMessage="1" sqref="F7" xr:uid="{00000000-0002-0000-0600-000002000000}">
      <formula1>Markup_Scenario_List</formula1>
    </dataValidation>
    <dataValidation type="list" allowBlank="1" showInputMessage="1" showErrorMessage="1" sqref="F5" xr:uid="{00000000-0002-0000-0600-000003000000}">
      <formula1>TSL_Selection_List</formula1>
    </dataValidation>
  </dataValidations>
  <hyperlinks>
    <hyperlink ref="F2" location="Navigation!A1" display="Navigation" xr:uid="{00000000-0004-0000-0600-000000000000}"/>
  </hyperlinks>
  <pageMargins left="0.7" right="0.7" top="0.75" bottom="0.75" header="0.3" footer="0.3"/>
  <pageSetup orientation="portrait" r:id="rId1"/>
  <cellWatches>
    <cellWatch r="F5"/>
  </cellWatches>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9</xdr:col>
                    <xdr:colOff>146050</xdr:colOff>
                    <xdr:row>5</xdr:row>
                    <xdr:rowOff>0</xdr:rowOff>
                  </from>
                  <to>
                    <xdr:col>10</xdr:col>
                    <xdr:colOff>114300</xdr:colOff>
                    <xdr:row>6</xdr:row>
                    <xdr:rowOff>0</xdr:rowOff>
                  </to>
                </anchor>
              </controlPr>
            </control>
          </mc:Choice>
        </mc:AlternateContent>
        <mc:AlternateContent xmlns:mc="http://schemas.openxmlformats.org/markup-compatibility/2006">
          <mc:Choice Requires="x14">
            <control shapeId="11269" r:id="rId5" name="Check Box 5">
              <controlPr defaultSize="0" autoFill="0" autoLine="0" autoPict="0">
                <anchor moveWithCells="1">
                  <from>
                    <xdr:col>9</xdr:col>
                    <xdr:colOff>146050</xdr:colOff>
                    <xdr:row>6</xdr:row>
                    <xdr:rowOff>0</xdr:rowOff>
                  </from>
                  <to>
                    <xdr:col>10</xdr:col>
                    <xdr:colOff>114300</xdr:colOff>
                    <xdr:row>6</xdr:row>
                    <xdr:rowOff>228600</xdr:rowOff>
                  </to>
                </anchor>
              </controlPr>
            </control>
          </mc:Choice>
        </mc:AlternateContent>
        <mc:AlternateContent xmlns:mc="http://schemas.openxmlformats.org/markup-compatibility/2006">
          <mc:Choice Requires="x14">
            <control shapeId="11270" r:id="rId6" name="Check Box 6">
              <controlPr defaultSize="0" autoFill="0" autoLine="0" autoPict="0">
                <anchor moveWithCells="1">
                  <from>
                    <xdr:col>9</xdr:col>
                    <xdr:colOff>146050</xdr:colOff>
                    <xdr:row>7</xdr:row>
                    <xdr:rowOff>0</xdr:rowOff>
                  </from>
                  <to>
                    <xdr:col>10</xdr:col>
                    <xdr:colOff>114300</xdr:colOff>
                    <xdr:row>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8" tint="-0.499984740745262"/>
  </sheetPr>
  <dimension ref="A1:H36"/>
  <sheetViews>
    <sheetView zoomScale="70" zoomScaleNormal="70" workbookViewId="0"/>
  </sheetViews>
  <sheetFormatPr defaultColWidth="0" defaultRowHeight="0" customHeight="1" zeroHeight="1" x14ac:dyDescent="0.35"/>
  <cols>
    <col min="1" max="2" width="3.54296875" style="485" customWidth="1"/>
    <col min="3" max="3" width="34.54296875" style="485" bestFit="1" customWidth="1"/>
    <col min="4" max="4" width="3.54296875" style="485" customWidth="1"/>
    <col min="5" max="5" width="20.54296875" style="485" customWidth="1"/>
    <col min="6" max="6" width="49.453125" style="485" bestFit="1" customWidth="1"/>
    <col min="7" max="8" width="3.54296875" style="485" customWidth="1"/>
    <col min="9" max="16384" width="9.453125" style="485" hidden="1"/>
  </cols>
  <sheetData>
    <row r="1" spans="2:7" ht="18" customHeight="1" thickBot="1" x14ac:dyDescent="0.4"/>
    <row r="2" spans="2:7" ht="18" customHeight="1" thickTop="1" thickBot="1" x14ac:dyDescent="0.4">
      <c r="C2" s="486" t="s">
        <v>0</v>
      </c>
      <c r="E2" s="10" t="s">
        <v>159</v>
      </c>
    </row>
    <row r="3" spans="2:7" ht="18" customHeight="1" thickBot="1" x14ac:dyDescent="0.4"/>
    <row r="4" spans="2:7" ht="18" customHeight="1" x14ac:dyDescent="0.35">
      <c r="B4" s="487"/>
      <c r="C4" s="283"/>
      <c r="D4" s="283"/>
      <c r="E4" s="283"/>
      <c r="F4" s="283"/>
      <c r="G4" s="488"/>
    </row>
    <row r="5" spans="2:7" ht="18" customHeight="1" x14ac:dyDescent="0.35">
      <c r="B5" s="489"/>
      <c r="C5" s="287"/>
      <c r="D5" s="287"/>
      <c r="E5" s="490" t="s">
        <v>197</v>
      </c>
      <c r="F5" s="287"/>
      <c r="G5" s="491"/>
    </row>
    <row r="6" spans="2:7" ht="18" customHeight="1" thickBot="1" x14ac:dyDescent="0.4">
      <c r="B6" s="489"/>
      <c r="C6" s="287"/>
      <c r="D6" s="287"/>
      <c r="E6" s="287"/>
      <c r="F6" s="287"/>
      <c r="G6" s="491"/>
    </row>
    <row r="7" spans="2:7" ht="18" customHeight="1" thickBot="1" x14ac:dyDescent="0.4">
      <c r="B7" s="489"/>
      <c r="C7" s="492" t="s">
        <v>232</v>
      </c>
      <c r="D7" s="491"/>
      <c r="E7" s="728">
        <v>2023</v>
      </c>
      <c r="F7" s="287" t="s">
        <v>323</v>
      </c>
      <c r="G7" s="491"/>
    </row>
    <row r="8" spans="2:7" ht="18" customHeight="1" thickBot="1" x14ac:dyDescent="0.4">
      <c r="B8" s="489"/>
      <c r="C8" s="492" t="s">
        <v>233</v>
      </c>
      <c r="D8" s="491"/>
      <c r="E8" s="728">
        <v>2021</v>
      </c>
      <c r="F8" s="287" t="s">
        <v>283</v>
      </c>
      <c r="G8" s="491"/>
    </row>
    <row r="9" spans="2:7" ht="18" customHeight="1" thickBot="1" x14ac:dyDescent="0.4">
      <c r="B9" s="489"/>
      <c r="C9" s="492" t="s">
        <v>1</v>
      </c>
      <c r="D9" s="491"/>
      <c r="E9" s="728">
        <v>2023</v>
      </c>
      <c r="F9" s="287" t="s">
        <v>278</v>
      </c>
      <c r="G9" s="491"/>
    </row>
    <row r="10" spans="2:7" ht="18" customHeight="1" thickBot="1" x14ac:dyDescent="0.4">
      <c r="B10" s="489"/>
      <c r="C10" s="492" t="s">
        <v>196</v>
      </c>
      <c r="D10" s="491"/>
      <c r="E10" s="784">
        <v>2026</v>
      </c>
      <c r="F10" s="287" t="s">
        <v>279</v>
      </c>
      <c r="G10" s="491"/>
    </row>
    <row r="11" spans="2:7" ht="18" customHeight="1" thickBot="1" x14ac:dyDescent="0.4">
      <c r="B11" s="489"/>
      <c r="C11" s="492" t="s">
        <v>248</v>
      </c>
      <c r="D11" s="491"/>
      <c r="E11" s="493"/>
      <c r="F11" s="287" t="s">
        <v>281</v>
      </c>
      <c r="G11" s="491"/>
    </row>
    <row r="12" spans="2:7" ht="18" customHeight="1" thickBot="1" x14ac:dyDescent="0.4">
      <c r="B12" s="489"/>
      <c r="C12" s="492" t="s">
        <v>2</v>
      </c>
      <c r="D12" s="491"/>
      <c r="E12" s="494">
        <v>2057</v>
      </c>
      <c r="F12" s="287" t="s">
        <v>280</v>
      </c>
      <c r="G12" s="491"/>
    </row>
    <row r="13" spans="2:7" ht="18" customHeight="1" x14ac:dyDescent="0.35">
      <c r="B13" s="489"/>
      <c r="C13" s="287"/>
      <c r="D13" s="287"/>
      <c r="E13" s="495"/>
      <c r="F13" s="287"/>
      <c r="G13" s="491"/>
    </row>
    <row r="14" spans="2:7" ht="18" customHeight="1" thickBot="1" x14ac:dyDescent="0.4">
      <c r="B14" s="489"/>
      <c r="C14" s="287"/>
      <c r="D14" s="287"/>
      <c r="E14" s="495"/>
      <c r="F14" s="287"/>
      <c r="G14" s="491"/>
    </row>
    <row r="15" spans="2:7" ht="18" customHeight="1" thickBot="1" x14ac:dyDescent="0.4">
      <c r="B15" s="489"/>
      <c r="C15" s="492" t="s">
        <v>3</v>
      </c>
      <c r="D15" s="491"/>
      <c r="E15" s="496">
        <v>0.27400000000000002</v>
      </c>
      <c r="F15" s="497" t="s">
        <v>282</v>
      </c>
      <c r="G15" s="498"/>
    </row>
    <row r="16" spans="2:7" ht="18" customHeight="1" thickBot="1" x14ac:dyDescent="0.4">
      <c r="B16" s="489"/>
      <c r="C16" s="492" t="s">
        <v>316</v>
      </c>
      <c r="D16" s="491"/>
      <c r="E16" s="496">
        <v>6.6000000000000003E-2</v>
      </c>
      <c r="F16" s="299" t="s">
        <v>277</v>
      </c>
      <c r="G16" s="491"/>
    </row>
    <row r="17" spans="2:7" ht="18" customHeight="1" x14ac:dyDescent="0.35">
      <c r="B17" s="499"/>
      <c r="C17" s="500"/>
      <c r="D17" s="287"/>
      <c r="E17" s="729"/>
      <c r="F17" s="501"/>
      <c r="G17" s="498"/>
    </row>
    <row r="18" spans="2:7" ht="18" customHeight="1" thickBot="1" x14ac:dyDescent="0.4">
      <c r="B18" s="499"/>
      <c r="C18" s="500"/>
      <c r="D18" s="287"/>
      <c r="E18" s="729"/>
      <c r="F18" s="287"/>
      <c r="G18" s="491"/>
    </row>
    <row r="19" spans="2:7" ht="18" customHeight="1" thickBot="1" x14ac:dyDescent="0.4">
      <c r="B19" s="489"/>
      <c r="C19" s="492" t="s">
        <v>4</v>
      </c>
      <c r="D19" s="491"/>
      <c r="E19" s="496">
        <v>0.16600000000000001</v>
      </c>
      <c r="F19" s="497" t="s">
        <v>80</v>
      </c>
      <c r="G19" s="498"/>
    </row>
    <row r="20" spans="2:7" ht="18" customHeight="1" thickBot="1" x14ac:dyDescent="0.4">
      <c r="B20" s="489"/>
      <c r="C20" s="492" t="s">
        <v>5</v>
      </c>
      <c r="D20" s="491"/>
      <c r="E20" s="496">
        <v>0.106</v>
      </c>
      <c r="F20" s="497" t="s">
        <v>80</v>
      </c>
      <c r="G20" s="498"/>
    </row>
    <row r="21" spans="2:7" ht="18" customHeight="1" thickBot="1" x14ac:dyDescent="0.4">
      <c r="B21" s="499"/>
      <c r="C21" s="502" t="s">
        <v>6</v>
      </c>
      <c r="D21" s="503"/>
      <c r="E21" s="496">
        <v>0.18</v>
      </c>
      <c r="F21" s="497" t="s">
        <v>80</v>
      </c>
      <c r="G21" s="498"/>
    </row>
    <row r="22" spans="2:7" ht="18" customHeight="1" thickBot="1" x14ac:dyDescent="0.4">
      <c r="B22" s="489"/>
      <c r="C22" s="492" t="s">
        <v>7</v>
      </c>
      <c r="D22" s="491"/>
      <c r="E22" s="496">
        <v>1.7000000000000001E-2</v>
      </c>
      <c r="F22" s="497" t="s">
        <v>80</v>
      </c>
      <c r="G22" s="498"/>
    </row>
    <row r="23" spans="2:7" ht="18" customHeight="1" thickBot="1" x14ac:dyDescent="0.4">
      <c r="B23" s="499"/>
      <c r="C23" s="502" t="s">
        <v>8</v>
      </c>
      <c r="D23" s="503"/>
      <c r="E23" s="783">
        <v>3.5000000000000003E-2</v>
      </c>
      <c r="F23" s="497" t="s">
        <v>80</v>
      </c>
      <c r="G23" s="498"/>
    </row>
    <row r="24" spans="2:7" ht="18" customHeight="1" thickBot="1" x14ac:dyDescent="0.4">
      <c r="B24" s="499"/>
      <c r="C24" s="502" t="s">
        <v>9</v>
      </c>
      <c r="D24" s="503"/>
      <c r="E24" s="496">
        <v>0.04</v>
      </c>
      <c r="F24" s="497" t="s">
        <v>80</v>
      </c>
      <c r="G24" s="498"/>
    </row>
    <row r="25" spans="2:7" ht="18" customHeight="1" x14ac:dyDescent="0.35">
      <c r="B25" s="489"/>
      <c r="C25" s="287"/>
      <c r="D25" s="287"/>
      <c r="E25" s="495"/>
      <c r="F25" s="287"/>
      <c r="G25" s="491"/>
    </row>
    <row r="26" spans="2:7" ht="18" customHeight="1" thickBot="1" x14ac:dyDescent="0.4">
      <c r="B26" s="489"/>
      <c r="C26" s="287"/>
      <c r="D26" s="287"/>
      <c r="E26" s="495"/>
      <c r="F26" s="287"/>
      <c r="G26" s="491"/>
    </row>
    <row r="27" spans="2:7" ht="18" customHeight="1" thickBot="1" x14ac:dyDescent="0.4">
      <c r="B27" s="489"/>
      <c r="C27" s="492" t="s">
        <v>34</v>
      </c>
      <c r="D27" s="491"/>
      <c r="E27" s="496">
        <v>0.01</v>
      </c>
      <c r="F27" s="287"/>
      <c r="G27" s="491"/>
    </row>
    <row r="28" spans="2:7" ht="18" customHeight="1" thickBot="1" x14ac:dyDescent="0.4">
      <c r="B28" s="504"/>
      <c r="C28" s="292"/>
      <c r="D28" s="292"/>
      <c r="E28" s="292"/>
      <c r="F28" s="292"/>
      <c r="G28" s="505"/>
    </row>
    <row r="29" spans="2:7" ht="18" customHeight="1" x14ac:dyDescent="0.35"/>
    <row r="30" spans="2:7" ht="18" customHeight="1" x14ac:dyDescent="0.35"/>
    <row r="31" spans="2:7" ht="18" customHeight="1" x14ac:dyDescent="0.35"/>
    <row r="33" s="485" customFormat="1" ht="0" hidden="1" customHeight="1" x14ac:dyDescent="0.35"/>
    <row r="34" s="485" customFormat="1" ht="0" hidden="1" customHeight="1" x14ac:dyDescent="0.35"/>
    <row r="35" s="485" customFormat="1" ht="0" hidden="1" customHeight="1" x14ac:dyDescent="0.35"/>
    <row r="36" s="485" customFormat="1" ht="0" hidden="1" customHeight="1" x14ac:dyDescent="0.35"/>
  </sheetData>
  <sheetProtection algorithmName="SHA-512" hashValue="aroRB9nMe7Sqo4pdQnZ8fnZvzPgFdDOpnaO/0LXhrpkxOU5mLwsgBD+vhumr/Lah4XxTNHUEsZvTshXJG9Jm1A==" saltValue="PcrLfJeFkUMySoGYWcPRzg==" spinCount="100000" sheet="1" objects="1" scenarios="1"/>
  <hyperlinks>
    <hyperlink ref="E2" location="Navigation!A1" display="Navigation" xr:uid="{00000000-0004-0000-0700-000000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8" tint="-0.499984740745262"/>
    <pageSetUpPr autoPageBreaks="0"/>
  </sheetPr>
  <dimension ref="B1:AH38"/>
  <sheetViews>
    <sheetView tabSelected="1" zoomScale="70" zoomScaleNormal="70" workbookViewId="0"/>
  </sheetViews>
  <sheetFormatPr defaultColWidth="11.54296875" defaultRowHeight="15.5" x14ac:dyDescent="0.35"/>
  <cols>
    <col min="1" max="2" width="3.54296875" style="506" customWidth="1"/>
    <col min="3" max="3" width="23" style="506" bestFit="1" customWidth="1"/>
    <col min="4" max="4" width="3.54296875" style="506" customWidth="1"/>
    <col min="5" max="5" width="30.54296875" style="506" bestFit="1" customWidth="1"/>
    <col min="6" max="6" width="9" style="506" customWidth="1"/>
    <col min="7" max="8" width="3.54296875" style="506" customWidth="1"/>
    <col min="9" max="9" width="10.54296875" style="506" customWidth="1"/>
    <col min="10" max="10" width="28.54296875" style="506" bestFit="1" customWidth="1"/>
    <col min="11" max="11" width="3.54296875" style="506" customWidth="1"/>
    <col min="12" max="12" width="15.54296875" style="507" customWidth="1"/>
    <col min="13" max="13" width="15.54296875" style="506" customWidth="1"/>
    <col min="14" max="14" width="3.54296875" style="506" customWidth="1"/>
    <col min="15" max="16384" width="11.54296875" style="506"/>
  </cols>
  <sheetData>
    <row r="1" spans="2:34" ht="16" thickBot="1" x14ac:dyDescent="0.4">
      <c r="AC1" s="508"/>
      <c r="AD1" s="508"/>
      <c r="AE1" s="508"/>
      <c r="AF1" s="508"/>
      <c r="AG1" s="508"/>
      <c r="AH1" s="508"/>
    </row>
    <row r="2" spans="2:34" ht="16.5" thickTop="1" thickBot="1" x14ac:dyDescent="0.4">
      <c r="C2" s="486" t="s">
        <v>168</v>
      </c>
      <c r="E2" s="10" t="s">
        <v>159</v>
      </c>
      <c r="Y2" s="508"/>
      <c r="Z2" s="508"/>
      <c r="AA2" s="508"/>
      <c r="AB2" s="508"/>
      <c r="AC2" s="508"/>
      <c r="AD2" s="508"/>
    </row>
    <row r="3" spans="2:34" ht="16" thickBot="1" x14ac:dyDescent="0.4"/>
    <row r="4" spans="2:34" x14ac:dyDescent="0.35">
      <c r="B4" s="509"/>
      <c r="C4" s="510"/>
      <c r="D4" s="510"/>
      <c r="E4" s="510"/>
      <c r="F4" s="510"/>
      <c r="G4" s="511"/>
      <c r="I4" s="509"/>
      <c r="J4" s="510"/>
      <c r="K4" s="510"/>
      <c r="L4" s="283"/>
      <c r="M4" s="510"/>
      <c r="N4" s="512"/>
    </row>
    <row r="5" spans="2:34" x14ac:dyDescent="0.35">
      <c r="B5" s="513"/>
      <c r="C5" s="514" t="s">
        <v>99</v>
      </c>
      <c r="D5" s="515"/>
      <c r="E5" s="287"/>
      <c r="F5" s="287"/>
      <c r="G5" s="516"/>
      <c r="I5" s="513"/>
      <c r="J5" s="297" t="str">
        <f>C5&amp;" at Selected TSL"</f>
        <v>PC1 at Selected TSL</v>
      </c>
      <c r="K5" s="515"/>
      <c r="L5" s="297" t="s">
        <v>237</v>
      </c>
      <c r="M5" s="297" t="s">
        <v>90</v>
      </c>
      <c r="N5" s="491"/>
    </row>
    <row r="6" spans="2:34" ht="27.5" customHeight="1" x14ac:dyDescent="0.35">
      <c r="B6" s="513"/>
      <c r="C6" s="517" t="str">
        <f>VLOOKUP(C5,PC_Table,2,FALSE)</f>
        <v>10 ≤ PM2.5 CADR &lt; 100</v>
      </c>
      <c r="D6" s="287"/>
      <c r="E6" s="287"/>
      <c r="F6" s="287"/>
      <c r="G6" s="518"/>
      <c r="I6" s="513"/>
      <c r="J6" s="519" t="str">
        <f ca="1">OFFSET(K6,0,MATCH(TSL_X,OFFSET(L5,0,0,1,NAMES!$K$4+1),FALSE))</f>
        <v>EL 2</v>
      </c>
      <c r="K6" s="515"/>
      <c r="L6" s="520" t="s">
        <v>81</v>
      </c>
      <c r="M6" s="790" t="s">
        <v>344</v>
      </c>
      <c r="N6" s="521"/>
    </row>
    <row r="7" spans="2:34" x14ac:dyDescent="0.35">
      <c r="B7" s="513"/>
      <c r="C7" s="287"/>
      <c r="D7" s="287"/>
      <c r="E7" s="300" t="s">
        <v>128</v>
      </c>
      <c r="F7" s="300"/>
      <c r="G7" s="491"/>
      <c r="I7" s="513"/>
      <c r="J7" s="515"/>
      <c r="K7" s="515"/>
      <c r="L7" s="287"/>
      <c r="M7" s="515"/>
      <c r="N7" s="521"/>
    </row>
    <row r="8" spans="2:34" x14ac:dyDescent="0.35">
      <c r="B8" s="513"/>
      <c r="C8" s="287"/>
      <c r="D8" s="287"/>
      <c r="E8" s="522" t="s">
        <v>345</v>
      </c>
      <c r="F8" s="522"/>
      <c r="G8" s="518"/>
      <c r="I8" s="523" t="str">
        <f>E8</f>
        <v>CADR/W</v>
      </c>
      <c r="J8" s="731">
        <f ca="1">OFFSET(E8,MATCH(OFFSET($J$1,MATCH(C5,$C:$C,0),0),EL_List,FALSE),0)</f>
        <v>1.89</v>
      </c>
      <c r="K8" s="515"/>
      <c r="L8" s="732">
        <f ca="1">OFFSET($E8,MATCH(L6,EL_List,0),0)</f>
        <v>1.53</v>
      </c>
      <c r="M8" s="732">
        <f ca="1">OFFSET($E8,MATCH(M6,EL_List,0),0)</f>
        <v>1.89</v>
      </c>
      <c r="N8" s="521"/>
    </row>
    <row r="9" spans="2:34" x14ac:dyDescent="0.35">
      <c r="B9" s="513"/>
      <c r="C9" s="524" t="s">
        <v>81</v>
      </c>
      <c r="D9" s="287"/>
      <c r="E9" s="730">
        <v>1.53</v>
      </c>
      <c r="F9" s="300"/>
      <c r="G9" s="518"/>
      <c r="I9" s="513"/>
      <c r="J9" s="515"/>
      <c r="K9" s="515"/>
      <c r="L9" s="287"/>
      <c r="M9" s="515"/>
      <c r="N9" s="521"/>
    </row>
    <row r="10" spans="2:34" x14ac:dyDescent="0.35">
      <c r="B10" s="513"/>
      <c r="C10" s="524" t="s">
        <v>86</v>
      </c>
      <c r="D10" s="287"/>
      <c r="E10" s="730">
        <v>1.69</v>
      </c>
      <c r="F10" s="300"/>
      <c r="G10" s="518"/>
      <c r="I10" s="513"/>
      <c r="J10" s="515"/>
      <c r="K10" s="515"/>
      <c r="L10" s="287"/>
      <c r="M10" s="515"/>
      <c r="N10" s="521"/>
    </row>
    <row r="11" spans="2:34" x14ac:dyDescent="0.35">
      <c r="B11" s="513"/>
      <c r="C11" s="524" t="s">
        <v>344</v>
      </c>
      <c r="D11" s="287"/>
      <c r="E11" s="730">
        <v>1.89</v>
      </c>
      <c r="F11" s="300"/>
      <c r="G11" s="518"/>
      <c r="I11" s="513"/>
      <c r="J11" s="515"/>
      <c r="K11" s="515"/>
      <c r="L11" s="287"/>
      <c r="M11" s="515"/>
      <c r="N11" s="521"/>
    </row>
    <row r="12" spans="2:34" x14ac:dyDescent="0.35">
      <c r="B12" s="513"/>
      <c r="C12" s="524" t="s">
        <v>343</v>
      </c>
      <c r="D12" s="287"/>
      <c r="E12" s="730">
        <v>3.37</v>
      </c>
      <c r="F12" s="300"/>
      <c r="G12" s="518"/>
      <c r="I12" s="513"/>
      <c r="J12" s="515"/>
      <c r="K12" s="515"/>
      <c r="L12" s="287"/>
      <c r="M12" s="515"/>
      <c r="N12" s="521"/>
    </row>
    <row r="13" spans="2:34" x14ac:dyDescent="0.35">
      <c r="B13" s="513"/>
      <c r="C13" s="524" t="s">
        <v>342</v>
      </c>
      <c r="D13" s="287"/>
      <c r="E13" s="730">
        <v>5.4</v>
      </c>
      <c r="F13" s="300"/>
      <c r="G13" s="518"/>
      <c r="I13" s="513"/>
      <c r="J13" s="515"/>
      <c r="K13" s="515"/>
      <c r="L13" s="287"/>
      <c r="M13" s="515"/>
      <c r="N13" s="521"/>
    </row>
    <row r="14" spans="2:34" ht="16" thickBot="1" x14ac:dyDescent="0.4">
      <c r="B14" s="525"/>
      <c r="C14" s="292"/>
      <c r="D14" s="292"/>
      <c r="E14" s="526"/>
      <c r="F14" s="526"/>
      <c r="G14" s="527"/>
      <c r="I14" s="525"/>
      <c r="J14" s="528"/>
      <c r="K14" s="528"/>
      <c r="L14" s="292"/>
      <c r="M14" s="528"/>
      <c r="N14" s="529"/>
    </row>
    <row r="15" spans="2:34" ht="16" thickBot="1" x14ac:dyDescent="0.4"/>
    <row r="16" spans="2:34" x14ac:dyDescent="0.35">
      <c r="B16" s="509"/>
      <c r="C16" s="510"/>
      <c r="D16" s="510"/>
      <c r="E16" s="510"/>
      <c r="F16" s="510"/>
      <c r="G16" s="511"/>
      <c r="I16" s="509"/>
      <c r="J16" s="510"/>
      <c r="K16" s="510"/>
      <c r="L16" s="283"/>
      <c r="M16" s="510"/>
      <c r="N16" s="512"/>
    </row>
    <row r="17" spans="2:14" x14ac:dyDescent="0.35">
      <c r="B17" s="513"/>
      <c r="C17" s="514" t="s">
        <v>180</v>
      </c>
      <c r="D17" s="515"/>
      <c r="E17" s="287"/>
      <c r="F17" s="287"/>
      <c r="G17" s="516"/>
      <c r="I17" s="513"/>
      <c r="J17" s="297" t="str">
        <f>C17&amp;" at Selected TSL"</f>
        <v>PC2 at Selected TSL</v>
      </c>
      <c r="K17" s="515"/>
      <c r="L17" s="297" t="s">
        <v>237</v>
      </c>
      <c r="M17" s="297" t="s">
        <v>90</v>
      </c>
      <c r="N17" s="491"/>
    </row>
    <row r="18" spans="2:14" ht="36" customHeight="1" x14ac:dyDescent="0.35">
      <c r="B18" s="513"/>
      <c r="C18" s="517" t="str">
        <f>VLOOKUP(C17,PC_Table,2,FALSE)</f>
        <v>100 ≤ PM2.5 CADR &lt; 150</v>
      </c>
      <c r="D18" s="287"/>
      <c r="E18" s="287"/>
      <c r="F18" s="287"/>
      <c r="G18" s="518"/>
      <c r="I18" s="513"/>
      <c r="J18" s="519" t="str">
        <f ca="1">OFFSET(K18,0,MATCH(TSL_X,OFFSET(L17,0,0,1,NAMES!$K$4+1),FALSE))</f>
        <v>EL 2</v>
      </c>
      <c r="K18" s="515"/>
      <c r="L18" s="520" t="s">
        <v>81</v>
      </c>
      <c r="M18" s="790" t="s">
        <v>344</v>
      </c>
      <c r="N18" s="521"/>
    </row>
    <row r="19" spans="2:14" x14ac:dyDescent="0.35">
      <c r="B19" s="513"/>
      <c r="C19" s="287"/>
      <c r="D19" s="287"/>
      <c r="E19" s="300" t="s">
        <v>128</v>
      </c>
      <c r="F19" s="300"/>
      <c r="G19" s="491"/>
      <c r="I19" s="513"/>
      <c r="J19" s="515"/>
      <c r="K19" s="515"/>
      <c r="L19" s="287"/>
      <c r="M19" s="515"/>
      <c r="N19" s="521"/>
    </row>
    <row r="20" spans="2:14" x14ac:dyDescent="0.35">
      <c r="B20" s="513"/>
      <c r="C20" s="287"/>
      <c r="D20" s="287"/>
      <c r="E20" s="522" t="s">
        <v>345</v>
      </c>
      <c r="F20" s="522"/>
      <c r="G20" s="518"/>
      <c r="I20" s="523" t="str">
        <f>E20</f>
        <v>CADR/W</v>
      </c>
      <c r="J20" s="731">
        <f ca="1">OFFSET(E20,MATCH(OFFSET($J$1,MATCH(C17,$C:$C,0),0),EL_List,FALSE),0)</f>
        <v>2.39</v>
      </c>
      <c r="K20" s="515"/>
      <c r="L20" s="732">
        <f ca="1">OFFSET($E20,MATCH(L18,EL_List,0),0)</f>
        <v>1.53</v>
      </c>
      <c r="M20" s="732">
        <f ca="1">OFFSET($E20,MATCH(M18,EL_List,0),0)</f>
        <v>2.39</v>
      </c>
      <c r="N20" s="521"/>
    </row>
    <row r="21" spans="2:14" x14ac:dyDescent="0.35">
      <c r="B21" s="513"/>
      <c r="C21" s="524" t="s">
        <v>81</v>
      </c>
      <c r="D21" s="287"/>
      <c r="E21" s="730">
        <v>1.53</v>
      </c>
      <c r="F21" s="300"/>
      <c r="G21" s="518"/>
      <c r="I21" s="513"/>
      <c r="J21" s="515"/>
      <c r="K21" s="515"/>
      <c r="L21" s="287"/>
      <c r="M21" s="515"/>
      <c r="N21" s="521"/>
    </row>
    <row r="22" spans="2:14" x14ac:dyDescent="0.35">
      <c r="B22" s="513"/>
      <c r="C22" s="524" t="s">
        <v>86</v>
      </c>
      <c r="D22" s="287"/>
      <c r="E22" s="730">
        <v>1.9</v>
      </c>
      <c r="F22" s="300"/>
      <c r="G22" s="518"/>
      <c r="I22" s="513"/>
      <c r="J22" s="515"/>
      <c r="K22" s="515"/>
      <c r="L22" s="287"/>
      <c r="M22" s="515"/>
      <c r="N22" s="521"/>
    </row>
    <row r="23" spans="2:14" x14ac:dyDescent="0.35">
      <c r="B23" s="513"/>
      <c r="C23" s="524" t="s">
        <v>344</v>
      </c>
      <c r="D23" s="287"/>
      <c r="E23" s="730">
        <v>2.39</v>
      </c>
      <c r="F23" s="300"/>
      <c r="G23" s="518"/>
      <c r="I23" s="513"/>
      <c r="J23" s="515"/>
      <c r="K23" s="515"/>
      <c r="L23" s="287"/>
      <c r="M23" s="515"/>
      <c r="N23" s="521"/>
    </row>
    <row r="24" spans="2:14" x14ac:dyDescent="0.35">
      <c r="B24" s="513"/>
      <c r="C24" s="524" t="s">
        <v>343</v>
      </c>
      <c r="D24" s="287"/>
      <c r="E24" s="730">
        <v>5.4</v>
      </c>
      <c r="F24" s="300"/>
      <c r="G24" s="518"/>
      <c r="I24" s="513"/>
      <c r="J24" s="515"/>
      <c r="K24" s="515"/>
      <c r="L24" s="287"/>
      <c r="M24" s="515"/>
      <c r="N24" s="521"/>
    </row>
    <row r="25" spans="2:14" x14ac:dyDescent="0.35">
      <c r="B25" s="513"/>
      <c r="C25" s="524" t="s">
        <v>342</v>
      </c>
      <c r="D25" s="287"/>
      <c r="E25" s="730">
        <v>12.75</v>
      </c>
      <c r="F25" s="300"/>
      <c r="G25" s="518"/>
      <c r="I25" s="513"/>
      <c r="J25" s="515"/>
      <c r="K25" s="515"/>
      <c r="L25" s="287"/>
      <c r="M25" s="515"/>
      <c r="N25" s="521"/>
    </row>
    <row r="26" spans="2:14" ht="16" thickBot="1" x14ac:dyDescent="0.4">
      <c r="B26" s="525"/>
      <c r="C26" s="292"/>
      <c r="D26" s="292"/>
      <c r="E26" s="526"/>
      <c r="F26" s="526"/>
      <c r="G26" s="527"/>
      <c r="I26" s="525"/>
      <c r="J26" s="528"/>
      <c r="K26" s="528"/>
      <c r="L26" s="292"/>
      <c r="M26" s="528"/>
      <c r="N26" s="529"/>
    </row>
    <row r="27" spans="2:14" ht="16" thickBot="1" x14ac:dyDescent="0.4"/>
    <row r="28" spans="2:14" x14ac:dyDescent="0.35">
      <c r="B28" s="509"/>
      <c r="C28" s="510"/>
      <c r="D28" s="510"/>
      <c r="E28" s="510"/>
      <c r="F28" s="510"/>
      <c r="G28" s="511"/>
      <c r="I28" s="509"/>
      <c r="J28" s="510"/>
      <c r="K28" s="510"/>
      <c r="L28" s="283"/>
      <c r="M28" s="510"/>
      <c r="N28" s="512"/>
    </row>
    <row r="29" spans="2:14" x14ac:dyDescent="0.35">
      <c r="B29" s="513"/>
      <c r="C29" s="514" t="s">
        <v>181</v>
      </c>
      <c r="D29" s="515"/>
      <c r="E29" s="287"/>
      <c r="F29" s="287"/>
      <c r="G29" s="516"/>
      <c r="I29" s="513"/>
      <c r="J29" s="297" t="str">
        <f>C29&amp;" at Selected TSL"</f>
        <v>PC3 at Selected TSL</v>
      </c>
      <c r="K29" s="515"/>
      <c r="L29" s="297" t="s">
        <v>237</v>
      </c>
      <c r="M29" s="297" t="s">
        <v>90</v>
      </c>
      <c r="N29" s="491"/>
    </row>
    <row r="30" spans="2:14" ht="15.75" customHeight="1" x14ac:dyDescent="0.35">
      <c r="B30" s="513"/>
      <c r="C30" s="517" t="str">
        <f>VLOOKUP(C29,PC_Table,2,FALSE)</f>
        <v>PM2.5 CADR ≥ 150</v>
      </c>
      <c r="D30" s="287"/>
      <c r="E30" s="287"/>
      <c r="F30" s="287"/>
      <c r="G30" s="518"/>
      <c r="I30" s="513"/>
      <c r="J30" s="519" t="str">
        <f ca="1">OFFSET(K30,0,MATCH(TSL_X,OFFSET(L29,0,0,1,NAMES!$K$4+1),FALSE))</f>
        <v>EL 2</v>
      </c>
      <c r="K30" s="515"/>
      <c r="L30" s="520" t="s">
        <v>81</v>
      </c>
      <c r="M30" s="790" t="s">
        <v>344</v>
      </c>
      <c r="N30" s="521"/>
    </row>
    <row r="31" spans="2:14" x14ac:dyDescent="0.35">
      <c r="B31" s="513"/>
      <c r="C31" s="287"/>
      <c r="D31" s="287"/>
      <c r="E31" s="300" t="s">
        <v>128</v>
      </c>
      <c r="F31" s="300"/>
      <c r="G31" s="491"/>
      <c r="I31" s="513"/>
      <c r="J31" s="515"/>
      <c r="K31" s="515"/>
      <c r="L31" s="287"/>
      <c r="M31" s="515"/>
      <c r="N31" s="521"/>
    </row>
    <row r="32" spans="2:14" x14ac:dyDescent="0.35">
      <c r="B32" s="513"/>
      <c r="C32" s="287"/>
      <c r="D32" s="287"/>
      <c r="E32" s="522" t="s">
        <v>345</v>
      </c>
      <c r="F32" s="522"/>
      <c r="G32" s="518"/>
      <c r="I32" s="523" t="str">
        <f>E32</f>
        <v>CADR/W</v>
      </c>
      <c r="J32" s="731">
        <f ca="1">OFFSET(E32,MATCH(OFFSET($J$1,MATCH(C29,$C:$C,0),0),EL_List,FALSE),0)</f>
        <v>2.91</v>
      </c>
      <c r="K32" s="515"/>
      <c r="L32" s="732">
        <f ca="1">OFFSET($E32,MATCH(L30,EL_List,0),0)</f>
        <v>1.2</v>
      </c>
      <c r="M32" s="732">
        <f ca="1">OFFSET($E32,MATCH(M30,EL_List,0),0)</f>
        <v>2.91</v>
      </c>
      <c r="N32" s="521"/>
    </row>
    <row r="33" spans="2:14" x14ac:dyDescent="0.35">
      <c r="B33" s="513"/>
      <c r="C33" s="524" t="s">
        <v>81</v>
      </c>
      <c r="D33" s="287"/>
      <c r="E33" s="730">
        <v>1.2</v>
      </c>
      <c r="F33" s="300"/>
      <c r="G33" s="518"/>
      <c r="I33" s="513"/>
      <c r="J33" s="515"/>
      <c r="K33" s="515"/>
      <c r="L33" s="287"/>
      <c r="M33" s="515"/>
      <c r="N33" s="521"/>
    </row>
    <row r="34" spans="2:14" x14ac:dyDescent="0.35">
      <c r="B34" s="513"/>
      <c r="C34" s="524" t="s">
        <v>86</v>
      </c>
      <c r="D34" s="287"/>
      <c r="E34" s="730">
        <v>2.0099999999999998</v>
      </c>
      <c r="F34" s="300"/>
      <c r="G34" s="518"/>
      <c r="I34" s="513"/>
      <c r="J34" s="515"/>
      <c r="K34" s="515"/>
      <c r="L34" s="287"/>
      <c r="M34" s="515"/>
      <c r="N34" s="521"/>
    </row>
    <row r="35" spans="2:14" x14ac:dyDescent="0.35">
      <c r="B35" s="513"/>
      <c r="C35" s="524" t="s">
        <v>344</v>
      </c>
      <c r="D35" s="287"/>
      <c r="E35" s="730">
        <v>2.91</v>
      </c>
      <c r="F35" s="300"/>
      <c r="G35" s="518"/>
      <c r="I35" s="513"/>
      <c r="J35" s="515"/>
      <c r="K35" s="515"/>
      <c r="L35" s="287"/>
      <c r="M35" s="515"/>
      <c r="N35" s="521"/>
    </row>
    <row r="36" spans="2:14" x14ac:dyDescent="0.35">
      <c r="B36" s="513"/>
      <c r="C36" s="524" t="s">
        <v>343</v>
      </c>
      <c r="D36" s="287"/>
      <c r="E36" s="730">
        <v>6.55</v>
      </c>
      <c r="F36" s="300"/>
      <c r="G36" s="518"/>
      <c r="I36" s="513"/>
      <c r="J36" s="515"/>
      <c r="K36" s="515"/>
      <c r="L36" s="287"/>
      <c r="M36" s="515"/>
      <c r="N36" s="521"/>
    </row>
    <row r="37" spans="2:14" x14ac:dyDescent="0.35">
      <c r="B37" s="513"/>
      <c r="C37" s="524" t="s">
        <v>342</v>
      </c>
      <c r="D37" s="287"/>
      <c r="E37" s="730">
        <v>7.41</v>
      </c>
      <c r="F37" s="300"/>
      <c r="G37" s="518"/>
      <c r="I37" s="513"/>
      <c r="J37" s="515"/>
      <c r="K37" s="515"/>
      <c r="L37" s="287"/>
      <c r="M37" s="515"/>
      <c r="N37" s="521"/>
    </row>
    <row r="38" spans="2:14" ht="16" thickBot="1" x14ac:dyDescent="0.4">
      <c r="B38" s="525"/>
      <c r="C38" s="292"/>
      <c r="D38" s="292"/>
      <c r="E38" s="526"/>
      <c r="F38" s="526"/>
      <c r="G38" s="527"/>
      <c r="I38" s="525"/>
      <c r="J38" s="528"/>
      <c r="K38" s="528"/>
      <c r="L38" s="292"/>
      <c r="M38" s="528"/>
      <c r="N38" s="529"/>
    </row>
  </sheetData>
  <sheetProtection algorithmName="SHA-512" hashValue="7UP5773lIN2Mp00S7tE+MDWdP+RM1JJVK22yk9tMF7jegRpz+cA/dPEM+kcW0fH1P5Nx+UeEsdOUG399DnSrFg==" saltValue="2GHR6QQJjPZeHYl75lifiQ==" spinCount="100000" sheet="1" objects="1" scenarios="1"/>
  <dataConsolidate/>
  <dataValidations count="1">
    <dataValidation type="list" allowBlank="1" showInputMessage="1" showErrorMessage="1" sqref="L6:M6 L30:M30 L18:M18" xr:uid="{00000000-0002-0000-0800-000000000000}">
      <formula1>EL_List</formula1>
    </dataValidation>
  </dataValidations>
  <hyperlinks>
    <hyperlink ref="E2" location="Navigation!A1" display="Navigation" xr:uid="{00000000-0004-0000-0800-000000000000}"/>
  </hyperlinks>
  <pageMargins left="0.75" right="0.75" top="1" bottom="1" header="0.5" footer="0.5"/>
  <pageSetup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8" tint="-0.499984740745262"/>
  </sheetPr>
  <dimension ref="A1:BN785"/>
  <sheetViews>
    <sheetView zoomScale="70" zoomScaleNormal="70" workbookViewId="0"/>
  </sheetViews>
  <sheetFormatPr defaultColWidth="0" defaultRowHeight="0" customHeight="1" zeroHeight="1" x14ac:dyDescent="0.35"/>
  <cols>
    <col min="1" max="1" width="3.54296875" style="18" customWidth="1"/>
    <col min="2" max="2" width="3.54296875" style="168" customWidth="1"/>
    <col min="3" max="3" width="22.453125" style="18" bestFit="1" customWidth="1"/>
    <col min="4" max="4" width="3.54296875" style="18" customWidth="1"/>
    <col min="5" max="9" width="15.54296875" style="18" customWidth="1"/>
    <col min="10" max="11" width="3.54296875" style="18" customWidth="1"/>
    <col min="12" max="14" width="9.453125" style="18" hidden="1" customWidth="1"/>
    <col min="15" max="66" width="0" style="18" hidden="1" customWidth="1"/>
    <col min="67" max="16384" width="9.453125" style="18" hidden="1"/>
  </cols>
  <sheetData>
    <row r="1" spans="1:59" ht="18" customHeight="1" thickBot="1" x14ac:dyDescent="0.4">
      <c r="A1" s="241"/>
      <c r="B1" s="50"/>
      <c r="C1" s="241"/>
      <c r="D1" s="241"/>
      <c r="E1" s="241"/>
      <c r="F1" s="241"/>
      <c r="G1" s="241"/>
      <c r="H1" s="241"/>
      <c r="I1" s="241"/>
      <c r="J1" s="241"/>
      <c r="K1" s="241"/>
      <c r="L1" s="241"/>
    </row>
    <row r="2" spans="1:59" s="241" customFormat="1" ht="18" customHeight="1" thickTop="1" thickBot="1" x14ac:dyDescent="0.4">
      <c r="B2" s="50"/>
      <c r="C2" s="265" t="s">
        <v>129</v>
      </c>
      <c r="D2" s="266"/>
      <c r="E2" s="266"/>
      <c r="F2" s="266"/>
      <c r="G2" s="267"/>
      <c r="I2" s="10" t="s">
        <v>159</v>
      </c>
      <c r="M2" s="18"/>
      <c r="N2" s="18"/>
      <c r="O2" s="18"/>
      <c r="P2" s="18"/>
      <c r="Q2" s="18"/>
      <c r="R2" s="18"/>
      <c r="S2" s="18"/>
      <c r="U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row>
    <row r="3" spans="1:59" s="241" customFormat="1" ht="18" customHeight="1" thickBot="1" x14ac:dyDescent="0.4">
      <c r="B3" s="50"/>
      <c r="C3" s="50"/>
      <c r="D3" s="50"/>
      <c r="E3" s="50"/>
      <c r="M3" s="18"/>
      <c r="N3" s="18"/>
      <c r="O3" s="18"/>
      <c r="P3" s="18"/>
      <c r="Q3" s="18"/>
      <c r="R3" s="18"/>
      <c r="S3" s="18"/>
      <c r="U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row>
    <row r="4" spans="1:59" ht="18" customHeight="1" x14ac:dyDescent="0.35">
      <c r="A4" s="241"/>
      <c r="B4" s="255"/>
      <c r="C4" s="268"/>
      <c r="D4" s="209"/>
      <c r="E4" s="268"/>
      <c r="F4" s="268"/>
      <c r="G4" s="268"/>
      <c r="H4" s="268"/>
      <c r="I4" s="268"/>
      <c r="J4" s="210"/>
      <c r="K4" s="241"/>
      <c r="L4" s="241"/>
    </row>
    <row r="5" spans="1:59" ht="18" customHeight="1" x14ac:dyDescent="0.35">
      <c r="A5" s="241"/>
      <c r="B5" s="256"/>
      <c r="C5" s="269" t="s">
        <v>99</v>
      </c>
      <c r="D5" s="218"/>
      <c r="E5" s="270"/>
      <c r="F5" s="270"/>
      <c r="G5" s="270"/>
      <c r="H5" s="270"/>
      <c r="I5" s="270"/>
      <c r="J5" s="220"/>
      <c r="K5" s="241"/>
      <c r="L5" s="241"/>
    </row>
    <row r="6" spans="1:59" ht="18" customHeight="1" x14ac:dyDescent="0.35">
      <c r="A6" s="241"/>
      <c r="B6" s="256"/>
      <c r="C6" s="269" t="str">
        <f>VLOOKUP(C5,PC_Table,2,FALSE)</f>
        <v>10 ≤ PM2.5 CADR &lt; 100</v>
      </c>
      <c r="D6" s="218"/>
      <c r="E6" s="245" t="s">
        <v>91</v>
      </c>
      <c r="F6" s="271" t="s">
        <v>59</v>
      </c>
      <c r="G6" s="271" t="s">
        <v>12</v>
      </c>
      <c r="H6" s="271" t="s">
        <v>8</v>
      </c>
      <c r="I6" s="271" t="s">
        <v>13</v>
      </c>
      <c r="J6" s="220"/>
      <c r="K6" s="241"/>
      <c r="L6" s="241"/>
    </row>
    <row r="7" spans="1:59" ht="18" customHeight="1" x14ac:dyDescent="0.35">
      <c r="A7" s="241"/>
      <c r="B7" s="256"/>
      <c r="C7" s="272" t="s">
        <v>81</v>
      </c>
      <c r="D7" s="218"/>
      <c r="E7" s="273">
        <v>31.24</v>
      </c>
      <c r="F7" s="274">
        <v>0.89145254527293505</v>
      </c>
      <c r="G7" s="274">
        <v>2.0150929778484632E-2</v>
      </c>
      <c r="H7" s="275">
        <f ca="1">Depreciation*VLOOKUP(OFFSET($C7,-(MATCH($C7,EL_List,0)+1),0),Markups!$C$1:$E$39,3,FALSE)</f>
        <v>5.0750000000000003E-2</v>
      </c>
      <c r="I7" s="275">
        <f ca="1">1-SUM(F7:H7)</f>
        <v>3.764652494858034E-2</v>
      </c>
      <c r="J7" s="220"/>
      <c r="K7" s="241"/>
      <c r="L7" s="241"/>
    </row>
    <row r="8" spans="1:59" ht="18" customHeight="1" x14ac:dyDescent="0.35">
      <c r="A8" s="241"/>
      <c r="B8" s="256"/>
      <c r="C8" s="272" t="s">
        <v>86</v>
      </c>
      <c r="D8" s="218"/>
      <c r="E8" s="273">
        <v>32.25</v>
      </c>
      <c r="F8" s="274">
        <v>0.89197212485568211</v>
      </c>
      <c r="G8" s="274">
        <v>2.3398692292613453E-2</v>
      </c>
      <c r="H8" s="275">
        <f ca="1">Depreciation*VLOOKUP(OFFSET($C8,-(MATCH($C8,EL_List,0)+1),0),Markups!$C$1:$E$39,3,FALSE)</f>
        <v>5.0750000000000003E-2</v>
      </c>
      <c r="I8" s="275">
        <f t="shared" ref="I8" ca="1" si="0">1-SUM(F8:H8)</f>
        <v>3.3879182851704437E-2</v>
      </c>
      <c r="J8" s="220"/>
      <c r="K8" s="241"/>
      <c r="L8" s="241"/>
    </row>
    <row r="9" spans="1:59" ht="18" customHeight="1" x14ac:dyDescent="0.35">
      <c r="A9" s="241"/>
      <c r="B9" s="256"/>
      <c r="C9" s="272" t="s">
        <v>344</v>
      </c>
      <c r="D9" s="218"/>
      <c r="E9" s="273">
        <v>33.39</v>
      </c>
      <c r="F9" s="274">
        <v>0.91452611371604708</v>
      </c>
      <c r="G9" s="274">
        <v>1.5370491508742123E-2</v>
      </c>
      <c r="H9" s="275">
        <f ca="1">Depreciation*VLOOKUP(OFFSET($C9,-(MATCH($C9,EL_List,0)+1),0),Markups!$C$1:$E$39,3,FALSE)</f>
        <v>5.0750000000000003E-2</v>
      </c>
      <c r="I9" s="275">
        <f t="shared" ref="I9" ca="1" si="1">1-SUM(F9:H9)</f>
        <v>1.9353394775210808E-2</v>
      </c>
      <c r="J9" s="220"/>
      <c r="K9" s="241"/>
      <c r="L9" s="241"/>
    </row>
    <row r="10" spans="1:59" ht="18" customHeight="1" x14ac:dyDescent="0.35">
      <c r="A10" s="241"/>
      <c r="B10" s="256"/>
      <c r="C10" s="272" t="s">
        <v>343</v>
      </c>
      <c r="D10" s="218"/>
      <c r="E10" s="273">
        <v>39.270000000000003</v>
      </c>
      <c r="F10" s="274">
        <v>0.90909900073508509</v>
      </c>
      <c r="G10" s="274">
        <v>2.0709010665327033E-2</v>
      </c>
      <c r="H10" s="275">
        <f ca="1">Depreciation*VLOOKUP(OFFSET($C10,-(MATCH($C10,EL_List,0)+1),0),Markups!$C$1:$E$39,3,FALSE)</f>
        <v>5.0750000000000003E-2</v>
      </c>
      <c r="I10" s="275">
        <f t="shared" ref="I10" ca="1" si="2">1-SUM(F10:H10)</f>
        <v>1.94419885995879E-2</v>
      </c>
      <c r="J10" s="220"/>
      <c r="K10" s="241"/>
      <c r="L10" s="241"/>
    </row>
    <row r="11" spans="1:59" ht="18" customHeight="1" x14ac:dyDescent="0.35">
      <c r="A11" s="241"/>
      <c r="B11" s="256"/>
      <c r="C11" s="272" t="s">
        <v>342</v>
      </c>
      <c r="D11" s="218"/>
      <c r="E11" s="273">
        <v>44.06</v>
      </c>
      <c r="F11" s="274">
        <v>0.9105126058187647</v>
      </c>
      <c r="G11" s="274">
        <v>1.9390190029327552E-2</v>
      </c>
      <c r="H11" s="275">
        <f ca="1">Depreciation*VLOOKUP(OFFSET($C11,-(MATCH($C11,EL_List,0)+1),0),Markups!$C$1:$E$39,3,FALSE)</f>
        <v>5.0750000000000003E-2</v>
      </c>
      <c r="I11" s="275">
        <f t="shared" ref="I11" ca="1" si="3">1-SUM(F11:H11)</f>
        <v>1.9347204151907826E-2</v>
      </c>
      <c r="J11" s="220"/>
      <c r="K11" s="241"/>
      <c r="L11" s="241"/>
    </row>
    <row r="12" spans="1:59" ht="18" customHeight="1" thickBot="1" x14ac:dyDescent="0.4">
      <c r="B12" s="263"/>
      <c r="C12" s="236"/>
      <c r="D12" s="236"/>
      <c r="E12" s="236"/>
      <c r="F12" s="236"/>
      <c r="G12" s="236"/>
      <c r="H12" s="236"/>
      <c r="I12" s="236"/>
      <c r="J12" s="237"/>
    </row>
    <row r="13" spans="1:59" s="241" customFormat="1" ht="18" customHeight="1" thickBot="1" x14ac:dyDescent="0.4">
      <c r="B13" s="50"/>
      <c r="C13" s="50"/>
      <c r="D13" s="50"/>
      <c r="E13" s="50"/>
      <c r="M13" s="18"/>
      <c r="N13" s="18"/>
      <c r="O13" s="18"/>
      <c r="P13" s="18"/>
      <c r="Q13" s="18"/>
      <c r="R13" s="18"/>
      <c r="S13" s="18"/>
      <c r="U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row>
    <row r="14" spans="1:59" ht="18" customHeight="1" x14ac:dyDescent="0.35">
      <c r="A14" s="241"/>
      <c r="B14" s="255"/>
      <c r="C14" s="268"/>
      <c r="D14" s="209"/>
      <c r="E14" s="268"/>
      <c r="F14" s="268"/>
      <c r="G14" s="268"/>
      <c r="H14" s="268"/>
      <c r="I14" s="268"/>
      <c r="J14" s="210"/>
      <c r="K14" s="241"/>
      <c r="L14" s="241"/>
    </row>
    <row r="15" spans="1:59" ht="18" customHeight="1" x14ac:dyDescent="0.35">
      <c r="A15" s="241"/>
      <c r="B15" s="256"/>
      <c r="C15" s="269" t="s">
        <v>180</v>
      </c>
      <c r="D15" s="218"/>
      <c r="E15" s="270"/>
      <c r="F15" s="270"/>
      <c r="G15" s="270"/>
      <c r="H15" s="270"/>
      <c r="I15" s="270"/>
      <c r="J15" s="220"/>
      <c r="K15" s="241"/>
      <c r="L15" s="241"/>
    </row>
    <row r="16" spans="1:59" ht="18" customHeight="1" x14ac:dyDescent="0.35">
      <c r="A16" s="241"/>
      <c r="B16" s="256"/>
      <c r="C16" s="269" t="str">
        <f>VLOOKUP(C15,PC_Table,2,FALSE)</f>
        <v>100 ≤ PM2.5 CADR &lt; 150</v>
      </c>
      <c r="D16" s="218"/>
      <c r="E16" s="245" t="s">
        <v>91</v>
      </c>
      <c r="F16" s="271" t="s">
        <v>59</v>
      </c>
      <c r="G16" s="271" t="s">
        <v>12</v>
      </c>
      <c r="H16" s="271" t="s">
        <v>8</v>
      </c>
      <c r="I16" s="271" t="s">
        <v>13</v>
      </c>
      <c r="J16" s="220"/>
      <c r="K16" s="241"/>
      <c r="L16" s="241"/>
    </row>
    <row r="17" spans="1:59" ht="18" customHeight="1" x14ac:dyDescent="0.35">
      <c r="A17" s="241"/>
      <c r="B17" s="256"/>
      <c r="C17" s="272" t="s">
        <v>81</v>
      </c>
      <c r="D17" s="218"/>
      <c r="E17" s="273">
        <v>42.97</v>
      </c>
      <c r="F17" s="274">
        <v>0.88847874431823104</v>
      </c>
      <c r="G17" s="274">
        <v>2.3669738800122905E-2</v>
      </c>
      <c r="H17" s="275">
        <f ca="1">Depreciation*VLOOKUP(OFFSET($C17,-(MATCH($C17,EL_List,0)+1),0),Markups!$C$1:$E$39,3,FALSE)</f>
        <v>5.0750000000000003E-2</v>
      </c>
      <c r="I17" s="275">
        <f ca="1">1-SUM(F17:H17)</f>
        <v>3.7101516881646091E-2</v>
      </c>
      <c r="J17" s="220"/>
      <c r="K17" s="241"/>
      <c r="L17" s="241"/>
    </row>
    <row r="18" spans="1:59" ht="18" customHeight="1" x14ac:dyDescent="0.35">
      <c r="A18" s="241"/>
      <c r="B18" s="256"/>
      <c r="C18" s="272" t="s">
        <v>86</v>
      </c>
      <c r="D18" s="218"/>
      <c r="E18" s="273">
        <v>44.26</v>
      </c>
      <c r="F18" s="274">
        <v>0.90322788193712877</v>
      </c>
      <c r="G18" s="274">
        <v>2.0279135067091017E-2</v>
      </c>
      <c r="H18" s="275">
        <f ca="1">Depreciation*VLOOKUP(OFFSET($C18,-(MATCH($C18,EL_List,0)+1),0),Markups!$C$1:$E$39,3,FALSE)</f>
        <v>5.0750000000000003E-2</v>
      </c>
      <c r="I18" s="275">
        <f t="shared" ref="I18" ca="1" si="4">1-SUM(F18:H18)</f>
        <v>2.5742982995780261E-2</v>
      </c>
      <c r="J18" s="220"/>
      <c r="K18" s="241"/>
      <c r="L18" s="241"/>
    </row>
    <row r="19" spans="1:59" ht="18" customHeight="1" x14ac:dyDescent="0.35">
      <c r="A19" s="241"/>
      <c r="B19" s="256"/>
      <c r="C19" s="272" t="s">
        <v>344</v>
      </c>
      <c r="D19" s="218"/>
      <c r="E19" s="273">
        <v>45.62</v>
      </c>
      <c r="F19" s="274">
        <v>0.90071363500134782</v>
      </c>
      <c r="G19" s="274">
        <v>1.9175170964851763E-2</v>
      </c>
      <c r="H19" s="275">
        <f ca="1">Depreciation*VLOOKUP(OFFSET($C19,-(MATCH($C19,EL_List,0)+1),0),Markups!$C$1:$E$39,3,FALSE)</f>
        <v>5.0750000000000003E-2</v>
      </c>
      <c r="I19" s="275">
        <f t="shared" ref="I19" ca="1" si="5">1-SUM(F19:H19)</f>
        <v>2.9361194033800442E-2</v>
      </c>
      <c r="J19" s="220"/>
      <c r="K19" s="241"/>
      <c r="L19" s="241"/>
    </row>
    <row r="20" spans="1:59" ht="18" customHeight="1" x14ac:dyDescent="0.35">
      <c r="A20" s="241"/>
      <c r="B20" s="256"/>
      <c r="C20" s="272" t="s">
        <v>343</v>
      </c>
      <c r="D20" s="218"/>
      <c r="E20" s="273">
        <v>50.45</v>
      </c>
      <c r="F20" s="274">
        <v>0.90156075266560642</v>
      </c>
      <c r="G20" s="274">
        <v>2.2497701832506337E-2</v>
      </c>
      <c r="H20" s="275">
        <f ca="1">Depreciation*VLOOKUP(OFFSET($C20,-(MATCH($C20,EL_List,0)+1),0),Markups!$C$1:$E$39,3,FALSE)</f>
        <v>5.0750000000000003E-2</v>
      </c>
      <c r="I20" s="275">
        <f t="shared" ref="I20" ca="1" si="6">1-SUM(F20:H20)</f>
        <v>2.5191545501887291E-2</v>
      </c>
      <c r="J20" s="220"/>
      <c r="K20" s="241"/>
      <c r="L20" s="241"/>
    </row>
    <row r="21" spans="1:59" ht="18" customHeight="1" x14ac:dyDescent="0.35">
      <c r="A21" s="241"/>
      <c r="B21" s="256"/>
      <c r="C21" s="272" t="s">
        <v>342</v>
      </c>
      <c r="D21" s="218"/>
      <c r="E21" s="273">
        <v>55.55</v>
      </c>
      <c r="F21" s="274">
        <v>0.89500738264992907</v>
      </c>
      <c r="G21" s="274">
        <v>2.3437519544308921E-2</v>
      </c>
      <c r="H21" s="275">
        <f ca="1">Depreciation*VLOOKUP(OFFSET($C21,-(MATCH($C21,EL_List,0)+1),0),Markups!$C$1:$E$39,3,FALSE)</f>
        <v>5.0750000000000003E-2</v>
      </c>
      <c r="I21" s="275">
        <f t="shared" ref="I21" ca="1" si="7">1-SUM(F21:H21)</f>
        <v>3.0805097805762016E-2</v>
      </c>
      <c r="J21" s="220"/>
      <c r="K21" s="241"/>
      <c r="L21" s="241"/>
    </row>
    <row r="22" spans="1:59" ht="18" customHeight="1" thickBot="1" x14ac:dyDescent="0.4">
      <c r="B22" s="263"/>
      <c r="C22" s="236"/>
      <c r="D22" s="236"/>
      <c r="E22" s="236"/>
      <c r="F22" s="236"/>
      <c r="G22" s="236"/>
      <c r="H22" s="236"/>
      <c r="I22" s="236"/>
      <c r="J22" s="237"/>
    </row>
    <row r="23" spans="1:59" s="241" customFormat="1" ht="18" customHeight="1" thickBot="1" x14ac:dyDescent="0.4">
      <c r="B23" s="50"/>
      <c r="C23" s="50"/>
      <c r="D23" s="50"/>
      <c r="E23" s="50"/>
      <c r="M23" s="18"/>
      <c r="N23" s="18"/>
      <c r="O23" s="18"/>
      <c r="P23" s="18"/>
      <c r="Q23" s="18"/>
      <c r="R23" s="18"/>
      <c r="S23" s="18"/>
      <c r="U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row>
    <row r="24" spans="1:59" ht="18" customHeight="1" x14ac:dyDescent="0.35">
      <c r="A24" s="241"/>
      <c r="B24" s="255"/>
      <c r="C24" s="268"/>
      <c r="D24" s="209"/>
      <c r="E24" s="268"/>
      <c r="F24" s="268"/>
      <c r="G24" s="268"/>
      <c r="H24" s="268"/>
      <c r="I24" s="268"/>
      <c r="J24" s="210"/>
      <c r="K24" s="241"/>
      <c r="L24" s="241"/>
    </row>
    <row r="25" spans="1:59" ht="18" customHeight="1" x14ac:dyDescent="0.35">
      <c r="A25" s="241"/>
      <c r="B25" s="256"/>
      <c r="C25" s="269" t="s">
        <v>181</v>
      </c>
      <c r="D25" s="218"/>
      <c r="E25" s="270"/>
      <c r="F25" s="270"/>
      <c r="G25" s="270"/>
      <c r="H25" s="270"/>
      <c r="I25" s="270"/>
      <c r="J25" s="220"/>
      <c r="K25" s="241"/>
      <c r="L25" s="241"/>
    </row>
    <row r="26" spans="1:59" ht="18" customHeight="1" x14ac:dyDescent="0.35">
      <c r="A26" s="241"/>
      <c r="B26" s="256"/>
      <c r="C26" s="269" t="str">
        <f>VLOOKUP(C25,PC_Table,2,FALSE)</f>
        <v>PM2.5 CADR ≥ 150</v>
      </c>
      <c r="D26" s="218"/>
      <c r="E26" s="245" t="s">
        <v>91</v>
      </c>
      <c r="F26" s="271" t="s">
        <v>59</v>
      </c>
      <c r="G26" s="271" t="s">
        <v>12</v>
      </c>
      <c r="H26" s="271" t="s">
        <v>8</v>
      </c>
      <c r="I26" s="271" t="s">
        <v>13</v>
      </c>
      <c r="J26" s="220"/>
      <c r="K26" s="241"/>
      <c r="L26" s="241"/>
    </row>
    <row r="27" spans="1:59" ht="18" customHeight="1" x14ac:dyDescent="0.35">
      <c r="A27" s="241"/>
      <c r="B27" s="256"/>
      <c r="C27" s="272" t="s">
        <v>81</v>
      </c>
      <c r="D27" s="218"/>
      <c r="E27" s="273">
        <v>70.5</v>
      </c>
      <c r="F27" s="274">
        <v>0.89412926731747777</v>
      </c>
      <c r="G27" s="274">
        <v>2.1420429989834698E-2</v>
      </c>
      <c r="H27" s="275">
        <f ca="1">Depreciation*VLOOKUP(OFFSET($C27,-(MATCH($C27,EL_List,0)+1),0),Markups!$C$1:$E$39,3,FALSE)</f>
        <v>5.0750000000000003E-2</v>
      </c>
      <c r="I27" s="275">
        <f ca="1">1-SUM(F27:H27)</f>
        <v>3.3700302692687534E-2</v>
      </c>
      <c r="J27" s="220"/>
      <c r="K27" s="241"/>
      <c r="L27" s="241"/>
    </row>
    <row r="28" spans="1:59" ht="18" customHeight="1" x14ac:dyDescent="0.35">
      <c r="A28" s="241"/>
      <c r="B28" s="256"/>
      <c r="C28" s="272" t="s">
        <v>86</v>
      </c>
      <c r="D28" s="218"/>
      <c r="E28" s="273">
        <v>71.66</v>
      </c>
      <c r="F28" s="274">
        <v>0.90026368949923008</v>
      </c>
      <c r="G28" s="274">
        <v>1.84406121357873E-2</v>
      </c>
      <c r="H28" s="275">
        <f ca="1">Depreciation*VLOOKUP(OFFSET($C28,-(MATCH($C28,EL_List,0)+1),0),Markups!$C$1:$E$39,3,FALSE)</f>
        <v>5.0750000000000003E-2</v>
      </c>
      <c r="I28" s="275">
        <f t="shared" ref="I28" ca="1" si="8">1-SUM(F28:H28)</f>
        <v>3.0545698364982665E-2</v>
      </c>
      <c r="J28" s="220"/>
      <c r="K28" s="241"/>
      <c r="L28" s="241"/>
    </row>
    <row r="29" spans="1:59" ht="18" customHeight="1" x14ac:dyDescent="0.35">
      <c r="A29" s="241"/>
      <c r="B29" s="256"/>
      <c r="C29" s="272" t="s">
        <v>344</v>
      </c>
      <c r="D29" s="218"/>
      <c r="E29" s="273">
        <v>72.5</v>
      </c>
      <c r="F29" s="274">
        <v>0.8984639895232045</v>
      </c>
      <c r="G29" s="274">
        <v>2.0427561246566937E-2</v>
      </c>
      <c r="H29" s="275">
        <f ca="1">Depreciation*VLOOKUP(OFFSET($C29,-(MATCH($C29,EL_List,0)+1),0),Markups!$C$1:$E$39,3,FALSE)</f>
        <v>5.0750000000000003E-2</v>
      </c>
      <c r="I29" s="275">
        <f t="shared" ref="I29" ca="1" si="9">1-SUM(F29:H29)</f>
        <v>3.0358449230228568E-2</v>
      </c>
      <c r="J29" s="220"/>
      <c r="K29" s="241"/>
      <c r="L29" s="241"/>
    </row>
    <row r="30" spans="1:59" ht="18" customHeight="1" x14ac:dyDescent="0.35">
      <c r="A30" s="241"/>
      <c r="B30" s="256"/>
      <c r="C30" s="272" t="s">
        <v>343</v>
      </c>
      <c r="D30" s="218"/>
      <c r="E30" s="273">
        <v>74.33</v>
      </c>
      <c r="F30" s="274">
        <v>0.88604118844080271</v>
      </c>
      <c r="G30" s="274">
        <v>3.1905429388803086E-2</v>
      </c>
      <c r="H30" s="275">
        <f ca="1">Depreciation*VLOOKUP(OFFSET($C30,-(MATCH($C30,EL_List,0)+1),0),Markups!$C$1:$E$39,3,FALSE)</f>
        <v>5.0750000000000003E-2</v>
      </c>
      <c r="I30" s="275">
        <f t="shared" ref="I30" ca="1" si="10">1-SUM(F30:H30)</f>
        <v>3.1303382170394189E-2</v>
      </c>
      <c r="J30" s="220"/>
      <c r="K30" s="241"/>
      <c r="L30" s="241"/>
    </row>
    <row r="31" spans="1:59" ht="18" customHeight="1" x14ac:dyDescent="0.35">
      <c r="A31" s="241"/>
      <c r="B31" s="256"/>
      <c r="C31" s="272" t="s">
        <v>342</v>
      </c>
      <c r="D31" s="218"/>
      <c r="E31" s="273">
        <v>74.61</v>
      </c>
      <c r="F31" s="274">
        <v>0.88798499297788891</v>
      </c>
      <c r="G31" s="274">
        <v>3.1027795584230286E-2</v>
      </c>
      <c r="H31" s="275">
        <f ca="1">Depreciation*VLOOKUP(OFFSET($C31,-(MATCH($C31,EL_List,0)+1),0),Markups!$C$1:$E$39,3,FALSE)</f>
        <v>5.0750000000000003E-2</v>
      </c>
      <c r="I31" s="275">
        <f t="shared" ref="I31" ca="1" si="11">1-SUM(F31:H31)</f>
        <v>3.0237211437880829E-2</v>
      </c>
      <c r="J31" s="220"/>
      <c r="K31" s="241"/>
      <c r="L31" s="241"/>
    </row>
    <row r="32" spans="1:59" ht="18" customHeight="1" thickBot="1" x14ac:dyDescent="0.4">
      <c r="B32" s="263"/>
      <c r="C32" s="236"/>
      <c r="D32" s="236"/>
      <c r="E32" s="236"/>
      <c r="F32" s="236"/>
      <c r="G32" s="236"/>
      <c r="H32" s="236"/>
      <c r="I32" s="236"/>
      <c r="J32" s="237"/>
    </row>
    <row r="33" spans="2:59" s="241" customFormat="1" ht="18" customHeight="1" x14ac:dyDescent="0.35">
      <c r="B33" s="50"/>
      <c r="C33" s="50"/>
      <c r="D33" s="50"/>
      <c r="E33" s="50"/>
      <c r="M33" s="18"/>
      <c r="N33" s="18"/>
      <c r="O33" s="18"/>
      <c r="P33" s="18"/>
      <c r="Q33" s="18"/>
      <c r="R33" s="18"/>
      <c r="S33" s="18"/>
      <c r="U33" s="18"/>
      <c r="AG33" s="18"/>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18"/>
    </row>
    <row r="34" spans="2:59" ht="18" customHeight="1" x14ac:dyDescent="0.35"/>
    <row r="35" spans="2:59" ht="18" customHeight="1" x14ac:dyDescent="0.35"/>
    <row r="36" spans="2:59" ht="18" customHeight="1" x14ac:dyDescent="0.35"/>
    <row r="37" spans="2:59" ht="18" customHeight="1" x14ac:dyDescent="0.35"/>
    <row r="38" spans="2:59" ht="18" customHeight="1" x14ac:dyDescent="0.35"/>
    <row r="39" spans="2:59" ht="18" customHeight="1" x14ac:dyDescent="0.35"/>
    <row r="40" spans="2:59" ht="18" customHeight="1" x14ac:dyDescent="0.35"/>
    <row r="41" spans="2:59" ht="18" customHeight="1" x14ac:dyDescent="0.35"/>
    <row r="42" spans="2:59" ht="18" customHeight="1" x14ac:dyDescent="0.35"/>
    <row r="43" spans="2:59" ht="18" customHeight="1" x14ac:dyDescent="0.35"/>
    <row r="44" spans="2:59" ht="18" customHeight="1" x14ac:dyDescent="0.35"/>
    <row r="45" spans="2:59" ht="18" customHeight="1" x14ac:dyDescent="0.35"/>
    <row r="46" spans="2:59" ht="18" customHeight="1" x14ac:dyDescent="0.35"/>
    <row r="47" spans="2:59" ht="18" customHeight="1" x14ac:dyDescent="0.35"/>
    <row r="48" spans="2:59" ht="18" customHeight="1" x14ac:dyDescent="0.35"/>
    <row r="49" ht="18" customHeight="1" x14ac:dyDescent="0.35"/>
    <row r="50" ht="18" customHeight="1" x14ac:dyDescent="0.35"/>
    <row r="51" ht="18" customHeight="1" x14ac:dyDescent="0.35"/>
    <row r="52" ht="18" customHeight="1" x14ac:dyDescent="0.35"/>
    <row r="53" ht="18" customHeight="1" x14ac:dyDescent="0.35"/>
    <row r="54" ht="18" customHeight="1" x14ac:dyDescent="0.35"/>
    <row r="55" ht="18" customHeight="1" x14ac:dyDescent="0.35"/>
    <row r="56" ht="18" customHeight="1" x14ac:dyDescent="0.35"/>
    <row r="57" ht="18" customHeight="1" x14ac:dyDescent="0.35"/>
    <row r="58" ht="18" customHeight="1" x14ac:dyDescent="0.35"/>
    <row r="59" ht="18" customHeight="1" x14ac:dyDescent="0.35"/>
    <row r="60" ht="18" customHeight="1" x14ac:dyDescent="0.35"/>
    <row r="61" ht="18" customHeight="1" x14ac:dyDescent="0.35"/>
    <row r="62" ht="18" customHeight="1" x14ac:dyDescent="0.35"/>
    <row r="63" ht="18" customHeight="1" x14ac:dyDescent="0.35"/>
    <row r="64" ht="18" customHeight="1" x14ac:dyDescent="0.35"/>
    <row r="65" ht="18" customHeight="1" x14ac:dyDescent="0.35"/>
    <row r="66" ht="18" customHeight="1" x14ac:dyDescent="0.35"/>
    <row r="67" ht="18" customHeight="1" x14ac:dyDescent="0.35"/>
    <row r="68" ht="18" customHeight="1" x14ac:dyDescent="0.35"/>
    <row r="69" ht="18" customHeight="1" x14ac:dyDescent="0.35"/>
    <row r="70" ht="18" customHeight="1" x14ac:dyDescent="0.35"/>
    <row r="71" ht="18" customHeight="1" x14ac:dyDescent="0.35"/>
    <row r="72" ht="18" customHeight="1" x14ac:dyDescent="0.35"/>
    <row r="73" ht="18" customHeight="1" x14ac:dyDescent="0.35"/>
    <row r="74" ht="18" customHeight="1" x14ac:dyDescent="0.35"/>
    <row r="75" ht="18" customHeight="1" x14ac:dyDescent="0.35"/>
    <row r="76" ht="18" customHeight="1" x14ac:dyDescent="0.35"/>
    <row r="77" ht="18" customHeight="1" x14ac:dyDescent="0.35"/>
    <row r="78" ht="18" customHeight="1" x14ac:dyDescent="0.35"/>
    <row r="79" ht="18" customHeight="1" x14ac:dyDescent="0.35"/>
    <row r="80" ht="18" customHeight="1" x14ac:dyDescent="0.35"/>
    <row r="81" ht="18" customHeight="1" x14ac:dyDescent="0.35"/>
    <row r="82" ht="18" customHeight="1" x14ac:dyDescent="0.35"/>
    <row r="83" ht="18" customHeight="1" x14ac:dyDescent="0.35"/>
    <row r="84" ht="18" customHeight="1" x14ac:dyDescent="0.35"/>
    <row r="85" ht="18" customHeight="1" x14ac:dyDescent="0.35"/>
    <row r="86" ht="18" customHeight="1" x14ac:dyDescent="0.35"/>
    <row r="87" ht="18" customHeight="1" x14ac:dyDescent="0.35"/>
    <row r="88" ht="18" customHeight="1" x14ac:dyDescent="0.35"/>
    <row r="89" ht="18" customHeight="1" x14ac:dyDescent="0.35"/>
    <row r="90" ht="18" customHeight="1" x14ac:dyDescent="0.35"/>
    <row r="91" ht="18" customHeight="1" x14ac:dyDescent="0.35"/>
    <row r="92" ht="18" customHeight="1" x14ac:dyDescent="0.35"/>
    <row r="93" ht="18" customHeight="1" x14ac:dyDescent="0.35"/>
    <row r="94" ht="18" customHeight="1" x14ac:dyDescent="0.35"/>
    <row r="95" ht="18" customHeight="1" x14ac:dyDescent="0.35"/>
    <row r="96" ht="18" customHeight="1" x14ac:dyDescent="0.35"/>
    <row r="97" ht="18" customHeight="1" x14ac:dyDescent="0.35"/>
    <row r="98" ht="18" customHeight="1" x14ac:dyDescent="0.35"/>
    <row r="99" ht="18" customHeight="1" x14ac:dyDescent="0.35"/>
    <row r="100" ht="18" customHeight="1" x14ac:dyDescent="0.35"/>
    <row r="101" ht="18" customHeight="1" x14ac:dyDescent="0.35"/>
    <row r="102" ht="18" customHeight="1" x14ac:dyDescent="0.35"/>
    <row r="103" ht="18" customHeight="1" x14ac:dyDescent="0.35"/>
    <row r="104" ht="18" customHeight="1" x14ac:dyDescent="0.35"/>
    <row r="105" ht="18" customHeight="1" x14ac:dyDescent="0.35"/>
    <row r="106" ht="18" customHeight="1" x14ac:dyDescent="0.35"/>
    <row r="107" ht="18" customHeight="1" x14ac:dyDescent="0.35"/>
    <row r="108" ht="18" customHeight="1" x14ac:dyDescent="0.35"/>
    <row r="109" ht="18" customHeight="1" x14ac:dyDescent="0.35"/>
    <row r="110" ht="18" customHeight="1" x14ac:dyDescent="0.35"/>
    <row r="111" ht="18" customHeight="1" x14ac:dyDescent="0.35"/>
    <row r="112" ht="18" customHeight="1" x14ac:dyDescent="0.35"/>
    <row r="113" ht="18" customHeight="1" x14ac:dyDescent="0.35"/>
    <row r="114" ht="18" customHeight="1" x14ac:dyDescent="0.35"/>
    <row r="115" ht="18" customHeight="1" x14ac:dyDescent="0.35"/>
    <row r="116" ht="18" customHeight="1" x14ac:dyDescent="0.35"/>
    <row r="117" ht="18" customHeight="1" x14ac:dyDescent="0.35"/>
    <row r="118" ht="18" customHeight="1" x14ac:dyDescent="0.35"/>
    <row r="119" ht="18" customHeight="1" x14ac:dyDescent="0.35"/>
    <row r="120" ht="18" customHeight="1" x14ac:dyDescent="0.35"/>
    <row r="121" ht="18" customHeight="1" x14ac:dyDescent="0.35"/>
    <row r="122" ht="18" customHeight="1" x14ac:dyDescent="0.35"/>
    <row r="123" ht="18" customHeight="1" x14ac:dyDescent="0.35"/>
    <row r="124" ht="18" customHeight="1" x14ac:dyDescent="0.35"/>
    <row r="125" ht="18" customHeight="1" x14ac:dyDescent="0.35"/>
    <row r="126" ht="18" customHeight="1" x14ac:dyDescent="0.35"/>
    <row r="127" ht="18" customHeight="1" x14ac:dyDescent="0.35"/>
    <row r="128" ht="18" customHeight="1" x14ac:dyDescent="0.35"/>
    <row r="129" ht="18" customHeight="1" x14ac:dyDescent="0.35"/>
    <row r="130" ht="18" customHeight="1" x14ac:dyDescent="0.35"/>
    <row r="131" ht="18" customHeight="1" x14ac:dyDescent="0.35"/>
    <row r="132" ht="18" customHeight="1" x14ac:dyDescent="0.35"/>
    <row r="133" ht="18" customHeight="1" x14ac:dyDescent="0.35"/>
    <row r="134" ht="18" customHeight="1" x14ac:dyDescent="0.35"/>
    <row r="135" ht="18" customHeight="1" x14ac:dyDescent="0.35"/>
    <row r="136" ht="18" customHeight="1" x14ac:dyDescent="0.35"/>
    <row r="137" ht="18" customHeight="1" x14ac:dyDescent="0.35"/>
    <row r="138" ht="18" customHeight="1" x14ac:dyDescent="0.35"/>
    <row r="139" ht="18" customHeight="1" x14ac:dyDescent="0.35"/>
    <row r="140" ht="18" customHeight="1" x14ac:dyDescent="0.35"/>
    <row r="141" ht="18" customHeight="1" x14ac:dyDescent="0.35"/>
    <row r="142" ht="18" customHeight="1" x14ac:dyDescent="0.35"/>
    <row r="143" ht="18" customHeight="1" x14ac:dyDescent="0.35"/>
    <row r="144" ht="18" customHeight="1" x14ac:dyDescent="0.35"/>
    <row r="145" ht="18" customHeight="1" x14ac:dyDescent="0.35"/>
    <row r="146" ht="18" customHeight="1" x14ac:dyDescent="0.35"/>
    <row r="147" ht="18" customHeight="1" x14ac:dyDescent="0.35"/>
    <row r="148" ht="18" customHeight="1" x14ac:dyDescent="0.35"/>
    <row r="149" ht="18" customHeight="1" x14ac:dyDescent="0.35"/>
    <row r="150" ht="18" customHeight="1" x14ac:dyDescent="0.35"/>
    <row r="151" ht="18" customHeight="1" x14ac:dyDescent="0.35"/>
    <row r="152" ht="18" customHeight="1" x14ac:dyDescent="0.35"/>
    <row r="153" ht="18" customHeight="1" x14ac:dyDescent="0.35"/>
    <row r="154" ht="18" customHeight="1" x14ac:dyDescent="0.35"/>
    <row r="155" ht="18" customHeight="1" x14ac:dyDescent="0.35"/>
    <row r="156" ht="18" customHeight="1" x14ac:dyDescent="0.35"/>
    <row r="157" ht="18" customHeight="1" x14ac:dyDescent="0.35"/>
    <row r="158" ht="18" customHeight="1" x14ac:dyDescent="0.35"/>
    <row r="159" ht="18" customHeight="1" x14ac:dyDescent="0.35"/>
    <row r="160" ht="18" customHeight="1" x14ac:dyDescent="0.35"/>
    <row r="161" ht="18" customHeight="1" x14ac:dyDescent="0.35"/>
    <row r="162" ht="18" customHeight="1" x14ac:dyDescent="0.35"/>
    <row r="163" ht="18" customHeight="1" x14ac:dyDescent="0.35"/>
    <row r="164" ht="18" customHeight="1" x14ac:dyDescent="0.35"/>
    <row r="165" ht="18" customHeight="1" x14ac:dyDescent="0.35"/>
    <row r="166" ht="18" customHeight="1" x14ac:dyDescent="0.35"/>
    <row r="167" ht="18" customHeight="1" x14ac:dyDescent="0.35"/>
    <row r="168" ht="18" customHeight="1" x14ac:dyDescent="0.35"/>
    <row r="169" ht="18" customHeight="1" x14ac:dyDescent="0.35"/>
    <row r="170" ht="18" customHeight="1" x14ac:dyDescent="0.35"/>
    <row r="171" ht="18" customHeight="1" x14ac:dyDescent="0.35"/>
    <row r="172" ht="18" customHeight="1" x14ac:dyDescent="0.35"/>
    <row r="173" ht="18" customHeight="1" x14ac:dyDescent="0.35"/>
    <row r="174" ht="18" customHeight="1" x14ac:dyDescent="0.35"/>
    <row r="175" ht="18" customHeight="1" x14ac:dyDescent="0.35"/>
    <row r="176" ht="18" customHeight="1" x14ac:dyDescent="0.35"/>
    <row r="177" ht="18" customHeight="1" x14ac:dyDescent="0.35"/>
    <row r="178" ht="18" customHeight="1" x14ac:dyDescent="0.35"/>
    <row r="179" ht="18" customHeight="1" x14ac:dyDescent="0.35"/>
    <row r="180" ht="18" customHeight="1" x14ac:dyDescent="0.35"/>
    <row r="181" ht="18" customHeight="1" x14ac:dyDescent="0.35"/>
    <row r="182" ht="18" customHeight="1" x14ac:dyDescent="0.35"/>
    <row r="183" ht="18" customHeight="1" x14ac:dyDescent="0.35"/>
    <row r="184" ht="18" customHeight="1" x14ac:dyDescent="0.35"/>
    <row r="185" ht="18" customHeight="1" x14ac:dyDescent="0.35"/>
    <row r="186" ht="18" customHeight="1" x14ac:dyDescent="0.35"/>
    <row r="187" ht="18" customHeight="1" x14ac:dyDescent="0.35"/>
    <row r="188" ht="18" customHeight="1" x14ac:dyDescent="0.35"/>
    <row r="189" ht="18" customHeight="1" x14ac:dyDescent="0.35"/>
    <row r="190" ht="18" customHeight="1" x14ac:dyDescent="0.35"/>
    <row r="191" ht="18" customHeight="1" x14ac:dyDescent="0.35"/>
    <row r="192" ht="18" customHeight="1" x14ac:dyDescent="0.35"/>
    <row r="193" ht="18" customHeight="1" x14ac:dyDescent="0.35"/>
    <row r="194" ht="18" customHeight="1" x14ac:dyDescent="0.35"/>
    <row r="195" ht="18" customHeight="1" x14ac:dyDescent="0.35"/>
    <row r="196" ht="18" customHeight="1" x14ac:dyDescent="0.35"/>
    <row r="197" ht="18" customHeight="1" x14ac:dyDescent="0.35"/>
    <row r="198" ht="18" customHeight="1" x14ac:dyDescent="0.35"/>
    <row r="199" ht="18" customHeight="1" x14ac:dyDescent="0.35"/>
    <row r="200" ht="18" customHeight="1" x14ac:dyDescent="0.35"/>
    <row r="201" ht="18" customHeight="1" x14ac:dyDescent="0.35"/>
    <row r="202" ht="18" customHeight="1" x14ac:dyDescent="0.35"/>
    <row r="203" ht="18" customHeight="1" x14ac:dyDescent="0.35"/>
    <row r="204" ht="18" customHeight="1" x14ac:dyDescent="0.35"/>
    <row r="205" ht="18" customHeight="1" x14ac:dyDescent="0.35"/>
    <row r="206" ht="18" customHeight="1" x14ac:dyDescent="0.35"/>
    <row r="207" ht="18" customHeight="1" x14ac:dyDescent="0.35"/>
    <row r="208" ht="18" customHeight="1" x14ac:dyDescent="0.35"/>
    <row r="209" ht="18" customHeight="1" x14ac:dyDescent="0.35"/>
    <row r="210" ht="18" customHeight="1" x14ac:dyDescent="0.35"/>
    <row r="211" ht="18" customHeight="1" x14ac:dyDescent="0.35"/>
    <row r="212" ht="18" customHeight="1" x14ac:dyDescent="0.35"/>
    <row r="213" ht="18" customHeight="1" x14ac:dyDescent="0.35"/>
    <row r="214" ht="18" customHeight="1" x14ac:dyDescent="0.35"/>
    <row r="215" ht="18" customHeight="1" x14ac:dyDescent="0.35"/>
    <row r="216" ht="18" customHeight="1" x14ac:dyDescent="0.35"/>
    <row r="217" ht="18" customHeight="1" x14ac:dyDescent="0.35"/>
    <row r="218" ht="18" customHeight="1" x14ac:dyDescent="0.35"/>
    <row r="219" ht="18" customHeight="1" x14ac:dyDescent="0.35"/>
    <row r="220" ht="18" customHeight="1" x14ac:dyDescent="0.35"/>
    <row r="221" ht="18" customHeight="1" x14ac:dyDescent="0.35"/>
    <row r="222" ht="18" customHeight="1" x14ac:dyDescent="0.35"/>
    <row r="223" ht="18" customHeight="1" x14ac:dyDescent="0.35"/>
    <row r="224" ht="18" customHeight="1" x14ac:dyDescent="0.35"/>
    <row r="225" ht="18" customHeight="1" x14ac:dyDescent="0.35"/>
    <row r="226" ht="18" customHeight="1" x14ac:dyDescent="0.35"/>
    <row r="227" ht="18" customHeight="1" x14ac:dyDescent="0.35"/>
    <row r="228" ht="18" customHeight="1" x14ac:dyDescent="0.35"/>
    <row r="229" ht="18" customHeight="1" x14ac:dyDescent="0.35"/>
    <row r="230" ht="18" customHeight="1" x14ac:dyDescent="0.35"/>
    <row r="231" ht="18" customHeight="1" x14ac:dyDescent="0.35"/>
    <row r="232" ht="18" customHeight="1" x14ac:dyDescent="0.35"/>
    <row r="233" ht="18" customHeight="1" x14ac:dyDescent="0.35"/>
    <row r="234" ht="18" customHeight="1" x14ac:dyDescent="0.35"/>
    <row r="235" ht="18" customHeight="1" x14ac:dyDescent="0.35"/>
    <row r="236" ht="18" customHeight="1" x14ac:dyDescent="0.35"/>
    <row r="237" ht="18" customHeight="1" x14ac:dyDescent="0.35"/>
    <row r="238" ht="18" customHeight="1" x14ac:dyDescent="0.35"/>
    <row r="239" ht="18" customHeight="1" x14ac:dyDescent="0.35"/>
    <row r="240" ht="18" customHeight="1" x14ac:dyDescent="0.35"/>
    <row r="241" ht="18" customHeight="1" x14ac:dyDescent="0.35"/>
    <row r="242" ht="18" customHeight="1" x14ac:dyDescent="0.35"/>
    <row r="243" ht="18" customHeight="1" x14ac:dyDescent="0.35"/>
    <row r="244" ht="18" customHeight="1" x14ac:dyDescent="0.35"/>
    <row r="245" ht="18" customHeight="1" x14ac:dyDescent="0.35"/>
    <row r="246" ht="18" customHeight="1" x14ac:dyDescent="0.35"/>
    <row r="247" ht="18" customHeight="1" x14ac:dyDescent="0.35"/>
    <row r="248" ht="18" customHeight="1" x14ac:dyDescent="0.35"/>
    <row r="249" ht="18" customHeight="1" x14ac:dyDescent="0.35"/>
    <row r="250" ht="18" customHeight="1" x14ac:dyDescent="0.35"/>
    <row r="251" ht="18" customHeight="1" x14ac:dyDescent="0.35"/>
    <row r="252" ht="18" customHeight="1" x14ac:dyDescent="0.35"/>
    <row r="253" ht="18" customHeight="1" x14ac:dyDescent="0.35"/>
    <row r="254" ht="18" customHeight="1" x14ac:dyDescent="0.35"/>
    <row r="255" ht="18" customHeight="1" x14ac:dyDescent="0.35"/>
    <row r="256" ht="18" customHeight="1" x14ac:dyDescent="0.35"/>
    <row r="257" ht="18" customHeight="1" x14ac:dyDescent="0.35"/>
    <row r="258" ht="18" customHeight="1" x14ac:dyDescent="0.35"/>
    <row r="259" ht="18" customHeight="1" x14ac:dyDescent="0.35"/>
    <row r="260" ht="18" customHeight="1" x14ac:dyDescent="0.35"/>
    <row r="261" ht="18" customHeight="1" x14ac:dyDescent="0.35"/>
    <row r="262" ht="18" customHeight="1" x14ac:dyDescent="0.35"/>
    <row r="263" ht="18" customHeight="1" x14ac:dyDescent="0.35"/>
    <row r="264" ht="18" customHeight="1" x14ac:dyDescent="0.35"/>
    <row r="265" ht="18" customHeight="1" x14ac:dyDescent="0.35"/>
    <row r="266" ht="18" customHeight="1" x14ac:dyDescent="0.35"/>
    <row r="267" ht="18" customHeight="1" x14ac:dyDescent="0.35"/>
    <row r="268" ht="18" customHeight="1" x14ac:dyDescent="0.35"/>
    <row r="269" ht="18" customHeight="1" x14ac:dyDescent="0.35"/>
    <row r="270" ht="18" customHeight="1" x14ac:dyDescent="0.35"/>
    <row r="271" ht="18" customHeight="1" x14ac:dyDescent="0.35"/>
    <row r="272" ht="18" customHeight="1" x14ac:dyDescent="0.35"/>
    <row r="273" ht="18" customHeight="1" x14ac:dyDescent="0.35"/>
    <row r="274" ht="18" customHeight="1" x14ac:dyDescent="0.35"/>
    <row r="275" ht="18" customHeight="1" x14ac:dyDescent="0.35"/>
    <row r="276" ht="18" customHeight="1" x14ac:dyDescent="0.35"/>
    <row r="277" ht="18" customHeight="1" x14ac:dyDescent="0.35"/>
    <row r="278" ht="18" customHeight="1" x14ac:dyDescent="0.35"/>
    <row r="279" ht="18" customHeight="1" x14ac:dyDescent="0.35"/>
    <row r="280" ht="18" customHeight="1" x14ac:dyDescent="0.35"/>
    <row r="281" ht="18" customHeight="1" x14ac:dyDescent="0.35"/>
    <row r="282" ht="18" customHeight="1" x14ac:dyDescent="0.35"/>
    <row r="283" ht="18" customHeight="1" x14ac:dyDescent="0.35"/>
    <row r="284" ht="18" customHeight="1" x14ac:dyDescent="0.35"/>
    <row r="285" ht="18" customHeight="1" x14ac:dyDescent="0.35"/>
    <row r="286" ht="18" customHeight="1" x14ac:dyDescent="0.35"/>
    <row r="287" ht="18" customHeight="1" x14ac:dyDescent="0.35"/>
    <row r="288" ht="18" customHeight="1" x14ac:dyDescent="0.35"/>
    <row r="289" ht="18" customHeight="1" x14ac:dyDescent="0.35"/>
    <row r="290" ht="18" customHeight="1" x14ac:dyDescent="0.35"/>
    <row r="291" ht="18" customHeight="1" x14ac:dyDescent="0.35"/>
    <row r="292" ht="18" customHeight="1" x14ac:dyDescent="0.35"/>
    <row r="293" ht="18" customHeight="1" x14ac:dyDescent="0.35"/>
    <row r="294" ht="18" customHeight="1" x14ac:dyDescent="0.35"/>
    <row r="295" ht="18" customHeight="1" x14ac:dyDescent="0.35"/>
    <row r="296" ht="18" customHeight="1" x14ac:dyDescent="0.35"/>
    <row r="297" ht="18" customHeight="1" x14ac:dyDescent="0.35"/>
    <row r="298" ht="18" customHeight="1" x14ac:dyDescent="0.35"/>
    <row r="299" ht="18" customHeight="1" x14ac:dyDescent="0.35"/>
    <row r="300" ht="18" customHeight="1" x14ac:dyDescent="0.35"/>
    <row r="301" ht="18" customHeight="1" x14ac:dyDescent="0.35"/>
    <row r="302" ht="18" customHeight="1" x14ac:dyDescent="0.35"/>
    <row r="303" ht="18" customHeight="1" x14ac:dyDescent="0.35"/>
    <row r="304" ht="18" customHeight="1" x14ac:dyDescent="0.35"/>
    <row r="305" ht="18" customHeight="1" x14ac:dyDescent="0.35"/>
    <row r="306" ht="18" customHeight="1" x14ac:dyDescent="0.35"/>
    <row r="307" ht="18" customHeight="1" x14ac:dyDescent="0.35"/>
    <row r="308" ht="18" customHeight="1" x14ac:dyDescent="0.35"/>
    <row r="309" ht="18" customHeight="1" x14ac:dyDescent="0.35"/>
    <row r="310" ht="18" customHeight="1" x14ac:dyDescent="0.35"/>
    <row r="311" ht="18" customHeight="1" x14ac:dyDescent="0.35"/>
    <row r="312" ht="18" customHeight="1" x14ac:dyDescent="0.35"/>
    <row r="313" ht="18" customHeight="1" x14ac:dyDescent="0.35"/>
    <row r="314" ht="18" customHeight="1" x14ac:dyDescent="0.35"/>
    <row r="315" ht="18" customHeight="1" x14ac:dyDescent="0.35"/>
    <row r="316" ht="18" customHeight="1" x14ac:dyDescent="0.35"/>
    <row r="317" ht="18" customHeight="1" x14ac:dyDescent="0.35"/>
    <row r="318" ht="18" customHeight="1" x14ac:dyDescent="0.35"/>
    <row r="319" ht="18" customHeight="1" x14ac:dyDescent="0.35"/>
    <row r="320" ht="18" customHeight="1" x14ac:dyDescent="0.35"/>
    <row r="321" ht="18" customHeight="1" x14ac:dyDescent="0.35"/>
    <row r="322" ht="18" customHeight="1" x14ac:dyDescent="0.35"/>
    <row r="323" ht="18" customHeight="1" x14ac:dyDescent="0.35"/>
    <row r="324" ht="18" customHeight="1" x14ac:dyDescent="0.35"/>
    <row r="325" ht="18" customHeight="1" x14ac:dyDescent="0.35"/>
    <row r="326" ht="18" customHeight="1" x14ac:dyDescent="0.35"/>
    <row r="327" ht="18" customHeight="1" x14ac:dyDescent="0.35"/>
    <row r="328" ht="18" customHeight="1" x14ac:dyDescent="0.35"/>
    <row r="329" ht="18" customHeight="1" x14ac:dyDescent="0.35"/>
    <row r="330" ht="18" customHeight="1" x14ac:dyDescent="0.35"/>
    <row r="331" ht="18" customHeight="1" x14ac:dyDescent="0.35"/>
    <row r="332" ht="18" customHeight="1" x14ac:dyDescent="0.35"/>
    <row r="333" ht="18" customHeight="1" x14ac:dyDescent="0.35"/>
    <row r="334" ht="18" customHeight="1" x14ac:dyDescent="0.35"/>
    <row r="335" ht="18" customHeight="1" x14ac:dyDescent="0.35"/>
    <row r="336" ht="18" customHeight="1" x14ac:dyDescent="0.35"/>
    <row r="337" ht="18" customHeight="1" x14ac:dyDescent="0.35"/>
    <row r="338" ht="18" customHeight="1" x14ac:dyDescent="0.35"/>
    <row r="339" ht="18" customHeight="1" x14ac:dyDescent="0.35"/>
    <row r="340" ht="18" customHeight="1" x14ac:dyDescent="0.35"/>
    <row r="341" ht="18" customHeight="1" x14ac:dyDescent="0.35"/>
    <row r="342" ht="18" customHeight="1" x14ac:dyDescent="0.35"/>
    <row r="343" ht="18" customHeight="1" x14ac:dyDescent="0.35"/>
    <row r="344" ht="18" customHeight="1" x14ac:dyDescent="0.35"/>
    <row r="345" ht="18" customHeight="1" x14ac:dyDescent="0.35"/>
    <row r="346" ht="18" customHeight="1" x14ac:dyDescent="0.35"/>
    <row r="347" ht="18" customHeight="1" x14ac:dyDescent="0.35"/>
    <row r="348" ht="18" customHeight="1" x14ac:dyDescent="0.35"/>
    <row r="349" ht="18" customHeight="1" x14ac:dyDescent="0.35"/>
    <row r="350" ht="18" customHeight="1" x14ac:dyDescent="0.35"/>
    <row r="351" ht="18" customHeight="1" x14ac:dyDescent="0.35"/>
    <row r="352" ht="18" customHeight="1" x14ac:dyDescent="0.35"/>
    <row r="353" ht="18" customHeight="1" x14ac:dyDescent="0.35"/>
    <row r="354" ht="18" customHeight="1" x14ac:dyDescent="0.35"/>
    <row r="355" ht="18" customHeight="1" x14ac:dyDescent="0.35"/>
    <row r="356" ht="18" customHeight="1" x14ac:dyDescent="0.35"/>
    <row r="357" ht="18" customHeight="1" x14ac:dyDescent="0.35"/>
    <row r="358" ht="18" customHeight="1" x14ac:dyDescent="0.35"/>
    <row r="359" ht="18" customHeight="1" x14ac:dyDescent="0.35"/>
    <row r="360" ht="18" customHeight="1" x14ac:dyDescent="0.35"/>
    <row r="361" ht="18" customHeight="1" x14ac:dyDescent="0.35"/>
    <row r="362" ht="18" customHeight="1" x14ac:dyDescent="0.35"/>
    <row r="363" ht="18" customHeight="1" x14ac:dyDescent="0.35"/>
    <row r="364" ht="18" customHeight="1" x14ac:dyDescent="0.35"/>
    <row r="365" ht="18" customHeight="1" x14ac:dyDescent="0.35"/>
    <row r="366" ht="18" customHeight="1" x14ac:dyDescent="0.35"/>
    <row r="367" ht="18" customHeight="1" x14ac:dyDescent="0.35"/>
    <row r="368" ht="18" customHeight="1" x14ac:dyDescent="0.35"/>
    <row r="369" ht="18" customHeight="1" x14ac:dyDescent="0.35"/>
    <row r="370" ht="18" customHeight="1" x14ac:dyDescent="0.35"/>
    <row r="371" ht="18" customHeight="1" x14ac:dyDescent="0.35"/>
    <row r="372" ht="18" customHeight="1" x14ac:dyDescent="0.35"/>
    <row r="373" ht="18" customHeight="1" x14ac:dyDescent="0.35"/>
    <row r="374" ht="18" customHeight="1" x14ac:dyDescent="0.35"/>
    <row r="375" ht="18" customHeight="1" x14ac:dyDescent="0.35"/>
    <row r="376" ht="18" customHeight="1" x14ac:dyDescent="0.35"/>
    <row r="377" ht="18" customHeight="1" x14ac:dyDescent="0.35"/>
    <row r="378" ht="18" customHeight="1" x14ac:dyDescent="0.35"/>
    <row r="379" ht="18" customHeight="1" x14ac:dyDescent="0.35"/>
    <row r="380" ht="18" customHeight="1" x14ac:dyDescent="0.35"/>
    <row r="381" ht="18" customHeight="1" x14ac:dyDescent="0.35"/>
    <row r="382" ht="18" customHeight="1" x14ac:dyDescent="0.35"/>
    <row r="383" ht="18" customHeight="1" x14ac:dyDescent="0.35"/>
    <row r="384" ht="18" customHeight="1" x14ac:dyDescent="0.35"/>
    <row r="385" ht="18" customHeight="1" x14ac:dyDescent="0.35"/>
    <row r="386" ht="18" customHeight="1" x14ac:dyDescent="0.35"/>
    <row r="387" ht="18" customHeight="1" x14ac:dyDescent="0.35"/>
    <row r="388" ht="18" customHeight="1" x14ac:dyDescent="0.35"/>
    <row r="389" ht="18" customHeight="1" x14ac:dyDescent="0.35"/>
    <row r="390" ht="18" customHeight="1" x14ac:dyDescent="0.35"/>
    <row r="391" ht="18" customHeight="1" x14ac:dyDescent="0.35"/>
    <row r="392" ht="18" customHeight="1" x14ac:dyDescent="0.35"/>
    <row r="393" ht="18" customHeight="1" x14ac:dyDescent="0.35"/>
    <row r="394" ht="18" customHeight="1" x14ac:dyDescent="0.35"/>
    <row r="395" ht="18" customHeight="1" x14ac:dyDescent="0.35"/>
    <row r="396" ht="18" customHeight="1" x14ac:dyDescent="0.35"/>
    <row r="397" ht="18" customHeight="1" x14ac:dyDescent="0.35"/>
    <row r="398" ht="18" customHeight="1" x14ac:dyDescent="0.35"/>
    <row r="399" ht="18" customHeight="1" x14ac:dyDescent="0.35"/>
    <row r="400" ht="18" customHeight="1" x14ac:dyDescent="0.35"/>
    <row r="401" ht="18" customHeight="1" x14ac:dyDescent="0.35"/>
    <row r="402" ht="18" customHeight="1" x14ac:dyDescent="0.35"/>
    <row r="403" ht="18" customHeight="1" x14ac:dyDescent="0.35"/>
    <row r="404" ht="18" customHeight="1" x14ac:dyDescent="0.35"/>
    <row r="405" ht="18" customHeight="1" x14ac:dyDescent="0.35"/>
    <row r="406" ht="18" customHeight="1" x14ac:dyDescent="0.35"/>
    <row r="407" ht="18" customHeight="1" x14ac:dyDescent="0.35"/>
    <row r="408" ht="18" customHeight="1" x14ac:dyDescent="0.35"/>
    <row r="409" ht="18" customHeight="1" x14ac:dyDescent="0.35"/>
    <row r="410" ht="18" customHeight="1" x14ac:dyDescent="0.35"/>
    <row r="411" ht="18" customHeight="1" x14ac:dyDescent="0.35"/>
    <row r="412" ht="18" customHeight="1" x14ac:dyDescent="0.35"/>
    <row r="413" ht="18" customHeight="1" x14ac:dyDescent="0.35"/>
    <row r="414" ht="18" customHeight="1" x14ac:dyDescent="0.35"/>
    <row r="415" ht="18" customHeight="1" x14ac:dyDescent="0.35"/>
    <row r="416" ht="18" customHeight="1" x14ac:dyDescent="0.35"/>
    <row r="417" ht="18" customHeight="1" x14ac:dyDescent="0.35"/>
    <row r="418" ht="18" customHeight="1" x14ac:dyDescent="0.35"/>
    <row r="419" ht="18" customHeight="1" x14ac:dyDescent="0.35"/>
    <row r="420" ht="18" customHeight="1" x14ac:dyDescent="0.35"/>
    <row r="421" ht="18" customHeight="1" x14ac:dyDescent="0.35"/>
    <row r="422" ht="18" customHeight="1" x14ac:dyDescent="0.35"/>
    <row r="423" ht="18" customHeight="1" x14ac:dyDescent="0.35"/>
    <row r="424" ht="18" customHeight="1" x14ac:dyDescent="0.35"/>
    <row r="425" ht="18" customHeight="1" x14ac:dyDescent="0.35"/>
    <row r="426" ht="18" customHeight="1" x14ac:dyDescent="0.35"/>
    <row r="427" ht="18" customHeight="1" x14ac:dyDescent="0.35"/>
    <row r="428" ht="18" customHeight="1" x14ac:dyDescent="0.35"/>
    <row r="429" ht="18" customHeight="1" x14ac:dyDescent="0.35"/>
    <row r="430" ht="18" customHeight="1" x14ac:dyDescent="0.35"/>
    <row r="431" ht="18" customHeight="1" x14ac:dyDescent="0.35"/>
    <row r="432" ht="18" customHeight="1" x14ac:dyDescent="0.35"/>
    <row r="433" ht="18" customHeight="1" x14ac:dyDescent="0.35"/>
    <row r="434" ht="18" customHeight="1" x14ac:dyDescent="0.35"/>
    <row r="435" ht="18" customHeight="1" x14ac:dyDescent="0.35"/>
    <row r="436" ht="18" customHeight="1" x14ac:dyDescent="0.35"/>
    <row r="437" ht="18" customHeight="1" x14ac:dyDescent="0.35"/>
    <row r="438" ht="18" customHeight="1" x14ac:dyDescent="0.35"/>
    <row r="439" ht="18" customHeight="1" x14ac:dyDescent="0.35"/>
    <row r="440" ht="18" customHeight="1" x14ac:dyDescent="0.35"/>
    <row r="441" ht="18" customHeight="1" x14ac:dyDescent="0.35"/>
    <row r="442" ht="18" customHeight="1" x14ac:dyDescent="0.35"/>
    <row r="443" ht="18" customHeight="1" x14ac:dyDescent="0.35"/>
    <row r="444" ht="18" customHeight="1" x14ac:dyDescent="0.35"/>
    <row r="445" ht="18" customHeight="1" x14ac:dyDescent="0.35"/>
    <row r="446" ht="18" customHeight="1" x14ac:dyDescent="0.35"/>
    <row r="447" ht="18" customHeight="1" x14ac:dyDescent="0.35"/>
    <row r="448" ht="18" customHeight="1" x14ac:dyDescent="0.35"/>
    <row r="449" ht="18" customHeight="1" x14ac:dyDescent="0.35"/>
    <row r="450" ht="18" customHeight="1" x14ac:dyDescent="0.35"/>
    <row r="451" ht="18" customHeight="1" x14ac:dyDescent="0.35"/>
    <row r="452" ht="18" customHeight="1" x14ac:dyDescent="0.35"/>
    <row r="453" ht="18" customHeight="1" x14ac:dyDescent="0.35"/>
    <row r="454" ht="18" customHeight="1" x14ac:dyDescent="0.35"/>
    <row r="455" ht="18" customHeight="1" x14ac:dyDescent="0.35"/>
    <row r="456" ht="18" customHeight="1" x14ac:dyDescent="0.35"/>
    <row r="457" ht="18" customHeight="1" x14ac:dyDescent="0.35"/>
    <row r="458" ht="18" customHeight="1" x14ac:dyDescent="0.35"/>
    <row r="459" ht="18" customHeight="1" x14ac:dyDescent="0.35"/>
    <row r="460" ht="18" customHeight="1" x14ac:dyDescent="0.35"/>
    <row r="461" ht="18" customHeight="1" x14ac:dyDescent="0.35"/>
    <row r="462" ht="18" customHeight="1" x14ac:dyDescent="0.35"/>
    <row r="463" ht="18" customHeight="1" x14ac:dyDescent="0.35"/>
    <row r="464" ht="18" customHeight="1" x14ac:dyDescent="0.35"/>
    <row r="465" ht="18" customHeight="1" x14ac:dyDescent="0.35"/>
    <row r="466" ht="18" customHeight="1" x14ac:dyDescent="0.35"/>
    <row r="467" ht="18" customHeight="1" x14ac:dyDescent="0.35"/>
    <row r="468" ht="18" customHeight="1" x14ac:dyDescent="0.35"/>
    <row r="469" ht="18" customHeight="1" x14ac:dyDescent="0.35"/>
    <row r="470" ht="18" customHeight="1" x14ac:dyDescent="0.35"/>
    <row r="471" ht="18" customHeight="1" x14ac:dyDescent="0.35"/>
    <row r="472" ht="18" customHeight="1" x14ac:dyDescent="0.35"/>
    <row r="473" ht="18" customHeight="1" x14ac:dyDescent="0.35"/>
    <row r="474" ht="18" customHeight="1" x14ac:dyDescent="0.35"/>
    <row r="475" ht="18" customHeight="1" x14ac:dyDescent="0.35"/>
    <row r="476" ht="18" customHeight="1" x14ac:dyDescent="0.35"/>
    <row r="477" ht="18" customHeight="1" x14ac:dyDescent="0.35"/>
    <row r="478" ht="18" customHeight="1" x14ac:dyDescent="0.35"/>
    <row r="479" ht="18" customHeight="1" x14ac:dyDescent="0.35"/>
    <row r="480" ht="18" customHeight="1" x14ac:dyDescent="0.35"/>
    <row r="481" ht="18" customHeight="1" x14ac:dyDescent="0.35"/>
    <row r="482" ht="18" customHeight="1" x14ac:dyDescent="0.35"/>
    <row r="483" ht="18" customHeight="1" x14ac:dyDescent="0.35"/>
    <row r="484" ht="18" customHeight="1" x14ac:dyDescent="0.35"/>
    <row r="485" ht="18" customHeight="1" x14ac:dyDescent="0.35"/>
    <row r="486" ht="18" customHeight="1" x14ac:dyDescent="0.35"/>
    <row r="487" ht="18" customHeight="1" x14ac:dyDescent="0.35"/>
    <row r="488" ht="18" customHeight="1" x14ac:dyDescent="0.35"/>
    <row r="489" ht="18" customHeight="1" x14ac:dyDescent="0.35"/>
    <row r="490" ht="18" customHeight="1" x14ac:dyDescent="0.35"/>
    <row r="491" ht="18" customHeight="1" x14ac:dyDescent="0.35"/>
    <row r="492" ht="18" customHeight="1" x14ac:dyDescent="0.35"/>
    <row r="493" ht="18" customHeight="1" x14ac:dyDescent="0.35"/>
    <row r="494" ht="18" customHeight="1" x14ac:dyDescent="0.35"/>
    <row r="495" ht="18" customHeight="1" x14ac:dyDescent="0.35"/>
    <row r="496" ht="18" customHeight="1" x14ac:dyDescent="0.35"/>
    <row r="497" ht="18" customHeight="1" x14ac:dyDescent="0.35"/>
    <row r="498" ht="18" customHeight="1" x14ac:dyDescent="0.35"/>
    <row r="499" ht="18" customHeight="1" x14ac:dyDescent="0.35"/>
    <row r="500" ht="18" customHeight="1" x14ac:dyDescent="0.35"/>
    <row r="501" ht="18" customHeight="1" x14ac:dyDescent="0.35"/>
    <row r="502" ht="18" customHeight="1" x14ac:dyDescent="0.35"/>
    <row r="503" ht="18" customHeight="1" x14ac:dyDescent="0.35"/>
    <row r="504" ht="18" customHeight="1" x14ac:dyDescent="0.35"/>
    <row r="505" ht="18" customHeight="1" x14ac:dyDescent="0.35"/>
    <row r="506" ht="18" customHeight="1" x14ac:dyDescent="0.35"/>
    <row r="507" ht="18" customHeight="1" x14ac:dyDescent="0.35"/>
    <row r="508" ht="18" customHeight="1" x14ac:dyDescent="0.35"/>
    <row r="509" ht="18" customHeight="1" x14ac:dyDescent="0.35"/>
    <row r="510" ht="18" customHeight="1" x14ac:dyDescent="0.35"/>
    <row r="511" ht="18" customHeight="1" x14ac:dyDescent="0.35"/>
    <row r="512" ht="18" customHeight="1" x14ac:dyDescent="0.35"/>
    <row r="513" ht="18" customHeight="1" x14ac:dyDescent="0.35"/>
    <row r="514" ht="18" customHeight="1" x14ac:dyDescent="0.35"/>
    <row r="515" ht="18" customHeight="1" x14ac:dyDescent="0.35"/>
    <row r="516" ht="18" customHeight="1" x14ac:dyDescent="0.35"/>
    <row r="517" ht="18" customHeight="1" x14ac:dyDescent="0.35"/>
    <row r="518" ht="18" customHeight="1" x14ac:dyDescent="0.35"/>
    <row r="519" ht="18" customHeight="1" x14ac:dyDescent="0.35"/>
    <row r="520" ht="18" customHeight="1" x14ac:dyDescent="0.35"/>
    <row r="521" ht="18" customHeight="1" x14ac:dyDescent="0.35"/>
    <row r="522" ht="18" customHeight="1" x14ac:dyDescent="0.35"/>
    <row r="523" ht="18" customHeight="1" x14ac:dyDescent="0.35"/>
    <row r="524" ht="18" customHeight="1" x14ac:dyDescent="0.35"/>
    <row r="525" ht="18" customHeight="1" x14ac:dyDescent="0.35"/>
    <row r="526" ht="18" customHeight="1" x14ac:dyDescent="0.35"/>
    <row r="527" ht="18" customHeight="1" x14ac:dyDescent="0.35"/>
    <row r="528" ht="18" customHeight="1" x14ac:dyDescent="0.35"/>
    <row r="529" ht="18" customHeight="1" x14ac:dyDescent="0.35"/>
    <row r="530" ht="18" customHeight="1" x14ac:dyDescent="0.35"/>
    <row r="531" ht="18" customHeight="1" x14ac:dyDescent="0.35"/>
    <row r="532" ht="18" customHeight="1" x14ac:dyDescent="0.35"/>
    <row r="533" ht="18" customHeight="1" x14ac:dyDescent="0.35"/>
    <row r="534" ht="18" customHeight="1" x14ac:dyDescent="0.35"/>
    <row r="535" ht="18" customHeight="1" x14ac:dyDescent="0.35"/>
    <row r="536" ht="18" customHeight="1" x14ac:dyDescent="0.35"/>
    <row r="537" ht="18" customHeight="1" x14ac:dyDescent="0.35"/>
    <row r="538" ht="18" customHeight="1" x14ac:dyDescent="0.35"/>
    <row r="539" ht="18" customHeight="1" x14ac:dyDescent="0.35"/>
    <row r="540" ht="18" customHeight="1" x14ac:dyDescent="0.35"/>
    <row r="541" ht="18" customHeight="1" x14ac:dyDescent="0.35"/>
    <row r="542" ht="18" customHeight="1" x14ac:dyDescent="0.35"/>
    <row r="543" ht="18" customHeight="1" x14ac:dyDescent="0.35"/>
    <row r="544" ht="18" customHeight="1" x14ac:dyDescent="0.35"/>
    <row r="545" ht="18" customHeight="1" x14ac:dyDescent="0.35"/>
    <row r="546" ht="18" customHeight="1" x14ac:dyDescent="0.35"/>
    <row r="547" ht="18" customHeight="1" x14ac:dyDescent="0.35"/>
    <row r="548" ht="18" customHeight="1" x14ac:dyDescent="0.35"/>
    <row r="549" ht="18" customHeight="1" x14ac:dyDescent="0.35"/>
    <row r="550" ht="18" customHeight="1" x14ac:dyDescent="0.35"/>
    <row r="551" ht="18" customHeight="1" x14ac:dyDescent="0.35"/>
    <row r="552" ht="18" customHeight="1" x14ac:dyDescent="0.35"/>
    <row r="553" ht="18" customHeight="1" x14ac:dyDescent="0.35"/>
    <row r="554" ht="18" customHeight="1" x14ac:dyDescent="0.35"/>
    <row r="555" ht="18" customHeight="1" x14ac:dyDescent="0.35"/>
    <row r="556" ht="18" customHeight="1" x14ac:dyDescent="0.35"/>
    <row r="557" ht="18" customHeight="1" x14ac:dyDescent="0.35"/>
    <row r="558" ht="18" customHeight="1" x14ac:dyDescent="0.35"/>
    <row r="559" ht="18" customHeight="1" x14ac:dyDescent="0.35"/>
    <row r="560" ht="18" customHeight="1" x14ac:dyDescent="0.35"/>
    <row r="561" ht="18" customHeight="1" x14ac:dyDescent="0.35"/>
    <row r="562" ht="18" customHeight="1" x14ac:dyDescent="0.35"/>
    <row r="563" ht="18" customHeight="1" x14ac:dyDescent="0.35"/>
    <row r="564" ht="18" customHeight="1" x14ac:dyDescent="0.35"/>
    <row r="565" ht="18" customHeight="1" x14ac:dyDescent="0.35"/>
    <row r="566" ht="18" customHeight="1" x14ac:dyDescent="0.35"/>
    <row r="567" ht="18" customHeight="1" x14ac:dyDescent="0.35"/>
    <row r="568" ht="18" customHeight="1" x14ac:dyDescent="0.35"/>
    <row r="569" ht="18" customHeight="1" x14ac:dyDescent="0.35"/>
    <row r="570" ht="18" customHeight="1" x14ac:dyDescent="0.35"/>
    <row r="571" ht="18" customHeight="1" x14ac:dyDescent="0.35"/>
    <row r="572" ht="18" customHeight="1" x14ac:dyDescent="0.35"/>
    <row r="573" ht="18" customHeight="1" x14ac:dyDescent="0.35"/>
    <row r="574" ht="18" customHeight="1" x14ac:dyDescent="0.35"/>
    <row r="575" ht="18" customHeight="1" x14ac:dyDescent="0.35"/>
    <row r="576" ht="18" customHeight="1" x14ac:dyDescent="0.35"/>
    <row r="577" ht="18" customHeight="1" x14ac:dyDescent="0.35"/>
    <row r="578" ht="18" customHeight="1" x14ac:dyDescent="0.35"/>
    <row r="579" ht="18" customHeight="1" x14ac:dyDescent="0.35"/>
    <row r="580" ht="18" customHeight="1" x14ac:dyDescent="0.35"/>
    <row r="581" ht="18" customHeight="1" x14ac:dyDescent="0.35"/>
    <row r="582" ht="18" customHeight="1" x14ac:dyDescent="0.35"/>
    <row r="583" ht="18" customHeight="1" x14ac:dyDescent="0.35"/>
    <row r="584" ht="18" customHeight="1" x14ac:dyDescent="0.35"/>
    <row r="585" ht="18" customHeight="1" x14ac:dyDescent="0.35"/>
    <row r="586" ht="18" customHeight="1" x14ac:dyDescent="0.35"/>
    <row r="587" ht="18" customHeight="1" x14ac:dyDescent="0.35"/>
    <row r="588" ht="18" customHeight="1" x14ac:dyDescent="0.35"/>
    <row r="589" ht="18" customHeight="1" x14ac:dyDescent="0.35"/>
    <row r="590" ht="18" customHeight="1" x14ac:dyDescent="0.35"/>
    <row r="591" ht="18" customHeight="1" x14ac:dyDescent="0.35"/>
    <row r="592" ht="18" customHeight="1" x14ac:dyDescent="0.35"/>
    <row r="593" ht="18" customHeight="1" x14ac:dyDescent="0.35"/>
    <row r="594" ht="18" customHeight="1" x14ac:dyDescent="0.35"/>
    <row r="595" ht="18" customHeight="1" x14ac:dyDescent="0.35"/>
    <row r="596" ht="18" customHeight="1" x14ac:dyDescent="0.35"/>
    <row r="597" ht="18" customHeight="1" x14ac:dyDescent="0.35"/>
    <row r="598" ht="18" customHeight="1" x14ac:dyDescent="0.35"/>
    <row r="599" ht="18" customHeight="1" x14ac:dyDescent="0.35"/>
    <row r="600" ht="18" customHeight="1" x14ac:dyDescent="0.35"/>
    <row r="601" ht="18" customHeight="1" x14ac:dyDescent="0.35"/>
    <row r="602" ht="18" customHeight="1" x14ac:dyDescent="0.35"/>
    <row r="603" ht="18" customHeight="1" x14ac:dyDescent="0.35"/>
    <row r="604" ht="18" customHeight="1" x14ac:dyDescent="0.35"/>
    <row r="605" ht="18" customHeight="1" x14ac:dyDescent="0.35"/>
    <row r="606" ht="18" customHeight="1" x14ac:dyDescent="0.35"/>
    <row r="607" ht="18" customHeight="1" x14ac:dyDescent="0.35"/>
    <row r="608" ht="18" customHeight="1" x14ac:dyDescent="0.35"/>
    <row r="609" ht="18" customHeight="1" x14ac:dyDescent="0.35"/>
    <row r="610" ht="18" customHeight="1" x14ac:dyDescent="0.35"/>
    <row r="611" ht="18" customHeight="1" x14ac:dyDescent="0.35"/>
    <row r="612" ht="18" customHeight="1" x14ac:dyDescent="0.35"/>
    <row r="613" ht="18" customHeight="1" x14ac:dyDescent="0.35"/>
    <row r="614" ht="18" customHeight="1" x14ac:dyDescent="0.35"/>
    <row r="615" ht="18" customHeight="1" x14ac:dyDescent="0.35"/>
    <row r="616" ht="18" customHeight="1" x14ac:dyDescent="0.35"/>
    <row r="617" ht="18" customHeight="1" x14ac:dyDescent="0.35"/>
    <row r="618" ht="18" customHeight="1" x14ac:dyDescent="0.35"/>
    <row r="619" ht="18" customHeight="1" x14ac:dyDescent="0.35"/>
    <row r="620" ht="18" customHeight="1" x14ac:dyDescent="0.35"/>
    <row r="621" ht="18" customHeight="1" x14ac:dyDescent="0.35"/>
    <row r="622" ht="18" customHeight="1" x14ac:dyDescent="0.35"/>
    <row r="623" ht="18" customHeight="1" x14ac:dyDescent="0.35"/>
    <row r="624" ht="18" customHeight="1" x14ac:dyDescent="0.35"/>
    <row r="625" ht="18" customHeight="1" x14ac:dyDescent="0.35"/>
    <row r="626" ht="18" customHeight="1" x14ac:dyDescent="0.35"/>
    <row r="627" ht="18" customHeight="1" x14ac:dyDescent="0.35"/>
    <row r="628" ht="18" customHeight="1" x14ac:dyDescent="0.35"/>
    <row r="629" ht="18" customHeight="1" x14ac:dyDescent="0.35"/>
    <row r="630" ht="18" customHeight="1" x14ac:dyDescent="0.35"/>
    <row r="631" ht="18" customHeight="1" x14ac:dyDescent="0.35"/>
    <row r="632" ht="18" customHeight="1" x14ac:dyDescent="0.35"/>
    <row r="633" ht="18" customHeight="1" x14ac:dyDescent="0.35"/>
    <row r="634" ht="18" customHeight="1" x14ac:dyDescent="0.35"/>
    <row r="635" ht="18" customHeight="1" x14ac:dyDescent="0.35"/>
    <row r="636" ht="18" customHeight="1" x14ac:dyDescent="0.35"/>
    <row r="637" ht="18" customHeight="1" x14ac:dyDescent="0.35"/>
    <row r="638" ht="18" customHeight="1" x14ac:dyDescent="0.35"/>
    <row r="639" ht="18" customHeight="1" x14ac:dyDescent="0.35"/>
    <row r="640" ht="18" customHeight="1" x14ac:dyDescent="0.35"/>
    <row r="641" ht="18" customHeight="1" x14ac:dyDescent="0.35"/>
    <row r="642" ht="18" customHeight="1" x14ac:dyDescent="0.35"/>
    <row r="643" ht="18" customHeight="1" x14ac:dyDescent="0.35"/>
    <row r="644" ht="18" customHeight="1" x14ac:dyDescent="0.35"/>
    <row r="645" ht="18" customHeight="1" x14ac:dyDescent="0.35"/>
    <row r="646" ht="18" customHeight="1" x14ac:dyDescent="0.35"/>
    <row r="647" ht="18" customHeight="1" x14ac:dyDescent="0.35"/>
    <row r="648" ht="18" customHeight="1" x14ac:dyDescent="0.35"/>
    <row r="649" ht="18" customHeight="1" x14ac:dyDescent="0.35"/>
    <row r="650" ht="18" customHeight="1" x14ac:dyDescent="0.35"/>
    <row r="651" ht="18" customHeight="1" x14ac:dyDescent="0.35"/>
    <row r="652" ht="18" customHeight="1" x14ac:dyDescent="0.35"/>
    <row r="653" ht="18" customHeight="1" x14ac:dyDescent="0.35"/>
    <row r="654" ht="18" customHeight="1" x14ac:dyDescent="0.35"/>
    <row r="655" ht="18" customHeight="1" x14ac:dyDescent="0.35"/>
    <row r="656" ht="18" customHeight="1" x14ac:dyDescent="0.35"/>
    <row r="657" ht="18" customHeight="1" x14ac:dyDescent="0.35"/>
    <row r="658" ht="18" customHeight="1" x14ac:dyDescent="0.35"/>
    <row r="659" ht="18" customHeight="1" x14ac:dyDescent="0.35"/>
    <row r="660" ht="18" customHeight="1" x14ac:dyDescent="0.35"/>
    <row r="661" ht="18" customHeight="1" x14ac:dyDescent="0.35"/>
    <row r="662" ht="18" customHeight="1" x14ac:dyDescent="0.35"/>
    <row r="663" ht="18" customHeight="1" x14ac:dyDescent="0.35"/>
    <row r="664" ht="18" customHeight="1" x14ac:dyDescent="0.35"/>
    <row r="665" ht="18" customHeight="1" x14ac:dyDescent="0.35"/>
    <row r="666" ht="18" customHeight="1" x14ac:dyDescent="0.35"/>
    <row r="667" ht="18" customHeight="1" x14ac:dyDescent="0.35"/>
    <row r="668" ht="18" customHeight="1" x14ac:dyDescent="0.35"/>
    <row r="669" ht="18" customHeight="1" x14ac:dyDescent="0.35"/>
    <row r="670" ht="18" customHeight="1" x14ac:dyDescent="0.35"/>
    <row r="671" ht="18" customHeight="1" x14ac:dyDescent="0.35"/>
    <row r="672" ht="18" customHeight="1" x14ac:dyDescent="0.35"/>
    <row r="673" ht="18" customHeight="1" x14ac:dyDescent="0.35"/>
    <row r="674" ht="18" customHeight="1" x14ac:dyDescent="0.35"/>
    <row r="675" ht="18" customHeight="1" x14ac:dyDescent="0.35"/>
    <row r="676" ht="18" customHeight="1" x14ac:dyDescent="0.35"/>
    <row r="677" ht="18" customHeight="1" x14ac:dyDescent="0.35"/>
    <row r="678" ht="18" customHeight="1" x14ac:dyDescent="0.35"/>
    <row r="679" ht="18" customHeight="1" x14ac:dyDescent="0.35"/>
    <row r="680" ht="18" customHeight="1" x14ac:dyDescent="0.35"/>
    <row r="681" ht="18" customHeight="1" x14ac:dyDescent="0.35"/>
    <row r="682" ht="18" customHeight="1" x14ac:dyDescent="0.35"/>
    <row r="683" ht="18" customHeight="1" x14ac:dyDescent="0.35"/>
    <row r="684" ht="18" customHeight="1" x14ac:dyDescent="0.35"/>
    <row r="685" ht="18" customHeight="1" x14ac:dyDescent="0.35"/>
    <row r="686" ht="18" customHeight="1" x14ac:dyDescent="0.35"/>
    <row r="687" ht="18" customHeight="1" x14ac:dyDescent="0.35"/>
    <row r="688" ht="18" customHeight="1" x14ac:dyDescent="0.35"/>
    <row r="689" ht="18" customHeight="1" x14ac:dyDescent="0.35"/>
    <row r="690" ht="18" customHeight="1" x14ac:dyDescent="0.35"/>
    <row r="691" ht="18" customHeight="1" x14ac:dyDescent="0.35"/>
    <row r="692" ht="18" customHeight="1" x14ac:dyDescent="0.35"/>
    <row r="693" ht="18" customHeight="1" x14ac:dyDescent="0.35"/>
    <row r="694" ht="18" customHeight="1" x14ac:dyDescent="0.35"/>
    <row r="695" ht="18" customHeight="1" x14ac:dyDescent="0.35"/>
    <row r="696" ht="18" customHeight="1" x14ac:dyDescent="0.35"/>
    <row r="697" ht="18" customHeight="1" x14ac:dyDescent="0.35"/>
    <row r="698" ht="18" customHeight="1" x14ac:dyDescent="0.35"/>
    <row r="699" ht="18" customHeight="1" x14ac:dyDescent="0.35"/>
    <row r="700" ht="18" customHeight="1" x14ac:dyDescent="0.35"/>
    <row r="701" ht="18" customHeight="1" x14ac:dyDescent="0.35"/>
    <row r="702" ht="18" customHeight="1" x14ac:dyDescent="0.35"/>
    <row r="703" ht="18" customHeight="1" x14ac:dyDescent="0.35"/>
    <row r="704" ht="18" customHeight="1" x14ac:dyDescent="0.35"/>
    <row r="705" ht="18" customHeight="1" x14ac:dyDescent="0.35"/>
    <row r="706" ht="18" customHeight="1" x14ac:dyDescent="0.35"/>
    <row r="707" ht="18" customHeight="1" x14ac:dyDescent="0.35"/>
    <row r="708" ht="18" customHeight="1" x14ac:dyDescent="0.35"/>
    <row r="709" ht="18" customHeight="1" x14ac:dyDescent="0.35"/>
    <row r="710" ht="18" customHeight="1" x14ac:dyDescent="0.35"/>
    <row r="711" ht="18" customHeight="1" x14ac:dyDescent="0.35"/>
    <row r="712" ht="18" customHeight="1" x14ac:dyDescent="0.35"/>
    <row r="713" ht="18" customHeight="1" x14ac:dyDescent="0.35"/>
    <row r="714" ht="18" customHeight="1" x14ac:dyDescent="0.35"/>
    <row r="715" ht="18" customHeight="1" x14ac:dyDescent="0.35"/>
    <row r="716" ht="18" customHeight="1" x14ac:dyDescent="0.35"/>
    <row r="717" ht="18" customHeight="1" x14ac:dyDescent="0.35"/>
    <row r="718" ht="18" customHeight="1" x14ac:dyDescent="0.35"/>
    <row r="719" ht="18" customHeight="1" x14ac:dyDescent="0.35"/>
    <row r="720" ht="18" customHeight="1" x14ac:dyDescent="0.35"/>
    <row r="721" ht="18" customHeight="1" x14ac:dyDescent="0.35"/>
    <row r="722" ht="18" customHeight="1" x14ac:dyDescent="0.35"/>
    <row r="723" ht="18" customHeight="1" x14ac:dyDescent="0.35"/>
    <row r="724" ht="18" customHeight="1" x14ac:dyDescent="0.35"/>
    <row r="725" ht="18" customHeight="1" x14ac:dyDescent="0.35"/>
    <row r="726" ht="18" customHeight="1" x14ac:dyDescent="0.35"/>
    <row r="727" ht="18" customHeight="1" x14ac:dyDescent="0.35"/>
    <row r="728" ht="18" customHeight="1" x14ac:dyDescent="0.35"/>
    <row r="729" ht="18" customHeight="1" x14ac:dyDescent="0.35"/>
    <row r="730" ht="18" customHeight="1" x14ac:dyDescent="0.35"/>
    <row r="731" ht="18" customHeight="1" x14ac:dyDescent="0.35"/>
    <row r="732" ht="18" customHeight="1" x14ac:dyDescent="0.35"/>
    <row r="733" ht="18" customHeight="1" x14ac:dyDescent="0.35"/>
    <row r="734" ht="18" customHeight="1" x14ac:dyDescent="0.35"/>
    <row r="735" ht="18" customHeight="1" x14ac:dyDescent="0.35"/>
    <row r="736" ht="18" customHeight="1" x14ac:dyDescent="0.35"/>
    <row r="737" ht="18" customHeight="1" x14ac:dyDescent="0.35"/>
    <row r="738" ht="18" customHeight="1" x14ac:dyDescent="0.35"/>
    <row r="739" ht="18" customHeight="1" x14ac:dyDescent="0.35"/>
    <row r="740" ht="18" customHeight="1" x14ac:dyDescent="0.35"/>
    <row r="741" ht="18" customHeight="1" x14ac:dyDescent="0.35"/>
    <row r="742" ht="18" customHeight="1" x14ac:dyDescent="0.35"/>
    <row r="743" ht="18" customHeight="1" x14ac:dyDescent="0.35"/>
    <row r="744" ht="18" customHeight="1" x14ac:dyDescent="0.35"/>
    <row r="745" ht="18" customHeight="1" x14ac:dyDescent="0.35"/>
    <row r="746" ht="18" customHeight="1" x14ac:dyDescent="0.35"/>
    <row r="747" ht="18" customHeight="1" x14ac:dyDescent="0.35"/>
    <row r="748" ht="18" customHeight="1" x14ac:dyDescent="0.35"/>
    <row r="749" ht="18" customHeight="1" x14ac:dyDescent="0.35"/>
    <row r="750" ht="18" customHeight="1" x14ac:dyDescent="0.35"/>
    <row r="751" ht="18" customHeight="1" x14ac:dyDescent="0.35"/>
    <row r="752" ht="18" customHeight="1" x14ac:dyDescent="0.35"/>
    <row r="753" ht="18" customHeight="1" x14ac:dyDescent="0.35"/>
    <row r="754" ht="18" customHeight="1" x14ac:dyDescent="0.35"/>
    <row r="755" ht="18" customHeight="1" x14ac:dyDescent="0.35"/>
    <row r="756" ht="18" customHeight="1" x14ac:dyDescent="0.35"/>
    <row r="757" ht="18" customHeight="1" x14ac:dyDescent="0.35"/>
    <row r="758" ht="18" customHeight="1" x14ac:dyDescent="0.35"/>
    <row r="759" ht="18" customHeight="1" x14ac:dyDescent="0.35"/>
    <row r="760" ht="18" customHeight="1" x14ac:dyDescent="0.35"/>
    <row r="761" ht="18" customHeight="1" x14ac:dyDescent="0.35"/>
    <row r="762" ht="18" customHeight="1" x14ac:dyDescent="0.35"/>
    <row r="763" ht="18" customHeight="1" x14ac:dyDescent="0.35"/>
    <row r="764" ht="18" customHeight="1" x14ac:dyDescent="0.35"/>
    <row r="765" ht="18" customHeight="1" x14ac:dyDescent="0.35"/>
    <row r="766" ht="18" customHeight="1" x14ac:dyDescent="0.35"/>
    <row r="767" ht="18" customHeight="1" x14ac:dyDescent="0.35"/>
    <row r="768" ht="18" customHeight="1" x14ac:dyDescent="0.35"/>
    <row r="769" ht="18" customHeight="1" x14ac:dyDescent="0.35"/>
    <row r="770" ht="18" customHeight="1" x14ac:dyDescent="0.35"/>
    <row r="771" ht="18" customHeight="1" x14ac:dyDescent="0.35"/>
    <row r="772" ht="18" customHeight="1" x14ac:dyDescent="0.35"/>
    <row r="773" ht="18" customHeight="1" x14ac:dyDescent="0.35"/>
    <row r="774" ht="18" customHeight="1" x14ac:dyDescent="0.35"/>
    <row r="775" ht="18" customHeight="1" x14ac:dyDescent="0.35"/>
    <row r="776" ht="18" customHeight="1" x14ac:dyDescent="0.35"/>
    <row r="777" ht="18" customHeight="1" x14ac:dyDescent="0.35"/>
    <row r="778" ht="18" customHeight="1" x14ac:dyDescent="0.35"/>
    <row r="779" ht="18" customHeight="1" x14ac:dyDescent="0.35"/>
    <row r="780" ht="18" customHeight="1" x14ac:dyDescent="0.35"/>
    <row r="781" ht="18" customHeight="1" x14ac:dyDescent="0.35"/>
    <row r="782" ht="18" customHeight="1" x14ac:dyDescent="0.35"/>
    <row r="783" ht="18" customHeight="1" x14ac:dyDescent="0.35"/>
    <row r="784" ht="18" customHeight="1" x14ac:dyDescent="0.35"/>
    <row r="785" ht="18" customHeight="1" x14ac:dyDescent="0.35"/>
  </sheetData>
  <sheetProtection algorithmName="SHA-512" hashValue="bU76Bn8+XKOUBi/J2CXqEgawQxhTMqcQkAr0RphNi1N9XvpEYvajt46QdJ6pi4RY0Aed9MB5NFgWNfI74m/j8g==" saltValue="33PXI7AUpnhdkTK1/dSNGg==" spinCount="100000" sheet="1" objects="1" scenarios="1"/>
  <hyperlinks>
    <hyperlink ref="I2" location="Navigation!A1" display="Navigation" xr:uid="{00000000-0004-0000-0A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tabColor theme="8" tint="-0.499984740745262"/>
  </sheetPr>
  <dimension ref="B1:W82"/>
  <sheetViews>
    <sheetView zoomScale="70" zoomScaleNormal="70" workbookViewId="0"/>
  </sheetViews>
  <sheetFormatPr defaultColWidth="18.453125" defaultRowHeight="18" customHeight="1" x14ac:dyDescent="0.35"/>
  <cols>
    <col min="1" max="1" width="3.54296875" style="18" customWidth="1"/>
    <col min="2" max="2" width="3.54296875" style="241" customWidth="1"/>
    <col min="3" max="4" width="18.453125" style="241" customWidth="1"/>
    <col min="5" max="18" width="18.453125" style="18" customWidth="1"/>
    <col min="19" max="19" width="18.453125" style="241" customWidth="1"/>
    <col min="20" max="20" width="3.54296875" style="241" customWidth="1"/>
    <col min="21" max="21" width="18.453125" style="241" customWidth="1"/>
    <col min="22" max="23" width="3.54296875" style="241" customWidth="1"/>
    <col min="24" max="25" width="18.453125" style="18" customWidth="1"/>
    <col min="26" max="16384" width="18.453125" style="18"/>
  </cols>
  <sheetData>
    <row r="1" spans="2:22" ht="18" customHeight="1" thickBot="1" x14ac:dyDescent="0.4"/>
    <row r="2" spans="2:22" ht="18" customHeight="1" thickTop="1" thickBot="1" x14ac:dyDescent="0.4">
      <c r="C2" s="265" t="s">
        <v>117</v>
      </c>
      <c r="D2" s="266"/>
      <c r="E2" s="266"/>
      <c r="F2" s="266"/>
      <c r="G2" s="266"/>
      <c r="H2" s="266"/>
      <c r="I2" s="266"/>
      <c r="J2" s="266"/>
      <c r="K2" s="266"/>
      <c r="L2" s="266"/>
      <c r="M2" s="266"/>
      <c r="N2" s="266"/>
      <c r="O2" s="266"/>
      <c r="P2" s="266"/>
      <c r="Q2" s="266"/>
      <c r="R2" s="266"/>
      <c r="S2" s="267"/>
      <c r="U2" s="10" t="s">
        <v>159</v>
      </c>
    </row>
    <row r="3" spans="2:22" ht="18" customHeight="1" thickBot="1" x14ac:dyDescent="0.4">
      <c r="C3" s="276"/>
      <c r="D3" s="276"/>
      <c r="E3" s="733"/>
      <c r="F3" s="733"/>
      <c r="G3" s="733"/>
      <c r="H3" s="733"/>
      <c r="I3" s="733"/>
      <c r="J3" s="733"/>
      <c r="K3" s="733"/>
      <c r="L3" s="733"/>
      <c r="M3" s="733"/>
      <c r="N3" s="733"/>
      <c r="O3" s="733"/>
      <c r="P3" s="733"/>
      <c r="Q3" s="733"/>
      <c r="R3" s="733"/>
      <c r="S3" s="276"/>
      <c r="T3" s="277"/>
      <c r="U3" s="277"/>
    </row>
    <row r="4" spans="2:22" ht="18" customHeight="1" x14ac:dyDescent="0.35">
      <c r="B4" s="208"/>
      <c r="C4" s="209"/>
      <c r="D4" s="209"/>
      <c r="E4" s="734" t="s">
        <v>99</v>
      </c>
      <c r="F4" s="734" t="s">
        <v>99</v>
      </c>
      <c r="G4" s="734" t="s">
        <v>99</v>
      </c>
      <c r="H4" s="734" t="s">
        <v>99</v>
      </c>
      <c r="I4" s="734" t="s">
        <v>99</v>
      </c>
      <c r="J4" s="734" t="s">
        <v>180</v>
      </c>
      <c r="K4" s="734" t="s">
        <v>180</v>
      </c>
      <c r="L4" s="734" t="s">
        <v>180</v>
      </c>
      <c r="M4" s="734" t="s">
        <v>180</v>
      </c>
      <c r="N4" s="734" t="s">
        <v>180</v>
      </c>
      <c r="O4" s="734" t="s">
        <v>181</v>
      </c>
      <c r="P4" s="734" t="s">
        <v>181</v>
      </c>
      <c r="Q4" s="734" t="s">
        <v>181</v>
      </c>
      <c r="R4" s="734" t="s">
        <v>181</v>
      </c>
      <c r="S4" s="734" t="s">
        <v>181</v>
      </c>
      <c r="T4" s="242"/>
      <c r="U4" s="278"/>
      <c r="V4" s="210"/>
    </row>
    <row r="5" spans="2:22" ht="18" customHeight="1" thickBot="1" x14ac:dyDescent="0.4">
      <c r="B5" s="217"/>
      <c r="C5" s="245" t="s">
        <v>61</v>
      </c>
      <c r="D5" s="245" t="str">
        <f>Learning_Scenario_1</f>
        <v>Constant</v>
      </c>
      <c r="E5" s="219" t="s">
        <v>81</v>
      </c>
      <c r="F5" s="219" t="s">
        <v>86</v>
      </c>
      <c r="G5" s="219" t="s">
        <v>344</v>
      </c>
      <c r="H5" s="219" t="s">
        <v>343</v>
      </c>
      <c r="I5" s="219" t="s">
        <v>342</v>
      </c>
      <c r="J5" s="219" t="s">
        <v>81</v>
      </c>
      <c r="K5" s="219" t="s">
        <v>86</v>
      </c>
      <c r="L5" s="219" t="s">
        <v>344</v>
      </c>
      <c r="M5" s="219" t="s">
        <v>343</v>
      </c>
      <c r="N5" s="219" t="s">
        <v>342</v>
      </c>
      <c r="O5" s="219" t="s">
        <v>81</v>
      </c>
      <c r="P5" s="219" t="s">
        <v>86</v>
      </c>
      <c r="Q5" s="219" t="s">
        <v>344</v>
      </c>
      <c r="R5" s="219" t="s">
        <v>343</v>
      </c>
      <c r="S5" s="736" t="s">
        <v>342</v>
      </c>
      <c r="T5" s="244"/>
      <c r="U5" s="245" t="s">
        <v>131</v>
      </c>
      <c r="V5" s="220"/>
    </row>
    <row r="6" spans="2:22" ht="18" customHeight="1" x14ac:dyDescent="0.35">
      <c r="B6" s="217"/>
      <c r="C6" s="199">
        <f>Reference_Year - 1</f>
        <v>2022</v>
      </c>
      <c r="D6" s="548">
        <v>1</v>
      </c>
      <c r="E6" s="781">
        <f t="shared" ref="E6:S6" si="0">IF(Learning_Scenario_X="Constant", 1, E46)</f>
        <v>1.0429999999999999</v>
      </c>
      <c r="F6" s="781">
        <f t="shared" si="0"/>
        <v>1.044</v>
      </c>
      <c r="G6" s="781">
        <f t="shared" si="0"/>
        <v>1.0449999999999999</v>
      </c>
      <c r="H6" s="781">
        <f t="shared" si="0"/>
        <v>1.04</v>
      </c>
      <c r="I6" s="781">
        <f t="shared" si="0"/>
        <v>1.04</v>
      </c>
      <c r="J6" s="781">
        <f t="shared" si="0"/>
        <v>1.0409999999999999</v>
      </c>
      <c r="K6" s="781">
        <f t="shared" si="0"/>
        <v>1.042</v>
      </c>
      <c r="L6" s="781">
        <f t="shared" si="0"/>
        <v>1.0429999999999999</v>
      </c>
      <c r="M6" s="781">
        <f t="shared" si="0"/>
        <v>1.038</v>
      </c>
      <c r="N6" s="781">
        <f t="shared" si="0"/>
        <v>1.0409999999999999</v>
      </c>
      <c r="O6" s="781">
        <f t="shared" si="0"/>
        <v>1.0409999999999999</v>
      </c>
      <c r="P6" s="781">
        <f t="shared" si="0"/>
        <v>1.042</v>
      </c>
      <c r="Q6" s="781">
        <f t="shared" si="0"/>
        <v>1.042</v>
      </c>
      <c r="R6" s="781">
        <f t="shared" si="0"/>
        <v>1.04</v>
      </c>
      <c r="S6" s="781">
        <f t="shared" si="0"/>
        <v>1.04</v>
      </c>
      <c r="T6" s="279"/>
      <c r="U6" s="549">
        <f t="shared" ref="U6:U41" ca="1" si="1">OFFSET($C6,0,MATCH(Learning_Scenario_X,Learning_Scenario_List,0))</f>
        <v>1.0429999999999999</v>
      </c>
      <c r="V6" s="220"/>
    </row>
    <row r="7" spans="2:22" ht="18" customHeight="1" x14ac:dyDescent="0.35">
      <c r="B7" s="217"/>
      <c r="C7" s="199">
        <f ca="1">OFFSET(C7,-1,0)+1</f>
        <v>2023</v>
      </c>
      <c r="D7" s="548">
        <v>1</v>
      </c>
      <c r="E7" s="781">
        <f t="shared" ref="E7:S7" si="2">IF(Learning_Scenario_X="Constant", 1, E47)</f>
        <v>1.0349999999999999</v>
      </c>
      <c r="F7" s="781">
        <f t="shared" si="2"/>
        <v>1.036</v>
      </c>
      <c r="G7" s="781">
        <f t="shared" si="2"/>
        <v>1.036</v>
      </c>
      <c r="H7" s="781">
        <f t="shared" si="2"/>
        <v>1.032</v>
      </c>
      <c r="I7" s="781">
        <f t="shared" si="2"/>
        <v>1.0329999999999999</v>
      </c>
      <c r="J7" s="781">
        <f t="shared" si="2"/>
        <v>1.0329999999999999</v>
      </c>
      <c r="K7" s="781">
        <f t="shared" si="2"/>
        <v>1.034</v>
      </c>
      <c r="L7" s="781">
        <f t="shared" si="2"/>
        <v>1.0349999999999999</v>
      </c>
      <c r="M7" s="781">
        <f t="shared" si="2"/>
        <v>1.0309999999999999</v>
      </c>
      <c r="N7" s="781">
        <f t="shared" si="2"/>
        <v>1.0329999999999999</v>
      </c>
      <c r="O7" s="781">
        <f t="shared" si="2"/>
        <v>1.034</v>
      </c>
      <c r="P7" s="781">
        <f t="shared" si="2"/>
        <v>1.034</v>
      </c>
      <c r="Q7" s="781">
        <f t="shared" si="2"/>
        <v>1.034</v>
      </c>
      <c r="R7" s="781">
        <f t="shared" si="2"/>
        <v>1.032</v>
      </c>
      <c r="S7" s="781">
        <f t="shared" si="2"/>
        <v>1.032</v>
      </c>
      <c r="T7" s="279"/>
      <c r="U7" s="550">
        <f t="shared" ca="1" si="1"/>
        <v>1.0349999999999999</v>
      </c>
      <c r="V7" s="220"/>
    </row>
    <row r="8" spans="2:22" ht="18" customHeight="1" x14ac:dyDescent="0.35">
      <c r="B8" s="217"/>
      <c r="C8" s="199">
        <f t="shared" ref="C8:C41" ca="1" si="3">OFFSET(C8,-1,0)+1</f>
        <v>2024</v>
      </c>
      <c r="D8" s="548">
        <v>1</v>
      </c>
      <c r="E8" s="781">
        <f t="shared" ref="E8:S8" si="4">IF(Learning_Scenario_X="Constant", 1, E48)</f>
        <v>1.028</v>
      </c>
      <c r="F8" s="781">
        <f t="shared" si="4"/>
        <v>1.028</v>
      </c>
      <c r="G8" s="781">
        <f t="shared" si="4"/>
        <v>1.028</v>
      </c>
      <c r="H8" s="781">
        <f t="shared" si="4"/>
        <v>1.0249999999999999</v>
      </c>
      <c r="I8" s="781">
        <f t="shared" si="4"/>
        <v>1.026</v>
      </c>
      <c r="J8" s="781">
        <f t="shared" si="4"/>
        <v>1.026</v>
      </c>
      <c r="K8" s="781">
        <f t="shared" si="4"/>
        <v>1.0269999999999999</v>
      </c>
      <c r="L8" s="781">
        <f t="shared" si="4"/>
        <v>1.0269999999999999</v>
      </c>
      <c r="M8" s="781">
        <f t="shared" si="4"/>
        <v>1.024</v>
      </c>
      <c r="N8" s="781">
        <f t="shared" si="4"/>
        <v>1.026</v>
      </c>
      <c r="O8" s="781">
        <f t="shared" si="4"/>
        <v>1.026</v>
      </c>
      <c r="P8" s="781">
        <f t="shared" si="4"/>
        <v>1.026</v>
      </c>
      <c r="Q8" s="781">
        <f t="shared" si="4"/>
        <v>1.0269999999999999</v>
      </c>
      <c r="R8" s="781">
        <f t="shared" si="4"/>
        <v>1.0249999999999999</v>
      </c>
      <c r="S8" s="781">
        <f t="shared" si="4"/>
        <v>1.0249999999999999</v>
      </c>
      <c r="T8" s="279"/>
      <c r="U8" s="550">
        <f t="shared" ca="1" si="1"/>
        <v>1.028</v>
      </c>
      <c r="V8" s="220"/>
    </row>
    <row r="9" spans="2:22" ht="18" customHeight="1" x14ac:dyDescent="0.35">
      <c r="B9" s="217"/>
      <c r="C9" s="199">
        <f t="shared" ca="1" si="3"/>
        <v>2025</v>
      </c>
      <c r="D9" s="548">
        <v>1</v>
      </c>
      <c r="E9" s="781">
        <f t="shared" ref="E9:S9" si="5">IF(Learning_Scenario_X="Constant", 1, E49)</f>
        <v>1.02</v>
      </c>
      <c r="F9" s="781">
        <f t="shared" si="5"/>
        <v>1.0209999999999999</v>
      </c>
      <c r="G9" s="781">
        <f t="shared" si="5"/>
        <v>1.0209999999999999</v>
      </c>
      <c r="H9" s="781">
        <f t="shared" si="5"/>
        <v>1.0189999999999999</v>
      </c>
      <c r="I9" s="781">
        <f t="shared" si="5"/>
        <v>1.0189999999999999</v>
      </c>
      <c r="J9" s="781">
        <f t="shared" si="5"/>
        <v>1.0189999999999999</v>
      </c>
      <c r="K9" s="781">
        <f t="shared" si="5"/>
        <v>1.0189999999999999</v>
      </c>
      <c r="L9" s="781">
        <f t="shared" si="5"/>
        <v>1.02</v>
      </c>
      <c r="M9" s="781">
        <f t="shared" si="5"/>
        <v>1.018</v>
      </c>
      <c r="N9" s="781">
        <f t="shared" si="5"/>
        <v>1.0189999999999999</v>
      </c>
      <c r="O9" s="781">
        <f t="shared" si="5"/>
        <v>1.0189999999999999</v>
      </c>
      <c r="P9" s="781">
        <f t="shared" si="5"/>
        <v>1.0189999999999999</v>
      </c>
      <c r="Q9" s="781">
        <f t="shared" si="5"/>
        <v>1.0189999999999999</v>
      </c>
      <c r="R9" s="781">
        <f t="shared" si="5"/>
        <v>1.0189999999999999</v>
      </c>
      <c r="S9" s="781">
        <f t="shared" si="5"/>
        <v>1.018</v>
      </c>
      <c r="T9" s="279"/>
      <c r="U9" s="550">
        <f t="shared" ca="1" si="1"/>
        <v>1.02</v>
      </c>
      <c r="V9" s="220"/>
    </row>
    <row r="10" spans="2:22" ht="18" customHeight="1" x14ac:dyDescent="0.35">
      <c r="B10" s="217"/>
      <c r="C10" s="199">
        <f t="shared" ca="1" si="3"/>
        <v>2026</v>
      </c>
      <c r="D10" s="548">
        <v>1</v>
      </c>
      <c r="E10" s="781">
        <f t="shared" ref="E10:S10" si="6">IF(Learning_Scenario_X="Constant", 1, E50)</f>
        <v>1.0129999999999999</v>
      </c>
      <c r="F10" s="781">
        <f t="shared" si="6"/>
        <v>1.014</v>
      </c>
      <c r="G10" s="781">
        <f t="shared" si="6"/>
        <v>1.014</v>
      </c>
      <c r="H10" s="781">
        <f t="shared" si="6"/>
        <v>1.012</v>
      </c>
      <c r="I10" s="781">
        <f t="shared" si="6"/>
        <v>1.012</v>
      </c>
      <c r="J10" s="781">
        <f t="shared" si="6"/>
        <v>1.012</v>
      </c>
      <c r="K10" s="781">
        <f t="shared" si="6"/>
        <v>1.0129999999999999</v>
      </c>
      <c r="L10" s="781">
        <f t="shared" si="6"/>
        <v>1.0129999999999999</v>
      </c>
      <c r="M10" s="781">
        <f t="shared" si="6"/>
        <v>1.012</v>
      </c>
      <c r="N10" s="781">
        <f t="shared" si="6"/>
        <v>1.012</v>
      </c>
      <c r="O10" s="781">
        <f t="shared" si="6"/>
        <v>1.0129999999999999</v>
      </c>
      <c r="P10" s="781">
        <f t="shared" si="6"/>
        <v>1.0129999999999999</v>
      </c>
      <c r="Q10" s="781">
        <f t="shared" si="6"/>
        <v>1.0129999999999999</v>
      </c>
      <c r="R10" s="781">
        <f t="shared" si="6"/>
        <v>1.012</v>
      </c>
      <c r="S10" s="781">
        <f t="shared" si="6"/>
        <v>1.012</v>
      </c>
      <c r="T10" s="279"/>
      <c r="U10" s="550">
        <f t="shared" ca="1" si="1"/>
        <v>1.0129999999999999</v>
      </c>
      <c r="V10" s="220"/>
    </row>
    <row r="11" spans="2:22" ht="18" customHeight="1" x14ac:dyDescent="0.35">
      <c r="B11" s="217"/>
      <c r="C11" s="199">
        <f t="shared" ca="1" si="3"/>
        <v>2027</v>
      </c>
      <c r="D11" s="548">
        <v>1</v>
      </c>
      <c r="E11" s="781">
        <f t="shared" ref="E11:S11" si="7">IF(Learning_Scenario_X="Constant", 1, E51)</f>
        <v>1.006</v>
      </c>
      <c r="F11" s="781">
        <f t="shared" si="7"/>
        <v>1.0069999999999999</v>
      </c>
      <c r="G11" s="781">
        <f t="shared" si="7"/>
        <v>1.0069999999999999</v>
      </c>
      <c r="H11" s="781">
        <f t="shared" si="7"/>
        <v>1.006</v>
      </c>
      <c r="I11" s="781">
        <f t="shared" si="7"/>
        <v>1.006</v>
      </c>
      <c r="J11" s="781">
        <f t="shared" si="7"/>
        <v>1.006</v>
      </c>
      <c r="K11" s="781">
        <f t="shared" si="7"/>
        <v>1.006</v>
      </c>
      <c r="L11" s="781">
        <f t="shared" si="7"/>
        <v>1.006</v>
      </c>
      <c r="M11" s="781">
        <f t="shared" si="7"/>
        <v>1.006</v>
      </c>
      <c r="N11" s="781">
        <f t="shared" si="7"/>
        <v>1.006</v>
      </c>
      <c r="O11" s="781">
        <f t="shared" si="7"/>
        <v>1.006</v>
      </c>
      <c r="P11" s="781">
        <f t="shared" si="7"/>
        <v>1.006</v>
      </c>
      <c r="Q11" s="781">
        <f t="shared" si="7"/>
        <v>1.006</v>
      </c>
      <c r="R11" s="781">
        <f t="shared" si="7"/>
        <v>1.006</v>
      </c>
      <c r="S11" s="781">
        <f t="shared" si="7"/>
        <v>1.006</v>
      </c>
      <c r="T11" s="279"/>
      <c r="U11" s="550">
        <f t="shared" ca="1" si="1"/>
        <v>1.006</v>
      </c>
      <c r="V11" s="220"/>
    </row>
    <row r="12" spans="2:22" ht="18" customHeight="1" x14ac:dyDescent="0.35">
      <c r="B12" s="217"/>
      <c r="C12" s="199">
        <f t="shared" ca="1" si="3"/>
        <v>2028</v>
      </c>
      <c r="D12" s="548">
        <v>1</v>
      </c>
      <c r="E12" s="781">
        <f t="shared" ref="E12:S12" si="8">IF(Learning_Scenario_X="Constant", 1, E52)</f>
        <v>1</v>
      </c>
      <c r="F12" s="781">
        <f t="shared" si="8"/>
        <v>1</v>
      </c>
      <c r="G12" s="781">
        <f t="shared" si="8"/>
        <v>1</v>
      </c>
      <c r="H12" s="781">
        <f t="shared" si="8"/>
        <v>1</v>
      </c>
      <c r="I12" s="781">
        <f t="shared" si="8"/>
        <v>1</v>
      </c>
      <c r="J12" s="781">
        <f t="shared" si="8"/>
        <v>1</v>
      </c>
      <c r="K12" s="781">
        <f t="shared" si="8"/>
        <v>1</v>
      </c>
      <c r="L12" s="781">
        <f t="shared" si="8"/>
        <v>1</v>
      </c>
      <c r="M12" s="781">
        <f t="shared" si="8"/>
        <v>1</v>
      </c>
      <c r="N12" s="781">
        <f t="shared" si="8"/>
        <v>1</v>
      </c>
      <c r="O12" s="781">
        <f t="shared" si="8"/>
        <v>1</v>
      </c>
      <c r="P12" s="781">
        <f t="shared" si="8"/>
        <v>1</v>
      </c>
      <c r="Q12" s="781">
        <f t="shared" si="8"/>
        <v>1</v>
      </c>
      <c r="R12" s="781">
        <f t="shared" si="8"/>
        <v>1</v>
      </c>
      <c r="S12" s="781">
        <f t="shared" si="8"/>
        <v>1</v>
      </c>
      <c r="T12" s="279"/>
      <c r="U12" s="550">
        <f t="shared" ca="1" si="1"/>
        <v>1</v>
      </c>
      <c r="V12" s="220"/>
    </row>
    <row r="13" spans="2:22" ht="18" customHeight="1" x14ac:dyDescent="0.35">
      <c r="B13" s="217"/>
      <c r="C13" s="199">
        <f t="shared" ca="1" si="3"/>
        <v>2029</v>
      </c>
      <c r="D13" s="548">
        <v>1</v>
      </c>
      <c r="E13" s="781">
        <f t="shared" ref="E13:S13" si="9">IF(Learning_Scenario_X="Constant", 1, E53)</f>
        <v>0.99399999999999999</v>
      </c>
      <c r="F13" s="781">
        <f t="shared" si="9"/>
        <v>0.99399999999999999</v>
      </c>
      <c r="G13" s="781">
        <f t="shared" si="9"/>
        <v>0.99399999999999999</v>
      </c>
      <c r="H13" s="781">
        <f t="shared" si="9"/>
        <v>0.99399999999999999</v>
      </c>
      <c r="I13" s="781">
        <f t="shared" si="9"/>
        <v>0.99399999999999999</v>
      </c>
      <c r="J13" s="781">
        <f t="shared" si="9"/>
        <v>0.99399999999999999</v>
      </c>
      <c r="K13" s="781">
        <f t="shared" si="9"/>
        <v>0.99399999999999999</v>
      </c>
      <c r="L13" s="781">
        <f t="shared" si="9"/>
        <v>0.99399999999999999</v>
      </c>
      <c r="M13" s="781">
        <f t="shared" si="9"/>
        <v>0.99399999999999999</v>
      </c>
      <c r="N13" s="781">
        <f t="shared" si="9"/>
        <v>0.99399999999999999</v>
      </c>
      <c r="O13" s="781">
        <f t="shared" si="9"/>
        <v>0.99399999999999999</v>
      </c>
      <c r="P13" s="781">
        <f t="shared" si="9"/>
        <v>0.99399999999999999</v>
      </c>
      <c r="Q13" s="781">
        <f t="shared" si="9"/>
        <v>0.99399999999999999</v>
      </c>
      <c r="R13" s="781">
        <f t="shared" si="9"/>
        <v>0.99399999999999999</v>
      </c>
      <c r="S13" s="781">
        <f t="shared" si="9"/>
        <v>0.99399999999999999</v>
      </c>
      <c r="T13" s="279"/>
      <c r="U13" s="550">
        <f t="shared" ca="1" si="1"/>
        <v>0.99399999999999999</v>
      </c>
      <c r="V13" s="220"/>
    </row>
    <row r="14" spans="2:22" ht="18" customHeight="1" x14ac:dyDescent="0.35">
      <c r="B14" s="217"/>
      <c r="C14" s="199">
        <f t="shared" ca="1" si="3"/>
        <v>2030</v>
      </c>
      <c r="D14" s="548">
        <v>1</v>
      </c>
      <c r="E14" s="781">
        <f t="shared" ref="E14:S14" si="10">IF(Learning_Scenario_X="Constant", 1, E54)</f>
        <v>0.98799999999999999</v>
      </c>
      <c r="F14" s="781">
        <f t="shared" si="10"/>
        <v>0.98699999999999999</v>
      </c>
      <c r="G14" s="781">
        <f t="shared" si="10"/>
        <v>0.98699999999999999</v>
      </c>
      <c r="H14" s="781">
        <f t="shared" si="10"/>
        <v>0.98899999999999999</v>
      </c>
      <c r="I14" s="781">
        <f t="shared" si="10"/>
        <v>0.98899999999999999</v>
      </c>
      <c r="J14" s="781">
        <f t="shared" si="10"/>
        <v>0.98799999999999999</v>
      </c>
      <c r="K14" s="781">
        <f t="shared" si="10"/>
        <v>0.98799999999999999</v>
      </c>
      <c r="L14" s="781">
        <f t="shared" si="10"/>
        <v>0.98799999999999999</v>
      </c>
      <c r="M14" s="781">
        <f t="shared" si="10"/>
        <v>0.98899999999999999</v>
      </c>
      <c r="N14" s="781">
        <f t="shared" si="10"/>
        <v>0.98799999999999999</v>
      </c>
      <c r="O14" s="781">
        <f t="shared" si="10"/>
        <v>0.98799999999999999</v>
      </c>
      <c r="P14" s="781">
        <f t="shared" si="10"/>
        <v>0.98799999999999999</v>
      </c>
      <c r="Q14" s="781">
        <f t="shared" si="10"/>
        <v>0.98799999999999999</v>
      </c>
      <c r="R14" s="781">
        <f t="shared" si="10"/>
        <v>0.98899999999999999</v>
      </c>
      <c r="S14" s="781">
        <f t="shared" si="10"/>
        <v>0.98899999999999999</v>
      </c>
      <c r="T14" s="279"/>
      <c r="U14" s="550">
        <f t="shared" ca="1" si="1"/>
        <v>0.98799999999999999</v>
      </c>
      <c r="V14" s="220"/>
    </row>
    <row r="15" spans="2:22" ht="18" customHeight="1" x14ac:dyDescent="0.35">
      <c r="B15" s="217"/>
      <c r="C15" s="199">
        <f t="shared" ca="1" si="3"/>
        <v>2031</v>
      </c>
      <c r="D15" s="548">
        <v>1</v>
      </c>
      <c r="E15" s="781">
        <f t="shared" ref="E15:S15" si="11">IF(Learning_Scenario_X="Constant", 1, E55)</f>
        <v>0.98199999999999998</v>
      </c>
      <c r="F15" s="781">
        <f t="shared" si="11"/>
        <v>0.98099999999999998</v>
      </c>
      <c r="G15" s="781">
        <f t="shared" si="11"/>
        <v>0.98099999999999998</v>
      </c>
      <c r="H15" s="781">
        <f t="shared" si="11"/>
        <v>0.98299999999999998</v>
      </c>
      <c r="I15" s="781">
        <f t="shared" si="11"/>
        <v>0.98299999999999998</v>
      </c>
      <c r="J15" s="781">
        <f t="shared" si="11"/>
        <v>0.98299999999999998</v>
      </c>
      <c r="K15" s="781">
        <f t="shared" si="11"/>
        <v>0.98199999999999998</v>
      </c>
      <c r="L15" s="781">
        <f t="shared" si="11"/>
        <v>0.98199999999999998</v>
      </c>
      <c r="M15" s="781">
        <f t="shared" si="11"/>
        <v>0.98399999999999999</v>
      </c>
      <c r="N15" s="781">
        <f t="shared" si="11"/>
        <v>0.98299999999999998</v>
      </c>
      <c r="O15" s="781">
        <f t="shared" si="11"/>
        <v>0.98299999999999998</v>
      </c>
      <c r="P15" s="781">
        <f t="shared" si="11"/>
        <v>0.98299999999999998</v>
      </c>
      <c r="Q15" s="781">
        <f t="shared" si="11"/>
        <v>0.98199999999999998</v>
      </c>
      <c r="R15" s="781">
        <f t="shared" si="11"/>
        <v>0.98299999999999998</v>
      </c>
      <c r="S15" s="781">
        <f t="shared" si="11"/>
        <v>0.98299999999999998</v>
      </c>
      <c r="T15" s="279"/>
      <c r="U15" s="550">
        <f t="shared" ca="1" si="1"/>
        <v>0.98199999999999998</v>
      </c>
      <c r="V15" s="220"/>
    </row>
    <row r="16" spans="2:22" ht="18" customHeight="1" x14ac:dyDescent="0.35">
      <c r="B16" s="217"/>
      <c r="C16" s="199">
        <f t="shared" ca="1" si="3"/>
        <v>2032</v>
      </c>
      <c r="D16" s="548">
        <v>1</v>
      </c>
      <c r="E16" s="781">
        <f t="shared" ref="E16:S16" si="12">IF(Learning_Scenario_X="Constant", 1, E56)</f>
        <v>0.97599999999999998</v>
      </c>
      <c r="F16" s="781">
        <f t="shared" si="12"/>
        <v>0.97599999999999998</v>
      </c>
      <c r="G16" s="781">
        <f t="shared" si="12"/>
        <v>0.97499999999999998</v>
      </c>
      <c r="H16" s="781">
        <f t="shared" si="12"/>
        <v>0.97799999999999998</v>
      </c>
      <c r="I16" s="781">
        <f t="shared" si="12"/>
        <v>0.97799999999999998</v>
      </c>
      <c r="J16" s="781">
        <f t="shared" si="12"/>
        <v>0.97699999999999998</v>
      </c>
      <c r="K16" s="781">
        <f t="shared" si="12"/>
        <v>0.97699999999999998</v>
      </c>
      <c r="L16" s="781">
        <f t="shared" si="12"/>
        <v>0.97599999999999998</v>
      </c>
      <c r="M16" s="781">
        <f t="shared" si="12"/>
        <v>0.97899999999999998</v>
      </c>
      <c r="N16" s="781">
        <f t="shared" si="12"/>
        <v>0.97699999999999998</v>
      </c>
      <c r="O16" s="781">
        <f t="shared" si="12"/>
        <v>0.97699999999999998</v>
      </c>
      <c r="P16" s="781">
        <f t="shared" si="12"/>
        <v>0.97699999999999998</v>
      </c>
      <c r="Q16" s="781">
        <f t="shared" si="12"/>
        <v>0.97699999999999998</v>
      </c>
      <c r="R16" s="781">
        <f t="shared" si="12"/>
        <v>0.97799999999999998</v>
      </c>
      <c r="S16" s="781">
        <f t="shared" si="12"/>
        <v>0.97799999999999998</v>
      </c>
      <c r="T16" s="279"/>
      <c r="U16" s="550">
        <f t="shared" ca="1" si="1"/>
        <v>0.97599999999999998</v>
      </c>
      <c r="V16" s="220"/>
    </row>
    <row r="17" spans="2:22" ht="18" customHeight="1" x14ac:dyDescent="0.35">
      <c r="B17" s="217"/>
      <c r="C17" s="199">
        <f t="shared" ca="1" si="3"/>
        <v>2033</v>
      </c>
      <c r="D17" s="548">
        <v>1</v>
      </c>
      <c r="E17" s="781">
        <f t="shared" ref="E17:S17" si="13">IF(Learning_Scenario_X="Constant", 1, E57)</f>
        <v>0.97</v>
      </c>
      <c r="F17" s="781">
        <f t="shared" si="13"/>
        <v>0.97</v>
      </c>
      <c r="G17" s="781">
        <f t="shared" si="13"/>
        <v>0.97</v>
      </c>
      <c r="H17" s="781">
        <f t="shared" si="13"/>
        <v>0.97299999999999998</v>
      </c>
      <c r="I17" s="781">
        <f t="shared" si="13"/>
        <v>0.97299999999999998</v>
      </c>
      <c r="J17" s="781">
        <f t="shared" si="13"/>
        <v>0.97199999999999998</v>
      </c>
      <c r="K17" s="781">
        <f t="shared" si="13"/>
        <v>0.97199999999999998</v>
      </c>
      <c r="L17" s="781">
        <f t="shared" si="13"/>
        <v>0.97099999999999997</v>
      </c>
      <c r="M17" s="781">
        <f t="shared" si="13"/>
        <v>0.97399999999999998</v>
      </c>
      <c r="N17" s="781">
        <f t="shared" si="13"/>
        <v>0.97199999999999998</v>
      </c>
      <c r="O17" s="781">
        <f t="shared" si="13"/>
        <v>0.97199999999999998</v>
      </c>
      <c r="P17" s="781">
        <f t="shared" si="13"/>
        <v>0.97199999999999998</v>
      </c>
      <c r="Q17" s="781">
        <f t="shared" si="13"/>
        <v>0.97199999999999998</v>
      </c>
      <c r="R17" s="781">
        <f t="shared" si="13"/>
        <v>0.97299999999999998</v>
      </c>
      <c r="S17" s="781">
        <f t="shared" si="13"/>
        <v>0.97299999999999998</v>
      </c>
      <c r="T17" s="279"/>
      <c r="U17" s="550">
        <f t="shared" ca="1" si="1"/>
        <v>0.97</v>
      </c>
      <c r="V17" s="220"/>
    </row>
    <row r="18" spans="2:22" ht="18" customHeight="1" x14ac:dyDescent="0.35">
      <c r="B18" s="217"/>
      <c r="C18" s="199">
        <f t="shared" ca="1" si="3"/>
        <v>2034</v>
      </c>
      <c r="D18" s="548">
        <v>1</v>
      </c>
      <c r="E18" s="781">
        <f t="shared" ref="E18:S18" si="14">IF(Learning_Scenario_X="Constant", 1, E58)</f>
        <v>0.96499999999999997</v>
      </c>
      <c r="F18" s="781">
        <f t="shared" si="14"/>
        <v>0.96399999999999997</v>
      </c>
      <c r="G18" s="781">
        <f t="shared" si="14"/>
        <v>0.96399999999999997</v>
      </c>
      <c r="H18" s="781">
        <f t="shared" si="14"/>
        <v>0.96799999999999997</v>
      </c>
      <c r="I18" s="781">
        <f t="shared" si="14"/>
        <v>0.96799999999999997</v>
      </c>
      <c r="J18" s="781">
        <f t="shared" si="14"/>
        <v>0.96699999999999997</v>
      </c>
      <c r="K18" s="781">
        <f t="shared" si="14"/>
        <v>0.96599999999999997</v>
      </c>
      <c r="L18" s="781">
        <f t="shared" si="14"/>
        <v>0.96599999999999997</v>
      </c>
      <c r="M18" s="781">
        <f t="shared" si="14"/>
        <v>0.96899999999999997</v>
      </c>
      <c r="N18" s="781">
        <f t="shared" si="14"/>
        <v>0.96699999999999997</v>
      </c>
      <c r="O18" s="781">
        <f t="shared" si="14"/>
        <v>0.96699999999999997</v>
      </c>
      <c r="P18" s="781">
        <f t="shared" si="14"/>
        <v>0.96699999999999997</v>
      </c>
      <c r="Q18" s="781">
        <f t="shared" si="14"/>
        <v>0.96599999999999997</v>
      </c>
      <c r="R18" s="781">
        <f t="shared" si="14"/>
        <v>0.96799999999999997</v>
      </c>
      <c r="S18" s="781">
        <f t="shared" si="14"/>
        <v>0.96799999999999997</v>
      </c>
      <c r="T18" s="279"/>
      <c r="U18" s="550">
        <f t="shared" ca="1" si="1"/>
        <v>0.96499999999999997</v>
      </c>
      <c r="V18" s="220"/>
    </row>
    <row r="19" spans="2:22" ht="18" customHeight="1" x14ac:dyDescent="0.35">
      <c r="B19" s="217"/>
      <c r="C19" s="199">
        <f t="shared" ca="1" si="3"/>
        <v>2035</v>
      </c>
      <c r="D19" s="548">
        <v>1</v>
      </c>
      <c r="E19" s="781">
        <f t="shared" ref="E19:S19" si="15">IF(Learning_Scenario_X="Constant", 1, E59)</f>
        <v>0.96</v>
      </c>
      <c r="F19" s="781">
        <f t="shared" si="15"/>
        <v>0.95899999999999996</v>
      </c>
      <c r="G19" s="781">
        <f t="shared" si="15"/>
        <v>0.95899999999999996</v>
      </c>
      <c r="H19" s="781">
        <f t="shared" si="15"/>
        <v>0.96299999999999997</v>
      </c>
      <c r="I19" s="781">
        <f t="shared" si="15"/>
        <v>0.96299999999999997</v>
      </c>
      <c r="J19" s="781">
        <f t="shared" si="15"/>
        <v>0.96199999999999997</v>
      </c>
      <c r="K19" s="781">
        <f t="shared" si="15"/>
        <v>0.96099999999999997</v>
      </c>
      <c r="L19" s="781">
        <f t="shared" si="15"/>
        <v>0.96</v>
      </c>
      <c r="M19" s="781">
        <f t="shared" si="15"/>
        <v>0.96499999999999997</v>
      </c>
      <c r="N19" s="781">
        <f t="shared" si="15"/>
        <v>0.96199999999999997</v>
      </c>
      <c r="O19" s="781">
        <f t="shared" si="15"/>
        <v>0.96199999999999997</v>
      </c>
      <c r="P19" s="781">
        <f t="shared" si="15"/>
        <v>0.96099999999999997</v>
      </c>
      <c r="Q19" s="781">
        <f t="shared" si="15"/>
        <v>0.96099999999999997</v>
      </c>
      <c r="R19" s="781">
        <f t="shared" si="15"/>
        <v>0.96299999999999997</v>
      </c>
      <c r="S19" s="781">
        <f t="shared" si="15"/>
        <v>0.96299999999999997</v>
      </c>
      <c r="T19" s="279"/>
      <c r="U19" s="550">
        <f t="shared" ca="1" si="1"/>
        <v>0.96</v>
      </c>
      <c r="V19" s="220"/>
    </row>
    <row r="20" spans="2:22" ht="18" customHeight="1" x14ac:dyDescent="0.35">
      <c r="B20" s="217"/>
      <c r="C20" s="199">
        <f t="shared" ca="1" si="3"/>
        <v>2036</v>
      </c>
      <c r="D20" s="548">
        <v>1</v>
      </c>
      <c r="E20" s="781">
        <f t="shared" ref="E20:S20" si="16">IF(Learning_Scenario_X="Constant", 1, E60)</f>
        <v>0.95499999999999996</v>
      </c>
      <c r="F20" s="781">
        <f t="shared" si="16"/>
        <v>0.95399999999999996</v>
      </c>
      <c r="G20" s="781">
        <f t="shared" si="16"/>
        <v>0.95299999999999996</v>
      </c>
      <c r="H20" s="781">
        <f t="shared" si="16"/>
        <v>0.95799999999999996</v>
      </c>
      <c r="I20" s="781">
        <f t="shared" si="16"/>
        <v>0.95799999999999996</v>
      </c>
      <c r="J20" s="781">
        <f t="shared" si="16"/>
        <v>0.95699999999999996</v>
      </c>
      <c r="K20" s="781">
        <f t="shared" si="16"/>
        <v>0.95599999999999996</v>
      </c>
      <c r="L20" s="781">
        <f t="shared" si="16"/>
        <v>0.95499999999999996</v>
      </c>
      <c r="M20" s="781">
        <f t="shared" si="16"/>
        <v>0.96</v>
      </c>
      <c r="N20" s="781">
        <f t="shared" si="16"/>
        <v>0.95699999999999996</v>
      </c>
      <c r="O20" s="781">
        <f t="shared" si="16"/>
        <v>0.95699999999999996</v>
      </c>
      <c r="P20" s="781">
        <f t="shared" si="16"/>
        <v>0.95699999999999996</v>
      </c>
      <c r="Q20" s="781">
        <f t="shared" si="16"/>
        <v>0.95599999999999996</v>
      </c>
      <c r="R20" s="781">
        <f t="shared" si="16"/>
        <v>0.95799999999999996</v>
      </c>
      <c r="S20" s="781">
        <f t="shared" si="16"/>
        <v>0.95899999999999996</v>
      </c>
      <c r="T20" s="279"/>
      <c r="U20" s="550">
        <f t="shared" ca="1" si="1"/>
        <v>0.95499999999999996</v>
      </c>
      <c r="V20" s="220"/>
    </row>
    <row r="21" spans="2:22" ht="18" customHeight="1" x14ac:dyDescent="0.35">
      <c r="B21" s="217"/>
      <c r="C21" s="199">
        <f t="shared" ca="1" si="3"/>
        <v>2037</v>
      </c>
      <c r="D21" s="548">
        <v>1</v>
      </c>
      <c r="E21" s="781">
        <f t="shared" ref="E21:S21" si="17">IF(Learning_Scenario_X="Constant", 1, E61)</f>
        <v>0.95</v>
      </c>
      <c r="F21" s="781">
        <f t="shared" si="17"/>
        <v>0.94799999999999995</v>
      </c>
      <c r="G21" s="781">
        <f t="shared" si="17"/>
        <v>0.94799999999999995</v>
      </c>
      <c r="H21" s="781">
        <f t="shared" si="17"/>
        <v>0.95399999999999996</v>
      </c>
      <c r="I21" s="781">
        <f t="shared" si="17"/>
        <v>0.95299999999999996</v>
      </c>
      <c r="J21" s="781">
        <f t="shared" si="17"/>
        <v>0.95199999999999996</v>
      </c>
      <c r="K21" s="781">
        <f t="shared" si="17"/>
        <v>0.95099999999999996</v>
      </c>
      <c r="L21" s="781">
        <f t="shared" si="17"/>
        <v>0.95</v>
      </c>
      <c r="M21" s="781">
        <f t="shared" si="17"/>
        <v>0.95599999999999996</v>
      </c>
      <c r="N21" s="781">
        <f t="shared" si="17"/>
        <v>0.95299999999999996</v>
      </c>
      <c r="O21" s="781">
        <f t="shared" si="17"/>
        <v>0.95199999999999996</v>
      </c>
      <c r="P21" s="781">
        <f t="shared" si="17"/>
        <v>0.95199999999999996</v>
      </c>
      <c r="Q21" s="781">
        <f t="shared" si="17"/>
        <v>0.95099999999999996</v>
      </c>
      <c r="R21" s="781">
        <f t="shared" si="17"/>
        <v>0.95399999999999996</v>
      </c>
      <c r="S21" s="781">
        <f t="shared" si="17"/>
        <v>0.95399999999999996</v>
      </c>
      <c r="T21" s="279"/>
      <c r="U21" s="550">
        <f t="shared" ca="1" si="1"/>
        <v>0.95</v>
      </c>
      <c r="V21" s="220"/>
    </row>
    <row r="22" spans="2:22" ht="18" customHeight="1" x14ac:dyDescent="0.35">
      <c r="B22" s="217"/>
      <c r="C22" s="199">
        <f t="shared" ca="1" si="3"/>
        <v>2038</v>
      </c>
      <c r="D22" s="548">
        <v>1</v>
      </c>
      <c r="E22" s="781">
        <f t="shared" ref="E22:S22" si="18">IF(Learning_Scenario_X="Constant", 1, E62)</f>
        <v>0.94499999999999995</v>
      </c>
      <c r="F22" s="781">
        <f t="shared" si="18"/>
        <v>0.94299999999999995</v>
      </c>
      <c r="G22" s="781">
        <f t="shared" si="18"/>
        <v>0.94299999999999995</v>
      </c>
      <c r="H22" s="781">
        <f t="shared" si="18"/>
        <v>0.94899999999999995</v>
      </c>
      <c r="I22" s="781">
        <f t="shared" si="18"/>
        <v>0.94899999999999995</v>
      </c>
      <c r="J22" s="781">
        <f t="shared" si="18"/>
        <v>0.94799999999999995</v>
      </c>
      <c r="K22" s="781">
        <f t="shared" si="18"/>
        <v>0.94699999999999995</v>
      </c>
      <c r="L22" s="781">
        <f t="shared" si="18"/>
        <v>0.94599999999999995</v>
      </c>
      <c r="M22" s="781">
        <f t="shared" si="18"/>
        <v>0.95099999999999996</v>
      </c>
      <c r="N22" s="781">
        <f t="shared" si="18"/>
        <v>0.94799999999999995</v>
      </c>
      <c r="O22" s="781">
        <f t="shared" si="18"/>
        <v>0.94699999999999995</v>
      </c>
      <c r="P22" s="781">
        <f t="shared" si="18"/>
        <v>0.94699999999999995</v>
      </c>
      <c r="Q22" s="781">
        <f t="shared" si="18"/>
        <v>0.94699999999999995</v>
      </c>
      <c r="R22" s="781">
        <f t="shared" si="18"/>
        <v>0.94899999999999995</v>
      </c>
      <c r="S22" s="781">
        <f t="shared" si="18"/>
        <v>0.95</v>
      </c>
      <c r="T22" s="279"/>
      <c r="U22" s="550">
        <f t="shared" ca="1" si="1"/>
        <v>0.94499999999999995</v>
      </c>
      <c r="V22" s="220"/>
    </row>
    <row r="23" spans="2:22" ht="18" customHeight="1" x14ac:dyDescent="0.35">
      <c r="B23" s="217"/>
      <c r="C23" s="199">
        <f t="shared" ca="1" si="3"/>
        <v>2039</v>
      </c>
      <c r="D23" s="548">
        <v>1</v>
      </c>
      <c r="E23" s="781">
        <f t="shared" ref="E23:S23" si="19">IF(Learning_Scenario_X="Constant", 1, E63)</f>
        <v>0.94</v>
      </c>
      <c r="F23" s="781">
        <f t="shared" si="19"/>
        <v>0.93799999999999994</v>
      </c>
      <c r="G23" s="781">
        <f t="shared" si="19"/>
        <v>0.93799999999999994</v>
      </c>
      <c r="H23" s="781">
        <f t="shared" si="19"/>
        <v>0.94499999999999995</v>
      </c>
      <c r="I23" s="781">
        <f t="shared" si="19"/>
        <v>0.94399999999999995</v>
      </c>
      <c r="J23" s="781">
        <f t="shared" si="19"/>
        <v>0.94299999999999995</v>
      </c>
      <c r="K23" s="781">
        <f t="shared" si="19"/>
        <v>0.94199999999999995</v>
      </c>
      <c r="L23" s="781">
        <f t="shared" si="19"/>
        <v>0.94099999999999995</v>
      </c>
      <c r="M23" s="781">
        <f t="shared" si="19"/>
        <v>0.94699999999999995</v>
      </c>
      <c r="N23" s="781">
        <f t="shared" si="19"/>
        <v>0.94299999999999995</v>
      </c>
      <c r="O23" s="781">
        <f t="shared" si="19"/>
        <v>0.94299999999999995</v>
      </c>
      <c r="P23" s="781">
        <f t="shared" si="19"/>
        <v>0.94199999999999995</v>
      </c>
      <c r="Q23" s="781">
        <f t="shared" si="19"/>
        <v>0.94199999999999995</v>
      </c>
      <c r="R23" s="781">
        <f t="shared" si="19"/>
        <v>0.94499999999999995</v>
      </c>
      <c r="S23" s="781">
        <f t="shared" si="19"/>
        <v>0.94499999999999995</v>
      </c>
      <c r="T23" s="279"/>
      <c r="U23" s="550">
        <f t="shared" ca="1" si="1"/>
        <v>0.94</v>
      </c>
      <c r="V23" s="220"/>
    </row>
    <row r="24" spans="2:22" ht="18" customHeight="1" x14ac:dyDescent="0.35">
      <c r="B24" s="217"/>
      <c r="C24" s="199">
        <f t="shared" ca="1" si="3"/>
        <v>2040</v>
      </c>
      <c r="D24" s="548">
        <v>1</v>
      </c>
      <c r="E24" s="781">
        <f t="shared" ref="E24:S24" si="20">IF(Learning_Scenario_X="Constant", 1, E64)</f>
        <v>0.93500000000000005</v>
      </c>
      <c r="F24" s="781">
        <f t="shared" si="20"/>
        <v>0.93400000000000005</v>
      </c>
      <c r="G24" s="781">
        <f t="shared" si="20"/>
        <v>0.93300000000000005</v>
      </c>
      <c r="H24" s="781">
        <f t="shared" si="20"/>
        <v>0.94</v>
      </c>
      <c r="I24" s="781">
        <f t="shared" si="20"/>
        <v>0.94</v>
      </c>
      <c r="J24" s="781">
        <f t="shared" si="20"/>
        <v>0.93899999999999995</v>
      </c>
      <c r="K24" s="781">
        <f t="shared" si="20"/>
        <v>0.93700000000000006</v>
      </c>
      <c r="L24" s="781">
        <f t="shared" si="20"/>
        <v>0.93600000000000005</v>
      </c>
      <c r="M24" s="781">
        <f t="shared" si="20"/>
        <v>0.94299999999999995</v>
      </c>
      <c r="N24" s="781">
        <f t="shared" si="20"/>
        <v>0.93899999999999995</v>
      </c>
      <c r="O24" s="781">
        <f t="shared" si="20"/>
        <v>0.93799999999999994</v>
      </c>
      <c r="P24" s="781">
        <f t="shared" si="20"/>
        <v>0.93799999999999994</v>
      </c>
      <c r="Q24" s="781">
        <f t="shared" si="20"/>
        <v>0.93700000000000006</v>
      </c>
      <c r="R24" s="781">
        <f t="shared" si="20"/>
        <v>0.94</v>
      </c>
      <c r="S24" s="781">
        <f t="shared" si="20"/>
        <v>0.94099999999999995</v>
      </c>
      <c r="T24" s="279"/>
      <c r="U24" s="550">
        <f t="shared" ca="1" si="1"/>
        <v>0.93500000000000005</v>
      </c>
      <c r="V24" s="220"/>
    </row>
    <row r="25" spans="2:22" ht="18" customHeight="1" x14ac:dyDescent="0.35">
      <c r="B25" s="217"/>
      <c r="C25" s="199">
        <f t="shared" ca="1" si="3"/>
        <v>2041</v>
      </c>
      <c r="D25" s="548">
        <v>1</v>
      </c>
      <c r="E25" s="781">
        <f t="shared" ref="E25:S25" si="21">IF(Learning_Scenario_X="Constant", 1, E65)</f>
        <v>0.93</v>
      </c>
      <c r="F25" s="781">
        <f t="shared" si="21"/>
        <v>0.92900000000000005</v>
      </c>
      <c r="G25" s="781">
        <f t="shared" si="21"/>
        <v>0.92900000000000005</v>
      </c>
      <c r="H25" s="781">
        <f t="shared" si="21"/>
        <v>0.93600000000000005</v>
      </c>
      <c r="I25" s="781">
        <f t="shared" si="21"/>
        <v>0.93600000000000005</v>
      </c>
      <c r="J25" s="781">
        <f t="shared" si="21"/>
        <v>0.93400000000000005</v>
      </c>
      <c r="K25" s="781">
        <f t="shared" si="21"/>
        <v>0.93300000000000005</v>
      </c>
      <c r="L25" s="781">
        <f t="shared" si="21"/>
        <v>0.93200000000000005</v>
      </c>
      <c r="M25" s="781">
        <f t="shared" si="21"/>
        <v>0.93899999999999995</v>
      </c>
      <c r="N25" s="781">
        <f t="shared" si="21"/>
        <v>0.93500000000000005</v>
      </c>
      <c r="O25" s="781">
        <f t="shared" si="21"/>
        <v>0.93400000000000005</v>
      </c>
      <c r="P25" s="781">
        <f t="shared" si="21"/>
        <v>0.93300000000000005</v>
      </c>
      <c r="Q25" s="781">
        <f t="shared" si="21"/>
        <v>0.93300000000000005</v>
      </c>
      <c r="R25" s="781">
        <f t="shared" si="21"/>
        <v>0.93600000000000005</v>
      </c>
      <c r="S25" s="781">
        <f t="shared" si="21"/>
        <v>0.93700000000000006</v>
      </c>
      <c r="T25" s="279"/>
      <c r="U25" s="550">
        <f t="shared" ca="1" si="1"/>
        <v>0.93</v>
      </c>
      <c r="V25" s="220"/>
    </row>
    <row r="26" spans="2:22" ht="18" customHeight="1" x14ac:dyDescent="0.35">
      <c r="B26" s="217"/>
      <c r="C26" s="199">
        <f t="shared" ca="1" si="3"/>
        <v>2042</v>
      </c>
      <c r="D26" s="548">
        <v>1</v>
      </c>
      <c r="E26" s="781">
        <f t="shared" ref="E26:S26" si="22">IF(Learning_Scenario_X="Constant", 1, E66)</f>
        <v>0.92600000000000005</v>
      </c>
      <c r="F26" s="781">
        <f t="shared" si="22"/>
        <v>0.92400000000000004</v>
      </c>
      <c r="G26" s="781">
        <f t="shared" si="22"/>
        <v>0.92400000000000004</v>
      </c>
      <c r="H26" s="781">
        <f t="shared" si="22"/>
        <v>0.93200000000000005</v>
      </c>
      <c r="I26" s="781">
        <f t="shared" si="22"/>
        <v>0.93100000000000005</v>
      </c>
      <c r="J26" s="781">
        <f t="shared" si="22"/>
        <v>0.93</v>
      </c>
      <c r="K26" s="781">
        <f t="shared" si="22"/>
        <v>0.92900000000000005</v>
      </c>
      <c r="L26" s="781">
        <f t="shared" si="22"/>
        <v>0.92700000000000005</v>
      </c>
      <c r="M26" s="781">
        <f t="shared" si="22"/>
        <v>0.93500000000000005</v>
      </c>
      <c r="N26" s="781">
        <f t="shared" si="22"/>
        <v>0.93</v>
      </c>
      <c r="O26" s="781">
        <f t="shared" si="22"/>
        <v>0.92900000000000005</v>
      </c>
      <c r="P26" s="781">
        <f t="shared" si="22"/>
        <v>0.92900000000000005</v>
      </c>
      <c r="Q26" s="781">
        <f t="shared" si="22"/>
        <v>0.92900000000000005</v>
      </c>
      <c r="R26" s="781">
        <f t="shared" si="22"/>
        <v>0.93200000000000005</v>
      </c>
      <c r="S26" s="781">
        <f t="shared" si="22"/>
        <v>0.93200000000000005</v>
      </c>
      <c r="T26" s="279"/>
      <c r="U26" s="550">
        <f t="shared" ca="1" si="1"/>
        <v>0.92600000000000005</v>
      </c>
      <c r="V26" s="220"/>
    </row>
    <row r="27" spans="2:22" ht="18" customHeight="1" x14ac:dyDescent="0.35">
      <c r="B27" s="217"/>
      <c r="C27" s="199">
        <f t="shared" ca="1" si="3"/>
        <v>2043</v>
      </c>
      <c r="D27" s="548">
        <v>1</v>
      </c>
      <c r="E27" s="781">
        <f t="shared" ref="E27:S27" si="23">IF(Learning_Scenario_X="Constant", 1, E67)</f>
        <v>0.92100000000000004</v>
      </c>
      <c r="F27" s="781">
        <f t="shared" si="23"/>
        <v>0.92</v>
      </c>
      <c r="G27" s="781">
        <f t="shared" si="23"/>
        <v>0.91900000000000004</v>
      </c>
      <c r="H27" s="781">
        <f t="shared" si="23"/>
        <v>0.92800000000000005</v>
      </c>
      <c r="I27" s="781">
        <f t="shared" si="23"/>
        <v>0.92700000000000005</v>
      </c>
      <c r="J27" s="781">
        <f t="shared" si="23"/>
        <v>0.92600000000000005</v>
      </c>
      <c r="K27" s="781">
        <f t="shared" si="23"/>
        <v>0.92400000000000004</v>
      </c>
      <c r="L27" s="781">
        <f t="shared" si="23"/>
        <v>0.92300000000000004</v>
      </c>
      <c r="M27" s="781">
        <f t="shared" si="23"/>
        <v>0.93100000000000005</v>
      </c>
      <c r="N27" s="781">
        <f t="shared" si="23"/>
        <v>0.92600000000000005</v>
      </c>
      <c r="O27" s="781">
        <f t="shared" si="23"/>
        <v>0.92500000000000004</v>
      </c>
      <c r="P27" s="781">
        <f t="shared" si="23"/>
        <v>0.92500000000000004</v>
      </c>
      <c r="Q27" s="781">
        <f t="shared" si="23"/>
        <v>0.92400000000000004</v>
      </c>
      <c r="R27" s="781">
        <f t="shared" si="23"/>
        <v>0.92800000000000005</v>
      </c>
      <c r="S27" s="781">
        <f t="shared" si="23"/>
        <v>0.92800000000000005</v>
      </c>
      <c r="T27" s="279"/>
      <c r="U27" s="550">
        <f t="shared" ca="1" si="1"/>
        <v>0.92100000000000004</v>
      </c>
      <c r="V27" s="220"/>
    </row>
    <row r="28" spans="2:22" ht="18" customHeight="1" x14ac:dyDescent="0.35">
      <c r="B28" s="217"/>
      <c r="C28" s="199">
        <f t="shared" ca="1" si="3"/>
        <v>2044</v>
      </c>
      <c r="D28" s="548">
        <v>1</v>
      </c>
      <c r="E28" s="781">
        <f t="shared" ref="E28:S28" si="24">IF(Learning_Scenario_X="Constant", 1, E68)</f>
        <v>0.91700000000000004</v>
      </c>
      <c r="F28" s="781">
        <f t="shared" si="24"/>
        <v>0.91500000000000004</v>
      </c>
      <c r="G28" s="781">
        <f t="shared" si="24"/>
        <v>0.91500000000000004</v>
      </c>
      <c r="H28" s="781">
        <f t="shared" si="24"/>
        <v>0.92400000000000004</v>
      </c>
      <c r="I28" s="781">
        <f t="shared" si="24"/>
        <v>0.92300000000000004</v>
      </c>
      <c r="J28" s="781">
        <f t="shared" si="24"/>
        <v>0.92200000000000004</v>
      </c>
      <c r="K28" s="781">
        <f t="shared" si="24"/>
        <v>0.92</v>
      </c>
      <c r="L28" s="781">
        <f t="shared" si="24"/>
        <v>0.91800000000000004</v>
      </c>
      <c r="M28" s="781">
        <f t="shared" si="24"/>
        <v>0.92700000000000005</v>
      </c>
      <c r="N28" s="781">
        <f t="shared" si="24"/>
        <v>0.92200000000000004</v>
      </c>
      <c r="O28" s="781">
        <f t="shared" si="24"/>
        <v>0.92100000000000004</v>
      </c>
      <c r="P28" s="781">
        <f t="shared" si="24"/>
        <v>0.92</v>
      </c>
      <c r="Q28" s="781">
        <f t="shared" si="24"/>
        <v>0.92</v>
      </c>
      <c r="R28" s="781">
        <f t="shared" si="24"/>
        <v>0.92400000000000004</v>
      </c>
      <c r="S28" s="781">
        <f t="shared" si="24"/>
        <v>0.92400000000000004</v>
      </c>
      <c r="T28" s="279"/>
      <c r="U28" s="550">
        <f t="shared" ca="1" si="1"/>
        <v>0.91700000000000004</v>
      </c>
      <c r="V28" s="220"/>
    </row>
    <row r="29" spans="2:22" ht="18" customHeight="1" x14ac:dyDescent="0.35">
      <c r="B29" s="217"/>
      <c r="C29" s="199">
        <f t="shared" ca="1" si="3"/>
        <v>2045</v>
      </c>
      <c r="D29" s="548">
        <v>1</v>
      </c>
      <c r="E29" s="781">
        <f t="shared" ref="E29:S29" si="25">IF(Learning_Scenario_X="Constant", 1, E69)</f>
        <v>0.91300000000000003</v>
      </c>
      <c r="F29" s="781">
        <f t="shared" si="25"/>
        <v>0.91100000000000003</v>
      </c>
      <c r="G29" s="781">
        <f t="shared" si="25"/>
        <v>0.91</v>
      </c>
      <c r="H29" s="781">
        <f t="shared" si="25"/>
        <v>0.92</v>
      </c>
      <c r="I29" s="781">
        <f t="shared" si="25"/>
        <v>0.91900000000000004</v>
      </c>
      <c r="J29" s="781">
        <f t="shared" si="25"/>
        <v>0.91800000000000004</v>
      </c>
      <c r="K29" s="781">
        <f t="shared" si="25"/>
        <v>0.91600000000000004</v>
      </c>
      <c r="L29" s="781">
        <f t="shared" si="25"/>
        <v>0.91400000000000003</v>
      </c>
      <c r="M29" s="781">
        <f t="shared" si="25"/>
        <v>0.92300000000000004</v>
      </c>
      <c r="N29" s="781">
        <f t="shared" si="25"/>
        <v>0.91800000000000004</v>
      </c>
      <c r="O29" s="781">
        <f t="shared" si="25"/>
        <v>0.91700000000000004</v>
      </c>
      <c r="P29" s="781">
        <f t="shared" si="25"/>
        <v>0.91600000000000004</v>
      </c>
      <c r="Q29" s="781">
        <f t="shared" si="25"/>
        <v>0.91600000000000004</v>
      </c>
      <c r="R29" s="781">
        <f t="shared" si="25"/>
        <v>0.92</v>
      </c>
      <c r="S29" s="781">
        <f t="shared" si="25"/>
        <v>0.92</v>
      </c>
      <c r="T29" s="279"/>
      <c r="U29" s="550">
        <f t="shared" ca="1" si="1"/>
        <v>0.91300000000000003</v>
      </c>
      <c r="V29" s="220"/>
    </row>
    <row r="30" spans="2:22" ht="18" customHeight="1" x14ac:dyDescent="0.35">
      <c r="B30" s="217"/>
      <c r="C30" s="199">
        <f t="shared" ca="1" si="3"/>
        <v>2046</v>
      </c>
      <c r="D30" s="548">
        <v>1</v>
      </c>
      <c r="E30" s="781">
        <f t="shared" ref="E30:S30" si="26">IF(Learning_Scenario_X="Constant", 1, E70)</f>
        <v>0.90800000000000003</v>
      </c>
      <c r="F30" s="781">
        <f t="shared" si="26"/>
        <v>0.90600000000000003</v>
      </c>
      <c r="G30" s="781">
        <f t="shared" si="26"/>
        <v>0.90600000000000003</v>
      </c>
      <c r="H30" s="781">
        <f t="shared" si="26"/>
        <v>0.91600000000000004</v>
      </c>
      <c r="I30" s="781">
        <f t="shared" si="26"/>
        <v>0.91500000000000004</v>
      </c>
      <c r="J30" s="781">
        <f t="shared" si="26"/>
        <v>0.91400000000000003</v>
      </c>
      <c r="K30" s="781">
        <f t="shared" si="26"/>
        <v>0.91200000000000003</v>
      </c>
      <c r="L30" s="781">
        <f t="shared" si="26"/>
        <v>0.91</v>
      </c>
      <c r="M30" s="781">
        <f t="shared" si="26"/>
        <v>0.91900000000000004</v>
      </c>
      <c r="N30" s="781">
        <f t="shared" si="26"/>
        <v>0.91400000000000003</v>
      </c>
      <c r="O30" s="781">
        <f t="shared" si="26"/>
        <v>0.91300000000000003</v>
      </c>
      <c r="P30" s="781">
        <f t="shared" si="26"/>
        <v>0.91200000000000003</v>
      </c>
      <c r="Q30" s="781">
        <f t="shared" si="26"/>
        <v>0.91200000000000003</v>
      </c>
      <c r="R30" s="781">
        <f t="shared" si="26"/>
        <v>0.91600000000000004</v>
      </c>
      <c r="S30" s="781">
        <f t="shared" si="26"/>
        <v>0.91600000000000004</v>
      </c>
      <c r="T30" s="279"/>
      <c r="U30" s="550">
        <f t="shared" ca="1" si="1"/>
        <v>0.90800000000000003</v>
      </c>
      <c r="V30" s="220"/>
    </row>
    <row r="31" spans="2:22" ht="18" customHeight="1" x14ac:dyDescent="0.35">
      <c r="B31" s="217"/>
      <c r="C31" s="199">
        <f t="shared" ca="1" si="3"/>
        <v>2047</v>
      </c>
      <c r="D31" s="548">
        <v>1</v>
      </c>
      <c r="E31" s="781">
        <f t="shared" ref="E31:S31" si="27">IF(Learning_Scenario_X="Constant", 1, E71)</f>
        <v>0.90400000000000003</v>
      </c>
      <c r="F31" s="781">
        <f t="shared" si="27"/>
        <v>0.90200000000000002</v>
      </c>
      <c r="G31" s="781">
        <f t="shared" si="27"/>
        <v>0.90100000000000002</v>
      </c>
      <c r="H31" s="781">
        <f t="shared" si="27"/>
        <v>0.91200000000000003</v>
      </c>
      <c r="I31" s="781">
        <f t="shared" si="27"/>
        <v>0.91100000000000003</v>
      </c>
      <c r="J31" s="781">
        <f t="shared" si="27"/>
        <v>0.91</v>
      </c>
      <c r="K31" s="781">
        <f t="shared" si="27"/>
        <v>0.90800000000000003</v>
      </c>
      <c r="L31" s="781">
        <f t="shared" si="27"/>
        <v>0.90600000000000003</v>
      </c>
      <c r="M31" s="781">
        <f t="shared" si="27"/>
        <v>0.91600000000000004</v>
      </c>
      <c r="N31" s="781">
        <f t="shared" si="27"/>
        <v>0.91</v>
      </c>
      <c r="O31" s="781">
        <f t="shared" si="27"/>
        <v>0.90900000000000003</v>
      </c>
      <c r="P31" s="781">
        <f t="shared" si="27"/>
        <v>0.90800000000000003</v>
      </c>
      <c r="Q31" s="781">
        <f t="shared" si="27"/>
        <v>0.90800000000000003</v>
      </c>
      <c r="R31" s="781">
        <f t="shared" si="27"/>
        <v>0.91200000000000003</v>
      </c>
      <c r="S31" s="781">
        <f t="shared" si="27"/>
        <v>0.91300000000000003</v>
      </c>
      <c r="T31" s="279"/>
      <c r="U31" s="550">
        <f t="shared" ca="1" si="1"/>
        <v>0.90400000000000003</v>
      </c>
      <c r="V31" s="220"/>
    </row>
    <row r="32" spans="2:22" ht="18" customHeight="1" x14ac:dyDescent="0.35">
      <c r="B32" s="217"/>
      <c r="C32" s="199">
        <f t="shared" ca="1" si="3"/>
        <v>2048</v>
      </c>
      <c r="D32" s="548">
        <v>1</v>
      </c>
      <c r="E32" s="781">
        <f t="shared" ref="E32:S32" si="28">IF(Learning_Scenario_X="Constant", 1, E72)</f>
        <v>0.9</v>
      </c>
      <c r="F32" s="781">
        <f t="shared" si="28"/>
        <v>0.89800000000000002</v>
      </c>
      <c r="G32" s="781">
        <f t="shared" si="28"/>
        <v>0.89700000000000002</v>
      </c>
      <c r="H32" s="781">
        <f t="shared" si="28"/>
        <v>0.90800000000000003</v>
      </c>
      <c r="I32" s="781">
        <f t="shared" si="28"/>
        <v>0.90700000000000003</v>
      </c>
      <c r="J32" s="781">
        <f t="shared" si="28"/>
        <v>0.90600000000000003</v>
      </c>
      <c r="K32" s="781">
        <f t="shared" si="28"/>
        <v>0.90400000000000003</v>
      </c>
      <c r="L32" s="781">
        <f t="shared" si="28"/>
        <v>0.90200000000000002</v>
      </c>
      <c r="M32" s="781">
        <f t="shared" si="28"/>
        <v>0.91200000000000003</v>
      </c>
      <c r="N32" s="781">
        <f t="shared" si="28"/>
        <v>0.90600000000000003</v>
      </c>
      <c r="O32" s="781">
        <f t="shared" si="28"/>
        <v>0.90500000000000003</v>
      </c>
      <c r="P32" s="781">
        <f t="shared" si="28"/>
        <v>0.90400000000000003</v>
      </c>
      <c r="Q32" s="781">
        <f t="shared" si="28"/>
        <v>0.90400000000000003</v>
      </c>
      <c r="R32" s="781">
        <f t="shared" si="28"/>
        <v>0.90800000000000003</v>
      </c>
      <c r="S32" s="781">
        <f t="shared" si="28"/>
        <v>0.90900000000000003</v>
      </c>
      <c r="T32" s="279"/>
      <c r="U32" s="550">
        <f t="shared" ca="1" si="1"/>
        <v>0.9</v>
      </c>
      <c r="V32" s="220"/>
    </row>
    <row r="33" spans="2:22" ht="18" customHeight="1" x14ac:dyDescent="0.35">
      <c r="B33" s="217"/>
      <c r="C33" s="199">
        <f t="shared" ca="1" si="3"/>
        <v>2049</v>
      </c>
      <c r="D33" s="548">
        <v>1</v>
      </c>
      <c r="E33" s="781">
        <f t="shared" ref="E33:S33" si="29">IF(Learning_Scenario_X="Constant", 1, E73)</f>
        <v>0.89600000000000002</v>
      </c>
      <c r="F33" s="781">
        <f t="shared" si="29"/>
        <v>0.89400000000000002</v>
      </c>
      <c r="G33" s="781">
        <f t="shared" si="29"/>
        <v>0.89300000000000002</v>
      </c>
      <c r="H33" s="781">
        <f t="shared" si="29"/>
        <v>0.90400000000000003</v>
      </c>
      <c r="I33" s="781">
        <f t="shared" si="29"/>
        <v>0.90300000000000002</v>
      </c>
      <c r="J33" s="781">
        <f t="shared" si="29"/>
        <v>0.90200000000000002</v>
      </c>
      <c r="K33" s="781">
        <f t="shared" si="29"/>
        <v>0.9</v>
      </c>
      <c r="L33" s="781">
        <f t="shared" si="29"/>
        <v>0.89700000000000002</v>
      </c>
      <c r="M33" s="781">
        <f t="shared" si="29"/>
        <v>0.90800000000000003</v>
      </c>
      <c r="N33" s="781">
        <f t="shared" si="29"/>
        <v>0.90200000000000002</v>
      </c>
      <c r="O33" s="781">
        <f t="shared" si="29"/>
        <v>0.90100000000000002</v>
      </c>
      <c r="P33" s="781">
        <f t="shared" si="29"/>
        <v>0.9</v>
      </c>
      <c r="Q33" s="781">
        <f t="shared" si="29"/>
        <v>0.9</v>
      </c>
      <c r="R33" s="781">
        <f t="shared" si="29"/>
        <v>0.90400000000000003</v>
      </c>
      <c r="S33" s="781">
        <f t="shared" si="29"/>
        <v>0.90500000000000003</v>
      </c>
      <c r="T33" s="279"/>
      <c r="U33" s="550">
        <f t="shared" ca="1" si="1"/>
        <v>0.89600000000000002</v>
      </c>
      <c r="V33" s="220"/>
    </row>
    <row r="34" spans="2:22" ht="18" customHeight="1" x14ac:dyDescent="0.35">
      <c r="B34" s="217"/>
      <c r="C34" s="199">
        <f t="shared" ca="1" si="3"/>
        <v>2050</v>
      </c>
      <c r="D34" s="548">
        <v>1</v>
      </c>
      <c r="E34" s="781">
        <f t="shared" ref="E34:S34" si="30">IF(Learning_Scenario_X="Constant", 1, E74)</f>
        <v>0.89200000000000002</v>
      </c>
      <c r="F34" s="781">
        <f t="shared" si="30"/>
        <v>0.88900000000000001</v>
      </c>
      <c r="G34" s="781">
        <f t="shared" si="30"/>
        <v>0.88900000000000001</v>
      </c>
      <c r="H34" s="781">
        <f t="shared" si="30"/>
        <v>0.90100000000000002</v>
      </c>
      <c r="I34" s="781">
        <f t="shared" si="30"/>
        <v>0.9</v>
      </c>
      <c r="J34" s="781">
        <f t="shared" si="30"/>
        <v>0.89800000000000002</v>
      </c>
      <c r="K34" s="781">
        <f t="shared" si="30"/>
        <v>0.89600000000000002</v>
      </c>
      <c r="L34" s="781">
        <f t="shared" si="30"/>
        <v>0.89300000000000002</v>
      </c>
      <c r="M34" s="781">
        <f t="shared" si="30"/>
        <v>0.90500000000000003</v>
      </c>
      <c r="N34" s="781">
        <f t="shared" si="30"/>
        <v>0.89800000000000002</v>
      </c>
      <c r="O34" s="781">
        <f t="shared" si="30"/>
        <v>0.89700000000000002</v>
      </c>
      <c r="P34" s="781">
        <f t="shared" si="30"/>
        <v>0.89600000000000002</v>
      </c>
      <c r="Q34" s="781">
        <f t="shared" si="30"/>
        <v>0.89600000000000002</v>
      </c>
      <c r="R34" s="781">
        <f t="shared" si="30"/>
        <v>0.90100000000000002</v>
      </c>
      <c r="S34" s="781">
        <f t="shared" si="30"/>
        <v>0.90100000000000002</v>
      </c>
      <c r="T34" s="279"/>
      <c r="U34" s="550">
        <f t="shared" ca="1" si="1"/>
        <v>0.89200000000000002</v>
      </c>
      <c r="V34" s="220"/>
    </row>
    <row r="35" spans="2:22" ht="18" customHeight="1" x14ac:dyDescent="0.35">
      <c r="B35" s="217"/>
      <c r="C35" s="199">
        <f t="shared" ca="1" si="3"/>
        <v>2051</v>
      </c>
      <c r="D35" s="548">
        <v>1</v>
      </c>
      <c r="E35" s="781">
        <f t="shared" ref="E35:S35" si="31">IF(Learning_Scenario_X="Constant", 1, E75)</f>
        <v>0.88800000000000001</v>
      </c>
      <c r="F35" s="781">
        <f t="shared" si="31"/>
        <v>0.88500000000000001</v>
      </c>
      <c r="G35" s="781">
        <f t="shared" si="31"/>
        <v>0.88500000000000001</v>
      </c>
      <c r="H35" s="781">
        <f t="shared" si="31"/>
        <v>0.89700000000000002</v>
      </c>
      <c r="I35" s="781">
        <f t="shared" si="31"/>
        <v>0.89600000000000002</v>
      </c>
      <c r="J35" s="781">
        <f t="shared" si="31"/>
        <v>0.89400000000000002</v>
      </c>
      <c r="K35" s="781">
        <f t="shared" si="31"/>
        <v>0.89200000000000002</v>
      </c>
      <c r="L35" s="781">
        <f t="shared" si="31"/>
        <v>0.89</v>
      </c>
      <c r="M35" s="781">
        <f t="shared" si="31"/>
        <v>0.90100000000000002</v>
      </c>
      <c r="N35" s="781">
        <f t="shared" si="31"/>
        <v>0.89500000000000002</v>
      </c>
      <c r="O35" s="781">
        <f t="shared" si="31"/>
        <v>0.89300000000000002</v>
      </c>
      <c r="P35" s="781">
        <f t="shared" si="31"/>
        <v>0.89300000000000002</v>
      </c>
      <c r="Q35" s="781">
        <f t="shared" si="31"/>
        <v>0.89200000000000002</v>
      </c>
      <c r="R35" s="781">
        <f t="shared" si="31"/>
        <v>0.89700000000000002</v>
      </c>
      <c r="S35" s="781">
        <f t="shared" si="31"/>
        <v>0.89800000000000002</v>
      </c>
      <c r="T35" s="279"/>
      <c r="U35" s="550">
        <f t="shared" ca="1" si="1"/>
        <v>0.88800000000000001</v>
      </c>
      <c r="V35" s="220"/>
    </row>
    <row r="36" spans="2:22" ht="18" customHeight="1" x14ac:dyDescent="0.35">
      <c r="B36" s="217"/>
      <c r="C36" s="199">
        <f t="shared" ca="1" si="3"/>
        <v>2052</v>
      </c>
      <c r="D36" s="548">
        <v>1</v>
      </c>
      <c r="E36" s="781">
        <f t="shared" ref="E36:S36" si="32">IF(Learning_Scenario_X="Constant", 1, E76)</f>
        <v>0.88400000000000001</v>
      </c>
      <c r="F36" s="781">
        <f t="shared" si="32"/>
        <v>0.88100000000000001</v>
      </c>
      <c r="G36" s="781">
        <f t="shared" si="32"/>
        <v>0.88100000000000001</v>
      </c>
      <c r="H36" s="781">
        <f t="shared" si="32"/>
        <v>0.89300000000000002</v>
      </c>
      <c r="I36" s="781">
        <f t="shared" si="32"/>
        <v>0.89200000000000002</v>
      </c>
      <c r="J36" s="781">
        <f t="shared" si="32"/>
        <v>0.89</v>
      </c>
      <c r="K36" s="781">
        <f t="shared" si="32"/>
        <v>0.88800000000000001</v>
      </c>
      <c r="L36" s="781">
        <f t="shared" si="32"/>
        <v>0.88600000000000001</v>
      </c>
      <c r="M36" s="781">
        <f t="shared" si="32"/>
        <v>0.89800000000000002</v>
      </c>
      <c r="N36" s="781">
        <f t="shared" si="32"/>
        <v>0.89100000000000001</v>
      </c>
      <c r="O36" s="781">
        <f t="shared" si="32"/>
        <v>0.89</v>
      </c>
      <c r="P36" s="781">
        <f t="shared" si="32"/>
        <v>0.88900000000000001</v>
      </c>
      <c r="Q36" s="781">
        <f t="shared" si="32"/>
        <v>0.88800000000000001</v>
      </c>
      <c r="R36" s="781">
        <f t="shared" si="32"/>
        <v>0.89300000000000002</v>
      </c>
      <c r="S36" s="781">
        <f t="shared" si="32"/>
        <v>0.89400000000000002</v>
      </c>
      <c r="T36" s="279"/>
      <c r="U36" s="550">
        <f t="shared" ca="1" si="1"/>
        <v>0.88400000000000001</v>
      </c>
      <c r="V36" s="220"/>
    </row>
    <row r="37" spans="2:22" ht="18" customHeight="1" x14ac:dyDescent="0.35">
      <c r="B37" s="217"/>
      <c r="C37" s="199">
        <f t="shared" ca="1" si="3"/>
        <v>2053</v>
      </c>
      <c r="D37" s="548">
        <v>1</v>
      </c>
      <c r="E37" s="781">
        <f t="shared" ref="E37:S37" si="33">IF(Learning_Scenario_X="Constant", 1, E77)</f>
        <v>0.88</v>
      </c>
      <c r="F37" s="781">
        <f t="shared" si="33"/>
        <v>0.877</v>
      </c>
      <c r="G37" s="781">
        <f t="shared" si="33"/>
        <v>0.877</v>
      </c>
      <c r="H37" s="781">
        <f t="shared" si="33"/>
        <v>0.89</v>
      </c>
      <c r="I37" s="781">
        <f t="shared" si="33"/>
        <v>0.88900000000000001</v>
      </c>
      <c r="J37" s="781">
        <f t="shared" si="33"/>
        <v>0.88700000000000001</v>
      </c>
      <c r="K37" s="781">
        <f t="shared" si="33"/>
        <v>0.88400000000000001</v>
      </c>
      <c r="L37" s="781">
        <f t="shared" si="33"/>
        <v>0.88200000000000001</v>
      </c>
      <c r="M37" s="781">
        <f t="shared" si="33"/>
        <v>0.89400000000000002</v>
      </c>
      <c r="N37" s="781">
        <f t="shared" si="33"/>
        <v>0.88700000000000001</v>
      </c>
      <c r="O37" s="781">
        <f t="shared" si="33"/>
        <v>0.88600000000000001</v>
      </c>
      <c r="P37" s="781">
        <f t="shared" si="33"/>
        <v>0.88500000000000001</v>
      </c>
      <c r="Q37" s="781">
        <f t="shared" si="33"/>
        <v>0.88400000000000001</v>
      </c>
      <c r="R37" s="781">
        <f t="shared" si="33"/>
        <v>0.89</v>
      </c>
      <c r="S37" s="781">
        <f t="shared" si="33"/>
        <v>0.89</v>
      </c>
      <c r="T37" s="279"/>
      <c r="U37" s="550">
        <f t="shared" ca="1" si="1"/>
        <v>0.88</v>
      </c>
      <c r="V37" s="220"/>
    </row>
    <row r="38" spans="2:22" ht="18" customHeight="1" x14ac:dyDescent="0.35">
      <c r="B38" s="217"/>
      <c r="C38" s="199">
        <f t="shared" ca="1" si="3"/>
        <v>2054</v>
      </c>
      <c r="D38" s="548">
        <v>1</v>
      </c>
      <c r="E38" s="781">
        <f t="shared" ref="E38:S38" si="34">IF(Learning_Scenario_X="Constant", 1, E78)</f>
        <v>0.876</v>
      </c>
      <c r="F38" s="781">
        <f t="shared" si="34"/>
        <v>0.873</v>
      </c>
      <c r="G38" s="781">
        <f t="shared" si="34"/>
        <v>0.873</v>
      </c>
      <c r="H38" s="781">
        <f t="shared" si="34"/>
        <v>0.88600000000000001</v>
      </c>
      <c r="I38" s="781">
        <f t="shared" si="34"/>
        <v>0.88500000000000001</v>
      </c>
      <c r="J38" s="781">
        <f t="shared" si="34"/>
        <v>0.88300000000000001</v>
      </c>
      <c r="K38" s="781">
        <f t="shared" si="34"/>
        <v>0.88</v>
      </c>
      <c r="L38" s="781">
        <f t="shared" si="34"/>
        <v>0.878</v>
      </c>
      <c r="M38" s="781">
        <f t="shared" si="34"/>
        <v>0.89100000000000001</v>
      </c>
      <c r="N38" s="781">
        <f t="shared" si="34"/>
        <v>0.88400000000000001</v>
      </c>
      <c r="O38" s="781">
        <f t="shared" si="34"/>
        <v>0.88200000000000001</v>
      </c>
      <c r="P38" s="781">
        <f t="shared" si="34"/>
        <v>0.88100000000000001</v>
      </c>
      <c r="Q38" s="781">
        <f t="shared" si="34"/>
        <v>0.88100000000000001</v>
      </c>
      <c r="R38" s="781">
        <f t="shared" si="34"/>
        <v>0.88600000000000001</v>
      </c>
      <c r="S38" s="781">
        <f t="shared" si="34"/>
        <v>0.88700000000000001</v>
      </c>
      <c r="T38" s="279"/>
      <c r="U38" s="550">
        <f t="shared" ca="1" si="1"/>
        <v>0.876</v>
      </c>
      <c r="V38" s="220"/>
    </row>
    <row r="39" spans="2:22" ht="18" customHeight="1" x14ac:dyDescent="0.35">
      <c r="B39" s="217"/>
      <c r="C39" s="199">
        <f t="shared" ca="1" si="3"/>
        <v>2055</v>
      </c>
      <c r="D39" s="548">
        <v>1</v>
      </c>
      <c r="E39" s="781">
        <f t="shared" ref="E39:S40" si="35">IF(Learning_Scenario_X="Constant", 1, E79)</f>
        <v>0.872</v>
      </c>
      <c r="F39" s="781">
        <f t="shared" si="35"/>
        <v>0.86899999999999999</v>
      </c>
      <c r="G39" s="781">
        <f t="shared" si="35"/>
        <v>0.86899999999999999</v>
      </c>
      <c r="H39" s="781">
        <f t="shared" si="35"/>
        <v>0.88300000000000001</v>
      </c>
      <c r="I39" s="781">
        <f t="shared" si="35"/>
        <v>0.88200000000000001</v>
      </c>
      <c r="J39" s="781">
        <f t="shared" si="35"/>
        <v>0.879</v>
      </c>
      <c r="K39" s="781">
        <f t="shared" si="35"/>
        <v>0.877</v>
      </c>
      <c r="L39" s="781">
        <f t="shared" si="35"/>
        <v>0.874</v>
      </c>
      <c r="M39" s="781">
        <f t="shared" si="35"/>
        <v>0.88800000000000001</v>
      </c>
      <c r="N39" s="781">
        <f t="shared" si="35"/>
        <v>0.88</v>
      </c>
      <c r="O39" s="781">
        <f t="shared" si="35"/>
        <v>0.878</v>
      </c>
      <c r="P39" s="781">
        <f t="shared" si="35"/>
        <v>0.878</v>
      </c>
      <c r="Q39" s="781">
        <f t="shared" si="35"/>
        <v>0.877</v>
      </c>
      <c r="R39" s="781">
        <f t="shared" si="35"/>
        <v>0.88300000000000001</v>
      </c>
      <c r="S39" s="781">
        <f t="shared" si="35"/>
        <v>0.88300000000000001</v>
      </c>
      <c r="T39" s="279"/>
      <c r="U39" s="550">
        <f t="shared" ca="1" si="1"/>
        <v>0.872</v>
      </c>
      <c r="V39" s="220"/>
    </row>
    <row r="40" spans="2:22" ht="18" customHeight="1" x14ac:dyDescent="0.35">
      <c r="B40" s="217"/>
      <c r="C40" s="199">
        <f t="shared" ca="1" si="3"/>
        <v>2056</v>
      </c>
      <c r="D40" s="548">
        <v>1</v>
      </c>
      <c r="E40" s="781">
        <f t="shared" si="35"/>
        <v>0.86899999999999999</v>
      </c>
      <c r="F40" s="781">
        <f t="shared" si="35"/>
        <v>0.86599999999999999</v>
      </c>
      <c r="G40" s="781">
        <f t="shared" si="35"/>
        <v>0.86499999999999999</v>
      </c>
      <c r="H40" s="781">
        <f t="shared" si="35"/>
        <v>0.879</v>
      </c>
      <c r="I40" s="781">
        <f t="shared" si="35"/>
        <v>0.878</v>
      </c>
      <c r="J40" s="781">
        <f t="shared" si="35"/>
        <v>0.876</v>
      </c>
      <c r="K40" s="781">
        <f t="shared" si="35"/>
        <v>0.873</v>
      </c>
      <c r="L40" s="781">
        <f t="shared" si="35"/>
        <v>0.871</v>
      </c>
      <c r="M40" s="781">
        <f t="shared" si="35"/>
        <v>0.88400000000000001</v>
      </c>
      <c r="N40" s="781">
        <f t="shared" si="35"/>
        <v>0.876</v>
      </c>
      <c r="O40" s="781">
        <f t="shared" si="35"/>
        <v>0.875</v>
      </c>
      <c r="P40" s="781">
        <f t="shared" si="35"/>
        <v>0.874</v>
      </c>
      <c r="Q40" s="781">
        <f t="shared" si="35"/>
        <v>0.873</v>
      </c>
      <c r="R40" s="781">
        <f t="shared" si="35"/>
        <v>0.879</v>
      </c>
      <c r="S40" s="781">
        <f t="shared" si="35"/>
        <v>0.88</v>
      </c>
      <c r="T40" s="279"/>
      <c r="U40" s="782"/>
      <c r="V40" s="220"/>
    </row>
    <row r="41" spans="2:22" ht="18" customHeight="1" thickBot="1" x14ac:dyDescent="0.4">
      <c r="B41" s="217"/>
      <c r="C41" s="199">
        <f t="shared" ca="1" si="3"/>
        <v>2057</v>
      </c>
      <c r="D41" s="548">
        <v>1</v>
      </c>
      <c r="E41" s="781">
        <f t="shared" ref="E41:S41" si="36">IF(Learning_Scenario_X="Constant", 1, E81)</f>
        <v>0.86478433476150796</v>
      </c>
      <c r="F41" s="781">
        <f t="shared" si="36"/>
        <v>0.86171312000972167</v>
      </c>
      <c r="G41" s="781">
        <f t="shared" si="36"/>
        <v>0.86098247349999757</v>
      </c>
      <c r="H41" s="781">
        <f t="shared" si="36"/>
        <v>0.87595291599247183</v>
      </c>
      <c r="I41" s="781">
        <f t="shared" si="36"/>
        <v>0.87467401811892043</v>
      </c>
      <c r="J41" s="781">
        <f t="shared" si="36"/>
        <v>0.87240159575323883</v>
      </c>
      <c r="K41" s="781">
        <f t="shared" si="36"/>
        <v>0.86956651891214543</v>
      </c>
      <c r="L41" s="781">
        <f t="shared" si="36"/>
        <v>0.8668437073160391</v>
      </c>
      <c r="M41" s="781">
        <f t="shared" si="36"/>
        <v>0.88099463817295753</v>
      </c>
      <c r="N41" s="781">
        <f t="shared" si="36"/>
        <v>0.87297953512223991</v>
      </c>
      <c r="O41" s="781">
        <f t="shared" si="36"/>
        <v>0.87135041184493833</v>
      </c>
      <c r="P41" s="781">
        <f t="shared" si="36"/>
        <v>0.87043373140902169</v>
      </c>
      <c r="Q41" s="781">
        <f t="shared" si="36"/>
        <v>0.8695899572711967</v>
      </c>
      <c r="R41" s="781">
        <f t="shared" si="36"/>
        <v>0.87564151123808265</v>
      </c>
      <c r="S41" s="781">
        <f t="shared" si="36"/>
        <v>0.87657010476124864</v>
      </c>
      <c r="T41" s="279"/>
      <c r="U41" s="551">
        <f t="shared" ca="1" si="1"/>
        <v>0.86478433476150796</v>
      </c>
      <c r="V41" s="220"/>
    </row>
    <row r="42" spans="2:22" ht="18" customHeight="1" thickBot="1" x14ac:dyDescent="0.4">
      <c r="B42" s="235"/>
      <c r="C42" s="236"/>
      <c r="D42" s="236"/>
      <c r="E42" s="236"/>
      <c r="F42" s="236"/>
      <c r="G42" s="236"/>
      <c r="H42" s="236"/>
      <c r="I42" s="236"/>
      <c r="J42" s="236"/>
      <c r="K42" s="236"/>
      <c r="L42" s="236"/>
      <c r="M42" s="236"/>
      <c r="N42" s="236"/>
      <c r="O42" s="236"/>
      <c r="P42" s="236"/>
      <c r="Q42" s="236"/>
      <c r="R42" s="236"/>
      <c r="S42" s="236"/>
      <c r="T42" s="250"/>
      <c r="U42" s="236"/>
      <c r="V42" s="237"/>
    </row>
    <row r="43" spans="2:22" ht="18" customHeight="1" thickBot="1" x14ac:dyDescent="0.4"/>
    <row r="44" spans="2:22" ht="18" customHeight="1" x14ac:dyDescent="0.35">
      <c r="B44" s="208"/>
      <c r="C44" s="209"/>
      <c r="D44" s="209"/>
      <c r="E44" s="734" t="s">
        <v>99</v>
      </c>
      <c r="F44" s="734" t="s">
        <v>99</v>
      </c>
      <c r="G44" s="734" t="s">
        <v>99</v>
      </c>
      <c r="H44" s="734" t="s">
        <v>99</v>
      </c>
      <c r="I44" s="734" t="s">
        <v>99</v>
      </c>
      <c r="J44" s="734" t="s">
        <v>180</v>
      </c>
      <c r="K44" s="734" t="s">
        <v>180</v>
      </c>
      <c r="L44" s="734" t="s">
        <v>180</v>
      </c>
      <c r="M44" s="734" t="s">
        <v>180</v>
      </c>
      <c r="N44" s="734" t="s">
        <v>180</v>
      </c>
      <c r="O44" s="734" t="s">
        <v>181</v>
      </c>
      <c r="P44" s="734" t="s">
        <v>181</v>
      </c>
      <c r="Q44" s="734" t="s">
        <v>181</v>
      </c>
      <c r="R44" s="734" t="s">
        <v>181</v>
      </c>
      <c r="S44" s="734" t="s">
        <v>181</v>
      </c>
    </row>
    <row r="45" spans="2:22" ht="18" customHeight="1" x14ac:dyDescent="0.35">
      <c r="B45" s="217"/>
      <c r="C45" s="245" t="s">
        <v>61</v>
      </c>
      <c r="D45" s="245" t="str">
        <f>Learning_Scenario_1</f>
        <v>Constant</v>
      </c>
      <c r="E45" s="219" t="s">
        <v>81</v>
      </c>
      <c r="F45" s="219" t="s">
        <v>86</v>
      </c>
      <c r="G45" s="219" t="s">
        <v>344</v>
      </c>
      <c r="H45" s="219" t="s">
        <v>343</v>
      </c>
      <c r="I45" s="219" t="s">
        <v>342</v>
      </c>
      <c r="J45" s="219" t="s">
        <v>81</v>
      </c>
      <c r="K45" s="219" t="s">
        <v>86</v>
      </c>
      <c r="L45" s="219" t="s">
        <v>344</v>
      </c>
      <c r="M45" s="219" t="s">
        <v>343</v>
      </c>
      <c r="N45" s="219" t="s">
        <v>342</v>
      </c>
      <c r="O45" s="219" t="s">
        <v>81</v>
      </c>
      <c r="P45" s="219" t="s">
        <v>86</v>
      </c>
      <c r="Q45" s="219" t="s">
        <v>344</v>
      </c>
      <c r="R45" s="219" t="s">
        <v>343</v>
      </c>
      <c r="S45" s="736" t="s">
        <v>342</v>
      </c>
    </row>
    <row r="46" spans="2:22" ht="18" customHeight="1" x14ac:dyDescent="0.35">
      <c r="B46" s="217"/>
      <c r="C46" s="199">
        <f>Reference_Year - 1</f>
        <v>2022</v>
      </c>
      <c r="D46" s="548">
        <v>1</v>
      </c>
      <c r="E46" s="735">
        <v>1.0429999999999999</v>
      </c>
      <c r="F46" s="735">
        <v>1.044</v>
      </c>
      <c r="G46" s="735">
        <v>1.0449999999999999</v>
      </c>
      <c r="H46" s="735">
        <v>1.04</v>
      </c>
      <c r="I46" s="735">
        <v>1.04</v>
      </c>
      <c r="J46" s="735">
        <v>1.0409999999999999</v>
      </c>
      <c r="K46" s="735">
        <v>1.042</v>
      </c>
      <c r="L46" s="735">
        <v>1.0429999999999999</v>
      </c>
      <c r="M46" s="735">
        <v>1.038</v>
      </c>
      <c r="N46" s="735">
        <v>1.0409999999999999</v>
      </c>
      <c r="O46" s="735">
        <v>1.0409999999999999</v>
      </c>
      <c r="P46" s="735">
        <v>1.042</v>
      </c>
      <c r="Q46" s="735">
        <v>1.042</v>
      </c>
      <c r="R46" s="735">
        <v>1.04</v>
      </c>
      <c r="S46" s="735">
        <v>1.04</v>
      </c>
    </row>
    <row r="47" spans="2:22" ht="18" customHeight="1" x14ac:dyDescent="0.35">
      <c r="B47" s="217"/>
      <c r="C47" s="199">
        <f ca="1">OFFSET(C47,-1,0)+1</f>
        <v>2023</v>
      </c>
      <c r="D47" s="548">
        <v>1</v>
      </c>
      <c r="E47" s="735">
        <v>1.0349999999999999</v>
      </c>
      <c r="F47" s="735">
        <v>1.036</v>
      </c>
      <c r="G47" s="735">
        <v>1.036</v>
      </c>
      <c r="H47" s="735">
        <v>1.032</v>
      </c>
      <c r="I47" s="735">
        <v>1.0329999999999999</v>
      </c>
      <c r="J47" s="735">
        <v>1.0329999999999999</v>
      </c>
      <c r="K47" s="735">
        <v>1.034</v>
      </c>
      <c r="L47" s="735">
        <v>1.0349999999999999</v>
      </c>
      <c r="M47" s="735">
        <v>1.0309999999999999</v>
      </c>
      <c r="N47" s="735">
        <v>1.0329999999999999</v>
      </c>
      <c r="O47" s="735">
        <v>1.034</v>
      </c>
      <c r="P47" s="735">
        <v>1.034</v>
      </c>
      <c r="Q47" s="735">
        <v>1.034</v>
      </c>
      <c r="R47" s="735">
        <v>1.032</v>
      </c>
      <c r="S47" s="735">
        <v>1.032</v>
      </c>
    </row>
    <row r="48" spans="2:22" ht="18" customHeight="1" x14ac:dyDescent="0.35">
      <c r="B48" s="217"/>
      <c r="C48" s="199">
        <f t="shared" ref="C48:C81" ca="1" si="37">OFFSET(C48,-1,0)+1</f>
        <v>2024</v>
      </c>
      <c r="D48" s="548">
        <v>1</v>
      </c>
      <c r="E48" s="735">
        <v>1.028</v>
      </c>
      <c r="F48" s="735">
        <v>1.028</v>
      </c>
      <c r="G48" s="735">
        <v>1.028</v>
      </c>
      <c r="H48" s="735">
        <v>1.0249999999999999</v>
      </c>
      <c r="I48" s="735">
        <v>1.026</v>
      </c>
      <c r="J48" s="735">
        <v>1.026</v>
      </c>
      <c r="K48" s="735">
        <v>1.0269999999999999</v>
      </c>
      <c r="L48" s="735">
        <v>1.0269999999999999</v>
      </c>
      <c r="M48" s="735">
        <v>1.024</v>
      </c>
      <c r="N48" s="735">
        <v>1.026</v>
      </c>
      <c r="O48" s="735">
        <v>1.026</v>
      </c>
      <c r="P48" s="735">
        <v>1.026</v>
      </c>
      <c r="Q48" s="735">
        <v>1.0269999999999999</v>
      </c>
      <c r="R48" s="735">
        <v>1.0249999999999999</v>
      </c>
      <c r="S48" s="735">
        <v>1.0249999999999999</v>
      </c>
    </row>
    <row r="49" spans="2:19" ht="18" customHeight="1" x14ac:dyDescent="0.35">
      <c r="B49" s="217"/>
      <c r="C49" s="199">
        <f t="shared" ca="1" si="37"/>
        <v>2025</v>
      </c>
      <c r="D49" s="548">
        <v>1</v>
      </c>
      <c r="E49" s="735">
        <v>1.02</v>
      </c>
      <c r="F49" s="735">
        <v>1.0209999999999999</v>
      </c>
      <c r="G49" s="735">
        <v>1.0209999999999999</v>
      </c>
      <c r="H49" s="735">
        <v>1.0189999999999999</v>
      </c>
      <c r="I49" s="735">
        <v>1.0189999999999999</v>
      </c>
      <c r="J49" s="735">
        <v>1.0189999999999999</v>
      </c>
      <c r="K49" s="735">
        <v>1.0189999999999999</v>
      </c>
      <c r="L49" s="735">
        <v>1.02</v>
      </c>
      <c r="M49" s="735">
        <v>1.018</v>
      </c>
      <c r="N49" s="735">
        <v>1.0189999999999999</v>
      </c>
      <c r="O49" s="735">
        <v>1.0189999999999999</v>
      </c>
      <c r="P49" s="735">
        <v>1.0189999999999999</v>
      </c>
      <c r="Q49" s="735">
        <v>1.0189999999999999</v>
      </c>
      <c r="R49" s="735">
        <v>1.0189999999999999</v>
      </c>
      <c r="S49" s="735">
        <v>1.018</v>
      </c>
    </row>
    <row r="50" spans="2:19" ht="18" customHeight="1" x14ac:dyDescent="0.35">
      <c r="B50" s="217"/>
      <c r="C50" s="199">
        <f t="shared" ca="1" si="37"/>
        <v>2026</v>
      </c>
      <c r="D50" s="548">
        <v>1</v>
      </c>
      <c r="E50" s="735">
        <v>1.0129999999999999</v>
      </c>
      <c r="F50" s="735">
        <v>1.014</v>
      </c>
      <c r="G50" s="735">
        <v>1.014</v>
      </c>
      <c r="H50" s="735">
        <v>1.012</v>
      </c>
      <c r="I50" s="735">
        <v>1.012</v>
      </c>
      <c r="J50" s="735">
        <v>1.012</v>
      </c>
      <c r="K50" s="735">
        <v>1.0129999999999999</v>
      </c>
      <c r="L50" s="735">
        <v>1.0129999999999999</v>
      </c>
      <c r="M50" s="735">
        <v>1.012</v>
      </c>
      <c r="N50" s="735">
        <v>1.012</v>
      </c>
      <c r="O50" s="735">
        <v>1.0129999999999999</v>
      </c>
      <c r="P50" s="735">
        <v>1.0129999999999999</v>
      </c>
      <c r="Q50" s="735">
        <v>1.0129999999999999</v>
      </c>
      <c r="R50" s="735">
        <v>1.012</v>
      </c>
      <c r="S50" s="735">
        <v>1.012</v>
      </c>
    </row>
    <row r="51" spans="2:19" ht="18" customHeight="1" x14ac:dyDescent="0.35">
      <c r="B51" s="217"/>
      <c r="C51" s="199">
        <f t="shared" ca="1" si="37"/>
        <v>2027</v>
      </c>
      <c r="D51" s="548">
        <v>1</v>
      </c>
      <c r="E51" s="735">
        <v>1.006</v>
      </c>
      <c r="F51" s="735">
        <v>1.0069999999999999</v>
      </c>
      <c r="G51" s="735">
        <v>1.0069999999999999</v>
      </c>
      <c r="H51" s="735">
        <v>1.006</v>
      </c>
      <c r="I51" s="735">
        <v>1.006</v>
      </c>
      <c r="J51" s="735">
        <v>1.006</v>
      </c>
      <c r="K51" s="735">
        <v>1.006</v>
      </c>
      <c r="L51" s="735">
        <v>1.006</v>
      </c>
      <c r="M51" s="735">
        <v>1.006</v>
      </c>
      <c r="N51" s="735">
        <v>1.006</v>
      </c>
      <c r="O51" s="735">
        <v>1.006</v>
      </c>
      <c r="P51" s="735">
        <v>1.006</v>
      </c>
      <c r="Q51" s="735">
        <v>1.006</v>
      </c>
      <c r="R51" s="735">
        <v>1.006</v>
      </c>
      <c r="S51" s="735">
        <v>1.006</v>
      </c>
    </row>
    <row r="52" spans="2:19" ht="18" customHeight="1" x14ac:dyDescent="0.35">
      <c r="B52" s="217"/>
      <c r="C52" s="199">
        <f t="shared" ca="1" si="37"/>
        <v>2028</v>
      </c>
      <c r="D52" s="548">
        <v>1</v>
      </c>
      <c r="E52" s="735">
        <v>1</v>
      </c>
      <c r="F52" s="735">
        <v>1</v>
      </c>
      <c r="G52" s="735">
        <v>1</v>
      </c>
      <c r="H52" s="735">
        <v>1</v>
      </c>
      <c r="I52" s="735">
        <v>1</v>
      </c>
      <c r="J52" s="735">
        <v>1</v>
      </c>
      <c r="K52" s="735">
        <v>1</v>
      </c>
      <c r="L52" s="735">
        <v>1</v>
      </c>
      <c r="M52" s="735">
        <v>1</v>
      </c>
      <c r="N52" s="735">
        <v>1</v>
      </c>
      <c r="O52" s="735">
        <v>1</v>
      </c>
      <c r="P52" s="735">
        <v>1</v>
      </c>
      <c r="Q52" s="735">
        <v>1</v>
      </c>
      <c r="R52" s="735">
        <v>1</v>
      </c>
      <c r="S52" s="735">
        <v>1</v>
      </c>
    </row>
    <row r="53" spans="2:19" ht="18" customHeight="1" x14ac:dyDescent="0.35">
      <c r="B53" s="217"/>
      <c r="C53" s="199">
        <f t="shared" ca="1" si="37"/>
        <v>2029</v>
      </c>
      <c r="D53" s="548">
        <v>1</v>
      </c>
      <c r="E53" s="735">
        <v>0.99399999999999999</v>
      </c>
      <c r="F53" s="735">
        <v>0.99399999999999999</v>
      </c>
      <c r="G53" s="735">
        <v>0.99399999999999999</v>
      </c>
      <c r="H53" s="735">
        <v>0.99399999999999999</v>
      </c>
      <c r="I53" s="735">
        <v>0.99399999999999999</v>
      </c>
      <c r="J53" s="735">
        <v>0.99399999999999999</v>
      </c>
      <c r="K53" s="735">
        <v>0.99399999999999999</v>
      </c>
      <c r="L53" s="735">
        <v>0.99399999999999999</v>
      </c>
      <c r="M53" s="735">
        <v>0.99399999999999999</v>
      </c>
      <c r="N53" s="735">
        <v>0.99399999999999999</v>
      </c>
      <c r="O53" s="735">
        <v>0.99399999999999999</v>
      </c>
      <c r="P53" s="735">
        <v>0.99399999999999999</v>
      </c>
      <c r="Q53" s="735">
        <v>0.99399999999999999</v>
      </c>
      <c r="R53" s="735">
        <v>0.99399999999999999</v>
      </c>
      <c r="S53" s="735">
        <v>0.99399999999999999</v>
      </c>
    </row>
    <row r="54" spans="2:19" ht="18" customHeight="1" x14ac:dyDescent="0.35">
      <c r="B54" s="217"/>
      <c r="C54" s="199">
        <f t="shared" ca="1" si="37"/>
        <v>2030</v>
      </c>
      <c r="D54" s="548">
        <v>1</v>
      </c>
      <c r="E54" s="735">
        <v>0.98799999999999999</v>
      </c>
      <c r="F54" s="735">
        <v>0.98699999999999999</v>
      </c>
      <c r="G54" s="735">
        <v>0.98699999999999999</v>
      </c>
      <c r="H54" s="735">
        <v>0.98899999999999999</v>
      </c>
      <c r="I54" s="735">
        <v>0.98899999999999999</v>
      </c>
      <c r="J54" s="735">
        <v>0.98799999999999999</v>
      </c>
      <c r="K54" s="735">
        <v>0.98799999999999999</v>
      </c>
      <c r="L54" s="735">
        <v>0.98799999999999999</v>
      </c>
      <c r="M54" s="735">
        <v>0.98899999999999999</v>
      </c>
      <c r="N54" s="735">
        <v>0.98799999999999999</v>
      </c>
      <c r="O54" s="735">
        <v>0.98799999999999999</v>
      </c>
      <c r="P54" s="735">
        <v>0.98799999999999999</v>
      </c>
      <c r="Q54" s="735">
        <v>0.98799999999999999</v>
      </c>
      <c r="R54" s="735">
        <v>0.98899999999999999</v>
      </c>
      <c r="S54" s="735">
        <v>0.98899999999999999</v>
      </c>
    </row>
    <row r="55" spans="2:19" ht="18" customHeight="1" x14ac:dyDescent="0.35">
      <c r="B55" s="217"/>
      <c r="C55" s="199">
        <f t="shared" ca="1" si="37"/>
        <v>2031</v>
      </c>
      <c r="D55" s="548">
        <v>1</v>
      </c>
      <c r="E55" s="735">
        <v>0.98199999999999998</v>
      </c>
      <c r="F55" s="735">
        <v>0.98099999999999998</v>
      </c>
      <c r="G55" s="735">
        <v>0.98099999999999998</v>
      </c>
      <c r="H55" s="735">
        <v>0.98299999999999998</v>
      </c>
      <c r="I55" s="735">
        <v>0.98299999999999998</v>
      </c>
      <c r="J55" s="735">
        <v>0.98299999999999998</v>
      </c>
      <c r="K55" s="735">
        <v>0.98199999999999998</v>
      </c>
      <c r="L55" s="735">
        <v>0.98199999999999998</v>
      </c>
      <c r="M55" s="735">
        <v>0.98399999999999999</v>
      </c>
      <c r="N55" s="735">
        <v>0.98299999999999998</v>
      </c>
      <c r="O55" s="735">
        <v>0.98299999999999998</v>
      </c>
      <c r="P55" s="735">
        <v>0.98299999999999998</v>
      </c>
      <c r="Q55" s="735">
        <v>0.98199999999999998</v>
      </c>
      <c r="R55" s="735">
        <v>0.98299999999999998</v>
      </c>
      <c r="S55" s="735">
        <v>0.98299999999999998</v>
      </c>
    </row>
    <row r="56" spans="2:19" ht="18" customHeight="1" x14ac:dyDescent="0.35">
      <c r="B56" s="217"/>
      <c r="C56" s="199">
        <f t="shared" ca="1" si="37"/>
        <v>2032</v>
      </c>
      <c r="D56" s="548">
        <v>1</v>
      </c>
      <c r="E56" s="735">
        <v>0.97599999999999998</v>
      </c>
      <c r="F56" s="735">
        <v>0.97599999999999998</v>
      </c>
      <c r="G56" s="735">
        <v>0.97499999999999998</v>
      </c>
      <c r="H56" s="735">
        <v>0.97799999999999998</v>
      </c>
      <c r="I56" s="735">
        <v>0.97799999999999998</v>
      </c>
      <c r="J56" s="735">
        <v>0.97699999999999998</v>
      </c>
      <c r="K56" s="735">
        <v>0.97699999999999998</v>
      </c>
      <c r="L56" s="735">
        <v>0.97599999999999998</v>
      </c>
      <c r="M56" s="735">
        <v>0.97899999999999998</v>
      </c>
      <c r="N56" s="735">
        <v>0.97699999999999998</v>
      </c>
      <c r="O56" s="735">
        <v>0.97699999999999998</v>
      </c>
      <c r="P56" s="735">
        <v>0.97699999999999998</v>
      </c>
      <c r="Q56" s="735">
        <v>0.97699999999999998</v>
      </c>
      <c r="R56" s="735">
        <v>0.97799999999999998</v>
      </c>
      <c r="S56" s="735">
        <v>0.97799999999999998</v>
      </c>
    </row>
    <row r="57" spans="2:19" ht="18" customHeight="1" x14ac:dyDescent="0.35">
      <c r="B57" s="217"/>
      <c r="C57" s="199">
        <f t="shared" ca="1" si="37"/>
        <v>2033</v>
      </c>
      <c r="D57" s="548">
        <v>1</v>
      </c>
      <c r="E57" s="735">
        <v>0.97</v>
      </c>
      <c r="F57" s="735">
        <v>0.97</v>
      </c>
      <c r="G57" s="735">
        <v>0.97</v>
      </c>
      <c r="H57" s="735">
        <v>0.97299999999999998</v>
      </c>
      <c r="I57" s="735">
        <v>0.97299999999999998</v>
      </c>
      <c r="J57" s="735">
        <v>0.97199999999999998</v>
      </c>
      <c r="K57" s="735">
        <v>0.97199999999999998</v>
      </c>
      <c r="L57" s="735">
        <v>0.97099999999999997</v>
      </c>
      <c r="M57" s="735">
        <v>0.97399999999999998</v>
      </c>
      <c r="N57" s="735">
        <v>0.97199999999999998</v>
      </c>
      <c r="O57" s="735">
        <v>0.97199999999999998</v>
      </c>
      <c r="P57" s="735">
        <v>0.97199999999999998</v>
      </c>
      <c r="Q57" s="735">
        <v>0.97199999999999998</v>
      </c>
      <c r="R57" s="735">
        <v>0.97299999999999998</v>
      </c>
      <c r="S57" s="735">
        <v>0.97299999999999998</v>
      </c>
    </row>
    <row r="58" spans="2:19" ht="18" customHeight="1" x14ac:dyDescent="0.35">
      <c r="B58" s="217"/>
      <c r="C58" s="199">
        <f t="shared" ca="1" si="37"/>
        <v>2034</v>
      </c>
      <c r="D58" s="548">
        <v>1</v>
      </c>
      <c r="E58" s="735">
        <v>0.96499999999999997</v>
      </c>
      <c r="F58" s="735">
        <v>0.96399999999999997</v>
      </c>
      <c r="G58" s="735">
        <v>0.96399999999999997</v>
      </c>
      <c r="H58" s="735">
        <v>0.96799999999999997</v>
      </c>
      <c r="I58" s="735">
        <v>0.96799999999999997</v>
      </c>
      <c r="J58" s="735">
        <v>0.96699999999999997</v>
      </c>
      <c r="K58" s="735">
        <v>0.96599999999999997</v>
      </c>
      <c r="L58" s="735">
        <v>0.96599999999999997</v>
      </c>
      <c r="M58" s="735">
        <v>0.96899999999999997</v>
      </c>
      <c r="N58" s="735">
        <v>0.96699999999999997</v>
      </c>
      <c r="O58" s="735">
        <v>0.96699999999999997</v>
      </c>
      <c r="P58" s="735">
        <v>0.96699999999999997</v>
      </c>
      <c r="Q58" s="735">
        <v>0.96599999999999997</v>
      </c>
      <c r="R58" s="735">
        <v>0.96799999999999997</v>
      </c>
      <c r="S58" s="735">
        <v>0.96799999999999997</v>
      </c>
    </row>
    <row r="59" spans="2:19" ht="18" customHeight="1" x14ac:dyDescent="0.35">
      <c r="B59" s="217"/>
      <c r="C59" s="199">
        <f t="shared" ca="1" si="37"/>
        <v>2035</v>
      </c>
      <c r="D59" s="548">
        <v>1</v>
      </c>
      <c r="E59" s="735">
        <v>0.96</v>
      </c>
      <c r="F59" s="735">
        <v>0.95899999999999996</v>
      </c>
      <c r="G59" s="735">
        <v>0.95899999999999996</v>
      </c>
      <c r="H59" s="735">
        <v>0.96299999999999997</v>
      </c>
      <c r="I59" s="735">
        <v>0.96299999999999997</v>
      </c>
      <c r="J59" s="735">
        <v>0.96199999999999997</v>
      </c>
      <c r="K59" s="735">
        <v>0.96099999999999997</v>
      </c>
      <c r="L59" s="735">
        <v>0.96</v>
      </c>
      <c r="M59" s="735">
        <v>0.96499999999999997</v>
      </c>
      <c r="N59" s="735">
        <v>0.96199999999999997</v>
      </c>
      <c r="O59" s="735">
        <v>0.96199999999999997</v>
      </c>
      <c r="P59" s="735">
        <v>0.96099999999999997</v>
      </c>
      <c r="Q59" s="735">
        <v>0.96099999999999997</v>
      </c>
      <c r="R59" s="735">
        <v>0.96299999999999997</v>
      </c>
      <c r="S59" s="735">
        <v>0.96299999999999997</v>
      </c>
    </row>
    <row r="60" spans="2:19" ht="18" customHeight="1" x14ac:dyDescent="0.35">
      <c r="B60" s="217"/>
      <c r="C60" s="199">
        <f t="shared" ca="1" si="37"/>
        <v>2036</v>
      </c>
      <c r="D60" s="548">
        <v>1</v>
      </c>
      <c r="E60" s="735">
        <v>0.95499999999999996</v>
      </c>
      <c r="F60" s="735">
        <v>0.95399999999999996</v>
      </c>
      <c r="G60" s="735">
        <v>0.95299999999999996</v>
      </c>
      <c r="H60" s="735">
        <v>0.95799999999999996</v>
      </c>
      <c r="I60" s="735">
        <v>0.95799999999999996</v>
      </c>
      <c r="J60" s="735">
        <v>0.95699999999999996</v>
      </c>
      <c r="K60" s="735">
        <v>0.95599999999999996</v>
      </c>
      <c r="L60" s="735">
        <v>0.95499999999999996</v>
      </c>
      <c r="M60" s="735">
        <v>0.96</v>
      </c>
      <c r="N60" s="735">
        <v>0.95699999999999996</v>
      </c>
      <c r="O60" s="735">
        <v>0.95699999999999996</v>
      </c>
      <c r="P60" s="735">
        <v>0.95699999999999996</v>
      </c>
      <c r="Q60" s="735">
        <v>0.95599999999999996</v>
      </c>
      <c r="R60" s="735">
        <v>0.95799999999999996</v>
      </c>
      <c r="S60" s="735">
        <v>0.95899999999999996</v>
      </c>
    </row>
    <row r="61" spans="2:19" ht="18" customHeight="1" x14ac:dyDescent="0.35">
      <c r="B61" s="217"/>
      <c r="C61" s="199">
        <f t="shared" ca="1" si="37"/>
        <v>2037</v>
      </c>
      <c r="D61" s="548">
        <v>1</v>
      </c>
      <c r="E61" s="735">
        <v>0.95</v>
      </c>
      <c r="F61" s="735">
        <v>0.94799999999999995</v>
      </c>
      <c r="G61" s="735">
        <v>0.94799999999999995</v>
      </c>
      <c r="H61" s="735">
        <v>0.95399999999999996</v>
      </c>
      <c r="I61" s="735">
        <v>0.95299999999999996</v>
      </c>
      <c r="J61" s="735">
        <v>0.95199999999999996</v>
      </c>
      <c r="K61" s="735">
        <v>0.95099999999999996</v>
      </c>
      <c r="L61" s="735">
        <v>0.95</v>
      </c>
      <c r="M61" s="735">
        <v>0.95599999999999996</v>
      </c>
      <c r="N61" s="735">
        <v>0.95299999999999996</v>
      </c>
      <c r="O61" s="735">
        <v>0.95199999999999996</v>
      </c>
      <c r="P61" s="735">
        <v>0.95199999999999996</v>
      </c>
      <c r="Q61" s="735">
        <v>0.95099999999999996</v>
      </c>
      <c r="R61" s="735">
        <v>0.95399999999999996</v>
      </c>
      <c r="S61" s="735">
        <v>0.95399999999999996</v>
      </c>
    </row>
    <row r="62" spans="2:19" ht="18" customHeight="1" x14ac:dyDescent="0.35">
      <c r="B62" s="217"/>
      <c r="C62" s="199">
        <f t="shared" ca="1" si="37"/>
        <v>2038</v>
      </c>
      <c r="D62" s="548">
        <v>1</v>
      </c>
      <c r="E62" s="735">
        <v>0.94499999999999995</v>
      </c>
      <c r="F62" s="735">
        <v>0.94299999999999995</v>
      </c>
      <c r="G62" s="735">
        <v>0.94299999999999995</v>
      </c>
      <c r="H62" s="735">
        <v>0.94899999999999995</v>
      </c>
      <c r="I62" s="735">
        <v>0.94899999999999995</v>
      </c>
      <c r="J62" s="735">
        <v>0.94799999999999995</v>
      </c>
      <c r="K62" s="735">
        <v>0.94699999999999995</v>
      </c>
      <c r="L62" s="735">
        <v>0.94599999999999995</v>
      </c>
      <c r="M62" s="735">
        <v>0.95099999999999996</v>
      </c>
      <c r="N62" s="735">
        <v>0.94799999999999995</v>
      </c>
      <c r="O62" s="735">
        <v>0.94699999999999995</v>
      </c>
      <c r="P62" s="735">
        <v>0.94699999999999995</v>
      </c>
      <c r="Q62" s="735">
        <v>0.94699999999999995</v>
      </c>
      <c r="R62" s="735">
        <v>0.94899999999999995</v>
      </c>
      <c r="S62" s="735">
        <v>0.95</v>
      </c>
    </row>
    <row r="63" spans="2:19" ht="18" customHeight="1" x14ac:dyDescent="0.35">
      <c r="B63" s="217"/>
      <c r="C63" s="199">
        <f t="shared" ca="1" si="37"/>
        <v>2039</v>
      </c>
      <c r="D63" s="548">
        <v>1</v>
      </c>
      <c r="E63" s="735">
        <v>0.94</v>
      </c>
      <c r="F63" s="735">
        <v>0.93799999999999994</v>
      </c>
      <c r="G63" s="735">
        <v>0.93799999999999994</v>
      </c>
      <c r="H63" s="735">
        <v>0.94499999999999995</v>
      </c>
      <c r="I63" s="735">
        <v>0.94399999999999995</v>
      </c>
      <c r="J63" s="735">
        <v>0.94299999999999995</v>
      </c>
      <c r="K63" s="735">
        <v>0.94199999999999995</v>
      </c>
      <c r="L63" s="735">
        <v>0.94099999999999995</v>
      </c>
      <c r="M63" s="735">
        <v>0.94699999999999995</v>
      </c>
      <c r="N63" s="735">
        <v>0.94299999999999995</v>
      </c>
      <c r="O63" s="735">
        <v>0.94299999999999995</v>
      </c>
      <c r="P63" s="735">
        <v>0.94199999999999995</v>
      </c>
      <c r="Q63" s="735">
        <v>0.94199999999999995</v>
      </c>
      <c r="R63" s="735">
        <v>0.94499999999999995</v>
      </c>
      <c r="S63" s="735">
        <v>0.94499999999999995</v>
      </c>
    </row>
    <row r="64" spans="2:19" ht="18" customHeight="1" x14ac:dyDescent="0.35">
      <c r="B64" s="217"/>
      <c r="C64" s="199">
        <f t="shared" ca="1" si="37"/>
        <v>2040</v>
      </c>
      <c r="D64" s="548">
        <v>1</v>
      </c>
      <c r="E64" s="735">
        <v>0.93500000000000005</v>
      </c>
      <c r="F64" s="735">
        <v>0.93400000000000005</v>
      </c>
      <c r="G64" s="735">
        <v>0.93300000000000005</v>
      </c>
      <c r="H64" s="735">
        <v>0.94</v>
      </c>
      <c r="I64" s="735">
        <v>0.94</v>
      </c>
      <c r="J64" s="735">
        <v>0.93899999999999995</v>
      </c>
      <c r="K64" s="735">
        <v>0.93700000000000006</v>
      </c>
      <c r="L64" s="735">
        <v>0.93600000000000005</v>
      </c>
      <c r="M64" s="735">
        <v>0.94299999999999995</v>
      </c>
      <c r="N64" s="735">
        <v>0.93899999999999995</v>
      </c>
      <c r="O64" s="735">
        <v>0.93799999999999994</v>
      </c>
      <c r="P64" s="735">
        <v>0.93799999999999994</v>
      </c>
      <c r="Q64" s="735">
        <v>0.93700000000000006</v>
      </c>
      <c r="R64" s="735">
        <v>0.94</v>
      </c>
      <c r="S64" s="735">
        <v>0.94099999999999995</v>
      </c>
    </row>
    <row r="65" spans="2:19" ht="18" customHeight="1" x14ac:dyDescent="0.35">
      <c r="B65" s="217"/>
      <c r="C65" s="199">
        <f t="shared" ca="1" si="37"/>
        <v>2041</v>
      </c>
      <c r="D65" s="548">
        <v>1</v>
      </c>
      <c r="E65" s="735">
        <v>0.93</v>
      </c>
      <c r="F65" s="735">
        <v>0.92900000000000005</v>
      </c>
      <c r="G65" s="735">
        <v>0.92900000000000005</v>
      </c>
      <c r="H65" s="735">
        <v>0.93600000000000005</v>
      </c>
      <c r="I65" s="735">
        <v>0.93600000000000005</v>
      </c>
      <c r="J65" s="735">
        <v>0.93400000000000005</v>
      </c>
      <c r="K65" s="735">
        <v>0.93300000000000005</v>
      </c>
      <c r="L65" s="735">
        <v>0.93200000000000005</v>
      </c>
      <c r="M65" s="735">
        <v>0.93899999999999995</v>
      </c>
      <c r="N65" s="735">
        <v>0.93500000000000005</v>
      </c>
      <c r="O65" s="735">
        <v>0.93400000000000005</v>
      </c>
      <c r="P65" s="735">
        <v>0.93300000000000005</v>
      </c>
      <c r="Q65" s="735">
        <v>0.93300000000000005</v>
      </c>
      <c r="R65" s="735">
        <v>0.93600000000000005</v>
      </c>
      <c r="S65" s="735">
        <v>0.93700000000000006</v>
      </c>
    </row>
    <row r="66" spans="2:19" ht="18" customHeight="1" x14ac:dyDescent="0.35">
      <c r="B66" s="217"/>
      <c r="C66" s="199">
        <f t="shared" ca="1" si="37"/>
        <v>2042</v>
      </c>
      <c r="D66" s="548">
        <v>1</v>
      </c>
      <c r="E66" s="735">
        <v>0.92600000000000005</v>
      </c>
      <c r="F66" s="735">
        <v>0.92400000000000004</v>
      </c>
      <c r="G66" s="735">
        <v>0.92400000000000004</v>
      </c>
      <c r="H66" s="735">
        <v>0.93200000000000005</v>
      </c>
      <c r="I66" s="735">
        <v>0.93100000000000005</v>
      </c>
      <c r="J66" s="735">
        <v>0.93</v>
      </c>
      <c r="K66" s="735">
        <v>0.92900000000000005</v>
      </c>
      <c r="L66" s="735">
        <v>0.92700000000000005</v>
      </c>
      <c r="M66" s="735">
        <v>0.93500000000000005</v>
      </c>
      <c r="N66" s="735">
        <v>0.93</v>
      </c>
      <c r="O66" s="735">
        <v>0.92900000000000005</v>
      </c>
      <c r="P66" s="735">
        <v>0.92900000000000005</v>
      </c>
      <c r="Q66" s="735">
        <v>0.92900000000000005</v>
      </c>
      <c r="R66" s="735">
        <v>0.93200000000000005</v>
      </c>
      <c r="S66" s="735">
        <v>0.93200000000000005</v>
      </c>
    </row>
    <row r="67" spans="2:19" ht="18" customHeight="1" x14ac:dyDescent="0.35">
      <c r="B67" s="217"/>
      <c r="C67" s="199">
        <f t="shared" ca="1" si="37"/>
        <v>2043</v>
      </c>
      <c r="D67" s="548">
        <v>1</v>
      </c>
      <c r="E67" s="735">
        <v>0.92100000000000004</v>
      </c>
      <c r="F67" s="735">
        <v>0.92</v>
      </c>
      <c r="G67" s="735">
        <v>0.91900000000000004</v>
      </c>
      <c r="H67" s="735">
        <v>0.92800000000000005</v>
      </c>
      <c r="I67" s="735">
        <v>0.92700000000000005</v>
      </c>
      <c r="J67" s="735">
        <v>0.92600000000000005</v>
      </c>
      <c r="K67" s="735">
        <v>0.92400000000000004</v>
      </c>
      <c r="L67" s="735">
        <v>0.92300000000000004</v>
      </c>
      <c r="M67" s="735">
        <v>0.93100000000000005</v>
      </c>
      <c r="N67" s="735">
        <v>0.92600000000000005</v>
      </c>
      <c r="O67" s="735">
        <v>0.92500000000000004</v>
      </c>
      <c r="P67" s="735">
        <v>0.92500000000000004</v>
      </c>
      <c r="Q67" s="735">
        <v>0.92400000000000004</v>
      </c>
      <c r="R67" s="735">
        <v>0.92800000000000005</v>
      </c>
      <c r="S67" s="735">
        <v>0.92800000000000005</v>
      </c>
    </row>
    <row r="68" spans="2:19" ht="18" customHeight="1" x14ac:dyDescent="0.35">
      <c r="B68" s="217"/>
      <c r="C68" s="199">
        <f t="shared" ca="1" si="37"/>
        <v>2044</v>
      </c>
      <c r="D68" s="548">
        <v>1</v>
      </c>
      <c r="E68" s="735">
        <v>0.91700000000000004</v>
      </c>
      <c r="F68" s="735">
        <v>0.91500000000000004</v>
      </c>
      <c r="G68" s="735">
        <v>0.91500000000000004</v>
      </c>
      <c r="H68" s="735">
        <v>0.92400000000000004</v>
      </c>
      <c r="I68" s="735">
        <v>0.92300000000000004</v>
      </c>
      <c r="J68" s="735">
        <v>0.92200000000000004</v>
      </c>
      <c r="K68" s="735">
        <v>0.92</v>
      </c>
      <c r="L68" s="735">
        <v>0.91800000000000004</v>
      </c>
      <c r="M68" s="735">
        <v>0.92700000000000005</v>
      </c>
      <c r="N68" s="735">
        <v>0.92200000000000004</v>
      </c>
      <c r="O68" s="735">
        <v>0.92100000000000004</v>
      </c>
      <c r="P68" s="735">
        <v>0.92</v>
      </c>
      <c r="Q68" s="735">
        <v>0.92</v>
      </c>
      <c r="R68" s="735">
        <v>0.92400000000000004</v>
      </c>
      <c r="S68" s="735">
        <v>0.92400000000000004</v>
      </c>
    </row>
    <row r="69" spans="2:19" ht="18" customHeight="1" x14ac:dyDescent="0.35">
      <c r="B69" s="217"/>
      <c r="C69" s="199">
        <f t="shared" ca="1" si="37"/>
        <v>2045</v>
      </c>
      <c r="D69" s="548">
        <v>1</v>
      </c>
      <c r="E69" s="735">
        <v>0.91300000000000003</v>
      </c>
      <c r="F69" s="735">
        <v>0.91100000000000003</v>
      </c>
      <c r="G69" s="735">
        <v>0.91</v>
      </c>
      <c r="H69" s="735">
        <v>0.92</v>
      </c>
      <c r="I69" s="735">
        <v>0.91900000000000004</v>
      </c>
      <c r="J69" s="735">
        <v>0.91800000000000004</v>
      </c>
      <c r="K69" s="735">
        <v>0.91600000000000004</v>
      </c>
      <c r="L69" s="735">
        <v>0.91400000000000003</v>
      </c>
      <c r="M69" s="735">
        <v>0.92300000000000004</v>
      </c>
      <c r="N69" s="735">
        <v>0.91800000000000004</v>
      </c>
      <c r="O69" s="735">
        <v>0.91700000000000004</v>
      </c>
      <c r="P69" s="735">
        <v>0.91600000000000004</v>
      </c>
      <c r="Q69" s="735">
        <v>0.91600000000000004</v>
      </c>
      <c r="R69" s="735">
        <v>0.92</v>
      </c>
      <c r="S69" s="735">
        <v>0.92</v>
      </c>
    </row>
    <row r="70" spans="2:19" ht="18" customHeight="1" x14ac:dyDescent="0.35">
      <c r="B70" s="217"/>
      <c r="C70" s="199">
        <f t="shared" ca="1" si="37"/>
        <v>2046</v>
      </c>
      <c r="D70" s="548">
        <v>1</v>
      </c>
      <c r="E70" s="735">
        <v>0.90800000000000003</v>
      </c>
      <c r="F70" s="735">
        <v>0.90600000000000003</v>
      </c>
      <c r="G70" s="735">
        <v>0.90600000000000003</v>
      </c>
      <c r="H70" s="735">
        <v>0.91600000000000004</v>
      </c>
      <c r="I70" s="735">
        <v>0.91500000000000004</v>
      </c>
      <c r="J70" s="735">
        <v>0.91400000000000003</v>
      </c>
      <c r="K70" s="735">
        <v>0.91200000000000003</v>
      </c>
      <c r="L70" s="735">
        <v>0.91</v>
      </c>
      <c r="M70" s="735">
        <v>0.91900000000000004</v>
      </c>
      <c r="N70" s="735">
        <v>0.91400000000000003</v>
      </c>
      <c r="O70" s="735">
        <v>0.91300000000000003</v>
      </c>
      <c r="P70" s="735">
        <v>0.91200000000000003</v>
      </c>
      <c r="Q70" s="735">
        <v>0.91200000000000003</v>
      </c>
      <c r="R70" s="735">
        <v>0.91600000000000004</v>
      </c>
      <c r="S70" s="735">
        <v>0.91600000000000004</v>
      </c>
    </row>
    <row r="71" spans="2:19" ht="18" customHeight="1" x14ac:dyDescent="0.35">
      <c r="B71" s="217"/>
      <c r="C71" s="199">
        <f t="shared" ca="1" si="37"/>
        <v>2047</v>
      </c>
      <c r="D71" s="548">
        <v>1</v>
      </c>
      <c r="E71" s="735">
        <v>0.90400000000000003</v>
      </c>
      <c r="F71" s="735">
        <v>0.90200000000000002</v>
      </c>
      <c r="G71" s="735">
        <v>0.90100000000000002</v>
      </c>
      <c r="H71" s="735">
        <v>0.91200000000000003</v>
      </c>
      <c r="I71" s="735">
        <v>0.91100000000000003</v>
      </c>
      <c r="J71" s="735">
        <v>0.91</v>
      </c>
      <c r="K71" s="735">
        <v>0.90800000000000003</v>
      </c>
      <c r="L71" s="735">
        <v>0.90600000000000003</v>
      </c>
      <c r="M71" s="735">
        <v>0.91600000000000004</v>
      </c>
      <c r="N71" s="735">
        <v>0.91</v>
      </c>
      <c r="O71" s="735">
        <v>0.90900000000000003</v>
      </c>
      <c r="P71" s="735">
        <v>0.90800000000000003</v>
      </c>
      <c r="Q71" s="735">
        <v>0.90800000000000003</v>
      </c>
      <c r="R71" s="735">
        <v>0.91200000000000003</v>
      </c>
      <c r="S71" s="735">
        <v>0.91300000000000003</v>
      </c>
    </row>
    <row r="72" spans="2:19" ht="18" customHeight="1" x14ac:dyDescent="0.35">
      <c r="B72" s="217"/>
      <c r="C72" s="199">
        <f t="shared" ca="1" si="37"/>
        <v>2048</v>
      </c>
      <c r="D72" s="548">
        <v>1</v>
      </c>
      <c r="E72" s="735">
        <v>0.9</v>
      </c>
      <c r="F72" s="735">
        <v>0.89800000000000002</v>
      </c>
      <c r="G72" s="735">
        <v>0.89700000000000002</v>
      </c>
      <c r="H72" s="735">
        <v>0.90800000000000003</v>
      </c>
      <c r="I72" s="735">
        <v>0.90700000000000003</v>
      </c>
      <c r="J72" s="735">
        <v>0.90600000000000003</v>
      </c>
      <c r="K72" s="735">
        <v>0.90400000000000003</v>
      </c>
      <c r="L72" s="735">
        <v>0.90200000000000002</v>
      </c>
      <c r="M72" s="735">
        <v>0.91200000000000003</v>
      </c>
      <c r="N72" s="735">
        <v>0.90600000000000003</v>
      </c>
      <c r="O72" s="735">
        <v>0.90500000000000003</v>
      </c>
      <c r="P72" s="735">
        <v>0.90400000000000003</v>
      </c>
      <c r="Q72" s="735">
        <v>0.90400000000000003</v>
      </c>
      <c r="R72" s="735">
        <v>0.90800000000000003</v>
      </c>
      <c r="S72" s="735">
        <v>0.90900000000000003</v>
      </c>
    </row>
    <row r="73" spans="2:19" ht="18" customHeight="1" x14ac:dyDescent="0.35">
      <c r="B73" s="217"/>
      <c r="C73" s="199">
        <f t="shared" ca="1" si="37"/>
        <v>2049</v>
      </c>
      <c r="D73" s="548">
        <v>1</v>
      </c>
      <c r="E73" s="735">
        <v>0.89600000000000002</v>
      </c>
      <c r="F73" s="735">
        <v>0.89400000000000002</v>
      </c>
      <c r="G73" s="735">
        <v>0.89300000000000002</v>
      </c>
      <c r="H73" s="735">
        <v>0.90400000000000003</v>
      </c>
      <c r="I73" s="735">
        <v>0.90300000000000002</v>
      </c>
      <c r="J73" s="735">
        <v>0.90200000000000002</v>
      </c>
      <c r="K73" s="735">
        <v>0.9</v>
      </c>
      <c r="L73" s="735">
        <v>0.89700000000000002</v>
      </c>
      <c r="M73" s="735">
        <v>0.90800000000000003</v>
      </c>
      <c r="N73" s="735">
        <v>0.90200000000000002</v>
      </c>
      <c r="O73" s="735">
        <v>0.90100000000000002</v>
      </c>
      <c r="P73" s="735">
        <v>0.9</v>
      </c>
      <c r="Q73" s="735">
        <v>0.9</v>
      </c>
      <c r="R73" s="735">
        <v>0.90400000000000003</v>
      </c>
      <c r="S73" s="735">
        <v>0.90500000000000003</v>
      </c>
    </row>
    <row r="74" spans="2:19" ht="18" customHeight="1" x14ac:dyDescent="0.35">
      <c r="B74" s="217"/>
      <c r="C74" s="199">
        <f t="shared" ca="1" si="37"/>
        <v>2050</v>
      </c>
      <c r="D74" s="548">
        <v>1</v>
      </c>
      <c r="E74" s="735">
        <v>0.89200000000000002</v>
      </c>
      <c r="F74" s="735">
        <v>0.88900000000000001</v>
      </c>
      <c r="G74" s="735">
        <v>0.88900000000000001</v>
      </c>
      <c r="H74" s="735">
        <v>0.90100000000000002</v>
      </c>
      <c r="I74" s="735">
        <v>0.9</v>
      </c>
      <c r="J74" s="735">
        <v>0.89800000000000002</v>
      </c>
      <c r="K74" s="735">
        <v>0.89600000000000002</v>
      </c>
      <c r="L74" s="735">
        <v>0.89300000000000002</v>
      </c>
      <c r="M74" s="735">
        <v>0.90500000000000003</v>
      </c>
      <c r="N74" s="735">
        <v>0.89800000000000002</v>
      </c>
      <c r="O74" s="735">
        <v>0.89700000000000002</v>
      </c>
      <c r="P74" s="735">
        <v>0.89600000000000002</v>
      </c>
      <c r="Q74" s="735">
        <v>0.89600000000000002</v>
      </c>
      <c r="R74" s="735">
        <v>0.90100000000000002</v>
      </c>
      <c r="S74" s="735">
        <v>0.90100000000000002</v>
      </c>
    </row>
    <row r="75" spans="2:19" ht="18" customHeight="1" x14ac:dyDescent="0.35">
      <c r="B75" s="217"/>
      <c r="C75" s="199">
        <f t="shared" ca="1" si="37"/>
        <v>2051</v>
      </c>
      <c r="D75" s="548">
        <v>1</v>
      </c>
      <c r="E75" s="735">
        <v>0.88800000000000001</v>
      </c>
      <c r="F75" s="735">
        <v>0.88500000000000001</v>
      </c>
      <c r="G75" s="735">
        <v>0.88500000000000001</v>
      </c>
      <c r="H75" s="735">
        <v>0.89700000000000002</v>
      </c>
      <c r="I75" s="735">
        <v>0.89600000000000002</v>
      </c>
      <c r="J75" s="735">
        <v>0.89400000000000002</v>
      </c>
      <c r="K75" s="735">
        <v>0.89200000000000002</v>
      </c>
      <c r="L75" s="735">
        <v>0.89</v>
      </c>
      <c r="M75" s="735">
        <v>0.90100000000000002</v>
      </c>
      <c r="N75" s="735">
        <v>0.89500000000000002</v>
      </c>
      <c r="O75" s="735">
        <v>0.89300000000000002</v>
      </c>
      <c r="P75" s="735">
        <v>0.89300000000000002</v>
      </c>
      <c r="Q75" s="735">
        <v>0.89200000000000002</v>
      </c>
      <c r="R75" s="735">
        <v>0.89700000000000002</v>
      </c>
      <c r="S75" s="735">
        <v>0.89800000000000002</v>
      </c>
    </row>
    <row r="76" spans="2:19" ht="18" customHeight="1" x14ac:dyDescent="0.35">
      <c r="B76" s="217"/>
      <c r="C76" s="199">
        <f t="shared" ca="1" si="37"/>
        <v>2052</v>
      </c>
      <c r="D76" s="548">
        <v>1</v>
      </c>
      <c r="E76" s="735">
        <v>0.88400000000000001</v>
      </c>
      <c r="F76" s="735">
        <v>0.88100000000000001</v>
      </c>
      <c r="G76" s="735">
        <v>0.88100000000000001</v>
      </c>
      <c r="H76" s="735">
        <v>0.89300000000000002</v>
      </c>
      <c r="I76" s="735">
        <v>0.89200000000000002</v>
      </c>
      <c r="J76" s="735">
        <v>0.89</v>
      </c>
      <c r="K76" s="735">
        <v>0.88800000000000001</v>
      </c>
      <c r="L76" s="735">
        <v>0.88600000000000001</v>
      </c>
      <c r="M76" s="735">
        <v>0.89800000000000002</v>
      </c>
      <c r="N76" s="735">
        <v>0.89100000000000001</v>
      </c>
      <c r="O76" s="735">
        <v>0.89</v>
      </c>
      <c r="P76" s="735">
        <v>0.88900000000000001</v>
      </c>
      <c r="Q76" s="735">
        <v>0.88800000000000001</v>
      </c>
      <c r="R76" s="735">
        <v>0.89300000000000002</v>
      </c>
      <c r="S76" s="735">
        <v>0.89400000000000002</v>
      </c>
    </row>
    <row r="77" spans="2:19" ht="18" customHeight="1" x14ac:dyDescent="0.35">
      <c r="B77" s="217"/>
      <c r="C77" s="199">
        <f t="shared" ca="1" si="37"/>
        <v>2053</v>
      </c>
      <c r="D77" s="548">
        <v>1</v>
      </c>
      <c r="E77" s="735">
        <v>0.88</v>
      </c>
      <c r="F77" s="735">
        <v>0.877</v>
      </c>
      <c r="G77" s="735">
        <v>0.877</v>
      </c>
      <c r="H77" s="735">
        <v>0.89</v>
      </c>
      <c r="I77" s="735">
        <v>0.88900000000000001</v>
      </c>
      <c r="J77" s="735">
        <v>0.88700000000000001</v>
      </c>
      <c r="K77" s="735">
        <v>0.88400000000000001</v>
      </c>
      <c r="L77" s="735">
        <v>0.88200000000000001</v>
      </c>
      <c r="M77" s="735">
        <v>0.89400000000000002</v>
      </c>
      <c r="N77" s="735">
        <v>0.88700000000000001</v>
      </c>
      <c r="O77" s="735">
        <v>0.88600000000000001</v>
      </c>
      <c r="P77" s="735">
        <v>0.88500000000000001</v>
      </c>
      <c r="Q77" s="735">
        <v>0.88400000000000001</v>
      </c>
      <c r="R77" s="735">
        <v>0.89</v>
      </c>
      <c r="S77" s="735">
        <v>0.89</v>
      </c>
    </row>
    <row r="78" spans="2:19" ht="18" customHeight="1" x14ac:dyDescent="0.35">
      <c r="B78" s="217"/>
      <c r="C78" s="199">
        <f t="shared" ca="1" si="37"/>
        <v>2054</v>
      </c>
      <c r="D78" s="548">
        <v>1</v>
      </c>
      <c r="E78" s="735">
        <v>0.876</v>
      </c>
      <c r="F78" s="735">
        <v>0.873</v>
      </c>
      <c r="G78" s="735">
        <v>0.873</v>
      </c>
      <c r="H78" s="735">
        <v>0.88600000000000001</v>
      </c>
      <c r="I78" s="735">
        <v>0.88500000000000001</v>
      </c>
      <c r="J78" s="735">
        <v>0.88300000000000001</v>
      </c>
      <c r="K78" s="735">
        <v>0.88</v>
      </c>
      <c r="L78" s="735">
        <v>0.878</v>
      </c>
      <c r="M78" s="735">
        <v>0.89100000000000001</v>
      </c>
      <c r="N78" s="735">
        <v>0.88400000000000001</v>
      </c>
      <c r="O78" s="735">
        <v>0.88200000000000001</v>
      </c>
      <c r="P78" s="735">
        <v>0.88100000000000001</v>
      </c>
      <c r="Q78" s="735">
        <v>0.88100000000000001</v>
      </c>
      <c r="R78" s="735">
        <v>0.88600000000000001</v>
      </c>
      <c r="S78" s="735">
        <v>0.88700000000000001</v>
      </c>
    </row>
    <row r="79" spans="2:19" ht="18" customHeight="1" x14ac:dyDescent="0.35">
      <c r="B79" s="217"/>
      <c r="C79" s="199">
        <f t="shared" ca="1" si="37"/>
        <v>2055</v>
      </c>
      <c r="D79" s="548">
        <v>1</v>
      </c>
      <c r="E79" s="735">
        <v>0.872</v>
      </c>
      <c r="F79" s="735">
        <v>0.86899999999999999</v>
      </c>
      <c r="G79" s="735">
        <v>0.86899999999999999</v>
      </c>
      <c r="H79" s="735">
        <v>0.88300000000000001</v>
      </c>
      <c r="I79" s="735">
        <v>0.88200000000000001</v>
      </c>
      <c r="J79" s="735">
        <v>0.879</v>
      </c>
      <c r="K79" s="735">
        <v>0.877</v>
      </c>
      <c r="L79" s="735">
        <v>0.874</v>
      </c>
      <c r="M79" s="735">
        <v>0.88800000000000001</v>
      </c>
      <c r="N79" s="735">
        <v>0.88</v>
      </c>
      <c r="O79" s="735">
        <v>0.878</v>
      </c>
      <c r="P79" s="735">
        <v>0.878</v>
      </c>
      <c r="Q79" s="735">
        <v>0.877</v>
      </c>
      <c r="R79" s="735">
        <v>0.88300000000000001</v>
      </c>
      <c r="S79" s="735">
        <v>0.88300000000000001</v>
      </c>
    </row>
    <row r="80" spans="2:19" ht="18" customHeight="1" x14ac:dyDescent="0.35">
      <c r="B80" s="217"/>
      <c r="C80" s="199">
        <f t="shared" ca="1" si="37"/>
        <v>2056</v>
      </c>
      <c r="D80" s="548">
        <v>1</v>
      </c>
      <c r="E80" s="735">
        <v>0.86899999999999999</v>
      </c>
      <c r="F80" s="735">
        <v>0.86599999999999999</v>
      </c>
      <c r="G80" s="735">
        <v>0.86499999999999999</v>
      </c>
      <c r="H80" s="735">
        <v>0.879</v>
      </c>
      <c r="I80" s="735">
        <v>0.878</v>
      </c>
      <c r="J80" s="735">
        <v>0.876</v>
      </c>
      <c r="K80" s="735">
        <v>0.873</v>
      </c>
      <c r="L80" s="735">
        <v>0.871</v>
      </c>
      <c r="M80" s="735">
        <v>0.88400000000000001</v>
      </c>
      <c r="N80" s="735">
        <v>0.876</v>
      </c>
      <c r="O80" s="735">
        <v>0.875</v>
      </c>
      <c r="P80" s="735">
        <v>0.874</v>
      </c>
      <c r="Q80" s="735">
        <v>0.873</v>
      </c>
      <c r="R80" s="735">
        <v>0.879</v>
      </c>
      <c r="S80" s="735">
        <v>0.88</v>
      </c>
    </row>
    <row r="81" spans="2:19" ht="18" customHeight="1" x14ac:dyDescent="0.35">
      <c r="B81" s="217"/>
      <c r="C81" s="199">
        <f t="shared" ca="1" si="37"/>
        <v>2057</v>
      </c>
      <c r="D81" s="548">
        <v>1</v>
      </c>
      <c r="E81" s="735">
        <v>0.86478433476150796</v>
      </c>
      <c r="F81" s="735">
        <v>0.86171312000972167</v>
      </c>
      <c r="G81" s="735">
        <v>0.86098247349999757</v>
      </c>
      <c r="H81" s="735">
        <v>0.87595291599247183</v>
      </c>
      <c r="I81" s="735">
        <v>0.87467401811892043</v>
      </c>
      <c r="J81" s="735">
        <v>0.87240159575323883</v>
      </c>
      <c r="K81" s="735">
        <v>0.86956651891214543</v>
      </c>
      <c r="L81" s="735">
        <v>0.8668437073160391</v>
      </c>
      <c r="M81" s="735">
        <v>0.88099463817295753</v>
      </c>
      <c r="N81" s="735">
        <v>0.87297953512223991</v>
      </c>
      <c r="O81" s="735">
        <v>0.87135041184493833</v>
      </c>
      <c r="P81" s="735">
        <v>0.87043373140902169</v>
      </c>
      <c r="Q81" s="735">
        <v>0.8695899572711967</v>
      </c>
      <c r="R81" s="735">
        <v>0.87564151123808265</v>
      </c>
      <c r="S81" s="735">
        <v>0.87657010476124864</v>
      </c>
    </row>
    <row r="82" spans="2:19" ht="18" customHeight="1" thickBot="1" x14ac:dyDescent="0.4">
      <c r="B82" s="235"/>
      <c r="C82" s="236"/>
      <c r="D82" s="236"/>
      <c r="E82" s="236"/>
      <c r="F82" s="236"/>
      <c r="G82" s="236"/>
      <c r="H82" s="236"/>
      <c r="I82" s="236"/>
      <c r="J82" s="236"/>
      <c r="K82" s="236"/>
      <c r="L82" s="236"/>
      <c r="M82" s="236"/>
      <c r="N82" s="236"/>
      <c r="O82" s="236"/>
      <c r="P82" s="236"/>
      <c r="Q82" s="236"/>
      <c r="R82" s="236"/>
      <c r="S82" s="236"/>
    </row>
  </sheetData>
  <sheetProtection algorithmName="SHA-512" hashValue="QhF2VBAyNXYWdX/o7aFvA+XpLL9D3ppS8EJ/7snQLUR/Sqb95/NvuFSgBc0sVTPkL6nhNfam7o3hrFsJHub5Jg==" saltValue="RtK46MeMCu6270IuhT3ZTg==" spinCount="100000" sheet="1" objects="1" scenarios="1"/>
  <dataValidations count="1">
    <dataValidation allowBlank="1" showErrorMessage="1" sqref="V3:W3 B43:S43 A43:A66 T43:XFD66 E6:S41" xr:uid="{00000000-0002-0000-0B00-000000000000}"/>
  </dataValidations>
  <hyperlinks>
    <hyperlink ref="U2" location="Navigation!A1" display="Navigation" xr:uid="{00000000-0004-0000-0B00-000000000000}"/>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theme="8" tint="-0.499984740745262"/>
    <pageSetUpPr autoPageBreaks="0"/>
  </sheetPr>
  <dimension ref="A1:CX3884"/>
  <sheetViews>
    <sheetView zoomScale="70" zoomScaleNormal="70" workbookViewId="0"/>
  </sheetViews>
  <sheetFormatPr defaultColWidth="9.453125" defaultRowHeight="15.5" zeroHeight="1" x14ac:dyDescent="0.35"/>
  <cols>
    <col min="1" max="2" width="3.54296875" style="18" customWidth="1"/>
    <col min="3" max="3" width="22.54296875" style="18" bestFit="1" customWidth="1"/>
    <col min="4" max="4" width="25" style="18" customWidth="1"/>
    <col min="5" max="5" width="18" style="18" customWidth="1"/>
    <col min="6" max="13" width="10.54296875" style="18" bestFit="1" customWidth="1"/>
    <col min="14" max="14" width="10.54296875" style="168" bestFit="1" customWidth="1"/>
    <col min="15" max="15" width="10.54296875" style="18" bestFit="1" customWidth="1"/>
    <col min="16" max="16" width="10.54296875" style="18" customWidth="1"/>
    <col min="17" max="25" width="10.54296875" style="18" bestFit="1" customWidth="1"/>
    <col min="26" max="26" width="10.54296875" style="168" bestFit="1" customWidth="1"/>
    <col min="27" max="35" width="10.54296875" style="18" bestFit="1" customWidth="1"/>
    <col min="36" max="36" width="10.54296875" style="18" customWidth="1"/>
    <col min="37" max="39" width="10.54296875" style="18" bestFit="1" customWidth="1"/>
    <col min="40" max="40" width="10.54296875" style="18" customWidth="1"/>
    <col min="41" max="41" width="10.54296875" style="18" bestFit="1" customWidth="1"/>
    <col min="42" max="43" width="3.54296875" style="18" customWidth="1"/>
    <col min="44" max="16384" width="9.453125" style="18"/>
  </cols>
  <sheetData>
    <row r="1" spans="2:42" ht="16" thickBot="1" x14ac:dyDescent="0.4"/>
    <row r="2" spans="2:42" ht="17.25" customHeight="1" thickTop="1" thickBot="1" x14ac:dyDescent="0.4">
      <c r="C2" s="280" t="s">
        <v>133</v>
      </c>
      <c r="E2" s="10" t="s">
        <v>159</v>
      </c>
      <c r="J2" s="168"/>
      <c r="N2" s="18"/>
      <c r="V2" s="168"/>
      <c r="Z2" s="18"/>
    </row>
    <row r="3" spans="2:42" ht="16" thickBot="1" x14ac:dyDescent="0.4"/>
    <row r="4" spans="2:42" x14ac:dyDescent="0.35">
      <c r="B4" s="208"/>
      <c r="C4" s="209"/>
      <c r="D4" s="209"/>
      <c r="E4" s="281"/>
      <c r="F4" s="282"/>
      <c r="G4" s="282"/>
      <c r="H4" s="282"/>
      <c r="I4" s="282"/>
      <c r="J4" s="282"/>
      <c r="K4" s="282"/>
      <c r="L4" s="282"/>
      <c r="M4" s="282"/>
      <c r="N4" s="283"/>
      <c r="O4" s="282"/>
      <c r="P4" s="282"/>
      <c r="Q4" s="282"/>
      <c r="R4" s="282"/>
      <c r="S4" s="282"/>
      <c r="T4" s="282"/>
      <c r="U4" s="282"/>
      <c r="V4" s="282"/>
      <c r="W4" s="282"/>
      <c r="X4" s="282"/>
      <c r="Y4" s="284"/>
      <c r="Z4" s="283"/>
      <c r="AA4" s="282"/>
      <c r="AB4" s="282"/>
      <c r="AC4" s="282"/>
      <c r="AD4" s="282"/>
      <c r="AE4" s="282"/>
      <c r="AF4" s="282"/>
      <c r="AG4" s="282"/>
      <c r="AH4" s="282"/>
      <c r="AI4" s="282"/>
      <c r="AJ4" s="282"/>
      <c r="AK4" s="282"/>
      <c r="AL4" s="282"/>
      <c r="AM4" s="282"/>
      <c r="AN4" s="282"/>
      <c r="AO4" s="284"/>
      <c r="AP4" s="210"/>
    </row>
    <row r="5" spans="2:42" x14ac:dyDescent="0.35">
      <c r="B5" s="217"/>
      <c r="C5" s="269" t="s">
        <v>192</v>
      </c>
      <c r="D5" s="269" t="s">
        <v>191</v>
      </c>
      <c r="E5" s="269" t="s">
        <v>193</v>
      </c>
      <c r="F5" s="285" t="str">
        <f>NAMES!$O$6</f>
        <v>Reference Case</v>
      </c>
      <c r="G5" s="286"/>
      <c r="H5" s="286"/>
      <c r="I5" s="286"/>
      <c r="J5" s="286"/>
      <c r="K5" s="286"/>
      <c r="L5" s="286"/>
      <c r="M5" s="286"/>
      <c r="N5" s="287"/>
      <c r="O5" s="286"/>
      <c r="P5" s="286"/>
      <c r="Q5" s="286"/>
      <c r="R5" s="286"/>
      <c r="S5" s="286"/>
      <c r="T5" s="286"/>
      <c r="U5" s="286"/>
      <c r="V5" s="286"/>
      <c r="W5" s="286"/>
      <c r="X5" s="286"/>
      <c r="Y5" s="288"/>
      <c r="Z5" s="287"/>
      <c r="AA5" s="286"/>
      <c r="AB5" s="286"/>
      <c r="AC5" s="286"/>
      <c r="AD5" s="286"/>
      <c r="AE5" s="286"/>
      <c r="AF5" s="286"/>
      <c r="AG5" s="286"/>
      <c r="AH5" s="286"/>
      <c r="AI5" s="286"/>
      <c r="AJ5" s="286"/>
      <c r="AK5" s="286"/>
      <c r="AL5" s="286"/>
      <c r="AM5" s="286"/>
      <c r="AN5" s="286"/>
      <c r="AO5" s="288"/>
      <c r="AP5" s="220"/>
    </row>
    <row r="6" spans="2:42" ht="16" thickBot="1" x14ac:dyDescent="0.4">
      <c r="B6" s="235"/>
      <c r="C6" s="289"/>
      <c r="D6" s="289"/>
      <c r="E6" s="289"/>
      <c r="F6" s="290"/>
      <c r="G6" s="291"/>
      <c r="H6" s="291"/>
      <c r="I6" s="291"/>
      <c r="J6" s="291"/>
      <c r="K6" s="291"/>
      <c r="L6" s="291"/>
      <c r="M6" s="291"/>
      <c r="N6" s="292"/>
      <c r="O6" s="291"/>
      <c r="P6" s="291"/>
      <c r="Q6" s="291"/>
      <c r="R6" s="291"/>
      <c r="S6" s="291"/>
      <c r="T6" s="291"/>
      <c r="U6" s="291"/>
      <c r="V6" s="291"/>
      <c r="W6" s="291"/>
      <c r="X6" s="291"/>
      <c r="Y6" s="293"/>
      <c r="Z6" s="292"/>
      <c r="AA6" s="291"/>
      <c r="AB6" s="291"/>
      <c r="AC6" s="291"/>
      <c r="AD6" s="291"/>
      <c r="AE6" s="291"/>
      <c r="AF6" s="291"/>
      <c r="AG6" s="291"/>
      <c r="AH6" s="291"/>
      <c r="AI6" s="291"/>
      <c r="AJ6" s="291"/>
      <c r="AK6" s="291"/>
      <c r="AL6" s="291"/>
      <c r="AM6" s="291"/>
      <c r="AN6" s="291"/>
      <c r="AO6" s="293"/>
      <c r="AP6" s="237"/>
    </row>
    <row r="7" spans="2:42" ht="16" thickBot="1" x14ac:dyDescent="0.4"/>
    <row r="8" spans="2:42" x14ac:dyDescent="0.35">
      <c r="B8" s="208"/>
      <c r="C8" s="209"/>
      <c r="D8" s="209"/>
      <c r="E8" s="281"/>
      <c r="F8" s="282"/>
      <c r="G8" s="282"/>
      <c r="H8" s="282"/>
      <c r="I8" s="282"/>
      <c r="J8" s="282"/>
      <c r="K8" s="282"/>
      <c r="L8" s="282"/>
      <c r="M8" s="282"/>
      <c r="N8" s="283"/>
      <c r="O8" s="282"/>
      <c r="P8" s="282"/>
      <c r="Q8" s="282"/>
      <c r="R8" s="282"/>
      <c r="S8" s="282"/>
      <c r="T8" s="282"/>
      <c r="U8" s="282"/>
      <c r="V8" s="282"/>
      <c r="W8" s="282"/>
      <c r="X8" s="282"/>
      <c r="Y8" s="284"/>
      <c r="Z8" s="283"/>
      <c r="AA8" s="282"/>
      <c r="AB8" s="282"/>
      <c r="AC8" s="282"/>
      <c r="AD8" s="282"/>
      <c r="AE8" s="282"/>
      <c r="AF8" s="282"/>
      <c r="AG8" s="282"/>
      <c r="AH8" s="282"/>
      <c r="AI8" s="282"/>
      <c r="AJ8" s="282"/>
      <c r="AK8" s="282"/>
      <c r="AL8" s="282"/>
      <c r="AM8" s="282"/>
      <c r="AN8" s="282"/>
      <c r="AO8" s="284"/>
      <c r="AP8" s="210"/>
    </row>
    <row r="9" spans="2:42" x14ac:dyDescent="0.35">
      <c r="B9" s="217"/>
      <c r="C9" s="294" t="s">
        <v>237</v>
      </c>
      <c r="D9" s="218"/>
      <c r="E9" s="295"/>
      <c r="F9" s="296">
        <f>AO10-F10</f>
        <v>35</v>
      </c>
      <c r="G9" s="286" t="str">
        <f t="shared" ref="G9:AM9" ca="1" si="0">IF(G10=Announcement_Year,"Ancmt Yr",
IF(G10=Reference_Year,"Ref Yr",
IF(G10=Standard_Year,"Std Yr",
IF(G10=Terminal_Year,"Term Yr",
" "))))</f>
        <v>Ancmt Yr</v>
      </c>
      <c r="H9" s="286" t="str">
        <f t="shared" ca="1" si="0"/>
        <v xml:space="preserve"> </v>
      </c>
      <c r="I9" s="286" t="str">
        <f t="shared" ca="1" si="0"/>
        <v xml:space="preserve"> </v>
      </c>
      <c r="J9" s="286" t="str">
        <f t="shared" ca="1" si="0"/>
        <v>Std Yr</v>
      </c>
      <c r="K9" s="286" t="str">
        <f t="shared" ca="1" si="0"/>
        <v xml:space="preserve"> </v>
      </c>
      <c r="L9" s="286" t="str">
        <f t="shared" ca="1" si="0"/>
        <v xml:space="preserve"> </v>
      </c>
      <c r="M9" s="286" t="str">
        <f t="shared" ca="1" si="0"/>
        <v xml:space="preserve"> </v>
      </c>
      <c r="N9" s="286" t="str">
        <f t="shared" ca="1" si="0"/>
        <v xml:space="preserve"> </v>
      </c>
      <c r="O9" s="286" t="str">
        <f t="shared" ca="1" si="0"/>
        <v xml:space="preserve"> </v>
      </c>
      <c r="P9" s="286" t="str">
        <f t="shared" ca="1" si="0"/>
        <v xml:space="preserve"> </v>
      </c>
      <c r="Q9" s="286" t="str">
        <f t="shared" ca="1" si="0"/>
        <v xml:space="preserve"> </v>
      </c>
      <c r="R9" s="286" t="str">
        <f t="shared" ca="1" si="0"/>
        <v xml:space="preserve"> </v>
      </c>
      <c r="S9" s="286" t="str">
        <f t="shared" ca="1" si="0"/>
        <v xml:space="preserve"> </v>
      </c>
      <c r="T9" s="286" t="str">
        <f t="shared" ca="1" si="0"/>
        <v xml:space="preserve"> </v>
      </c>
      <c r="U9" s="286" t="str">
        <f t="shared" ca="1" si="0"/>
        <v xml:space="preserve"> </v>
      </c>
      <c r="V9" s="286" t="str">
        <f t="shared" ca="1" si="0"/>
        <v xml:space="preserve"> </v>
      </c>
      <c r="W9" s="286" t="str">
        <f t="shared" ca="1" si="0"/>
        <v xml:space="preserve"> </v>
      </c>
      <c r="X9" s="286" t="str">
        <f t="shared" ca="1" si="0"/>
        <v xml:space="preserve"> </v>
      </c>
      <c r="Y9" s="286" t="str">
        <f t="shared" ca="1" si="0"/>
        <v xml:space="preserve"> </v>
      </c>
      <c r="Z9" s="286" t="str">
        <f t="shared" ca="1" si="0"/>
        <v xml:space="preserve"> </v>
      </c>
      <c r="AA9" s="286" t="str">
        <f t="shared" ca="1" si="0"/>
        <v xml:space="preserve"> </v>
      </c>
      <c r="AB9" s="286" t="str">
        <f t="shared" ca="1" si="0"/>
        <v xml:space="preserve"> </v>
      </c>
      <c r="AC9" s="286" t="str">
        <f t="shared" ca="1" si="0"/>
        <v xml:space="preserve"> </v>
      </c>
      <c r="AD9" s="286" t="str">
        <f t="shared" ca="1" si="0"/>
        <v xml:space="preserve"> </v>
      </c>
      <c r="AE9" s="286" t="str">
        <f t="shared" ca="1" si="0"/>
        <v xml:space="preserve"> </v>
      </c>
      <c r="AF9" s="286" t="str">
        <f t="shared" ca="1" si="0"/>
        <v xml:space="preserve"> </v>
      </c>
      <c r="AG9" s="286" t="str">
        <f t="shared" ca="1" si="0"/>
        <v xml:space="preserve"> </v>
      </c>
      <c r="AH9" s="286" t="str">
        <f t="shared" ca="1" si="0"/>
        <v xml:space="preserve"> </v>
      </c>
      <c r="AI9" s="286" t="str">
        <f t="shared" ca="1" si="0"/>
        <v xml:space="preserve"> </v>
      </c>
      <c r="AJ9" s="286" t="str">
        <f t="shared" ca="1" si="0"/>
        <v xml:space="preserve"> </v>
      </c>
      <c r="AK9" s="286" t="str">
        <f t="shared" ca="1" si="0"/>
        <v xml:space="preserve"> </v>
      </c>
      <c r="AL9" s="286" t="str">
        <f t="shared" ca="1" si="0"/>
        <v xml:space="preserve"> </v>
      </c>
      <c r="AM9" s="286" t="str">
        <f t="shared" ca="1" si="0"/>
        <v xml:space="preserve"> </v>
      </c>
      <c r="AN9" s="286"/>
      <c r="AO9" s="286" t="s">
        <v>353</v>
      </c>
      <c r="AP9" s="220"/>
    </row>
    <row r="10" spans="2:42" ht="15.75" customHeight="1" x14ac:dyDescent="0.35">
      <c r="B10" s="217"/>
      <c r="C10" s="297" t="s">
        <v>224</v>
      </c>
      <c r="D10" s="269" t="s">
        <v>99</v>
      </c>
      <c r="E10" s="298"/>
      <c r="F10" s="299">
        <f>Reference_Year - 1</f>
        <v>2022</v>
      </c>
      <c r="G10" s="299">
        <f ca="1">OFFSET(G10,0,-1)+1</f>
        <v>2023</v>
      </c>
      <c r="H10" s="299">
        <f t="shared" ref="H10:AM10" ca="1" si="1">OFFSET(H10,0,-1)+1</f>
        <v>2024</v>
      </c>
      <c r="I10" s="299">
        <f t="shared" ca="1" si="1"/>
        <v>2025</v>
      </c>
      <c r="J10" s="299">
        <f t="shared" ca="1" si="1"/>
        <v>2026</v>
      </c>
      <c r="K10" s="299">
        <f t="shared" ca="1" si="1"/>
        <v>2027</v>
      </c>
      <c r="L10" s="299">
        <f t="shared" ca="1" si="1"/>
        <v>2028</v>
      </c>
      <c r="M10" s="299">
        <f t="shared" ca="1" si="1"/>
        <v>2029</v>
      </c>
      <c r="N10" s="299">
        <f t="shared" ca="1" si="1"/>
        <v>2030</v>
      </c>
      <c r="O10" s="299">
        <f t="shared" ca="1" si="1"/>
        <v>2031</v>
      </c>
      <c r="P10" s="299">
        <f t="shared" ca="1" si="1"/>
        <v>2032</v>
      </c>
      <c r="Q10" s="299">
        <f t="shared" ca="1" si="1"/>
        <v>2033</v>
      </c>
      <c r="R10" s="299">
        <f t="shared" ca="1" si="1"/>
        <v>2034</v>
      </c>
      <c r="S10" s="299">
        <f t="shared" ca="1" si="1"/>
        <v>2035</v>
      </c>
      <c r="T10" s="299">
        <f t="shared" ca="1" si="1"/>
        <v>2036</v>
      </c>
      <c r="U10" s="299">
        <f t="shared" ca="1" si="1"/>
        <v>2037</v>
      </c>
      <c r="V10" s="299">
        <f t="shared" ca="1" si="1"/>
        <v>2038</v>
      </c>
      <c r="W10" s="299">
        <f t="shared" ca="1" si="1"/>
        <v>2039</v>
      </c>
      <c r="X10" s="299">
        <f t="shared" ca="1" si="1"/>
        <v>2040</v>
      </c>
      <c r="Y10" s="299">
        <f t="shared" ca="1" si="1"/>
        <v>2041</v>
      </c>
      <c r="Z10" s="299">
        <f t="shared" ca="1" si="1"/>
        <v>2042</v>
      </c>
      <c r="AA10" s="299">
        <f t="shared" ca="1" si="1"/>
        <v>2043</v>
      </c>
      <c r="AB10" s="299">
        <f t="shared" ca="1" si="1"/>
        <v>2044</v>
      </c>
      <c r="AC10" s="299">
        <f t="shared" ca="1" si="1"/>
        <v>2045</v>
      </c>
      <c r="AD10" s="299">
        <f t="shared" ca="1" si="1"/>
        <v>2046</v>
      </c>
      <c r="AE10" s="299">
        <f t="shared" ca="1" si="1"/>
        <v>2047</v>
      </c>
      <c r="AF10" s="299">
        <f t="shared" ca="1" si="1"/>
        <v>2048</v>
      </c>
      <c r="AG10" s="299">
        <f t="shared" ca="1" si="1"/>
        <v>2049</v>
      </c>
      <c r="AH10" s="299">
        <f t="shared" ca="1" si="1"/>
        <v>2050</v>
      </c>
      <c r="AI10" s="299">
        <f t="shared" ca="1" si="1"/>
        <v>2051</v>
      </c>
      <c r="AJ10" s="299">
        <f t="shared" ca="1" si="1"/>
        <v>2052</v>
      </c>
      <c r="AK10" s="299">
        <f t="shared" ca="1" si="1"/>
        <v>2053</v>
      </c>
      <c r="AL10" s="299">
        <f t="shared" ca="1" si="1"/>
        <v>2054</v>
      </c>
      <c r="AM10" s="299">
        <f t="shared" ca="1" si="1"/>
        <v>2055</v>
      </c>
      <c r="AN10" s="299">
        <v>2056</v>
      </c>
      <c r="AO10" s="299">
        <v>2057</v>
      </c>
      <c r="AP10" s="220"/>
    </row>
    <row r="11" spans="2:42" x14ac:dyDescent="0.35">
      <c r="B11" s="217"/>
      <c r="C11" s="300"/>
      <c r="D11" s="247" t="str">
        <f>VLOOKUP(D10,PC_Table,2,FALSE)</f>
        <v>10 ≤ PM2.5 CADR &lt; 100</v>
      </c>
      <c r="E11" s="297" t="s">
        <v>81</v>
      </c>
      <c r="F11" s="547">
        <v>0.5521341648717446</v>
      </c>
      <c r="G11" s="547">
        <v>0.57682480687873139</v>
      </c>
      <c r="H11" s="547">
        <v>0.59895031769905971</v>
      </c>
      <c r="I11" s="547">
        <v>0.62707882046526864</v>
      </c>
      <c r="J11" s="547">
        <v>0.65726153845926649</v>
      </c>
      <c r="K11" s="547">
        <v>0.69066446261081693</v>
      </c>
      <c r="L11" s="547">
        <v>0.72689469319629474</v>
      </c>
      <c r="M11" s="547">
        <v>0.76536253955263056</v>
      </c>
      <c r="N11" s="547">
        <v>0.80560782213861293</v>
      </c>
      <c r="O11" s="547">
        <v>0.84732394278635037</v>
      </c>
      <c r="P11" s="547">
        <v>0.89049288647245339</v>
      </c>
      <c r="Q11" s="547">
        <v>0.93529954029833573</v>
      </c>
      <c r="R11" s="547">
        <v>0.98202639028874628</v>
      </c>
      <c r="S11" s="547">
        <v>1.0310031822498305</v>
      </c>
      <c r="T11" s="547">
        <v>1.0825070409563695</v>
      </c>
      <c r="U11" s="547">
        <v>1.1367133045722304</v>
      </c>
      <c r="V11" s="547">
        <v>1.1938168452879538</v>
      </c>
      <c r="W11" s="547">
        <v>1.2537032295083836</v>
      </c>
      <c r="X11" s="547">
        <v>1.3165544433276275</v>
      </c>
      <c r="Y11" s="547">
        <v>1.382446371091552</v>
      </c>
      <c r="Z11" s="547">
        <v>1.4514912492190921</v>
      </c>
      <c r="AA11" s="547">
        <v>1.5238395542747851</v>
      </c>
      <c r="AB11" s="547">
        <v>1.5996648625679759</v>
      </c>
      <c r="AC11" s="547">
        <v>1.6791661513857883</v>
      </c>
      <c r="AD11" s="547">
        <v>1.7625444109367558</v>
      </c>
      <c r="AE11" s="547">
        <v>1.8500017544940943</v>
      </c>
      <c r="AF11" s="547">
        <v>1.9417403392508525</v>
      </c>
      <c r="AG11" s="547">
        <v>2.0379643226148945</v>
      </c>
      <c r="AH11" s="547">
        <v>2.1388841975464219</v>
      </c>
      <c r="AI11" s="547">
        <v>2.2447207029914096</v>
      </c>
      <c r="AJ11" s="547">
        <v>2.3557077771856956</v>
      </c>
      <c r="AK11" s="547">
        <v>2.4720941705559598</v>
      </c>
      <c r="AL11" s="547">
        <v>2.5941435882726904</v>
      </c>
      <c r="AM11" s="547">
        <v>2.722134205542599</v>
      </c>
      <c r="AN11" s="547">
        <v>2.8563583452873176</v>
      </c>
      <c r="AO11" s="547">
        <v>2.9971213191330528</v>
      </c>
      <c r="AP11" s="220"/>
    </row>
    <row r="12" spans="2:42" x14ac:dyDescent="0.35">
      <c r="B12" s="217"/>
      <c r="C12" s="300"/>
      <c r="D12" s="301"/>
      <c r="E12" s="297" t="s">
        <v>86</v>
      </c>
      <c r="F12" s="547">
        <v>0.82820124730761657</v>
      </c>
      <c r="G12" s="547">
        <v>0.86523721031809697</v>
      </c>
      <c r="H12" s="547">
        <v>0.89842547654858929</v>
      </c>
      <c r="I12" s="547">
        <v>0.94061823069790274</v>
      </c>
      <c r="J12" s="547">
        <v>0.98589230768889946</v>
      </c>
      <c r="K12" s="547">
        <v>1.0359966939162253</v>
      </c>
      <c r="L12" s="547">
        <v>1.0903420397944417</v>
      </c>
      <c r="M12" s="547">
        <v>1.1480438093289456</v>
      </c>
      <c r="N12" s="547">
        <v>1.2084117332079189</v>
      </c>
      <c r="O12" s="547">
        <v>1.270985914179525</v>
      </c>
      <c r="P12" s="547">
        <v>1.3357393297086797</v>
      </c>
      <c r="Q12" s="547">
        <v>1.4029493104475033</v>
      </c>
      <c r="R12" s="547">
        <v>1.4730395854331189</v>
      </c>
      <c r="S12" s="547">
        <v>1.5465047733747452</v>
      </c>
      <c r="T12" s="547">
        <v>1.6237605614345538</v>
      </c>
      <c r="U12" s="547">
        <v>1.7050699568583449</v>
      </c>
      <c r="V12" s="547">
        <v>1.7907252679319301</v>
      </c>
      <c r="W12" s="547">
        <v>1.8805548442625746</v>
      </c>
      <c r="X12" s="547">
        <v>1.9748316649914408</v>
      </c>
      <c r="Y12" s="547">
        <v>2.0736695566373271</v>
      </c>
      <c r="Z12" s="547">
        <v>2.1772368738286376</v>
      </c>
      <c r="AA12" s="547">
        <v>2.2857593314121769</v>
      </c>
      <c r="AB12" s="547">
        <v>2.399497293851963</v>
      </c>
      <c r="AC12" s="547">
        <v>2.5187492270786818</v>
      </c>
      <c r="AD12" s="547">
        <v>2.6438166164051324</v>
      </c>
      <c r="AE12" s="547">
        <v>2.7750026317411405</v>
      </c>
      <c r="AF12" s="547">
        <v>2.9126105088762779</v>
      </c>
      <c r="AG12" s="547">
        <v>3.0569464839223404</v>
      </c>
      <c r="AH12" s="547">
        <v>3.2083262963196315</v>
      </c>
      <c r="AI12" s="547">
        <v>3.3670810544871133</v>
      </c>
      <c r="AJ12" s="547">
        <v>3.5335616657785422</v>
      </c>
      <c r="AK12" s="547">
        <v>3.7081412558339384</v>
      </c>
      <c r="AL12" s="547">
        <v>3.8912153824090341</v>
      </c>
      <c r="AM12" s="547">
        <v>4.0832013083138978</v>
      </c>
      <c r="AN12" s="547">
        <v>4.2845375179309748</v>
      </c>
      <c r="AO12" s="547">
        <v>4.4956819786995776</v>
      </c>
      <c r="AP12" s="220"/>
    </row>
    <row r="13" spans="2:42" x14ac:dyDescent="0.35">
      <c r="B13" s="217"/>
      <c r="C13" s="300"/>
      <c r="D13" s="301"/>
      <c r="E13" s="297" t="s">
        <v>344</v>
      </c>
      <c r="F13" s="547">
        <v>0.37571259739793256</v>
      </c>
      <c r="G13" s="547">
        <v>0.39251392184055678</v>
      </c>
      <c r="H13" s="547">
        <v>0.40756974281296954</v>
      </c>
      <c r="I13" s="547">
        <v>0.42671043996157326</v>
      </c>
      <c r="J13" s="547">
        <v>0.44724897587464868</v>
      </c>
      <c r="K13" s="547">
        <v>0.46997877633280433</v>
      </c>
      <c r="L13" s="547">
        <v>0.49463248353594003</v>
      </c>
      <c r="M13" s="547">
        <v>0.52080882868965972</v>
      </c>
      <c r="N13" s="547">
        <v>0.54819467186947024</v>
      </c>
      <c r="O13" s="547">
        <v>0.5765813811859779</v>
      </c>
      <c r="P13" s="547">
        <v>0.60595669789545625</v>
      </c>
      <c r="Q13" s="547">
        <v>0.6364464327473881</v>
      </c>
      <c r="R13" s="547">
        <v>0.66824280995979757</v>
      </c>
      <c r="S13" s="547">
        <v>0.70157021277355314</v>
      </c>
      <c r="T13" s="547">
        <v>0.73661721721883122</v>
      </c>
      <c r="U13" s="547">
        <v>0.77350313624737554</v>
      </c>
      <c r="V13" s="547">
        <v>0.81236057519594473</v>
      </c>
      <c r="W13" s="547">
        <v>0.85311166505008318</v>
      </c>
      <c r="X13" s="547">
        <v>0.89588024250104814</v>
      </c>
      <c r="Y13" s="547">
        <v>0.940717944825612</v>
      </c>
      <c r="Z13" s="547">
        <v>0.9877011459183167</v>
      </c>
      <c r="AA13" s="547">
        <v>1.0369322410745576</v>
      </c>
      <c r="AB13" s="547">
        <v>1.0885293443509894</v>
      </c>
      <c r="AC13" s="547">
        <v>1.1426278544932875</v>
      </c>
      <c r="AD13" s="547">
        <v>1.1993645399865493</v>
      </c>
      <c r="AE13" s="547">
        <v>1.258876933531484</v>
      </c>
      <c r="AF13" s="547">
        <v>1.3213025977150767</v>
      </c>
      <c r="AG13" s="547">
        <v>1.3867804562172354</v>
      </c>
      <c r="AH13" s="547">
        <v>1.455453743892535</v>
      </c>
      <c r="AI13" s="547">
        <v>1.5274726677160477</v>
      </c>
      <c r="AJ13" s="547">
        <v>1.6029964164281356</v>
      </c>
      <c r="AK13" s="547">
        <v>1.6821942580706231</v>
      </c>
      <c r="AL13" s="547">
        <v>1.7652456369902918</v>
      </c>
      <c r="AM13" s="547">
        <v>1.8523398440082768</v>
      </c>
      <c r="AN13" s="547">
        <v>1.9436757970890026</v>
      </c>
      <c r="AO13" s="547">
        <v>2.0394612526645028</v>
      </c>
      <c r="AP13" s="220"/>
    </row>
    <row r="14" spans="2:42" x14ac:dyDescent="0.35">
      <c r="B14" s="217"/>
      <c r="C14" s="300"/>
      <c r="D14" s="301"/>
      <c r="E14" s="297" t="s">
        <v>343</v>
      </c>
      <c r="F14" s="547">
        <v>0.1470179728948432</v>
      </c>
      <c r="G14" s="547">
        <v>0.15359240419847875</v>
      </c>
      <c r="H14" s="547">
        <v>0.15948381240507503</v>
      </c>
      <c r="I14" s="547">
        <v>0.16697365041974607</v>
      </c>
      <c r="J14" s="547">
        <v>0.17501046882051471</v>
      </c>
      <c r="K14" s="547">
        <v>0.18390473856501038</v>
      </c>
      <c r="L14" s="547">
        <v>0.19355184138362869</v>
      </c>
      <c r="M14" s="547">
        <v>0.20379475905247554</v>
      </c>
      <c r="N14" s="547">
        <v>0.21451095855761876</v>
      </c>
      <c r="O14" s="547">
        <v>0.22561880133364354</v>
      </c>
      <c r="P14" s="547">
        <v>0.23711349048083075</v>
      </c>
      <c r="Q14" s="547">
        <v>0.24904425629245625</v>
      </c>
      <c r="R14" s="547">
        <v>0.26148631694079033</v>
      </c>
      <c r="S14" s="547">
        <v>0.27452747456356424</v>
      </c>
      <c r="T14" s="547">
        <v>0.28824151978128176</v>
      </c>
      <c r="U14" s="547">
        <v>0.30267514027071218</v>
      </c>
      <c r="V14" s="547">
        <v>0.31788022507667402</v>
      </c>
      <c r="W14" s="547">
        <v>0.33382630371524991</v>
      </c>
      <c r="X14" s="547">
        <v>0.3505618340221493</v>
      </c>
      <c r="Y14" s="547">
        <v>0.36810702188828293</v>
      </c>
      <c r="Z14" s="547">
        <v>0.38649175275064573</v>
      </c>
      <c r="AA14" s="547">
        <v>0.40575609433352255</v>
      </c>
      <c r="AB14" s="547">
        <v>0.4259462651808219</v>
      </c>
      <c r="AC14" s="547">
        <v>0.44711524741041686</v>
      </c>
      <c r="AD14" s="547">
        <v>0.46931655912517156</v>
      </c>
      <c r="AE14" s="547">
        <v>0.49260401746884153</v>
      </c>
      <c r="AF14" s="547">
        <v>0.51703145127981276</v>
      </c>
      <c r="AG14" s="547">
        <v>0.54265322199804866</v>
      </c>
      <c r="AH14" s="547">
        <v>0.569525378044905</v>
      </c>
      <c r="AI14" s="547">
        <v>0.59770669606280125</v>
      </c>
      <c r="AJ14" s="547">
        <v>0.62725946729796611</v>
      </c>
      <c r="AK14" s="547">
        <v>0.65824992707111341</v>
      </c>
      <c r="AL14" s="547">
        <v>0.69074829273533167</v>
      </c>
      <c r="AM14" s="547">
        <v>0.72482863461193447</v>
      </c>
      <c r="AN14" s="547">
        <v>0.76056879016526191</v>
      </c>
      <c r="AO14" s="547">
        <v>0.7980500553904577</v>
      </c>
      <c r="AP14" s="220"/>
    </row>
    <row r="15" spans="2:42" x14ac:dyDescent="0.35">
      <c r="B15" s="217"/>
      <c r="C15" s="300"/>
      <c r="D15" s="301"/>
      <c r="E15" s="297" t="s">
        <v>342</v>
      </c>
      <c r="F15" s="547">
        <v>6.5341321286596976E-2</v>
      </c>
      <c r="G15" s="547">
        <v>6.8263290754879441E-2</v>
      </c>
      <c r="H15" s="547">
        <v>7.0881694402255571E-2</v>
      </c>
      <c r="I15" s="547">
        <v>7.4210511297664927E-2</v>
      </c>
      <c r="J15" s="547">
        <v>7.7782430586895435E-2</v>
      </c>
      <c r="K15" s="547">
        <v>8.1735439362226853E-2</v>
      </c>
      <c r="L15" s="547">
        <v>8.6023040614946089E-2</v>
      </c>
      <c r="M15" s="547">
        <v>9.0575448467766911E-2</v>
      </c>
      <c r="N15" s="547">
        <v>9.5338203803386132E-2</v>
      </c>
      <c r="O15" s="547">
        <v>0.10027502281495268</v>
      </c>
      <c r="P15" s="547">
        <v>0.10538377354703587</v>
      </c>
      <c r="Q15" s="547">
        <v>0.11068633612998055</v>
      </c>
      <c r="R15" s="547">
        <v>0.11621614086257349</v>
      </c>
      <c r="S15" s="547">
        <v>0.12201221091713968</v>
      </c>
      <c r="T15" s="547">
        <v>0.12810734212501415</v>
      </c>
      <c r="U15" s="547">
        <v>0.13452228456476095</v>
      </c>
      <c r="V15" s="547">
        <v>0.14128010003407737</v>
      </c>
      <c r="W15" s="547">
        <v>0.14836724609566665</v>
      </c>
      <c r="X15" s="547">
        <v>0.1558052595653997</v>
      </c>
      <c r="Y15" s="547">
        <v>0.16360312083923689</v>
      </c>
      <c r="Z15" s="547">
        <v>0.17177411233362033</v>
      </c>
      <c r="AA15" s="547">
        <v>0.18033604192601005</v>
      </c>
      <c r="AB15" s="547">
        <v>0.18930945119147641</v>
      </c>
      <c r="AC15" s="547">
        <v>0.19871788773796306</v>
      </c>
      <c r="AD15" s="547">
        <v>0.20858513738896514</v>
      </c>
      <c r="AE15" s="547">
        <v>0.21893511887504069</v>
      </c>
      <c r="AF15" s="547">
        <v>0.2297917561243612</v>
      </c>
      <c r="AG15" s="547">
        <v>0.24117920977691049</v>
      </c>
      <c r="AH15" s="547">
        <v>0.25312239024218003</v>
      </c>
      <c r="AI15" s="547">
        <v>0.26564742047235612</v>
      </c>
      <c r="AJ15" s="547">
        <v>0.27878198546576272</v>
      </c>
      <c r="AK15" s="547">
        <v>0.29255552314271704</v>
      </c>
      <c r="AL15" s="547">
        <v>0.30699924121570293</v>
      </c>
      <c r="AM15" s="547">
        <v>0.32214605982752642</v>
      </c>
      <c r="AN15" s="547">
        <v>0.33803057340678311</v>
      </c>
      <c r="AO15" s="547">
        <v>0.35468891350687004</v>
      </c>
      <c r="AP15" s="220"/>
    </row>
    <row r="16" spans="2:42" x14ac:dyDescent="0.35">
      <c r="B16" s="217"/>
      <c r="C16" s="300"/>
      <c r="D16" s="301"/>
      <c r="E16" s="297" t="s">
        <v>58</v>
      </c>
      <c r="F16" s="546">
        <v>1.9684073037587337</v>
      </c>
      <c r="G16" s="546">
        <v>2.0564316339907434</v>
      </c>
      <c r="H16" s="546">
        <v>2.135311043867949</v>
      </c>
      <c r="I16" s="546">
        <v>2.2355916528421558</v>
      </c>
      <c r="J16" s="546">
        <v>2.343195721430225</v>
      </c>
      <c r="K16" s="546">
        <v>2.4622801107870838</v>
      </c>
      <c r="L16" s="546">
        <v>2.5914440985252511</v>
      </c>
      <c r="M16" s="546">
        <v>2.7285853850914781</v>
      </c>
      <c r="N16" s="546">
        <v>2.8720633895770069</v>
      </c>
      <c r="O16" s="546">
        <v>3.0207850623004493</v>
      </c>
      <c r="P16" s="546">
        <v>3.174686178104456</v>
      </c>
      <c r="Q16" s="546">
        <v>3.334425875915664</v>
      </c>
      <c r="R16" s="546">
        <v>3.5010112434850269</v>
      </c>
      <c r="S16" s="546">
        <v>3.6756178538788329</v>
      </c>
      <c r="T16" s="546">
        <v>3.8592336815160504</v>
      </c>
      <c r="U16" s="546">
        <v>4.0524838225134241</v>
      </c>
      <c r="V16" s="546">
        <v>4.25606301352658</v>
      </c>
      <c r="W16" s="546">
        <v>4.4695632886319583</v>
      </c>
      <c r="X16" s="546">
        <v>4.6936334444076655</v>
      </c>
      <c r="Y16" s="546">
        <v>4.9285440152820099</v>
      </c>
      <c r="Z16" s="546">
        <v>5.1746951340503138</v>
      </c>
      <c r="AA16" s="546">
        <v>5.4326232630210525</v>
      </c>
      <c r="AB16" s="546">
        <v>5.7029472171432269</v>
      </c>
      <c r="AC16" s="546">
        <v>5.9863763681061384</v>
      </c>
      <c r="AD16" s="546">
        <v>6.2836272638425754</v>
      </c>
      <c r="AE16" s="546">
        <v>6.5954204561106007</v>
      </c>
      <c r="AF16" s="546">
        <v>6.9224766532463811</v>
      </c>
      <c r="AG16" s="546">
        <v>7.2655236945294295</v>
      </c>
      <c r="AH16" s="546">
        <v>7.6253120060456734</v>
      </c>
      <c r="AI16" s="546">
        <v>8.0026285417297274</v>
      </c>
      <c r="AJ16" s="546">
        <v>8.3983073121561027</v>
      </c>
      <c r="AK16" s="546">
        <v>8.8132351346743505</v>
      </c>
      <c r="AL16" s="546">
        <v>9.2483521416230516</v>
      </c>
      <c r="AM16" s="546">
        <v>9.7046500523042347</v>
      </c>
      <c r="AN16" s="546">
        <v>10.183171023879339</v>
      </c>
      <c r="AO16" s="546">
        <v>10.68500351939446</v>
      </c>
      <c r="AP16" s="220"/>
    </row>
    <row r="17" spans="2:42" s="168" customFormat="1" x14ac:dyDescent="0.35">
      <c r="B17" s="256"/>
      <c r="C17" s="287"/>
      <c r="D17" s="244"/>
      <c r="E17" s="287"/>
      <c r="F17" s="737"/>
      <c r="G17" s="737"/>
      <c r="H17" s="737"/>
      <c r="I17" s="737"/>
      <c r="J17" s="737"/>
      <c r="K17" s="737"/>
      <c r="L17" s="737"/>
      <c r="M17" s="737"/>
      <c r="N17" s="737"/>
      <c r="O17" s="737"/>
      <c r="P17" s="737"/>
      <c r="Q17" s="737"/>
      <c r="R17" s="737"/>
      <c r="S17" s="737"/>
      <c r="T17" s="737"/>
      <c r="U17" s="737"/>
      <c r="V17" s="737"/>
      <c r="W17" s="737"/>
      <c r="X17" s="737"/>
      <c r="Y17" s="737"/>
      <c r="Z17" s="737"/>
      <c r="AA17" s="737"/>
      <c r="AB17" s="737"/>
      <c r="AC17" s="737"/>
      <c r="AD17" s="737"/>
      <c r="AE17" s="737"/>
      <c r="AF17" s="737"/>
      <c r="AG17" s="737"/>
      <c r="AH17" s="737"/>
      <c r="AI17" s="737"/>
      <c r="AJ17" s="737"/>
      <c r="AK17" s="737"/>
      <c r="AL17" s="737"/>
      <c r="AM17" s="737"/>
      <c r="AN17" s="737"/>
      <c r="AO17" s="737"/>
      <c r="AP17" s="246"/>
    </row>
    <row r="18" spans="2:42" ht="15.75" customHeight="1" x14ac:dyDescent="0.35">
      <c r="B18" s="217"/>
      <c r="C18" s="297" t="s">
        <v>224</v>
      </c>
      <c r="D18" s="269" t="s">
        <v>180</v>
      </c>
      <c r="E18" s="298"/>
      <c r="F18" s="738">
        <v>2022</v>
      </c>
      <c r="G18" s="738">
        <v>2023</v>
      </c>
      <c r="H18" s="738">
        <v>2024</v>
      </c>
      <c r="I18" s="738">
        <v>2025</v>
      </c>
      <c r="J18" s="738">
        <v>2026</v>
      </c>
      <c r="K18" s="738">
        <v>2027</v>
      </c>
      <c r="L18" s="738">
        <v>2028</v>
      </c>
      <c r="M18" s="738">
        <v>2029</v>
      </c>
      <c r="N18" s="738">
        <v>2030</v>
      </c>
      <c r="O18" s="738">
        <v>2031</v>
      </c>
      <c r="P18" s="738">
        <v>2032</v>
      </c>
      <c r="Q18" s="738">
        <v>2033</v>
      </c>
      <c r="R18" s="738">
        <v>2034</v>
      </c>
      <c r="S18" s="738">
        <v>2035</v>
      </c>
      <c r="T18" s="738">
        <v>2036</v>
      </c>
      <c r="U18" s="738">
        <v>2037</v>
      </c>
      <c r="V18" s="738">
        <v>2038</v>
      </c>
      <c r="W18" s="738">
        <v>2039</v>
      </c>
      <c r="X18" s="738">
        <v>2040</v>
      </c>
      <c r="Y18" s="738">
        <v>2041</v>
      </c>
      <c r="Z18" s="738">
        <v>2042</v>
      </c>
      <c r="AA18" s="738">
        <v>2043</v>
      </c>
      <c r="AB18" s="738">
        <v>2044</v>
      </c>
      <c r="AC18" s="738">
        <v>2045</v>
      </c>
      <c r="AD18" s="738">
        <v>2046</v>
      </c>
      <c r="AE18" s="738">
        <v>2047</v>
      </c>
      <c r="AF18" s="738">
        <v>2048</v>
      </c>
      <c r="AG18" s="738">
        <v>2049</v>
      </c>
      <c r="AH18" s="738">
        <v>2050</v>
      </c>
      <c r="AI18" s="738">
        <v>2051</v>
      </c>
      <c r="AJ18" s="738">
        <v>2052</v>
      </c>
      <c r="AK18" s="738">
        <v>2053</v>
      </c>
      <c r="AL18" s="738">
        <v>2054</v>
      </c>
      <c r="AM18" s="738">
        <v>2055</v>
      </c>
      <c r="AN18" s="738">
        <v>2056</v>
      </c>
      <c r="AO18" s="738">
        <v>2057</v>
      </c>
      <c r="AP18" s="220"/>
    </row>
    <row r="19" spans="2:42" x14ac:dyDescent="0.35">
      <c r="B19" s="217"/>
      <c r="C19" s="300"/>
      <c r="D19" s="247" t="str">
        <f>VLOOKUP(D18,PC_Table,2,FALSE)</f>
        <v>100 ≤ PM2.5 CADR &lt; 150</v>
      </c>
      <c r="E19" s="297" t="s">
        <v>81</v>
      </c>
      <c r="F19" s="547">
        <v>0.44289164334571512</v>
      </c>
      <c r="G19" s="547">
        <v>0.46269711764791721</v>
      </c>
      <c r="H19" s="547">
        <v>0.48044498487028853</v>
      </c>
      <c r="I19" s="547">
        <v>0.50300812188948507</v>
      </c>
      <c r="J19" s="547">
        <v>0.52721903732180064</v>
      </c>
      <c r="K19" s="547">
        <v>0.55401302492709381</v>
      </c>
      <c r="L19" s="547">
        <v>0.58307492216818158</v>
      </c>
      <c r="M19" s="547">
        <v>0.61393171164558258</v>
      </c>
      <c r="N19" s="547">
        <v>0.64621426265482662</v>
      </c>
      <c r="O19" s="547">
        <v>0.67967663901760111</v>
      </c>
      <c r="P19" s="547">
        <v>0.71430439007350266</v>
      </c>
      <c r="Q19" s="547">
        <v>0.75024582208102442</v>
      </c>
      <c r="R19" s="547">
        <v>0.78772752978413108</v>
      </c>
      <c r="S19" s="547">
        <v>0.82701401712273759</v>
      </c>
      <c r="T19" s="547">
        <v>0.86832757834111174</v>
      </c>
      <c r="U19" s="547">
        <v>0.91180886006552053</v>
      </c>
      <c r="V19" s="547">
        <v>0.95761417804348048</v>
      </c>
      <c r="W19" s="547">
        <v>1.0056517399421905</v>
      </c>
      <c r="X19" s="547">
        <v>1.0560675249917246</v>
      </c>
      <c r="Y19" s="547">
        <v>1.1089224034384524</v>
      </c>
      <c r="Z19" s="547">
        <v>1.1643064051613203</v>
      </c>
      <c r="AA19" s="547">
        <v>1.2223402341797369</v>
      </c>
      <c r="AB19" s="547">
        <v>1.2831631238572259</v>
      </c>
      <c r="AC19" s="547">
        <v>1.3469346828238811</v>
      </c>
      <c r="AD19" s="547">
        <v>1.4138161343645794</v>
      </c>
      <c r="AE19" s="547">
        <v>1.4839696026248852</v>
      </c>
      <c r="AF19" s="547">
        <v>1.557557246980436</v>
      </c>
      <c r="AG19" s="547">
        <v>1.6347428312691215</v>
      </c>
      <c r="AH19" s="547">
        <v>1.7156952013602766</v>
      </c>
      <c r="AI19" s="547">
        <v>1.8005914218891892</v>
      </c>
      <c r="AJ19" s="547">
        <v>1.8896191452351232</v>
      </c>
      <c r="AK19" s="547">
        <v>1.9829779053017296</v>
      </c>
      <c r="AL19" s="547">
        <v>2.0808792318651861</v>
      </c>
      <c r="AM19" s="547">
        <v>2.1835462617684529</v>
      </c>
      <c r="AN19" s="547">
        <v>2.2912134803728517</v>
      </c>
      <c r="AO19" s="547">
        <v>2.4041257918637537</v>
      </c>
      <c r="AP19" s="220"/>
    </row>
    <row r="20" spans="2:42" x14ac:dyDescent="0.35">
      <c r="B20" s="217"/>
      <c r="C20" s="300"/>
      <c r="D20" s="301"/>
      <c r="E20" s="297" t="s">
        <v>86</v>
      </c>
      <c r="F20" s="547">
        <v>0.66433746501857249</v>
      </c>
      <c r="G20" s="547">
        <v>0.69404567647187565</v>
      </c>
      <c r="H20" s="547">
        <v>0.72066747730543268</v>
      </c>
      <c r="I20" s="547">
        <v>0.75451218283422739</v>
      </c>
      <c r="J20" s="547">
        <v>0.79082855598270085</v>
      </c>
      <c r="K20" s="547">
        <v>0.83101953739064061</v>
      </c>
      <c r="L20" s="547">
        <v>0.87461238325227231</v>
      </c>
      <c r="M20" s="547">
        <v>0.9208975674683737</v>
      </c>
      <c r="N20" s="547">
        <v>0.96932139398223982</v>
      </c>
      <c r="O20" s="547">
        <v>1.0195149585264014</v>
      </c>
      <c r="P20" s="547">
        <v>1.0714565851102538</v>
      </c>
      <c r="Q20" s="547">
        <v>1.1253687331215365</v>
      </c>
      <c r="R20" s="547">
        <v>1.1815912946761964</v>
      </c>
      <c r="S20" s="547">
        <v>1.2405210256841062</v>
      </c>
      <c r="T20" s="547">
        <v>1.3024913675116672</v>
      </c>
      <c r="U20" s="547">
        <v>1.3677132900982807</v>
      </c>
      <c r="V20" s="547">
        <v>1.4364212670652203</v>
      </c>
      <c r="W20" s="547">
        <v>1.5084776099132855</v>
      </c>
      <c r="X20" s="547">
        <v>1.5841012874875866</v>
      </c>
      <c r="Y20" s="547">
        <v>1.6633836051576782</v>
      </c>
      <c r="Z20" s="547">
        <v>1.7464596077419801</v>
      </c>
      <c r="AA20" s="547">
        <v>1.8335103512696049</v>
      </c>
      <c r="AB20" s="547">
        <v>1.9247446857858388</v>
      </c>
      <c r="AC20" s="547">
        <v>2.0204020242358212</v>
      </c>
      <c r="AD20" s="547">
        <v>2.120724201546869</v>
      </c>
      <c r="AE20" s="547">
        <v>2.2259544039373278</v>
      </c>
      <c r="AF20" s="547">
        <v>2.3363358704706538</v>
      </c>
      <c r="AG20" s="547">
        <v>2.4521142469036814</v>
      </c>
      <c r="AH20" s="547">
        <v>2.5735428020404147</v>
      </c>
      <c r="AI20" s="547">
        <v>2.7008871328337829</v>
      </c>
      <c r="AJ20" s="547">
        <v>2.8344287178526844</v>
      </c>
      <c r="AK20" s="547">
        <v>2.9744668579525939</v>
      </c>
      <c r="AL20" s="547">
        <v>3.1213188477977791</v>
      </c>
      <c r="AM20" s="547">
        <v>3.2753193926526789</v>
      </c>
      <c r="AN20" s="547">
        <v>3.4368202205592766</v>
      </c>
      <c r="AO20" s="547">
        <v>3.6061886877956302</v>
      </c>
      <c r="AP20" s="220"/>
    </row>
    <row r="21" spans="2:42" x14ac:dyDescent="0.35">
      <c r="B21" s="217"/>
      <c r="C21" s="300"/>
      <c r="D21" s="301"/>
      <c r="E21" s="297" t="s">
        <v>344</v>
      </c>
      <c r="F21" s="547">
        <v>0.51102881924505583</v>
      </c>
      <c r="G21" s="547">
        <v>0.53388128959375059</v>
      </c>
      <c r="H21" s="547">
        <v>0.55435959792725598</v>
      </c>
      <c r="I21" s="547">
        <v>0.58039398679555965</v>
      </c>
      <c r="J21" s="547">
        <v>0.60832965844823139</v>
      </c>
      <c r="K21" s="547">
        <v>0.63924579799280057</v>
      </c>
      <c r="L21" s="547">
        <v>0.67277875634790174</v>
      </c>
      <c r="M21" s="547">
        <v>0.70838274420644143</v>
      </c>
      <c r="N21" s="547">
        <v>0.7456318415248</v>
      </c>
      <c r="O21" s="547">
        <v>0.78424227578953976</v>
      </c>
      <c r="P21" s="547">
        <v>0.8241973731617338</v>
      </c>
      <c r="Q21" s="547">
        <v>0.86566825624733579</v>
      </c>
      <c r="R21" s="547">
        <v>0.90891638052015122</v>
      </c>
      <c r="S21" s="547">
        <v>0.95424694283392775</v>
      </c>
      <c r="T21" s="547">
        <v>1.0019164365474365</v>
      </c>
      <c r="U21" s="547">
        <v>1.0520871462294468</v>
      </c>
      <c r="V21" s="547">
        <v>1.1049394362040159</v>
      </c>
      <c r="W21" s="547">
        <v>1.1603673922409889</v>
      </c>
      <c r="X21" s="547">
        <v>1.2185394519135284</v>
      </c>
      <c r="Y21" s="547">
        <v>1.2795258501212912</v>
      </c>
      <c r="Z21" s="547">
        <v>1.3434304674938311</v>
      </c>
      <c r="AA21" s="547">
        <v>1.4103925778996962</v>
      </c>
      <c r="AB21" s="547">
        <v>1.4805728352198759</v>
      </c>
      <c r="AC21" s="547">
        <v>1.5541554032583242</v>
      </c>
      <c r="AD21" s="547">
        <v>1.631326308882207</v>
      </c>
      <c r="AE21" s="547">
        <v>1.712272618413329</v>
      </c>
      <c r="AF21" s="547">
        <v>1.7971814388235798</v>
      </c>
      <c r="AG21" s="547">
        <v>1.8862417283874477</v>
      </c>
      <c r="AH21" s="547">
        <v>1.9796483092618575</v>
      </c>
      <c r="AI21" s="547">
        <v>2.0776054867952176</v>
      </c>
      <c r="AJ21" s="547">
        <v>2.1803297829636037</v>
      </c>
      <c r="AK21" s="547">
        <v>2.288051429194303</v>
      </c>
      <c r="AL21" s="547">
        <v>2.401014498305984</v>
      </c>
      <c r="AM21" s="547">
        <v>2.519476455886676</v>
      </c>
      <c r="AN21" s="547">
        <v>2.6437078619686747</v>
      </c>
      <c r="AO21" s="547">
        <v>2.7739912983043311</v>
      </c>
      <c r="AP21" s="220"/>
    </row>
    <row r="22" spans="2:42" x14ac:dyDescent="0.35">
      <c r="B22" s="217"/>
      <c r="C22" s="300"/>
      <c r="D22" s="301"/>
      <c r="E22" s="297" t="s">
        <v>343</v>
      </c>
      <c r="F22" s="547">
        <v>0.19163580721689594</v>
      </c>
      <c r="G22" s="547">
        <v>0.20020548359765647</v>
      </c>
      <c r="H22" s="547">
        <v>0.20788484922272099</v>
      </c>
      <c r="I22" s="547">
        <v>0.21764774504833484</v>
      </c>
      <c r="J22" s="547">
        <v>0.22812362191808677</v>
      </c>
      <c r="K22" s="547">
        <v>0.23971717424730021</v>
      </c>
      <c r="L22" s="547">
        <v>0.25229203363046315</v>
      </c>
      <c r="M22" s="547">
        <v>0.26564352907741551</v>
      </c>
      <c r="N22" s="547">
        <v>0.2796119405718</v>
      </c>
      <c r="O22" s="547">
        <v>0.29409085342107738</v>
      </c>
      <c r="P22" s="547">
        <v>0.30907401493565012</v>
      </c>
      <c r="Q22" s="547">
        <v>0.32462559609275093</v>
      </c>
      <c r="R22" s="547">
        <v>0.34084364269505668</v>
      </c>
      <c r="S22" s="547">
        <v>0.35784260356272291</v>
      </c>
      <c r="T22" s="547">
        <v>0.37571866370528861</v>
      </c>
      <c r="U22" s="547">
        <v>0.39453267983604251</v>
      </c>
      <c r="V22" s="547">
        <v>0.41435228857650591</v>
      </c>
      <c r="W22" s="547">
        <v>0.43513777209037086</v>
      </c>
      <c r="X22" s="547">
        <v>0.45695229446757313</v>
      </c>
      <c r="Y22" s="547">
        <v>0.47982219379548419</v>
      </c>
      <c r="Z22" s="547">
        <v>0.50378642531018669</v>
      </c>
      <c r="AA22" s="547">
        <v>0.5288972167123861</v>
      </c>
      <c r="AB22" s="547">
        <v>0.55521481320745347</v>
      </c>
      <c r="AC22" s="547">
        <v>0.58280827622187159</v>
      </c>
      <c r="AD22" s="547">
        <v>0.61174736583082756</v>
      </c>
      <c r="AE22" s="547">
        <v>0.64210223190499849</v>
      </c>
      <c r="AF22" s="547">
        <v>0.67394303955884238</v>
      </c>
      <c r="AG22" s="547">
        <v>0.70734064814529285</v>
      </c>
      <c r="AH22" s="547">
        <v>0.74236811597319652</v>
      </c>
      <c r="AI22" s="547">
        <v>0.77910205754820672</v>
      </c>
      <c r="AJ22" s="547">
        <v>0.81762366861135127</v>
      </c>
      <c r="AK22" s="547">
        <v>0.85801928594786359</v>
      </c>
      <c r="AL22" s="547">
        <v>0.90038043686474412</v>
      </c>
      <c r="AM22" s="547">
        <v>0.94480367095750362</v>
      </c>
      <c r="AN22" s="547">
        <v>0.99139044823825295</v>
      </c>
      <c r="AO22" s="547">
        <v>1.0402467368641242</v>
      </c>
      <c r="AP22" s="220"/>
    </row>
    <row r="23" spans="2:42" x14ac:dyDescent="0.35">
      <c r="B23" s="217"/>
      <c r="C23" s="300"/>
      <c r="D23" s="301"/>
      <c r="E23" s="297" t="s">
        <v>342</v>
      </c>
      <c r="F23" s="547">
        <v>7.0976224895146645E-3</v>
      </c>
      <c r="G23" s="547">
        <v>7.4150179110243136E-3</v>
      </c>
      <c r="H23" s="547">
        <v>7.6994388601007765E-3</v>
      </c>
      <c r="I23" s="547">
        <v>8.0610275943827723E-3</v>
      </c>
      <c r="J23" s="547">
        <v>8.4490230340032151E-3</v>
      </c>
      <c r="K23" s="547">
        <v>8.8784138610111182E-3</v>
      </c>
      <c r="L23" s="547">
        <v>9.3441493937208575E-3</v>
      </c>
      <c r="M23" s="547">
        <v>9.8386492250894624E-3</v>
      </c>
      <c r="N23" s="547">
        <v>1.0355997798955555E-2</v>
      </c>
      <c r="O23" s="547">
        <v>1.0892253830410273E-2</v>
      </c>
      <c r="P23" s="547">
        <v>1.1447185738357412E-2</v>
      </c>
      <c r="Q23" s="547">
        <v>1.202317022565744E-2</v>
      </c>
      <c r="R23" s="547">
        <v>1.2623838618335433E-2</v>
      </c>
      <c r="S23" s="547">
        <v>1.3253429761582331E-2</v>
      </c>
      <c r="T23" s="547">
        <v>1.3915506063158839E-2</v>
      </c>
      <c r="U23" s="547">
        <v>1.4612321475408982E-2</v>
      </c>
      <c r="V23" s="547">
        <v>1.5346381058389109E-2</v>
      </c>
      <c r="W23" s="547">
        <v>1.6116213781124846E-2</v>
      </c>
      <c r="X23" s="547">
        <v>1.692415905435456E-2</v>
      </c>
      <c r="Y23" s="547">
        <v>1.7771192362795708E-2</v>
      </c>
      <c r="Z23" s="547">
        <v>1.8658756492969875E-2</v>
      </c>
      <c r="AA23" s="547">
        <v>1.9588785804162449E-2</v>
      </c>
      <c r="AB23" s="547">
        <v>2.0563511600276058E-2</v>
      </c>
      <c r="AC23" s="547">
        <v>2.1585491711921166E-2</v>
      </c>
      <c r="AD23" s="547">
        <v>2.2657309845586206E-2</v>
      </c>
      <c r="AE23" s="547">
        <v>2.378156414462957E-2</v>
      </c>
      <c r="AF23" s="547">
        <v>2.4960853316994165E-2</v>
      </c>
      <c r="AG23" s="547">
        <v>2.6197801783158996E-2</v>
      </c>
      <c r="AH23" s="547">
        <v>2.7495115406414687E-2</v>
      </c>
      <c r="AI23" s="547">
        <v>2.8855631761044692E-2</v>
      </c>
      <c r="AJ23" s="547">
        <v>3.0282358096716713E-2</v>
      </c>
      <c r="AK23" s="547">
        <v>3.1778492072143096E-2</v>
      </c>
      <c r="AL23" s="547">
        <v>3.3347423587583108E-2</v>
      </c>
      <c r="AM23" s="547">
        <v>3.4992728553981611E-2</v>
      </c>
      <c r="AN23" s="547">
        <v>3.6718164749564922E-2</v>
      </c>
      <c r="AO23" s="547">
        <v>3.8527656920893487E-2</v>
      </c>
      <c r="AP23" s="220"/>
    </row>
    <row r="24" spans="2:42" x14ac:dyDescent="0.35">
      <c r="B24" s="217"/>
      <c r="C24" s="300"/>
      <c r="D24" s="301"/>
      <c r="E24" s="297" t="s">
        <v>58</v>
      </c>
      <c r="F24" s="546">
        <v>1.8169913573157541</v>
      </c>
      <c r="G24" s="546">
        <v>1.8982445852222245</v>
      </c>
      <c r="H24" s="546">
        <v>1.971056348185799</v>
      </c>
      <c r="I24" s="546">
        <v>2.0636230641619897</v>
      </c>
      <c r="J24" s="546">
        <v>2.1629498967048231</v>
      </c>
      <c r="K24" s="546">
        <v>2.2728739484188463</v>
      </c>
      <c r="L24" s="546">
        <v>2.3921022447925395</v>
      </c>
      <c r="M24" s="546">
        <v>2.5186942016229028</v>
      </c>
      <c r="N24" s="546">
        <v>2.6511354365326221</v>
      </c>
      <c r="O24" s="546">
        <v>2.7884169805850298</v>
      </c>
      <c r="P24" s="546">
        <v>2.9304795490194975</v>
      </c>
      <c r="Q24" s="546">
        <v>3.0779315777683047</v>
      </c>
      <c r="R24" s="546">
        <v>3.2317026862938709</v>
      </c>
      <c r="S24" s="546">
        <v>3.3928780189650771</v>
      </c>
      <c r="T24" s="546">
        <v>3.5623695521686627</v>
      </c>
      <c r="U24" s="546">
        <v>3.7407542977046995</v>
      </c>
      <c r="V24" s="546">
        <v>3.9286735509476114</v>
      </c>
      <c r="W24" s="546">
        <v>4.1257507279679597</v>
      </c>
      <c r="X24" s="546">
        <v>4.3325847179147683</v>
      </c>
      <c r="Y24" s="546">
        <v>4.5494252448757013</v>
      </c>
      <c r="Z24" s="546">
        <v>4.7766416622002881</v>
      </c>
      <c r="AA24" s="546">
        <v>5.014729165865587</v>
      </c>
      <c r="AB24" s="546">
        <v>5.2642589696706699</v>
      </c>
      <c r="AC24" s="546">
        <v>5.5258858782518185</v>
      </c>
      <c r="AD24" s="546">
        <v>5.8002713204700695</v>
      </c>
      <c r="AE24" s="546">
        <v>6.08808042102517</v>
      </c>
      <c r="AF24" s="546">
        <v>6.3899784491505063</v>
      </c>
      <c r="AG24" s="546">
        <v>6.7066372564887011</v>
      </c>
      <c r="AH24" s="546">
        <v>7.038749544042159</v>
      </c>
      <c r="AI24" s="546">
        <v>7.3870417308274412</v>
      </c>
      <c r="AJ24" s="546">
        <v>7.7522836727594795</v>
      </c>
      <c r="AK24" s="546">
        <v>8.1352939704686325</v>
      </c>
      <c r="AL24" s="546">
        <v>8.5369404384212775</v>
      </c>
      <c r="AM24" s="546">
        <v>8.9581385098192943</v>
      </c>
      <c r="AN24" s="546">
        <v>9.3998501758886217</v>
      </c>
      <c r="AO24" s="546">
        <v>9.8630801717487326</v>
      </c>
      <c r="AP24" s="220"/>
    </row>
    <row r="25" spans="2:42" s="168" customFormat="1" x14ac:dyDescent="0.35">
      <c r="B25" s="256"/>
      <c r="C25" s="287"/>
      <c r="D25" s="244"/>
      <c r="E25" s="287"/>
      <c r="F25" s="737"/>
      <c r="G25" s="737"/>
      <c r="H25" s="737"/>
      <c r="I25" s="737"/>
      <c r="J25" s="737"/>
      <c r="K25" s="737"/>
      <c r="L25" s="737"/>
      <c r="M25" s="737"/>
      <c r="N25" s="737"/>
      <c r="O25" s="737"/>
      <c r="P25" s="737"/>
      <c r="Q25" s="737"/>
      <c r="R25" s="737"/>
      <c r="S25" s="737"/>
      <c r="T25" s="737"/>
      <c r="U25" s="737"/>
      <c r="V25" s="737"/>
      <c r="W25" s="737"/>
      <c r="X25" s="737"/>
      <c r="Y25" s="737"/>
      <c r="Z25" s="737"/>
      <c r="AA25" s="737"/>
      <c r="AB25" s="737"/>
      <c r="AC25" s="737"/>
      <c r="AD25" s="737"/>
      <c r="AE25" s="737"/>
      <c r="AF25" s="737"/>
      <c r="AG25" s="737"/>
      <c r="AH25" s="737"/>
      <c r="AI25" s="737"/>
      <c r="AJ25" s="737"/>
      <c r="AK25" s="737"/>
      <c r="AL25" s="737"/>
      <c r="AM25" s="737"/>
      <c r="AN25" s="737"/>
      <c r="AO25" s="737"/>
      <c r="AP25" s="246"/>
    </row>
    <row r="26" spans="2:42" ht="15.75" customHeight="1" x14ac:dyDescent="0.35">
      <c r="B26" s="217"/>
      <c r="C26" s="297" t="s">
        <v>224</v>
      </c>
      <c r="D26" s="269" t="s">
        <v>181</v>
      </c>
      <c r="E26" s="298"/>
      <c r="F26" s="738">
        <v>2022</v>
      </c>
      <c r="G26" s="738">
        <v>2023</v>
      </c>
      <c r="H26" s="738">
        <v>2024</v>
      </c>
      <c r="I26" s="738">
        <v>2025</v>
      </c>
      <c r="J26" s="738">
        <v>2026</v>
      </c>
      <c r="K26" s="738">
        <v>2027</v>
      </c>
      <c r="L26" s="738">
        <v>2028</v>
      </c>
      <c r="M26" s="738">
        <v>2029</v>
      </c>
      <c r="N26" s="738">
        <v>2030</v>
      </c>
      <c r="O26" s="738">
        <v>2031</v>
      </c>
      <c r="P26" s="738">
        <v>2032</v>
      </c>
      <c r="Q26" s="738">
        <v>2033</v>
      </c>
      <c r="R26" s="738">
        <v>2034</v>
      </c>
      <c r="S26" s="738">
        <v>2035</v>
      </c>
      <c r="T26" s="738">
        <v>2036</v>
      </c>
      <c r="U26" s="738">
        <v>2037</v>
      </c>
      <c r="V26" s="738">
        <v>2038</v>
      </c>
      <c r="W26" s="738">
        <v>2039</v>
      </c>
      <c r="X26" s="738">
        <v>2040</v>
      </c>
      <c r="Y26" s="738">
        <v>2041</v>
      </c>
      <c r="Z26" s="738">
        <v>2042</v>
      </c>
      <c r="AA26" s="738">
        <v>2043</v>
      </c>
      <c r="AB26" s="738">
        <v>2044</v>
      </c>
      <c r="AC26" s="738">
        <v>2045</v>
      </c>
      <c r="AD26" s="738">
        <v>2046</v>
      </c>
      <c r="AE26" s="738">
        <v>2047</v>
      </c>
      <c r="AF26" s="738">
        <v>2048</v>
      </c>
      <c r="AG26" s="738">
        <v>2049</v>
      </c>
      <c r="AH26" s="738">
        <v>2050</v>
      </c>
      <c r="AI26" s="738">
        <v>2051</v>
      </c>
      <c r="AJ26" s="738">
        <v>2052</v>
      </c>
      <c r="AK26" s="738">
        <v>2053</v>
      </c>
      <c r="AL26" s="738">
        <v>2054</v>
      </c>
      <c r="AM26" s="738">
        <v>2055</v>
      </c>
      <c r="AN26" s="738">
        <v>2056</v>
      </c>
      <c r="AO26" s="738">
        <v>2057</v>
      </c>
      <c r="AP26" s="220"/>
    </row>
    <row r="27" spans="2:42" x14ac:dyDescent="0.35">
      <c r="B27" s="217"/>
      <c r="C27" s="300"/>
      <c r="D27" s="247" t="str">
        <f>VLOOKUP(D26,PC_Table,2,FALSE)</f>
        <v>PM2.5 CADR ≥ 150</v>
      </c>
      <c r="E27" s="297" t="s">
        <v>81</v>
      </c>
      <c r="F27" s="547">
        <v>0.83976420808819696</v>
      </c>
      <c r="G27" s="547">
        <v>0.87731724999605076</v>
      </c>
      <c r="H27" s="547">
        <v>0.91096887537028537</v>
      </c>
      <c r="I27" s="547">
        <v>0.95375070513743843</v>
      </c>
      <c r="J27" s="547">
        <v>0.99965687774326994</v>
      </c>
      <c r="K27" s="547">
        <v>1.0504607981173564</v>
      </c>
      <c r="L27" s="547">
        <v>1.1055648884493394</v>
      </c>
      <c r="M27" s="547">
        <v>1.1640722632642824</v>
      </c>
      <c r="N27" s="547">
        <v>1.2252830160311463</v>
      </c>
      <c r="O27" s="547">
        <v>1.2887308286264716</v>
      </c>
      <c r="P27" s="547">
        <v>1.3543883012391023</v>
      </c>
      <c r="Q27" s="547">
        <v>1.4225366364827918</v>
      </c>
      <c r="R27" s="547">
        <v>1.4936054793024858</v>
      </c>
      <c r="S27" s="547">
        <v>1.5680963540438708</v>
      </c>
      <c r="T27" s="547">
        <v>1.6464307515000218</v>
      </c>
      <c r="U27" s="547">
        <v>1.7288753509016315</v>
      </c>
      <c r="V27" s="547">
        <v>1.8157265416069026</v>
      </c>
      <c r="W27" s="547">
        <v>1.9068102767201183</v>
      </c>
      <c r="X27" s="547">
        <v>2.0024033465903011</v>
      </c>
      <c r="Y27" s="547">
        <v>2.1026211669291852</v>
      </c>
      <c r="Z27" s="547">
        <v>2.2076344428542289</v>
      </c>
      <c r="AA27" s="547">
        <v>2.3176720405379916</v>
      </c>
      <c r="AB27" s="547">
        <v>2.4329979595320927</v>
      </c>
      <c r="AC27" s="547">
        <v>2.5539148328097854</v>
      </c>
      <c r="AD27" s="547">
        <v>2.6807283548816443</v>
      </c>
      <c r="AE27" s="547">
        <v>2.8137459283748298</v>
      </c>
      <c r="AF27" s="547">
        <v>2.9532750227160331</v>
      </c>
      <c r="AG27" s="547">
        <v>3.0996261495432718</v>
      </c>
      <c r="AH27" s="547">
        <v>3.2531194565041268</v>
      </c>
      <c r="AI27" s="547">
        <v>3.4140906747993718</v>
      </c>
      <c r="AJ27" s="547">
        <v>3.5828956109880981</v>
      </c>
      <c r="AK27" s="547">
        <v>3.7599126001170449</v>
      </c>
      <c r="AL27" s="547">
        <v>3.9455427225354311</v>
      </c>
      <c r="AM27" s="547">
        <v>4.1402090666826936</v>
      </c>
      <c r="AN27" s="547">
        <v>4.3443562388563741</v>
      </c>
      <c r="AO27" s="547">
        <v>4.5584486004242581</v>
      </c>
      <c r="AP27" s="220"/>
    </row>
    <row r="28" spans="2:42" x14ac:dyDescent="0.35">
      <c r="B28" s="217"/>
      <c r="C28" s="300"/>
      <c r="D28" s="301"/>
      <c r="E28" s="297" t="s">
        <v>86</v>
      </c>
      <c r="F28" s="547">
        <v>1.2596463121322954</v>
      </c>
      <c r="G28" s="547">
        <v>1.3159758749940762</v>
      </c>
      <c r="H28" s="547">
        <v>1.3664533130554282</v>
      </c>
      <c r="I28" s="547">
        <v>1.4306260577061578</v>
      </c>
      <c r="J28" s="547">
        <v>1.4994853166149049</v>
      </c>
      <c r="K28" s="547">
        <v>1.5756911971760348</v>
      </c>
      <c r="L28" s="547">
        <v>1.658347332674009</v>
      </c>
      <c r="M28" s="547">
        <v>1.7461083948964236</v>
      </c>
      <c r="N28" s="547">
        <v>1.8379245240467199</v>
      </c>
      <c r="O28" s="547">
        <v>1.9330962429397074</v>
      </c>
      <c r="P28" s="547">
        <v>2.0315824518586534</v>
      </c>
      <c r="Q28" s="547">
        <v>2.1338049547241873</v>
      </c>
      <c r="R28" s="547">
        <v>2.2404082189537289</v>
      </c>
      <c r="S28" s="547">
        <v>2.3521445310658065</v>
      </c>
      <c r="T28" s="547">
        <v>2.4696461272500327</v>
      </c>
      <c r="U28" s="547">
        <v>2.5933130263524475</v>
      </c>
      <c r="V28" s="547">
        <v>2.7235898124103541</v>
      </c>
      <c r="W28" s="547">
        <v>2.8602154150801775</v>
      </c>
      <c r="X28" s="547">
        <v>3.0036050198854518</v>
      </c>
      <c r="Y28" s="547">
        <v>3.1539317503937783</v>
      </c>
      <c r="Z28" s="547">
        <v>3.3114516642813436</v>
      </c>
      <c r="AA28" s="547">
        <v>3.4765080608069878</v>
      </c>
      <c r="AB28" s="547">
        <v>3.6494969392981398</v>
      </c>
      <c r="AC28" s="547">
        <v>3.8308722492146785</v>
      </c>
      <c r="AD28" s="547">
        <v>4.0210925323224664</v>
      </c>
      <c r="AE28" s="547">
        <v>4.2206188925622445</v>
      </c>
      <c r="AF28" s="547">
        <v>4.4299125340740497</v>
      </c>
      <c r="AG28" s="547">
        <v>4.6494392243149072</v>
      </c>
      <c r="AH28" s="547">
        <v>4.8796791847561911</v>
      </c>
      <c r="AI28" s="547">
        <v>5.1211360121990577</v>
      </c>
      <c r="AJ28" s="547">
        <v>5.374343416482148</v>
      </c>
      <c r="AK28" s="547">
        <v>5.6398689001755669</v>
      </c>
      <c r="AL28" s="547">
        <v>5.9183140838031472</v>
      </c>
      <c r="AM28" s="547">
        <v>6.2103136000240404</v>
      </c>
      <c r="AN28" s="547">
        <v>6.5165343582845612</v>
      </c>
      <c r="AO28" s="547">
        <v>6.8376729006363863</v>
      </c>
      <c r="AP28" s="220"/>
    </row>
    <row r="29" spans="2:42" x14ac:dyDescent="0.35">
      <c r="B29" s="217"/>
      <c r="C29" s="300"/>
      <c r="D29" s="301"/>
      <c r="E29" s="297" t="s">
        <v>344</v>
      </c>
      <c r="F29" s="547">
        <v>1.4275991537499348</v>
      </c>
      <c r="G29" s="547">
        <v>1.4914393249932862</v>
      </c>
      <c r="H29" s="547">
        <v>1.5486470881294851</v>
      </c>
      <c r="I29" s="547">
        <v>1.6213761987336452</v>
      </c>
      <c r="J29" s="547">
        <v>1.699416692163559</v>
      </c>
      <c r="K29" s="547">
        <v>1.7857833567995061</v>
      </c>
      <c r="L29" s="547">
        <v>1.8794603103638767</v>
      </c>
      <c r="M29" s="547">
        <v>1.9789228475492799</v>
      </c>
      <c r="N29" s="547">
        <v>2.0829811272529488</v>
      </c>
      <c r="O29" s="547">
        <v>2.1908424086650018</v>
      </c>
      <c r="P29" s="547">
        <v>2.3024601121064738</v>
      </c>
      <c r="Q29" s="547">
        <v>2.4183122820207457</v>
      </c>
      <c r="R29" s="547">
        <v>2.5391293148142258</v>
      </c>
      <c r="S29" s="547">
        <v>2.6657638018745802</v>
      </c>
      <c r="T29" s="547">
        <v>2.7989322775500369</v>
      </c>
      <c r="U29" s="547">
        <v>2.9390880965327737</v>
      </c>
      <c r="V29" s="547">
        <v>3.0867351207317348</v>
      </c>
      <c r="W29" s="547">
        <v>3.2415774704242013</v>
      </c>
      <c r="X29" s="547">
        <v>3.4040856892035118</v>
      </c>
      <c r="Y29" s="547">
        <v>3.574455983779615</v>
      </c>
      <c r="Z29" s="547">
        <v>3.7529785528521895</v>
      </c>
      <c r="AA29" s="547">
        <v>3.9400424689145859</v>
      </c>
      <c r="AB29" s="547">
        <v>4.1360965312045579</v>
      </c>
      <c r="AC29" s="547">
        <v>4.341655215776635</v>
      </c>
      <c r="AD29" s="547">
        <v>4.5572382032987955</v>
      </c>
      <c r="AE29" s="547">
        <v>4.7833680782372108</v>
      </c>
      <c r="AF29" s="547">
        <v>5.0205675386172564</v>
      </c>
      <c r="AG29" s="547">
        <v>5.2693644542235614</v>
      </c>
      <c r="AH29" s="547">
        <v>5.5303030760570158</v>
      </c>
      <c r="AI29" s="547">
        <v>5.8039541471589331</v>
      </c>
      <c r="AJ29" s="547">
        <v>6.0909225386797665</v>
      </c>
      <c r="AK29" s="547">
        <v>6.3918514201989751</v>
      </c>
      <c r="AL29" s="547">
        <v>6.7074226283102334</v>
      </c>
      <c r="AM29" s="547">
        <v>7.0383554133605797</v>
      </c>
      <c r="AN29" s="547">
        <v>7.3854056060558353</v>
      </c>
      <c r="AO29" s="547">
        <v>7.7493626207212394</v>
      </c>
      <c r="AP29" s="220"/>
    </row>
    <row r="30" spans="2:42" x14ac:dyDescent="0.35">
      <c r="B30" s="217"/>
      <c r="C30" s="300"/>
      <c r="D30" s="301"/>
      <c r="E30" s="297" t="s">
        <v>343</v>
      </c>
      <c r="F30" s="547">
        <v>0.11627504419682727</v>
      </c>
      <c r="G30" s="547">
        <v>0.12147469615329934</v>
      </c>
      <c r="H30" s="547">
        <v>0.12613415197434721</v>
      </c>
      <c r="I30" s="547">
        <v>0.13205778994210687</v>
      </c>
      <c r="J30" s="547">
        <v>0.13841402922599122</v>
      </c>
      <c r="K30" s="547">
        <v>0.14544841820086474</v>
      </c>
      <c r="L30" s="547">
        <v>0.15307821532375465</v>
      </c>
      <c r="M30" s="547">
        <v>0.16117923645197757</v>
      </c>
      <c r="N30" s="547">
        <v>0.16965457145046642</v>
      </c>
      <c r="O30" s="547">
        <v>0.1784396531944345</v>
      </c>
      <c r="P30" s="547">
        <v>0.18753068786387572</v>
      </c>
      <c r="Q30" s="547">
        <v>0.19696661120530962</v>
      </c>
      <c r="R30" s="547">
        <v>0.20680691251880573</v>
      </c>
      <c r="S30" s="547">
        <v>0.21712103363684362</v>
      </c>
      <c r="T30" s="547">
        <v>0.22796733482307996</v>
      </c>
      <c r="U30" s="547">
        <v>0.23938274089407202</v>
      </c>
      <c r="V30" s="547">
        <v>0.25140829037634038</v>
      </c>
      <c r="W30" s="547">
        <v>0.26401988446893943</v>
      </c>
      <c r="X30" s="547">
        <v>0.27725584798942626</v>
      </c>
      <c r="Y30" s="547">
        <v>0.29113216157481026</v>
      </c>
      <c r="Z30" s="547">
        <v>0.30567246131827785</v>
      </c>
      <c r="AA30" s="547">
        <v>0.32090843638218347</v>
      </c>
      <c r="AB30" s="547">
        <v>0.33687664055059746</v>
      </c>
      <c r="AC30" s="547">
        <v>0.35361897685058569</v>
      </c>
      <c r="AD30" s="547">
        <v>0.37117777221438153</v>
      </c>
      <c r="AE30" s="547">
        <v>0.3895955900826687</v>
      </c>
      <c r="AF30" s="547">
        <v>0.40891500314529688</v>
      </c>
      <c r="AG30" s="547">
        <v>0.42917900532137598</v>
      </c>
      <c r="AH30" s="547">
        <v>0.45043192474672522</v>
      </c>
      <c r="AI30" s="547">
        <v>0.47272024727991302</v>
      </c>
      <c r="AJ30" s="547">
        <v>0.49609323844450592</v>
      </c>
      <c r="AK30" s="547">
        <v>0.5206032830931292</v>
      </c>
      <c r="AL30" s="547">
        <v>0.54630591542798279</v>
      </c>
      <c r="AM30" s="547">
        <v>0.57325971692529598</v>
      </c>
      <c r="AN30" s="547">
        <v>0.60152624845703628</v>
      </c>
      <c r="AO30" s="547">
        <v>0.63116980621258956</v>
      </c>
      <c r="AP30" s="220"/>
    </row>
    <row r="31" spans="2:42" x14ac:dyDescent="0.35">
      <c r="B31" s="217"/>
      <c r="C31" s="300"/>
      <c r="D31" s="301"/>
      <c r="E31" s="297" t="s">
        <v>342</v>
      </c>
      <c r="F31" s="547">
        <v>0.14211394290723334</v>
      </c>
      <c r="G31" s="547">
        <v>0.14846907307625476</v>
      </c>
      <c r="H31" s="547">
        <v>0.15416396352420217</v>
      </c>
      <c r="I31" s="547">
        <v>0.1614039654847973</v>
      </c>
      <c r="J31" s="547">
        <v>0.16917270238732263</v>
      </c>
      <c r="K31" s="547">
        <v>0.17777028891216803</v>
      </c>
      <c r="L31" s="547">
        <v>0.18709559650681129</v>
      </c>
      <c r="M31" s="547">
        <v>0.19699684455241703</v>
      </c>
      <c r="N31" s="547">
        <v>0.20735558732834788</v>
      </c>
      <c r="O31" s="547">
        <v>0.21809290945986445</v>
      </c>
      <c r="P31" s="547">
        <v>0.22920417405584809</v>
      </c>
      <c r="Q31" s="547">
        <v>0.24073696925093402</v>
      </c>
      <c r="R31" s="547">
        <v>0.2527640041896515</v>
      </c>
      <c r="S31" s="547">
        <v>0.26537015222280891</v>
      </c>
      <c r="T31" s="547">
        <v>0.27862674256154218</v>
      </c>
      <c r="U31" s="547">
        <v>0.29257890553719923</v>
      </c>
      <c r="V31" s="547">
        <v>0.30727679934886049</v>
      </c>
      <c r="W31" s="547">
        <v>0.32269096990648161</v>
      </c>
      <c r="X31" s="547">
        <v>0.33886825865374326</v>
      </c>
      <c r="Y31" s="547">
        <v>0.35582819748032368</v>
      </c>
      <c r="Z31" s="547">
        <v>0.37359967494456187</v>
      </c>
      <c r="AA31" s="547">
        <v>0.39222142224489093</v>
      </c>
      <c r="AB31" s="547">
        <v>0.41173811622850809</v>
      </c>
      <c r="AC31" s="547">
        <v>0.43220097170627148</v>
      </c>
      <c r="AD31" s="547">
        <v>0.45366172159535523</v>
      </c>
      <c r="AE31" s="547">
        <v>0.47617238787881738</v>
      </c>
      <c r="AF31" s="547">
        <v>0.49978500384425184</v>
      </c>
      <c r="AG31" s="547">
        <v>0.52455211761501519</v>
      </c>
      <c r="AH31" s="547">
        <v>0.55052790802377538</v>
      </c>
      <c r="AI31" s="547">
        <v>0.57776919111989378</v>
      </c>
      <c r="AJ31" s="547">
        <v>0.60633618032106285</v>
      </c>
      <c r="AK31" s="547">
        <v>0.63629290155826923</v>
      </c>
      <c r="AL31" s="547">
        <v>0.66770722996753462</v>
      </c>
      <c r="AM31" s="547">
        <v>0.70065076513091751</v>
      </c>
      <c r="AN31" s="547">
        <v>0.73519874811415564</v>
      </c>
      <c r="AO31" s="547">
        <v>0.77142976314872069</v>
      </c>
      <c r="AP31" s="220"/>
    </row>
    <row r="32" spans="2:42" x14ac:dyDescent="0.35">
      <c r="B32" s="217"/>
      <c r="C32" s="300"/>
      <c r="D32" s="301"/>
      <c r="E32" s="297" t="s">
        <v>58</v>
      </c>
      <c r="F32" s="546">
        <v>3.7853986610744879</v>
      </c>
      <c r="G32" s="546">
        <v>3.9546762192129674</v>
      </c>
      <c r="H32" s="546">
        <v>4.1063673920537482</v>
      </c>
      <c r="I32" s="546">
        <v>4.2992147170041459</v>
      </c>
      <c r="J32" s="546">
        <v>4.5061456181350472</v>
      </c>
      <c r="K32" s="546">
        <v>4.7351540592059296</v>
      </c>
      <c r="L32" s="546">
        <v>4.9835463433177907</v>
      </c>
      <c r="M32" s="546">
        <v>5.2472795867143809</v>
      </c>
      <c r="N32" s="546">
        <v>5.5231988261096285</v>
      </c>
      <c r="O32" s="546">
        <v>5.8092020428854791</v>
      </c>
      <c r="P32" s="546">
        <v>6.1051657271239534</v>
      </c>
      <c r="Q32" s="546">
        <v>6.4123574536839678</v>
      </c>
      <c r="R32" s="546">
        <v>6.7327139297788969</v>
      </c>
      <c r="S32" s="546">
        <v>7.0684958728439096</v>
      </c>
      <c r="T32" s="546">
        <v>7.4216032336847135</v>
      </c>
      <c r="U32" s="546">
        <v>7.793238120218124</v>
      </c>
      <c r="V32" s="546">
        <v>8.1847365644741927</v>
      </c>
      <c r="W32" s="546">
        <v>8.595314016599918</v>
      </c>
      <c r="X32" s="546">
        <v>9.0262181623224347</v>
      </c>
      <c r="Y32" s="546">
        <v>9.4779692601577121</v>
      </c>
      <c r="Z32" s="546">
        <v>9.951336796250601</v>
      </c>
      <c r="AA32" s="546">
        <v>10.447352428886639</v>
      </c>
      <c r="AB32" s="546">
        <v>10.967206186813895</v>
      </c>
      <c r="AC32" s="546">
        <v>11.512262246357956</v>
      </c>
      <c r="AD32" s="546">
        <v>12.083898584312641</v>
      </c>
      <c r="AE32" s="546">
        <v>12.683500877135771</v>
      </c>
      <c r="AF32" s="546">
        <v>13.312455102396889</v>
      </c>
      <c r="AG32" s="546">
        <v>13.972160951018131</v>
      </c>
      <c r="AH32" s="546">
        <v>14.664061550087837</v>
      </c>
      <c r="AI32" s="546">
        <v>15.389670272557169</v>
      </c>
      <c r="AJ32" s="546">
        <v>16.150590984915581</v>
      </c>
      <c r="AK32" s="546">
        <v>16.948529105142988</v>
      </c>
      <c r="AL32" s="546">
        <v>17.785292580044327</v>
      </c>
      <c r="AM32" s="546">
        <v>18.662788562123527</v>
      </c>
      <c r="AN32" s="546">
        <v>19.583021199767963</v>
      </c>
      <c r="AO32" s="546">
        <v>20.548083691143194</v>
      </c>
      <c r="AP32" s="220"/>
    </row>
    <row r="33" spans="1:102" s="168" customFormat="1" x14ac:dyDescent="0.35">
      <c r="B33" s="256"/>
      <c r="C33" s="287"/>
      <c r="D33" s="244"/>
      <c r="E33" s="287"/>
      <c r="F33" s="287"/>
      <c r="G33" s="287"/>
      <c r="H33" s="287"/>
      <c r="I33" s="287"/>
      <c r="J33" s="287"/>
      <c r="K33" s="287"/>
      <c r="L33" s="287"/>
      <c r="M33" s="287"/>
      <c r="N33" s="287"/>
      <c r="O33" s="287"/>
      <c r="P33" s="287"/>
      <c r="Q33" s="287"/>
      <c r="R33" s="287"/>
      <c r="S33" s="287"/>
      <c r="T33" s="287"/>
      <c r="U33" s="287"/>
      <c r="V33" s="287"/>
      <c r="W33" s="287"/>
      <c r="X33" s="287"/>
      <c r="Y33" s="287"/>
      <c r="Z33" s="287"/>
      <c r="AA33" s="287"/>
      <c r="AB33" s="287"/>
      <c r="AC33" s="287"/>
      <c r="AD33" s="287"/>
      <c r="AE33" s="287"/>
      <c r="AF33" s="287"/>
      <c r="AG33" s="287"/>
      <c r="AH33" s="287"/>
      <c r="AI33" s="287"/>
      <c r="AJ33" s="287"/>
      <c r="AK33" s="287"/>
      <c r="AL33" s="287"/>
      <c r="AM33" s="287"/>
      <c r="AN33" s="287"/>
      <c r="AO33" s="287"/>
      <c r="AP33" s="246"/>
    </row>
    <row r="34" spans="1:102" s="168" customFormat="1" ht="16" thickBot="1" x14ac:dyDescent="0.4">
      <c r="B34" s="263"/>
      <c r="C34" s="292"/>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c r="AD34" s="250"/>
      <c r="AE34" s="250"/>
      <c r="AF34" s="250"/>
      <c r="AG34" s="250"/>
      <c r="AH34" s="250"/>
      <c r="AI34" s="250"/>
      <c r="AJ34" s="250"/>
      <c r="AK34" s="250"/>
      <c r="AL34" s="250"/>
      <c r="AM34" s="250"/>
      <c r="AN34" s="250"/>
      <c r="AO34" s="250"/>
      <c r="AP34" s="264"/>
    </row>
    <row r="35" spans="1:102" ht="16" thickBot="1" x14ac:dyDescent="0.4"/>
    <row r="36" spans="1:102" x14ac:dyDescent="0.35">
      <c r="B36" s="208"/>
      <c r="C36" s="209"/>
      <c r="D36" s="209"/>
      <c r="E36" s="281"/>
      <c r="F36" s="282"/>
      <c r="G36" s="282"/>
      <c r="H36" s="282"/>
      <c r="I36" s="282"/>
      <c r="J36" s="282"/>
      <c r="K36" s="282"/>
      <c r="L36" s="282"/>
      <c r="M36" s="282"/>
      <c r="N36" s="283"/>
      <c r="O36" s="282"/>
      <c r="P36" s="282"/>
      <c r="Q36" s="282"/>
      <c r="R36" s="282"/>
      <c r="S36" s="282"/>
      <c r="T36" s="282"/>
      <c r="U36" s="282"/>
      <c r="V36" s="282"/>
      <c r="W36" s="282"/>
      <c r="X36" s="282"/>
      <c r="Y36" s="284"/>
      <c r="Z36" s="283"/>
      <c r="AA36" s="282"/>
      <c r="AB36" s="282"/>
      <c r="AC36" s="282"/>
      <c r="AD36" s="282"/>
      <c r="AE36" s="282"/>
      <c r="AF36" s="282"/>
      <c r="AG36" s="282"/>
      <c r="AH36" s="282"/>
      <c r="AI36" s="282"/>
      <c r="AJ36" s="282"/>
      <c r="AK36" s="282"/>
      <c r="AL36" s="282"/>
      <c r="AM36" s="282"/>
      <c r="AN36" s="282"/>
      <c r="AO36" s="284"/>
      <c r="AP36" s="210"/>
    </row>
    <row r="37" spans="1:102" x14ac:dyDescent="0.35">
      <c r="B37" s="217"/>
      <c r="C37" s="294" t="s">
        <v>90</v>
      </c>
      <c r="D37" s="218"/>
      <c r="E37" s="295"/>
      <c r="F37" s="296">
        <v>34</v>
      </c>
      <c r="G37" s="286" t="s">
        <v>350</v>
      </c>
      <c r="H37" s="286" t="s">
        <v>351</v>
      </c>
      <c r="I37" s="286" t="s">
        <v>352</v>
      </c>
      <c r="J37" s="286" t="s">
        <v>352</v>
      </c>
      <c r="K37" s="286" t="s">
        <v>352</v>
      </c>
      <c r="L37" s="286" t="s">
        <v>352</v>
      </c>
      <c r="M37" s="286" t="s">
        <v>352</v>
      </c>
      <c r="N37" s="286" t="s">
        <v>352</v>
      </c>
      <c r="O37" s="286" t="s">
        <v>352</v>
      </c>
      <c r="P37" s="286" t="s">
        <v>352</v>
      </c>
      <c r="Q37" s="286" t="s">
        <v>352</v>
      </c>
      <c r="R37" s="286" t="s">
        <v>352</v>
      </c>
      <c r="S37" s="286" t="s">
        <v>352</v>
      </c>
      <c r="T37" s="286" t="s">
        <v>352</v>
      </c>
      <c r="U37" s="286" t="s">
        <v>352</v>
      </c>
      <c r="V37" s="286" t="s">
        <v>352</v>
      </c>
      <c r="W37" s="286" t="s">
        <v>352</v>
      </c>
      <c r="X37" s="286" t="s">
        <v>352</v>
      </c>
      <c r="Y37" s="286" t="s">
        <v>352</v>
      </c>
      <c r="Z37" s="286" t="s">
        <v>352</v>
      </c>
      <c r="AA37" s="286" t="s">
        <v>352</v>
      </c>
      <c r="AB37" s="286" t="s">
        <v>352</v>
      </c>
      <c r="AC37" s="286" t="s">
        <v>352</v>
      </c>
      <c r="AD37" s="286" t="s">
        <v>352</v>
      </c>
      <c r="AE37" s="286" t="s">
        <v>352</v>
      </c>
      <c r="AF37" s="286" t="s">
        <v>352</v>
      </c>
      <c r="AG37" s="286" t="s">
        <v>352</v>
      </c>
      <c r="AH37" s="286" t="s">
        <v>352</v>
      </c>
      <c r="AI37" s="286" t="s">
        <v>352</v>
      </c>
      <c r="AJ37" s="286" t="s">
        <v>352</v>
      </c>
      <c r="AK37" s="286" t="s">
        <v>353</v>
      </c>
      <c r="AL37" s="286" t="s">
        <v>352</v>
      </c>
      <c r="AM37" s="286" t="s">
        <v>352</v>
      </c>
      <c r="AN37" s="286"/>
      <c r="AO37" s="286" t="s">
        <v>353</v>
      </c>
      <c r="AP37" s="220"/>
    </row>
    <row r="38" spans="1:102" ht="15.75" customHeight="1" x14ac:dyDescent="0.35">
      <c r="B38" s="217"/>
      <c r="C38" s="297" t="s">
        <v>224</v>
      </c>
      <c r="D38" s="269" t="s">
        <v>99</v>
      </c>
      <c r="E38" s="298"/>
      <c r="F38" s="299">
        <v>2022</v>
      </c>
      <c r="G38" s="299">
        <v>2023</v>
      </c>
      <c r="H38" s="299">
        <v>2024</v>
      </c>
      <c r="I38" s="299">
        <v>2025</v>
      </c>
      <c r="J38" s="299">
        <v>2026</v>
      </c>
      <c r="K38" s="299">
        <v>2027</v>
      </c>
      <c r="L38" s="299">
        <v>2028</v>
      </c>
      <c r="M38" s="299">
        <v>2029</v>
      </c>
      <c r="N38" s="299">
        <v>2030</v>
      </c>
      <c r="O38" s="299">
        <v>2031</v>
      </c>
      <c r="P38" s="299">
        <v>2032</v>
      </c>
      <c r="Q38" s="299">
        <v>2033</v>
      </c>
      <c r="R38" s="299">
        <v>2034</v>
      </c>
      <c r="S38" s="299">
        <v>2035</v>
      </c>
      <c r="T38" s="299">
        <v>2036</v>
      </c>
      <c r="U38" s="299">
        <v>2037</v>
      </c>
      <c r="V38" s="299">
        <v>2038</v>
      </c>
      <c r="W38" s="299">
        <v>2039</v>
      </c>
      <c r="X38" s="299">
        <v>2040</v>
      </c>
      <c r="Y38" s="299">
        <v>2041</v>
      </c>
      <c r="Z38" s="299">
        <v>2042</v>
      </c>
      <c r="AA38" s="299">
        <v>2043</v>
      </c>
      <c r="AB38" s="299">
        <v>2044</v>
      </c>
      <c r="AC38" s="299">
        <v>2045</v>
      </c>
      <c r="AD38" s="299">
        <v>2046</v>
      </c>
      <c r="AE38" s="299">
        <v>2047</v>
      </c>
      <c r="AF38" s="299">
        <v>2048</v>
      </c>
      <c r="AG38" s="299">
        <v>2049</v>
      </c>
      <c r="AH38" s="299">
        <v>2050</v>
      </c>
      <c r="AI38" s="299">
        <v>2051</v>
      </c>
      <c r="AJ38" s="299">
        <v>2052</v>
      </c>
      <c r="AK38" s="299">
        <v>2053</v>
      </c>
      <c r="AL38" s="299">
        <v>2054</v>
      </c>
      <c r="AM38" s="299">
        <v>2055</v>
      </c>
      <c r="AN38" s="299">
        <v>2056</v>
      </c>
      <c r="AO38" s="299">
        <v>2057</v>
      </c>
      <c r="AP38" s="220"/>
    </row>
    <row r="39" spans="1:102" x14ac:dyDescent="0.35">
      <c r="B39" s="217"/>
      <c r="C39" s="300"/>
      <c r="D39" s="247" t="str">
        <f>VLOOKUP(D38,PC_Table,2,FALSE)</f>
        <v>10 ≤ PM2.5 CADR &lt; 100</v>
      </c>
      <c r="E39" s="297" t="s">
        <v>81</v>
      </c>
      <c r="F39" s="547">
        <v>0.5521341648717446</v>
      </c>
      <c r="G39" s="547">
        <v>0.57682480687873139</v>
      </c>
      <c r="H39" s="547">
        <v>0</v>
      </c>
      <c r="I39" s="547">
        <v>0</v>
      </c>
      <c r="J39" s="547">
        <v>0</v>
      </c>
      <c r="K39" s="547">
        <v>0</v>
      </c>
      <c r="L39" s="547">
        <v>0</v>
      </c>
      <c r="M39" s="547">
        <v>0</v>
      </c>
      <c r="N39" s="547">
        <v>0</v>
      </c>
      <c r="O39" s="547">
        <v>0</v>
      </c>
      <c r="P39" s="547">
        <v>0</v>
      </c>
      <c r="Q39" s="547">
        <v>0</v>
      </c>
      <c r="R39" s="547">
        <v>0</v>
      </c>
      <c r="S39" s="547">
        <v>0</v>
      </c>
      <c r="T39" s="547">
        <v>0</v>
      </c>
      <c r="U39" s="547">
        <v>0</v>
      </c>
      <c r="V39" s="547">
        <v>0</v>
      </c>
      <c r="W39" s="547">
        <v>0</v>
      </c>
      <c r="X39" s="547">
        <v>0</v>
      </c>
      <c r="Y39" s="547">
        <v>0</v>
      </c>
      <c r="Z39" s="547">
        <v>0</v>
      </c>
      <c r="AA39" s="547">
        <v>0</v>
      </c>
      <c r="AB39" s="547">
        <v>0</v>
      </c>
      <c r="AC39" s="547">
        <v>0</v>
      </c>
      <c r="AD39" s="547">
        <v>0</v>
      </c>
      <c r="AE39" s="547">
        <v>0</v>
      </c>
      <c r="AF39" s="547">
        <v>0</v>
      </c>
      <c r="AG39" s="547">
        <v>0</v>
      </c>
      <c r="AH39" s="547">
        <v>0</v>
      </c>
      <c r="AI39" s="547">
        <v>0</v>
      </c>
      <c r="AJ39" s="547">
        <v>0</v>
      </c>
      <c r="AK39" s="547">
        <v>0</v>
      </c>
      <c r="AL39" s="547">
        <v>0</v>
      </c>
      <c r="AM39" s="547">
        <v>0</v>
      </c>
      <c r="AN39" s="547">
        <v>0</v>
      </c>
      <c r="AO39" s="547">
        <v>0</v>
      </c>
      <c r="AP39" s="220"/>
    </row>
    <row r="40" spans="1:102" x14ac:dyDescent="0.35">
      <c r="B40" s="217"/>
      <c r="C40" s="300"/>
      <c r="D40" s="301"/>
      <c r="E40" s="297" t="s">
        <v>86</v>
      </c>
      <c r="F40" s="547">
        <v>0.82820124730761657</v>
      </c>
      <c r="G40" s="547">
        <v>0.86523721031809697</v>
      </c>
      <c r="H40" s="547">
        <v>1.4901923497169436</v>
      </c>
      <c r="I40" s="547">
        <v>1.5619040984378065</v>
      </c>
      <c r="J40" s="547">
        <v>0</v>
      </c>
      <c r="K40" s="547">
        <v>0</v>
      </c>
      <c r="L40" s="547">
        <v>0</v>
      </c>
      <c r="M40" s="547">
        <v>0</v>
      </c>
      <c r="N40" s="547">
        <v>0</v>
      </c>
      <c r="O40" s="547">
        <v>0</v>
      </c>
      <c r="P40" s="547">
        <v>0</v>
      </c>
      <c r="Q40" s="547">
        <v>0</v>
      </c>
      <c r="R40" s="547">
        <v>0</v>
      </c>
      <c r="S40" s="547">
        <v>0</v>
      </c>
      <c r="T40" s="547">
        <v>0</v>
      </c>
      <c r="U40" s="547">
        <v>0</v>
      </c>
      <c r="V40" s="547">
        <v>0</v>
      </c>
      <c r="W40" s="547">
        <v>0</v>
      </c>
      <c r="X40" s="547">
        <v>0</v>
      </c>
      <c r="Y40" s="547">
        <v>0</v>
      </c>
      <c r="Z40" s="547">
        <v>0</v>
      </c>
      <c r="AA40" s="547">
        <v>0</v>
      </c>
      <c r="AB40" s="547">
        <v>0</v>
      </c>
      <c r="AC40" s="547">
        <v>0</v>
      </c>
      <c r="AD40" s="547">
        <v>0</v>
      </c>
      <c r="AE40" s="547">
        <v>0</v>
      </c>
      <c r="AF40" s="547">
        <v>0</v>
      </c>
      <c r="AG40" s="547">
        <v>0</v>
      </c>
      <c r="AH40" s="547">
        <v>0</v>
      </c>
      <c r="AI40" s="547">
        <v>0</v>
      </c>
      <c r="AJ40" s="547">
        <v>0</v>
      </c>
      <c r="AK40" s="547">
        <v>0</v>
      </c>
      <c r="AL40" s="547">
        <v>0</v>
      </c>
      <c r="AM40" s="547">
        <v>0</v>
      </c>
      <c r="AN40" s="547">
        <v>0</v>
      </c>
      <c r="AO40" s="547">
        <v>0</v>
      </c>
      <c r="AP40" s="220"/>
    </row>
    <row r="41" spans="1:102" x14ac:dyDescent="0.35">
      <c r="B41" s="217"/>
      <c r="C41" s="300"/>
      <c r="D41" s="301"/>
      <c r="E41" s="297" t="s">
        <v>344</v>
      </c>
      <c r="F41" s="547">
        <v>0.37571259739793256</v>
      </c>
      <c r="G41" s="547">
        <v>0.39251392184055678</v>
      </c>
      <c r="H41" s="547">
        <v>0.40756974281296954</v>
      </c>
      <c r="I41" s="547">
        <v>0.42671043996157326</v>
      </c>
      <c r="J41" s="547">
        <v>2.0717104476232389</v>
      </c>
      <c r="K41" s="547">
        <v>2.1796587860490586</v>
      </c>
      <c r="L41" s="547">
        <v>2.2967835518599933</v>
      </c>
      <c r="M41" s="547">
        <v>2.4191181432990843</v>
      </c>
      <c r="N41" s="547">
        <v>2.5471472409565217</v>
      </c>
      <c r="O41" s="547">
        <v>2.6799060836505078</v>
      </c>
      <c r="P41" s="547">
        <v>2.8173416448408934</v>
      </c>
      <c r="Q41" s="547">
        <v>2.9600429464990095</v>
      </c>
      <c r="R41" s="547">
        <v>3.1080315468787267</v>
      </c>
      <c r="S41" s="547">
        <v>3.2631506194539206</v>
      </c>
      <c r="T41" s="547">
        <v>3.4262779709694318</v>
      </c>
      <c r="U41" s="547">
        <v>3.5979693429370059</v>
      </c>
      <c r="V41" s="547">
        <v>3.7788423782943057</v>
      </c>
      <c r="W41" s="547">
        <v>3.968535695112394</v>
      </c>
      <c r="X41" s="547">
        <v>4.1676261907271712</v>
      </c>
      <c r="Y41" s="547">
        <v>4.3763549480393884</v>
      </c>
      <c r="Z41" s="547">
        <v>4.5950781559720477</v>
      </c>
      <c r="AA41" s="547">
        <v>4.8242731065556468</v>
      </c>
      <c r="AB41" s="547">
        <v>5.0643736916963151</v>
      </c>
      <c r="AC41" s="547">
        <v>5.3161163775900935</v>
      </c>
      <c r="AD41" s="547">
        <v>5.5801378021103663</v>
      </c>
      <c r="AE41" s="547">
        <v>5.8570781820092757</v>
      </c>
      <c r="AF41" s="547">
        <v>6.1475778962202892</v>
      </c>
      <c r="AG41" s="547">
        <v>6.4522836793793257</v>
      </c>
      <c r="AH41" s="547">
        <v>6.7718623480417239</v>
      </c>
      <c r="AI41" s="547">
        <v>7.1070131824730893</v>
      </c>
      <c r="AJ41" s="547">
        <v>7.458477278794156</v>
      </c>
      <c r="AK41" s="547">
        <v>7.827042657736067</v>
      </c>
      <c r="AL41" s="547">
        <v>8.2135447182629413</v>
      </c>
      <c r="AM41" s="547">
        <v>8.6188647051474589</v>
      </c>
      <c r="AN41" s="547">
        <v>9.043928690596104</v>
      </c>
      <c r="AO41" s="547">
        <v>9.4897039065904139</v>
      </c>
      <c r="AP41" s="220"/>
    </row>
    <row r="42" spans="1:102" x14ac:dyDescent="0.35">
      <c r="B42" s="217"/>
      <c r="C42" s="300"/>
      <c r="D42" s="301"/>
      <c r="E42" s="297" t="s">
        <v>343</v>
      </c>
      <c r="F42" s="547">
        <v>0.1470179728948432</v>
      </c>
      <c r="G42" s="547">
        <v>0.15359240419847875</v>
      </c>
      <c r="H42" s="547">
        <v>0.15948381240507503</v>
      </c>
      <c r="I42" s="547">
        <v>0.16697365041974607</v>
      </c>
      <c r="J42" s="547">
        <v>0.17501046882051471</v>
      </c>
      <c r="K42" s="547">
        <v>0.18390473856501038</v>
      </c>
      <c r="L42" s="547">
        <v>0.19355184138362869</v>
      </c>
      <c r="M42" s="547">
        <v>0.20379475905247554</v>
      </c>
      <c r="N42" s="547">
        <v>0.21451095855761876</v>
      </c>
      <c r="O42" s="547">
        <v>0.22561880133364354</v>
      </c>
      <c r="P42" s="547">
        <v>0.23711349048083075</v>
      </c>
      <c r="Q42" s="547">
        <v>0.24904425629245625</v>
      </c>
      <c r="R42" s="547">
        <v>0.26148631694079039</v>
      </c>
      <c r="S42" s="547">
        <v>0.27452747456356424</v>
      </c>
      <c r="T42" s="547">
        <v>0.28824151978128176</v>
      </c>
      <c r="U42" s="547">
        <v>0.30267514027071213</v>
      </c>
      <c r="V42" s="547">
        <v>0.31788022507667402</v>
      </c>
      <c r="W42" s="547">
        <v>0.33382630371524991</v>
      </c>
      <c r="X42" s="547">
        <v>0.35056183402214924</v>
      </c>
      <c r="Y42" s="547">
        <v>0.36810702188828293</v>
      </c>
      <c r="Z42" s="547">
        <v>0.38649175275064573</v>
      </c>
      <c r="AA42" s="547">
        <v>0.40575609433352255</v>
      </c>
      <c r="AB42" s="547">
        <v>0.4259462651808219</v>
      </c>
      <c r="AC42" s="547">
        <v>0.44711524741041686</v>
      </c>
      <c r="AD42" s="547">
        <v>0.46931655912517156</v>
      </c>
      <c r="AE42" s="547">
        <v>0.49260401746884147</v>
      </c>
      <c r="AF42" s="547">
        <v>0.51703145127981276</v>
      </c>
      <c r="AG42" s="547">
        <v>0.54265322199804866</v>
      </c>
      <c r="AH42" s="547">
        <v>0.569525378044905</v>
      </c>
      <c r="AI42" s="547">
        <v>0.59770669606280125</v>
      </c>
      <c r="AJ42" s="547">
        <v>0.62725946729796611</v>
      </c>
      <c r="AK42" s="547">
        <v>0.65824992707111352</v>
      </c>
      <c r="AL42" s="547">
        <v>0.69074829273533167</v>
      </c>
      <c r="AM42" s="547">
        <v>0.72482863461193447</v>
      </c>
      <c r="AN42" s="547">
        <v>0.76056879016526202</v>
      </c>
      <c r="AO42" s="547">
        <v>0.7980500553904577</v>
      </c>
      <c r="AP42" s="220"/>
    </row>
    <row r="43" spans="1:102" x14ac:dyDescent="0.35">
      <c r="B43" s="217"/>
      <c r="C43" s="300"/>
      <c r="D43" s="301"/>
      <c r="E43" s="297" t="s">
        <v>342</v>
      </c>
      <c r="F43" s="547">
        <v>6.5341321286596976E-2</v>
      </c>
      <c r="G43" s="547">
        <v>6.8263290754879441E-2</v>
      </c>
      <c r="H43" s="547">
        <v>7.0881694402255557E-2</v>
      </c>
      <c r="I43" s="547">
        <v>7.4210511297664927E-2</v>
      </c>
      <c r="J43" s="547">
        <v>7.7782430586895435E-2</v>
      </c>
      <c r="K43" s="547">
        <v>8.1735439362226853E-2</v>
      </c>
      <c r="L43" s="547">
        <v>8.6023040614946103E-2</v>
      </c>
      <c r="M43" s="547">
        <v>9.0575448467766911E-2</v>
      </c>
      <c r="N43" s="547">
        <v>9.5338203803386132E-2</v>
      </c>
      <c r="O43" s="547">
        <v>0.10027502281495268</v>
      </c>
      <c r="P43" s="547">
        <v>0.10538377354703587</v>
      </c>
      <c r="Q43" s="547">
        <v>0.11068633612998055</v>
      </c>
      <c r="R43" s="547">
        <v>0.11621614086257351</v>
      </c>
      <c r="S43" s="547">
        <v>0.12201221091713968</v>
      </c>
      <c r="T43" s="547">
        <v>0.12810734212501415</v>
      </c>
      <c r="U43" s="547">
        <v>0.13452228456476095</v>
      </c>
      <c r="V43" s="547">
        <v>0.14128010003407737</v>
      </c>
      <c r="W43" s="547">
        <v>0.14836724609566665</v>
      </c>
      <c r="X43" s="547">
        <v>0.15580525956539967</v>
      </c>
      <c r="Y43" s="547">
        <v>0.16360312083923689</v>
      </c>
      <c r="Z43" s="547">
        <v>0.17177411233362033</v>
      </c>
      <c r="AA43" s="547">
        <v>0.18033604192601005</v>
      </c>
      <c r="AB43" s="547">
        <v>0.18930945119147641</v>
      </c>
      <c r="AC43" s="547">
        <v>0.19871788773796306</v>
      </c>
      <c r="AD43" s="547">
        <v>0.20858513738896511</v>
      </c>
      <c r="AE43" s="547">
        <v>0.21893511887504069</v>
      </c>
      <c r="AF43" s="547">
        <v>0.2297917561243612</v>
      </c>
      <c r="AG43" s="547">
        <v>0.24117920977691049</v>
      </c>
      <c r="AH43" s="547">
        <v>0.25312239024218003</v>
      </c>
      <c r="AI43" s="547">
        <v>0.26564742047235612</v>
      </c>
      <c r="AJ43" s="547">
        <v>0.27878198546576272</v>
      </c>
      <c r="AK43" s="547">
        <v>0.29255552314271704</v>
      </c>
      <c r="AL43" s="547">
        <v>0.30699924121570293</v>
      </c>
      <c r="AM43" s="547">
        <v>0.32214605982752642</v>
      </c>
      <c r="AN43" s="547">
        <v>0.33803057340678311</v>
      </c>
      <c r="AO43" s="547">
        <v>0.35468891350687004</v>
      </c>
      <c r="AP43" s="220"/>
    </row>
    <row r="44" spans="1:102" x14ac:dyDescent="0.35">
      <c r="B44" s="217"/>
      <c r="C44" s="300"/>
      <c r="D44" s="301"/>
      <c r="E44" s="297" t="s">
        <v>58</v>
      </c>
      <c r="F44" s="546">
        <v>1.9684073037587337</v>
      </c>
      <c r="G44" s="546">
        <v>2.0564316339907434</v>
      </c>
      <c r="H44" s="546">
        <v>2.1281275993372439</v>
      </c>
      <c r="I44" s="546">
        <v>2.2297987001167909</v>
      </c>
      <c r="J44" s="546">
        <v>2.3245033470306491</v>
      </c>
      <c r="K44" s="546">
        <v>2.4452989639762959</v>
      </c>
      <c r="L44" s="546">
        <v>2.5763584338585681</v>
      </c>
      <c r="M44" s="546">
        <v>2.7134883508193264</v>
      </c>
      <c r="N44" s="546">
        <v>2.8569964033175266</v>
      </c>
      <c r="O44" s="546">
        <v>3.005799907799104</v>
      </c>
      <c r="P44" s="546">
        <v>3.1598389088687604</v>
      </c>
      <c r="Q44" s="546">
        <v>3.3197735389214462</v>
      </c>
      <c r="R44" s="546">
        <v>3.485734004682091</v>
      </c>
      <c r="S44" s="546">
        <v>3.6596903049346245</v>
      </c>
      <c r="T44" s="546">
        <v>3.8426268328757276</v>
      </c>
      <c r="U44" s="546">
        <v>4.0351667677724787</v>
      </c>
      <c r="V44" s="546">
        <v>4.2380027034050567</v>
      </c>
      <c r="W44" s="546">
        <v>4.4507292449233109</v>
      </c>
      <c r="X44" s="546">
        <v>4.6739932843147196</v>
      </c>
      <c r="Y44" s="546">
        <v>4.9080650907669083</v>
      </c>
      <c r="Z44" s="546">
        <v>5.1533440210563146</v>
      </c>
      <c r="AA44" s="546">
        <v>5.4103652428151792</v>
      </c>
      <c r="AB44" s="546">
        <v>5.6796294080686138</v>
      </c>
      <c r="AC44" s="546">
        <v>5.9619495127384736</v>
      </c>
      <c r="AD44" s="546">
        <v>6.2580394986245036</v>
      </c>
      <c r="AE44" s="546">
        <v>6.5686173183531578</v>
      </c>
      <c r="AF44" s="546">
        <v>6.894401103624463</v>
      </c>
      <c r="AG44" s="546">
        <v>7.2361161111542849</v>
      </c>
      <c r="AH44" s="546">
        <v>7.5945101163288093</v>
      </c>
      <c r="AI44" s="546">
        <v>7.9703672990082461</v>
      </c>
      <c r="AJ44" s="546">
        <v>8.3645187315578848</v>
      </c>
      <c r="AK44" s="546">
        <v>8.7778481079498967</v>
      </c>
      <c r="AL44" s="546">
        <v>9.2112922522139762</v>
      </c>
      <c r="AM44" s="546">
        <v>9.6658393995869201</v>
      </c>
      <c r="AN44" s="546">
        <v>10.14252805416815</v>
      </c>
      <c r="AO44" s="546">
        <v>10.642442875487742</v>
      </c>
      <c r="AP44" s="220"/>
    </row>
    <row r="45" spans="1:102" x14ac:dyDescent="0.35">
      <c r="A45" s="168"/>
      <c r="B45" s="256"/>
      <c r="C45" s="287"/>
      <c r="D45" s="244"/>
      <c r="E45" s="287"/>
      <c r="F45" s="737"/>
      <c r="G45" s="737"/>
      <c r="H45" s="737"/>
      <c r="I45" s="737"/>
      <c r="J45" s="737"/>
      <c r="K45" s="737"/>
      <c r="L45" s="737"/>
      <c r="M45" s="737"/>
      <c r="N45" s="737"/>
      <c r="O45" s="737"/>
      <c r="P45" s="737"/>
      <c r="Q45" s="737"/>
      <c r="R45" s="737"/>
      <c r="S45" s="737"/>
      <c r="T45" s="737"/>
      <c r="U45" s="737"/>
      <c r="V45" s="737"/>
      <c r="W45" s="737"/>
      <c r="X45" s="737"/>
      <c r="Y45" s="737"/>
      <c r="Z45" s="737"/>
      <c r="AA45" s="737"/>
      <c r="AB45" s="737"/>
      <c r="AC45" s="737"/>
      <c r="AD45" s="737"/>
      <c r="AE45" s="737"/>
      <c r="AF45" s="737"/>
      <c r="AG45" s="737"/>
      <c r="AH45" s="737"/>
      <c r="AI45" s="737"/>
      <c r="AJ45" s="737"/>
      <c r="AK45" s="737"/>
      <c r="AL45" s="737"/>
      <c r="AM45" s="737"/>
      <c r="AN45" s="737"/>
      <c r="AO45" s="737"/>
      <c r="AP45" s="246"/>
      <c r="AQ45" s="168"/>
      <c r="AR45" s="168"/>
      <c r="AS45" s="168"/>
      <c r="AT45" s="168"/>
      <c r="AU45" s="168"/>
      <c r="AV45" s="168"/>
      <c r="AW45" s="168"/>
      <c r="AX45" s="168"/>
      <c r="AY45" s="168"/>
      <c r="AZ45" s="168"/>
      <c r="BA45" s="168"/>
      <c r="BB45" s="168"/>
      <c r="BC45" s="168"/>
      <c r="BD45" s="168"/>
      <c r="BE45" s="168"/>
      <c r="BF45" s="168"/>
      <c r="BG45" s="168"/>
      <c r="BH45" s="168"/>
      <c r="BI45" s="168"/>
      <c r="BJ45" s="168"/>
      <c r="BK45" s="168"/>
      <c r="BL45" s="168"/>
      <c r="BM45" s="168"/>
      <c r="BN45" s="168"/>
      <c r="BO45" s="168"/>
      <c r="BP45" s="168"/>
      <c r="BQ45" s="168"/>
      <c r="BR45" s="168"/>
      <c r="BS45" s="168"/>
      <c r="BT45" s="168"/>
      <c r="BU45" s="168"/>
      <c r="BV45" s="168"/>
      <c r="BW45" s="168"/>
      <c r="BX45" s="168"/>
      <c r="BY45" s="168"/>
      <c r="BZ45" s="168"/>
      <c r="CA45" s="168"/>
      <c r="CB45" s="168"/>
      <c r="CC45" s="168"/>
      <c r="CD45" s="168"/>
      <c r="CE45" s="168"/>
      <c r="CF45" s="168"/>
      <c r="CG45" s="168"/>
      <c r="CH45" s="168"/>
      <c r="CI45" s="168"/>
      <c r="CJ45" s="168"/>
      <c r="CK45" s="168"/>
      <c r="CL45" s="168"/>
      <c r="CM45" s="168"/>
      <c r="CN45" s="168"/>
      <c r="CO45" s="168"/>
      <c r="CP45" s="168"/>
      <c r="CQ45" s="168"/>
      <c r="CR45" s="168"/>
      <c r="CS45" s="168"/>
      <c r="CT45" s="168"/>
      <c r="CU45" s="168"/>
      <c r="CV45" s="168"/>
      <c r="CW45" s="168"/>
      <c r="CX45" s="168"/>
    </row>
    <row r="46" spans="1:102" x14ac:dyDescent="0.35">
      <c r="B46" s="217"/>
      <c r="C46" s="297" t="s">
        <v>224</v>
      </c>
      <c r="D46" s="269" t="s">
        <v>180</v>
      </c>
      <c r="E46" s="298"/>
      <c r="F46" s="738">
        <v>2022</v>
      </c>
      <c r="G46" s="738">
        <v>2023</v>
      </c>
      <c r="H46" s="738">
        <v>2024</v>
      </c>
      <c r="I46" s="738">
        <v>2025</v>
      </c>
      <c r="J46" s="738">
        <v>2026</v>
      </c>
      <c r="K46" s="738">
        <v>2027</v>
      </c>
      <c r="L46" s="738">
        <v>2028</v>
      </c>
      <c r="M46" s="738">
        <v>2029</v>
      </c>
      <c r="N46" s="738">
        <v>2030</v>
      </c>
      <c r="O46" s="738">
        <v>2031</v>
      </c>
      <c r="P46" s="738">
        <v>2032</v>
      </c>
      <c r="Q46" s="738">
        <v>2033</v>
      </c>
      <c r="R46" s="738">
        <v>2034</v>
      </c>
      <c r="S46" s="738">
        <v>2035</v>
      </c>
      <c r="T46" s="738">
        <v>2036</v>
      </c>
      <c r="U46" s="738">
        <v>2037</v>
      </c>
      <c r="V46" s="738">
        <v>2038</v>
      </c>
      <c r="W46" s="738">
        <v>2039</v>
      </c>
      <c r="X46" s="738">
        <v>2040</v>
      </c>
      <c r="Y46" s="738">
        <v>2041</v>
      </c>
      <c r="Z46" s="738">
        <v>2042</v>
      </c>
      <c r="AA46" s="738">
        <v>2043</v>
      </c>
      <c r="AB46" s="738">
        <v>2044</v>
      </c>
      <c r="AC46" s="738">
        <v>2045</v>
      </c>
      <c r="AD46" s="738">
        <v>2046</v>
      </c>
      <c r="AE46" s="738">
        <v>2047</v>
      </c>
      <c r="AF46" s="738">
        <v>2048</v>
      </c>
      <c r="AG46" s="738">
        <v>2049</v>
      </c>
      <c r="AH46" s="738">
        <v>2050</v>
      </c>
      <c r="AI46" s="738">
        <v>2051</v>
      </c>
      <c r="AJ46" s="738">
        <v>2052</v>
      </c>
      <c r="AK46" s="738">
        <v>2053</v>
      </c>
      <c r="AL46" s="738">
        <v>2054</v>
      </c>
      <c r="AM46" s="738">
        <v>2055</v>
      </c>
      <c r="AN46" s="738">
        <v>2056</v>
      </c>
      <c r="AO46" s="738">
        <v>2057</v>
      </c>
      <c r="AP46" s="220"/>
    </row>
    <row r="47" spans="1:102" ht="30" x14ac:dyDescent="0.35">
      <c r="B47" s="217"/>
      <c r="C47" s="300"/>
      <c r="D47" s="247" t="str">
        <f>VLOOKUP(D46,PC_Table,2,FALSE)</f>
        <v>100 ≤ PM2.5 CADR &lt; 150</v>
      </c>
      <c r="E47" s="297" t="s">
        <v>81</v>
      </c>
      <c r="F47" s="547">
        <v>0.44289164334571512</v>
      </c>
      <c r="G47" s="547">
        <v>0.46269711764791721</v>
      </c>
      <c r="H47" s="547">
        <v>0</v>
      </c>
      <c r="I47" s="547">
        <v>0</v>
      </c>
      <c r="J47" s="547">
        <v>0</v>
      </c>
      <c r="K47" s="547">
        <v>0</v>
      </c>
      <c r="L47" s="547">
        <v>0</v>
      </c>
      <c r="M47" s="547">
        <v>0</v>
      </c>
      <c r="N47" s="547">
        <v>0</v>
      </c>
      <c r="O47" s="547">
        <v>0</v>
      </c>
      <c r="P47" s="547">
        <v>0</v>
      </c>
      <c r="Q47" s="547">
        <v>0</v>
      </c>
      <c r="R47" s="547">
        <v>0</v>
      </c>
      <c r="S47" s="547">
        <v>0</v>
      </c>
      <c r="T47" s="547">
        <v>0</v>
      </c>
      <c r="U47" s="547">
        <v>0</v>
      </c>
      <c r="V47" s="547">
        <v>0</v>
      </c>
      <c r="W47" s="547">
        <v>0</v>
      </c>
      <c r="X47" s="547">
        <v>0</v>
      </c>
      <c r="Y47" s="547">
        <v>0</v>
      </c>
      <c r="Z47" s="547">
        <v>0</v>
      </c>
      <c r="AA47" s="547">
        <v>0</v>
      </c>
      <c r="AB47" s="547">
        <v>0</v>
      </c>
      <c r="AC47" s="547">
        <v>0</v>
      </c>
      <c r="AD47" s="547">
        <v>0</v>
      </c>
      <c r="AE47" s="547">
        <v>0</v>
      </c>
      <c r="AF47" s="547">
        <v>0</v>
      </c>
      <c r="AG47" s="547">
        <v>0</v>
      </c>
      <c r="AH47" s="547">
        <v>0</v>
      </c>
      <c r="AI47" s="547">
        <v>0</v>
      </c>
      <c r="AJ47" s="547">
        <v>0</v>
      </c>
      <c r="AK47" s="547">
        <v>0</v>
      </c>
      <c r="AL47" s="547">
        <v>0</v>
      </c>
      <c r="AM47" s="547">
        <v>0</v>
      </c>
      <c r="AN47" s="547">
        <v>0</v>
      </c>
      <c r="AO47" s="547">
        <v>0</v>
      </c>
      <c r="AP47" s="220"/>
    </row>
    <row r="48" spans="1:102" x14ac:dyDescent="0.35">
      <c r="B48" s="217"/>
      <c r="C48" s="300"/>
      <c r="D48" s="301"/>
      <c r="E48" s="297" t="s">
        <v>86</v>
      </c>
      <c r="F48" s="547">
        <v>0.66433746501857249</v>
      </c>
      <c r="G48" s="547">
        <v>0.69404567647187565</v>
      </c>
      <c r="H48" s="547">
        <v>1.1957846509607246</v>
      </c>
      <c r="I48" s="547">
        <v>1.2532237680838625</v>
      </c>
      <c r="J48" s="547">
        <v>0</v>
      </c>
      <c r="K48" s="547">
        <v>0</v>
      </c>
      <c r="L48" s="547">
        <v>0</v>
      </c>
      <c r="M48" s="547">
        <v>0</v>
      </c>
      <c r="N48" s="547">
        <v>0</v>
      </c>
      <c r="O48" s="547">
        <v>0</v>
      </c>
      <c r="P48" s="547">
        <v>0</v>
      </c>
      <c r="Q48" s="547">
        <v>0</v>
      </c>
      <c r="R48" s="547">
        <v>0</v>
      </c>
      <c r="S48" s="547">
        <v>0</v>
      </c>
      <c r="T48" s="547">
        <v>0</v>
      </c>
      <c r="U48" s="547">
        <v>0</v>
      </c>
      <c r="V48" s="547">
        <v>0</v>
      </c>
      <c r="W48" s="547">
        <v>0</v>
      </c>
      <c r="X48" s="547">
        <v>0</v>
      </c>
      <c r="Y48" s="547">
        <v>0</v>
      </c>
      <c r="Z48" s="547">
        <v>0</v>
      </c>
      <c r="AA48" s="547">
        <v>0</v>
      </c>
      <c r="AB48" s="547">
        <v>0</v>
      </c>
      <c r="AC48" s="547">
        <v>0</v>
      </c>
      <c r="AD48" s="547">
        <v>0</v>
      </c>
      <c r="AE48" s="547">
        <v>0</v>
      </c>
      <c r="AF48" s="547">
        <v>0</v>
      </c>
      <c r="AG48" s="547">
        <v>0</v>
      </c>
      <c r="AH48" s="547">
        <v>0</v>
      </c>
      <c r="AI48" s="547">
        <v>0</v>
      </c>
      <c r="AJ48" s="547">
        <v>0</v>
      </c>
      <c r="AK48" s="547">
        <v>0</v>
      </c>
      <c r="AL48" s="547">
        <v>0</v>
      </c>
      <c r="AM48" s="547">
        <v>0</v>
      </c>
      <c r="AN48" s="547">
        <v>0</v>
      </c>
      <c r="AO48" s="547">
        <v>0</v>
      </c>
      <c r="AP48" s="220"/>
    </row>
    <row r="49" spans="1:102" x14ac:dyDescent="0.35">
      <c r="B49" s="217"/>
      <c r="C49" s="300"/>
      <c r="D49" s="301"/>
      <c r="E49" s="297" t="s">
        <v>344</v>
      </c>
      <c r="F49" s="547">
        <v>0.51102881924505583</v>
      </c>
      <c r="G49" s="547">
        <v>0.53388128959375059</v>
      </c>
      <c r="H49" s="547">
        <v>0.55435959792725598</v>
      </c>
      <c r="I49" s="547">
        <v>0.58039398679555965</v>
      </c>
      <c r="J49" s="547">
        <v>1.9133282051320832</v>
      </c>
      <c r="K49" s="547">
        <v>2.0124604691194077</v>
      </c>
      <c r="L49" s="547">
        <v>2.1199991638835178</v>
      </c>
      <c r="M49" s="547">
        <v>2.2327685678300218</v>
      </c>
      <c r="N49" s="547">
        <v>2.3507756111615823</v>
      </c>
      <c r="O49" s="547">
        <v>2.4731285927191751</v>
      </c>
      <c r="P49" s="547">
        <v>2.5997773628280418</v>
      </c>
      <c r="Q49" s="547">
        <v>2.7312641966144859</v>
      </c>
      <c r="R49" s="547">
        <v>2.8678188738689148</v>
      </c>
      <c r="S49" s="547">
        <v>3.0109527431070449</v>
      </c>
      <c r="T49" s="547">
        <v>3.1614757515463507</v>
      </c>
      <c r="U49" s="547">
        <v>3.3199006714724124</v>
      </c>
      <c r="V49" s="547">
        <v>3.4867973905668839</v>
      </c>
      <c r="W49" s="547">
        <v>3.6618324258666872</v>
      </c>
      <c r="X49" s="547">
        <v>3.8455380558023879</v>
      </c>
      <c r="Y49" s="547">
        <v>4.0381366921947892</v>
      </c>
      <c r="Z49" s="547">
        <v>4.2399569522245875</v>
      </c>
      <c r="AA49" s="547">
        <v>4.4514391926498469</v>
      </c>
      <c r="AB49" s="547">
        <v>4.6730139652515241</v>
      </c>
      <c r="AC49" s="547">
        <v>4.9053338347660347</v>
      </c>
      <c r="AD49" s="547">
        <v>5.1489864384880786</v>
      </c>
      <c r="AE49" s="547">
        <v>5.40456273008453</v>
      </c>
      <c r="AF49" s="547">
        <v>5.672653826735484</v>
      </c>
      <c r="AG49" s="547">
        <v>5.953856724051219</v>
      </c>
      <c r="AH49" s="547">
        <v>6.2487869621364425</v>
      </c>
      <c r="AI49" s="547">
        <v>6.5580900516019121</v>
      </c>
      <c r="AJ49" s="547">
        <v>6.8824501043748807</v>
      </c>
      <c r="AK49" s="547">
        <v>7.2225945491473906</v>
      </c>
      <c r="AL49" s="547">
        <v>7.5792945513193102</v>
      </c>
      <c r="AM49" s="547">
        <v>7.9533636002373758</v>
      </c>
      <c r="AN49" s="547">
        <v>8.3456565707243051</v>
      </c>
      <c r="AO49" s="547">
        <v>8.7570663397920523</v>
      </c>
      <c r="AP49" s="220"/>
    </row>
    <row r="50" spans="1:102" x14ac:dyDescent="0.35">
      <c r="B50" s="217"/>
      <c r="C50" s="300"/>
      <c r="D50" s="301"/>
      <c r="E50" s="297" t="s">
        <v>343</v>
      </c>
      <c r="F50" s="547">
        <v>0.19163580721689594</v>
      </c>
      <c r="G50" s="547">
        <v>0.20020548359765647</v>
      </c>
      <c r="H50" s="547">
        <v>0.20788484922272099</v>
      </c>
      <c r="I50" s="547">
        <v>0.21764774504833484</v>
      </c>
      <c r="J50" s="547">
        <v>0.22812362191808677</v>
      </c>
      <c r="K50" s="547">
        <v>0.23971717424730021</v>
      </c>
      <c r="L50" s="547">
        <v>0.25229203363046315</v>
      </c>
      <c r="M50" s="547">
        <v>0.26564352907741551</v>
      </c>
      <c r="N50" s="547">
        <v>0.2796119405718</v>
      </c>
      <c r="O50" s="547">
        <v>0.29409085342107738</v>
      </c>
      <c r="P50" s="547">
        <v>0.30907401493565012</v>
      </c>
      <c r="Q50" s="547">
        <v>0.32462559609275093</v>
      </c>
      <c r="R50" s="547">
        <v>0.34084364269505668</v>
      </c>
      <c r="S50" s="547">
        <v>0.35784260356272291</v>
      </c>
      <c r="T50" s="547">
        <v>0.37571866370528861</v>
      </c>
      <c r="U50" s="547">
        <v>0.39453267983604251</v>
      </c>
      <c r="V50" s="547">
        <v>0.41435228857650591</v>
      </c>
      <c r="W50" s="547">
        <v>0.43513777209037086</v>
      </c>
      <c r="X50" s="547">
        <v>0.45695229446757313</v>
      </c>
      <c r="Y50" s="547">
        <v>0.47982219379548419</v>
      </c>
      <c r="Z50" s="547">
        <v>0.50378642531018669</v>
      </c>
      <c r="AA50" s="547">
        <v>0.5288972167123861</v>
      </c>
      <c r="AB50" s="547">
        <v>0.55521481320745347</v>
      </c>
      <c r="AC50" s="547">
        <v>0.58280827622187159</v>
      </c>
      <c r="AD50" s="547">
        <v>0.61174736583082756</v>
      </c>
      <c r="AE50" s="547">
        <v>0.64210223190499849</v>
      </c>
      <c r="AF50" s="547">
        <v>0.67394303955884238</v>
      </c>
      <c r="AG50" s="547">
        <v>0.70734064814529285</v>
      </c>
      <c r="AH50" s="547">
        <v>0.74236811597319652</v>
      </c>
      <c r="AI50" s="547">
        <v>0.77910205754820672</v>
      </c>
      <c r="AJ50" s="547">
        <v>0.81762366861135127</v>
      </c>
      <c r="AK50" s="547">
        <v>0.85801928594786359</v>
      </c>
      <c r="AL50" s="547">
        <v>0.90038043686474412</v>
      </c>
      <c r="AM50" s="547">
        <v>0.94480367095750362</v>
      </c>
      <c r="AN50" s="547">
        <v>0.99139044823825295</v>
      </c>
      <c r="AO50" s="547">
        <v>1.0402467368641242</v>
      </c>
      <c r="AP50" s="220"/>
    </row>
    <row r="51" spans="1:102" x14ac:dyDescent="0.35">
      <c r="B51" s="217"/>
      <c r="C51" s="300"/>
      <c r="D51" s="301"/>
      <c r="E51" s="297" t="s">
        <v>342</v>
      </c>
      <c r="F51" s="547">
        <v>7.0976224895146645E-3</v>
      </c>
      <c r="G51" s="547">
        <v>7.4150179110243136E-3</v>
      </c>
      <c r="H51" s="547">
        <v>7.6994388601007765E-3</v>
      </c>
      <c r="I51" s="547">
        <v>8.0610275943827723E-3</v>
      </c>
      <c r="J51" s="547">
        <v>8.4490230340032151E-3</v>
      </c>
      <c r="K51" s="547">
        <v>8.8784138610111182E-3</v>
      </c>
      <c r="L51" s="547">
        <v>9.3441493937208575E-3</v>
      </c>
      <c r="M51" s="547">
        <v>9.8386492250894624E-3</v>
      </c>
      <c r="N51" s="547">
        <v>1.0355997798955553E-2</v>
      </c>
      <c r="O51" s="547">
        <v>1.0892253830410273E-2</v>
      </c>
      <c r="P51" s="547">
        <v>1.1447185738357412E-2</v>
      </c>
      <c r="Q51" s="547">
        <v>1.2023170225657442E-2</v>
      </c>
      <c r="R51" s="547">
        <v>1.2623838618335433E-2</v>
      </c>
      <c r="S51" s="547">
        <v>1.3253429761582331E-2</v>
      </c>
      <c r="T51" s="547">
        <v>1.391550606315884E-2</v>
      </c>
      <c r="U51" s="547">
        <v>1.4612321475408982E-2</v>
      </c>
      <c r="V51" s="547">
        <v>1.5346381058389109E-2</v>
      </c>
      <c r="W51" s="547">
        <v>1.6116213781124846E-2</v>
      </c>
      <c r="X51" s="547">
        <v>1.692415905435456E-2</v>
      </c>
      <c r="Y51" s="547">
        <v>1.7771192362795712E-2</v>
      </c>
      <c r="Z51" s="547">
        <v>1.8658756492969879E-2</v>
      </c>
      <c r="AA51" s="547">
        <v>1.9588785804162449E-2</v>
      </c>
      <c r="AB51" s="547">
        <v>2.0563511600276058E-2</v>
      </c>
      <c r="AC51" s="547">
        <v>2.1585491711921166E-2</v>
      </c>
      <c r="AD51" s="547">
        <v>2.2657309845586206E-2</v>
      </c>
      <c r="AE51" s="547">
        <v>2.378156414462957E-2</v>
      </c>
      <c r="AF51" s="547">
        <v>2.4960853316994165E-2</v>
      </c>
      <c r="AG51" s="547">
        <v>2.6197801783158996E-2</v>
      </c>
      <c r="AH51" s="547">
        <v>2.7495115406414687E-2</v>
      </c>
      <c r="AI51" s="547">
        <v>2.8855631761044692E-2</v>
      </c>
      <c r="AJ51" s="547">
        <v>3.0282358096716713E-2</v>
      </c>
      <c r="AK51" s="547">
        <v>3.1778492072143096E-2</v>
      </c>
      <c r="AL51" s="547">
        <v>3.3347423587583108E-2</v>
      </c>
      <c r="AM51" s="547">
        <v>3.4992728553981618E-2</v>
      </c>
      <c r="AN51" s="547">
        <v>3.6718164749564929E-2</v>
      </c>
      <c r="AO51" s="547">
        <v>3.8527656920893487E-2</v>
      </c>
      <c r="AP51" s="220"/>
    </row>
    <row r="52" spans="1:102" x14ac:dyDescent="0.35">
      <c r="B52" s="217"/>
      <c r="C52" s="300"/>
      <c r="D52" s="301"/>
      <c r="E52" s="297" t="s">
        <v>58</v>
      </c>
      <c r="F52" s="546">
        <v>1.8169913573157541</v>
      </c>
      <c r="G52" s="546">
        <v>1.8982445852222245</v>
      </c>
      <c r="H52" s="546">
        <v>1.9657285369708024</v>
      </c>
      <c r="I52" s="546">
        <v>2.0593265275221397</v>
      </c>
      <c r="J52" s="546">
        <v>2.1499008500841734</v>
      </c>
      <c r="K52" s="546">
        <v>2.261056057227719</v>
      </c>
      <c r="L52" s="546">
        <v>2.3816353469077018</v>
      </c>
      <c r="M52" s="546">
        <v>2.5082507461325267</v>
      </c>
      <c r="N52" s="546">
        <v>2.6407435495323379</v>
      </c>
      <c r="O52" s="546">
        <v>2.7781116999706628</v>
      </c>
      <c r="P52" s="546">
        <v>2.9202985635020493</v>
      </c>
      <c r="Q52" s="546">
        <v>3.0679129629328941</v>
      </c>
      <c r="R52" s="546">
        <v>3.2212863551823068</v>
      </c>
      <c r="S52" s="546">
        <v>3.3820487764313505</v>
      </c>
      <c r="T52" s="546">
        <v>3.5511099213147981</v>
      </c>
      <c r="U52" s="546">
        <v>3.7290456727838639</v>
      </c>
      <c r="V52" s="546">
        <v>3.9164960602017787</v>
      </c>
      <c r="W52" s="546">
        <v>4.1130864117381822</v>
      </c>
      <c r="X52" s="546">
        <v>4.3194145093243161</v>
      </c>
      <c r="Y52" s="546">
        <v>4.535730078353069</v>
      </c>
      <c r="Z52" s="546">
        <v>4.7624021340277443</v>
      </c>
      <c r="AA52" s="546">
        <v>4.9999251951663961</v>
      </c>
      <c r="AB52" s="546">
        <v>5.2487922900592539</v>
      </c>
      <c r="AC52" s="546">
        <v>5.5097276026998276</v>
      </c>
      <c r="AD52" s="546">
        <v>5.783391114164492</v>
      </c>
      <c r="AE52" s="546">
        <v>6.070446526134158</v>
      </c>
      <c r="AF52" s="546">
        <v>6.3715577196113209</v>
      </c>
      <c r="AG52" s="546">
        <v>6.6873951739796702</v>
      </c>
      <c r="AH52" s="546">
        <v>7.018650193516053</v>
      </c>
      <c r="AI52" s="546">
        <v>7.3660477409111635</v>
      </c>
      <c r="AJ52" s="546">
        <v>7.7303561310829485</v>
      </c>
      <c r="AK52" s="546">
        <v>8.112392327167397</v>
      </c>
      <c r="AL52" s="546">
        <v>8.5130224117716384</v>
      </c>
      <c r="AM52" s="546">
        <v>8.9331599997488613</v>
      </c>
      <c r="AN52" s="546">
        <v>9.3737651837121234</v>
      </c>
      <c r="AO52" s="546">
        <v>9.8358407335770703</v>
      </c>
      <c r="AP52" s="220"/>
    </row>
    <row r="53" spans="1:102" x14ac:dyDescent="0.35">
      <c r="A53" s="168"/>
      <c r="B53" s="256"/>
      <c r="C53" s="287"/>
      <c r="D53" s="244"/>
      <c r="E53" s="287"/>
      <c r="F53" s="737"/>
      <c r="G53" s="737"/>
      <c r="H53" s="737"/>
      <c r="I53" s="737"/>
      <c r="J53" s="737"/>
      <c r="K53" s="737"/>
      <c r="L53" s="737"/>
      <c r="M53" s="737"/>
      <c r="N53" s="737"/>
      <c r="O53" s="737"/>
      <c r="P53" s="737"/>
      <c r="Q53" s="737"/>
      <c r="R53" s="737"/>
      <c r="S53" s="737"/>
      <c r="T53" s="737"/>
      <c r="U53" s="737"/>
      <c r="V53" s="737"/>
      <c r="W53" s="737"/>
      <c r="X53" s="737"/>
      <c r="Y53" s="737"/>
      <c r="Z53" s="737"/>
      <c r="AA53" s="737"/>
      <c r="AB53" s="737"/>
      <c r="AC53" s="737"/>
      <c r="AD53" s="737"/>
      <c r="AE53" s="737"/>
      <c r="AF53" s="737"/>
      <c r="AG53" s="737"/>
      <c r="AH53" s="737"/>
      <c r="AI53" s="737"/>
      <c r="AJ53" s="737"/>
      <c r="AK53" s="737"/>
      <c r="AL53" s="737"/>
      <c r="AM53" s="737"/>
      <c r="AN53" s="737"/>
      <c r="AO53" s="737"/>
      <c r="AP53" s="246"/>
      <c r="AQ53" s="168"/>
      <c r="AR53" s="168"/>
      <c r="AS53" s="168"/>
      <c r="AT53" s="168"/>
      <c r="AU53" s="168"/>
      <c r="AV53" s="168"/>
      <c r="AW53" s="168"/>
      <c r="AX53" s="168"/>
      <c r="AY53" s="168"/>
      <c r="AZ53" s="168"/>
      <c r="BA53" s="168"/>
      <c r="BB53" s="168"/>
      <c r="BC53" s="168"/>
      <c r="BD53" s="168"/>
      <c r="BE53" s="168"/>
      <c r="BF53" s="168"/>
      <c r="BG53" s="168"/>
      <c r="BH53" s="168"/>
      <c r="BI53" s="168"/>
      <c r="BJ53" s="168"/>
      <c r="BK53" s="168"/>
      <c r="BL53" s="168"/>
      <c r="BM53" s="168"/>
      <c r="BN53" s="168"/>
      <c r="BO53" s="168"/>
      <c r="BP53" s="168"/>
      <c r="BQ53" s="168"/>
      <c r="BR53" s="168"/>
      <c r="BS53" s="168"/>
      <c r="BT53" s="168"/>
      <c r="BU53" s="168"/>
      <c r="BV53" s="168"/>
      <c r="BW53" s="168"/>
      <c r="BX53" s="168"/>
      <c r="BY53" s="168"/>
      <c r="BZ53" s="168"/>
      <c r="CA53" s="168"/>
      <c r="CB53" s="168"/>
      <c r="CC53" s="168"/>
      <c r="CD53" s="168"/>
      <c r="CE53" s="168"/>
      <c r="CF53" s="168"/>
      <c r="CG53" s="168"/>
      <c r="CH53" s="168"/>
      <c r="CI53" s="168"/>
      <c r="CJ53" s="168"/>
      <c r="CK53" s="168"/>
      <c r="CL53" s="168"/>
      <c r="CM53" s="168"/>
      <c r="CN53" s="168"/>
      <c r="CO53" s="168"/>
      <c r="CP53" s="168"/>
      <c r="CQ53" s="168"/>
      <c r="CR53" s="168"/>
      <c r="CS53" s="168"/>
      <c r="CT53" s="168"/>
      <c r="CU53" s="168"/>
      <c r="CV53" s="168"/>
      <c r="CW53" s="168"/>
      <c r="CX53" s="168"/>
    </row>
    <row r="54" spans="1:102" x14ac:dyDescent="0.35">
      <c r="B54" s="217"/>
      <c r="C54" s="297" t="s">
        <v>224</v>
      </c>
      <c r="D54" s="269" t="s">
        <v>181</v>
      </c>
      <c r="E54" s="298"/>
      <c r="F54" s="738">
        <v>2022</v>
      </c>
      <c r="G54" s="738">
        <v>2023</v>
      </c>
      <c r="H54" s="738">
        <v>2024</v>
      </c>
      <c r="I54" s="738">
        <v>2025</v>
      </c>
      <c r="J54" s="738">
        <v>2026</v>
      </c>
      <c r="K54" s="738">
        <v>2027</v>
      </c>
      <c r="L54" s="738">
        <v>2028</v>
      </c>
      <c r="M54" s="738">
        <v>2029</v>
      </c>
      <c r="N54" s="738">
        <v>2030</v>
      </c>
      <c r="O54" s="738">
        <v>2031</v>
      </c>
      <c r="P54" s="738">
        <v>2032</v>
      </c>
      <c r="Q54" s="738">
        <v>2033</v>
      </c>
      <c r="R54" s="738">
        <v>2034</v>
      </c>
      <c r="S54" s="738">
        <v>2035</v>
      </c>
      <c r="T54" s="738">
        <v>2036</v>
      </c>
      <c r="U54" s="738">
        <v>2037</v>
      </c>
      <c r="V54" s="738">
        <v>2038</v>
      </c>
      <c r="W54" s="738">
        <v>2039</v>
      </c>
      <c r="X54" s="738">
        <v>2040</v>
      </c>
      <c r="Y54" s="738">
        <v>2041</v>
      </c>
      <c r="Z54" s="738">
        <v>2042</v>
      </c>
      <c r="AA54" s="738">
        <v>2043</v>
      </c>
      <c r="AB54" s="738">
        <v>2044</v>
      </c>
      <c r="AC54" s="738">
        <v>2045</v>
      </c>
      <c r="AD54" s="738">
        <v>2046</v>
      </c>
      <c r="AE54" s="738">
        <v>2047</v>
      </c>
      <c r="AF54" s="738">
        <v>2048</v>
      </c>
      <c r="AG54" s="738">
        <v>2049</v>
      </c>
      <c r="AH54" s="738">
        <v>2050</v>
      </c>
      <c r="AI54" s="738">
        <v>2051</v>
      </c>
      <c r="AJ54" s="738">
        <v>2052</v>
      </c>
      <c r="AK54" s="738">
        <v>2053</v>
      </c>
      <c r="AL54" s="738">
        <v>2054</v>
      </c>
      <c r="AM54" s="738">
        <v>2055</v>
      </c>
      <c r="AN54" s="738">
        <v>2056</v>
      </c>
      <c r="AO54" s="738">
        <v>2057</v>
      </c>
      <c r="AP54" s="220"/>
    </row>
    <row r="55" spans="1:102" x14ac:dyDescent="0.35">
      <c r="B55" s="217"/>
      <c r="C55" s="300"/>
      <c r="D55" s="247" t="str">
        <f>VLOOKUP(D54,PC_Table,2,FALSE)</f>
        <v>PM2.5 CADR ≥ 150</v>
      </c>
      <c r="E55" s="297" t="s">
        <v>81</v>
      </c>
      <c r="F55" s="547">
        <v>0.83976420808819696</v>
      </c>
      <c r="G55" s="547">
        <v>0.87731724999605076</v>
      </c>
      <c r="H55" s="547">
        <v>0</v>
      </c>
      <c r="I55" s="547">
        <v>0</v>
      </c>
      <c r="J55" s="547">
        <v>0</v>
      </c>
      <c r="K55" s="547">
        <v>0</v>
      </c>
      <c r="L55" s="547">
        <v>0</v>
      </c>
      <c r="M55" s="547">
        <v>0</v>
      </c>
      <c r="N55" s="547">
        <v>0</v>
      </c>
      <c r="O55" s="547">
        <v>0</v>
      </c>
      <c r="P55" s="547">
        <v>0</v>
      </c>
      <c r="Q55" s="547">
        <v>0</v>
      </c>
      <c r="R55" s="547">
        <v>0</v>
      </c>
      <c r="S55" s="547">
        <v>0</v>
      </c>
      <c r="T55" s="547">
        <v>0</v>
      </c>
      <c r="U55" s="547">
        <v>0</v>
      </c>
      <c r="V55" s="547">
        <v>0</v>
      </c>
      <c r="W55" s="547">
        <v>0</v>
      </c>
      <c r="X55" s="547">
        <v>0</v>
      </c>
      <c r="Y55" s="547">
        <v>0</v>
      </c>
      <c r="Z55" s="547">
        <v>0</v>
      </c>
      <c r="AA55" s="547">
        <v>0</v>
      </c>
      <c r="AB55" s="547">
        <v>0</v>
      </c>
      <c r="AC55" s="547">
        <v>0</v>
      </c>
      <c r="AD55" s="547">
        <v>0</v>
      </c>
      <c r="AE55" s="547">
        <v>0</v>
      </c>
      <c r="AF55" s="547">
        <v>0</v>
      </c>
      <c r="AG55" s="547">
        <v>0</v>
      </c>
      <c r="AH55" s="547">
        <v>0</v>
      </c>
      <c r="AI55" s="547">
        <v>0</v>
      </c>
      <c r="AJ55" s="547">
        <v>0</v>
      </c>
      <c r="AK55" s="547">
        <v>0</v>
      </c>
      <c r="AL55" s="547">
        <v>0</v>
      </c>
      <c r="AM55" s="547">
        <v>0</v>
      </c>
      <c r="AN55" s="547">
        <v>0</v>
      </c>
      <c r="AO55" s="547">
        <v>0</v>
      </c>
      <c r="AP55" s="220"/>
    </row>
    <row r="56" spans="1:102" x14ac:dyDescent="0.35">
      <c r="B56" s="217"/>
      <c r="C56" s="300"/>
      <c r="D56" s="301"/>
      <c r="E56" s="297" t="s">
        <v>86</v>
      </c>
      <c r="F56" s="547">
        <v>1.2596463121322954</v>
      </c>
      <c r="G56" s="547">
        <v>1.3159758749940762</v>
      </c>
      <c r="H56" s="547">
        <v>2.271785904083329</v>
      </c>
      <c r="I56" s="547">
        <v>2.3798195338886621</v>
      </c>
      <c r="J56" s="547">
        <v>0</v>
      </c>
      <c r="K56" s="547">
        <v>0</v>
      </c>
      <c r="L56" s="547">
        <v>0</v>
      </c>
      <c r="M56" s="547">
        <v>0</v>
      </c>
      <c r="N56" s="547">
        <v>0</v>
      </c>
      <c r="O56" s="547">
        <v>0</v>
      </c>
      <c r="P56" s="547">
        <v>0</v>
      </c>
      <c r="Q56" s="547">
        <v>0</v>
      </c>
      <c r="R56" s="547">
        <v>0</v>
      </c>
      <c r="S56" s="547">
        <v>0</v>
      </c>
      <c r="T56" s="547">
        <v>0</v>
      </c>
      <c r="U56" s="547">
        <v>0</v>
      </c>
      <c r="V56" s="547">
        <v>0</v>
      </c>
      <c r="W56" s="547">
        <v>0</v>
      </c>
      <c r="X56" s="547">
        <v>0</v>
      </c>
      <c r="Y56" s="547">
        <v>0</v>
      </c>
      <c r="Z56" s="547">
        <v>0</v>
      </c>
      <c r="AA56" s="547">
        <v>0</v>
      </c>
      <c r="AB56" s="547">
        <v>0</v>
      </c>
      <c r="AC56" s="547">
        <v>0</v>
      </c>
      <c r="AD56" s="547">
        <v>0</v>
      </c>
      <c r="AE56" s="547">
        <v>0</v>
      </c>
      <c r="AF56" s="547">
        <v>0</v>
      </c>
      <c r="AG56" s="547">
        <v>0</v>
      </c>
      <c r="AH56" s="547">
        <v>0</v>
      </c>
      <c r="AI56" s="547">
        <v>0</v>
      </c>
      <c r="AJ56" s="547">
        <v>0</v>
      </c>
      <c r="AK56" s="547">
        <v>0</v>
      </c>
      <c r="AL56" s="547">
        <v>0</v>
      </c>
      <c r="AM56" s="547">
        <v>0</v>
      </c>
      <c r="AN56" s="547">
        <v>0</v>
      </c>
      <c r="AO56" s="547">
        <v>0</v>
      </c>
      <c r="AP56" s="220"/>
    </row>
    <row r="57" spans="1:102" x14ac:dyDescent="0.35">
      <c r="B57" s="217"/>
      <c r="C57" s="300"/>
      <c r="D57" s="301"/>
      <c r="E57" s="297" t="s">
        <v>344</v>
      </c>
      <c r="F57" s="547">
        <v>1.4275991537499348</v>
      </c>
      <c r="G57" s="547">
        <v>1.4914393249932862</v>
      </c>
      <c r="H57" s="547">
        <v>1.5486470881294851</v>
      </c>
      <c r="I57" s="547">
        <v>1.6213761987336452</v>
      </c>
      <c r="J57" s="547">
        <v>4.1879322073185552</v>
      </c>
      <c r="K57" s="547">
        <v>4.4022959814812506</v>
      </c>
      <c r="L57" s="547">
        <v>4.6348217333085167</v>
      </c>
      <c r="M57" s="547">
        <v>4.8805586517176991</v>
      </c>
      <c r="N57" s="547">
        <v>5.1376729861477415</v>
      </c>
      <c r="O57" s="547">
        <v>5.4042119656311058</v>
      </c>
      <c r="P57" s="547">
        <v>5.6800628083769258</v>
      </c>
      <c r="Q57" s="547">
        <v>5.9664070094721788</v>
      </c>
      <c r="R57" s="547">
        <v>6.2645560938397784</v>
      </c>
      <c r="S57" s="547">
        <v>6.577064265172984</v>
      </c>
      <c r="T57" s="547">
        <v>6.9056998344995275</v>
      </c>
      <c r="U57" s="547">
        <v>7.2515818468603124</v>
      </c>
      <c r="V57" s="547">
        <v>7.6159540094035814</v>
      </c>
      <c r="W57" s="547">
        <v>7.9980868323646224</v>
      </c>
      <c r="X57" s="547">
        <v>8.3991418394194177</v>
      </c>
      <c r="Y57" s="547">
        <v>8.8196036985092725</v>
      </c>
      <c r="Z57" s="547">
        <v>9.2601890093942583</v>
      </c>
      <c r="AA57" s="547">
        <v>9.7218583624354125</v>
      </c>
      <c r="AB57" s="547">
        <v>10.205655075480763</v>
      </c>
      <c r="AC57" s="547">
        <v>10.71290794882704</v>
      </c>
      <c r="AD57" s="547">
        <v>11.244899562954018</v>
      </c>
      <c r="AE57" s="547">
        <v>11.802919684123474</v>
      </c>
      <c r="AF57" s="547">
        <v>12.38825837933539</v>
      </c>
      <c r="AG57" s="547">
        <v>13.002218497295564</v>
      </c>
      <c r="AH57" s="547">
        <v>13.646143328171391</v>
      </c>
      <c r="AI57" s="547">
        <v>14.321441553211955</v>
      </c>
      <c r="AJ57" s="547">
        <v>15.029606088478111</v>
      </c>
      <c r="AK57" s="547">
        <v>15.772224377139985</v>
      </c>
      <c r="AL57" s="547">
        <v>16.550979300994097</v>
      </c>
      <c r="AM57" s="547">
        <v>17.367646089951791</v>
      </c>
      <c r="AN57" s="547">
        <v>18.224090267484502</v>
      </c>
      <c r="AO57" s="547">
        <v>19.122260257727127</v>
      </c>
      <c r="AP57" s="220"/>
    </row>
    <row r="58" spans="1:102" x14ac:dyDescent="0.35">
      <c r="B58" s="217"/>
      <c r="C58" s="300"/>
      <c r="D58" s="301"/>
      <c r="E58" s="297" t="s">
        <v>343</v>
      </c>
      <c r="F58" s="547">
        <v>0.11627504419682727</v>
      </c>
      <c r="G58" s="547">
        <v>0.12147469615329934</v>
      </c>
      <c r="H58" s="547">
        <v>0.12613415197434721</v>
      </c>
      <c r="I58" s="547">
        <v>0.13205778994210687</v>
      </c>
      <c r="J58" s="547">
        <v>0.13841402922599122</v>
      </c>
      <c r="K58" s="547">
        <v>0.14544841820086474</v>
      </c>
      <c r="L58" s="547">
        <v>0.15307821532375465</v>
      </c>
      <c r="M58" s="547">
        <v>0.16117923645197757</v>
      </c>
      <c r="N58" s="547">
        <v>0.16965457145046642</v>
      </c>
      <c r="O58" s="547">
        <v>0.1784396531944345</v>
      </c>
      <c r="P58" s="547">
        <v>0.18753068786387572</v>
      </c>
      <c r="Q58" s="547">
        <v>0.19696661120530962</v>
      </c>
      <c r="R58" s="547">
        <v>0.20680691251880573</v>
      </c>
      <c r="S58" s="547">
        <v>0.21712103363684362</v>
      </c>
      <c r="T58" s="547">
        <v>0.22796733482307996</v>
      </c>
      <c r="U58" s="547">
        <v>0.23938274089407202</v>
      </c>
      <c r="V58" s="547">
        <v>0.25140829037634038</v>
      </c>
      <c r="W58" s="547">
        <v>0.26401988446893943</v>
      </c>
      <c r="X58" s="547">
        <v>0.27725584798942626</v>
      </c>
      <c r="Y58" s="547">
        <v>0.29113216157481026</v>
      </c>
      <c r="Z58" s="547">
        <v>0.30567246131827785</v>
      </c>
      <c r="AA58" s="547">
        <v>0.32090843638218347</v>
      </c>
      <c r="AB58" s="547">
        <v>0.33687664055059746</v>
      </c>
      <c r="AC58" s="547">
        <v>0.35361897685058569</v>
      </c>
      <c r="AD58" s="547">
        <v>0.37117777221438153</v>
      </c>
      <c r="AE58" s="547">
        <v>0.3895955900826687</v>
      </c>
      <c r="AF58" s="547">
        <v>0.40891500314529688</v>
      </c>
      <c r="AG58" s="547">
        <v>0.42917900532137598</v>
      </c>
      <c r="AH58" s="547">
        <v>0.45043192474672522</v>
      </c>
      <c r="AI58" s="547">
        <v>0.47272024727991302</v>
      </c>
      <c r="AJ58" s="547">
        <v>0.49609323844450592</v>
      </c>
      <c r="AK58" s="547">
        <v>0.5206032830931292</v>
      </c>
      <c r="AL58" s="547">
        <v>0.54630591542798279</v>
      </c>
      <c r="AM58" s="547">
        <v>0.57325971692529598</v>
      </c>
      <c r="AN58" s="547">
        <v>0.60152624845703628</v>
      </c>
      <c r="AO58" s="547">
        <v>0.63116980621258956</v>
      </c>
      <c r="AP58" s="220"/>
    </row>
    <row r="59" spans="1:102" x14ac:dyDescent="0.35">
      <c r="B59" s="217"/>
      <c r="C59" s="300"/>
      <c r="D59" s="301"/>
      <c r="E59" s="297" t="s">
        <v>342</v>
      </c>
      <c r="F59" s="547">
        <v>0.14211394290723334</v>
      </c>
      <c r="G59" s="547">
        <v>0.14846907307625476</v>
      </c>
      <c r="H59" s="547">
        <v>0.15416396352420217</v>
      </c>
      <c r="I59" s="547">
        <v>0.16140396548479727</v>
      </c>
      <c r="J59" s="547">
        <v>0.16917270238732263</v>
      </c>
      <c r="K59" s="547">
        <v>0.17777028891216803</v>
      </c>
      <c r="L59" s="547">
        <v>0.18709559650681129</v>
      </c>
      <c r="M59" s="547">
        <v>0.19699684455241703</v>
      </c>
      <c r="N59" s="547">
        <v>0.20735558732834788</v>
      </c>
      <c r="O59" s="547">
        <v>0.21809290945986445</v>
      </c>
      <c r="P59" s="547">
        <v>0.22920417405584809</v>
      </c>
      <c r="Q59" s="547">
        <v>0.24073696925093402</v>
      </c>
      <c r="R59" s="547">
        <v>0.2527640041896515</v>
      </c>
      <c r="S59" s="547">
        <v>0.26537015222280891</v>
      </c>
      <c r="T59" s="547">
        <v>0.27862674256154218</v>
      </c>
      <c r="U59" s="547">
        <v>0.29257890553719917</v>
      </c>
      <c r="V59" s="547">
        <v>0.30727679934886049</v>
      </c>
      <c r="W59" s="547">
        <v>0.32269096990648161</v>
      </c>
      <c r="X59" s="547">
        <v>0.33886825865374326</v>
      </c>
      <c r="Y59" s="547">
        <v>0.35582819748032368</v>
      </c>
      <c r="Z59" s="547">
        <v>0.37359967494456187</v>
      </c>
      <c r="AA59" s="547">
        <v>0.39222142224489093</v>
      </c>
      <c r="AB59" s="547">
        <v>0.41173811622850809</v>
      </c>
      <c r="AC59" s="547">
        <v>0.43220097170627148</v>
      </c>
      <c r="AD59" s="547">
        <v>0.45366172159535523</v>
      </c>
      <c r="AE59" s="547">
        <v>0.47617238787881738</v>
      </c>
      <c r="AF59" s="547">
        <v>0.49978500384425179</v>
      </c>
      <c r="AG59" s="547">
        <v>0.52455211761501519</v>
      </c>
      <c r="AH59" s="547">
        <v>0.55052790802377549</v>
      </c>
      <c r="AI59" s="547">
        <v>0.57776919111989378</v>
      </c>
      <c r="AJ59" s="547">
        <v>0.60633618032106285</v>
      </c>
      <c r="AK59" s="547">
        <v>0.63629290155826923</v>
      </c>
      <c r="AL59" s="547">
        <v>0.66770722996753462</v>
      </c>
      <c r="AM59" s="547">
        <v>0.70065076513091751</v>
      </c>
      <c r="AN59" s="547">
        <v>0.73519874811415564</v>
      </c>
      <c r="AO59" s="547">
        <v>0.77142976314872069</v>
      </c>
      <c r="AP59" s="220"/>
    </row>
    <row r="60" spans="1:102" x14ac:dyDescent="0.35">
      <c r="B60" s="217"/>
      <c r="C60" s="300"/>
      <c r="D60" s="301"/>
      <c r="E60" s="297" t="s">
        <v>58</v>
      </c>
      <c r="F60" s="546">
        <v>3.7853986610744879</v>
      </c>
      <c r="G60" s="546">
        <v>3.9546762192129674</v>
      </c>
      <c r="H60" s="546">
        <v>4.100731107711364</v>
      </c>
      <c r="I60" s="546">
        <v>4.2946574880492108</v>
      </c>
      <c r="J60" s="546">
        <v>4.4955189389318697</v>
      </c>
      <c r="K60" s="546">
        <v>4.7255146885942834</v>
      </c>
      <c r="L60" s="546">
        <v>4.9749955451390822</v>
      </c>
      <c r="M60" s="546">
        <v>5.2387347327220937</v>
      </c>
      <c r="N60" s="546">
        <v>5.514683144926555</v>
      </c>
      <c r="O60" s="546">
        <v>5.8007445282854047</v>
      </c>
      <c r="P60" s="546">
        <v>6.0967976702966498</v>
      </c>
      <c r="Q60" s="546">
        <v>6.4041105899284219</v>
      </c>
      <c r="R60" s="546">
        <v>6.7241270105482354</v>
      </c>
      <c r="S60" s="546">
        <v>7.0595554510326366</v>
      </c>
      <c r="T60" s="546">
        <v>7.4122939118841495</v>
      </c>
      <c r="U60" s="546">
        <v>7.7835434932915835</v>
      </c>
      <c r="V60" s="546">
        <v>8.1746390991287825</v>
      </c>
      <c r="W60" s="546">
        <v>8.5847976867400444</v>
      </c>
      <c r="X60" s="546">
        <v>9.0152659460625877</v>
      </c>
      <c r="Y60" s="546">
        <v>9.4665640575644066</v>
      </c>
      <c r="Z60" s="546">
        <v>9.9394611456570967</v>
      </c>
      <c r="AA60" s="546">
        <v>10.434988221062486</v>
      </c>
      <c r="AB60" s="546">
        <v>10.954269832259868</v>
      </c>
      <c r="AC60" s="546">
        <v>11.498727897383896</v>
      </c>
      <c r="AD60" s="546">
        <v>12.069739056763753</v>
      </c>
      <c r="AE60" s="546">
        <v>12.66868766208496</v>
      </c>
      <c r="AF60" s="546">
        <v>13.29695838632494</v>
      </c>
      <c r="AG60" s="546">
        <v>13.955949620231955</v>
      </c>
      <c r="AH60" s="546">
        <v>14.647103160941892</v>
      </c>
      <c r="AI60" s="546">
        <v>15.371930991611761</v>
      </c>
      <c r="AJ60" s="546">
        <v>16.132035507243678</v>
      </c>
      <c r="AK60" s="546">
        <v>16.929120561791386</v>
      </c>
      <c r="AL60" s="546">
        <v>17.764992446389613</v>
      </c>
      <c r="AM60" s="546">
        <v>18.641556572008003</v>
      </c>
      <c r="AN60" s="546">
        <v>19.560815264055694</v>
      </c>
      <c r="AO60" s="546">
        <v>20.524859827088438</v>
      </c>
      <c r="AP60" s="220"/>
    </row>
    <row r="61" spans="1:102" x14ac:dyDescent="0.35">
      <c r="A61" s="168"/>
      <c r="B61" s="256"/>
      <c r="C61" s="287"/>
      <c r="D61" s="244"/>
      <c r="E61" s="287"/>
      <c r="F61" s="287"/>
      <c r="G61" s="287"/>
      <c r="H61" s="287"/>
      <c r="I61" s="287"/>
      <c r="J61" s="287"/>
      <c r="K61" s="287"/>
      <c r="L61" s="287"/>
      <c r="M61" s="287"/>
      <c r="N61" s="287"/>
      <c r="O61" s="287"/>
      <c r="P61" s="287"/>
      <c r="Q61" s="287"/>
      <c r="R61" s="287"/>
      <c r="S61" s="287"/>
      <c r="T61" s="287"/>
      <c r="U61" s="287"/>
      <c r="V61" s="287"/>
      <c r="W61" s="287"/>
      <c r="X61" s="287"/>
      <c r="Y61" s="287"/>
      <c r="Z61" s="287"/>
      <c r="AA61" s="287"/>
      <c r="AB61" s="287"/>
      <c r="AC61" s="287"/>
      <c r="AD61" s="287"/>
      <c r="AE61" s="287"/>
      <c r="AF61" s="287"/>
      <c r="AG61" s="287"/>
      <c r="AH61" s="287"/>
      <c r="AI61" s="287"/>
      <c r="AJ61" s="287"/>
      <c r="AK61" s="287"/>
      <c r="AL61" s="287"/>
      <c r="AM61" s="287"/>
      <c r="AN61" s="287"/>
      <c r="AO61" s="287"/>
      <c r="AP61" s="246"/>
      <c r="AQ61" s="168"/>
      <c r="AR61" s="168"/>
      <c r="AS61" s="168"/>
      <c r="AT61" s="168"/>
      <c r="AU61" s="168"/>
      <c r="AV61" s="168"/>
      <c r="AW61" s="168"/>
      <c r="AX61" s="168"/>
      <c r="AY61" s="168"/>
      <c r="AZ61" s="168"/>
      <c r="BA61" s="168"/>
      <c r="BB61" s="168"/>
      <c r="BC61" s="168"/>
      <c r="BD61" s="168"/>
      <c r="BE61" s="168"/>
      <c r="BF61" s="168"/>
      <c r="BG61" s="168"/>
      <c r="BH61" s="168"/>
      <c r="BI61" s="168"/>
      <c r="BJ61" s="168"/>
      <c r="BK61" s="168"/>
      <c r="BL61" s="168"/>
      <c r="BM61" s="168"/>
      <c r="BN61" s="168"/>
      <c r="BO61" s="168"/>
      <c r="BP61" s="168"/>
      <c r="BQ61" s="168"/>
      <c r="BR61" s="168"/>
      <c r="BS61" s="168"/>
      <c r="BT61" s="168"/>
      <c r="BU61" s="168"/>
      <c r="BV61" s="168"/>
      <c r="BW61" s="168"/>
      <c r="BX61" s="168"/>
      <c r="BY61" s="168"/>
      <c r="BZ61" s="168"/>
      <c r="CA61" s="168"/>
      <c r="CB61" s="168"/>
      <c r="CC61" s="168"/>
      <c r="CD61" s="168"/>
      <c r="CE61" s="168"/>
      <c r="CF61" s="168"/>
      <c r="CG61" s="168"/>
      <c r="CH61" s="168"/>
      <c r="CI61" s="168"/>
      <c r="CJ61" s="168"/>
      <c r="CK61" s="168"/>
      <c r="CL61" s="168"/>
      <c r="CM61" s="168"/>
      <c r="CN61" s="168"/>
      <c r="CO61" s="168"/>
      <c r="CP61" s="168"/>
      <c r="CQ61" s="168"/>
      <c r="CR61" s="168"/>
      <c r="CS61" s="168"/>
      <c r="CT61" s="168"/>
      <c r="CU61" s="168"/>
      <c r="CV61" s="168"/>
      <c r="CW61" s="168"/>
      <c r="CX61" s="168"/>
    </row>
    <row r="62" spans="1:102" ht="16" thickBot="1" x14ac:dyDescent="0.4">
      <c r="A62" s="168"/>
      <c r="B62" s="263"/>
      <c r="C62" s="292"/>
      <c r="D62" s="250"/>
      <c r="E62" s="250"/>
      <c r="F62" s="250"/>
      <c r="G62" s="250"/>
      <c r="H62" s="250"/>
      <c r="I62" s="250"/>
      <c r="J62" s="250"/>
      <c r="K62" s="250"/>
      <c r="L62" s="250"/>
      <c r="M62" s="250"/>
      <c r="N62" s="250"/>
      <c r="O62" s="250"/>
      <c r="P62" s="250"/>
      <c r="Q62" s="250"/>
      <c r="R62" s="250"/>
      <c r="S62" s="250"/>
      <c r="T62" s="250"/>
      <c r="U62" s="250"/>
      <c r="V62" s="250"/>
      <c r="W62" s="250"/>
      <c r="X62" s="250"/>
      <c r="Y62" s="250"/>
      <c r="Z62" s="250"/>
      <c r="AA62" s="250"/>
      <c r="AB62" s="250"/>
      <c r="AC62" s="250"/>
      <c r="AD62" s="250"/>
      <c r="AE62" s="250"/>
      <c r="AF62" s="250"/>
      <c r="AG62" s="250"/>
      <c r="AH62" s="250"/>
      <c r="AI62" s="250"/>
      <c r="AJ62" s="250"/>
      <c r="AK62" s="250"/>
      <c r="AL62" s="250"/>
      <c r="AM62" s="250"/>
      <c r="AN62" s="250"/>
      <c r="AO62" s="250"/>
      <c r="AP62" s="264"/>
      <c r="AQ62" s="168"/>
      <c r="AR62" s="168"/>
      <c r="AS62" s="168"/>
      <c r="AT62" s="168"/>
      <c r="AU62" s="168"/>
      <c r="AV62" s="168"/>
      <c r="AW62" s="168"/>
      <c r="AX62" s="168"/>
      <c r="AY62" s="168"/>
      <c r="AZ62" s="168"/>
      <c r="BA62" s="168"/>
      <c r="BB62" s="168"/>
      <c r="BC62" s="168"/>
      <c r="BD62" s="168"/>
      <c r="BE62" s="168"/>
      <c r="BF62" s="168"/>
      <c r="BG62" s="168"/>
      <c r="BH62" s="168"/>
      <c r="BI62" s="168"/>
      <c r="BJ62" s="168"/>
      <c r="BK62" s="168"/>
      <c r="BL62" s="168"/>
      <c r="BM62" s="168"/>
      <c r="BN62" s="168"/>
      <c r="BO62" s="168"/>
      <c r="BP62" s="168"/>
      <c r="BQ62" s="168"/>
      <c r="BR62" s="168"/>
      <c r="BS62" s="168"/>
      <c r="BT62" s="168"/>
      <c r="BU62" s="168"/>
      <c r="BV62" s="168"/>
      <c r="BW62" s="168"/>
      <c r="BX62" s="168"/>
      <c r="BY62" s="168"/>
      <c r="BZ62" s="168"/>
      <c r="CA62" s="168"/>
      <c r="CB62" s="168"/>
      <c r="CC62" s="168"/>
      <c r="CD62" s="168"/>
      <c r="CE62" s="168"/>
      <c r="CF62" s="168"/>
      <c r="CG62" s="168"/>
      <c r="CH62" s="168"/>
      <c r="CI62" s="168"/>
      <c r="CJ62" s="168"/>
      <c r="CK62" s="168"/>
      <c r="CL62" s="168"/>
      <c r="CM62" s="168"/>
      <c r="CN62" s="168"/>
      <c r="CO62" s="168"/>
      <c r="CP62" s="168"/>
      <c r="CQ62" s="168"/>
      <c r="CR62" s="168"/>
      <c r="CS62" s="168"/>
      <c r="CT62" s="168"/>
      <c r="CU62" s="168"/>
      <c r="CV62" s="168"/>
      <c r="CW62" s="168"/>
      <c r="CX62" s="168"/>
    </row>
    <row r="63" spans="1:102" x14ac:dyDescent="0.35"/>
    <row r="64" spans="1:102"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row r="103" x14ac:dyDescent="0.35"/>
    <row r="104" x14ac:dyDescent="0.35"/>
    <row r="105" x14ac:dyDescent="0.35"/>
    <row r="106" x14ac:dyDescent="0.35"/>
    <row r="107" x14ac:dyDescent="0.35"/>
    <row r="108" x14ac:dyDescent="0.35"/>
    <row r="109" x14ac:dyDescent="0.35"/>
    <row r="110" x14ac:dyDescent="0.35"/>
    <row r="111" x14ac:dyDescent="0.35"/>
    <row r="112" x14ac:dyDescent="0.35"/>
    <row r="113" x14ac:dyDescent="0.35"/>
    <row r="114" x14ac:dyDescent="0.35"/>
    <row r="115" x14ac:dyDescent="0.35"/>
    <row r="116" x14ac:dyDescent="0.35"/>
    <row r="117" x14ac:dyDescent="0.35"/>
    <row r="118" x14ac:dyDescent="0.35"/>
    <row r="119" x14ac:dyDescent="0.35"/>
    <row r="120" x14ac:dyDescent="0.35"/>
    <row r="121" x14ac:dyDescent="0.35"/>
    <row r="122" x14ac:dyDescent="0.35"/>
    <row r="123" x14ac:dyDescent="0.35"/>
    <row r="124" x14ac:dyDescent="0.35"/>
    <row r="125" x14ac:dyDescent="0.35"/>
    <row r="126" x14ac:dyDescent="0.35"/>
    <row r="127" x14ac:dyDescent="0.35"/>
    <row r="128" x14ac:dyDescent="0.35"/>
    <row r="129" x14ac:dyDescent="0.35"/>
    <row r="130" x14ac:dyDescent="0.35"/>
    <row r="131" x14ac:dyDescent="0.35"/>
    <row r="132" x14ac:dyDescent="0.35"/>
    <row r="133" x14ac:dyDescent="0.35"/>
    <row r="134" x14ac:dyDescent="0.35"/>
    <row r="135" x14ac:dyDescent="0.35"/>
    <row r="136" x14ac:dyDescent="0.35"/>
    <row r="137" x14ac:dyDescent="0.35"/>
    <row r="138" x14ac:dyDescent="0.35"/>
    <row r="139" x14ac:dyDescent="0.35"/>
    <row r="140" x14ac:dyDescent="0.35"/>
    <row r="141" x14ac:dyDescent="0.35"/>
    <row r="142" x14ac:dyDescent="0.35"/>
    <row r="143" x14ac:dyDescent="0.35"/>
    <row r="144" x14ac:dyDescent="0.35"/>
    <row r="145" x14ac:dyDescent="0.35"/>
    <row r="146" x14ac:dyDescent="0.35"/>
    <row r="147" x14ac:dyDescent="0.35"/>
    <row r="148" x14ac:dyDescent="0.35"/>
    <row r="149" x14ac:dyDescent="0.35"/>
    <row r="150" x14ac:dyDescent="0.35"/>
    <row r="151" x14ac:dyDescent="0.35"/>
    <row r="152" x14ac:dyDescent="0.35"/>
    <row r="153" x14ac:dyDescent="0.35"/>
    <row r="154" x14ac:dyDescent="0.35"/>
    <row r="155" x14ac:dyDescent="0.35"/>
    <row r="156" x14ac:dyDescent="0.35"/>
    <row r="157" x14ac:dyDescent="0.35"/>
    <row r="158" x14ac:dyDescent="0.35"/>
    <row r="159" x14ac:dyDescent="0.35"/>
    <row r="160" x14ac:dyDescent="0.35"/>
    <row r="161" x14ac:dyDescent="0.35"/>
    <row r="162" x14ac:dyDescent="0.35"/>
    <row r="163" x14ac:dyDescent="0.35"/>
    <row r="164" x14ac:dyDescent="0.35"/>
    <row r="165" x14ac:dyDescent="0.35"/>
    <row r="166" x14ac:dyDescent="0.35"/>
    <row r="167" x14ac:dyDescent="0.35"/>
    <row r="168" x14ac:dyDescent="0.35"/>
    <row r="169" x14ac:dyDescent="0.35"/>
    <row r="170" x14ac:dyDescent="0.35"/>
    <row r="171" x14ac:dyDescent="0.35"/>
    <row r="172" x14ac:dyDescent="0.35"/>
    <row r="173" x14ac:dyDescent="0.35"/>
    <row r="174" x14ac:dyDescent="0.35"/>
    <row r="175" x14ac:dyDescent="0.35"/>
    <row r="176"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15" x14ac:dyDescent="0.35"/>
    <row r="216" x14ac:dyDescent="0.35"/>
    <row r="217" x14ac:dyDescent="0.35"/>
    <row r="218" x14ac:dyDescent="0.35"/>
    <row r="219" x14ac:dyDescent="0.35"/>
    <row r="220" x14ac:dyDescent="0.35"/>
    <row r="221" x14ac:dyDescent="0.35"/>
    <row r="222" x14ac:dyDescent="0.35"/>
    <row r="223" x14ac:dyDescent="0.35"/>
    <row r="224" x14ac:dyDescent="0.35"/>
    <row r="225" x14ac:dyDescent="0.35"/>
    <row r="226" x14ac:dyDescent="0.35"/>
    <row r="227" x14ac:dyDescent="0.35"/>
    <row r="228" x14ac:dyDescent="0.35"/>
    <row r="229" x14ac:dyDescent="0.35"/>
    <row r="230" x14ac:dyDescent="0.35"/>
    <row r="231" x14ac:dyDescent="0.35"/>
    <row r="232" x14ac:dyDescent="0.35"/>
    <row r="233" x14ac:dyDescent="0.35"/>
    <row r="234" x14ac:dyDescent="0.35"/>
    <row r="235" x14ac:dyDescent="0.35"/>
    <row r="236" x14ac:dyDescent="0.35"/>
    <row r="237" x14ac:dyDescent="0.35"/>
    <row r="238" x14ac:dyDescent="0.35"/>
    <row r="239" x14ac:dyDescent="0.35"/>
    <row r="240" x14ac:dyDescent="0.35"/>
    <row r="241" x14ac:dyDescent="0.35"/>
    <row r="242" x14ac:dyDescent="0.35"/>
    <row r="243" x14ac:dyDescent="0.35"/>
    <row r="244" x14ac:dyDescent="0.35"/>
    <row r="245" x14ac:dyDescent="0.35"/>
    <row r="246" x14ac:dyDescent="0.35"/>
    <row r="247" x14ac:dyDescent="0.35"/>
    <row r="248" x14ac:dyDescent="0.35"/>
    <row r="249" x14ac:dyDescent="0.35"/>
    <row r="250" x14ac:dyDescent="0.35"/>
    <row r="251" x14ac:dyDescent="0.35"/>
    <row r="252" x14ac:dyDescent="0.35"/>
    <row r="253" x14ac:dyDescent="0.35"/>
    <row r="254" x14ac:dyDescent="0.35"/>
    <row r="255" x14ac:dyDescent="0.35"/>
    <row r="256" x14ac:dyDescent="0.35"/>
    <row r="257" x14ac:dyDescent="0.35"/>
    <row r="258" x14ac:dyDescent="0.35"/>
    <row r="259" x14ac:dyDescent="0.35"/>
    <row r="260" x14ac:dyDescent="0.35"/>
    <row r="261" x14ac:dyDescent="0.35"/>
    <row r="262" x14ac:dyDescent="0.35"/>
    <row r="263" x14ac:dyDescent="0.35"/>
    <row r="264" x14ac:dyDescent="0.35"/>
    <row r="265" x14ac:dyDescent="0.35"/>
    <row r="266" x14ac:dyDescent="0.35"/>
    <row r="267" x14ac:dyDescent="0.35"/>
    <row r="268" x14ac:dyDescent="0.35"/>
    <row r="269" x14ac:dyDescent="0.35"/>
    <row r="270" x14ac:dyDescent="0.35"/>
    <row r="271" x14ac:dyDescent="0.35"/>
    <row r="272" x14ac:dyDescent="0.35"/>
    <row r="273" x14ac:dyDescent="0.35"/>
    <row r="274" x14ac:dyDescent="0.35"/>
    <row r="275" x14ac:dyDescent="0.35"/>
    <row r="276" x14ac:dyDescent="0.35"/>
    <row r="277" x14ac:dyDescent="0.35"/>
    <row r="278" x14ac:dyDescent="0.35"/>
    <row r="279" x14ac:dyDescent="0.35"/>
    <row r="280" x14ac:dyDescent="0.35"/>
    <row r="281" x14ac:dyDescent="0.35"/>
    <row r="282" x14ac:dyDescent="0.35"/>
    <row r="283" x14ac:dyDescent="0.35"/>
    <row r="284" x14ac:dyDescent="0.35"/>
    <row r="285" x14ac:dyDescent="0.35"/>
    <row r="286" x14ac:dyDescent="0.35"/>
    <row r="287" x14ac:dyDescent="0.35"/>
    <row r="288" x14ac:dyDescent="0.35"/>
    <row r="289" x14ac:dyDescent="0.35"/>
    <row r="290" x14ac:dyDescent="0.35"/>
    <row r="291" x14ac:dyDescent="0.35"/>
    <row r="292" x14ac:dyDescent="0.35"/>
    <row r="293" x14ac:dyDescent="0.35"/>
    <row r="294" x14ac:dyDescent="0.35"/>
    <row r="295" x14ac:dyDescent="0.35"/>
    <row r="296" x14ac:dyDescent="0.35"/>
    <row r="297" x14ac:dyDescent="0.35"/>
    <row r="298" x14ac:dyDescent="0.35"/>
    <row r="299" x14ac:dyDescent="0.35"/>
    <row r="300" x14ac:dyDescent="0.35"/>
    <row r="301" x14ac:dyDescent="0.35"/>
    <row r="302" x14ac:dyDescent="0.35"/>
    <row r="303" x14ac:dyDescent="0.35"/>
    <row r="304" x14ac:dyDescent="0.35"/>
    <row r="305" x14ac:dyDescent="0.35"/>
    <row r="306" x14ac:dyDescent="0.35"/>
    <row r="307" x14ac:dyDescent="0.35"/>
    <row r="369" x14ac:dyDescent="0.35"/>
    <row r="370" x14ac:dyDescent="0.35"/>
    <row r="371" x14ac:dyDescent="0.35"/>
    <row r="380" x14ac:dyDescent="0.35"/>
    <row r="381" x14ac:dyDescent="0.35"/>
    <row r="382" x14ac:dyDescent="0.35"/>
    <row r="383" x14ac:dyDescent="0.35"/>
    <row r="384" x14ac:dyDescent="0.35"/>
    <row r="385" x14ac:dyDescent="0.35"/>
    <row r="386" x14ac:dyDescent="0.35"/>
    <row r="387" x14ac:dyDescent="0.35"/>
    <row r="388" x14ac:dyDescent="0.35"/>
    <row r="389" x14ac:dyDescent="0.35"/>
    <row r="390" x14ac:dyDescent="0.35"/>
    <row r="391" x14ac:dyDescent="0.35"/>
    <row r="392" x14ac:dyDescent="0.35"/>
    <row r="393" x14ac:dyDescent="0.35"/>
    <row r="394" x14ac:dyDescent="0.35"/>
    <row r="395" x14ac:dyDescent="0.35"/>
    <row r="396" x14ac:dyDescent="0.35"/>
    <row r="397" x14ac:dyDescent="0.35"/>
    <row r="398" x14ac:dyDescent="0.35"/>
    <row r="399" x14ac:dyDescent="0.35"/>
    <row r="400" x14ac:dyDescent="0.35"/>
    <row r="401" x14ac:dyDescent="0.35"/>
    <row r="402" x14ac:dyDescent="0.35"/>
    <row r="403" x14ac:dyDescent="0.35"/>
    <row r="404" x14ac:dyDescent="0.35"/>
    <row r="405" x14ac:dyDescent="0.35"/>
    <row r="406" x14ac:dyDescent="0.35"/>
    <row r="407" x14ac:dyDescent="0.35"/>
    <row r="408" x14ac:dyDescent="0.35"/>
    <row r="409" x14ac:dyDescent="0.35"/>
    <row r="410" x14ac:dyDescent="0.35"/>
    <row r="411" x14ac:dyDescent="0.35"/>
    <row r="412" x14ac:dyDescent="0.35"/>
    <row r="413" x14ac:dyDescent="0.35"/>
    <row r="414" x14ac:dyDescent="0.35"/>
    <row r="415" x14ac:dyDescent="0.35"/>
    <row r="416" x14ac:dyDescent="0.35"/>
    <row r="417" x14ac:dyDescent="0.35"/>
    <row r="418" x14ac:dyDescent="0.35"/>
    <row r="419" x14ac:dyDescent="0.35"/>
    <row r="420" x14ac:dyDescent="0.35"/>
    <row r="421" x14ac:dyDescent="0.35"/>
    <row r="422" x14ac:dyDescent="0.35"/>
    <row r="423" x14ac:dyDescent="0.35"/>
    <row r="424" x14ac:dyDescent="0.35"/>
    <row r="425" x14ac:dyDescent="0.35"/>
    <row r="426" x14ac:dyDescent="0.35"/>
    <row r="427" x14ac:dyDescent="0.35"/>
    <row r="428" x14ac:dyDescent="0.35"/>
    <row r="429" x14ac:dyDescent="0.35"/>
    <row r="430" x14ac:dyDescent="0.35"/>
    <row r="431" x14ac:dyDescent="0.35"/>
    <row r="432" x14ac:dyDescent="0.35"/>
    <row r="433" x14ac:dyDescent="0.35"/>
    <row r="434" x14ac:dyDescent="0.35"/>
    <row r="435" x14ac:dyDescent="0.35"/>
    <row r="436" x14ac:dyDescent="0.35"/>
    <row r="437" x14ac:dyDescent="0.35"/>
    <row r="438" x14ac:dyDescent="0.35"/>
    <row r="439" x14ac:dyDescent="0.35"/>
    <row r="440" x14ac:dyDescent="0.35"/>
    <row r="441" x14ac:dyDescent="0.35"/>
    <row r="442" x14ac:dyDescent="0.35"/>
    <row r="443" x14ac:dyDescent="0.35"/>
    <row r="444" x14ac:dyDescent="0.35"/>
    <row r="445" x14ac:dyDescent="0.35"/>
    <row r="446" x14ac:dyDescent="0.35"/>
    <row r="447" x14ac:dyDescent="0.35"/>
    <row r="448" x14ac:dyDescent="0.35"/>
    <row r="449" x14ac:dyDescent="0.35"/>
    <row r="450" x14ac:dyDescent="0.35"/>
    <row r="451" x14ac:dyDescent="0.35"/>
    <row r="452" x14ac:dyDescent="0.35"/>
    <row r="453" x14ac:dyDescent="0.35"/>
    <row r="454" x14ac:dyDescent="0.35"/>
    <row r="455" x14ac:dyDescent="0.35"/>
    <row r="456" x14ac:dyDescent="0.35"/>
    <row r="457" x14ac:dyDescent="0.35"/>
    <row r="458" x14ac:dyDescent="0.35"/>
    <row r="459" x14ac:dyDescent="0.35"/>
    <row r="460" x14ac:dyDescent="0.35"/>
    <row r="461" x14ac:dyDescent="0.35"/>
    <row r="462" x14ac:dyDescent="0.35"/>
    <row r="463" x14ac:dyDescent="0.35"/>
    <row r="464" x14ac:dyDescent="0.35"/>
    <row r="465" x14ac:dyDescent="0.35"/>
    <row r="466" x14ac:dyDescent="0.35"/>
    <row r="467" x14ac:dyDescent="0.35"/>
    <row r="468" x14ac:dyDescent="0.35"/>
    <row r="469" x14ac:dyDescent="0.35"/>
    <row r="470" x14ac:dyDescent="0.35"/>
    <row r="471" x14ac:dyDescent="0.35"/>
    <row r="472" x14ac:dyDescent="0.35"/>
    <row r="473" x14ac:dyDescent="0.35"/>
    <row r="474" x14ac:dyDescent="0.35"/>
    <row r="475" x14ac:dyDescent="0.35"/>
    <row r="476" x14ac:dyDescent="0.35"/>
    <row r="477" x14ac:dyDescent="0.35"/>
    <row r="478" x14ac:dyDescent="0.35"/>
    <row r="479" x14ac:dyDescent="0.35"/>
    <row r="480" x14ac:dyDescent="0.35"/>
    <row r="481" x14ac:dyDescent="0.35"/>
    <row r="482" x14ac:dyDescent="0.35"/>
    <row r="483" x14ac:dyDescent="0.35"/>
    <row r="484" x14ac:dyDescent="0.35"/>
    <row r="485" x14ac:dyDescent="0.35"/>
    <row r="486" x14ac:dyDescent="0.35"/>
    <row r="487" x14ac:dyDescent="0.35"/>
    <row r="488" x14ac:dyDescent="0.35"/>
    <row r="489" x14ac:dyDescent="0.35"/>
    <row r="490" x14ac:dyDescent="0.35"/>
    <row r="491" x14ac:dyDescent="0.35"/>
    <row r="492" x14ac:dyDescent="0.35"/>
    <row r="493" x14ac:dyDescent="0.35"/>
    <row r="494" x14ac:dyDescent="0.35"/>
    <row r="495" x14ac:dyDescent="0.35"/>
    <row r="496" x14ac:dyDescent="0.35"/>
    <row r="497" x14ac:dyDescent="0.35"/>
    <row r="498" x14ac:dyDescent="0.35"/>
    <row r="499" x14ac:dyDescent="0.35"/>
    <row r="500" x14ac:dyDescent="0.35"/>
    <row r="501" x14ac:dyDescent="0.35"/>
    <row r="502" x14ac:dyDescent="0.35"/>
    <row r="503" x14ac:dyDescent="0.35"/>
    <row r="504" x14ac:dyDescent="0.35"/>
    <row r="505" x14ac:dyDescent="0.35"/>
    <row r="506" x14ac:dyDescent="0.35"/>
    <row r="507" x14ac:dyDescent="0.35"/>
    <row r="508" x14ac:dyDescent="0.35"/>
    <row r="509" x14ac:dyDescent="0.35"/>
    <row r="510" x14ac:dyDescent="0.35"/>
    <row r="511" x14ac:dyDescent="0.35"/>
    <row r="512" x14ac:dyDescent="0.35"/>
    <row r="513" x14ac:dyDescent="0.35"/>
    <row r="514" x14ac:dyDescent="0.35"/>
    <row r="515" x14ac:dyDescent="0.35"/>
    <row r="516" x14ac:dyDescent="0.35"/>
    <row r="517" x14ac:dyDescent="0.35"/>
    <row r="518" x14ac:dyDescent="0.35"/>
    <row r="519" x14ac:dyDescent="0.35"/>
    <row r="520" x14ac:dyDescent="0.35"/>
    <row r="521" x14ac:dyDescent="0.35"/>
    <row r="522" x14ac:dyDescent="0.35"/>
    <row r="523" x14ac:dyDescent="0.35"/>
    <row r="524" x14ac:dyDescent="0.35"/>
    <row r="525" x14ac:dyDescent="0.35"/>
    <row r="526" x14ac:dyDescent="0.35"/>
    <row r="527" x14ac:dyDescent="0.35"/>
    <row r="528" x14ac:dyDescent="0.35"/>
    <row r="529" x14ac:dyDescent="0.35"/>
    <row r="530" x14ac:dyDescent="0.35"/>
    <row r="531" x14ac:dyDescent="0.35"/>
    <row r="532" x14ac:dyDescent="0.35"/>
    <row r="533" x14ac:dyDescent="0.35"/>
    <row r="534" x14ac:dyDescent="0.35"/>
    <row r="535" x14ac:dyDescent="0.35"/>
    <row r="536" x14ac:dyDescent="0.35"/>
    <row r="537" x14ac:dyDescent="0.35"/>
    <row r="538" x14ac:dyDescent="0.35"/>
    <row r="539" x14ac:dyDescent="0.35"/>
    <row r="540" x14ac:dyDescent="0.35"/>
    <row r="541" x14ac:dyDescent="0.35"/>
    <row r="542" x14ac:dyDescent="0.35"/>
    <row r="543" x14ac:dyDescent="0.35"/>
    <row r="544" x14ac:dyDescent="0.35"/>
    <row r="545" x14ac:dyDescent="0.35"/>
    <row r="546" x14ac:dyDescent="0.35"/>
    <row r="547" x14ac:dyDescent="0.35"/>
    <row r="548" x14ac:dyDescent="0.35"/>
    <row r="549" x14ac:dyDescent="0.35"/>
    <row r="550" x14ac:dyDescent="0.35"/>
    <row r="551" x14ac:dyDescent="0.35"/>
    <row r="552" x14ac:dyDescent="0.35"/>
    <row r="553" x14ac:dyDescent="0.35"/>
    <row r="554" x14ac:dyDescent="0.35"/>
    <row r="555" x14ac:dyDescent="0.35"/>
    <row r="556" x14ac:dyDescent="0.35"/>
    <row r="557" x14ac:dyDescent="0.35"/>
    <row r="558" x14ac:dyDescent="0.35"/>
    <row r="559" x14ac:dyDescent="0.35"/>
    <row r="560" x14ac:dyDescent="0.35"/>
    <row r="561" x14ac:dyDescent="0.35"/>
    <row r="562" x14ac:dyDescent="0.35"/>
    <row r="563" x14ac:dyDescent="0.35"/>
    <row r="564" x14ac:dyDescent="0.35"/>
    <row r="565" x14ac:dyDescent="0.35"/>
    <row r="566" x14ac:dyDescent="0.35"/>
    <row r="567" x14ac:dyDescent="0.35"/>
    <row r="568" x14ac:dyDescent="0.35"/>
    <row r="569" x14ac:dyDescent="0.35"/>
    <row r="570" x14ac:dyDescent="0.35"/>
    <row r="571" x14ac:dyDescent="0.35"/>
    <row r="572" x14ac:dyDescent="0.35"/>
    <row r="573" x14ac:dyDescent="0.35"/>
    <row r="574" x14ac:dyDescent="0.35"/>
    <row r="575" x14ac:dyDescent="0.35"/>
    <row r="576" x14ac:dyDescent="0.35"/>
    <row r="577" x14ac:dyDescent="0.35"/>
    <row r="578" x14ac:dyDescent="0.35"/>
    <row r="579" x14ac:dyDescent="0.35"/>
    <row r="580" x14ac:dyDescent="0.35"/>
    <row r="581" x14ac:dyDescent="0.35"/>
    <row r="582" x14ac:dyDescent="0.35"/>
    <row r="583" x14ac:dyDescent="0.35"/>
    <row r="584" x14ac:dyDescent="0.35"/>
    <row r="585" x14ac:dyDescent="0.35"/>
    <row r="586" x14ac:dyDescent="0.35"/>
    <row r="587" x14ac:dyDescent="0.35"/>
    <row r="588" x14ac:dyDescent="0.35"/>
    <row r="589" x14ac:dyDescent="0.35"/>
    <row r="590" x14ac:dyDescent="0.35"/>
    <row r="591" x14ac:dyDescent="0.35"/>
    <row r="592" x14ac:dyDescent="0.35"/>
    <row r="593" x14ac:dyDescent="0.35"/>
    <row r="594" x14ac:dyDescent="0.35"/>
    <row r="595" x14ac:dyDescent="0.35"/>
    <row r="596" x14ac:dyDescent="0.35"/>
    <row r="597" x14ac:dyDescent="0.35"/>
    <row r="598" x14ac:dyDescent="0.35"/>
    <row r="599" x14ac:dyDescent="0.35"/>
    <row r="600" x14ac:dyDescent="0.35"/>
    <row r="601" x14ac:dyDescent="0.35"/>
    <row r="602" x14ac:dyDescent="0.35"/>
    <row r="603" x14ac:dyDescent="0.35"/>
    <row r="604" x14ac:dyDescent="0.35"/>
    <row r="605" x14ac:dyDescent="0.35"/>
    <row r="606" x14ac:dyDescent="0.35"/>
    <row r="607" x14ac:dyDescent="0.35"/>
    <row r="608" x14ac:dyDescent="0.35"/>
    <row r="609" x14ac:dyDescent="0.35"/>
    <row r="610" x14ac:dyDescent="0.35"/>
    <row r="611" x14ac:dyDescent="0.35"/>
    <row r="612" x14ac:dyDescent="0.35"/>
    <row r="613" x14ac:dyDescent="0.35"/>
    <row r="614" x14ac:dyDescent="0.35"/>
    <row r="615" x14ac:dyDescent="0.35"/>
    <row r="616" x14ac:dyDescent="0.35"/>
    <row r="617" x14ac:dyDescent="0.35"/>
    <row r="618" x14ac:dyDescent="0.35"/>
    <row r="619" x14ac:dyDescent="0.35"/>
    <row r="620" x14ac:dyDescent="0.35"/>
    <row r="621" x14ac:dyDescent="0.35"/>
    <row r="622" x14ac:dyDescent="0.35"/>
    <row r="623" x14ac:dyDescent="0.35"/>
    <row r="624" x14ac:dyDescent="0.35"/>
    <row r="625" x14ac:dyDescent="0.35"/>
    <row r="626" x14ac:dyDescent="0.35"/>
    <row r="627" x14ac:dyDescent="0.35"/>
    <row r="628" x14ac:dyDescent="0.35"/>
    <row r="629" x14ac:dyDescent="0.35"/>
    <row r="630" x14ac:dyDescent="0.35"/>
    <row r="631" x14ac:dyDescent="0.35"/>
    <row r="632" x14ac:dyDescent="0.35"/>
    <row r="633" x14ac:dyDescent="0.35"/>
    <row r="634" x14ac:dyDescent="0.35"/>
    <row r="635" x14ac:dyDescent="0.35"/>
    <row r="636" x14ac:dyDescent="0.35"/>
    <row r="637" x14ac:dyDescent="0.35"/>
    <row r="638" x14ac:dyDescent="0.35"/>
    <row r="639" x14ac:dyDescent="0.35"/>
    <row r="640" x14ac:dyDescent="0.35"/>
    <row r="641" x14ac:dyDescent="0.35"/>
    <row r="642" x14ac:dyDescent="0.35"/>
    <row r="643" x14ac:dyDescent="0.35"/>
    <row r="644" x14ac:dyDescent="0.35"/>
    <row r="645" x14ac:dyDescent="0.35"/>
    <row r="646" x14ac:dyDescent="0.35"/>
    <row r="647" x14ac:dyDescent="0.35"/>
    <row r="648" x14ac:dyDescent="0.35"/>
    <row r="649" x14ac:dyDescent="0.35"/>
    <row r="650" x14ac:dyDescent="0.35"/>
    <row r="651" x14ac:dyDescent="0.35"/>
    <row r="652" x14ac:dyDescent="0.35"/>
    <row r="653" x14ac:dyDescent="0.35"/>
    <row r="654" x14ac:dyDescent="0.35"/>
    <row r="655" x14ac:dyDescent="0.35"/>
    <row r="656" x14ac:dyDescent="0.35"/>
    <row r="657" x14ac:dyDescent="0.35"/>
    <row r="658" x14ac:dyDescent="0.35"/>
    <row r="659" x14ac:dyDescent="0.35"/>
    <row r="660" x14ac:dyDescent="0.35"/>
    <row r="661" x14ac:dyDescent="0.35"/>
    <row r="662" x14ac:dyDescent="0.35"/>
    <row r="663" x14ac:dyDescent="0.35"/>
    <row r="664" x14ac:dyDescent="0.35"/>
    <row r="665" x14ac:dyDescent="0.35"/>
    <row r="666" x14ac:dyDescent="0.35"/>
    <row r="667" x14ac:dyDescent="0.35"/>
    <row r="668" x14ac:dyDescent="0.35"/>
    <row r="669" x14ac:dyDescent="0.35"/>
    <row r="670" x14ac:dyDescent="0.35"/>
    <row r="671" x14ac:dyDescent="0.35"/>
    <row r="672" x14ac:dyDescent="0.35"/>
    <row r="673" x14ac:dyDescent="0.35"/>
    <row r="674" x14ac:dyDescent="0.35"/>
    <row r="675" x14ac:dyDescent="0.35"/>
    <row r="676" x14ac:dyDescent="0.35"/>
    <row r="677" x14ac:dyDescent="0.35"/>
    <row r="678" x14ac:dyDescent="0.35"/>
    <row r="679" x14ac:dyDescent="0.35"/>
    <row r="680" x14ac:dyDescent="0.35"/>
    <row r="681" x14ac:dyDescent="0.35"/>
    <row r="682" x14ac:dyDescent="0.35"/>
    <row r="683" x14ac:dyDescent="0.35"/>
    <row r="684" x14ac:dyDescent="0.35"/>
    <row r="685" x14ac:dyDescent="0.35"/>
    <row r="686" x14ac:dyDescent="0.35"/>
    <row r="687" x14ac:dyDescent="0.35"/>
    <row r="688" x14ac:dyDescent="0.35"/>
    <row r="689" x14ac:dyDescent="0.35"/>
    <row r="690" x14ac:dyDescent="0.35"/>
    <row r="691" x14ac:dyDescent="0.35"/>
    <row r="692" x14ac:dyDescent="0.35"/>
    <row r="693" x14ac:dyDescent="0.35"/>
    <row r="694" x14ac:dyDescent="0.35"/>
    <row r="695" x14ac:dyDescent="0.35"/>
    <row r="696" x14ac:dyDescent="0.35"/>
    <row r="697" x14ac:dyDescent="0.35"/>
    <row r="698" x14ac:dyDescent="0.35"/>
    <row r="699" x14ac:dyDescent="0.35"/>
    <row r="700" x14ac:dyDescent="0.35"/>
    <row r="701" x14ac:dyDescent="0.35"/>
    <row r="702" x14ac:dyDescent="0.35"/>
    <row r="703" x14ac:dyDescent="0.35"/>
    <row r="704" x14ac:dyDescent="0.35"/>
    <row r="705" x14ac:dyDescent="0.35"/>
    <row r="706" x14ac:dyDescent="0.35"/>
    <row r="707" x14ac:dyDescent="0.35"/>
    <row r="708" x14ac:dyDescent="0.35"/>
    <row r="709" x14ac:dyDescent="0.35"/>
    <row r="710" x14ac:dyDescent="0.35"/>
    <row r="711" x14ac:dyDescent="0.35"/>
    <row r="712" x14ac:dyDescent="0.35"/>
    <row r="713" x14ac:dyDescent="0.35"/>
    <row r="714" x14ac:dyDescent="0.35"/>
    <row r="715" x14ac:dyDescent="0.35"/>
    <row r="716" x14ac:dyDescent="0.35"/>
    <row r="717" x14ac:dyDescent="0.35"/>
    <row r="718" x14ac:dyDescent="0.35"/>
    <row r="719" x14ac:dyDescent="0.35"/>
    <row r="720" x14ac:dyDescent="0.35"/>
    <row r="721" x14ac:dyDescent="0.35"/>
    <row r="722" x14ac:dyDescent="0.35"/>
    <row r="723" x14ac:dyDescent="0.35"/>
    <row r="724" x14ac:dyDescent="0.35"/>
    <row r="725" x14ac:dyDescent="0.35"/>
    <row r="726" x14ac:dyDescent="0.35"/>
    <row r="727" x14ac:dyDescent="0.35"/>
    <row r="728" x14ac:dyDescent="0.35"/>
    <row r="769" x14ac:dyDescent="0.35"/>
    <row r="770" x14ac:dyDescent="0.35"/>
    <row r="771" x14ac:dyDescent="0.35"/>
    <row r="776" x14ac:dyDescent="0.35"/>
    <row r="777" x14ac:dyDescent="0.35"/>
    <row r="778" x14ac:dyDescent="0.35"/>
    <row r="779" x14ac:dyDescent="0.35"/>
    <row r="780" x14ac:dyDescent="0.35"/>
    <row r="781" x14ac:dyDescent="0.35"/>
    <row r="782" x14ac:dyDescent="0.35"/>
    <row r="783" x14ac:dyDescent="0.35"/>
    <row r="784" x14ac:dyDescent="0.35"/>
    <row r="785" x14ac:dyDescent="0.35"/>
    <row r="786" x14ac:dyDescent="0.35"/>
    <row r="787" x14ac:dyDescent="0.35"/>
    <row r="788" x14ac:dyDescent="0.35"/>
    <row r="789" x14ac:dyDescent="0.35"/>
    <row r="790" x14ac:dyDescent="0.35"/>
    <row r="791" x14ac:dyDescent="0.35"/>
    <row r="792" x14ac:dyDescent="0.35"/>
    <row r="793" x14ac:dyDescent="0.35"/>
    <row r="794" x14ac:dyDescent="0.35"/>
    <row r="795" x14ac:dyDescent="0.35"/>
    <row r="796" x14ac:dyDescent="0.35"/>
    <row r="797" x14ac:dyDescent="0.35"/>
    <row r="798" x14ac:dyDescent="0.35"/>
    <row r="799" x14ac:dyDescent="0.35"/>
    <row r="800" x14ac:dyDescent="0.35"/>
    <row r="801" x14ac:dyDescent="0.35"/>
    <row r="802" x14ac:dyDescent="0.35"/>
    <row r="803" x14ac:dyDescent="0.35"/>
    <row r="804" x14ac:dyDescent="0.35"/>
    <row r="805" x14ac:dyDescent="0.35"/>
    <row r="806" x14ac:dyDescent="0.35"/>
    <row r="807" x14ac:dyDescent="0.35"/>
    <row r="808" x14ac:dyDescent="0.35"/>
    <row r="809" x14ac:dyDescent="0.35"/>
    <row r="810" x14ac:dyDescent="0.35"/>
    <row r="811" x14ac:dyDescent="0.35"/>
    <row r="881" x14ac:dyDescent="0.35"/>
    <row r="882" x14ac:dyDescent="0.35"/>
    <row r="883" x14ac:dyDescent="0.35"/>
    <row r="884" x14ac:dyDescent="0.35"/>
    <row r="885" x14ac:dyDescent="0.35"/>
    <row r="886" x14ac:dyDescent="0.35"/>
    <row r="887" x14ac:dyDescent="0.35"/>
    <row r="888" x14ac:dyDescent="0.35"/>
    <row r="889" x14ac:dyDescent="0.35"/>
    <row r="890" x14ac:dyDescent="0.35"/>
    <row r="891" x14ac:dyDescent="0.35"/>
    <row r="892" x14ac:dyDescent="0.35"/>
    <row r="893" x14ac:dyDescent="0.35"/>
    <row r="894" x14ac:dyDescent="0.35"/>
    <row r="895" x14ac:dyDescent="0.35"/>
    <row r="896" x14ac:dyDescent="0.35"/>
    <row r="897" x14ac:dyDescent="0.35"/>
    <row r="898" x14ac:dyDescent="0.35"/>
    <row r="899" x14ac:dyDescent="0.35"/>
    <row r="900" x14ac:dyDescent="0.35"/>
    <row r="901" x14ac:dyDescent="0.35"/>
    <row r="902" x14ac:dyDescent="0.35"/>
    <row r="903" x14ac:dyDescent="0.35"/>
    <row r="904" x14ac:dyDescent="0.35"/>
    <row r="905" x14ac:dyDescent="0.35"/>
    <row r="906" x14ac:dyDescent="0.35"/>
    <row r="907" x14ac:dyDescent="0.35"/>
    <row r="908" x14ac:dyDescent="0.35"/>
    <row r="909" x14ac:dyDescent="0.35"/>
    <row r="910" x14ac:dyDescent="0.35"/>
    <row r="911" x14ac:dyDescent="0.35"/>
    <row r="912" x14ac:dyDescent="0.35"/>
    <row r="913" x14ac:dyDescent="0.35"/>
    <row r="914" x14ac:dyDescent="0.35"/>
    <row r="915" x14ac:dyDescent="0.35"/>
    <row r="916" x14ac:dyDescent="0.35"/>
    <row r="917" x14ac:dyDescent="0.35"/>
    <row r="918" x14ac:dyDescent="0.35"/>
    <row r="919" x14ac:dyDescent="0.35"/>
    <row r="920" x14ac:dyDescent="0.35"/>
    <row r="921" x14ac:dyDescent="0.35"/>
    <row r="922" x14ac:dyDescent="0.35"/>
    <row r="923" x14ac:dyDescent="0.35"/>
    <row r="924" x14ac:dyDescent="0.35"/>
    <row r="925" x14ac:dyDescent="0.35"/>
    <row r="926" x14ac:dyDescent="0.35"/>
    <row r="927" x14ac:dyDescent="0.35"/>
    <row r="928" x14ac:dyDescent="0.35"/>
    <row r="929" x14ac:dyDescent="0.35"/>
    <row r="930" x14ac:dyDescent="0.35"/>
    <row r="931" x14ac:dyDescent="0.35"/>
    <row r="932" x14ac:dyDescent="0.35"/>
    <row r="933" x14ac:dyDescent="0.35"/>
    <row r="934" x14ac:dyDescent="0.35"/>
    <row r="935" x14ac:dyDescent="0.35"/>
    <row r="936" x14ac:dyDescent="0.35"/>
    <row r="937" x14ac:dyDescent="0.35"/>
    <row r="938" x14ac:dyDescent="0.35"/>
    <row r="939" x14ac:dyDescent="0.35"/>
    <row r="940" x14ac:dyDescent="0.35"/>
    <row r="941" x14ac:dyDescent="0.35"/>
    <row r="942" x14ac:dyDescent="0.35"/>
    <row r="943" x14ac:dyDescent="0.35"/>
    <row r="944" x14ac:dyDescent="0.35"/>
    <row r="945" x14ac:dyDescent="0.35"/>
    <row r="946" x14ac:dyDescent="0.35"/>
    <row r="947" x14ac:dyDescent="0.35"/>
    <row r="948" x14ac:dyDescent="0.35"/>
    <row r="949" x14ac:dyDescent="0.35"/>
    <row r="950" x14ac:dyDescent="0.35"/>
    <row r="951" x14ac:dyDescent="0.35"/>
    <row r="952" x14ac:dyDescent="0.35"/>
    <row r="953" x14ac:dyDescent="0.35"/>
    <row r="954" x14ac:dyDescent="0.35"/>
    <row r="955" x14ac:dyDescent="0.35"/>
    <row r="956" x14ac:dyDescent="0.35"/>
    <row r="957" x14ac:dyDescent="0.35"/>
    <row r="958" x14ac:dyDescent="0.35"/>
    <row r="959" x14ac:dyDescent="0.35"/>
    <row r="960" x14ac:dyDescent="0.35"/>
    <row r="961" x14ac:dyDescent="0.35"/>
    <row r="962" x14ac:dyDescent="0.35"/>
    <row r="963" x14ac:dyDescent="0.35"/>
    <row r="964" x14ac:dyDescent="0.35"/>
    <row r="965" x14ac:dyDescent="0.35"/>
    <row r="966" x14ac:dyDescent="0.35"/>
    <row r="967" x14ac:dyDescent="0.35"/>
    <row r="968" x14ac:dyDescent="0.35"/>
    <row r="969" x14ac:dyDescent="0.35"/>
    <row r="970" x14ac:dyDescent="0.35"/>
    <row r="971" x14ac:dyDescent="0.35"/>
    <row r="972" x14ac:dyDescent="0.35"/>
    <row r="973" x14ac:dyDescent="0.35"/>
    <row r="974" x14ac:dyDescent="0.35"/>
    <row r="975" x14ac:dyDescent="0.35"/>
    <row r="976" x14ac:dyDescent="0.35"/>
    <row r="977" x14ac:dyDescent="0.35"/>
    <row r="978" x14ac:dyDescent="0.35"/>
    <row r="979" x14ac:dyDescent="0.35"/>
    <row r="980" x14ac:dyDescent="0.35"/>
    <row r="981" x14ac:dyDescent="0.35"/>
    <row r="982" x14ac:dyDescent="0.35"/>
    <row r="983" x14ac:dyDescent="0.35"/>
    <row r="984" x14ac:dyDescent="0.35"/>
    <row r="985" x14ac:dyDescent="0.35"/>
    <row r="986" x14ac:dyDescent="0.35"/>
    <row r="987" x14ac:dyDescent="0.35"/>
    <row r="988" x14ac:dyDescent="0.35"/>
    <row r="989" x14ac:dyDescent="0.35"/>
    <row r="990" x14ac:dyDescent="0.35"/>
    <row r="991" x14ac:dyDescent="0.35"/>
    <row r="992" x14ac:dyDescent="0.35"/>
    <row r="993" x14ac:dyDescent="0.35"/>
    <row r="994" x14ac:dyDescent="0.35"/>
    <row r="995" x14ac:dyDescent="0.35"/>
    <row r="996" x14ac:dyDescent="0.35"/>
    <row r="997" x14ac:dyDescent="0.35"/>
    <row r="998" x14ac:dyDescent="0.35"/>
    <row r="999" x14ac:dyDescent="0.35"/>
    <row r="1000" x14ac:dyDescent="0.35"/>
    <row r="1001" x14ac:dyDescent="0.35"/>
    <row r="1002" x14ac:dyDescent="0.35"/>
    <row r="1003" x14ac:dyDescent="0.35"/>
    <row r="1004" x14ac:dyDescent="0.35"/>
    <row r="1005" x14ac:dyDescent="0.35"/>
    <row r="1006" x14ac:dyDescent="0.35"/>
    <row r="1007" x14ac:dyDescent="0.35"/>
    <row r="1008" x14ac:dyDescent="0.35"/>
    <row r="1009" x14ac:dyDescent="0.35"/>
    <row r="1010" x14ac:dyDescent="0.35"/>
    <row r="1011" x14ac:dyDescent="0.35"/>
    <row r="1012" x14ac:dyDescent="0.35"/>
    <row r="1013" x14ac:dyDescent="0.35"/>
    <row r="1014" x14ac:dyDescent="0.35"/>
    <row r="1015" x14ac:dyDescent="0.35"/>
    <row r="1016" x14ac:dyDescent="0.35"/>
    <row r="1017" x14ac:dyDescent="0.35"/>
    <row r="1018" x14ac:dyDescent="0.35"/>
    <row r="1019" x14ac:dyDescent="0.35"/>
    <row r="1020" x14ac:dyDescent="0.35"/>
    <row r="1021" x14ac:dyDescent="0.35"/>
    <row r="1022" x14ac:dyDescent="0.35"/>
    <row r="1023" x14ac:dyDescent="0.35"/>
    <row r="1024" x14ac:dyDescent="0.35"/>
    <row r="1025" x14ac:dyDescent="0.35"/>
    <row r="1026" x14ac:dyDescent="0.35"/>
    <row r="1027" x14ac:dyDescent="0.35"/>
    <row r="1028" x14ac:dyDescent="0.35"/>
    <row r="1029" x14ac:dyDescent="0.35"/>
    <row r="1030" x14ac:dyDescent="0.35"/>
    <row r="1031" x14ac:dyDescent="0.35"/>
    <row r="1032" x14ac:dyDescent="0.35"/>
    <row r="1033" x14ac:dyDescent="0.35"/>
    <row r="1034" x14ac:dyDescent="0.35"/>
    <row r="1035" x14ac:dyDescent="0.35"/>
    <row r="1036" x14ac:dyDescent="0.35"/>
    <row r="1037" x14ac:dyDescent="0.35"/>
    <row r="1038" x14ac:dyDescent="0.35"/>
    <row r="1039" x14ac:dyDescent="0.35"/>
    <row r="1040" x14ac:dyDescent="0.35"/>
    <row r="1041" x14ac:dyDescent="0.35"/>
    <row r="1042" x14ac:dyDescent="0.35"/>
    <row r="1043" x14ac:dyDescent="0.35"/>
    <row r="1044" x14ac:dyDescent="0.35"/>
    <row r="1045" x14ac:dyDescent="0.35"/>
    <row r="1046" x14ac:dyDescent="0.35"/>
    <row r="1047" x14ac:dyDescent="0.35"/>
    <row r="1048" x14ac:dyDescent="0.35"/>
    <row r="1049" x14ac:dyDescent="0.35"/>
    <row r="1050" x14ac:dyDescent="0.35"/>
    <row r="1051" x14ac:dyDescent="0.35"/>
    <row r="1052" x14ac:dyDescent="0.35"/>
    <row r="1053" x14ac:dyDescent="0.35"/>
    <row r="1054" x14ac:dyDescent="0.35"/>
    <row r="1055" x14ac:dyDescent="0.35"/>
    <row r="1056" x14ac:dyDescent="0.35"/>
    <row r="1057" x14ac:dyDescent="0.35"/>
    <row r="1058" x14ac:dyDescent="0.35"/>
    <row r="1059" x14ac:dyDescent="0.35"/>
    <row r="1060" x14ac:dyDescent="0.35"/>
    <row r="1061" x14ac:dyDescent="0.35"/>
    <row r="1062" x14ac:dyDescent="0.35"/>
    <row r="1063" x14ac:dyDescent="0.35"/>
    <row r="1064" x14ac:dyDescent="0.35"/>
    <row r="1065" x14ac:dyDescent="0.35"/>
    <row r="1066" x14ac:dyDescent="0.35"/>
    <row r="1067" x14ac:dyDescent="0.35"/>
    <row r="1068" x14ac:dyDescent="0.35"/>
    <row r="1069" x14ac:dyDescent="0.35"/>
    <row r="1070" x14ac:dyDescent="0.35"/>
    <row r="1071" x14ac:dyDescent="0.35"/>
    <row r="1072" x14ac:dyDescent="0.35"/>
    <row r="1073" x14ac:dyDescent="0.35"/>
    <row r="1074" x14ac:dyDescent="0.35"/>
    <row r="1075" x14ac:dyDescent="0.35"/>
    <row r="1076" x14ac:dyDescent="0.35"/>
    <row r="1077" x14ac:dyDescent="0.35"/>
    <row r="1078" x14ac:dyDescent="0.35"/>
    <row r="1079" x14ac:dyDescent="0.35"/>
    <row r="1080" x14ac:dyDescent="0.35"/>
    <row r="1081" x14ac:dyDescent="0.35"/>
    <row r="1082" x14ac:dyDescent="0.35"/>
    <row r="1083" x14ac:dyDescent="0.35"/>
    <row r="1084" x14ac:dyDescent="0.35"/>
    <row r="1085" x14ac:dyDescent="0.35"/>
    <row r="1086" x14ac:dyDescent="0.35"/>
    <row r="1087" x14ac:dyDescent="0.35"/>
    <row r="1088" x14ac:dyDescent="0.35"/>
    <row r="1089" x14ac:dyDescent="0.35"/>
    <row r="1090" x14ac:dyDescent="0.35"/>
    <row r="1091" x14ac:dyDescent="0.35"/>
    <row r="1092" x14ac:dyDescent="0.35"/>
    <row r="1093" x14ac:dyDescent="0.35"/>
    <row r="1094" x14ac:dyDescent="0.35"/>
    <row r="1095" x14ac:dyDescent="0.35"/>
    <row r="1096" x14ac:dyDescent="0.35"/>
    <row r="1097" x14ac:dyDescent="0.35"/>
    <row r="1098" x14ac:dyDescent="0.35"/>
    <row r="1099" x14ac:dyDescent="0.35"/>
    <row r="1100" x14ac:dyDescent="0.35"/>
    <row r="1101" x14ac:dyDescent="0.35"/>
    <row r="1102" x14ac:dyDescent="0.35"/>
    <row r="1103" x14ac:dyDescent="0.35"/>
    <row r="1104" x14ac:dyDescent="0.35"/>
    <row r="1105" x14ac:dyDescent="0.35"/>
    <row r="1106" x14ac:dyDescent="0.35"/>
    <row r="1107" x14ac:dyDescent="0.35"/>
    <row r="1108" x14ac:dyDescent="0.35"/>
    <row r="1109" x14ac:dyDescent="0.35"/>
    <row r="1110" x14ac:dyDescent="0.35"/>
    <row r="1111" x14ac:dyDescent="0.35"/>
    <row r="1112" x14ac:dyDescent="0.35"/>
    <row r="1113" x14ac:dyDescent="0.35"/>
    <row r="1114" x14ac:dyDescent="0.35"/>
    <row r="1115" x14ac:dyDescent="0.35"/>
    <row r="1116" x14ac:dyDescent="0.35"/>
    <row r="1117" x14ac:dyDescent="0.35"/>
    <row r="1118" x14ac:dyDescent="0.35"/>
    <row r="1119" x14ac:dyDescent="0.35"/>
    <row r="1120" x14ac:dyDescent="0.35"/>
    <row r="1121" x14ac:dyDescent="0.35"/>
    <row r="1122" x14ac:dyDescent="0.35"/>
    <row r="1123" x14ac:dyDescent="0.35"/>
    <row r="1124" x14ac:dyDescent="0.35"/>
    <row r="1125" x14ac:dyDescent="0.35"/>
    <row r="1126" x14ac:dyDescent="0.35"/>
    <row r="1127" x14ac:dyDescent="0.35"/>
    <row r="1128" x14ac:dyDescent="0.35"/>
    <row r="1129" x14ac:dyDescent="0.35"/>
    <row r="1130" x14ac:dyDescent="0.35"/>
    <row r="1131" x14ac:dyDescent="0.35"/>
    <row r="1132" x14ac:dyDescent="0.35"/>
    <row r="1133" x14ac:dyDescent="0.35"/>
    <row r="1134" x14ac:dyDescent="0.35"/>
    <row r="1135" x14ac:dyDescent="0.35"/>
    <row r="1136" x14ac:dyDescent="0.35"/>
    <row r="1137" x14ac:dyDescent="0.35"/>
    <row r="1138" x14ac:dyDescent="0.35"/>
    <row r="1139" x14ac:dyDescent="0.35"/>
    <row r="1140" x14ac:dyDescent="0.35"/>
    <row r="1141" x14ac:dyDescent="0.35"/>
    <row r="1142" x14ac:dyDescent="0.35"/>
    <row r="1143" x14ac:dyDescent="0.35"/>
    <row r="1144" x14ac:dyDescent="0.35"/>
    <row r="1145" x14ac:dyDescent="0.35"/>
    <row r="1146" x14ac:dyDescent="0.35"/>
    <row r="1147" x14ac:dyDescent="0.35"/>
    <row r="1148" x14ac:dyDescent="0.35"/>
    <row r="1149" x14ac:dyDescent="0.35"/>
    <row r="1150" x14ac:dyDescent="0.35"/>
    <row r="1151" x14ac:dyDescent="0.35"/>
    <row r="1152" x14ac:dyDescent="0.35"/>
    <row r="1153" x14ac:dyDescent="0.35"/>
    <row r="1154" x14ac:dyDescent="0.35"/>
    <row r="1155" x14ac:dyDescent="0.35"/>
    <row r="1156" x14ac:dyDescent="0.35"/>
    <row r="1157" x14ac:dyDescent="0.35"/>
    <row r="1158" x14ac:dyDescent="0.35"/>
    <row r="1159" x14ac:dyDescent="0.35"/>
    <row r="1160" x14ac:dyDescent="0.35"/>
    <row r="1161" x14ac:dyDescent="0.35"/>
    <row r="1162" x14ac:dyDescent="0.35"/>
    <row r="1163" x14ac:dyDescent="0.35"/>
    <row r="1164" x14ac:dyDescent="0.35"/>
    <row r="1165" x14ac:dyDescent="0.35"/>
    <row r="1166" x14ac:dyDescent="0.35"/>
    <row r="1167" x14ac:dyDescent="0.35"/>
    <row r="1168" x14ac:dyDescent="0.35"/>
    <row r="1169" x14ac:dyDescent="0.35"/>
    <row r="1170" x14ac:dyDescent="0.35"/>
    <row r="1171" x14ac:dyDescent="0.35"/>
    <row r="1172" x14ac:dyDescent="0.35"/>
    <row r="1173" x14ac:dyDescent="0.35"/>
    <row r="1174" x14ac:dyDescent="0.35"/>
    <row r="1175" x14ac:dyDescent="0.35"/>
    <row r="1176" x14ac:dyDescent="0.35"/>
    <row r="1177" x14ac:dyDescent="0.35"/>
    <row r="1178" x14ac:dyDescent="0.35"/>
    <row r="1179" x14ac:dyDescent="0.35"/>
    <row r="1180" x14ac:dyDescent="0.35"/>
    <row r="1181" x14ac:dyDescent="0.35"/>
    <row r="1182" x14ac:dyDescent="0.35"/>
    <row r="1183" x14ac:dyDescent="0.35"/>
    <row r="1184" x14ac:dyDescent="0.35"/>
    <row r="1185" x14ac:dyDescent="0.35"/>
    <row r="1186" x14ac:dyDescent="0.35"/>
    <row r="1187" x14ac:dyDescent="0.35"/>
    <row r="1188" x14ac:dyDescent="0.35"/>
    <row r="1189" x14ac:dyDescent="0.35"/>
    <row r="1190" x14ac:dyDescent="0.35"/>
    <row r="1191" x14ac:dyDescent="0.35"/>
    <row r="1192" x14ac:dyDescent="0.35"/>
    <row r="1193" x14ac:dyDescent="0.35"/>
    <row r="1194" x14ac:dyDescent="0.35"/>
    <row r="1195" x14ac:dyDescent="0.35"/>
    <row r="1196" x14ac:dyDescent="0.35"/>
    <row r="1197" x14ac:dyDescent="0.35"/>
    <row r="1198" x14ac:dyDescent="0.35"/>
    <row r="1199" x14ac:dyDescent="0.35"/>
    <row r="1200" x14ac:dyDescent="0.35"/>
    <row r="1201" x14ac:dyDescent="0.35"/>
    <row r="1202" x14ac:dyDescent="0.35"/>
    <row r="1203" x14ac:dyDescent="0.35"/>
    <row r="1204" x14ac:dyDescent="0.35"/>
    <row r="1205" x14ac:dyDescent="0.35"/>
    <row r="1206" x14ac:dyDescent="0.35"/>
    <row r="1207" x14ac:dyDescent="0.35"/>
    <row r="1208" x14ac:dyDescent="0.35"/>
    <row r="1209" x14ac:dyDescent="0.35"/>
    <row r="1210" x14ac:dyDescent="0.35"/>
    <row r="1211" x14ac:dyDescent="0.35"/>
    <row r="1212" x14ac:dyDescent="0.35"/>
    <row r="1213" x14ac:dyDescent="0.35"/>
    <row r="1214" x14ac:dyDescent="0.35"/>
    <row r="1215" x14ac:dyDescent="0.35"/>
    <row r="1216" x14ac:dyDescent="0.35"/>
    <row r="1217" x14ac:dyDescent="0.35"/>
    <row r="1218" x14ac:dyDescent="0.35"/>
    <row r="1219" x14ac:dyDescent="0.35"/>
    <row r="1220" x14ac:dyDescent="0.35"/>
    <row r="1221" x14ac:dyDescent="0.35"/>
    <row r="1222" x14ac:dyDescent="0.35"/>
    <row r="1223" x14ac:dyDescent="0.35"/>
    <row r="1224" x14ac:dyDescent="0.35"/>
    <row r="1225" x14ac:dyDescent="0.35"/>
    <row r="1226" x14ac:dyDescent="0.35"/>
    <row r="1227" x14ac:dyDescent="0.35"/>
    <row r="1228" x14ac:dyDescent="0.35"/>
    <row r="1229" x14ac:dyDescent="0.35"/>
    <row r="1230" x14ac:dyDescent="0.35"/>
    <row r="1231" x14ac:dyDescent="0.35"/>
    <row r="1232" x14ac:dyDescent="0.35"/>
    <row r="1233" x14ac:dyDescent="0.35"/>
    <row r="1234" x14ac:dyDescent="0.35"/>
    <row r="1235" x14ac:dyDescent="0.35"/>
    <row r="1236" x14ac:dyDescent="0.35"/>
    <row r="1237" x14ac:dyDescent="0.35"/>
    <row r="1238" x14ac:dyDescent="0.35"/>
    <row r="1239" x14ac:dyDescent="0.35"/>
    <row r="1240" x14ac:dyDescent="0.35"/>
    <row r="1241" x14ac:dyDescent="0.35"/>
    <row r="1242" x14ac:dyDescent="0.35"/>
    <row r="1243" x14ac:dyDescent="0.35"/>
    <row r="1244" x14ac:dyDescent="0.35"/>
    <row r="1245" x14ac:dyDescent="0.35"/>
    <row r="1246" x14ac:dyDescent="0.35"/>
    <row r="1247" x14ac:dyDescent="0.35"/>
    <row r="1248" x14ac:dyDescent="0.35"/>
    <row r="1249" x14ac:dyDescent="0.35"/>
    <row r="1250" x14ac:dyDescent="0.35"/>
    <row r="1251" x14ac:dyDescent="0.35"/>
    <row r="1252" x14ac:dyDescent="0.35"/>
    <row r="1253" x14ac:dyDescent="0.35"/>
    <row r="1254" x14ac:dyDescent="0.35"/>
    <row r="1255" x14ac:dyDescent="0.35"/>
    <row r="1256" x14ac:dyDescent="0.35"/>
    <row r="1257" x14ac:dyDescent="0.35"/>
    <row r="1258" x14ac:dyDescent="0.35"/>
    <row r="1259" x14ac:dyDescent="0.35"/>
    <row r="1260" x14ac:dyDescent="0.35"/>
    <row r="1261" x14ac:dyDescent="0.35"/>
    <row r="1262" x14ac:dyDescent="0.35"/>
    <row r="1263" x14ac:dyDescent="0.35"/>
    <row r="1264" x14ac:dyDescent="0.35"/>
    <row r="1265" x14ac:dyDescent="0.35"/>
    <row r="1266" x14ac:dyDescent="0.35"/>
    <row r="1267" x14ac:dyDescent="0.35"/>
    <row r="1268" x14ac:dyDescent="0.35"/>
    <row r="1269" x14ac:dyDescent="0.35"/>
    <row r="1270" x14ac:dyDescent="0.35"/>
    <row r="1271" x14ac:dyDescent="0.35"/>
    <row r="1272" x14ac:dyDescent="0.35"/>
    <row r="1273" x14ac:dyDescent="0.35"/>
    <row r="1274" x14ac:dyDescent="0.35"/>
    <row r="1275" x14ac:dyDescent="0.35"/>
    <row r="1276" x14ac:dyDescent="0.35"/>
    <row r="1277" x14ac:dyDescent="0.35"/>
    <row r="1278" x14ac:dyDescent="0.35"/>
    <row r="1279" x14ac:dyDescent="0.35"/>
    <row r="1280" x14ac:dyDescent="0.35"/>
    <row r="1281" x14ac:dyDescent="0.35"/>
    <row r="1282" x14ac:dyDescent="0.35"/>
    <row r="1283" x14ac:dyDescent="0.35"/>
    <row r="1284" x14ac:dyDescent="0.35"/>
    <row r="1285" x14ac:dyDescent="0.35"/>
    <row r="1286" x14ac:dyDescent="0.35"/>
    <row r="1287" x14ac:dyDescent="0.35"/>
    <row r="1288" x14ac:dyDescent="0.35"/>
    <row r="1289" x14ac:dyDescent="0.35"/>
    <row r="1290" x14ac:dyDescent="0.35"/>
    <row r="1291" x14ac:dyDescent="0.35"/>
    <row r="1292" x14ac:dyDescent="0.35"/>
    <row r="1293" x14ac:dyDescent="0.35"/>
    <row r="1294" x14ac:dyDescent="0.35"/>
    <row r="1295" x14ac:dyDescent="0.35"/>
    <row r="1296" x14ac:dyDescent="0.35"/>
    <row r="1297" x14ac:dyDescent="0.35"/>
    <row r="1298" x14ac:dyDescent="0.35"/>
    <row r="1299" x14ac:dyDescent="0.35"/>
    <row r="1300" x14ac:dyDescent="0.35"/>
    <row r="1301" x14ac:dyDescent="0.35"/>
    <row r="1302" x14ac:dyDescent="0.35"/>
    <row r="1303" x14ac:dyDescent="0.35"/>
    <row r="1304" x14ac:dyDescent="0.35"/>
    <row r="1305" x14ac:dyDescent="0.35"/>
    <row r="1306" x14ac:dyDescent="0.35"/>
    <row r="1307" x14ac:dyDescent="0.35"/>
    <row r="1308" x14ac:dyDescent="0.35"/>
    <row r="1309" x14ac:dyDescent="0.35"/>
    <row r="1310" x14ac:dyDescent="0.35"/>
    <row r="1311" x14ac:dyDescent="0.35"/>
    <row r="1312" x14ac:dyDescent="0.35"/>
    <row r="1313" x14ac:dyDescent="0.35"/>
    <row r="1314" x14ac:dyDescent="0.35"/>
    <row r="1315" x14ac:dyDescent="0.35"/>
    <row r="1316" x14ac:dyDescent="0.35"/>
    <row r="1317" x14ac:dyDescent="0.35"/>
    <row r="1318" x14ac:dyDescent="0.35"/>
    <row r="1319" x14ac:dyDescent="0.35"/>
    <row r="1320" x14ac:dyDescent="0.35"/>
    <row r="1321" x14ac:dyDescent="0.35"/>
    <row r="1322" x14ac:dyDescent="0.35"/>
    <row r="1323" x14ac:dyDescent="0.35"/>
    <row r="1324" x14ac:dyDescent="0.35"/>
    <row r="1325" x14ac:dyDescent="0.35"/>
    <row r="1326" x14ac:dyDescent="0.35"/>
    <row r="1327" x14ac:dyDescent="0.35"/>
    <row r="1328" x14ac:dyDescent="0.35"/>
    <row r="1329" x14ac:dyDescent="0.35"/>
    <row r="1330" x14ac:dyDescent="0.35"/>
    <row r="1331" x14ac:dyDescent="0.35"/>
    <row r="1332" x14ac:dyDescent="0.35"/>
    <row r="1333" x14ac:dyDescent="0.35"/>
    <row r="1334" x14ac:dyDescent="0.35"/>
    <row r="1335" x14ac:dyDescent="0.35"/>
    <row r="1336" x14ac:dyDescent="0.35"/>
    <row r="1337" x14ac:dyDescent="0.35"/>
    <row r="1338" x14ac:dyDescent="0.35"/>
    <row r="1339" x14ac:dyDescent="0.35"/>
    <row r="1340" x14ac:dyDescent="0.35"/>
    <row r="1341" x14ac:dyDescent="0.35"/>
    <row r="1342" x14ac:dyDescent="0.35"/>
    <row r="1343" x14ac:dyDescent="0.35"/>
    <row r="1344" x14ac:dyDescent="0.35"/>
    <row r="1345" x14ac:dyDescent="0.35"/>
    <row r="1346" x14ac:dyDescent="0.35"/>
    <row r="1347" x14ac:dyDescent="0.35"/>
    <row r="1348" x14ac:dyDescent="0.35"/>
    <row r="1349" x14ac:dyDescent="0.35"/>
    <row r="1350" x14ac:dyDescent="0.35"/>
    <row r="1351" x14ac:dyDescent="0.35"/>
    <row r="1352" x14ac:dyDescent="0.35"/>
    <row r="1353" x14ac:dyDescent="0.35"/>
    <row r="1354" x14ac:dyDescent="0.35"/>
    <row r="1355" x14ac:dyDescent="0.35"/>
    <row r="1356" x14ac:dyDescent="0.35"/>
    <row r="1357" x14ac:dyDescent="0.35"/>
    <row r="1358" x14ac:dyDescent="0.35"/>
    <row r="1359" x14ac:dyDescent="0.35"/>
    <row r="1360" x14ac:dyDescent="0.35"/>
    <row r="1361" x14ac:dyDescent="0.35"/>
    <row r="1362" x14ac:dyDescent="0.35"/>
    <row r="1363" x14ac:dyDescent="0.35"/>
    <row r="1364" x14ac:dyDescent="0.35"/>
    <row r="1365" x14ac:dyDescent="0.35"/>
    <row r="1366" x14ac:dyDescent="0.35"/>
    <row r="1367" x14ac:dyDescent="0.35"/>
    <row r="1368" x14ac:dyDescent="0.35"/>
    <row r="1369" x14ac:dyDescent="0.35"/>
    <row r="1370" x14ac:dyDescent="0.35"/>
    <row r="1371" x14ac:dyDescent="0.35"/>
    <row r="1372" x14ac:dyDescent="0.35"/>
    <row r="1377" x14ac:dyDescent="0.35"/>
    <row r="1378" x14ac:dyDescent="0.35"/>
    <row r="1379" x14ac:dyDescent="0.35"/>
    <row r="1391" x14ac:dyDescent="0.35"/>
    <row r="1392" x14ac:dyDescent="0.35"/>
    <row r="1393" x14ac:dyDescent="0.35"/>
    <row r="1394" x14ac:dyDescent="0.35"/>
    <row r="1395" x14ac:dyDescent="0.35"/>
    <row r="1396" x14ac:dyDescent="0.35"/>
    <row r="1397" x14ac:dyDescent="0.35"/>
    <row r="1398" x14ac:dyDescent="0.35"/>
    <row r="1399" x14ac:dyDescent="0.35"/>
    <row r="1400" x14ac:dyDescent="0.35"/>
    <row r="1401" x14ac:dyDescent="0.35"/>
    <row r="1402" x14ac:dyDescent="0.35"/>
    <row r="1403" x14ac:dyDescent="0.35"/>
    <row r="1404" x14ac:dyDescent="0.35"/>
    <row r="1405" x14ac:dyDescent="0.35"/>
    <row r="1406" x14ac:dyDescent="0.35"/>
    <row r="1407" x14ac:dyDescent="0.35"/>
    <row r="1408" x14ac:dyDescent="0.35"/>
    <row r="1409" x14ac:dyDescent="0.35"/>
    <row r="1410" x14ac:dyDescent="0.35"/>
    <row r="1411" x14ac:dyDescent="0.35"/>
    <row r="1412" x14ac:dyDescent="0.35"/>
    <row r="1413" x14ac:dyDescent="0.35"/>
    <row r="1414" x14ac:dyDescent="0.35"/>
    <row r="1415" x14ac:dyDescent="0.35"/>
    <row r="1416" x14ac:dyDescent="0.35"/>
    <row r="1417" x14ac:dyDescent="0.35"/>
    <row r="1418" x14ac:dyDescent="0.35"/>
    <row r="1419" x14ac:dyDescent="0.35"/>
    <row r="1420" x14ac:dyDescent="0.35"/>
    <row r="1421" x14ac:dyDescent="0.35"/>
    <row r="1422" x14ac:dyDescent="0.35"/>
    <row r="1423" x14ac:dyDescent="0.35"/>
    <row r="1424" x14ac:dyDescent="0.35"/>
    <row r="1425" x14ac:dyDescent="0.35"/>
    <row r="1426" x14ac:dyDescent="0.35"/>
    <row r="1427" x14ac:dyDescent="0.35"/>
    <row r="1428" x14ac:dyDescent="0.35"/>
    <row r="1429" x14ac:dyDescent="0.35"/>
    <row r="1430" x14ac:dyDescent="0.35"/>
    <row r="1431" x14ac:dyDescent="0.35"/>
    <row r="1432" x14ac:dyDescent="0.35"/>
    <row r="1433" x14ac:dyDescent="0.35"/>
    <row r="1434" x14ac:dyDescent="0.35"/>
    <row r="1435" x14ac:dyDescent="0.35"/>
    <row r="1436" x14ac:dyDescent="0.35"/>
    <row r="1437" x14ac:dyDescent="0.35"/>
    <row r="1438" x14ac:dyDescent="0.35"/>
    <row r="1439" x14ac:dyDescent="0.35"/>
    <row r="1440" x14ac:dyDescent="0.35"/>
    <row r="1441" x14ac:dyDescent="0.35"/>
    <row r="1442" x14ac:dyDescent="0.35"/>
    <row r="1443" x14ac:dyDescent="0.35"/>
    <row r="1444" x14ac:dyDescent="0.35"/>
    <row r="1445" x14ac:dyDescent="0.35"/>
    <row r="1446" x14ac:dyDescent="0.35"/>
    <row r="1447" x14ac:dyDescent="0.35"/>
    <row r="1448" x14ac:dyDescent="0.35"/>
    <row r="1449" x14ac:dyDescent="0.35"/>
    <row r="1450" x14ac:dyDescent="0.35"/>
    <row r="1451" x14ac:dyDescent="0.35"/>
    <row r="1452" x14ac:dyDescent="0.35"/>
    <row r="1453" x14ac:dyDescent="0.35"/>
    <row r="1454" x14ac:dyDescent="0.35"/>
    <row r="1455" x14ac:dyDescent="0.35"/>
    <row r="1456" x14ac:dyDescent="0.35"/>
    <row r="1489" x14ac:dyDescent="0.35"/>
    <row r="1490" x14ac:dyDescent="0.35"/>
    <row r="1491" x14ac:dyDescent="0.35"/>
    <row r="1497" x14ac:dyDescent="0.35"/>
    <row r="1498" x14ac:dyDescent="0.35"/>
    <row r="1499" x14ac:dyDescent="0.35"/>
    <row r="1500" x14ac:dyDescent="0.35"/>
    <row r="1501" x14ac:dyDescent="0.35"/>
    <row r="1502" x14ac:dyDescent="0.35"/>
    <row r="1503" x14ac:dyDescent="0.35"/>
    <row r="1504" x14ac:dyDescent="0.35"/>
    <row r="1505" x14ac:dyDescent="0.35"/>
    <row r="1506" x14ac:dyDescent="0.35"/>
    <row r="1507" x14ac:dyDescent="0.35"/>
    <row r="1508" x14ac:dyDescent="0.35"/>
    <row r="1509" x14ac:dyDescent="0.35"/>
    <row r="1510" x14ac:dyDescent="0.35"/>
    <row r="1511" x14ac:dyDescent="0.35"/>
    <row r="1512" x14ac:dyDescent="0.35"/>
    <row r="1513" x14ac:dyDescent="0.35"/>
    <row r="1514" x14ac:dyDescent="0.35"/>
    <row r="1515" x14ac:dyDescent="0.35"/>
    <row r="1516" x14ac:dyDescent="0.35"/>
    <row r="1517" x14ac:dyDescent="0.35"/>
    <row r="1518" x14ac:dyDescent="0.35"/>
    <row r="1519" x14ac:dyDescent="0.35"/>
    <row r="1520" x14ac:dyDescent="0.35"/>
    <row r="1521" x14ac:dyDescent="0.35"/>
    <row r="1522" x14ac:dyDescent="0.35"/>
    <row r="1523" x14ac:dyDescent="0.35"/>
    <row r="1524" x14ac:dyDescent="0.35"/>
    <row r="1525" x14ac:dyDescent="0.35"/>
    <row r="1526" x14ac:dyDescent="0.35"/>
    <row r="1527" x14ac:dyDescent="0.35"/>
    <row r="1528" x14ac:dyDescent="0.35"/>
    <row r="1529" x14ac:dyDescent="0.35"/>
    <row r="1530" x14ac:dyDescent="0.35"/>
    <row r="1531" x14ac:dyDescent="0.35"/>
    <row r="1532" x14ac:dyDescent="0.35"/>
    <row r="1533" x14ac:dyDescent="0.35"/>
    <row r="1534" x14ac:dyDescent="0.35"/>
    <row r="1535" x14ac:dyDescent="0.35"/>
    <row r="1536" x14ac:dyDescent="0.35"/>
    <row r="1537" x14ac:dyDescent="0.35"/>
    <row r="1538" x14ac:dyDescent="0.35"/>
    <row r="1539" x14ac:dyDescent="0.35"/>
    <row r="1540" x14ac:dyDescent="0.35"/>
    <row r="1541" x14ac:dyDescent="0.35"/>
    <row r="1542" x14ac:dyDescent="0.35"/>
    <row r="1543" x14ac:dyDescent="0.35"/>
    <row r="1544" x14ac:dyDescent="0.35"/>
    <row r="1545" x14ac:dyDescent="0.35"/>
    <row r="1546" x14ac:dyDescent="0.35"/>
    <row r="1547" x14ac:dyDescent="0.35"/>
    <row r="1548" x14ac:dyDescent="0.35"/>
    <row r="1549" x14ac:dyDescent="0.35"/>
    <row r="1550" x14ac:dyDescent="0.35"/>
    <row r="1551" x14ac:dyDescent="0.35"/>
    <row r="1552" x14ac:dyDescent="0.35"/>
    <row r="1553" x14ac:dyDescent="0.35"/>
    <row r="1554" x14ac:dyDescent="0.35"/>
    <row r="1555" x14ac:dyDescent="0.35"/>
    <row r="1556" x14ac:dyDescent="0.35"/>
    <row r="1557" x14ac:dyDescent="0.35"/>
    <row r="1558" x14ac:dyDescent="0.35"/>
    <row r="1559" x14ac:dyDescent="0.35"/>
    <row r="1560" x14ac:dyDescent="0.35"/>
    <row r="1561" x14ac:dyDescent="0.35"/>
    <row r="1562" x14ac:dyDescent="0.35"/>
    <row r="1563" x14ac:dyDescent="0.35"/>
    <row r="1564" x14ac:dyDescent="0.35"/>
    <row r="1565" x14ac:dyDescent="0.35"/>
    <row r="1566" x14ac:dyDescent="0.35"/>
    <row r="1567" x14ac:dyDescent="0.35"/>
    <row r="1568" x14ac:dyDescent="0.35"/>
    <row r="1569" x14ac:dyDescent="0.35"/>
    <row r="1570" x14ac:dyDescent="0.35"/>
    <row r="1571" x14ac:dyDescent="0.35"/>
    <row r="1572" x14ac:dyDescent="0.35"/>
    <row r="1573" x14ac:dyDescent="0.35"/>
    <row r="1574" x14ac:dyDescent="0.35"/>
    <row r="1575" x14ac:dyDescent="0.35"/>
    <row r="1576" x14ac:dyDescent="0.35"/>
    <row r="1577" x14ac:dyDescent="0.35"/>
    <row r="1578" x14ac:dyDescent="0.35"/>
    <row r="1579" x14ac:dyDescent="0.35"/>
    <row r="1580" x14ac:dyDescent="0.35"/>
    <row r="1581" x14ac:dyDescent="0.35"/>
    <row r="1582" x14ac:dyDescent="0.35"/>
    <row r="1583" x14ac:dyDescent="0.35"/>
    <row r="1584" x14ac:dyDescent="0.35"/>
    <row r="1585" x14ac:dyDescent="0.35"/>
    <row r="1586" x14ac:dyDescent="0.35"/>
    <row r="1587" x14ac:dyDescent="0.35"/>
    <row r="1588" x14ac:dyDescent="0.35"/>
    <row r="1589" x14ac:dyDescent="0.35"/>
    <row r="1590" x14ac:dyDescent="0.35"/>
    <row r="1591" x14ac:dyDescent="0.35"/>
    <row r="1592" x14ac:dyDescent="0.35"/>
    <row r="1593" x14ac:dyDescent="0.35"/>
    <row r="1594" x14ac:dyDescent="0.35"/>
    <row r="1595" x14ac:dyDescent="0.35"/>
    <row r="1596" x14ac:dyDescent="0.35"/>
    <row r="1597" x14ac:dyDescent="0.35"/>
    <row r="1598" x14ac:dyDescent="0.35"/>
    <row r="1599" x14ac:dyDescent="0.35"/>
    <row r="1600" x14ac:dyDescent="0.35"/>
    <row r="1601" x14ac:dyDescent="0.35"/>
    <row r="1602" x14ac:dyDescent="0.35"/>
    <row r="1603" x14ac:dyDescent="0.35"/>
    <row r="1604" x14ac:dyDescent="0.35"/>
    <row r="1605" x14ac:dyDescent="0.35"/>
    <row r="1606" x14ac:dyDescent="0.35"/>
    <row r="1607" x14ac:dyDescent="0.35"/>
    <row r="1608" x14ac:dyDescent="0.35"/>
    <row r="1609" x14ac:dyDescent="0.35"/>
    <row r="1610" x14ac:dyDescent="0.35"/>
    <row r="1611" x14ac:dyDescent="0.35"/>
    <row r="1612" x14ac:dyDescent="0.35"/>
    <row r="1613" x14ac:dyDescent="0.35"/>
    <row r="1614" x14ac:dyDescent="0.35"/>
    <row r="1615" x14ac:dyDescent="0.35"/>
    <row r="1616" x14ac:dyDescent="0.35"/>
    <row r="1617" x14ac:dyDescent="0.35"/>
    <row r="1618" x14ac:dyDescent="0.35"/>
    <row r="1619" x14ac:dyDescent="0.35"/>
    <row r="1620" x14ac:dyDescent="0.35"/>
    <row r="1621" x14ac:dyDescent="0.35"/>
    <row r="1622" x14ac:dyDescent="0.35"/>
    <row r="1623" x14ac:dyDescent="0.35"/>
    <row r="1624" x14ac:dyDescent="0.35"/>
    <row r="1625" x14ac:dyDescent="0.35"/>
    <row r="1626" x14ac:dyDescent="0.35"/>
    <row r="1627" x14ac:dyDescent="0.35"/>
    <row r="1628" x14ac:dyDescent="0.35"/>
    <row r="1629" x14ac:dyDescent="0.35"/>
    <row r="1630" x14ac:dyDescent="0.35"/>
    <row r="1631" x14ac:dyDescent="0.35"/>
    <row r="1632" x14ac:dyDescent="0.35"/>
    <row r="1633" x14ac:dyDescent="0.35"/>
    <row r="1634" x14ac:dyDescent="0.35"/>
    <row r="1635" x14ac:dyDescent="0.35"/>
    <row r="1636" x14ac:dyDescent="0.35"/>
    <row r="1637" x14ac:dyDescent="0.35"/>
    <row r="1638" x14ac:dyDescent="0.35"/>
    <row r="1639" x14ac:dyDescent="0.35"/>
    <row r="1640" x14ac:dyDescent="0.35"/>
    <row r="1641" x14ac:dyDescent="0.35"/>
    <row r="1642" x14ac:dyDescent="0.35"/>
    <row r="1643" x14ac:dyDescent="0.35"/>
    <row r="1644" x14ac:dyDescent="0.35"/>
    <row r="1645" x14ac:dyDescent="0.35"/>
    <row r="1646" x14ac:dyDescent="0.35"/>
    <row r="1647" x14ac:dyDescent="0.35"/>
    <row r="1648" x14ac:dyDescent="0.35"/>
    <row r="1649" x14ac:dyDescent="0.35"/>
    <row r="1650" x14ac:dyDescent="0.35"/>
    <row r="1651" x14ac:dyDescent="0.35"/>
    <row r="1652" x14ac:dyDescent="0.35"/>
    <row r="1653" x14ac:dyDescent="0.35"/>
    <row r="1665" x14ac:dyDescent="0.35"/>
    <row r="1666" x14ac:dyDescent="0.35"/>
    <row r="1667" x14ac:dyDescent="0.35"/>
    <row r="1674" x14ac:dyDescent="0.35"/>
    <row r="1675" x14ac:dyDescent="0.35"/>
    <row r="1676" x14ac:dyDescent="0.35"/>
    <row r="1677" x14ac:dyDescent="0.35"/>
    <row r="1678" x14ac:dyDescent="0.35"/>
    <row r="1679" x14ac:dyDescent="0.35"/>
    <row r="1680" x14ac:dyDescent="0.35"/>
    <row r="1681" x14ac:dyDescent="0.35"/>
    <row r="1682" x14ac:dyDescent="0.35"/>
    <row r="1683" x14ac:dyDescent="0.35"/>
    <row r="1684" x14ac:dyDescent="0.35"/>
    <row r="1685" x14ac:dyDescent="0.35"/>
    <row r="1686" x14ac:dyDescent="0.35"/>
    <row r="1687" x14ac:dyDescent="0.35"/>
    <row r="1688" x14ac:dyDescent="0.35"/>
    <row r="1689" x14ac:dyDescent="0.35"/>
    <row r="1690" x14ac:dyDescent="0.35"/>
    <row r="1691" x14ac:dyDescent="0.35"/>
    <row r="1692" x14ac:dyDescent="0.35"/>
    <row r="1693" x14ac:dyDescent="0.35"/>
    <row r="1694" x14ac:dyDescent="0.35"/>
    <row r="1695" x14ac:dyDescent="0.35"/>
    <row r="1696" x14ac:dyDescent="0.35"/>
    <row r="1697" x14ac:dyDescent="0.35"/>
    <row r="1698" x14ac:dyDescent="0.35"/>
    <row r="1699" x14ac:dyDescent="0.35"/>
    <row r="1700" x14ac:dyDescent="0.35"/>
    <row r="1701" x14ac:dyDescent="0.35"/>
    <row r="1702" x14ac:dyDescent="0.35"/>
    <row r="1703" x14ac:dyDescent="0.35"/>
    <row r="1704" x14ac:dyDescent="0.35"/>
    <row r="1705" x14ac:dyDescent="0.35"/>
    <row r="1706" x14ac:dyDescent="0.35"/>
    <row r="1707" x14ac:dyDescent="0.35"/>
    <row r="1708" x14ac:dyDescent="0.35"/>
    <row r="1709" x14ac:dyDescent="0.35"/>
    <row r="1710" x14ac:dyDescent="0.35"/>
    <row r="1711" x14ac:dyDescent="0.35"/>
    <row r="1712" x14ac:dyDescent="0.35"/>
    <row r="1713" x14ac:dyDescent="0.35"/>
    <row r="1714" x14ac:dyDescent="0.35"/>
    <row r="1715" x14ac:dyDescent="0.35"/>
    <row r="1716" x14ac:dyDescent="0.35"/>
    <row r="1717" x14ac:dyDescent="0.35"/>
    <row r="1718" x14ac:dyDescent="0.35"/>
    <row r="1719" x14ac:dyDescent="0.35"/>
    <row r="1720" x14ac:dyDescent="0.35"/>
    <row r="1721" x14ac:dyDescent="0.35"/>
    <row r="1722" x14ac:dyDescent="0.35"/>
    <row r="1723" x14ac:dyDescent="0.35"/>
    <row r="1724" x14ac:dyDescent="0.35"/>
    <row r="1725" x14ac:dyDescent="0.35"/>
    <row r="1726" x14ac:dyDescent="0.35"/>
    <row r="1729" x14ac:dyDescent="0.35"/>
    <row r="1730" x14ac:dyDescent="0.35"/>
    <row r="1731" x14ac:dyDescent="0.35"/>
    <row r="1738" x14ac:dyDescent="0.35"/>
    <row r="1739" x14ac:dyDescent="0.35"/>
    <row r="1740" x14ac:dyDescent="0.35"/>
    <row r="1741" x14ac:dyDescent="0.35"/>
    <row r="1742" x14ac:dyDescent="0.35"/>
    <row r="1743" x14ac:dyDescent="0.35"/>
    <row r="1744" x14ac:dyDescent="0.35"/>
    <row r="1745" x14ac:dyDescent="0.35"/>
    <row r="1746" x14ac:dyDescent="0.35"/>
    <row r="1747" x14ac:dyDescent="0.35"/>
    <row r="1748" x14ac:dyDescent="0.35"/>
    <row r="1749" x14ac:dyDescent="0.35"/>
    <row r="1750" x14ac:dyDescent="0.35"/>
    <row r="1751" x14ac:dyDescent="0.35"/>
    <row r="1752" x14ac:dyDescent="0.35"/>
    <row r="1753" x14ac:dyDescent="0.35"/>
    <row r="1754" x14ac:dyDescent="0.35"/>
    <row r="1755" x14ac:dyDescent="0.35"/>
    <row r="1756" x14ac:dyDescent="0.35"/>
    <row r="1757" x14ac:dyDescent="0.35"/>
    <row r="1758" x14ac:dyDescent="0.35"/>
    <row r="1759" x14ac:dyDescent="0.35"/>
    <row r="1760" x14ac:dyDescent="0.35"/>
    <row r="1761" x14ac:dyDescent="0.35"/>
    <row r="1762" x14ac:dyDescent="0.35"/>
    <row r="1763" x14ac:dyDescent="0.35"/>
    <row r="1764" x14ac:dyDescent="0.35"/>
    <row r="1765" x14ac:dyDescent="0.35"/>
    <row r="1766" x14ac:dyDescent="0.35"/>
    <row r="1767" x14ac:dyDescent="0.35"/>
    <row r="1768" x14ac:dyDescent="0.35"/>
    <row r="1769" x14ac:dyDescent="0.35"/>
    <row r="1770" x14ac:dyDescent="0.35"/>
    <row r="1771" x14ac:dyDescent="0.35"/>
    <row r="1772" x14ac:dyDescent="0.35"/>
    <row r="1773" x14ac:dyDescent="0.35"/>
    <row r="1774" x14ac:dyDescent="0.35"/>
    <row r="1777" x14ac:dyDescent="0.35"/>
    <row r="1778" x14ac:dyDescent="0.35"/>
    <row r="1779" x14ac:dyDescent="0.35"/>
    <row r="1786" x14ac:dyDescent="0.35"/>
    <row r="1787" x14ac:dyDescent="0.35"/>
    <row r="1788" x14ac:dyDescent="0.35"/>
    <row r="1789" x14ac:dyDescent="0.35"/>
    <row r="1790" x14ac:dyDescent="0.35"/>
    <row r="1791" x14ac:dyDescent="0.35"/>
    <row r="1792" x14ac:dyDescent="0.35"/>
    <row r="1793" x14ac:dyDescent="0.35"/>
    <row r="1794" x14ac:dyDescent="0.35"/>
    <row r="1795" x14ac:dyDescent="0.35"/>
    <row r="1796" x14ac:dyDescent="0.35"/>
    <row r="1797" x14ac:dyDescent="0.35"/>
    <row r="1798" x14ac:dyDescent="0.35"/>
    <row r="1799" x14ac:dyDescent="0.35"/>
    <row r="1800" x14ac:dyDescent="0.35"/>
    <row r="1801" x14ac:dyDescent="0.35"/>
    <row r="1802" x14ac:dyDescent="0.35"/>
    <row r="1803" x14ac:dyDescent="0.35"/>
    <row r="1804" x14ac:dyDescent="0.35"/>
    <row r="1805" x14ac:dyDescent="0.35"/>
    <row r="1806" x14ac:dyDescent="0.35"/>
    <row r="1807" x14ac:dyDescent="0.35"/>
    <row r="1808" x14ac:dyDescent="0.35"/>
    <row r="1809" x14ac:dyDescent="0.35"/>
    <row r="1810" x14ac:dyDescent="0.35"/>
    <row r="1811" x14ac:dyDescent="0.35"/>
    <row r="1812" x14ac:dyDescent="0.35"/>
    <row r="1813" x14ac:dyDescent="0.35"/>
    <row r="1814" x14ac:dyDescent="0.35"/>
    <row r="1815" x14ac:dyDescent="0.35"/>
    <row r="1816" x14ac:dyDescent="0.35"/>
    <row r="1817" x14ac:dyDescent="0.35"/>
    <row r="1818" x14ac:dyDescent="0.35"/>
    <row r="1819" x14ac:dyDescent="0.35"/>
    <row r="1820" x14ac:dyDescent="0.35"/>
    <row r="1821" x14ac:dyDescent="0.35"/>
    <row r="1822" x14ac:dyDescent="0.35"/>
    <row r="1825" x14ac:dyDescent="0.35"/>
    <row r="1826" x14ac:dyDescent="0.35"/>
    <row r="1827" x14ac:dyDescent="0.35"/>
    <row r="1834" x14ac:dyDescent="0.35"/>
    <row r="1835" x14ac:dyDescent="0.35"/>
    <row r="1836" x14ac:dyDescent="0.35"/>
    <row r="1837" x14ac:dyDescent="0.35"/>
    <row r="1838" x14ac:dyDescent="0.35"/>
    <row r="1839" x14ac:dyDescent="0.35"/>
    <row r="1840" x14ac:dyDescent="0.35"/>
    <row r="1841" x14ac:dyDescent="0.35"/>
    <row r="1842" x14ac:dyDescent="0.35"/>
    <row r="1843" x14ac:dyDescent="0.35"/>
    <row r="1844" x14ac:dyDescent="0.35"/>
    <row r="1845" x14ac:dyDescent="0.35"/>
    <row r="1846" x14ac:dyDescent="0.35"/>
    <row r="1847" x14ac:dyDescent="0.35"/>
    <row r="1848" x14ac:dyDescent="0.35"/>
    <row r="1849" x14ac:dyDescent="0.35"/>
    <row r="1850" x14ac:dyDescent="0.35"/>
    <row r="1851" x14ac:dyDescent="0.35"/>
    <row r="1852" x14ac:dyDescent="0.35"/>
    <row r="1853" x14ac:dyDescent="0.35"/>
    <row r="1854" x14ac:dyDescent="0.35"/>
    <row r="1855" x14ac:dyDescent="0.35"/>
    <row r="1856" x14ac:dyDescent="0.35"/>
    <row r="1857" x14ac:dyDescent="0.35"/>
    <row r="1858" x14ac:dyDescent="0.35"/>
    <row r="1859" x14ac:dyDescent="0.35"/>
    <row r="1860" x14ac:dyDescent="0.35"/>
    <row r="1861" x14ac:dyDescent="0.35"/>
    <row r="1862" x14ac:dyDescent="0.35"/>
    <row r="1863" x14ac:dyDescent="0.35"/>
    <row r="1864" x14ac:dyDescent="0.35"/>
    <row r="1865" x14ac:dyDescent="0.35"/>
    <row r="1866" x14ac:dyDescent="0.35"/>
    <row r="1867" x14ac:dyDescent="0.35"/>
    <row r="1868" x14ac:dyDescent="0.35"/>
    <row r="1871" x14ac:dyDescent="0.35"/>
    <row r="1872" x14ac:dyDescent="0.35"/>
    <row r="1873" x14ac:dyDescent="0.35"/>
    <row r="1874" x14ac:dyDescent="0.35"/>
    <row r="1875" x14ac:dyDescent="0.35"/>
    <row r="1876" x14ac:dyDescent="0.35"/>
    <row r="1877" x14ac:dyDescent="0.35"/>
    <row r="1878" x14ac:dyDescent="0.35"/>
    <row r="1879" x14ac:dyDescent="0.35"/>
    <row r="1880" x14ac:dyDescent="0.35"/>
    <row r="1881" x14ac:dyDescent="0.35"/>
    <row r="1887" x14ac:dyDescent="0.35"/>
    <row r="1888" x14ac:dyDescent="0.35"/>
    <row r="1889" x14ac:dyDescent="0.35"/>
    <row r="1890" x14ac:dyDescent="0.35"/>
    <row r="1891" x14ac:dyDescent="0.35"/>
    <row r="1892" x14ac:dyDescent="0.35"/>
    <row r="1893" x14ac:dyDescent="0.35"/>
    <row r="1894" x14ac:dyDescent="0.35"/>
    <row r="1895" x14ac:dyDescent="0.35"/>
    <row r="1896" x14ac:dyDescent="0.35"/>
    <row r="1897" x14ac:dyDescent="0.35"/>
    <row r="1900" x14ac:dyDescent="0.35"/>
    <row r="1901" x14ac:dyDescent="0.35"/>
    <row r="1902" x14ac:dyDescent="0.35"/>
    <row r="1903" x14ac:dyDescent="0.35"/>
    <row r="1904" x14ac:dyDescent="0.35"/>
    <row r="1905" x14ac:dyDescent="0.35"/>
    <row r="1906" x14ac:dyDescent="0.35"/>
    <row r="1907" x14ac:dyDescent="0.35"/>
    <row r="1908" x14ac:dyDescent="0.35"/>
    <row r="1909" x14ac:dyDescent="0.35"/>
    <row r="1916" x14ac:dyDescent="0.35"/>
    <row r="1917" x14ac:dyDescent="0.35"/>
    <row r="1918" x14ac:dyDescent="0.35"/>
    <row r="1919" x14ac:dyDescent="0.35"/>
    <row r="1920" x14ac:dyDescent="0.35"/>
    <row r="1921" x14ac:dyDescent="0.35"/>
    <row r="1922" x14ac:dyDescent="0.35"/>
    <row r="1923" x14ac:dyDescent="0.35"/>
    <row r="1924" x14ac:dyDescent="0.35"/>
    <row r="1925" x14ac:dyDescent="0.35"/>
    <row r="1953" x14ac:dyDescent="0.35"/>
    <row r="1954" x14ac:dyDescent="0.35"/>
    <row r="1955" x14ac:dyDescent="0.35"/>
    <row r="1964" x14ac:dyDescent="0.35"/>
    <row r="1965" x14ac:dyDescent="0.35"/>
    <row r="1966" x14ac:dyDescent="0.35"/>
    <row r="1967" x14ac:dyDescent="0.35"/>
    <row r="1968" x14ac:dyDescent="0.35"/>
    <row r="1969" x14ac:dyDescent="0.35"/>
    <row r="1970" x14ac:dyDescent="0.35"/>
    <row r="1971" x14ac:dyDescent="0.35"/>
    <row r="1972" x14ac:dyDescent="0.35"/>
    <row r="1973" x14ac:dyDescent="0.35"/>
    <row r="1974" x14ac:dyDescent="0.35"/>
    <row r="1975" x14ac:dyDescent="0.35"/>
    <row r="1976" x14ac:dyDescent="0.35"/>
    <row r="1977" x14ac:dyDescent="0.35"/>
    <row r="1978" x14ac:dyDescent="0.35"/>
    <row r="1979" x14ac:dyDescent="0.35"/>
    <row r="1980" x14ac:dyDescent="0.35"/>
    <row r="1981" x14ac:dyDescent="0.35"/>
    <row r="1982" x14ac:dyDescent="0.35"/>
    <row r="1983" x14ac:dyDescent="0.35"/>
    <row r="1984" x14ac:dyDescent="0.35"/>
    <row r="1985" x14ac:dyDescent="0.35"/>
    <row r="1986" x14ac:dyDescent="0.35"/>
    <row r="1987" x14ac:dyDescent="0.35"/>
    <row r="1988" x14ac:dyDescent="0.35"/>
    <row r="1989" x14ac:dyDescent="0.35"/>
    <row r="1990" x14ac:dyDescent="0.35"/>
    <row r="1991" x14ac:dyDescent="0.35"/>
    <row r="1992" x14ac:dyDescent="0.35"/>
    <row r="1993" x14ac:dyDescent="0.35"/>
    <row r="1994" x14ac:dyDescent="0.35"/>
    <row r="1995" x14ac:dyDescent="0.35"/>
    <row r="1996" x14ac:dyDescent="0.35"/>
    <row r="1997" x14ac:dyDescent="0.35"/>
    <row r="1998" x14ac:dyDescent="0.35"/>
    <row r="1999" x14ac:dyDescent="0.35"/>
    <row r="2000" x14ac:dyDescent="0.35"/>
    <row r="2001" x14ac:dyDescent="0.35"/>
    <row r="2002" x14ac:dyDescent="0.35"/>
    <row r="2003" x14ac:dyDescent="0.35"/>
    <row r="2004" x14ac:dyDescent="0.35"/>
    <row r="2005" x14ac:dyDescent="0.35"/>
    <row r="2006" x14ac:dyDescent="0.35"/>
    <row r="2007" x14ac:dyDescent="0.35"/>
    <row r="2008" x14ac:dyDescent="0.35"/>
    <row r="2009" x14ac:dyDescent="0.35"/>
    <row r="2010" x14ac:dyDescent="0.35"/>
    <row r="2011" x14ac:dyDescent="0.35"/>
    <row r="2012" x14ac:dyDescent="0.35"/>
    <row r="2013" x14ac:dyDescent="0.35"/>
    <row r="2014" x14ac:dyDescent="0.35"/>
    <row r="2015" x14ac:dyDescent="0.35"/>
    <row r="2016" x14ac:dyDescent="0.35"/>
    <row r="2017" x14ac:dyDescent="0.35"/>
    <row r="2018" x14ac:dyDescent="0.35"/>
    <row r="2019" x14ac:dyDescent="0.35"/>
    <row r="2020" x14ac:dyDescent="0.35"/>
    <row r="2021" x14ac:dyDescent="0.35"/>
    <row r="2022" x14ac:dyDescent="0.35"/>
    <row r="2023" x14ac:dyDescent="0.35"/>
    <row r="2024" x14ac:dyDescent="0.35"/>
    <row r="2025" x14ac:dyDescent="0.35"/>
    <row r="2026" x14ac:dyDescent="0.35"/>
    <row r="2027" x14ac:dyDescent="0.35"/>
    <row r="2028" x14ac:dyDescent="0.35"/>
    <row r="2029" x14ac:dyDescent="0.35"/>
    <row r="2030" x14ac:dyDescent="0.35"/>
    <row r="2031" x14ac:dyDescent="0.35"/>
    <row r="2032" x14ac:dyDescent="0.35"/>
    <row r="2033" x14ac:dyDescent="0.35"/>
    <row r="2034" x14ac:dyDescent="0.35"/>
    <row r="2035" x14ac:dyDescent="0.35"/>
    <row r="2036" x14ac:dyDescent="0.35"/>
    <row r="2037" x14ac:dyDescent="0.35"/>
    <row r="2038" x14ac:dyDescent="0.35"/>
    <row r="2039" x14ac:dyDescent="0.35"/>
    <row r="2040" x14ac:dyDescent="0.35"/>
    <row r="2041" x14ac:dyDescent="0.35"/>
    <row r="2042" x14ac:dyDescent="0.35"/>
    <row r="2043" x14ac:dyDescent="0.35"/>
    <row r="2044" x14ac:dyDescent="0.35"/>
    <row r="2045" x14ac:dyDescent="0.35"/>
    <row r="2046" x14ac:dyDescent="0.35"/>
    <row r="2047" x14ac:dyDescent="0.35"/>
    <row r="2048" x14ac:dyDescent="0.35"/>
    <row r="2049" x14ac:dyDescent="0.35"/>
    <row r="2050" x14ac:dyDescent="0.35"/>
    <row r="2051" x14ac:dyDescent="0.35"/>
    <row r="2052" x14ac:dyDescent="0.35"/>
    <row r="2053" x14ac:dyDescent="0.35"/>
    <row r="2054" x14ac:dyDescent="0.35"/>
    <row r="2055" x14ac:dyDescent="0.35"/>
    <row r="2056" x14ac:dyDescent="0.35"/>
    <row r="2057" x14ac:dyDescent="0.35"/>
    <row r="2058" x14ac:dyDescent="0.35"/>
    <row r="2059" x14ac:dyDescent="0.35"/>
    <row r="2060" x14ac:dyDescent="0.35"/>
    <row r="2061" x14ac:dyDescent="0.35"/>
    <row r="2062" x14ac:dyDescent="0.35"/>
    <row r="2063" x14ac:dyDescent="0.35"/>
    <row r="2064" x14ac:dyDescent="0.35"/>
    <row r="2065" x14ac:dyDescent="0.35"/>
    <row r="2066" x14ac:dyDescent="0.35"/>
    <row r="2067" x14ac:dyDescent="0.35"/>
    <row r="2068" x14ac:dyDescent="0.35"/>
    <row r="2069" x14ac:dyDescent="0.35"/>
    <row r="2070" x14ac:dyDescent="0.35"/>
    <row r="2071" x14ac:dyDescent="0.35"/>
    <row r="2072" x14ac:dyDescent="0.35"/>
    <row r="2073" x14ac:dyDescent="0.35"/>
    <row r="2074" x14ac:dyDescent="0.35"/>
    <row r="2075" x14ac:dyDescent="0.35"/>
    <row r="2076" x14ac:dyDescent="0.35"/>
    <row r="2077" x14ac:dyDescent="0.35"/>
    <row r="2078" x14ac:dyDescent="0.35"/>
    <row r="2079" x14ac:dyDescent="0.35"/>
    <row r="2080" x14ac:dyDescent="0.35"/>
    <row r="2081" x14ac:dyDescent="0.35"/>
    <row r="2082" x14ac:dyDescent="0.35"/>
    <row r="2083" x14ac:dyDescent="0.35"/>
    <row r="2084" x14ac:dyDescent="0.35"/>
    <row r="2085" x14ac:dyDescent="0.35"/>
    <row r="2086" x14ac:dyDescent="0.35"/>
    <row r="2087" x14ac:dyDescent="0.35"/>
    <row r="2088" x14ac:dyDescent="0.35"/>
    <row r="2089" x14ac:dyDescent="0.35"/>
    <row r="2090" x14ac:dyDescent="0.35"/>
    <row r="2091" x14ac:dyDescent="0.35"/>
    <row r="2092" x14ac:dyDescent="0.35"/>
    <row r="2093" x14ac:dyDescent="0.35"/>
    <row r="2094" x14ac:dyDescent="0.35"/>
    <row r="2095" x14ac:dyDescent="0.35"/>
    <row r="2096" x14ac:dyDescent="0.35"/>
    <row r="2097" x14ac:dyDescent="0.35"/>
    <row r="2098" x14ac:dyDescent="0.35"/>
    <row r="2099" x14ac:dyDescent="0.35"/>
    <row r="2100" x14ac:dyDescent="0.35"/>
    <row r="2101" x14ac:dyDescent="0.35"/>
    <row r="2102" x14ac:dyDescent="0.35"/>
    <row r="2103" x14ac:dyDescent="0.35"/>
    <row r="2104" x14ac:dyDescent="0.35"/>
    <row r="2105" x14ac:dyDescent="0.35"/>
    <row r="2106" x14ac:dyDescent="0.35"/>
    <row r="2107" x14ac:dyDescent="0.35"/>
    <row r="2108" x14ac:dyDescent="0.35"/>
    <row r="2109" x14ac:dyDescent="0.35"/>
    <row r="2110" x14ac:dyDescent="0.35"/>
    <row r="2111" x14ac:dyDescent="0.35"/>
    <row r="2112" x14ac:dyDescent="0.35"/>
    <row r="2113" x14ac:dyDescent="0.35"/>
    <row r="2114" x14ac:dyDescent="0.35"/>
    <row r="2115" x14ac:dyDescent="0.35"/>
    <row r="2116" x14ac:dyDescent="0.35"/>
    <row r="2117" x14ac:dyDescent="0.35"/>
    <row r="2118" x14ac:dyDescent="0.35"/>
    <row r="2119" x14ac:dyDescent="0.35"/>
    <row r="2120" x14ac:dyDescent="0.35"/>
    <row r="2121" x14ac:dyDescent="0.35"/>
    <row r="2122" x14ac:dyDescent="0.35"/>
    <row r="2123" x14ac:dyDescent="0.35"/>
    <row r="2124" x14ac:dyDescent="0.35"/>
    <row r="2125" x14ac:dyDescent="0.35"/>
    <row r="2126" x14ac:dyDescent="0.35"/>
    <row r="2127" x14ac:dyDescent="0.35"/>
    <row r="2128" x14ac:dyDescent="0.35"/>
    <row r="2129" x14ac:dyDescent="0.35"/>
    <row r="2130" x14ac:dyDescent="0.35"/>
    <row r="2131" x14ac:dyDescent="0.35"/>
    <row r="2132" x14ac:dyDescent="0.35"/>
    <row r="2193" x14ac:dyDescent="0.35"/>
    <row r="2194" x14ac:dyDescent="0.35"/>
    <row r="2195" x14ac:dyDescent="0.35"/>
    <row r="2201" x14ac:dyDescent="0.35"/>
    <row r="2202" x14ac:dyDescent="0.35"/>
    <row r="2203" x14ac:dyDescent="0.35"/>
    <row r="2204" x14ac:dyDescent="0.35"/>
    <row r="2205" x14ac:dyDescent="0.35"/>
    <row r="2206" x14ac:dyDescent="0.35"/>
    <row r="2207" x14ac:dyDescent="0.35"/>
    <row r="2208" x14ac:dyDescent="0.35"/>
    <row r="2209" x14ac:dyDescent="0.35"/>
    <row r="2210" x14ac:dyDescent="0.35"/>
    <row r="2211" x14ac:dyDescent="0.35"/>
    <row r="2212" x14ac:dyDescent="0.35"/>
    <row r="2213" x14ac:dyDescent="0.35"/>
    <row r="2214" x14ac:dyDescent="0.35"/>
    <row r="2215" x14ac:dyDescent="0.35"/>
    <row r="2216" x14ac:dyDescent="0.35"/>
    <row r="2217" x14ac:dyDescent="0.35"/>
    <row r="2218" x14ac:dyDescent="0.35"/>
    <row r="2219" x14ac:dyDescent="0.35"/>
    <row r="2220" x14ac:dyDescent="0.35"/>
    <row r="2221" x14ac:dyDescent="0.35"/>
    <row r="2222" x14ac:dyDescent="0.35"/>
    <row r="2223" x14ac:dyDescent="0.35"/>
    <row r="2224" x14ac:dyDescent="0.35"/>
    <row r="2225" x14ac:dyDescent="0.35"/>
    <row r="2226" x14ac:dyDescent="0.35"/>
    <row r="2227" x14ac:dyDescent="0.35"/>
    <row r="2228" x14ac:dyDescent="0.35"/>
    <row r="2229" x14ac:dyDescent="0.35"/>
    <row r="2230" x14ac:dyDescent="0.35"/>
    <row r="2231" x14ac:dyDescent="0.35"/>
    <row r="2232" x14ac:dyDescent="0.35"/>
    <row r="2233" x14ac:dyDescent="0.35"/>
    <row r="2234" x14ac:dyDescent="0.35"/>
    <row r="2235" x14ac:dyDescent="0.35"/>
    <row r="2236" x14ac:dyDescent="0.35"/>
    <row r="2237" x14ac:dyDescent="0.35"/>
    <row r="2238" x14ac:dyDescent="0.35"/>
    <row r="2239" x14ac:dyDescent="0.35"/>
    <row r="2240" x14ac:dyDescent="0.35"/>
    <row r="2241" x14ac:dyDescent="0.35"/>
    <row r="2242" x14ac:dyDescent="0.35"/>
    <row r="2243" x14ac:dyDescent="0.35"/>
    <row r="2244" x14ac:dyDescent="0.35"/>
    <row r="2245" x14ac:dyDescent="0.35"/>
    <row r="2246" x14ac:dyDescent="0.35"/>
    <row r="2247" x14ac:dyDescent="0.35"/>
    <row r="2248" x14ac:dyDescent="0.35"/>
    <row r="2249" x14ac:dyDescent="0.35"/>
    <row r="2250" x14ac:dyDescent="0.35"/>
    <row r="2251" x14ac:dyDescent="0.35"/>
    <row r="2252" x14ac:dyDescent="0.35"/>
    <row r="2253" x14ac:dyDescent="0.35"/>
    <row r="2254" x14ac:dyDescent="0.35"/>
    <row r="2255" x14ac:dyDescent="0.35"/>
    <row r="2256" x14ac:dyDescent="0.35"/>
    <row r="2257" x14ac:dyDescent="0.35"/>
    <row r="2258" x14ac:dyDescent="0.35"/>
    <row r="2259" x14ac:dyDescent="0.35"/>
    <row r="2260" x14ac:dyDescent="0.35"/>
    <row r="2261" x14ac:dyDescent="0.35"/>
    <row r="2262" x14ac:dyDescent="0.35"/>
    <row r="2263" x14ac:dyDescent="0.35"/>
    <row r="2264" x14ac:dyDescent="0.35"/>
    <row r="2265" x14ac:dyDescent="0.35"/>
    <row r="2266" x14ac:dyDescent="0.35"/>
    <row r="2267" x14ac:dyDescent="0.35"/>
    <row r="2268" x14ac:dyDescent="0.35"/>
    <row r="2269" x14ac:dyDescent="0.35"/>
    <row r="2270" x14ac:dyDescent="0.35"/>
    <row r="2271" x14ac:dyDescent="0.35"/>
    <row r="2272" x14ac:dyDescent="0.35"/>
    <row r="2273" x14ac:dyDescent="0.35"/>
    <row r="2274" x14ac:dyDescent="0.35"/>
    <row r="2275" x14ac:dyDescent="0.35"/>
    <row r="2276" x14ac:dyDescent="0.35"/>
    <row r="2277" x14ac:dyDescent="0.35"/>
    <row r="2278" x14ac:dyDescent="0.35"/>
    <row r="2279" x14ac:dyDescent="0.35"/>
    <row r="2280" x14ac:dyDescent="0.35"/>
    <row r="2281" x14ac:dyDescent="0.35"/>
    <row r="2282" x14ac:dyDescent="0.35"/>
    <row r="2283" x14ac:dyDescent="0.35"/>
    <row r="2284" x14ac:dyDescent="0.35"/>
    <row r="2285" x14ac:dyDescent="0.35"/>
    <row r="2286" x14ac:dyDescent="0.35"/>
    <row r="2287" x14ac:dyDescent="0.35"/>
    <row r="2288" x14ac:dyDescent="0.35"/>
    <row r="2289" x14ac:dyDescent="0.35"/>
    <row r="2290" x14ac:dyDescent="0.35"/>
    <row r="2291" x14ac:dyDescent="0.35"/>
    <row r="2292" x14ac:dyDescent="0.35"/>
    <row r="2293" x14ac:dyDescent="0.35"/>
    <row r="2294" x14ac:dyDescent="0.35"/>
    <row r="2295" x14ac:dyDescent="0.35"/>
    <row r="2296" x14ac:dyDescent="0.35"/>
    <row r="2297" x14ac:dyDescent="0.35"/>
    <row r="2298" x14ac:dyDescent="0.35"/>
    <row r="2299" x14ac:dyDescent="0.35"/>
    <row r="2300" x14ac:dyDescent="0.35"/>
    <row r="2301" x14ac:dyDescent="0.35"/>
    <row r="2302" x14ac:dyDescent="0.35"/>
    <row r="2303" x14ac:dyDescent="0.35"/>
    <row r="2304" x14ac:dyDescent="0.35"/>
    <row r="2305" x14ac:dyDescent="0.35"/>
    <row r="2306" x14ac:dyDescent="0.35"/>
    <row r="2307" x14ac:dyDescent="0.35"/>
    <row r="2308" x14ac:dyDescent="0.35"/>
    <row r="2309" x14ac:dyDescent="0.35"/>
    <row r="2310" x14ac:dyDescent="0.35"/>
    <row r="2311" x14ac:dyDescent="0.35"/>
    <row r="2312" x14ac:dyDescent="0.35"/>
    <row r="2313" x14ac:dyDescent="0.35"/>
    <row r="2314" x14ac:dyDescent="0.35"/>
    <row r="2315" x14ac:dyDescent="0.35"/>
    <row r="2316" x14ac:dyDescent="0.35"/>
    <row r="2317" x14ac:dyDescent="0.35"/>
    <row r="2318" x14ac:dyDescent="0.35"/>
    <row r="2319" x14ac:dyDescent="0.35"/>
    <row r="2320" x14ac:dyDescent="0.35"/>
    <row r="2321" x14ac:dyDescent="0.35"/>
    <row r="2322" x14ac:dyDescent="0.35"/>
    <row r="2323" x14ac:dyDescent="0.35"/>
    <row r="2324" x14ac:dyDescent="0.35"/>
    <row r="2325" x14ac:dyDescent="0.35"/>
    <row r="2326" x14ac:dyDescent="0.35"/>
    <row r="2327" x14ac:dyDescent="0.35"/>
    <row r="2328" x14ac:dyDescent="0.35"/>
    <row r="2329" x14ac:dyDescent="0.35"/>
    <row r="2330" x14ac:dyDescent="0.35"/>
    <row r="2331" x14ac:dyDescent="0.35"/>
    <row r="2332" x14ac:dyDescent="0.35"/>
    <row r="2333" x14ac:dyDescent="0.35"/>
    <row r="2334" x14ac:dyDescent="0.35"/>
    <row r="2335" x14ac:dyDescent="0.35"/>
    <row r="2336" x14ac:dyDescent="0.35"/>
    <row r="2337" x14ac:dyDescent="0.35"/>
    <row r="2338" x14ac:dyDescent="0.35"/>
    <row r="2339" x14ac:dyDescent="0.35"/>
    <row r="2340" x14ac:dyDescent="0.35"/>
    <row r="2341" x14ac:dyDescent="0.35"/>
    <row r="2342" x14ac:dyDescent="0.35"/>
    <row r="2343" x14ac:dyDescent="0.35"/>
    <row r="2344" x14ac:dyDescent="0.35"/>
    <row r="2345" x14ac:dyDescent="0.35"/>
    <row r="2346" x14ac:dyDescent="0.35"/>
    <row r="2347" x14ac:dyDescent="0.35"/>
    <row r="2348" x14ac:dyDescent="0.35"/>
    <row r="2349" x14ac:dyDescent="0.35"/>
    <row r="2350" x14ac:dyDescent="0.35"/>
    <row r="2351" x14ac:dyDescent="0.35"/>
    <row r="2352" x14ac:dyDescent="0.35"/>
    <row r="2353" x14ac:dyDescent="0.35"/>
    <row r="2354" x14ac:dyDescent="0.35"/>
    <row r="2355" x14ac:dyDescent="0.35"/>
    <row r="2356" x14ac:dyDescent="0.35"/>
    <row r="2357" x14ac:dyDescent="0.35"/>
    <row r="2358" x14ac:dyDescent="0.35"/>
    <row r="2359" x14ac:dyDescent="0.35"/>
    <row r="2360" x14ac:dyDescent="0.35"/>
    <row r="2361" x14ac:dyDescent="0.35"/>
    <row r="2362" x14ac:dyDescent="0.35"/>
    <row r="2363" x14ac:dyDescent="0.35"/>
    <row r="2364" x14ac:dyDescent="0.35"/>
    <row r="2365" x14ac:dyDescent="0.35"/>
    <row r="2366" x14ac:dyDescent="0.35"/>
    <row r="2367" x14ac:dyDescent="0.35"/>
    <row r="2368" x14ac:dyDescent="0.35"/>
    <row r="2369" x14ac:dyDescent="0.35"/>
    <row r="2370" x14ac:dyDescent="0.35"/>
    <row r="2371" x14ac:dyDescent="0.35"/>
    <row r="2372" x14ac:dyDescent="0.35"/>
    <row r="2373" x14ac:dyDescent="0.35"/>
    <row r="2374" x14ac:dyDescent="0.35"/>
    <row r="2375" x14ac:dyDescent="0.35"/>
    <row r="2376" x14ac:dyDescent="0.35"/>
    <row r="2377" x14ac:dyDescent="0.35"/>
    <row r="2378" x14ac:dyDescent="0.35"/>
    <row r="2379" x14ac:dyDescent="0.35"/>
    <row r="2380" x14ac:dyDescent="0.35"/>
    <row r="2381" x14ac:dyDescent="0.35"/>
    <row r="2382" x14ac:dyDescent="0.35"/>
    <row r="2383" x14ac:dyDescent="0.35"/>
    <row r="2384" x14ac:dyDescent="0.35"/>
    <row r="2385" x14ac:dyDescent="0.35"/>
    <row r="2386" x14ac:dyDescent="0.35"/>
    <row r="2387" x14ac:dyDescent="0.35"/>
    <row r="2388" x14ac:dyDescent="0.35"/>
    <row r="2389" x14ac:dyDescent="0.35"/>
    <row r="2390" x14ac:dyDescent="0.35"/>
    <row r="2391" x14ac:dyDescent="0.35"/>
    <row r="2392" x14ac:dyDescent="0.35"/>
    <row r="2393" x14ac:dyDescent="0.35"/>
    <row r="2394" x14ac:dyDescent="0.35"/>
    <row r="2395" x14ac:dyDescent="0.35"/>
    <row r="2396" x14ac:dyDescent="0.35"/>
    <row r="2397" x14ac:dyDescent="0.35"/>
    <row r="2398" x14ac:dyDescent="0.35"/>
    <row r="2399" x14ac:dyDescent="0.35"/>
    <row r="2400" x14ac:dyDescent="0.35"/>
    <row r="2401" x14ac:dyDescent="0.35"/>
    <row r="2402" x14ac:dyDescent="0.35"/>
    <row r="2403" x14ac:dyDescent="0.35"/>
    <row r="2404" x14ac:dyDescent="0.35"/>
    <row r="2405" x14ac:dyDescent="0.35"/>
    <row r="2406" x14ac:dyDescent="0.35"/>
    <row r="2407" x14ac:dyDescent="0.35"/>
    <row r="2408" x14ac:dyDescent="0.35"/>
    <row r="2409" x14ac:dyDescent="0.35"/>
    <row r="2410" x14ac:dyDescent="0.35"/>
    <row r="2411" x14ac:dyDescent="0.35"/>
    <row r="2412" x14ac:dyDescent="0.35"/>
    <row r="2413" x14ac:dyDescent="0.35"/>
    <row r="2414" x14ac:dyDescent="0.35"/>
    <row r="2415" x14ac:dyDescent="0.35"/>
    <row r="2416" x14ac:dyDescent="0.35"/>
    <row r="2417" x14ac:dyDescent="0.35"/>
    <row r="2418" x14ac:dyDescent="0.35"/>
    <row r="2419" x14ac:dyDescent="0.35"/>
    <row r="2420" x14ac:dyDescent="0.35"/>
    <row r="2421" x14ac:dyDescent="0.35"/>
    <row r="2422" x14ac:dyDescent="0.35"/>
    <row r="2423" x14ac:dyDescent="0.35"/>
    <row r="2424" x14ac:dyDescent="0.35"/>
    <row r="2425" x14ac:dyDescent="0.35"/>
    <row r="2426" x14ac:dyDescent="0.35"/>
    <row r="2427" x14ac:dyDescent="0.35"/>
    <row r="2428" x14ac:dyDescent="0.35"/>
    <row r="2497" x14ac:dyDescent="0.35"/>
    <row r="2498" x14ac:dyDescent="0.35"/>
    <row r="2499" x14ac:dyDescent="0.35"/>
    <row r="2506" x14ac:dyDescent="0.35"/>
    <row r="2507" x14ac:dyDescent="0.35"/>
    <row r="2508" x14ac:dyDescent="0.35"/>
    <row r="2509" x14ac:dyDescent="0.35"/>
    <row r="2510" x14ac:dyDescent="0.35"/>
    <row r="2511" x14ac:dyDescent="0.35"/>
    <row r="2512" x14ac:dyDescent="0.35"/>
    <row r="2513" x14ac:dyDescent="0.35"/>
    <row r="2514" x14ac:dyDescent="0.35"/>
    <row r="2515" x14ac:dyDescent="0.35"/>
    <row r="2516" x14ac:dyDescent="0.35"/>
    <row r="2517" x14ac:dyDescent="0.35"/>
    <row r="2518" x14ac:dyDescent="0.35"/>
    <row r="2519" x14ac:dyDescent="0.35"/>
    <row r="2520" x14ac:dyDescent="0.35"/>
    <row r="2521" x14ac:dyDescent="0.35"/>
    <row r="2522" x14ac:dyDescent="0.35"/>
    <row r="2523" x14ac:dyDescent="0.35"/>
    <row r="2524" x14ac:dyDescent="0.35"/>
    <row r="2525" x14ac:dyDescent="0.35"/>
    <row r="2526" x14ac:dyDescent="0.35"/>
    <row r="2527" x14ac:dyDescent="0.35"/>
    <row r="2528" x14ac:dyDescent="0.35"/>
    <row r="2529" x14ac:dyDescent="0.35"/>
    <row r="2530" x14ac:dyDescent="0.35"/>
    <row r="2531" x14ac:dyDescent="0.35"/>
    <row r="2532" x14ac:dyDescent="0.35"/>
    <row r="2533" x14ac:dyDescent="0.35"/>
    <row r="2534" x14ac:dyDescent="0.35"/>
    <row r="2535" x14ac:dyDescent="0.35"/>
    <row r="2536" x14ac:dyDescent="0.35"/>
    <row r="2537" x14ac:dyDescent="0.35"/>
    <row r="2538" x14ac:dyDescent="0.35"/>
    <row r="2539" x14ac:dyDescent="0.35"/>
    <row r="2540" x14ac:dyDescent="0.35"/>
    <row r="2541" x14ac:dyDescent="0.35"/>
    <row r="2542" x14ac:dyDescent="0.35"/>
    <row r="2543" x14ac:dyDescent="0.35"/>
    <row r="2544" x14ac:dyDescent="0.35"/>
    <row r="2545" x14ac:dyDescent="0.35"/>
    <row r="2546" x14ac:dyDescent="0.35"/>
    <row r="2547" x14ac:dyDescent="0.35"/>
    <row r="2548" x14ac:dyDescent="0.35"/>
    <row r="2549" x14ac:dyDescent="0.35"/>
    <row r="2550" x14ac:dyDescent="0.35"/>
    <row r="2551" x14ac:dyDescent="0.35"/>
    <row r="2552" x14ac:dyDescent="0.35"/>
    <row r="2553" x14ac:dyDescent="0.35"/>
    <row r="2554" x14ac:dyDescent="0.35"/>
    <row r="2555" x14ac:dyDescent="0.35"/>
    <row r="2556" x14ac:dyDescent="0.35"/>
    <row r="2557" x14ac:dyDescent="0.35"/>
    <row r="2558" x14ac:dyDescent="0.35"/>
    <row r="2559" x14ac:dyDescent="0.35"/>
    <row r="2560" x14ac:dyDescent="0.35"/>
    <row r="2561" x14ac:dyDescent="0.35"/>
    <row r="2562" x14ac:dyDescent="0.35"/>
    <row r="2563" x14ac:dyDescent="0.35"/>
    <row r="2564" x14ac:dyDescent="0.35"/>
    <row r="2565" x14ac:dyDescent="0.35"/>
    <row r="2566" x14ac:dyDescent="0.35"/>
    <row r="2567" x14ac:dyDescent="0.35"/>
    <row r="2568" x14ac:dyDescent="0.35"/>
    <row r="2569" x14ac:dyDescent="0.35"/>
    <row r="2570" x14ac:dyDescent="0.35"/>
    <row r="2571" x14ac:dyDescent="0.35"/>
    <row r="2572" x14ac:dyDescent="0.35"/>
    <row r="2573" x14ac:dyDescent="0.35"/>
    <row r="2574" x14ac:dyDescent="0.35"/>
    <row r="2575" x14ac:dyDescent="0.35"/>
    <row r="2576" x14ac:dyDescent="0.35"/>
    <row r="2577" x14ac:dyDescent="0.35"/>
    <row r="2578" x14ac:dyDescent="0.35"/>
    <row r="2579" x14ac:dyDescent="0.35"/>
    <row r="2580" x14ac:dyDescent="0.35"/>
    <row r="2581" x14ac:dyDescent="0.35"/>
    <row r="2582" x14ac:dyDescent="0.35"/>
    <row r="2583" x14ac:dyDescent="0.35"/>
    <row r="2584" x14ac:dyDescent="0.35"/>
    <row r="2585" x14ac:dyDescent="0.35"/>
    <row r="2586" x14ac:dyDescent="0.35"/>
    <row r="2587" x14ac:dyDescent="0.35"/>
    <row r="2588" x14ac:dyDescent="0.35"/>
    <row r="2589" x14ac:dyDescent="0.35"/>
    <row r="2590" x14ac:dyDescent="0.35"/>
    <row r="2591" x14ac:dyDescent="0.35"/>
    <row r="2592" x14ac:dyDescent="0.35"/>
    <row r="2593" x14ac:dyDescent="0.35"/>
    <row r="2594" x14ac:dyDescent="0.35"/>
    <row r="2595" x14ac:dyDescent="0.35"/>
    <row r="2596" x14ac:dyDescent="0.35"/>
    <row r="2597" x14ac:dyDescent="0.35"/>
    <row r="2598" x14ac:dyDescent="0.35"/>
    <row r="2599" x14ac:dyDescent="0.35"/>
    <row r="2600" x14ac:dyDescent="0.35"/>
    <row r="2601" x14ac:dyDescent="0.35"/>
    <row r="2602" x14ac:dyDescent="0.35"/>
    <row r="2603" x14ac:dyDescent="0.35"/>
    <row r="2604" x14ac:dyDescent="0.35"/>
    <row r="2605" x14ac:dyDescent="0.35"/>
    <row r="2606" x14ac:dyDescent="0.35"/>
    <row r="2607" x14ac:dyDescent="0.35"/>
    <row r="2608" x14ac:dyDescent="0.35"/>
    <row r="2609" x14ac:dyDescent="0.35"/>
    <row r="2610" x14ac:dyDescent="0.35"/>
    <row r="2611" x14ac:dyDescent="0.35"/>
    <row r="2612" x14ac:dyDescent="0.35"/>
    <row r="2613" x14ac:dyDescent="0.35"/>
    <row r="2614" x14ac:dyDescent="0.35"/>
    <row r="2615" x14ac:dyDescent="0.35"/>
    <row r="2616" x14ac:dyDescent="0.35"/>
    <row r="2617" x14ac:dyDescent="0.35"/>
    <row r="2618" x14ac:dyDescent="0.35"/>
    <row r="2619" x14ac:dyDescent="0.35"/>
    <row r="2620" x14ac:dyDescent="0.35"/>
    <row r="2621" x14ac:dyDescent="0.35"/>
    <row r="2622" x14ac:dyDescent="0.35"/>
    <row r="2623" x14ac:dyDescent="0.35"/>
    <row r="2624" x14ac:dyDescent="0.35"/>
    <row r="2625" x14ac:dyDescent="0.35"/>
    <row r="2626" x14ac:dyDescent="0.35"/>
    <row r="2627" x14ac:dyDescent="0.35"/>
    <row r="2628" x14ac:dyDescent="0.35"/>
    <row r="2629" x14ac:dyDescent="0.35"/>
    <row r="2630" x14ac:dyDescent="0.35"/>
    <row r="2631" x14ac:dyDescent="0.35"/>
    <row r="2632" x14ac:dyDescent="0.35"/>
    <row r="2633" x14ac:dyDescent="0.35"/>
    <row r="2634" x14ac:dyDescent="0.35"/>
    <row r="2635" x14ac:dyDescent="0.35"/>
    <row r="2636" x14ac:dyDescent="0.35"/>
    <row r="2637" x14ac:dyDescent="0.35"/>
    <row r="2638" x14ac:dyDescent="0.35"/>
    <row r="2639" x14ac:dyDescent="0.35"/>
    <row r="2640" x14ac:dyDescent="0.35"/>
    <row r="2641" x14ac:dyDescent="0.35"/>
    <row r="2642" x14ac:dyDescent="0.35"/>
    <row r="2643" x14ac:dyDescent="0.35"/>
    <row r="2644" x14ac:dyDescent="0.35"/>
    <row r="2645" x14ac:dyDescent="0.35"/>
    <row r="2646" x14ac:dyDescent="0.35"/>
    <row r="2647" x14ac:dyDescent="0.35"/>
    <row r="2648" x14ac:dyDescent="0.35"/>
    <row r="2649" x14ac:dyDescent="0.35"/>
    <row r="2650" x14ac:dyDescent="0.35"/>
    <row r="2651" x14ac:dyDescent="0.35"/>
    <row r="2652" x14ac:dyDescent="0.35"/>
    <row r="2653" x14ac:dyDescent="0.35"/>
    <row r="2654" x14ac:dyDescent="0.35"/>
    <row r="2655" x14ac:dyDescent="0.35"/>
    <row r="2656" x14ac:dyDescent="0.35"/>
    <row r="2657" x14ac:dyDescent="0.35"/>
    <row r="2658" x14ac:dyDescent="0.35"/>
    <row r="2659" x14ac:dyDescent="0.35"/>
    <row r="2660" x14ac:dyDescent="0.35"/>
    <row r="2661" x14ac:dyDescent="0.35"/>
    <row r="2662" x14ac:dyDescent="0.35"/>
    <row r="2663" x14ac:dyDescent="0.35"/>
    <row r="2664" x14ac:dyDescent="0.35"/>
    <row r="2665" x14ac:dyDescent="0.35"/>
    <row r="2666" x14ac:dyDescent="0.35"/>
    <row r="2667" x14ac:dyDescent="0.35"/>
    <row r="2668" x14ac:dyDescent="0.35"/>
    <row r="2669" x14ac:dyDescent="0.35"/>
    <row r="2670" x14ac:dyDescent="0.35"/>
    <row r="2671" x14ac:dyDescent="0.35"/>
    <row r="2672" x14ac:dyDescent="0.35"/>
    <row r="2673" x14ac:dyDescent="0.35"/>
    <row r="2674" x14ac:dyDescent="0.35"/>
    <row r="2675" x14ac:dyDescent="0.35"/>
    <row r="2676" x14ac:dyDescent="0.35"/>
    <row r="2677" x14ac:dyDescent="0.35"/>
    <row r="2678" x14ac:dyDescent="0.35"/>
    <row r="2679" x14ac:dyDescent="0.35"/>
    <row r="2680" x14ac:dyDescent="0.35"/>
    <row r="2681" x14ac:dyDescent="0.35"/>
    <row r="2682" x14ac:dyDescent="0.35"/>
    <row r="2683" x14ac:dyDescent="0.35"/>
    <row r="2684" x14ac:dyDescent="0.35"/>
    <row r="2685" x14ac:dyDescent="0.35"/>
    <row r="2686" x14ac:dyDescent="0.35"/>
    <row r="2687" x14ac:dyDescent="0.35"/>
    <row r="2688" x14ac:dyDescent="0.35"/>
    <row r="2689" x14ac:dyDescent="0.35"/>
    <row r="2690" x14ac:dyDescent="0.35"/>
    <row r="2691" x14ac:dyDescent="0.35"/>
    <row r="2692" x14ac:dyDescent="0.35"/>
    <row r="2693" x14ac:dyDescent="0.35"/>
    <row r="2694" x14ac:dyDescent="0.35"/>
    <row r="2695" x14ac:dyDescent="0.35"/>
    <row r="2696" x14ac:dyDescent="0.35"/>
    <row r="2697" x14ac:dyDescent="0.35"/>
    <row r="2698" x14ac:dyDescent="0.35"/>
    <row r="2699" x14ac:dyDescent="0.35"/>
    <row r="2700" x14ac:dyDescent="0.35"/>
    <row r="2701" x14ac:dyDescent="0.35"/>
    <row r="2702" x14ac:dyDescent="0.35"/>
    <row r="2703" x14ac:dyDescent="0.35"/>
    <row r="2704" x14ac:dyDescent="0.35"/>
    <row r="2705" x14ac:dyDescent="0.35"/>
    <row r="2706" x14ac:dyDescent="0.35"/>
    <row r="2707" x14ac:dyDescent="0.35"/>
    <row r="2708" x14ac:dyDescent="0.35"/>
    <row r="2709" x14ac:dyDescent="0.35"/>
    <row r="2710" x14ac:dyDescent="0.35"/>
    <row r="2711" x14ac:dyDescent="0.35"/>
    <row r="2712" x14ac:dyDescent="0.35"/>
    <row r="2713" x14ac:dyDescent="0.35"/>
    <row r="2714" x14ac:dyDescent="0.35"/>
    <row r="2715" x14ac:dyDescent="0.35"/>
    <row r="2716" x14ac:dyDescent="0.35"/>
    <row r="2717" x14ac:dyDescent="0.35"/>
    <row r="2718" x14ac:dyDescent="0.35"/>
    <row r="2719" x14ac:dyDescent="0.35"/>
    <row r="2720" x14ac:dyDescent="0.35"/>
    <row r="2721" x14ac:dyDescent="0.35"/>
    <row r="2722" x14ac:dyDescent="0.35"/>
    <row r="2723" x14ac:dyDescent="0.35"/>
    <row r="2724" x14ac:dyDescent="0.35"/>
    <row r="2725" x14ac:dyDescent="0.35"/>
    <row r="2726" x14ac:dyDescent="0.35"/>
    <row r="2727" x14ac:dyDescent="0.35"/>
    <row r="2728" x14ac:dyDescent="0.35"/>
    <row r="2729" x14ac:dyDescent="0.35"/>
    <row r="2730" x14ac:dyDescent="0.35"/>
    <row r="2731" x14ac:dyDescent="0.35"/>
    <row r="2732" x14ac:dyDescent="0.35"/>
    <row r="2733" x14ac:dyDescent="0.35"/>
    <row r="2734" x14ac:dyDescent="0.35"/>
    <row r="2735" x14ac:dyDescent="0.35"/>
    <row r="2736" x14ac:dyDescent="0.35"/>
    <row r="2737" x14ac:dyDescent="0.35"/>
    <row r="2738" x14ac:dyDescent="0.35"/>
    <row r="2739" x14ac:dyDescent="0.35"/>
    <row r="2740" x14ac:dyDescent="0.35"/>
    <row r="2741" x14ac:dyDescent="0.35"/>
    <row r="2742" x14ac:dyDescent="0.35"/>
    <row r="2743" x14ac:dyDescent="0.35"/>
    <row r="2744" x14ac:dyDescent="0.35"/>
    <row r="2745" x14ac:dyDescent="0.35"/>
    <row r="2746" x14ac:dyDescent="0.35"/>
    <row r="2747" x14ac:dyDescent="0.35"/>
    <row r="2748" x14ac:dyDescent="0.35"/>
    <row r="2749" x14ac:dyDescent="0.35"/>
    <row r="2750" x14ac:dyDescent="0.35"/>
    <row r="2751" x14ac:dyDescent="0.35"/>
    <row r="2752" x14ac:dyDescent="0.35"/>
    <row r="2753" x14ac:dyDescent="0.35"/>
    <row r="2754" x14ac:dyDescent="0.35"/>
    <row r="2755" x14ac:dyDescent="0.35"/>
    <row r="2756" x14ac:dyDescent="0.35"/>
    <row r="2757" x14ac:dyDescent="0.35"/>
    <row r="2758" x14ac:dyDescent="0.35"/>
    <row r="2759" x14ac:dyDescent="0.35"/>
    <row r="2760" x14ac:dyDescent="0.35"/>
    <row r="2761" x14ac:dyDescent="0.35"/>
    <row r="2762" x14ac:dyDescent="0.35"/>
    <row r="2763" x14ac:dyDescent="0.35"/>
    <row r="2764" x14ac:dyDescent="0.35"/>
    <row r="2765" x14ac:dyDescent="0.35"/>
    <row r="2766" x14ac:dyDescent="0.35"/>
    <row r="2767" x14ac:dyDescent="0.35"/>
    <row r="2768" x14ac:dyDescent="0.35"/>
    <row r="2769" x14ac:dyDescent="0.35"/>
    <row r="2770" x14ac:dyDescent="0.35"/>
    <row r="2771" x14ac:dyDescent="0.35"/>
    <row r="2772" x14ac:dyDescent="0.35"/>
    <row r="2773" x14ac:dyDescent="0.35"/>
    <row r="2774" x14ac:dyDescent="0.35"/>
    <row r="2775" x14ac:dyDescent="0.35"/>
    <row r="2776" x14ac:dyDescent="0.35"/>
    <row r="2777" x14ac:dyDescent="0.35"/>
    <row r="2778" x14ac:dyDescent="0.35"/>
    <row r="2779" x14ac:dyDescent="0.35"/>
    <row r="2780" x14ac:dyDescent="0.35"/>
    <row r="2781" x14ac:dyDescent="0.35"/>
    <row r="2782" x14ac:dyDescent="0.35"/>
    <row r="2783" x14ac:dyDescent="0.35"/>
    <row r="2784" x14ac:dyDescent="0.35"/>
    <row r="2785" x14ac:dyDescent="0.35"/>
    <row r="2786" x14ac:dyDescent="0.35"/>
    <row r="2787" x14ac:dyDescent="0.35"/>
    <row r="2788" x14ac:dyDescent="0.35"/>
    <row r="2789" x14ac:dyDescent="0.35"/>
    <row r="2790" x14ac:dyDescent="0.35"/>
    <row r="2791" x14ac:dyDescent="0.35"/>
    <row r="2792" x14ac:dyDescent="0.35"/>
    <row r="2793" x14ac:dyDescent="0.35"/>
    <row r="2794" x14ac:dyDescent="0.35"/>
    <row r="2795" x14ac:dyDescent="0.35"/>
    <row r="2796" x14ac:dyDescent="0.35"/>
    <row r="2797" x14ac:dyDescent="0.35"/>
    <row r="2798" x14ac:dyDescent="0.35"/>
    <row r="2799" x14ac:dyDescent="0.35"/>
    <row r="2800" x14ac:dyDescent="0.35"/>
    <row r="2801" x14ac:dyDescent="0.35"/>
    <row r="2802" x14ac:dyDescent="0.35"/>
    <row r="2803" x14ac:dyDescent="0.35"/>
    <row r="2804" x14ac:dyDescent="0.35"/>
    <row r="2805" x14ac:dyDescent="0.35"/>
    <row r="2806" x14ac:dyDescent="0.35"/>
    <row r="2807" x14ac:dyDescent="0.35"/>
    <row r="2808" x14ac:dyDescent="0.35"/>
    <row r="2809" x14ac:dyDescent="0.35"/>
    <row r="2810" x14ac:dyDescent="0.35"/>
    <row r="2811" x14ac:dyDescent="0.35"/>
    <row r="2812" x14ac:dyDescent="0.35"/>
    <row r="2813" x14ac:dyDescent="0.35"/>
    <row r="2814" x14ac:dyDescent="0.35"/>
    <row r="2815" x14ac:dyDescent="0.35"/>
    <row r="2816" x14ac:dyDescent="0.35"/>
    <row r="2817" x14ac:dyDescent="0.35"/>
    <row r="2818" x14ac:dyDescent="0.35"/>
    <row r="2819" x14ac:dyDescent="0.35"/>
    <row r="2820" x14ac:dyDescent="0.35"/>
    <row r="2821" x14ac:dyDescent="0.35"/>
    <row r="2822" x14ac:dyDescent="0.35"/>
    <row r="2823" x14ac:dyDescent="0.35"/>
    <row r="2824" x14ac:dyDescent="0.35"/>
    <row r="2825" x14ac:dyDescent="0.35"/>
    <row r="2826" x14ac:dyDescent="0.35"/>
    <row r="2827" x14ac:dyDescent="0.35"/>
    <row r="2828" x14ac:dyDescent="0.35"/>
    <row r="2829" x14ac:dyDescent="0.35"/>
    <row r="2830" x14ac:dyDescent="0.35"/>
    <row r="2831" x14ac:dyDescent="0.35"/>
    <row r="2832" x14ac:dyDescent="0.35"/>
    <row r="2833" x14ac:dyDescent="0.35"/>
    <row r="2834" x14ac:dyDescent="0.35"/>
    <row r="2835" x14ac:dyDescent="0.35"/>
    <row r="2836" x14ac:dyDescent="0.35"/>
    <row r="2837" x14ac:dyDescent="0.35"/>
    <row r="2838" x14ac:dyDescent="0.35"/>
    <row r="2839" x14ac:dyDescent="0.35"/>
    <row r="2840" x14ac:dyDescent="0.35"/>
    <row r="2841" x14ac:dyDescent="0.35"/>
    <row r="2842" x14ac:dyDescent="0.35"/>
    <row r="2843" x14ac:dyDescent="0.35"/>
    <row r="2844" x14ac:dyDescent="0.35"/>
    <row r="2845" x14ac:dyDescent="0.35"/>
    <row r="2846" x14ac:dyDescent="0.35"/>
    <row r="2847" x14ac:dyDescent="0.35"/>
    <row r="2848" x14ac:dyDescent="0.35"/>
    <row r="2849" x14ac:dyDescent="0.35"/>
    <row r="2850" x14ac:dyDescent="0.35"/>
    <row r="2851" x14ac:dyDescent="0.35"/>
    <row r="2852" x14ac:dyDescent="0.35"/>
    <row r="2853" x14ac:dyDescent="0.35"/>
    <row r="2854" x14ac:dyDescent="0.35"/>
    <row r="2855" x14ac:dyDescent="0.35"/>
    <row r="2856" x14ac:dyDescent="0.35"/>
    <row r="2857" x14ac:dyDescent="0.35"/>
    <row r="2858" x14ac:dyDescent="0.35"/>
    <row r="2859" x14ac:dyDescent="0.35"/>
    <row r="2860" x14ac:dyDescent="0.35"/>
    <row r="2861" x14ac:dyDescent="0.35"/>
    <row r="2862" x14ac:dyDescent="0.35"/>
    <row r="2863" x14ac:dyDescent="0.35"/>
    <row r="2864" x14ac:dyDescent="0.35"/>
    <row r="2865" x14ac:dyDescent="0.35"/>
    <row r="2866" x14ac:dyDescent="0.35"/>
    <row r="2867" x14ac:dyDescent="0.35"/>
    <row r="2868" x14ac:dyDescent="0.35"/>
    <row r="2869" x14ac:dyDescent="0.35"/>
    <row r="2870" x14ac:dyDescent="0.35"/>
    <row r="2871" x14ac:dyDescent="0.35"/>
    <row r="2872" x14ac:dyDescent="0.35"/>
    <row r="2873" x14ac:dyDescent="0.35"/>
    <row r="2874" x14ac:dyDescent="0.35"/>
    <row r="2875" x14ac:dyDescent="0.35"/>
    <row r="2876" x14ac:dyDescent="0.35"/>
    <row r="2877" x14ac:dyDescent="0.35"/>
    <row r="2878" x14ac:dyDescent="0.35"/>
    <row r="2879" x14ac:dyDescent="0.35"/>
    <row r="2880" x14ac:dyDescent="0.35"/>
    <row r="2881" x14ac:dyDescent="0.35"/>
    <row r="2882" x14ac:dyDescent="0.35"/>
    <row r="2883" x14ac:dyDescent="0.35"/>
    <row r="2884" x14ac:dyDescent="0.35"/>
    <row r="2885" x14ac:dyDescent="0.35"/>
    <row r="2886" x14ac:dyDescent="0.35"/>
    <row r="2887" x14ac:dyDescent="0.35"/>
    <row r="2888" x14ac:dyDescent="0.35"/>
    <row r="2889" x14ac:dyDescent="0.35"/>
    <row r="2890" x14ac:dyDescent="0.35"/>
    <row r="2891" x14ac:dyDescent="0.35"/>
    <row r="2892" x14ac:dyDescent="0.35"/>
    <row r="2893" x14ac:dyDescent="0.35"/>
    <row r="2894" x14ac:dyDescent="0.35"/>
    <row r="2895" x14ac:dyDescent="0.35"/>
    <row r="2896" x14ac:dyDescent="0.35"/>
    <row r="2897" x14ac:dyDescent="0.35"/>
    <row r="2898" x14ac:dyDescent="0.35"/>
    <row r="2899" x14ac:dyDescent="0.35"/>
    <row r="2900" x14ac:dyDescent="0.35"/>
    <row r="2901" x14ac:dyDescent="0.35"/>
    <row r="2902" x14ac:dyDescent="0.35"/>
    <row r="2903" x14ac:dyDescent="0.35"/>
    <row r="2904" x14ac:dyDescent="0.35"/>
    <row r="2905" x14ac:dyDescent="0.35"/>
    <row r="2906" x14ac:dyDescent="0.35"/>
    <row r="2907" x14ac:dyDescent="0.35"/>
    <row r="2908" x14ac:dyDescent="0.35"/>
    <row r="2909" x14ac:dyDescent="0.35"/>
    <row r="2910" x14ac:dyDescent="0.35"/>
    <row r="2911" x14ac:dyDescent="0.35"/>
    <row r="2912" x14ac:dyDescent="0.35"/>
    <row r="2913" x14ac:dyDescent="0.35"/>
    <row r="2914" x14ac:dyDescent="0.35"/>
    <row r="2915" x14ac:dyDescent="0.35"/>
    <row r="2916" x14ac:dyDescent="0.35"/>
    <row r="2917" x14ac:dyDescent="0.35"/>
    <row r="2918" x14ac:dyDescent="0.35"/>
    <row r="2919" x14ac:dyDescent="0.35"/>
    <row r="2920" x14ac:dyDescent="0.35"/>
    <row r="2921" x14ac:dyDescent="0.35"/>
    <row r="2922" x14ac:dyDescent="0.35"/>
    <row r="2923" x14ac:dyDescent="0.35"/>
    <row r="2924" x14ac:dyDescent="0.35"/>
    <row r="2925" x14ac:dyDescent="0.35"/>
    <row r="2926" x14ac:dyDescent="0.35"/>
    <row r="2927" x14ac:dyDescent="0.35"/>
    <row r="2928" x14ac:dyDescent="0.35"/>
    <row r="2929" x14ac:dyDescent="0.35"/>
    <row r="2930" x14ac:dyDescent="0.35"/>
    <row r="2931" x14ac:dyDescent="0.35"/>
    <row r="2932" x14ac:dyDescent="0.35"/>
    <row r="2933" x14ac:dyDescent="0.35"/>
    <row r="2934" x14ac:dyDescent="0.35"/>
    <row r="2935" x14ac:dyDescent="0.35"/>
    <row r="2936" x14ac:dyDescent="0.35"/>
    <row r="2937" x14ac:dyDescent="0.35"/>
    <row r="2938" x14ac:dyDescent="0.35"/>
    <row r="2939" x14ac:dyDescent="0.35"/>
    <row r="2940" x14ac:dyDescent="0.35"/>
    <row r="2941" x14ac:dyDescent="0.35"/>
    <row r="2942" x14ac:dyDescent="0.35"/>
    <row r="2943" x14ac:dyDescent="0.35"/>
    <row r="2944" x14ac:dyDescent="0.35"/>
    <row r="2945" x14ac:dyDescent="0.35"/>
    <row r="2946" x14ac:dyDescent="0.35"/>
    <row r="2947" x14ac:dyDescent="0.35"/>
    <row r="2948" x14ac:dyDescent="0.35"/>
    <row r="2949" x14ac:dyDescent="0.35"/>
    <row r="2950" x14ac:dyDescent="0.35"/>
    <row r="2951" x14ac:dyDescent="0.35"/>
    <row r="2952" x14ac:dyDescent="0.35"/>
    <row r="2953" x14ac:dyDescent="0.35"/>
    <row r="2954" x14ac:dyDescent="0.35"/>
    <row r="2955" x14ac:dyDescent="0.35"/>
    <row r="2956" x14ac:dyDescent="0.35"/>
    <row r="2957" x14ac:dyDescent="0.35"/>
    <row r="2958" x14ac:dyDescent="0.35"/>
    <row r="2959" x14ac:dyDescent="0.35"/>
    <row r="2960" x14ac:dyDescent="0.35"/>
    <row r="2961" x14ac:dyDescent="0.35"/>
    <row r="2962" x14ac:dyDescent="0.35"/>
    <row r="2963" x14ac:dyDescent="0.35"/>
    <row r="2964" x14ac:dyDescent="0.35"/>
    <row r="2965" x14ac:dyDescent="0.35"/>
    <row r="2966" x14ac:dyDescent="0.35"/>
    <row r="2967" x14ac:dyDescent="0.35"/>
    <row r="2968" x14ac:dyDescent="0.35"/>
    <row r="2969" x14ac:dyDescent="0.35"/>
    <row r="2970" x14ac:dyDescent="0.35"/>
    <row r="2971" x14ac:dyDescent="0.35"/>
    <row r="2972" x14ac:dyDescent="0.35"/>
    <row r="2973" x14ac:dyDescent="0.35"/>
    <row r="2974" x14ac:dyDescent="0.35"/>
    <row r="2975" x14ac:dyDescent="0.35"/>
    <row r="2976" x14ac:dyDescent="0.35"/>
    <row r="2977" x14ac:dyDescent="0.35"/>
    <row r="2978" x14ac:dyDescent="0.35"/>
    <row r="2979" x14ac:dyDescent="0.35"/>
    <row r="2980" x14ac:dyDescent="0.35"/>
    <row r="2981" x14ac:dyDescent="0.35"/>
    <row r="2982" x14ac:dyDescent="0.35"/>
    <row r="2983" x14ac:dyDescent="0.35"/>
    <row r="2984" x14ac:dyDescent="0.35"/>
    <row r="2985" x14ac:dyDescent="0.35"/>
    <row r="2986" x14ac:dyDescent="0.35"/>
    <row r="2987" x14ac:dyDescent="0.35"/>
    <row r="2988" x14ac:dyDescent="0.35"/>
    <row r="2989" x14ac:dyDescent="0.35"/>
    <row r="2990" x14ac:dyDescent="0.35"/>
    <row r="2991" x14ac:dyDescent="0.35"/>
    <row r="2992" x14ac:dyDescent="0.35"/>
    <row r="2993" x14ac:dyDescent="0.35"/>
    <row r="2994" x14ac:dyDescent="0.35"/>
    <row r="2995" x14ac:dyDescent="0.35"/>
    <row r="2996" x14ac:dyDescent="0.35"/>
    <row r="2997" x14ac:dyDescent="0.35"/>
    <row r="2998" x14ac:dyDescent="0.35"/>
    <row r="2999" x14ac:dyDescent="0.35"/>
    <row r="3000" x14ac:dyDescent="0.35"/>
    <row r="3001" x14ac:dyDescent="0.35"/>
    <row r="3002" x14ac:dyDescent="0.35"/>
    <row r="3003" x14ac:dyDescent="0.35"/>
    <row r="3004" x14ac:dyDescent="0.35"/>
    <row r="3005" x14ac:dyDescent="0.35"/>
    <row r="3006" x14ac:dyDescent="0.35"/>
    <row r="3007" x14ac:dyDescent="0.35"/>
    <row r="3008" x14ac:dyDescent="0.35"/>
    <row r="3009" x14ac:dyDescent="0.35"/>
    <row r="3010" x14ac:dyDescent="0.35"/>
    <row r="3011" x14ac:dyDescent="0.35"/>
    <row r="3024" x14ac:dyDescent="0.35"/>
    <row r="3025" x14ac:dyDescent="0.35"/>
    <row r="3026" x14ac:dyDescent="0.35"/>
    <row r="3027" x14ac:dyDescent="0.35"/>
    <row r="3028" x14ac:dyDescent="0.35"/>
    <row r="3029" x14ac:dyDescent="0.35"/>
    <row r="3030" x14ac:dyDescent="0.35"/>
    <row r="3031" x14ac:dyDescent="0.35"/>
    <row r="3032" x14ac:dyDescent="0.35"/>
    <row r="3033" x14ac:dyDescent="0.35"/>
    <row r="3034" x14ac:dyDescent="0.35"/>
    <row r="3035" x14ac:dyDescent="0.35"/>
    <row r="3036" x14ac:dyDescent="0.35"/>
    <row r="3037" x14ac:dyDescent="0.35"/>
    <row r="3038" x14ac:dyDescent="0.35"/>
    <row r="3039" x14ac:dyDescent="0.35"/>
    <row r="3040" x14ac:dyDescent="0.35"/>
    <row r="3041" x14ac:dyDescent="0.35"/>
    <row r="3042" x14ac:dyDescent="0.35"/>
    <row r="3043" x14ac:dyDescent="0.35"/>
    <row r="3044" x14ac:dyDescent="0.35"/>
    <row r="3045" x14ac:dyDescent="0.35"/>
    <row r="3046" x14ac:dyDescent="0.35"/>
    <row r="3047" x14ac:dyDescent="0.35"/>
    <row r="3048" x14ac:dyDescent="0.35"/>
    <row r="3049" x14ac:dyDescent="0.35"/>
    <row r="3050" x14ac:dyDescent="0.35"/>
    <row r="3051" x14ac:dyDescent="0.35"/>
    <row r="3052" x14ac:dyDescent="0.35"/>
    <row r="3053" x14ac:dyDescent="0.35"/>
    <row r="3054" x14ac:dyDescent="0.35"/>
    <row r="3055" x14ac:dyDescent="0.35"/>
    <row r="3056" x14ac:dyDescent="0.35"/>
    <row r="3057" x14ac:dyDescent="0.35"/>
    <row r="3058" x14ac:dyDescent="0.35"/>
    <row r="3059" x14ac:dyDescent="0.35"/>
    <row r="3060" x14ac:dyDescent="0.35"/>
    <row r="3061" x14ac:dyDescent="0.35"/>
    <row r="3062" x14ac:dyDescent="0.35"/>
    <row r="3063" x14ac:dyDescent="0.35"/>
    <row r="3064" x14ac:dyDescent="0.35"/>
    <row r="3065" x14ac:dyDescent="0.35"/>
    <row r="3066" x14ac:dyDescent="0.35"/>
    <row r="3067" x14ac:dyDescent="0.35"/>
    <row r="3068" x14ac:dyDescent="0.35"/>
    <row r="3069" x14ac:dyDescent="0.35"/>
    <row r="3070" x14ac:dyDescent="0.35"/>
    <row r="3071" x14ac:dyDescent="0.35"/>
    <row r="3072" x14ac:dyDescent="0.35"/>
    <row r="3073" x14ac:dyDescent="0.35"/>
    <row r="3074" x14ac:dyDescent="0.35"/>
    <row r="3075" x14ac:dyDescent="0.35"/>
    <row r="3076" x14ac:dyDescent="0.35"/>
    <row r="3077" x14ac:dyDescent="0.35"/>
    <row r="3078" x14ac:dyDescent="0.35"/>
    <row r="3079" x14ac:dyDescent="0.35"/>
    <row r="3080" x14ac:dyDescent="0.35"/>
    <row r="3081" x14ac:dyDescent="0.35"/>
    <row r="3082" x14ac:dyDescent="0.35"/>
    <row r="3083" x14ac:dyDescent="0.35"/>
    <row r="3088" x14ac:dyDescent="0.35"/>
    <row r="3089" x14ac:dyDescent="0.35"/>
    <row r="3090" x14ac:dyDescent="0.35"/>
    <row r="3091" x14ac:dyDescent="0.35"/>
    <row r="3092" x14ac:dyDescent="0.35"/>
    <row r="3093" x14ac:dyDescent="0.35"/>
    <row r="3094" x14ac:dyDescent="0.35"/>
    <row r="3095" x14ac:dyDescent="0.35"/>
    <row r="3096" x14ac:dyDescent="0.35"/>
    <row r="3097" x14ac:dyDescent="0.35"/>
    <row r="3098" x14ac:dyDescent="0.35"/>
    <row r="3099" x14ac:dyDescent="0.35"/>
    <row r="3100" x14ac:dyDescent="0.35"/>
    <row r="3101" x14ac:dyDescent="0.35"/>
    <row r="3102" x14ac:dyDescent="0.35"/>
    <row r="3103" x14ac:dyDescent="0.35"/>
    <row r="3104" x14ac:dyDescent="0.35"/>
    <row r="3105" x14ac:dyDescent="0.35"/>
    <row r="3106" x14ac:dyDescent="0.35"/>
    <row r="3107" x14ac:dyDescent="0.35"/>
    <row r="3108" x14ac:dyDescent="0.35"/>
    <row r="3109" x14ac:dyDescent="0.35"/>
    <row r="3110" x14ac:dyDescent="0.35"/>
    <row r="3111" x14ac:dyDescent="0.35"/>
    <row r="3112" x14ac:dyDescent="0.35"/>
    <row r="3113" x14ac:dyDescent="0.35"/>
    <row r="3114" x14ac:dyDescent="0.35"/>
    <row r="3115" x14ac:dyDescent="0.35"/>
    <row r="3116" x14ac:dyDescent="0.35"/>
    <row r="3117" x14ac:dyDescent="0.35"/>
    <row r="3118" x14ac:dyDescent="0.35"/>
    <row r="3119" x14ac:dyDescent="0.35"/>
    <row r="3120" x14ac:dyDescent="0.35"/>
    <row r="3121" x14ac:dyDescent="0.35"/>
    <row r="3122" x14ac:dyDescent="0.35"/>
    <row r="3123" x14ac:dyDescent="0.35"/>
    <row r="3124" x14ac:dyDescent="0.35"/>
    <row r="3125" x14ac:dyDescent="0.35"/>
    <row r="3126" x14ac:dyDescent="0.35"/>
    <row r="3127" x14ac:dyDescent="0.35"/>
    <row r="3128" x14ac:dyDescent="0.35"/>
    <row r="3129" x14ac:dyDescent="0.35"/>
    <row r="3130" x14ac:dyDescent="0.35"/>
    <row r="3131" x14ac:dyDescent="0.35"/>
    <row r="3137" x14ac:dyDescent="0.35"/>
    <row r="3138" x14ac:dyDescent="0.35"/>
    <row r="3139" x14ac:dyDescent="0.35"/>
    <row r="3150" x14ac:dyDescent="0.35"/>
    <row r="3151" x14ac:dyDescent="0.35"/>
    <row r="3152" x14ac:dyDescent="0.35"/>
    <row r="3153" x14ac:dyDescent="0.35"/>
    <row r="3154" x14ac:dyDescent="0.35"/>
    <row r="3155" x14ac:dyDescent="0.35"/>
    <row r="3156" x14ac:dyDescent="0.35"/>
    <row r="3157" x14ac:dyDescent="0.35"/>
    <row r="3158" x14ac:dyDescent="0.35"/>
    <row r="3159" x14ac:dyDescent="0.35"/>
    <row r="3160" x14ac:dyDescent="0.35"/>
    <row r="3161" x14ac:dyDescent="0.35"/>
    <row r="3162" x14ac:dyDescent="0.35"/>
    <row r="3163" x14ac:dyDescent="0.35"/>
    <row r="3164" x14ac:dyDescent="0.35"/>
    <row r="3165" x14ac:dyDescent="0.35"/>
    <row r="3166" x14ac:dyDescent="0.35"/>
    <row r="3167" x14ac:dyDescent="0.35"/>
    <row r="3168" x14ac:dyDescent="0.35"/>
    <row r="3169" x14ac:dyDescent="0.35"/>
    <row r="3170" x14ac:dyDescent="0.35"/>
    <row r="3171" x14ac:dyDescent="0.35"/>
    <row r="3172" x14ac:dyDescent="0.35"/>
    <row r="3173" x14ac:dyDescent="0.35"/>
    <row r="3174" x14ac:dyDescent="0.35"/>
    <row r="3175" x14ac:dyDescent="0.35"/>
    <row r="3176" x14ac:dyDescent="0.35"/>
    <row r="3177" x14ac:dyDescent="0.35"/>
    <row r="3178" x14ac:dyDescent="0.35"/>
    <row r="3179" x14ac:dyDescent="0.35"/>
    <row r="3180" x14ac:dyDescent="0.35"/>
    <row r="3181" x14ac:dyDescent="0.35"/>
    <row r="3182" x14ac:dyDescent="0.35"/>
    <row r="3183" x14ac:dyDescent="0.35"/>
    <row r="3184" x14ac:dyDescent="0.35"/>
    <row r="3185" x14ac:dyDescent="0.35"/>
    <row r="3186" x14ac:dyDescent="0.35"/>
    <row r="3187" x14ac:dyDescent="0.35"/>
    <row r="3188" x14ac:dyDescent="0.35"/>
    <row r="3189" x14ac:dyDescent="0.35"/>
    <row r="3190" x14ac:dyDescent="0.35"/>
    <row r="3191" x14ac:dyDescent="0.35"/>
    <row r="3192" x14ac:dyDescent="0.35"/>
    <row r="3193" x14ac:dyDescent="0.35"/>
    <row r="3194" x14ac:dyDescent="0.35"/>
    <row r="3195" x14ac:dyDescent="0.35"/>
    <row r="3196" x14ac:dyDescent="0.35"/>
    <row r="3197" x14ac:dyDescent="0.35"/>
    <row r="3198" x14ac:dyDescent="0.35"/>
    <row r="3199" x14ac:dyDescent="0.35"/>
    <row r="3409" x14ac:dyDescent="0.35"/>
    <row r="3410" x14ac:dyDescent="0.35"/>
    <row r="3411" x14ac:dyDescent="0.35"/>
    <row r="3424" x14ac:dyDescent="0.35"/>
    <row r="3425" x14ac:dyDescent="0.35"/>
    <row r="3426" x14ac:dyDescent="0.35"/>
    <row r="3427" x14ac:dyDescent="0.35"/>
    <row r="3428" x14ac:dyDescent="0.35"/>
    <row r="3429" x14ac:dyDescent="0.35"/>
    <row r="3430" x14ac:dyDescent="0.35"/>
    <row r="3431" x14ac:dyDescent="0.35"/>
    <row r="3432" x14ac:dyDescent="0.35"/>
    <row r="3433" x14ac:dyDescent="0.35"/>
    <row r="3434" x14ac:dyDescent="0.35"/>
    <row r="3435" x14ac:dyDescent="0.35"/>
    <row r="3436" x14ac:dyDescent="0.35"/>
    <row r="3437" x14ac:dyDescent="0.35"/>
    <row r="3438" x14ac:dyDescent="0.35"/>
    <row r="3439" x14ac:dyDescent="0.35"/>
    <row r="3440" x14ac:dyDescent="0.35"/>
    <row r="3441" x14ac:dyDescent="0.35"/>
    <row r="3442" x14ac:dyDescent="0.35"/>
    <row r="3443" x14ac:dyDescent="0.35"/>
    <row r="3444" x14ac:dyDescent="0.35"/>
    <row r="3445" x14ac:dyDescent="0.35"/>
    <row r="3446" x14ac:dyDescent="0.35"/>
    <row r="3447" x14ac:dyDescent="0.35"/>
    <row r="3448" x14ac:dyDescent="0.35"/>
    <row r="3449" x14ac:dyDescent="0.35"/>
    <row r="3450" x14ac:dyDescent="0.35"/>
    <row r="3451" x14ac:dyDescent="0.35"/>
    <row r="3452" x14ac:dyDescent="0.35"/>
    <row r="3453" x14ac:dyDescent="0.35"/>
    <row r="3454" x14ac:dyDescent="0.35"/>
    <row r="3455" x14ac:dyDescent="0.35"/>
    <row r="3456" x14ac:dyDescent="0.35"/>
    <row r="3457" x14ac:dyDescent="0.35"/>
    <row r="3458" x14ac:dyDescent="0.35"/>
    <row r="3459" x14ac:dyDescent="0.35"/>
    <row r="3460" x14ac:dyDescent="0.35"/>
    <row r="3461" x14ac:dyDescent="0.35"/>
    <row r="3462" x14ac:dyDescent="0.35"/>
    <row r="3463" x14ac:dyDescent="0.35"/>
    <row r="3464" x14ac:dyDescent="0.35"/>
    <row r="3465" x14ac:dyDescent="0.35"/>
    <row r="3466" x14ac:dyDescent="0.35"/>
    <row r="3467" x14ac:dyDescent="0.35"/>
    <row r="3468" x14ac:dyDescent="0.35"/>
    <row r="3469" x14ac:dyDescent="0.35"/>
    <row r="3470" x14ac:dyDescent="0.35"/>
    <row r="3471" x14ac:dyDescent="0.35"/>
    <row r="3472" x14ac:dyDescent="0.35"/>
    <row r="3473" x14ac:dyDescent="0.35"/>
    <row r="3474" x14ac:dyDescent="0.35"/>
    <row r="3475" x14ac:dyDescent="0.35"/>
    <row r="3476" x14ac:dyDescent="0.35"/>
    <row r="3477" x14ac:dyDescent="0.35"/>
    <row r="3478" x14ac:dyDescent="0.35"/>
    <row r="3479" x14ac:dyDescent="0.35"/>
    <row r="3480" x14ac:dyDescent="0.35"/>
    <row r="3481" x14ac:dyDescent="0.35"/>
    <row r="3482" x14ac:dyDescent="0.35"/>
    <row r="3483" x14ac:dyDescent="0.35"/>
    <row r="3484" x14ac:dyDescent="0.35"/>
    <row r="3485" x14ac:dyDescent="0.35"/>
    <row r="3486" x14ac:dyDescent="0.35"/>
    <row r="3487" x14ac:dyDescent="0.35"/>
    <row r="3488" x14ac:dyDescent="0.35"/>
    <row r="3489" x14ac:dyDescent="0.35"/>
    <row r="3490" x14ac:dyDescent="0.35"/>
    <row r="3491" x14ac:dyDescent="0.35"/>
    <row r="3492" x14ac:dyDescent="0.35"/>
    <row r="3493" x14ac:dyDescent="0.35"/>
    <row r="3494" x14ac:dyDescent="0.35"/>
    <row r="3495" x14ac:dyDescent="0.35"/>
    <row r="3496" x14ac:dyDescent="0.35"/>
    <row r="3497" x14ac:dyDescent="0.35"/>
    <row r="3498" x14ac:dyDescent="0.35"/>
    <row r="3499" x14ac:dyDescent="0.35"/>
    <row r="3500" x14ac:dyDescent="0.35"/>
    <row r="3501" x14ac:dyDescent="0.35"/>
    <row r="3502" x14ac:dyDescent="0.35"/>
    <row r="3503" x14ac:dyDescent="0.35"/>
    <row r="3504" x14ac:dyDescent="0.35"/>
    <row r="3505" x14ac:dyDescent="0.35"/>
    <row r="3506" x14ac:dyDescent="0.35"/>
    <row r="3507" x14ac:dyDescent="0.35"/>
    <row r="3508" x14ac:dyDescent="0.35"/>
    <row r="3509" x14ac:dyDescent="0.35"/>
    <row r="3510" x14ac:dyDescent="0.35"/>
    <row r="3511" x14ac:dyDescent="0.35"/>
    <row r="3512" x14ac:dyDescent="0.35"/>
    <row r="3513" x14ac:dyDescent="0.35"/>
    <row r="3514" x14ac:dyDescent="0.35"/>
    <row r="3515" x14ac:dyDescent="0.35"/>
    <row r="3516" x14ac:dyDescent="0.35"/>
    <row r="3517" x14ac:dyDescent="0.35"/>
    <row r="3518" x14ac:dyDescent="0.35"/>
    <row r="3519" x14ac:dyDescent="0.35"/>
    <row r="3520" x14ac:dyDescent="0.35"/>
    <row r="3521" x14ac:dyDescent="0.35"/>
    <row r="3522" x14ac:dyDescent="0.35"/>
    <row r="3523" x14ac:dyDescent="0.35"/>
    <row r="3524" x14ac:dyDescent="0.35"/>
    <row r="3525" x14ac:dyDescent="0.35"/>
    <row r="3526" x14ac:dyDescent="0.35"/>
    <row r="3527" x14ac:dyDescent="0.35"/>
    <row r="3528" x14ac:dyDescent="0.35"/>
    <row r="3529" x14ac:dyDescent="0.35"/>
    <row r="3530" x14ac:dyDescent="0.35"/>
    <row r="3531" x14ac:dyDescent="0.35"/>
    <row r="3532" x14ac:dyDescent="0.35"/>
    <row r="3533" x14ac:dyDescent="0.35"/>
    <row r="3534" x14ac:dyDescent="0.35"/>
    <row r="3535" x14ac:dyDescent="0.35"/>
    <row r="3536" x14ac:dyDescent="0.35"/>
    <row r="3537" x14ac:dyDescent="0.35"/>
    <row r="3538" x14ac:dyDescent="0.35"/>
    <row r="3539" x14ac:dyDescent="0.35"/>
    <row r="3540" x14ac:dyDescent="0.35"/>
    <row r="3541" x14ac:dyDescent="0.35"/>
    <row r="3542" x14ac:dyDescent="0.35"/>
    <row r="3543" x14ac:dyDescent="0.35"/>
    <row r="3544" x14ac:dyDescent="0.35"/>
    <row r="3545" x14ac:dyDescent="0.35"/>
    <row r="3546" x14ac:dyDescent="0.35"/>
    <row r="3547" x14ac:dyDescent="0.35"/>
    <row r="3548" x14ac:dyDescent="0.35"/>
    <row r="3549" x14ac:dyDescent="0.35"/>
    <row r="3550" x14ac:dyDescent="0.35"/>
    <row r="3551" x14ac:dyDescent="0.35"/>
    <row r="3552" x14ac:dyDescent="0.35"/>
    <row r="3553" x14ac:dyDescent="0.35"/>
    <row r="3554" x14ac:dyDescent="0.35"/>
    <row r="3555" x14ac:dyDescent="0.35"/>
    <row r="3556" x14ac:dyDescent="0.35"/>
    <row r="3557" x14ac:dyDescent="0.35"/>
    <row r="3558" x14ac:dyDescent="0.35"/>
    <row r="3559" x14ac:dyDescent="0.35"/>
    <row r="3560" x14ac:dyDescent="0.35"/>
    <row r="3561" x14ac:dyDescent="0.35"/>
    <row r="3562" x14ac:dyDescent="0.35"/>
    <row r="3563" x14ac:dyDescent="0.35"/>
    <row r="3564" x14ac:dyDescent="0.35"/>
    <row r="3565" x14ac:dyDescent="0.35"/>
    <row r="3566" x14ac:dyDescent="0.35"/>
    <row r="3567" x14ac:dyDescent="0.35"/>
    <row r="3568" x14ac:dyDescent="0.35"/>
    <row r="3569" x14ac:dyDescent="0.35"/>
    <row r="3570" x14ac:dyDescent="0.35"/>
    <row r="3571" x14ac:dyDescent="0.35"/>
    <row r="3572" x14ac:dyDescent="0.35"/>
    <row r="3573" x14ac:dyDescent="0.35"/>
    <row r="3574" x14ac:dyDescent="0.35"/>
    <row r="3575" x14ac:dyDescent="0.35"/>
    <row r="3576" x14ac:dyDescent="0.35"/>
    <row r="3577" x14ac:dyDescent="0.35"/>
    <row r="3578" x14ac:dyDescent="0.35"/>
    <row r="3579" x14ac:dyDescent="0.35"/>
    <row r="3580" x14ac:dyDescent="0.35"/>
    <row r="3581" x14ac:dyDescent="0.35"/>
    <row r="3582" x14ac:dyDescent="0.35"/>
    <row r="3583" x14ac:dyDescent="0.35"/>
    <row r="3584" x14ac:dyDescent="0.35"/>
    <row r="3585" x14ac:dyDescent="0.35"/>
    <row r="3586" x14ac:dyDescent="0.35"/>
    <row r="3587" x14ac:dyDescent="0.35"/>
    <row r="3588" x14ac:dyDescent="0.35"/>
    <row r="3589" x14ac:dyDescent="0.35"/>
    <row r="3590" x14ac:dyDescent="0.35"/>
    <row r="3591" x14ac:dyDescent="0.35"/>
    <row r="3592" x14ac:dyDescent="0.35"/>
    <row r="3593" x14ac:dyDescent="0.35"/>
    <row r="3594" x14ac:dyDescent="0.35"/>
    <row r="3595" x14ac:dyDescent="0.35"/>
    <row r="3596" x14ac:dyDescent="0.35"/>
    <row r="3597" x14ac:dyDescent="0.35"/>
    <row r="3598" x14ac:dyDescent="0.35"/>
    <row r="3599" x14ac:dyDescent="0.35"/>
    <row r="3600" x14ac:dyDescent="0.35"/>
    <row r="3601" x14ac:dyDescent="0.35"/>
    <row r="3602" x14ac:dyDescent="0.35"/>
    <row r="3603" x14ac:dyDescent="0.35"/>
    <row r="3604" x14ac:dyDescent="0.35"/>
    <row r="3605" x14ac:dyDescent="0.35"/>
    <row r="3606" x14ac:dyDescent="0.35"/>
    <row r="3607" x14ac:dyDescent="0.35"/>
    <row r="3608" x14ac:dyDescent="0.35"/>
    <row r="3609" x14ac:dyDescent="0.35"/>
    <row r="3610" x14ac:dyDescent="0.35"/>
    <row r="3611" x14ac:dyDescent="0.35"/>
    <row r="3612" x14ac:dyDescent="0.35"/>
    <row r="3613" x14ac:dyDescent="0.35"/>
    <row r="3614" x14ac:dyDescent="0.35"/>
    <row r="3615" x14ac:dyDescent="0.35"/>
    <row r="3616" x14ac:dyDescent="0.35"/>
    <row r="3617" x14ac:dyDescent="0.35"/>
    <row r="3618" x14ac:dyDescent="0.35"/>
    <row r="3619" x14ac:dyDescent="0.35"/>
    <row r="3620" x14ac:dyDescent="0.35"/>
    <row r="3621" x14ac:dyDescent="0.35"/>
    <row r="3622" x14ac:dyDescent="0.35"/>
    <row r="3623" x14ac:dyDescent="0.35"/>
    <row r="3624" x14ac:dyDescent="0.35"/>
    <row r="3625" x14ac:dyDescent="0.35"/>
    <row r="3626" x14ac:dyDescent="0.35"/>
    <row r="3627" x14ac:dyDescent="0.35"/>
    <row r="3628" x14ac:dyDescent="0.35"/>
    <row r="3629" x14ac:dyDescent="0.35"/>
    <row r="3630" x14ac:dyDescent="0.35"/>
    <row r="3631" x14ac:dyDescent="0.35"/>
    <row r="3632" x14ac:dyDescent="0.35"/>
    <row r="3633" x14ac:dyDescent="0.35"/>
    <row r="3634" x14ac:dyDescent="0.35"/>
    <row r="3635" x14ac:dyDescent="0.35"/>
    <row r="3636" x14ac:dyDescent="0.35"/>
    <row r="3637" x14ac:dyDescent="0.35"/>
    <row r="3638" x14ac:dyDescent="0.35"/>
    <row r="3639" x14ac:dyDescent="0.35"/>
    <row r="3640" x14ac:dyDescent="0.35"/>
    <row r="3641" x14ac:dyDescent="0.35"/>
    <row r="3642" x14ac:dyDescent="0.35"/>
    <row r="3643" x14ac:dyDescent="0.35"/>
    <row r="3644" x14ac:dyDescent="0.35"/>
    <row r="3645" x14ac:dyDescent="0.35"/>
    <row r="3646" x14ac:dyDescent="0.35"/>
    <row r="3647" x14ac:dyDescent="0.35"/>
    <row r="3648" x14ac:dyDescent="0.35"/>
    <row r="3649" x14ac:dyDescent="0.35"/>
    <row r="3650" x14ac:dyDescent="0.35"/>
    <row r="3651" x14ac:dyDescent="0.35"/>
    <row r="3652" x14ac:dyDescent="0.35"/>
    <row r="3653" x14ac:dyDescent="0.35"/>
    <row r="3654" x14ac:dyDescent="0.35"/>
    <row r="3655" x14ac:dyDescent="0.35"/>
    <row r="3656" x14ac:dyDescent="0.35"/>
    <row r="3657" x14ac:dyDescent="0.35"/>
    <row r="3658" x14ac:dyDescent="0.35"/>
    <row r="3659" x14ac:dyDescent="0.35"/>
    <row r="3660" x14ac:dyDescent="0.35"/>
    <row r="3661" x14ac:dyDescent="0.35"/>
    <row r="3662" x14ac:dyDescent="0.35"/>
    <row r="3663" x14ac:dyDescent="0.35"/>
    <row r="3664" x14ac:dyDescent="0.35"/>
    <row r="3665" x14ac:dyDescent="0.35"/>
    <row r="3666" x14ac:dyDescent="0.35"/>
    <row r="3667" x14ac:dyDescent="0.35"/>
    <row r="3668" x14ac:dyDescent="0.35"/>
    <row r="3669" x14ac:dyDescent="0.35"/>
    <row r="3670" x14ac:dyDescent="0.35"/>
    <row r="3671" x14ac:dyDescent="0.35"/>
    <row r="3672" x14ac:dyDescent="0.35"/>
    <row r="3673" x14ac:dyDescent="0.35"/>
    <row r="3674" x14ac:dyDescent="0.35"/>
    <row r="3675" x14ac:dyDescent="0.35"/>
    <row r="3676" x14ac:dyDescent="0.35"/>
    <row r="3677" x14ac:dyDescent="0.35"/>
    <row r="3678" x14ac:dyDescent="0.35"/>
    <row r="3679" x14ac:dyDescent="0.35"/>
    <row r="3680" x14ac:dyDescent="0.35"/>
    <row r="3681" x14ac:dyDescent="0.35"/>
    <row r="3682" x14ac:dyDescent="0.35"/>
    <row r="3683" x14ac:dyDescent="0.35"/>
    <row r="3684" x14ac:dyDescent="0.35"/>
    <row r="3685" x14ac:dyDescent="0.35"/>
    <row r="3686" x14ac:dyDescent="0.35"/>
    <row r="3687" x14ac:dyDescent="0.35"/>
    <row r="3688" x14ac:dyDescent="0.35"/>
    <row r="3689" x14ac:dyDescent="0.35"/>
    <row r="3690" x14ac:dyDescent="0.35"/>
    <row r="3691" x14ac:dyDescent="0.35"/>
    <row r="3692" x14ac:dyDescent="0.35"/>
    <row r="3693" x14ac:dyDescent="0.35"/>
    <row r="3694" x14ac:dyDescent="0.35"/>
    <row r="3695" x14ac:dyDescent="0.35"/>
    <row r="3696" x14ac:dyDescent="0.35"/>
    <row r="3697" x14ac:dyDescent="0.35"/>
    <row r="3698" x14ac:dyDescent="0.35"/>
    <row r="3699" x14ac:dyDescent="0.35"/>
    <row r="3700" x14ac:dyDescent="0.35"/>
    <row r="3701" x14ac:dyDescent="0.35"/>
    <row r="3702" x14ac:dyDescent="0.35"/>
    <row r="3703" x14ac:dyDescent="0.35"/>
    <row r="3704" x14ac:dyDescent="0.35"/>
    <row r="3705" x14ac:dyDescent="0.35"/>
    <row r="3706" x14ac:dyDescent="0.35"/>
    <row r="3707" x14ac:dyDescent="0.35"/>
    <row r="3708" x14ac:dyDescent="0.35"/>
    <row r="3709" x14ac:dyDescent="0.35"/>
    <row r="3710" x14ac:dyDescent="0.35"/>
    <row r="3711" x14ac:dyDescent="0.35"/>
    <row r="3712" x14ac:dyDescent="0.35"/>
    <row r="3713" x14ac:dyDescent="0.35"/>
    <row r="3714" x14ac:dyDescent="0.35"/>
    <row r="3715" x14ac:dyDescent="0.35"/>
    <row r="3716" x14ac:dyDescent="0.35"/>
    <row r="3717" x14ac:dyDescent="0.35"/>
    <row r="3718" x14ac:dyDescent="0.35"/>
    <row r="3719" x14ac:dyDescent="0.35"/>
    <row r="3720" x14ac:dyDescent="0.35"/>
    <row r="3721" x14ac:dyDescent="0.35"/>
    <row r="3722" x14ac:dyDescent="0.35"/>
    <row r="3723" x14ac:dyDescent="0.35"/>
    <row r="3724" x14ac:dyDescent="0.35"/>
    <row r="3725" x14ac:dyDescent="0.35"/>
    <row r="3726" x14ac:dyDescent="0.35"/>
    <row r="3727" x14ac:dyDescent="0.35"/>
    <row r="3728" x14ac:dyDescent="0.35"/>
    <row r="3729" x14ac:dyDescent="0.35"/>
    <row r="3730" x14ac:dyDescent="0.35"/>
    <row r="3731" x14ac:dyDescent="0.35"/>
    <row r="3732" x14ac:dyDescent="0.35"/>
    <row r="3733" x14ac:dyDescent="0.35"/>
    <row r="3734" x14ac:dyDescent="0.35"/>
    <row r="3735" x14ac:dyDescent="0.35"/>
    <row r="3736" x14ac:dyDescent="0.35"/>
    <row r="3737" x14ac:dyDescent="0.35"/>
    <row r="3738" x14ac:dyDescent="0.35"/>
    <row r="3739" x14ac:dyDescent="0.35"/>
    <row r="3740" x14ac:dyDescent="0.35"/>
    <row r="3741" x14ac:dyDescent="0.35"/>
    <row r="3742" x14ac:dyDescent="0.35"/>
    <row r="3743" x14ac:dyDescent="0.35"/>
    <row r="3744" x14ac:dyDescent="0.35"/>
    <row r="3745" x14ac:dyDescent="0.35"/>
    <row r="3746" x14ac:dyDescent="0.35"/>
    <row r="3747" x14ac:dyDescent="0.35"/>
    <row r="3748" x14ac:dyDescent="0.35"/>
    <row r="3749" x14ac:dyDescent="0.35"/>
    <row r="3750" x14ac:dyDescent="0.35"/>
    <row r="3751" x14ac:dyDescent="0.35"/>
    <row r="3752" x14ac:dyDescent="0.35"/>
    <row r="3753" x14ac:dyDescent="0.35"/>
    <row r="3754" x14ac:dyDescent="0.35"/>
    <row r="3755" x14ac:dyDescent="0.35"/>
    <row r="3756" x14ac:dyDescent="0.35"/>
    <row r="3757" x14ac:dyDescent="0.35"/>
    <row r="3758" x14ac:dyDescent="0.35"/>
    <row r="3759" x14ac:dyDescent="0.35"/>
    <row r="3760" x14ac:dyDescent="0.35"/>
    <row r="3793" x14ac:dyDescent="0.35"/>
    <row r="3794" x14ac:dyDescent="0.35"/>
    <row r="3795" x14ac:dyDescent="0.35"/>
    <row r="3796" x14ac:dyDescent="0.35"/>
    <row r="3797" x14ac:dyDescent="0.35"/>
    <row r="3798" x14ac:dyDescent="0.35"/>
    <row r="3799" x14ac:dyDescent="0.35"/>
    <row r="3800" x14ac:dyDescent="0.35"/>
    <row r="3801" x14ac:dyDescent="0.35"/>
    <row r="3802" x14ac:dyDescent="0.35"/>
    <row r="3803" x14ac:dyDescent="0.35"/>
    <row r="3804" x14ac:dyDescent="0.35"/>
    <row r="3805" x14ac:dyDescent="0.35"/>
    <row r="3806" x14ac:dyDescent="0.35"/>
    <row r="3807" x14ac:dyDescent="0.35"/>
    <row r="3808" x14ac:dyDescent="0.35"/>
    <row r="3809" x14ac:dyDescent="0.35"/>
    <row r="3810" x14ac:dyDescent="0.35"/>
    <row r="3811" x14ac:dyDescent="0.35"/>
    <row r="3812" x14ac:dyDescent="0.35"/>
    <row r="3813" x14ac:dyDescent="0.35"/>
    <row r="3814" x14ac:dyDescent="0.35"/>
    <row r="3815" x14ac:dyDescent="0.35"/>
    <row r="3816" x14ac:dyDescent="0.35"/>
    <row r="3817" x14ac:dyDescent="0.35"/>
    <row r="3818" x14ac:dyDescent="0.35"/>
    <row r="3819" x14ac:dyDescent="0.35"/>
    <row r="3820" x14ac:dyDescent="0.35"/>
    <row r="3821" x14ac:dyDescent="0.35"/>
    <row r="3822" x14ac:dyDescent="0.35"/>
    <row r="3823" x14ac:dyDescent="0.35"/>
    <row r="3824" x14ac:dyDescent="0.35"/>
    <row r="3825" x14ac:dyDescent="0.35"/>
    <row r="3826" x14ac:dyDescent="0.35"/>
    <row r="3827" x14ac:dyDescent="0.35"/>
    <row r="3828" x14ac:dyDescent="0.35"/>
    <row r="3829" x14ac:dyDescent="0.35"/>
    <row r="3830" x14ac:dyDescent="0.35"/>
    <row r="3831" x14ac:dyDescent="0.35"/>
    <row r="3832" x14ac:dyDescent="0.35"/>
    <row r="3833" x14ac:dyDescent="0.35"/>
    <row r="3834" x14ac:dyDescent="0.35"/>
    <row r="3835" x14ac:dyDescent="0.35"/>
    <row r="3836" x14ac:dyDescent="0.35"/>
    <row r="3837" x14ac:dyDescent="0.35"/>
    <row r="3838" x14ac:dyDescent="0.35"/>
    <row r="3839" x14ac:dyDescent="0.35"/>
    <row r="3840" x14ac:dyDescent="0.35"/>
    <row r="3841" x14ac:dyDescent="0.35"/>
    <row r="3842" x14ac:dyDescent="0.35"/>
    <row r="3843" x14ac:dyDescent="0.35"/>
    <row r="3844" x14ac:dyDescent="0.35"/>
    <row r="3845" x14ac:dyDescent="0.35"/>
    <row r="3846" x14ac:dyDescent="0.35"/>
    <row r="3847" x14ac:dyDescent="0.35"/>
    <row r="3848" x14ac:dyDescent="0.35"/>
    <row r="3849" x14ac:dyDescent="0.35"/>
    <row r="3850" x14ac:dyDescent="0.35"/>
    <row r="3851" x14ac:dyDescent="0.35"/>
    <row r="3852" x14ac:dyDescent="0.35"/>
    <row r="3853" x14ac:dyDescent="0.35"/>
    <row r="3854" x14ac:dyDescent="0.35"/>
    <row r="3855" x14ac:dyDescent="0.35"/>
    <row r="3856" x14ac:dyDescent="0.35"/>
    <row r="3857" x14ac:dyDescent="0.35"/>
    <row r="3858" x14ac:dyDescent="0.35"/>
    <row r="3859" x14ac:dyDescent="0.35"/>
    <row r="3860" x14ac:dyDescent="0.35"/>
    <row r="3861" x14ac:dyDescent="0.35"/>
    <row r="3862" x14ac:dyDescent="0.35"/>
    <row r="3863" x14ac:dyDescent="0.35"/>
    <row r="3864" x14ac:dyDescent="0.35"/>
    <row r="3865" x14ac:dyDescent="0.35"/>
    <row r="3866" x14ac:dyDescent="0.35"/>
    <row r="3867" x14ac:dyDescent="0.35"/>
    <row r="3868" x14ac:dyDescent="0.35"/>
    <row r="3869" x14ac:dyDescent="0.35"/>
    <row r="3870" x14ac:dyDescent="0.35"/>
    <row r="3871" x14ac:dyDescent="0.35"/>
    <row r="3872" x14ac:dyDescent="0.35"/>
    <row r="3873" x14ac:dyDescent="0.35"/>
    <row r="3874" x14ac:dyDescent="0.35"/>
    <row r="3875" x14ac:dyDescent="0.35"/>
    <row r="3876" x14ac:dyDescent="0.35"/>
    <row r="3877" x14ac:dyDescent="0.35"/>
    <row r="3878" x14ac:dyDescent="0.35"/>
    <row r="3879" x14ac:dyDescent="0.35"/>
    <row r="3880" x14ac:dyDescent="0.35"/>
    <row r="3881" x14ac:dyDescent="0.35"/>
    <row r="3882" x14ac:dyDescent="0.35"/>
    <row r="3883" x14ac:dyDescent="0.35"/>
    <row r="3884" x14ac:dyDescent="0.35"/>
  </sheetData>
  <sheetProtection algorithmName="SHA-512" hashValue="N3ASI8aKAV12mV7O1voP/J4HONR1GEKLRySsD3iFBZi4BPVjC2W1Jn9tvh39pFvau7VNCTwsKXXVwLcxbDc2lw==" saltValue="jaoYsJ4vsvQ1oWJI1OZl7g==" spinCount="100000" sheet="1" objects="1" scenarios="1"/>
  <hyperlinks>
    <hyperlink ref="E2" location="Navigation!A1" display="Navigation" xr:uid="{00000000-0004-0000-0C00-000000000000}"/>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theme="8" tint="-0.499984740745262"/>
  </sheetPr>
  <dimension ref="A1:V1039"/>
  <sheetViews>
    <sheetView zoomScale="70" zoomScaleNormal="70" workbookViewId="0"/>
  </sheetViews>
  <sheetFormatPr defaultColWidth="0" defaultRowHeight="0" customHeight="1" zeroHeight="1" x14ac:dyDescent="0.35"/>
  <cols>
    <col min="1" max="2" width="3.54296875" style="241" customWidth="1"/>
    <col min="3" max="3" width="22.453125" style="241" bestFit="1" customWidth="1"/>
    <col min="4" max="4" width="15.54296875" style="241" customWidth="1"/>
    <col min="5" max="5" width="3.54296875" style="241" customWidth="1"/>
    <col min="6" max="6" width="15.54296875" style="241" customWidth="1"/>
    <col min="7" max="9" width="3.54296875" style="241" customWidth="1"/>
    <col min="10" max="10" width="22.453125" style="241" bestFit="1" customWidth="1"/>
    <col min="11" max="11" width="15.54296875" style="241" customWidth="1"/>
    <col min="12" max="12" width="3.54296875" style="241" customWidth="1"/>
    <col min="13" max="13" width="15.54296875" style="241" customWidth="1"/>
    <col min="14" max="16" width="3.54296875" style="241" customWidth="1"/>
    <col min="17" max="17" width="22.453125" style="241" bestFit="1" customWidth="1"/>
    <col min="18" max="18" width="15.54296875" style="241" customWidth="1"/>
    <col min="19" max="19" width="3.54296875" style="241" customWidth="1"/>
    <col min="20" max="20" width="15.54296875" style="241" customWidth="1"/>
    <col min="21" max="22" width="3.54296875" style="241" customWidth="1"/>
    <col min="23" max="16384" width="9.453125" style="241" hidden="1"/>
  </cols>
  <sheetData>
    <row r="1" spans="2:21" ht="16.399999999999999" customHeight="1" thickBot="1" x14ac:dyDescent="0.4"/>
    <row r="2" spans="2:21" ht="16.399999999999999" customHeight="1" thickTop="1" thickBot="1" x14ac:dyDescent="0.4">
      <c r="C2" s="253" t="s">
        <v>29</v>
      </c>
      <c r="F2" s="10" t="s">
        <v>159</v>
      </c>
    </row>
    <row r="3" spans="2:21" ht="16.399999999999999" customHeight="1" thickBot="1" x14ac:dyDescent="0.4"/>
    <row r="4" spans="2:21" ht="16.399999999999999" customHeight="1" x14ac:dyDescent="0.35">
      <c r="B4" s="208"/>
      <c r="C4" s="209"/>
      <c r="D4" s="209"/>
      <c r="E4" s="209"/>
      <c r="F4" s="209"/>
      <c r="G4" s="210"/>
      <c r="I4" s="208"/>
      <c r="J4" s="209"/>
      <c r="K4" s="209"/>
      <c r="L4" s="209"/>
      <c r="M4" s="209"/>
      <c r="N4" s="210"/>
      <c r="P4" s="208"/>
      <c r="Q4" s="209"/>
      <c r="R4" s="209"/>
      <c r="S4" s="209"/>
      <c r="T4" s="209"/>
      <c r="U4" s="210"/>
    </row>
    <row r="5" spans="2:21" ht="16.399999999999999" customHeight="1" x14ac:dyDescent="0.35">
      <c r="B5" s="217"/>
      <c r="C5" s="302" t="str">
        <f>"Capital Conversion Costs (CCCs) ("&amp;Dollar_Year&amp;"$ millions)"</f>
        <v>Capital Conversion Costs (CCCs) (2021$ millions)</v>
      </c>
      <c r="D5" s="302"/>
      <c r="E5" s="302"/>
      <c r="F5" s="302"/>
      <c r="G5" s="303"/>
      <c r="I5" s="217"/>
      <c r="J5" s="302" t="str">
        <f>"Product Conversion Costs (PCCs) ("&amp;Dollar_Year&amp;"$ millions)"</f>
        <v>Product Conversion Costs (PCCs) (2021$ millions)</v>
      </c>
      <c r="K5" s="302"/>
      <c r="L5" s="302"/>
      <c r="M5" s="302"/>
      <c r="N5" s="303"/>
      <c r="P5" s="217"/>
      <c r="Q5" s="302" t="str">
        <f>"Stranded Assets (SAs) ("&amp;Dollar_Year&amp;"$ millions)"</f>
        <v>Stranded Assets (SAs) (2021$ millions)</v>
      </c>
      <c r="R5" s="302"/>
      <c r="S5" s="302"/>
      <c r="T5" s="302"/>
      <c r="U5" s="303"/>
    </row>
    <row r="6" spans="2:21" s="50" customFormat="1" ht="16.399999999999999" customHeight="1" thickBot="1" x14ac:dyDescent="0.4">
      <c r="B6" s="256"/>
      <c r="C6" s="244"/>
      <c r="D6" s="244"/>
      <c r="E6" s="244"/>
      <c r="F6" s="244"/>
      <c r="G6" s="246"/>
      <c r="I6" s="256"/>
      <c r="J6" s="244"/>
      <c r="K6" s="244"/>
      <c r="L6" s="244"/>
      <c r="M6" s="244"/>
      <c r="N6" s="246"/>
      <c r="P6" s="256"/>
      <c r="Q6" s="244"/>
      <c r="R6" s="244"/>
      <c r="S6" s="244"/>
      <c r="T6" s="244"/>
      <c r="U6" s="246"/>
    </row>
    <row r="7" spans="2:21" ht="16.399999999999999" customHeight="1" thickBot="1" x14ac:dyDescent="0.4">
      <c r="B7" s="217"/>
      <c r="C7" s="248" t="s">
        <v>182</v>
      </c>
      <c r="D7" s="248"/>
      <c r="E7" s="244"/>
      <c r="F7" s="304">
        <f ca="1">SUM(F8:F947)</f>
        <v>20.442382391607332</v>
      </c>
      <c r="G7" s="305"/>
      <c r="I7" s="217"/>
      <c r="J7" s="259" t="s">
        <v>183</v>
      </c>
      <c r="K7" s="244"/>
      <c r="L7" s="244"/>
      <c r="M7" s="304">
        <f ca="1">SUM(M8:M947)</f>
        <v>6.0433365226657978</v>
      </c>
      <c r="N7" s="246"/>
      <c r="P7" s="217"/>
      <c r="Q7" s="259" t="s">
        <v>184</v>
      </c>
      <c r="R7" s="244"/>
      <c r="S7" s="244"/>
      <c r="T7" s="304">
        <f ca="1">SUM(T8:T947)</f>
        <v>4.0884764783214669</v>
      </c>
      <c r="U7" s="246"/>
    </row>
    <row r="8" spans="2:21" ht="16.399999999999999" customHeight="1" thickBot="1" x14ac:dyDescent="0.4">
      <c r="B8" s="235"/>
      <c r="C8" s="236"/>
      <c r="D8" s="236"/>
      <c r="E8" s="236"/>
      <c r="F8" s="236"/>
      <c r="G8" s="237"/>
      <c r="I8" s="235"/>
      <c r="J8" s="236"/>
      <c r="K8" s="236"/>
      <c r="L8" s="236"/>
      <c r="M8" s="236"/>
      <c r="N8" s="237"/>
      <c r="P8" s="235"/>
      <c r="Q8" s="236"/>
      <c r="R8" s="236"/>
      <c r="S8" s="236"/>
      <c r="T8" s="236"/>
      <c r="U8" s="237"/>
    </row>
    <row r="9" spans="2:21" ht="16.399999999999999" customHeight="1" thickBot="1" x14ac:dyDescent="0.4"/>
    <row r="10" spans="2:21" ht="16.399999999999999" customHeight="1" x14ac:dyDescent="0.35">
      <c r="B10" s="208"/>
      <c r="C10" s="209"/>
      <c r="D10" s="209"/>
      <c r="E10" s="209"/>
      <c r="F10" s="209"/>
      <c r="G10" s="210"/>
      <c r="I10" s="208"/>
      <c r="J10" s="209"/>
      <c r="K10" s="209"/>
      <c r="L10" s="209"/>
      <c r="M10" s="209"/>
      <c r="N10" s="210"/>
      <c r="P10" s="208"/>
      <c r="Q10" s="209"/>
      <c r="R10" s="209"/>
      <c r="S10" s="209"/>
      <c r="T10" s="209"/>
      <c r="U10" s="210"/>
    </row>
    <row r="11" spans="2:21" ht="16.399999999999999" customHeight="1" x14ac:dyDescent="0.35">
      <c r="B11" s="217"/>
      <c r="C11" s="247" t="s">
        <v>99</v>
      </c>
      <c r="D11" s="306" t="str">
        <f>VLOOKUP(C11,PC_Table,2,FALSE)</f>
        <v>10 ≤ PM2.5 CADR &lt; 100</v>
      </c>
      <c r="E11" s="306"/>
      <c r="F11" s="306"/>
      <c r="G11" s="246"/>
      <c r="I11" s="217"/>
      <c r="J11" s="247" t="s">
        <v>99</v>
      </c>
      <c r="K11" s="306" t="str">
        <f>VLOOKUP(J11,PC_Table,2,FALSE)</f>
        <v>10 ≤ PM2.5 CADR &lt; 100</v>
      </c>
      <c r="L11" s="306"/>
      <c r="M11" s="306"/>
      <c r="N11" s="246"/>
      <c r="P11" s="217"/>
      <c r="Q11" s="247" t="s">
        <v>99</v>
      </c>
      <c r="R11" s="306" t="str">
        <f>VLOOKUP(Q11,PC_Table,2,FALSE)</f>
        <v>10 ≤ PM2.5 CADR &lt; 100</v>
      </c>
      <c r="S11" s="306"/>
      <c r="T11" s="306"/>
      <c r="U11" s="246"/>
    </row>
    <row r="12" spans="2:21" ht="16.399999999999999" customHeight="1" thickBot="1" x14ac:dyDescent="0.4">
      <c r="B12" s="217"/>
      <c r="C12" s="244"/>
      <c r="D12" s="307" t="s">
        <v>185</v>
      </c>
      <c r="E12" s="244"/>
      <c r="F12" s="307" t="s">
        <v>186</v>
      </c>
      <c r="G12" s="246"/>
      <c r="I12" s="217"/>
      <c r="J12" s="244"/>
      <c r="K12" s="307" t="s">
        <v>187</v>
      </c>
      <c r="L12" s="244"/>
      <c r="M12" s="307" t="s">
        <v>186</v>
      </c>
      <c r="N12" s="246"/>
      <c r="P12" s="217"/>
      <c r="Q12" s="244"/>
      <c r="R12" s="307" t="s">
        <v>190</v>
      </c>
      <c r="S12" s="244"/>
      <c r="T12" s="307" t="s">
        <v>186</v>
      </c>
      <c r="U12" s="246"/>
    </row>
    <row r="13" spans="2:21" ht="16.399999999999999" customHeight="1" thickBot="1" x14ac:dyDescent="0.4">
      <c r="B13" s="256"/>
      <c r="C13" s="301" t="s">
        <v>81</v>
      </c>
      <c r="D13" s="761">
        <v>0</v>
      </c>
      <c r="E13" s="244"/>
      <c r="F13" s="304">
        <f ca="1">IF(OFFSET(NAMES!$G$1,MATCH(C11,NAMES!$D:$D,0)-1,0)=TRUE,
OFFSET(D12,MATCH(OFFSET('EL and TSL Setup'!$J$1,MATCH(C11&amp;" at Selected TSL",'EL and TSL Setup'!$J:$J,0),0),EL_List,0),0))</f>
        <v>5.4019237644424045</v>
      </c>
      <c r="G13" s="220"/>
      <c r="I13" s="256"/>
      <c r="J13" s="301" t="s">
        <v>81</v>
      </c>
      <c r="K13" s="761">
        <v>0</v>
      </c>
      <c r="L13" s="244"/>
      <c r="M13" s="304">
        <f ca="1">IF(OFFSET(NAMES!$G$1,MATCH(J11,NAMES!$D:$D,0)-1,0)=TRUE,
OFFSET(K12,MATCH(OFFSET('EL and TSL Setup'!$J$1,MATCH(J11&amp;" at Selected TSL",'EL and TSL Setup'!$J:$J,0),0),EL_List,0),0))</f>
        <v>2.2720331950207466</v>
      </c>
      <c r="N13" s="220"/>
      <c r="P13" s="256"/>
      <c r="Q13" s="301" t="s">
        <v>81</v>
      </c>
      <c r="R13" s="761">
        <v>0</v>
      </c>
      <c r="S13" s="244"/>
      <c r="T13" s="304">
        <f ca="1">IF(OFFSET(NAMES!$G$1,MATCH(Q11,NAMES!$D:$D,0)-1,0)=TRUE,
OFFSET(R12,MATCH(OFFSET('EL and TSL Setup'!$J$1,MATCH(Q11&amp;" at Selected TSL",'EL and TSL Setup'!$J:$J,0),0),EL_List,0),0))</f>
        <v>1.0803847528884809</v>
      </c>
      <c r="U13" s="220"/>
    </row>
    <row r="14" spans="2:21" ht="16.399999999999999" customHeight="1" x14ac:dyDescent="0.35">
      <c r="B14" s="256"/>
      <c r="C14" s="301" t="s">
        <v>86</v>
      </c>
      <c r="D14" s="761">
        <v>3.6012825096282701</v>
      </c>
      <c r="E14" s="244"/>
      <c r="F14" s="218"/>
      <c r="G14" s="220"/>
      <c r="I14" s="256"/>
      <c r="J14" s="301" t="s">
        <v>86</v>
      </c>
      <c r="K14" s="761">
        <v>6.1291687966804993</v>
      </c>
      <c r="L14" s="244"/>
      <c r="M14" s="218"/>
      <c r="N14" s="220"/>
      <c r="P14" s="256"/>
      <c r="Q14" s="301" t="s">
        <v>86</v>
      </c>
      <c r="R14" s="761">
        <v>0.72025650192565405</v>
      </c>
      <c r="S14" s="244"/>
      <c r="T14" s="218"/>
      <c r="U14" s="220"/>
    </row>
    <row r="15" spans="2:21" ht="16.399999999999999" customHeight="1" x14ac:dyDescent="0.35">
      <c r="B15" s="256"/>
      <c r="C15" s="301" t="s">
        <v>344</v>
      </c>
      <c r="D15" s="761">
        <v>5.4019237644424045</v>
      </c>
      <c r="E15" s="244"/>
      <c r="F15" s="218"/>
      <c r="G15" s="220"/>
      <c r="I15" s="256"/>
      <c r="J15" s="301" t="s">
        <v>344</v>
      </c>
      <c r="K15" s="761">
        <v>2.2720331950207466</v>
      </c>
      <c r="L15" s="244"/>
      <c r="M15" s="218"/>
      <c r="N15" s="220"/>
      <c r="P15" s="256"/>
      <c r="Q15" s="301" t="s">
        <v>344</v>
      </c>
      <c r="R15" s="761">
        <v>1.0803847528884809</v>
      </c>
      <c r="S15" s="244"/>
      <c r="T15" s="218"/>
      <c r="U15" s="220"/>
    </row>
    <row r="16" spans="2:21" ht="16.399999999999999" customHeight="1" x14ac:dyDescent="0.35">
      <c r="B16" s="256"/>
      <c r="C16" s="301" t="s">
        <v>343</v>
      </c>
      <c r="D16" s="761">
        <v>18.974640726970435</v>
      </c>
      <c r="E16" s="244"/>
      <c r="F16" s="218"/>
      <c r="G16" s="220"/>
      <c r="I16" s="256"/>
      <c r="J16" s="301" t="s">
        <v>343</v>
      </c>
      <c r="K16" s="761">
        <v>8.1201659751037347</v>
      </c>
      <c r="L16" s="244"/>
      <c r="M16" s="218"/>
      <c r="N16" s="220"/>
      <c r="P16" s="256"/>
      <c r="Q16" s="301" t="s">
        <v>343</v>
      </c>
      <c r="R16" s="761">
        <v>3.7949281453940871</v>
      </c>
      <c r="S16" s="244"/>
      <c r="T16" s="218"/>
      <c r="U16" s="220"/>
    </row>
    <row r="17" spans="2:21" ht="16.399999999999999" customHeight="1" x14ac:dyDescent="0.35">
      <c r="B17" s="256"/>
      <c r="C17" s="301" t="s">
        <v>342</v>
      </c>
      <c r="D17" s="761">
        <v>20.563215299460982</v>
      </c>
      <c r="E17" s="244"/>
      <c r="F17" s="218"/>
      <c r="G17" s="220"/>
      <c r="I17" s="256"/>
      <c r="J17" s="301" t="s">
        <v>342</v>
      </c>
      <c r="K17" s="761">
        <v>6.6547717842323664</v>
      </c>
      <c r="L17" s="244"/>
      <c r="M17" s="218"/>
      <c r="N17" s="220"/>
      <c r="P17" s="256"/>
      <c r="Q17" s="301" t="s">
        <v>342</v>
      </c>
      <c r="R17" s="761">
        <v>4.1126430598921964</v>
      </c>
      <c r="S17" s="244"/>
      <c r="T17" s="218"/>
      <c r="U17" s="220"/>
    </row>
    <row r="18" spans="2:21" ht="16.399999999999999" customHeight="1" thickBot="1" x14ac:dyDescent="0.4">
      <c r="B18" s="235"/>
      <c r="C18" s="250"/>
      <c r="D18" s="762"/>
      <c r="E18" s="250"/>
      <c r="F18" s="251"/>
      <c r="G18" s="252"/>
      <c r="I18" s="235"/>
      <c r="J18" s="250"/>
      <c r="K18" s="762"/>
      <c r="L18" s="250"/>
      <c r="M18" s="251"/>
      <c r="N18" s="252"/>
      <c r="P18" s="235"/>
      <c r="Q18" s="250"/>
      <c r="R18" s="762"/>
      <c r="S18" s="250"/>
      <c r="T18" s="251"/>
      <c r="U18" s="252"/>
    </row>
    <row r="19" spans="2:21" ht="16.399999999999999" customHeight="1" thickBot="1" x14ac:dyDescent="0.4">
      <c r="D19" s="763"/>
      <c r="K19" s="763"/>
      <c r="R19" s="763"/>
    </row>
    <row r="20" spans="2:21" ht="16.399999999999999" customHeight="1" x14ac:dyDescent="0.35">
      <c r="B20" s="208"/>
      <c r="C20" s="209"/>
      <c r="D20" s="764"/>
      <c r="E20" s="209"/>
      <c r="F20" s="209"/>
      <c r="G20" s="210"/>
      <c r="I20" s="208"/>
      <c r="J20" s="209"/>
      <c r="K20" s="764"/>
      <c r="L20" s="209"/>
      <c r="M20" s="209"/>
      <c r="N20" s="210"/>
      <c r="P20" s="208"/>
      <c r="Q20" s="209"/>
      <c r="R20" s="764"/>
      <c r="S20" s="209"/>
      <c r="T20" s="209"/>
      <c r="U20" s="210"/>
    </row>
    <row r="21" spans="2:21" ht="16.399999999999999" customHeight="1" x14ac:dyDescent="0.35">
      <c r="B21" s="217"/>
      <c r="C21" s="247" t="s">
        <v>180</v>
      </c>
      <c r="D21" s="765" t="s">
        <v>340</v>
      </c>
      <c r="E21" s="306"/>
      <c r="F21" s="306"/>
      <c r="G21" s="246"/>
      <c r="I21" s="217"/>
      <c r="J21" s="247" t="s">
        <v>180</v>
      </c>
      <c r="K21" s="765" t="s">
        <v>340</v>
      </c>
      <c r="L21" s="306"/>
      <c r="M21" s="306"/>
      <c r="N21" s="246"/>
      <c r="P21" s="217"/>
      <c r="Q21" s="247" t="s">
        <v>180</v>
      </c>
      <c r="R21" s="765" t="s">
        <v>340</v>
      </c>
      <c r="S21" s="306"/>
      <c r="T21" s="306"/>
      <c r="U21" s="246"/>
    </row>
    <row r="22" spans="2:21" ht="16.399999999999999" customHeight="1" thickBot="1" x14ac:dyDescent="0.4">
      <c r="B22" s="217"/>
      <c r="C22" s="244"/>
      <c r="D22" s="766" t="s">
        <v>185</v>
      </c>
      <c r="E22" s="244"/>
      <c r="F22" s="307" t="s">
        <v>186</v>
      </c>
      <c r="G22" s="246"/>
      <c r="I22" s="217"/>
      <c r="J22" s="244"/>
      <c r="K22" s="766" t="s">
        <v>187</v>
      </c>
      <c r="L22" s="244"/>
      <c r="M22" s="307" t="s">
        <v>186</v>
      </c>
      <c r="N22" s="246"/>
      <c r="P22" s="217"/>
      <c r="Q22" s="244"/>
      <c r="R22" s="766" t="s">
        <v>190</v>
      </c>
      <c r="S22" s="244"/>
      <c r="T22" s="307" t="s">
        <v>186</v>
      </c>
      <c r="U22" s="246"/>
    </row>
    <row r="23" spans="2:21" ht="16.399999999999999" customHeight="1" thickBot="1" x14ac:dyDescent="0.4">
      <c r="B23" s="256"/>
      <c r="C23" s="301" t="s">
        <v>81</v>
      </c>
      <c r="D23" s="761">
        <v>0</v>
      </c>
      <c r="E23" s="244"/>
      <c r="F23" s="304">
        <f ca="1">IF(OFFSET(NAMES!$G$1,MATCH(C21,NAMES!$D:$D,0)-1,0)=TRUE,
OFFSET(D22,MATCH(OFFSET('EL and TSL Setup'!$J$1,MATCH(C21&amp;" at Selected TSL",'EL and TSL Setup'!$J:$J,0),0),EL_List,0),0))</f>
        <v>4.6942198097257908</v>
      </c>
      <c r="G23" s="220"/>
      <c r="I23" s="256"/>
      <c r="J23" s="301" t="s">
        <v>81</v>
      </c>
      <c r="K23" s="761">
        <v>0</v>
      </c>
      <c r="L23" s="244"/>
      <c r="M23" s="304">
        <f ca="1">IF(OFFSET(NAMES!$G$1,MATCH(J21,NAMES!$D:$D,0)-1,0)=TRUE,
OFFSET(K22,MATCH(OFFSET('EL and TSL Setup'!$J$1,MATCH(J21&amp;" at Selected TSL",'EL and TSL Setup'!$J:$J,0),0),EL_List,0),0))</f>
        <v>1.9743749999999993</v>
      </c>
      <c r="N23" s="220"/>
      <c r="P23" s="256"/>
      <c r="Q23" s="301" t="s">
        <v>81</v>
      </c>
      <c r="R23" s="761">
        <v>0</v>
      </c>
      <c r="S23" s="244"/>
      <c r="T23" s="304">
        <f ca="1">IF(OFFSET(NAMES!$G$1,MATCH(Q21,NAMES!$D:$D,0)-1,0)=TRUE,
OFFSET(R22,MATCH(OFFSET('EL and TSL Setup'!$J$1,MATCH(Q21&amp;" at Selected TSL",'EL and TSL Setup'!$J:$J,0),0),EL_List,0),0))</f>
        <v>0.93884396194515818</v>
      </c>
      <c r="U23" s="220"/>
    </row>
    <row r="24" spans="2:21" ht="16.399999999999999" customHeight="1" x14ac:dyDescent="0.35">
      <c r="B24" s="256"/>
      <c r="C24" s="301" t="s">
        <v>86</v>
      </c>
      <c r="D24" s="761">
        <v>3.1294798731505278</v>
      </c>
      <c r="E24" s="244"/>
      <c r="F24" s="218"/>
      <c r="G24" s="220"/>
      <c r="I24" s="256"/>
      <c r="J24" s="301" t="s">
        <v>86</v>
      </c>
      <c r="K24" s="761">
        <v>5.5757700000000003</v>
      </c>
      <c r="L24" s="244"/>
      <c r="M24" s="218"/>
      <c r="N24" s="220"/>
      <c r="P24" s="256"/>
      <c r="Q24" s="301" t="s">
        <v>86</v>
      </c>
      <c r="R24" s="761">
        <v>0.6258959746301056</v>
      </c>
      <c r="S24" s="244"/>
      <c r="T24" s="218"/>
      <c r="U24" s="220"/>
    </row>
    <row r="25" spans="2:21" ht="16.399999999999999" customHeight="1" x14ac:dyDescent="0.35">
      <c r="B25" s="256"/>
      <c r="C25" s="301" t="s">
        <v>344</v>
      </c>
      <c r="D25" s="761">
        <v>4.6942198097257908</v>
      </c>
      <c r="E25" s="244"/>
      <c r="F25" s="218"/>
      <c r="G25" s="220"/>
      <c r="I25" s="256"/>
      <c r="J25" s="301" t="s">
        <v>344</v>
      </c>
      <c r="K25" s="761">
        <v>1.9743749999999993</v>
      </c>
      <c r="L25" s="244"/>
      <c r="M25" s="218"/>
      <c r="N25" s="220"/>
      <c r="P25" s="256"/>
      <c r="Q25" s="301" t="s">
        <v>344</v>
      </c>
      <c r="R25" s="761">
        <v>0.93884396194515818</v>
      </c>
      <c r="S25" s="244"/>
      <c r="T25" s="218"/>
      <c r="U25" s="220"/>
    </row>
    <row r="26" spans="2:21" ht="16.399999999999999" customHeight="1" x14ac:dyDescent="0.35">
      <c r="B26" s="256"/>
      <c r="C26" s="301" t="s">
        <v>343</v>
      </c>
      <c r="D26" s="761">
        <v>26.657860874971991</v>
      </c>
      <c r="E26" s="244"/>
      <c r="F26" s="218"/>
      <c r="G26" s="220"/>
      <c r="I26" s="256"/>
      <c r="J26" s="301" t="s">
        <v>343</v>
      </c>
      <c r="K26" s="761">
        <v>8.3024999999999984</v>
      </c>
      <c r="L26" s="244"/>
      <c r="M26" s="218"/>
      <c r="N26" s="220"/>
      <c r="P26" s="256"/>
      <c r="Q26" s="301" t="s">
        <v>343</v>
      </c>
      <c r="R26" s="761">
        <v>5.3315721749943989</v>
      </c>
      <c r="S26" s="244"/>
      <c r="T26" s="218"/>
      <c r="U26" s="220"/>
    </row>
    <row r="27" spans="2:21" ht="16.399999999999999" customHeight="1" x14ac:dyDescent="0.35">
      <c r="B27" s="256"/>
      <c r="C27" s="301" t="s">
        <v>342</v>
      </c>
      <c r="D27" s="761">
        <v>29.81471282069236</v>
      </c>
      <c r="E27" s="244"/>
      <c r="F27" s="218"/>
      <c r="G27" s="220"/>
      <c r="I27" s="256"/>
      <c r="J27" s="301" t="s">
        <v>342</v>
      </c>
      <c r="K27" s="761">
        <v>9.4415624999999981</v>
      </c>
      <c r="L27" s="244"/>
      <c r="M27" s="218"/>
      <c r="N27" s="220"/>
      <c r="P27" s="256"/>
      <c r="Q27" s="301" t="s">
        <v>342</v>
      </c>
      <c r="R27" s="761">
        <v>5.9629425641384728</v>
      </c>
      <c r="S27" s="244"/>
      <c r="T27" s="218"/>
      <c r="U27" s="220"/>
    </row>
    <row r="28" spans="2:21" ht="16.399999999999999" customHeight="1" thickBot="1" x14ac:dyDescent="0.4">
      <c r="B28" s="235"/>
      <c r="C28" s="250"/>
      <c r="D28" s="762"/>
      <c r="E28" s="250"/>
      <c r="F28" s="251"/>
      <c r="G28" s="252"/>
      <c r="I28" s="235"/>
      <c r="J28" s="250"/>
      <c r="K28" s="762"/>
      <c r="L28" s="250"/>
      <c r="M28" s="251"/>
      <c r="N28" s="252"/>
      <c r="P28" s="235"/>
      <c r="Q28" s="250"/>
      <c r="R28" s="762"/>
      <c r="S28" s="250"/>
      <c r="T28" s="251"/>
      <c r="U28" s="252"/>
    </row>
    <row r="29" spans="2:21" ht="16.399999999999999" customHeight="1" thickBot="1" x14ac:dyDescent="0.4">
      <c r="D29" s="763"/>
      <c r="K29" s="763"/>
      <c r="R29" s="763"/>
    </row>
    <row r="30" spans="2:21" ht="16.399999999999999" customHeight="1" x14ac:dyDescent="0.35">
      <c r="B30" s="208"/>
      <c r="C30" s="209"/>
      <c r="D30" s="764"/>
      <c r="E30" s="209"/>
      <c r="F30" s="209"/>
      <c r="G30" s="210"/>
      <c r="I30" s="208"/>
      <c r="J30" s="209"/>
      <c r="K30" s="764"/>
      <c r="L30" s="209"/>
      <c r="M30" s="209"/>
      <c r="N30" s="210"/>
      <c r="P30" s="208"/>
      <c r="Q30" s="209"/>
      <c r="R30" s="764"/>
      <c r="S30" s="209"/>
      <c r="T30" s="209"/>
      <c r="U30" s="210"/>
    </row>
    <row r="31" spans="2:21" ht="16.399999999999999" customHeight="1" x14ac:dyDescent="0.35">
      <c r="B31" s="217"/>
      <c r="C31" s="247" t="s">
        <v>181</v>
      </c>
      <c r="D31" s="765" t="s">
        <v>341</v>
      </c>
      <c r="E31" s="306"/>
      <c r="F31" s="306"/>
      <c r="G31" s="246"/>
      <c r="I31" s="217"/>
      <c r="J31" s="247" t="s">
        <v>181</v>
      </c>
      <c r="K31" s="765" t="s">
        <v>341</v>
      </c>
      <c r="L31" s="306"/>
      <c r="M31" s="306"/>
      <c r="N31" s="246"/>
      <c r="P31" s="217"/>
      <c r="Q31" s="247" t="s">
        <v>181</v>
      </c>
      <c r="R31" s="765" t="s">
        <v>341</v>
      </c>
      <c r="S31" s="306"/>
      <c r="T31" s="306"/>
      <c r="U31" s="246"/>
    </row>
    <row r="32" spans="2:21" ht="16.399999999999999" customHeight="1" thickBot="1" x14ac:dyDescent="0.4">
      <c r="B32" s="217"/>
      <c r="C32" s="244"/>
      <c r="D32" s="766" t="s">
        <v>185</v>
      </c>
      <c r="E32" s="244"/>
      <c r="F32" s="307" t="s">
        <v>186</v>
      </c>
      <c r="G32" s="246"/>
      <c r="I32" s="217"/>
      <c r="J32" s="244"/>
      <c r="K32" s="766" t="s">
        <v>187</v>
      </c>
      <c r="L32" s="244"/>
      <c r="M32" s="307" t="s">
        <v>186</v>
      </c>
      <c r="N32" s="246"/>
      <c r="P32" s="217"/>
      <c r="Q32" s="244"/>
      <c r="R32" s="766" t="s">
        <v>190</v>
      </c>
      <c r="S32" s="244"/>
      <c r="T32" s="307" t="s">
        <v>186</v>
      </c>
      <c r="U32" s="246"/>
    </row>
    <row r="33" spans="2:21" ht="16.399999999999999" customHeight="1" thickBot="1" x14ac:dyDescent="0.4">
      <c r="B33" s="256"/>
      <c r="C33" s="301" t="s">
        <v>81</v>
      </c>
      <c r="D33" s="761">
        <v>0</v>
      </c>
      <c r="E33" s="244"/>
      <c r="F33" s="304">
        <f ca="1">IF(OFFSET(NAMES!$G$1,MATCH(C31,NAMES!$D:$D,0)-1,0)=TRUE,
OFFSET(D32,MATCH(OFFSET('EL and TSL Setup'!$J$1,MATCH(C31&amp;" at Selected TSL",'EL and TSL Setup'!$J:$J,0),0),EL_List,0),0))</f>
        <v>10.346238817439138</v>
      </c>
      <c r="G33" s="220"/>
      <c r="I33" s="256"/>
      <c r="J33" s="301" t="s">
        <v>81</v>
      </c>
      <c r="K33" s="761">
        <v>0</v>
      </c>
      <c r="L33" s="244"/>
      <c r="M33" s="304">
        <f ca="1">IF(OFFSET(NAMES!$G$1,MATCH(J31,NAMES!$D:$D,0)-1,0)=TRUE,
OFFSET(K32,MATCH(OFFSET('EL and TSL Setup'!$J$1,MATCH(J31&amp;" at Selected TSL",'EL and TSL Setup'!$J:$J,0),0),EL_List,0),0))</f>
        <v>1.7969283276450518</v>
      </c>
      <c r="N33" s="220"/>
      <c r="P33" s="256"/>
      <c r="Q33" s="301" t="s">
        <v>81</v>
      </c>
      <c r="R33" s="761">
        <v>0</v>
      </c>
      <c r="S33" s="244"/>
      <c r="T33" s="304">
        <f ca="1">IF(OFFSET(NAMES!$G$1,MATCH(Q31,NAMES!$D:$D,0)-1,0)=TRUE,
OFFSET(R32,MATCH(OFFSET('EL and TSL Setup'!$J$1,MATCH(Q31&amp;" at Selected TSL",'EL and TSL Setup'!$J:$J,0),0),EL_List,0),0))</f>
        <v>2.0692477634878279</v>
      </c>
      <c r="U33" s="220"/>
    </row>
    <row r="34" spans="2:21" ht="16.399999999999999" customHeight="1" x14ac:dyDescent="0.35">
      <c r="B34" s="256"/>
      <c r="C34" s="301" t="s">
        <v>86</v>
      </c>
      <c r="D34" s="761">
        <v>6.8974925449594249</v>
      </c>
      <c r="E34" s="244"/>
      <c r="F34" s="218"/>
      <c r="G34" s="220"/>
      <c r="I34" s="256"/>
      <c r="J34" s="301" t="s">
        <v>86</v>
      </c>
      <c r="K34" s="761">
        <v>5.4574722184300342</v>
      </c>
      <c r="L34" s="244"/>
      <c r="M34" s="218"/>
      <c r="N34" s="220"/>
      <c r="P34" s="256"/>
      <c r="Q34" s="301" t="s">
        <v>86</v>
      </c>
      <c r="R34" s="761">
        <v>1.379498508991885</v>
      </c>
      <c r="S34" s="244"/>
      <c r="T34" s="218"/>
      <c r="U34" s="220"/>
    </row>
    <row r="35" spans="2:21" ht="16.399999999999999" customHeight="1" x14ac:dyDescent="0.35">
      <c r="B35" s="256"/>
      <c r="C35" s="301" t="s">
        <v>344</v>
      </c>
      <c r="D35" s="761">
        <v>10.346238817439138</v>
      </c>
      <c r="E35" s="244"/>
      <c r="F35" s="218"/>
      <c r="G35" s="220"/>
      <c r="I35" s="256"/>
      <c r="J35" s="301" t="s">
        <v>344</v>
      </c>
      <c r="K35" s="761">
        <v>1.7969283276450518</v>
      </c>
      <c r="L35" s="244"/>
      <c r="M35" s="218"/>
      <c r="N35" s="220"/>
      <c r="P35" s="256"/>
      <c r="Q35" s="301" t="s">
        <v>344</v>
      </c>
      <c r="R35" s="761">
        <v>2.0692477634878279</v>
      </c>
      <c r="S35" s="244"/>
      <c r="T35" s="218"/>
      <c r="U35" s="220"/>
    </row>
    <row r="36" spans="2:21" ht="16.399999999999999" customHeight="1" x14ac:dyDescent="0.35">
      <c r="B36" s="256"/>
      <c r="C36" s="301" t="s">
        <v>343</v>
      </c>
      <c r="D36" s="761">
        <v>48.498637879557997</v>
      </c>
      <c r="E36" s="244"/>
      <c r="F36" s="218"/>
      <c r="G36" s="220"/>
      <c r="I36" s="256"/>
      <c r="J36" s="301" t="s">
        <v>343</v>
      </c>
      <c r="K36" s="761">
        <v>8.8648464163822531</v>
      </c>
      <c r="L36" s="244"/>
      <c r="M36" s="218"/>
      <c r="N36" s="220"/>
      <c r="P36" s="256"/>
      <c r="Q36" s="301" t="s">
        <v>343</v>
      </c>
      <c r="R36" s="761">
        <v>9.6997275759116004</v>
      </c>
      <c r="S36" s="244"/>
      <c r="T36" s="218"/>
      <c r="U36" s="220"/>
    </row>
    <row r="37" spans="2:21" ht="16.399999999999999" customHeight="1" x14ac:dyDescent="0.35">
      <c r="B37" s="256"/>
      <c r="C37" s="301" t="s">
        <v>342</v>
      </c>
      <c r="D37" s="761">
        <v>50.097494073389583</v>
      </c>
      <c r="E37" s="244"/>
      <c r="F37" s="218"/>
      <c r="G37" s="220"/>
      <c r="I37" s="256"/>
      <c r="J37" s="301" t="s">
        <v>342</v>
      </c>
      <c r="K37" s="761">
        <v>9.1965870307167243</v>
      </c>
      <c r="L37" s="244"/>
      <c r="M37" s="218"/>
      <c r="N37" s="220"/>
      <c r="P37" s="256"/>
      <c r="Q37" s="301" t="s">
        <v>342</v>
      </c>
      <c r="R37" s="761">
        <v>10.019498814677917</v>
      </c>
      <c r="S37" s="244"/>
      <c r="T37" s="218"/>
      <c r="U37" s="220"/>
    </row>
    <row r="38" spans="2:21" ht="16.399999999999999" customHeight="1" thickBot="1" x14ac:dyDescent="0.4">
      <c r="B38" s="235"/>
      <c r="C38" s="250"/>
      <c r="D38" s="250"/>
      <c r="E38" s="250"/>
      <c r="F38" s="251"/>
      <c r="G38" s="252"/>
      <c r="I38" s="235"/>
      <c r="J38" s="250"/>
      <c r="K38" s="250"/>
      <c r="L38" s="250"/>
      <c r="M38" s="251"/>
      <c r="N38" s="252"/>
      <c r="P38" s="235"/>
      <c r="Q38" s="250"/>
      <c r="R38" s="250"/>
      <c r="S38" s="250"/>
      <c r="T38" s="251"/>
      <c r="U38" s="252"/>
    </row>
    <row r="39" spans="2:21" ht="16.399999999999999" customHeight="1" x14ac:dyDescent="0.35"/>
    <row r="40" spans="2:21" ht="16.399999999999999" customHeight="1" x14ac:dyDescent="0.35"/>
    <row r="41" spans="2:21" ht="16.399999999999999" customHeight="1" x14ac:dyDescent="0.35"/>
    <row r="42" spans="2:21" ht="16.399999999999999" customHeight="1" x14ac:dyDescent="0.35"/>
    <row r="43" spans="2:21" ht="16.399999999999999" customHeight="1" x14ac:dyDescent="0.35"/>
    <row r="44" spans="2:21" ht="16.399999999999999" customHeight="1" x14ac:dyDescent="0.35"/>
    <row r="45" spans="2:21" ht="16.399999999999999" customHeight="1" x14ac:dyDescent="0.35"/>
    <row r="46" spans="2:21" ht="16.399999999999999" customHeight="1" x14ac:dyDescent="0.35"/>
    <row r="47" spans="2:21" ht="16.399999999999999" customHeight="1" x14ac:dyDescent="0.35"/>
    <row r="48" spans="2:21" ht="16.399999999999999" customHeight="1" x14ac:dyDescent="0.35"/>
    <row r="49" ht="16.399999999999999" customHeight="1" x14ac:dyDescent="0.35"/>
    <row r="50" ht="16.399999999999999" customHeight="1" x14ac:dyDescent="0.35"/>
    <row r="51" ht="16.399999999999999" customHeight="1" x14ac:dyDescent="0.35"/>
    <row r="52" ht="16.399999999999999" customHeight="1" x14ac:dyDescent="0.35"/>
    <row r="53" ht="16.399999999999999" customHeight="1" x14ac:dyDescent="0.35"/>
    <row r="54" ht="16.399999999999999" customHeight="1" x14ac:dyDescent="0.35"/>
    <row r="55" ht="16.399999999999999" customHeight="1" x14ac:dyDescent="0.35"/>
    <row r="56" ht="16.399999999999999" customHeight="1" x14ac:dyDescent="0.35"/>
    <row r="57" ht="16.399999999999999" customHeight="1" x14ac:dyDescent="0.35"/>
    <row r="58" ht="16.399999999999999" customHeight="1" x14ac:dyDescent="0.35"/>
    <row r="59" ht="16.399999999999999" customHeight="1" x14ac:dyDescent="0.35"/>
    <row r="60" ht="16.399999999999999" customHeight="1" x14ac:dyDescent="0.35"/>
    <row r="61" ht="16.399999999999999" customHeight="1" x14ac:dyDescent="0.35"/>
    <row r="62" ht="16.399999999999999" customHeight="1" x14ac:dyDescent="0.35"/>
    <row r="63" ht="16.399999999999999" customHeight="1" x14ac:dyDescent="0.35"/>
    <row r="64" ht="16.399999999999999" customHeight="1" x14ac:dyDescent="0.35"/>
    <row r="65" ht="16.399999999999999" customHeight="1" x14ac:dyDescent="0.35"/>
    <row r="66" ht="16.399999999999999" customHeight="1" x14ac:dyDescent="0.35"/>
    <row r="67" ht="16.399999999999999" customHeight="1" x14ac:dyDescent="0.35"/>
    <row r="68" ht="16.399999999999999" customHeight="1" x14ac:dyDescent="0.35"/>
    <row r="69" ht="16.399999999999999" customHeight="1" x14ac:dyDescent="0.35"/>
    <row r="70" ht="16.399999999999999" customHeight="1" x14ac:dyDescent="0.35"/>
    <row r="71" ht="16.399999999999999" customHeight="1" x14ac:dyDescent="0.35"/>
    <row r="72" ht="16.399999999999999" customHeight="1" x14ac:dyDescent="0.35"/>
    <row r="73" ht="16.399999999999999" customHeight="1" x14ac:dyDescent="0.35"/>
    <row r="74" ht="16.399999999999999" customHeight="1" x14ac:dyDescent="0.35"/>
    <row r="75" ht="16.399999999999999" customHeight="1" x14ac:dyDescent="0.35"/>
    <row r="76" ht="16.399999999999999" customHeight="1" x14ac:dyDescent="0.35"/>
    <row r="77" ht="16.399999999999999" customHeight="1" x14ac:dyDescent="0.35"/>
    <row r="78" ht="16.399999999999999" customHeight="1" x14ac:dyDescent="0.35"/>
    <row r="79" ht="16.399999999999999" customHeight="1" x14ac:dyDescent="0.35"/>
    <row r="80" ht="16.399999999999999" customHeight="1" x14ac:dyDescent="0.35"/>
    <row r="81" ht="16.399999999999999" customHeight="1" x14ac:dyDescent="0.35"/>
    <row r="82" ht="16.399999999999999" customHeight="1" x14ac:dyDescent="0.35"/>
    <row r="83" ht="16.399999999999999" customHeight="1" x14ac:dyDescent="0.35"/>
    <row r="84" ht="16.399999999999999" customHeight="1" x14ac:dyDescent="0.35"/>
    <row r="85" ht="16.399999999999999" customHeight="1" x14ac:dyDescent="0.35"/>
    <row r="86" ht="16.399999999999999" customHeight="1" x14ac:dyDescent="0.35"/>
    <row r="87" ht="16.399999999999999" customHeight="1" x14ac:dyDescent="0.35"/>
    <row r="88" ht="16.399999999999999" customHeight="1" x14ac:dyDescent="0.35"/>
    <row r="89" ht="16.399999999999999" customHeight="1" x14ac:dyDescent="0.35"/>
    <row r="90" ht="16.399999999999999" customHeight="1" x14ac:dyDescent="0.35"/>
    <row r="91" ht="16.399999999999999" customHeight="1" x14ac:dyDescent="0.35"/>
    <row r="92" ht="16.399999999999999" customHeight="1" x14ac:dyDescent="0.35"/>
    <row r="93" ht="16.399999999999999" customHeight="1" x14ac:dyDescent="0.35"/>
    <row r="94" ht="16.399999999999999" customHeight="1" x14ac:dyDescent="0.35"/>
    <row r="95" ht="16.399999999999999" customHeight="1" x14ac:dyDescent="0.35"/>
    <row r="96" ht="16.399999999999999" customHeight="1" x14ac:dyDescent="0.35"/>
    <row r="97" ht="16.399999999999999" customHeight="1" x14ac:dyDescent="0.35"/>
    <row r="98" ht="16.399999999999999" customHeight="1" x14ac:dyDescent="0.35"/>
    <row r="99" ht="16.399999999999999" customHeight="1" x14ac:dyDescent="0.35"/>
    <row r="100" ht="16.399999999999999" customHeight="1" x14ac:dyDescent="0.35"/>
    <row r="101" ht="16.399999999999999" customHeight="1" x14ac:dyDescent="0.35"/>
    <row r="102" ht="16.399999999999999" customHeight="1" x14ac:dyDescent="0.35"/>
    <row r="103" ht="16.399999999999999" customHeight="1" x14ac:dyDescent="0.35"/>
    <row r="104" ht="16.399999999999999" customHeight="1" x14ac:dyDescent="0.35"/>
    <row r="105" ht="16.399999999999999" customHeight="1" x14ac:dyDescent="0.35"/>
    <row r="106" ht="16.399999999999999" customHeight="1" x14ac:dyDescent="0.35"/>
    <row r="107" ht="16.399999999999999" customHeight="1" x14ac:dyDescent="0.35"/>
    <row r="108" ht="16.399999999999999" customHeight="1" x14ac:dyDescent="0.35"/>
    <row r="109" ht="16.399999999999999" customHeight="1" x14ac:dyDescent="0.35"/>
    <row r="110" ht="16.399999999999999" customHeight="1" x14ac:dyDescent="0.35"/>
    <row r="111" ht="16.399999999999999" customHeight="1" x14ac:dyDescent="0.35"/>
    <row r="112" ht="16.399999999999999" customHeight="1" x14ac:dyDescent="0.35"/>
    <row r="113" ht="16.399999999999999" customHeight="1" x14ac:dyDescent="0.35"/>
    <row r="114" ht="16.399999999999999" customHeight="1" x14ac:dyDescent="0.35"/>
    <row r="115" ht="16.399999999999999" customHeight="1" x14ac:dyDescent="0.35"/>
    <row r="116" ht="16.399999999999999" customHeight="1" x14ac:dyDescent="0.35"/>
    <row r="117" ht="16.399999999999999" customHeight="1" x14ac:dyDescent="0.35"/>
    <row r="118" ht="16.399999999999999" customHeight="1" x14ac:dyDescent="0.35"/>
    <row r="119" ht="16.399999999999999" customHeight="1" x14ac:dyDescent="0.35"/>
    <row r="120" ht="16.399999999999999" customHeight="1" x14ac:dyDescent="0.35"/>
    <row r="121" ht="16.399999999999999" customHeight="1" x14ac:dyDescent="0.35"/>
    <row r="122" ht="16.399999999999999" customHeight="1" x14ac:dyDescent="0.35"/>
    <row r="123" ht="16.399999999999999" customHeight="1" x14ac:dyDescent="0.35"/>
    <row r="124" ht="16.399999999999999" customHeight="1" x14ac:dyDescent="0.35"/>
    <row r="125" ht="16.399999999999999" customHeight="1" x14ac:dyDescent="0.35"/>
    <row r="126" ht="16.399999999999999" customHeight="1" x14ac:dyDescent="0.35"/>
    <row r="127" ht="16.399999999999999" customHeight="1" x14ac:dyDescent="0.35"/>
    <row r="128" ht="16.399999999999999" customHeight="1" x14ac:dyDescent="0.35"/>
    <row r="129" ht="16.399999999999999" customHeight="1" x14ac:dyDescent="0.35"/>
    <row r="130" ht="16.399999999999999" customHeight="1" x14ac:dyDescent="0.35"/>
    <row r="131" ht="16.399999999999999" customHeight="1" x14ac:dyDescent="0.35"/>
    <row r="132" ht="16.399999999999999" customHeight="1" x14ac:dyDescent="0.35"/>
    <row r="133" ht="16.399999999999999" customHeight="1" x14ac:dyDescent="0.35"/>
    <row r="134" ht="16.399999999999999" customHeight="1" x14ac:dyDescent="0.35"/>
    <row r="135" ht="16.399999999999999" customHeight="1" x14ac:dyDescent="0.35"/>
    <row r="136" ht="16.399999999999999" customHeight="1" x14ac:dyDescent="0.35"/>
    <row r="137" ht="16.399999999999999" customHeight="1" x14ac:dyDescent="0.35"/>
    <row r="138" ht="16.399999999999999" customHeight="1" x14ac:dyDescent="0.35"/>
    <row r="139" ht="16.399999999999999" customHeight="1" x14ac:dyDescent="0.35"/>
    <row r="140" ht="16.399999999999999" customHeight="1" x14ac:dyDescent="0.35"/>
    <row r="141" ht="16.399999999999999" customHeight="1" x14ac:dyDescent="0.35"/>
    <row r="142" ht="16.399999999999999" customHeight="1" x14ac:dyDescent="0.35"/>
    <row r="143" ht="16.399999999999999" customHeight="1" x14ac:dyDescent="0.35"/>
    <row r="144" ht="16.399999999999999" customHeight="1" x14ac:dyDescent="0.35"/>
    <row r="145" ht="16.399999999999999" customHeight="1" x14ac:dyDescent="0.35"/>
    <row r="146" ht="16.399999999999999" customHeight="1" x14ac:dyDescent="0.35"/>
    <row r="147" ht="16.399999999999999" customHeight="1" x14ac:dyDescent="0.35"/>
    <row r="148" ht="16.399999999999999" customHeight="1" x14ac:dyDescent="0.35"/>
    <row r="149" ht="16.399999999999999" customHeight="1" x14ac:dyDescent="0.35"/>
    <row r="150" ht="16.399999999999999" customHeight="1" x14ac:dyDescent="0.35"/>
    <row r="151" ht="16.399999999999999" customHeight="1" x14ac:dyDescent="0.35"/>
    <row r="152" ht="16.399999999999999" customHeight="1" x14ac:dyDescent="0.35"/>
    <row r="153" ht="16.399999999999999" customHeight="1" x14ac:dyDescent="0.35"/>
    <row r="154" ht="16.399999999999999" customHeight="1" x14ac:dyDescent="0.35"/>
    <row r="155" ht="16.399999999999999" customHeight="1" x14ac:dyDescent="0.35"/>
    <row r="156" ht="16.399999999999999" customHeight="1" x14ac:dyDescent="0.35"/>
    <row r="157" ht="16.399999999999999" customHeight="1" x14ac:dyDescent="0.35"/>
    <row r="158" ht="16.399999999999999" customHeight="1" x14ac:dyDescent="0.35"/>
    <row r="159" ht="16.399999999999999" customHeight="1" x14ac:dyDescent="0.35"/>
    <row r="160" ht="16.399999999999999" customHeight="1" x14ac:dyDescent="0.35"/>
    <row r="161" ht="16.399999999999999" customHeight="1" x14ac:dyDescent="0.35"/>
    <row r="162" ht="16.399999999999999" customHeight="1" x14ac:dyDescent="0.35"/>
    <row r="163" ht="16.399999999999999" customHeight="1" x14ac:dyDescent="0.35"/>
    <row r="164" ht="16.399999999999999" customHeight="1" x14ac:dyDescent="0.35"/>
    <row r="165" ht="16.399999999999999" customHeight="1" x14ac:dyDescent="0.35"/>
    <row r="166" ht="16.399999999999999" customHeight="1" x14ac:dyDescent="0.35"/>
    <row r="167" ht="16.399999999999999" customHeight="1" x14ac:dyDescent="0.35"/>
    <row r="168" ht="16.399999999999999" customHeight="1" x14ac:dyDescent="0.35"/>
    <row r="169" ht="16.399999999999999" customHeight="1" x14ac:dyDescent="0.35"/>
    <row r="170" ht="16.399999999999999" customHeight="1" x14ac:dyDescent="0.35"/>
    <row r="171" ht="16.399999999999999" customHeight="1" x14ac:dyDescent="0.35"/>
    <row r="172" ht="16.399999999999999" customHeight="1" x14ac:dyDescent="0.35"/>
    <row r="173" ht="16.399999999999999" customHeight="1" x14ac:dyDescent="0.35"/>
    <row r="174" ht="16.399999999999999" customHeight="1" x14ac:dyDescent="0.35"/>
    <row r="175" ht="16.399999999999999" customHeight="1" x14ac:dyDescent="0.35"/>
    <row r="176" ht="16.399999999999999" customHeight="1" x14ac:dyDescent="0.35"/>
    <row r="177" ht="16.399999999999999" customHeight="1" x14ac:dyDescent="0.35"/>
    <row r="178" ht="16.399999999999999" customHeight="1" x14ac:dyDescent="0.35"/>
    <row r="179" ht="16.399999999999999" customHeight="1" x14ac:dyDescent="0.35"/>
    <row r="180" ht="16.399999999999999" customHeight="1" x14ac:dyDescent="0.35"/>
    <row r="181" ht="16.399999999999999" customHeight="1" x14ac:dyDescent="0.35"/>
    <row r="182" ht="16.399999999999999" customHeight="1" x14ac:dyDescent="0.35"/>
    <row r="183" ht="16.399999999999999" customHeight="1" x14ac:dyDescent="0.35"/>
    <row r="184" ht="16.399999999999999" customHeight="1" x14ac:dyDescent="0.35"/>
    <row r="185" ht="16.399999999999999" customHeight="1" x14ac:dyDescent="0.35"/>
    <row r="186" ht="16.399999999999999" customHeight="1" x14ac:dyDescent="0.35"/>
    <row r="187" ht="16.399999999999999" customHeight="1" x14ac:dyDescent="0.35"/>
    <row r="188" ht="16.399999999999999" customHeight="1" x14ac:dyDescent="0.35"/>
    <row r="189" ht="16.399999999999999" customHeight="1" x14ac:dyDescent="0.35"/>
    <row r="190" ht="16.399999999999999" customHeight="1" x14ac:dyDescent="0.35"/>
    <row r="191" ht="16.399999999999999" customHeight="1" x14ac:dyDescent="0.35"/>
    <row r="192" ht="16.399999999999999" customHeight="1" x14ac:dyDescent="0.35"/>
    <row r="193" ht="16.399999999999999" customHeight="1" x14ac:dyDescent="0.35"/>
    <row r="194" ht="16.399999999999999" customHeight="1" x14ac:dyDescent="0.35"/>
    <row r="195" ht="16.399999999999999" customHeight="1" x14ac:dyDescent="0.35"/>
    <row r="196" ht="16.399999999999999" customHeight="1" x14ac:dyDescent="0.35"/>
    <row r="197" ht="16.399999999999999" customHeight="1" x14ac:dyDescent="0.35"/>
    <row r="198" ht="16.399999999999999" customHeight="1" x14ac:dyDescent="0.35"/>
    <row r="199" ht="16.399999999999999" customHeight="1" x14ac:dyDescent="0.35"/>
    <row r="200" ht="16.399999999999999" customHeight="1" x14ac:dyDescent="0.35"/>
    <row r="201" ht="16.399999999999999" customHeight="1" x14ac:dyDescent="0.35"/>
    <row r="202" ht="16.399999999999999" customHeight="1" x14ac:dyDescent="0.35"/>
    <row r="203" ht="16.399999999999999" customHeight="1" x14ac:dyDescent="0.35"/>
    <row r="204" ht="16.399999999999999" customHeight="1" x14ac:dyDescent="0.35"/>
    <row r="205" ht="16.399999999999999" customHeight="1" x14ac:dyDescent="0.35"/>
    <row r="206" ht="16.399999999999999" customHeight="1" x14ac:dyDescent="0.35"/>
    <row r="207" ht="16.399999999999999" customHeight="1" x14ac:dyDescent="0.35"/>
    <row r="208" ht="16.399999999999999" customHeight="1" x14ac:dyDescent="0.35"/>
    <row r="209" ht="16.399999999999999" customHeight="1" x14ac:dyDescent="0.35"/>
    <row r="210" ht="16.399999999999999" customHeight="1" x14ac:dyDescent="0.35"/>
    <row r="211" ht="16.399999999999999" customHeight="1" x14ac:dyDescent="0.35"/>
    <row r="212" ht="16.399999999999999" customHeight="1" x14ac:dyDescent="0.35"/>
    <row r="213" ht="16.399999999999999" customHeight="1" x14ac:dyDescent="0.35"/>
    <row r="214" ht="16.399999999999999" customHeight="1" x14ac:dyDescent="0.35"/>
    <row r="215" ht="16.399999999999999" customHeight="1" x14ac:dyDescent="0.35"/>
    <row r="216" ht="16.399999999999999" customHeight="1" x14ac:dyDescent="0.35"/>
    <row r="217" ht="16.399999999999999" customHeight="1" x14ac:dyDescent="0.35"/>
    <row r="218" ht="16.399999999999999" customHeight="1" x14ac:dyDescent="0.35"/>
    <row r="219" ht="16.399999999999999" customHeight="1" x14ac:dyDescent="0.35"/>
    <row r="220" ht="16.399999999999999" customHeight="1" x14ac:dyDescent="0.35"/>
    <row r="221" ht="16.399999999999999" customHeight="1" x14ac:dyDescent="0.35"/>
    <row r="222" ht="16.399999999999999" customHeight="1" x14ac:dyDescent="0.35"/>
    <row r="223" ht="16.399999999999999" customHeight="1" x14ac:dyDescent="0.35"/>
    <row r="224" ht="16.399999999999999" customHeight="1" x14ac:dyDescent="0.35"/>
    <row r="225" ht="16.399999999999999" customHeight="1" x14ac:dyDescent="0.35"/>
    <row r="226" ht="16.399999999999999" customHeight="1" x14ac:dyDescent="0.35"/>
    <row r="227" ht="16.399999999999999" customHeight="1" x14ac:dyDescent="0.35"/>
    <row r="228" ht="16.399999999999999" customHeight="1" x14ac:dyDescent="0.35"/>
    <row r="229" ht="16.399999999999999" customHeight="1" x14ac:dyDescent="0.35"/>
    <row r="230" ht="16.399999999999999" customHeight="1" x14ac:dyDescent="0.35"/>
    <row r="231" ht="16.399999999999999" customHeight="1" x14ac:dyDescent="0.35"/>
    <row r="232" ht="16.399999999999999" customHeight="1" x14ac:dyDescent="0.35"/>
    <row r="233" ht="16.399999999999999" customHeight="1" x14ac:dyDescent="0.35"/>
    <row r="234" ht="16.399999999999999" customHeight="1" x14ac:dyDescent="0.35"/>
    <row r="235" ht="16.399999999999999" customHeight="1" x14ac:dyDescent="0.35"/>
    <row r="236" ht="16.399999999999999" customHeight="1" x14ac:dyDescent="0.35"/>
    <row r="237" ht="16.399999999999999" customHeight="1" x14ac:dyDescent="0.35"/>
    <row r="238" ht="16.399999999999999" customHeight="1" x14ac:dyDescent="0.35"/>
    <row r="239" ht="16.399999999999999" customHeight="1" x14ac:dyDescent="0.35"/>
    <row r="240" ht="16.399999999999999" customHeight="1" x14ac:dyDescent="0.35"/>
    <row r="241" ht="16.399999999999999" customHeight="1" x14ac:dyDescent="0.35"/>
    <row r="242" ht="16.399999999999999" customHeight="1" x14ac:dyDescent="0.35"/>
    <row r="243" ht="16.399999999999999" customHeight="1" x14ac:dyDescent="0.35"/>
    <row r="244" ht="16.399999999999999" customHeight="1" x14ac:dyDescent="0.35"/>
    <row r="245" ht="16.399999999999999" customHeight="1" x14ac:dyDescent="0.35"/>
    <row r="246" ht="16.399999999999999" customHeight="1" x14ac:dyDescent="0.35"/>
    <row r="247" ht="16.399999999999999" customHeight="1" x14ac:dyDescent="0.35"/>
    <row r="248" ht="16.399999999999999" customHeight="1" x14ac:dyDescent="0.35"/>
    <row r="249" ht="16.399999999999999" customHeight="1" x14ac:dyDescent="0.35"/>
    <row r="250" ht="16.399999999999999" customHeight="1" x14ac:dyDescent="0.35"/>
    <row r="251" ht="16.399999999999999" customHeight="1" x14ac:dyDescent="0.35"/>
    <row r="252" ht="16.399999999999999" customHeight="1" x14ac:dyDescent="0.35"/>
    <row r="253" ht="16.399999999999999" customHeight="1" x14ac:dyDescent="0.35"/>
    <row r="254" ht="16.399999999999999" customHeight="1" x14ac:dyDescent="0.35"/>
    <row r="255" ht="16.399999999999999" customHeight="1" x14ac:dyDescent="0.35"/>
    <row r="256" ht="16.399999999999999" customHeight="1" x14ac:dyDescent="0.35"/>
    <row r="257" ht="16.399999999999999" customHeight="1" x14ac:dyDescent="0.35"/>
    <row r="258" ht="16.399999999999999" customHeight="1" x14ac:dyDescent="0.35"/>
    <row r="259" ht="16.399999999999999" customHeight="1" x14ac:dyDescent="0.35"/>
    <row r="260" ht="16.399999999999999" customHeight="1" x14ac:dyDescent="0.35"/>
    <row r="261" ht="16.399999999999999" customHeight="1" x14ac:dyDescent="0.35"/>
    <row r="262" ht="16.399999999999999" customHeight="1" x14ac:dyDescent="0.35"/>
    <row r="263" ht="16.399999999999999" customHeight="1" x14ac:dyDescent="0.35"/>
    <row r="264" ht="16.399999999999999" customHeight="1" x14ac:dyDescent="0.35"/>
    <row r="265" ht="16.399999999999999" customHeight="1" x14ac:dyDescent="0.35"/>
    <row r="266" ht="16.399999999999999" customHeight="1" x14ac:dyDescent="0.35"/>
    <row r="267" ht="16.399999999999999" customHeight="1" x14ac:dyDescent="0.35"/>
    <row r="268" ht="16.399999999999999" customHeight="1" x14ac:dyDescent="0.35"/>
    <row r="269" ht="16.399999999999999" customHeight="1" x14ac:dyDescent="0.35"/>
    <row r="270" ht="16.399999999999999" customHeight="1" x14ac:dyDescent="0.35"/>
    <row r="271" ht="16.399999999999999" customHeight="1" x14ac:dyDescent="0.35"/>
    <row r="272" ht="16.399999999999999" customHeight="1" x14ac:dyDescent="0.35"/>
    <row r="273" ht="16.399999999999999" customHeight="1" x14ac:dyDescent="0.35"/>
    <row r="274" ht="16.399999999999999" customHeight="1" x14ac:dyDescent="0.35"/>
    <row r="275" ht="16.399999999999999" customHeight="1" x14ac:dyDescent="0.35"/>
    <row r="276" ht="16.399999999999999" customHeight="1" x14ac:dyDescent="0.35"/>
    <row r="277" ht="16.399999999999999" customHeight="1" x14ac:dyDescent="0.35"/>
    <row r="278" ht="16.399999999999999" customHeight="1" x14ac:dyDescent="0.35"/>
    <row r="279" ht="16.399999999999999" customHeight="1" x14ac:dyDescent="0.35"/>
    <row r="280" ht="16.399999999999999" customHeight="1" x14ac:dyDescent="0.35"/>
    <row r="281" ht="16.399999999999999" customHeight="1" x14ac:dyDescent="0.35"/>
    <row r="282" ht="16.399999999999999" customHeight="1" x14ac:dyDescent="0.35"/>
    <row r="283" ht="16.399999999999999" customHeight="1" x14ac:dyDescent="0.35"/>
    <row r="284" ht="16.399999999999999" customHeight="1" x14ac:dyDescent="0.35"/>
    <row r="285" ht="16.399999999999999" customHeight="1" x14ac:dyDescent="0.35"/>
    <row r="286" ht="16.399999999999999" customHeight="1" x14ac:dyDescent="0.35"/>
    <row r="287" ht="16.399999999999999" customHeight="1" x14ac:dyDescent="0.35"/>
    <row r="288" ht="16.399999999999999" customHeight="1" x14ac:dyDescent="0.35"/>
    <row r="289" ht="16.399999999999999" customHeight="1" x14ac:dyDescent="0.35"/>
    <row r="290" ht="16.399999999999999" customHeight="1" x14ac:dyDescent="0.35"/>
    <row r="291" ht="16.399999999999999" customHeight="1" x14ac:dyDescent="0.35"/>
    <row r="292" ht="16.399999999999999" customHeight="1" x14ac:dyDescent="0.35"/>
    <row r="293" ht="16.399999999999999" customHeight="1" x14ac:dyDescent="0.35"/>
    <row r="294" ht="16.399999999999999" customHeight="1" x14ac:dyDescent="0.35"/>
    <row r="295" ht="16.399999999999999" customHeight="1" x14ac:dyDescent="0.35"/>
    <row r="296" ht="16.399999999999999" customHeight="1" x14ac:dyDescent="0.35"/>
    <row r="297" ht="16.399999999999999" customHeight="1" x14ac:dyDescent="0.35"/>
    <row r="298" ht="16.399999999999999" customHeight="1" x14ac:dyDescent="0.35"/>
    <row r="299" ht="16.399999999999999" customHeight="1" x14ac:dyDescent="0.35"/>
    <row r="300" ht="16.399999999999999" customHeight="1" x14ac:dyDescent="0.35"/>
    <row r="301" ht="16.399999999999999" customHeight="1" x14ac:dyDescent="0.35"/>
    <row r="302" ht="16.399999999999999" customHeight="1" x14ac:dyDescent="0.35"/>
    <row r="303" ht="16.399999999999999" customHeight="1" x14ac:dyDescent="0.35"/>
    <row r="304" ht="16.399999999999999" customHeight="1" x14ac:dyDescent="0.35"/>
    <row r="305" ht="16.399999999999999" customHeight="1" x14ac:dyDescent="0.35"/>
    <row r="306" ht="16.399999999999999" customHeight="1" x14ac:dyDescent="0.35"/>
    <row r="307" ht="16.399999999999999" customHeight="1" x14ac:dyDescent="0.35"/>
    <row r="308" ht="16.399999999999999" customHeight="1" x14ac:dyDescent="0.35"/>
    <row r="309" ht="16.399999999999999" customHeight="1" x14ac:dyDescent="0.35"/>
    <row r="310" ht="16.399999999999999" customHeight="1" x14ac:dyDescent="0.35"/>
    <row r="311" ht="16.399999999999999" customHeight="1" x14ac:dyDescent="0.35"/>
    <row r="312" ht="16.399999999999999" customHeight="1" x14ac:dyDescent="0.35"/>
    <row r="313" ht="16.399999999999999" customHeight="1" x14ac:dyDescent="0.35"/>
    <row r="314" ht="16.399999999999999" customHeight="1" x14ac:dyDescent="0.35"/>
    <row r="315" ht="16.399999999999999" customHeight="1" x14ac:dyDescent="0.35"/>
    <row r="316" ht="16.399999999999999" customHeight="1" x14ac:dyDescent="0.35"/>
    <row r="317" ht="16.399999999999999" customHeight="1" x14ac:dyDescent="0.35"/>
    <row r="318" ht="16.399999999999999" customHeight="1" x14ac:dyDescent="0.35"/>
    <row r="319" ht="16.399999999999999" customHeight="1" x14ac:dyDescent="0.35"/>
    <row r="320" ht="16.399999999999999" customHeight="1" x14ac:dyDescent="0.35"/>
    <row r="321" ht="16.399999999999999" customHeight="1" x14ac:dyDescent="0.35"/>
    <row r="322" ht="16.399999999999999" customHeight="1" x14ac:dyDescent="0.35"/>
    <row r="323" ht="16.399999999999999" customHeight="1" x14ac:dyDescent="0.35"/>
    <row r="324" ht="16.399999999999999" customHeight="1" x14ac:dyDescent="0.35"/>
    <row r="325" ht="16.399999999999999" customHeight="1" x14ac:dyDescent="0.35"/>
    <row r="326" ht="16.399999999999999" customHeight="1" x14ac:dyDescent="0.35"/>
    <row r="327" ht="16.399999999999999" customHeight="1" x14ac:dyDescent="0.35"/>
    <row r="328" ht="16.399999999999999" customHeight="1" x14ac:dyDescent="0.35"/>
    <row r="329" ht="16.399999999999999" customHeight="1" x14ac:dyDescent="0.35"/>
    <row r="330" ht="16.399999999999999" customHeight="1" x14ac:dyDescent="0.35"/>
    <row r="331" ht="16.399999999999999" customHeight="1" x14ac:dyDescent="0.35"/>
    <row r="332" ht="16.399999999999999" customHeight="1" x14ac:dyDescent="0.35"/>
    <row r="333" ht="16.399999999999999" customHeight="1" x14ac:dyDescent="0.35"/>
    <row r="334" ht="16.399999999999999" customHeight="1" x14ac:dyDescent="0.35"/>
    <row r="335" ht="16.399999999999999" customHeight="1" x14ac:dyDescent="0.35"/>
    <row r="336" ht="16.399999999999999" customHeight="1" x14ac:dyDescent="0.35"/>
    <row r="337" ht="16.399999999999999" customHeight="1" x14ac:dyDescent="0.35"/>
    <row r="338" ht="16.399999999999999" customHeight="1" x14ac:dyDescent="0.35"/>
    <row r="339" ht="16.399999999999999" customHeight="1" x14ac:dyDescent="0.35"/>
    <row r="340" ht="16.399999999999999" customHeight="1" x14ac:dyDescent="0.35"/>
    <row r="341" ht="16.399999999999999" customHeight="1" x14ac:dyDescent="0.35"/>
    <row r="342" ht="16.399999999999999" customHeight="1" x14ac:dyDescent="0.35"/>
    <row r="343" ht="16.399999999999999" customHeight="1" x14ac:dyDescent="0.35"/>
    <row r="344" ht="16.399999999999999" customHeight="1" x14ac:dyDescent="0.35"/>
    <row r="345" ht="16.399999999999999" customHeight="1" x14ac:dyDescent="0.35"/>
    <row r="346" ht="16.399999999999999" customHeight="1" x14ac:dyDescent="0.35"/>
    <row r="347" ht="16.399999999999999" customHeight="1" x14ac:dyDescent="0.35"/>
    <row r="348" ht="16.399999999999999" customHeight="1" x14ac:dyDescent="0.35"/>
    <row r="349" ht="16.399999999999999" customHeight="1" x14ac:dyDescent="0.35"/>
    <row r="350" ht="16.399999999999999" customHeight="1" x14ac:dyDescent="0.35"/>
    <row r="351" ht="16.399999999999999" customHeight="1" x14ac:dyDescent="0.35"/>
    <row r="352" ht="16.399999999999999" customHeight="1" x14ac:dyDescent="0.35"/>
    <row r="353" ht="16.399999999999999" customHeight="1" x14ac:dyDescent="0.35"/>
    <row r="354" ht="16.399999999999999" customHeight="1" x14ac:dyDescent="0.35"/>
    <row r="355" ht="16.399999999999999" customHeight="1" x14ac:dyDescent="0.35"/>
    <row r="356" ht="16.399999999999999" customHeight="1" x14ac:dyDescent="0.35"/>
    <row r="357" ht="16.399999999999999" customHeight="1" x14ac:dyDescent="0.35"/>
    <row r="358" ht="16.399999999999999" customHeight="1" x14ac:dyDescent="0.35"/>
    <row r="359" ht="16.399999999999999" customHeight="1" x14ac:dyDescent="0.35"/>
    <row r="360" ht="16.399999999999999" customHeight="1" x14ac:dyDescent="0.35"/>
    <row r="361" ht="16.399999999999999" customHeight="1" x14ac:dyDescent="0.35"/>
    <row r="362" ht="16.399999999999999" customHeight="1" x14ac:dyDescent="0.35"/>
    <row r="363" ht="16.399999999999999" customHeight="1" x14ac:dyDescent="0.35"/>
    <row r="364" ht="16.399999999999999" customHeight="1" x14ac:dyDescent="0.35"/>
    <row r="365" ht="16.399999999999999" customHeight="1" x14ac:dyDescent="0.35"/>
    <row r="366" ht="16.399999999999999" customHeight="1" x14ac:dyDescent="0.35"/>
    <row r="367" ht="16.399999999999999" customHeight="1" x14ac:dyDescent="0.35"/>
    <row r="368" ht="16.399999999999999" customHeight="1" x14ac:dyDescent="0.35"/>
    <row r="369" ht="16.399999999999999" customHeight="1" x14ac:dyDescent="0.35"/>
    <row r="370" ht="16.399999999999999" customHeight="1" x14ac:dyDescent="0.35"/>
    <row r="371" ht="16.399999999999999" customHeight="1" x14ac:dyDescent="0.35"/>
    <row r="372" ht="16.399999999999999" customHeight="1" x14ac:dyDescent="0.35"/>
    <row r="373" ht="16.399999999999999" customHeight="1" x14ac:dyDescent="0.35"/>
    <row r="374" ht="16.399999999999999" customHeight="1" x14ac:dyDescent="0.35"/>
    <row r="375" ht="16.399999999999999" customHeight="1" x14ac:dyDescent="0.35"/>
    <row r="376" ht="16.399999999999999" customHeight="1" x14ac:dyDescent="0.35"/>
    <row r="377" ht="16.399999999999999" customHeight="1" x14ac:dyDescent="0.35"/>
    <row r="378" ht="16.399999999999999" customHeight="1" x14ac:dyDescent="0.35"/>
    <row r="379" ht="16.399999999999999" customHeight="1" x14ac:dyDescent="0.35"/>
    <row r="380" ht="16.399999999999999" customHeight="1" x14ac:dyDescent="0.35"/>
    <row r="381" ht="16.399999999999999" customHeight="1" x14ac:dyDescent="0.35"/>
    <row r="382" ht="16.399999999999999" customHeight="1" x14ac:dyDescent="0.35"/>
    <row r="383" ht="16.399999999999999" customHeight="1" x14ac:dyDescent="0.35"/>
    <row r="384" ht="16.399999999999999" customHeight="1" x14ac:dyDescent="0.35"/>
    <row r="385" ht="16.399999999999999" customHeight="1" x14ac:dyDescent="0.35"/>
    <row r="386" ht="16.399999999999999" customHeight="1" x14ac:dyDescent="0.35"/>
    <row r="387" ht="16.399999999999999" customHeight="1" x14ac:dyDescent="0.35"/>
    <row r="388" ht="16.399999999999999" customHeight="1" x14ac:dyDescent="0.35"/>
    <row r="389" ht="16.399999999999999" customHeight="1" x14ac:dyDescent="0.35"/>
    <row r="390" ht="16.399999999999999" customHeight="1" x14ac:dyDescent="0.35"/>
    <row r="391" ht="16.399999999999999" customHeight="1" x14ac:dyDescent="0.35"/>
    <row r="392" ht="16.399999999999999" customHeight="1" x14ac:dyDescent="0.35"/>
    <row r="393" ht="16.399999999999999" customHeight="1" x14ac:dyDescent="0.35"/>
    <row r="394" ht="16.399999999999999" customHeight="1" x14ac:dyDescent="0.35"/>
    <row r="395" ht="16.399999999999999" customHeight="1" x14ac:dyDescent="0.35"/>
    <row r="396" ht="16.399999999999999" customHeight="1" x14ac:dyDescent="0.35"/>
    <row r="397" ht="16.399999999999999" customHeight="1" x14ac:dyDescent="0.35"/>
    <row r="398" ht="16.399999999999999" customHeight="1" x14ac:dyDescent="0.35"/>
    <row r="399" ht="16.399999999999999" customHeight="1" x14ac:dyDescent="0.35"/>
    <row r="400" ht="16.399999999999999" customHeight="1" x14ac:dyDescent="0.35"/>
    <row r="401" ht="16.399999999999999" customHeight="1" x14ac:dyDescent="0.35"/>
    <row r="402" ht="16.399999999999999" customHeight="1" x14ac:dyDescent="0.35"/>
    <row r="403" ht="16.399999999999999" customHeight="1" x14ac:dyDescent="0.35"/>
    <row r="404" ht="16.399999999999999" customHeight="1" x14ac:dyDescent="0.35"/>
    <row r="405" ht="16.399999999999999" customHeight="1" x14ac:dyDescent="0.35"/>
    <row r="406" ht="16.399999999999999" customHeight="1" x14ac:dyDescent="0.35"/>
    <row r="407" ht="16.399999999999999" customHeight="1" x14ac:dyDescent="0.35"/>
    <row r="408" ht="16.399999999999999" customHeight="1" x14ac:dyDescent="0.35"/>
    <row r="409" ht="16.399999999999999" customHeight="1" x14ac:dyDescent="0.35"/>
    <row r="410" ht="16.399999999999999" customHeight="1" x14ac:dyDescent="0.35"/>
    <row r="411" ht="16.399999999999999" customHeight="1" x14ac:dyDescent="0.35"/>
    <row r="412" ht="16.399999999999999" customHeight="1" x14ac:dyDescent="0.35"/>
    <row r="413" ht="16.399999999999999" customHeight="1" x14ac:dyDescent="0.35"/>
    <row r="414" ht="16.399999999999999" customHeight="1" x14ac:dyDescent="0.35"/>
    <row r="415" ht="16.399999999999999" customHeight="1" x14ac:dyDescent="0.35"/>
    <row r="416" ht="16.399999999999999" customHeight="1" x14ac:dyDescent="0.35"/>
    <row r="417" ht="16.399999999999999" customHeight="1" x14ac:dyDescent="0.35"/>
    <row r="418" ht="16.399999999999999" customHeight="1" x14ac:dyDescent="0.35"/>
    <row r="419" ht="16.399999999999999" customHeight="1" x14ac:dyDescent="0.35"/>
    <row r="420" ht="16.399999999999999" customHeight="1" x14ac:dyDescent="0.35"/>
    <row r="421" ht="16.399999999999999" customHeight="1" x14ac:dyDescent="0.35"/>
    <row r="422" ht="16.399999999999999" customHeight="1" x14ac:dyDescent="0.35"/>
    <row r="423" ht="16.399999999999999" customHeight="1" x14ac:dyDescent="0.35"/>
    <row r="424" ht="16.399999999999999" customHeight="1" x14ac:dyDescent="0.35"/>
    <row r="425" ht="16.399999999999999" customHeight="1" x14ac:dyDescent="0.35"/>
    <row r="426" ht="16.399999999999999" customHeight="1" x14ac:dyDescent="0.35"/>
    <row r="427" ht="16.399999999999999" customHeight="1" x14ac:dyDescent="0.35"/>
    <row r="428" ht="16.399999999999999" customHeight="1" x14ac:dyDescent="0.35"/>
    <row r="429" ht="16.399999999999999" customHeight="1" x14ac:dyDescent="0.35"/>
    <row r="430" ht="16.399999999999999" customHeight="1" x14ac:dyDescent="0.35"/>
    <row r="431" ht="16.399999999999999" customHeight="1" x14ac:dyDescent="0.35"/>
    <row r="432" ht="16.399999999999999" customHeight="1" x14ac:dyDescent="0.35"/>
    <row r="433" ht="16.399999999999999" customHeight="1" x14ac:dyDescent="0.35"/>
    <row r="434" ht="16.399999999999999" customHeight="1" x14ac:dyDescent="0.35"/>
    <row r="435" ht="16.399999999999999" customHeight="1" x14ac:dyDescent="0.35"/>
    <row r="436" ht="16.399999999999999" customHeight="1" x14ac:dyDescent="0.35"/>
    <row r="437" ht="16.399999999999999" customHeight="1" x14ac:dyDescent="0.35"/>
    <row r="438" ht="16.399999999999999" customHeight="1" x14ac:dyDescent="0.35"/>
    <row r="439" ht="16.399999999999999" customHeight="1" x14ac:dyDescent="0.35"/>
    <row r="440" ht="16.399999999999999" customHeight="1" x14ac:dyDescent="0.35"/>
    <row r="441" ht="16.399999999999999" customHeight="1" x14ac:dyDescent="0.35"/>
    <row r="442" ht="16.399999999999999" customHeight="1" x14ac:dyDescent="0.35"/>
    <row r="443" ht="16.399999999999999" customHeight="1" x14ac:dyDescent="0.35"/>
    <row r="444" ht="16.399999999999999" customHeight="1" x14ac:dyDescent="0.35"/>
    <row r="445" ht="16.399999999999999" customHeight="1" x14ac:dyDescent="0.35"/>
    <row r="446" ht="16.399999999999999" customHeight="1" x14ac:dyDescent="0.35"/>
    <row r="447" ht="16.399999999999999" customHeight="1" x14ac:dyDescent="0.35"/>
    <row r="448" ht="16.399999999999999" customHeight="1" x14ac:dyDescent="0.35"/>
    <row r="449" ht="16.399999999999999" customHeight="1" x14ac:dyDescent="0.35"/>
    <row r="450" ht="16.399999999999999" customHeight="1" x14ac:dyDescent="0.35"/>
    <row r="451" ht="16.399999999999999" customHeight="1" x14ac:dyDescent="0.35"/>
    <row r="452" ht="16.399999999999999" customHeight="1" x14ac:dyDescent="0.35"/>
    <row r="453" ht="16.399999999999999" customHeight="1" x14ac:dyDescent="0.35"/>
    <row r="454" ht="16.399999999999999" customHeight="1" x14ac:dyDescent="0.35"/>
    <row r="455" ht="16.399999999999999" customHeight="1" x14ac:dyDescent="0.35"/>
    <row r="456" ht="16.399999999999999" customHeight="1" x14ac:dyDescent="0.35"/>
    <row r="457" ht="16.399999999999999" customHeight="1" x14ac:dyDescent="0.35"/>
    <row r="458" ht="16.399999999999999" customHeight="1" x14ac:dyDescent="0.35"/>
    <row r="459" ht="16.399999999999999" customHeight="1" x14ac:dyDescent="0.35"/>
    <row r="460" ht="16.399999999999999" customHeight="1" x14ac:dyDescent="0.35"/>
    <row r="461" ht="16.399999999999999" customHeight="1" x14ac:dyDescent="0.35"/>
    <row r="462" ht="16.399999999999999" customHeight="1" x14ac:dyDescent="0.35"/>
    <row r="463" ht="16.399999999999999" customHeight="1" x14ac:dyDescent="0.35"/>
    <row r="464" ht="16.399999999999999" customHeight="1" x14ac:dyDescent="0.35"/>
    <row r="465" ht="16.399999999999999" customHeight="1" x14ac:dyDescent="0.35"/>
    <row r="466" ht="16.399999999999999" customHeight="1" x14ac:dyDescent="0.35"/>
    <row r="467" ht="16.399999999999999" customHeight="1" x14ac:dyDescent="0.35"/>
    <row r="468" ht="16.399999999999999" customHeight="1" x14ac:dyDescent="0.35"/>
    <row r="469" ht="16.399999999999999" customHeight="1" x14ac:dyDescent="0.35"/>
    <row r="470" ht="16.399999999999999" customHeight="1" x14ac:dyDescent="0.35"/>
    <row r="471" ht="16.399999999999999" customHeight="1" x14ac:dyDescent="0.35"/>
    <row r="472" ht="16.399999999999999" customHeight="1" x14ac:dyDescent="0.35"/>
    <row r="473" ht="16.399999999999999" customHeight="1" x14ac:dyDescent="0.35"/>
    <row r="474" ht="16.399999999999999" customHeight="1" x14ac:dyDescent="0.35"/>
    <row r="475" ht="16.399999999999999" customHeight="1" x14ac:dyDescent="0.35"/>
    <row r="476" ht="16.399999999999999" customHeight="1" x14ac:dyDescent="0.35"/>
    <row r="477" ht="16.399999999999999" customHeight="1" x14ac:dyDescent="0.35"/>
    <row r="478" ht="16.399999999999999" customHeight="1" x14ac:dyDescent="0.35"/>
    <row r="479" ht="16.399999999999999" customHeight="1" x14ac:dyDescent="0.35"/>
    <row r="480" ht="16.399999999999999" customHeight="1" x14ac:dyDescent="0.35"/>
    <row r="481" ht="16.399999999999999" customHeight="1" x14ac:dyDescent="0.35"/>
    <row r="482" ht="16.399999999999999" customHeight="1" x14ac:dyDescent="0.35"/>
    <row r="483" ht="16.399999999999999" customHeight="1" x14ac:dyDescent="0.35"/>
    <row r="484" ht="16.399999999999999" customHeight="1" x14ac:dyDescent="0.35"/>
    <row r="485" ht="16.399999999999999" customHeight="1" x14ac:dyDescent="0.35"/>
    <row r="486" ht="16.399999999999999" customHeight="1" x14ac:dyDescent="0.35"/>
    <row r="487" ht="16.399999999999999" customHeight="1" x14ac:dyDescent="0.35"/>
    <row r="488" ht="16.399999999999999" customHeight="1" x14ac:dyDescent="0.35"/>
    <row r="489" ht="16.399999999999999" customHeight="1" x14ac:dyDescent="0.35"/>
    <row r="490" ht="16.399999999999999" customHeight="1" x14ac:dyDescent="0.35"/>
    <row r="491" ht="16.399999999999999" customHeight="1" x14ac:dyDescent="0.35"/>
    <row r="492" ht="16.399999999999999" customHeight="1" x14ac:dyDescent="0.35"/>
    <row r="493" ht="16.399999999999999" customHeight="1" x14ac:dyDescent="0.35"/>
    <row r="494" ht="16.399999999999999" customHeight="1" x14ac:dyDescent="0.35"/>
    <row r="495" ht="16.399999999999999" customHeight="1" x14ac:dyDescent="0.35"/>
    <row r="496" ht="16.399999999999999" customHeight="1" x14ac:dyDescent="0.35"/>
    <row r="497" ht="16.399999999999999" customHeight="1" x14ac:dyDescent="0.35"/>
    <row r="498" ht="16.399999999999999" customHeight="1" x14ac:dyDescent="0.35"/>
    <row r="499" ht="16.399999999999999" customHeight="1" x14ac:dyDescent="0.35"/>
    <row r="500" ht="16.399999999999999" customHeight="1" x14ac:dyDescent="0.35"/>
    <row r="501" ht="16.399999999999999" customHeight="1" x14ac:dyDescent="0.35"/>
    <row r="502" ht="16.399999999999999" customHeight="1" x14ac:dyDescent="0.35"/>
    <row r="503" ht="16.399999999999999" customHeight="1" x14ac:dyDescent="0.35"/>
    <row r="504" ht="16.399999999999999" customHeight="1" x14ac:dyDescent="0.35"/>
    <row r="505" ht="16.399999999999999" customHeight="1" x14ac:dyDescent="0.35"/>
    <row r="506" ht="16.399999999999999" customHeight="1" x14ac:dyDescent="0.35"/>
    <row r="507" ht="16.399999999999999" customHeight="1" x14ac:dyDescent="0.35"/>
    <row r="508" ht="16.399999999999999" customHeight="1" x14ac:dyDescent="0.35"/>
    <row r="509" ht="16.399999999999999" customHeight="1" x14ac:dyDescent="0.35"/>
    <row r="510" ht="16.399999999999999" customHeight="1" x14ac:dyDescent="0.35"/>
    <row r="511" ht="16.399999999999999" customHeight="1" x14ac:dyDescent="0.35"/>
    <row r="512" ht="16.399999999999999" customHeight="1" x14ac:dyDescent="0.35"/>
    <row r="513" ht="16.399999999999999" customHeight="1" x14ac:dyDescent="0.35"/>
    <row r="514" ht="16.399999999999999" customHeight="1" x14ac:dyDescent="0.35"/>
    <row r="515" ht="16.399999999999999" customHeight="1" x14ac:dyDescent="0.35"/>
    <row r="516" ht="16.399999999999999" customHeight="1" x14ac:dyDescent="0.35"/>
    <row r="517" ht="16.399999999999999" customHeight="1" x14ac:dyDescent="0.35"/>
    <row r="518" ht="16.399999999999999" customHeight="1" x14ac:dyDescent="0.35"/>
    <row r="519" ht="16.399999999999999" customHeight="1" x14ac:dyDescent="0.35"/>
    <row r="520" ht="16.399999999999999" customHeight="1" x14ac:dyDescent="0.35"/>
    <row r="521" ht="16.399999999999999" customHeight="1" x14ac:dyDescent="0.35"/>
    <row r="522" ht="16.399999999999999" customHeight="1" x14ac:dyDescent="0.35"/>
    <row r="523" ht="16.399999999999999" customHeight="1" x14ac:dyDescent="0.35"/>
    <row r="524" ht="16.399999999999999" customHeight="1" x14ac:dyDescent="0.35"/>
    <row r="525" ht="16.399999999999999" customHeight="1" x14ac:dyDescent="0.35"/>
    <row r="526" ht="16.399999999999999" customHeight="1" x14ac:dyDescent="0.35"/>
    <row r="527" ht="16.399999999999999" customHeight="1" x14ac:dyDescent="0.35"/>
    <row r="528" ht="16.399999999999999" customHeight="1" x14ac:dyDescent="0.35"/>
    <row r="529" ht="16.399999999999999" customHeight="1" x14ac:dyDescent="0.35"/>
    <row r="530" ht="16.399999999999999" customHeight="1" x14ac:dyDescent="0.35"/>
    <row r="531" ht="16.399999999999999" customHeight="1" x14ac:dyDescent="0.35"/>
    <row r="532" ht="16.399999999999999" customHeight="1" x14ac:dyDescent="0.35"/>
    <row r="533" ht="16.399999999999999" customHeight="1" x14ac:dyDescent="0.35"/>
    <row r="534" ht="16.399999999999999" customHeight="1" x14ac:dyDescent="0.35"/>
    <row r="535" ht="16.399999999999999" customHeight="1" x14ac:dyDescent="0.35"/>
    <row r="536" ht="16.399999999999999" customHeight="1" x14ac:dyDescent="0.35"/>
    <row r="537" ht="16.399999999999999" customHeight="1" x14ac:dyDescent="0.35"/>
    <row r="538" ht="16.399999999999999" customHeight="1" x14ac:dyDescent="0.35"/>
    <row r="539" ht="16.399999999999999" customHeight="1" x14ac:dyDescent="0.35"/>
    <row r="540" ht="16.399999999999999" customHeight="1" x14ac:dyDescent="0.35"/>
    <row r="541" ht="16.399999999999999" customHeight="1" x14ac:dyDescent="0.35"/>
    <row r="542" ht="16.399999999999999" customHeight="1" x14ac:dyDescent="0.35"/>
    <row r="543" ht="16.399999999999999" customHeight="1" x14ac:dyDescent="0.35"/>
    <row r="544" ht="16.399999999999999" customHeight="1" x14ac:dyDescent="0.35"/>
    <row r="545" ht="16.399999999999999" customHeight="1" x14ac:dyDescent="0.35"/>
    <row r="546" ht="16.399999999999999" customHeight="1" x14ac:dyDescent="0.35"/>
    <row r="547" ht="16.399999999999999" customHeight="1" x14ac:dyDescent="0.35"/>
    <row r="548" ht="16.399999999999999" customHeight="1" x14ac:dyDescent="0.35"/>
    <row r="549" ht="16.399999999999999" customHeight="1" x14ac:dyDescent="0.35"/>
    <row r="550" ht="16.399999999999999" customHeight="1" x14ac:dyDescent="0.35"/>
    <row r="551" ht="16.399999999999999" customHeight="1" x14ac:dyDescent="0.35"/>
    <row r="552" ht="16.399999999999999" customHeight="1" x14ac:dyDescent="0.35"/>
    <row r="553" ht="16.399999999999999" customHeight="1" x14ac:dyDescent="0.35"/>
    <row r="554" ht="16.399999999999999" customHeight="1" x14ac:dyDescent="0.35"/>
    <row r="555" ht="16.399999999999999" customHeight="1" x14ac:dyDescent="0.35"/>
    <row r="556" ht="16.399999999999999" customHeight="1" x14ac:dyDescent="0.35"/>
    <row r="557" ht="16.399999999999999" customHeight="1" x14ac:dyDescent="0.35"/>
    <row r="558" ht="16.399999999999999" customHeight="1" x14ac:dyDescent="0.35"/>
    <row r="559" ht="16.399999999999999" customHeight="1" x14ac:dyDescent="0.35"/>
    <row r="560" ht="16.399999999999999" customHeight="1" x14ac:dyDescent="0.35"/>
    <row r="561" ht="16.399999999999999" customHeight="1" x14ac:dyDescent="0.35"/>
    <row r="562" ht="16.399999999999999" customHeight="1" x14ac:dyDescent="0.35"/>
    <row r="563" ht="16.399999999999999" customHeight="1" x14ac:dyDescent="0.35"/>
    <row r="564" ht="16.399999999999999" customHeight="1" x14ac:dyDescent="0.35"/>
    <row r="565" ht="16.399999999999999" customHeight="1" x14ac:dyDescent="0.35"/>
    <row r="566" ht="16.399999999999999" customHeight="1" x14ac:dyDescent="0.35"/>
    <row r="567" ht="16.399999999999999" customHeight="1" x14ac:dyDescent="0.35"/>
    <row r="568" ht="16.399999999999999" customHeight="1" x14ac:dyDescent="0.35"/>
    <row r="569" ht="16.399999999999999" customHeight="1" x14ac:dyDescent="0.35"/>
    <row r="570" ht="16.399999999999999" customHeight="1" x14ac:dyDescent="0.35"/>
    <row r="571" ht="16.399999999999999" customHeight="1" x14ac:dyDescent="0.35"/>
    <row r="572" ht="16.399999999999999" customHeight="1" x14ac:dyDescent="0.35"/>
    <row r="573" ht="16.399999999999999" customHeight="1" x14ac:dyDescent="0.35"/>
    <row r="574" ht="16.399999999999999" customHeight="1" x14ac:dyDescent="0.35"/>
    <row r="575" ht="16.399999999999999" customHeight="1" x14ac:dyDescent="0.35"/>
    <row r="576" ht="16.399999999999999" customHeight="1" x14ac:dyDescent="0.35"/>
    <row r="577" ht="16.399999999999999" customHeight="1" x14ac:dyDescent="0.35"/>
    <row r="578" ht="16.399999999999999" customHeight="1" x14ac:dyDescent="0.35"/>
    <row r="579" ht="16.399999999999999" customHeight="1" x14ac:dyDescent="0.35"/>
    <row r="580" ht="16.399999999999999" customHeight="1" x14ac:dyDescent="0.35"/>
    <row r="581" ht="16.399999999999999" customHeight="1" x14ac:dyDescent="0.35"/>
    <row r="582" ht="16.399999999999999" customHeight="1" x14ac:dyDescent="0.35"/>
    <row r="583" ht="16.399999999999999" customHeight="1" x14ac:dyDescent="0.35"/>
    <row r="584" ht="16.399999999999999" customHeight="1" x14ac:dyDescent="0.35"/>
    <row r="585" ht="16.399999999999999" customHeight="1" x14ac:dyDescent="0.35"/>
    <row r="586" ht="16.399999999999999" customHeight="1" x14ac:dyDescent="0.35"/>
    <row r="587" ht="16.399999999999999" customHeight="1" x14ac:dyDescent="0.35"/>
    <row r="588" ht="16.399999999999999" customHeight="1" x14ac:dyDescent="0.35"/>
    <row r="589" ht="16.399999999999999" customHeight="1" x14ac:dyDescent="0.35"/>
    <row r="590" ht="16.399999999999999" customHeight="1" x14ac:dyDescent="0.35"/>
    <row r="591" ht="16.399999999999999" customHeight="1" x14ac:dyDescent="0.35"/>
    <row r="592" ht="16.399999999999999" customHeight="1" x14ac:dyDescent="0.35"/>
    <row r="593" ht="16.399999999999999" customHeight="1" x14ac:dyDescent="0.35"/>
    <row r="594" ht="16.399999999999999" customHeight="1" x14ac:dyDescent="0.35"/>
    <row r="595" ht="16.399999999999999" customHeight="1" x14ac:dyDescent="0.35"/>
    <row r="596" ht="16.399999999999999" customHeight="1" x14ac:dyDescent="0.35"/>
    <row r="597" ht="16.399999999999999" customHeight="1" x14ac:dyDescent="0.35"/>
    <row r="598" ht="16.399999999999999" customHeight="1" x14ac:dyDescent="0.35"/>
    <row r="599" ht="16.399999999999999" customHeight="1" x14ac:dyDescent="0.35"/>
    <row r="600" ht="16.399999999999999" customHeight="1" x14ac:dyDescent="0.35"/>
    <row r="601" ht="16.399999999999999" customHeight="1" x14ac:dyDescent="0.35"/>
    <row r="602" ht="16.399999999999999" customHeight="1" x14ac:dyDescent="0.35"/>
    <row r="603" ht="16.399999999999999" customHeight="1" x14ac:dyDescent="0.35"/>
    <row r="604" ht="16.399999999999999" customHeight="1" x14ac:dyDescent="0.35"/>
    <row r="605" ht="16.399999999999999" customHeight="1" x14ac:dyDescent="0.35"/>
    <row r="606" ht="16.399999999999999" customHeight="1" x14ac:dyDescent="0.35"/>
    <row r="607" ht="16.399999999999999" customHeight="1" x14ac:dyDescent="0.35"/>
    <row r="608" ht="16.399999999999999" customHeight="1" x14ac:dyDescent="0.35"/>
    <row r="609" ht="16.399999999999999" customHeight="1" x14ac:dyDescent="0.35"/>
    <row r="610" ht="16.399999999999999" customHeight="1" x14ac:dyDescent="0.35"/>
    <row r="611" ht="16.399999999999999" customHeight="1" x14ac:dyDescent="0.35"/>
    <row r="612" ht="16.399999999999999" customHeight="1" x14ac:dyDescent="0.35"/>
    <row r="613" ht="16.399999999999999" customHeight="1" x14ac:dyDescent="0.35"/>
    <row r="614" ht="16.399999999999999" customHeight="1" x14ac:dyDescent="0.35"/>
    <row r="615" ht="16.399999999999999" customHeight="1" x14ac:dyDescent="0.35"/>
    <row r="616" ht="16.399999999999999" customHeight="1" x14ac:dyDescent="0.35"/>
    <row r="617" ht="16.399999999999999" customHeight="1" x14ac:dyDescent="0.35"/>
    <row r="618" ht="16.399999999999999" customHeight="1" x14ac:dyDescent="0.35"/>
    <row r="619" ht="16.399999999999999" customHeight="1" x14ac:dyDescent="0.35"/>
    <row r="620" ht="16.399999999999999" customHeight="1" x14ac:dyDescent="0.35"/>
    <row r="621" ht="16.399999999999999" customHeight="1" x14ac:dyDescent="0.35"/>
    <row r="622" ht="16.399999999999999" customHeight="1" x14ac:dyDescent="0.35"/>
    <row r="623" ht="16.399999999999999" customHeight="1" x14ac:dyDescent="0.35"/>
    <row r="624" ht="16.399999999999999" customHeight="1" x14ac:dyDescent="0.35"/>
    <row r="625" ht="16.399999999999999" customHeight="1" x14ac:dyDescent="0.35"/>
    <row r="626" ht="16.399999999999999" customHeight="1" x14ac:dyDescent="0.35"/>
    <row r="627" ht="16.399999999999999" customHeight="1" x14ac:dyDescent="0.35"/>
    <row r="628" ht="16.399999999999999" customHeight="1" x14ac:dyDescent="0.35"/>
    <row r="629" ht="16.399999999999999" customHeight="1" x14ac:dyDescent="0.35"/>
    <row r="630" ht="16.399999999999999" customHeight="1" x14ac:dyDescent="0.35"/>
    <row r="631" ht="16.399999999999999" customHeight="1" x14ac:dyDescent="0.35"/>
    <row r="632" ht="16.399999999999999" customHeight="1" x14ac:dyDescent="0.35"/>
    <row r="633" ht="16.399999999999999" customHeight="1" x14ac:dyDescent="0.35"/>
    <row r="634" ht="16.399999999999999" customHeight="1" x14ac:dyDescent="0.35"/>
    <row r="635" ht="16.399999999999999" customHeight="1" x14ac:dyDescent="0.35"/>
    <row r="636" ht="16.399999999999999" customHeight="1" x14ac:dyDescent="0.35"/>
    <row r="637" ht="16.399999999999999" customHeight="1" x14ac:dyDescent="0.35"/>
    <row r="638" ht="16.399999999999999" customHeight="1" x14ac:dyDescent="0.35"/>
    <row r="639" ht="16.399999999999999" customHeight="1" x14ac:dyDescent="0.35"/>
    <row r="640" ht="16.399999999999999" customHeight="1" x14ac:dyDescent="0.35"/>
    <row r="641" ht="16.399999999999999" customHeight="1" x14ac:dyDescent="0.35"/>
    <row r="642" ht="16.399999999999999" customHeight="1" x14ac:dyDescent="0.35"/>
    <row r="643" ht="16.399999999999999" customHeight="1" x14ac:dyDescent="0.35"/>
    <row r="644" ht="16.399999999999999" customHeight="1" x14ac:dyDescent="0.35"/>
    <row r="645" ht="16.399999999999999" customHeight="1" x14ac:dyDescent="0.35"/>
    <row r="646" ht="16.399999999999999" customHeight="1" x14ac:dyDescent="0.35"/>
    <row r="647" ht="16.399999999999999" customHeight="1" x14ac:dyDescent="0.35"/>
    <row r="648" ht="16.399999999999999" customHeight="1" x14ac:dyDescent="0.35"/>
    <row r="649" ht="16.399999999999999" customHeight="1" x14ac:dyDescent="0.35"/>
    <row r="650" ht="16.399999999999999" customHeight="1" x14ac:dyDescent="0.35"/>
    <row r="651" ht="16.399999999999999" customHeight="1" x14ac:dyDescent="0.35"/>
    <row r="652" ht="16.399999999999999" customHeight="1" x14ac:dyDescent="0.35"/>
    <row r="653" ht="16.399999999999999" customHeight="1" x14ac:dyDescent="0.35"/>
    <row r="654" ht="16.399999999999999" customHeight="1" x14ac:dyDescent="0.35"/>
    <row r="655" ht="16.399999999999999" customHeight="1" x14ac:dyDescent="0.35"/>
    <row r="656" ht="16.399999999999999" customHeight="1" x14ac:dyDescent="0.35"/>
    <row r="657" ht="16.399999999999999" customHeight="1" x14ac:dyDescent="0.35"/>
    <row r="658" ht="16.399999999999999" customHeight="1" x14ac:dyDescent="0.35"/>
    <row r="659" ht="16.399999999999999" customHeight="1" x14ac:dyDescent="0.35"/>
    <row r="660" ht="16.399999999999999" customHeight="1" x14ac:dyDescent="0.35"/>
    <row r="661" ht="16.399999999999999" customHeight="1" x14ac:dyDescent="0.35"/>
    <row r="662" ht="16.399999999999999" customHeight="1" x14ac:dyDescent="0.35"/>
    <row r="663" ht="16.399999999999999" customHeight="1" x14ac:dyDescent="0.35"/>
    <row r="664" ht="16.399999999999999" customHeight="1" x14ac:dyDescent="0.35"/>
    <row r="665" ht="16.399999999999999" customHeight="1" x14ac:dyDescent="0.35"/>
    <row r="666" ht="16.399999999999999" customHeight="1" x14ac:dyDescent="0.35"/>
    <row r="667" ht="16.399999999999999" customHeight="1" x14ac:dyDescent="0.35"/>
    <row r="668" ht="16.399999999999999" customHeight="1" x14ac:dyDescent="0.35"/>
    <row r="669" ht="16.399999999999999" customHeight="1" x14ac:dyDescent="0.35"/>
    <row r="670" ht="16.399999999999999" customHeight="1" x14ac:dyDescent="0.35"/>
    <row r="671" ht="16.399999999999999" customHeight="1" x14ac:dyDescent="0.35"/>
    <row r="672" ht="16.399999999999999" customHeight="1" x14ac:dyDescent="0.35"/>
    <row r="673" ht="16.399999999999999" customHeight="1" x14ac:dyDescent="0.35"/>
    <row r="674" ht="16.399999999999999" customHeight="1" x14ac:dyDescent="0.35"/>
    <row r="675" ht="16.399999999999999" customHeight="1" x14ac:dyDescent="0.35"/>
    <row r="676" ht="16.399999999999999" customHeight="1" x14ac:dyDescent="0.35"/>
    <row r="677" ht="16.399999999999999" customHeight="1" x14ac:dyDescent="0.35"/>
    <row r="678" ht="16.399999999999999" customHeight="1" x14ac:dyDescent="0.35"/>
    <row r="679" ht="16.399999999999999" customHeight="1" x14ac:dyDescent="0.35"/>
    <row r="680" ht="16.399999999999999" customHeight="1" x14ac:dyDescent="0.35"/>
    <row r="681" ht="16.399999999999999" customHeight="1" x14ac:dyDescent="0.35"/>
    <row r="682" ht="16.399999999999999" customHeight="1" x14ac:dyDescent="0.35"/>
    <row r="683" ht="16.399999999999999" customHeight="1" x14ac:dyDescent="0.35"/>
    <row r="684" ht="16.399999999999999" customHeight="1" x14ac:dyDescent="0.35"/>
    <row r="685" ht="16.399999999999999" customHeight="1" x14ac:dyDescent="0.35"/>
    <row r="686" ht="16.399999999999999" customHeight="1" x14ac:dyDescent="0.35"/>
    <row r="687" ht="16.399999999999999" customHeight="1" x14ac:dyDescent="0.35"/>
    <row r="688" ht="16.399999999999999" customHeight="1" x14ac:dyDescent="0.35"/>
    <row r="689" ht="16.399999999999999" customHeight="1" x14ac:dyDescent="0.35"/>
    <row r="690" ht="16.399999999999999" customHeight="1" x14ac:dyDescent="0.35"/>
    <row r="691" ht="16.399999999999999" customHeight="1" x14ac:dyDescent="0.35"/>
    <row r="692" ht="16.399999999999999" customHeight="1" x14ac:dyDescent="0.35"/>
    <row r="693" ht="16.399999999999999" customHeight="1" x14ac:dyDescent="0.35"/>
    <row r="694" ht="16.399999999999999" customHeight="1" x14ac:dyDescent="0.35"/>
    <row r="695" ht="16.399999999999999" customHeight="1" x14ac:dyDescent="0.35"/>
    <row r="696" ht="16.399999999999999" customHeight="1" x14ac:dyDescent="0.35"/>
    <row r="697" ht="16.399999999999999" customHeight="1" x14ac:dyDescent="0.35"/>
    <row r="698" ht="16.399999999999999" customHeight="1" x14ac:dyDescent="0.35"/>
    <row r="699" ht="16.399999999999999" customHeight="1" x14ac:dyDescent="0.35"/>
    <row r="700" ht="16.399999999999999" customHeight="1" x14ac:dyDescent="0.35"/>
    <row r="701" ht="16.399999999999999" customHeight="1" x14ac:dyDescent="0.35"/>
    <row r="702" ht="16.399999999999999" customHeight="1" x14ac:dyDescent="0.35"/>
    <row r="703" ht="16.399999999999999" customHeight="1" x14ac:dyDescent="0.35"/>
    <row r="704" ht="16.399999999999999" customHeight="1" x14ac:dyDescent="0.35"/>
    <row r="705" ht="16.399999999999999" customHeight="1" x14ac:dyDescent="0.35"/>
    <row r="706" ht="16.399999999999999" customHeight="1" x14ac:dyDescent="0.35"/>
    <row r="707" ht="16.399999999999999" customHeight="1" x14ac:dyDescent="0.35"/>
    <row r="708" ht="16.399999999999999" customHeight="1" x14ac:dyDescent="0.35"/>
    <row r="709" ht="16.399999999999999" customHeight="1" x14ac:dyDescent="0.35"/>
    <row r="710" ht="16.399999999999999" customHeight="1" x14ac:dyDescent="0.35"/>
    <row r="711" ht="16.399999999999999" customHeight="1" x14ac:dyDescent="0.35"/>
    <row r="712" ht="16.399999999999999" customHeight="1" x14ac:dyDescent="0.35"/>
    <row r="713" ht="16.399999999999999" customHeight="1" x14ac:dyDescent="0.35"/>
    <row r="714" ht="16.399999999999999" customHeight="1" x14ac:dyDescent="0.35"/>
    <row r="715" ht="16.399999999999999" customHeight="1" x14ac:dyDescent="0.35"/>
    <row r="716" ht="16.399999999999999" customHeight="1" x14ac:dyDescent="0.35"/>
    <row r="717" ht="16.399999999999999" customHeight="1" x14ac:dyDescent="0.35"/>
    <row r="718" ht="16.399999999999999" customHeight="1" x14ac:dyDescent="0.35"/>
    <row r="719" ht="16.399999999999999" customHeight="1" x14ac:dyDescent="0.35"/>
    <row r="720" ht="16.399999999999999" customHeight="1" x14ac:dyDescent="0.35"/>
    <row r="721" ht="16.399999999999999" customHeight="1" x14ac:dyDescent="0.35"/>
    <row r="722" ht="16.399999999999999" customHeight="1" x14ac:dyDescent="0.35"/>
    <row r="723" ht="16.399999999999999" customHeight="1" x14ac:dyDescent="0.35"/>
    <row r="724" ht="16.399999999999999" customHeight="1" x14ac:dyDescent="0.35"/>
    <row r="725" ht="16.399999999999999" customHeight="1" x14ac:dyDescent="0.35"/>
    <row r="726" ht="16.399999999999999" customHeight="1" x14ac:dyDescent="0.35"/>
    <row r="727" ht="16.399999999999999" customHeight="1" x14ac:dyDescent="0.35"/>
    <row r="728" ht="16.399999999999999" customHeight="1" x14ac:dyDescent="0.35"/>
    <row r="729" ht="16.399999999999999" customHeight="1" x14ac:dyDescent="0.35"/>
    <row r="730" ht="16.399999999999999" customHeight="1" x14ac:dyDescent="0.35"/>
    <row r="731" ht="16.399999999999999" customHeight="1" x14ac:dyDescent="0.35"/>
    <row r="732" ht="16.399999999999999" customHeight="1" x14ac:dyDescent="0.35"/>
    <row r="733" ht="16.399999999999999" customHeight="1" x14ac:dyDescent="0.35"/>
    <row r="734" ht="16.399999999999999" customHeight="1" x14ac:dyDescent="0.35"/>
    <row r="735" ht="16.399999999999999" customHeight="1" x14ac:dyDescent="0.35"/>
    <row r="736" ht="16.399999999999999" customHeight="1" x14ac:dyDescent="0.35"/>
    <row r="737" ht="16.399999999999999" customHeight="1" x14ac:dyDescent="0.35"/>
    <row r="738" ht="16.399999999999999" customHeight="1" x14ac:dyDescent="0.35"/>
    <row r="739" ht="16.399999999999999" customHeight="1" x14ac:dyDescent="0.35"/>
    <row r="740" ht="16.399999999999999" customHeight="1" x14ac:dyDescent="0.35"/>
    <row r="741" ht="16.399999999999999" customHeight="1" x14ac:dyDescent="0.35"/>
    <row r="742" ht="16.399999999999999" customHeight="1" x14ac:dyDescent="0.35"/>
    <row r="743" ht="16.399999999999999" customHeight="1" x14ac:dyDescent="0.35"/>
    <row r="744" ht="16.399999999999999" customHeight="1" x14ac:dyDescent="0.35"/>
    <row r="745" ht="16.399999999999999" customHeight="1" x14ac:dyDescent="0.35"/>
    <row r="746" ht="16.399999999999999" customHeight="1" x14ac:dyDescent="0.35"/>
    <row r="747" ht="16.399999999999999" customHeight="1" x14ac:dyDescent="0.35"/>
    <row r="748" ht="16.399999999999999" customHeight="1" x14ac:dyDescent="0.35"/>
    <row r="749" ht="16.399999999999999" customHeight="1" x14ac:dyDescent="0.35"/>
    <row r="750" ht="16.399999999999999" customHeight="1" x14ac:dyDescent="0.35"/>
    <row r="751" ht="16.399999999999999" customHeight="1" x14ac:dyDescent="0.35"/>
    <row r="752" ht="16.399999999999999" customHeight="1" x14ac:dyDescent="0.35"/>
    <row r="753" ht="16.399999999999999" customHeight="1" x14ac:dyDescent="0.35"/>
    <row r="754" ht="16.399999999999999" customHeight="1" x14ac:dyDescent="0.35"/>
    <row r="755" ht="16.399999999999999" customHeight="1" x14ac:dyDescent="0.35"/>
    <row r="756" ht="16.399999999999999" customHeight="1" x14ac:dyDescent="0.35"/>
    <row r="757" ht="16.399999999999999" customHeight="1" x14ac:dyDescent="0.35"/>
    <row r="758" ht="16.399999999999999" customHeight="1" x14ac:dyDescent="0.35"/>
    <row r="759" ht="16.399999999999999" customHeight="1" x14ac:dyDescent="0.35"/>
    <row r="760" ht="16.399999999999999" customHeight="1" x14ac:dyDescent="0.35"/>
    <row r="761" ht="16.399999999999999" customHeight="1" x14ac:dyDescent="0.35"/>
    <row r="762" ht="16.399999999999999" customHeight="1" x14ac:dyDescent="0.35"/>
    <row r="763" ht="16.399999999999999" customHeight="1" x14ac:dyDescent="0.35"/>
    <row r="764" ht="16.399999999999999" customHeight="1" x14ac:dyDescent="0.35"/>
    <row r="765" ht="16.399999999999999" customHeight="1" x14ac:dyDescent="0.35"/>
    <row r="766" ht="16.399999999999999" customHeight="1" x14ac:dyDescent="0.35"/>
    <row r="767" ht="16.399999999999999" customHeight="1" x14ac:dyDescent="0.35"/>
    <row r="768" ht="16.399999999999999" customHeight="1" x14ac:dyDescent="0.35"/>
    <row r="769" ht="16.399999999999999" customHeight="1" x14ac:dyDescent="0.35"/>
    <row r="770" ht="16.399999999999999" customHeight="1" x14ac:dyDescent="0.35"/>
    <row r="771" ht="16.399999999999999" customHeight="1" x14ac:dyDescent="0.35"/>
    <row r="772" ht="16.399999999999999" customHeight="1" x14ac:dyDescent="0.35"/>
    <row r="773" ht="16.399999999999999" customHeight="1" x14ac:dyDescent="0.35"/>
    <row r="774" ht="16.399999999999999" customHeight="1" x14ac:dyDescent="0.35"/>
    <row r="775" ht="16.399999999999999" customHeight="1" x14ac:dyDescent="0.35"/>
    <row r="776" ht="16.399999999999999" customHeight="1" x14ac:dyDescent="0.35"/>
    <row r="777" ht="16.399999999999999" customHeight="1" x14ac:dyDescent="0.35"/>
    <row r="778" ht="16.399999999999999" customHeight="1" x14ac:dyDescent="0.35"/>
    <row r="779" ht="16.399999999999999" customHeight="1" x14ac:dyDescent="0.35"/>
    <row r="780" ht="16.399999999999999" customHeight="1" x14ac:dyDescent="0.35"/>
    <row r="781" ht="16.399999999999999" customHeight="1" x14ac:dyDescent="0.35"/>
    <row r="782" ht="16.399999999999999" customHeight="1" x14ac:dyDescent="0.35"/>
    <row r="783" ht="16.399999999999999" customHeight="1" x14ac:dyDescent="0.35"/>
    <row r="784" ht="16.399999999999999" customHeight="1" x14ac:dyDescent="0.35"/>
    <row r="785" ht="16.399999999999999" customHeight="1" x14ac:dyDescent="0.35"/>
    <row r="786" ht="16.399999999999999" customHeight="1" x14ac:dyDescent="0.35"/>
    <row r="787" ht="16.399999999999999" customHeight="1" x14ac:dyDescent="0.35"/>
    <row r="788" ht="16.399999999999999" customHeight="1" x14ac:dyDescent="0.35"/>
    <row r="789" ht="16.399999999999999" customHeight="1" x14ac:dyDescent="0.35"/>
    <row r="790" ht="16.399999999999999" customHeight="1" x14ac:dyDescent="0.35"/>
    <row r="791" ht="16.399999999999999" customHeight="1" x14ac:dyDescent="0.35"/>
    <row r="792" ht="16.399999999999999" customHeight="1" x14ac:dyDescent="0.35"/>
    <row r="793" ht="16.399999999999999" customHeight="1" x14ac:dyDescent="0.35"/>
    <row r="794" ht="16.399999999999999" customHeight="1" x14ac:dyDescent="0.35"/>
    <row r="795" ht="16.399999999999999" customHeight="1" x14ac:dyDescent="0.35"/>
    <row r="796" ht="16.399999999999999" customHeight="1" x14ac:dyDescent="0.35"/>
    <row r="797" ht="16.399999999999999" customHeight="1" x14ac:dyDescent="0.35"/>
    <row r="798" ht="16.399999999999999" customHeight="1" x14ac:dyDescent="0.35"/>
    <row r="799" ht="16.399999999999999" customHeight="1" x14ac:dyDescent="0.35"/>
    <row r="800" ht="16.399999999999999" customHeight="1" x14ac:dyDescent="0.35"/>
    <row r="801" ht="16.399999999999999" customHeight="1" x14ac:dyDescent="0.35"/>
    <row r="802" ht="16.399999999999999" customHeight="1" x14ac:dyDescent="0.35"/>
    <row r="803" ht="16.399999999999999" customHeight="1" x14ac:dyDescent="0.35"/>
    <row r="804" ht="16.399999999999999" customHeight="1" x14ac:dyDescent="0.35"/>
    <row r="805" ht="16.399999999999999" customHeight="1" x14ac:dyDescent="0.35"/>
    <row r="806" ht="16.399999999999999" customHeight="1" x14ac:dyDescent="0.35"/>
    <row r="807" ht="16.399999999999999" customHeight="1" x14ac:dyDescent="0.35"/>
    <row r="808" ht="16.399999999999999" customHeight="1" x14ac:dyDescent="0.35"/>
    <row r="809" ht="16.399999999999999" customHeight="1" x14ac:dyDescent="0.35"/>
    <row r="810" ht="16.399999999999999" customHeight="1" x14ac:dyDescent="0.35"/>
    <row r="811" ht="16.399999999999999" customHeight="1" x14ac:dyDescent="0.35"/>
    <row r="812" ht="16.399999999999999" customHeight="1" x14ac:dyDescent="0.35"/>
    <row r="813" ht="16.399999999999999" customHeight="1" x14ac:dyDescent="0.35"/>
    <row r="814" ht="16.399999999999999" customHeight="1" x14ac:dyDescent="0.35"/>
    <row r="815" ht="16.399999999999999" customHeight="1" x14ac:dyDescent="0.35"/>
    <row r="816" ht="16.399999999999999" customHeight="1" x14ac:dyDescent="0.35"/>
    <row r="817" ht="16.399999999999999" customHeight="1" x14ac:dyDescent="0.35"/>
    <row r="818" ht="16.399999999999999" customHeight="1" x14ac:dyDescent="0.35"/>
    <row r="819" ht="16.399999999999999" customHeight="1" x14ac:dyDescent="0.35"/>
    <row r="820" ht="16.399999999999999" customHeight="1" x14ac:dyDescent="0.35"/>
    <row r="821" ht="16.399999999999999" customHeight="1" x14ac:dyDescent="0.35"/>
    <row r="822" ht="16.399999999999999" customHeight="1" x14ac:dyDescent="0.35"/>
    <row r="823" ht="16.399999999999999" customHeight="1" x14ac:dyDescent="0.35"/>
    <row r="824" ht="16.399999999999999" customHeight="1" x14ac:dyDescent="0.35"/>
    <row r="825" ht="16.399999999999999" customHeight="1" x14ac:dyDescent="0.35"/>
    <row r="826" ht="16.399999999999999" customHeight="1" x14ac:dyDescent="0.35"/>
    <row r="827" ht="16.399999999999999" customHeight="1" x14ac:dyDescent="0.35"/>
    <row r="828" ht="16.399999999999999" customHeight="1" x14ac:dyDescent="0.35"/>
    <row r="829" ht="16.399999999999999" customHeight="1" x14ac:dyDescent="0.35"/>
    <row r="830" ht="16.399999999999999" customHeight="1" x14ac:dyDescent="0.35"/>
    <row r="831" ht="16.399999999999999" customHeight="1" x14ac:dyDescent="0.35"/>
    <row r="832" ht="16.399999999999999" customHeight="1" x14ac:dyDescent="0.35"/>
    <row r="833" ht="16.399999999999999" customHeight="1" x14ac:dyDescent="0.35"/>
    <row r="834" ht="16.399999999999999" customHeight="1" x14ac:dyDescent="0.35"/>
    <row r="835" ht="16.399999999999999" customHeight="1" x14ac:dyDescent="0.35"/>
    <row r="836" ht="16.399999999999999" customHeight="1" x14ac:dyDescent="0.35"/>
    <row r="837" ht="16.399999999999999" customHeight="1" x14ac:dyDescent="0.35"/>
    <row r="838" ht="16.399999999999999" customHeight="1" x14ac:dyDescent="0.35"/>
    <row r="839" ht="16.399999999999999" customHeight="1" x14ac:dyDescent="0.35"/>
    <row r="840" ht="16.399999999999999" customHeight="1" x14ac:dyDescent="0.35"/>
    <row r="841" ht="16.399999999999999" customHeight="1" x14ac:dyDescent="0.35"/>
    <row r="842" ht="16.399999999999999" customHeight="1" x14ac:dyDescent="0.35"/>
    <row r="843" ht="16.399999999999999" customHeight="1" x14ac:dyDescent="0.35"/>
    <row r="844" ht="16.399999999999999" customHeight="1" x14ac:dyDescent="0.35"/>
    <row r="845" ht="16.399999999999999" customHeight="1" x14ac:dyDescent="0.35"/>
    <row r="846" ht="16.399999999999999" customHeight="1" x14ac:dyDescent="0.35"/>
    <row r="847" ht="16.399999999999999" customHeight="1" x14ac:dyDescent="0.35"/>
    <row r="848" ht="16.399999999999999" customHeight="1" x14ac:dyDescent="0.35"/>
    <row r="849" ht="16.399999999999999" customHeight="1" x14ac:dyDescent="0.35"/>
    <row r="850" ht="16.399999999999999" customHeight="1" x14ac:dyDescent="0.35"/>
    <row r="851" ht="16.399999999999999" customHeight="1" x14ac:dyDescent="0.35"/>
    <row r="852" ht="16.399999999999999" customHeight="1" x14ac:dyDescent="0.35"/>
    <row r="853" ht="16.399999999999999" customHeight="1" x14ac:dyDescent="0.35"/>
    <row r="854" ht="16.399999999999999" customHeight="1" x14ac:dyDescent="0.35"/>
    <row r="855" ht="16.399999999999999" customHeight="1" x14ac:dyDescent="0.35"/>
    <row r="856" ht="16.399999999999999" customHeight="1" x14ac:dyDescent="0.35"/>
    <row r="857" ht="16.399999999999999" customHeight="1" x14ac:dyDescent="0.35"/>
    <row r="858" ht="16.399999999999999" customHeight="1" x14ac:dyDescent="0.35"/>
    <row r="859" ht="16.399999999999999" customHeight="1" x14ac:dyDescent="0.35"/>
    <row r="860" ht="16.399999999999999" customHeight="1" x14ac:dyDescent="0.35"/>
    <row r="861" ht="16.399999999999999" customHeight="1" x14ac:dyDescent="0.35"/>
    <row r="862" ht="16.399999999999999" customHeight="1" x14ac:dyDescent="0.35"/>
    <row r="863" ht="16.399999999999999" customHeight="1" x14ac:dyDescent="0.35"/>
    <row r="864" ht="16.399999999999999" customHeight="1" x14ac:dyDescent="0.35"/>
    <row r="865" ht="16.399999999999999" customHeight="1" x14ac:dyDescent="0.35"/>
    <row r="866" ht="16.399999999999999" customHeight="1" x14ac:dyDescent="0.35"/>
    <row r="867" ht="16.399999999999999" customHeight="1" x14ac:dyDescent="0.35"/>
    <row r="868" ht="16.399999999999999" customHeight="1" x14ac:dyDescent="0.35"/>
    <row r="869" ht="16.399999999999999" customHeight="1" x14ac:dyDescent="0.35"/>
    <row r="870" ht="16.399999999999999" customHeight="1" x14ac:dyDescent="0.35"/>
    <row r="871" ht="16.399999999999999" customHeight="1" x14ac:dyDescent="0.35"/>
    <row r="872" ht="16.399999999999999" customHeight="1" x14ac:dyDescent="0.35"/>
    <row r="873" ht="16.399999999999999" customHeight="1" x14ac:dyDescent="0.35"/>
    <row r="874" ht="16.399999999999999" customHeight="1" x14ac:dyDescent="0.35"/>
    <row r="875" ht="16.399999999999999" customHeight="1" x14ac:dyDescent="0.35"/>
    <row r="876" ht="16.399999999999999" customHeight="1" x14ac:dyDescent="0.35"/>
    <row r="877" ht="16.399999999999999" customHeight="1" x14ac:dyDescent="0.35"/>
    <row r="878" ht="16.399999999999999" customHeight="1" x14ac:dyDescent="0.35"/>
    <row r="879" ht="16.399999999999999" customHeight="1" x14ac:dyDescent="0.35"/>
    <row r="880" ht="16.399999999999999" customHeight="1" x14ac:dyDescent="0.35"/>
    <row r="881" ht="16.399999999999999" customHeight="1" x14ac:dyDescent="0.35"/>
    <row r="882" ht="16.399999999999999" customHeight="1" x14ac:dyDescent="0.35"/>
    <row r="883" ht="16.399999999999999" customHeight="1" x14ac:dyDescent="0.35"/>
    <row r="884" ht="16.399999999999999" customHeight="1" x14ac:dyDescent="0.35"/>
    <row r="885" ht="16.399999999999999" customHeight="1" x14ac:dyDescent="0.35"/>
    <row r="886" ht="16.399999999999999" customHeight="1" x14ac:dyDescent="0.35"/>
    <row r="887" ht="16.399999999999999" customHeight="1" x14ac:dyDescent="0.35"/>
    <row r="888" ht="16.399999999999999" customHeight="1" x14ac:dyDescent="0.35"/>
    <row r="889" ht="16.399999999999999" customHeight="1" x14ac:dyDescent="0.35"/>
    <row r="890" ht="16.399999999999999" customHeight="1" x14ac:dyDescent="0.35"/>
    <row r="891" ht="16.399999999999999" customHeight="1" x14ac:dyDescent="0.35"/>
    <row r="892" ht="16.399999999999999" customHeight="1" x14ac:dyDescent="0.35"/>
    <row r="893" ht="16.399999999999999" customHeight="1" x14ac:dyDescent="0.35"/>
    <row r="894" ht="16.399999999999999" customHeight="1" x14ac:dyDescent="0.35"/>
    <row r="895" ht="16.399999999999999" customHeight="1" x14ac:dyDescent="0.35"/>
    <row r="896" ht="16.399999999999999" customHeight="1" x14ac:dyDescent="0.35"/>
    <row r="897" ht="16.399999999999999" customHeight="1" x14ac:dyDescent="0.35"/>
    <row r="898" ht="16.399999999999999" customHeight="1" x14ac:dyDescent="0.35"/>
    <row r="899" ht="16.399999999999999" customHeight="1" x14ac:dyDescent="0.35"/>
    <row r="900" ht="16.399999999999999" customHeight="1" x14ac:dyDescent="0.35"/>
    <row r="901" ht="16.399999999999999" customHeight="1" x14ac:dyDescent="0.35"/>
    <row r="902" ht="16.399999999999999" customHeight="1" x14ac:dyDescent="0.35"/>
    <row r="903" ht="16.399999999999999" customHeight="1" x14ac:dyDescent="0.35"/>
    <row r="904" ht="16.399999999999999" customHeight="1" x14ac:dyDescent="0.35"/>
    <row r="905" ht="16.399999999999999" customHeight="1" x14ac:dyDescent="0.35"/>
    <row r="906" ht="16.399999999999999" customHeight="1" x14ac:dyDescent="0.35"/>
    <row r="907" ht="16.399999999999999" customHeight="1" x14ac:dyDescent="0.35"/>
    <row r="908" ht="16.399999999999999" customHeight="1" x14ac:dyDescent="0.35"/>
    <row r="909" ht="16.399999999999999" customHeight="1" x14ac:dyDescent="0.35"/>
    <row r="910" ht="16.399999999999999" customHeight="1" x14ac:dyDescent="0.35"/>
    <row r="911" ht="16.399999999999999" customHeight="1" x14ac:dyDescent="0.35"/>
    <row r="912" ht="16.399999999999999" customHeight="1" x14ac:dyDescent="0.35"/>
    <row r="913" ht="16.399999999999999" customHeight="1" x14ac:dyDescent="0.35"/>
    <row r="914" ht="16.399999999999999" customHeight="1" x14ac:dyDescent="0.35"/>
    <row r="915" ht="16.399999999999999" customHeight="1" x14ac:dyDescent="0.35"/>
    <row r="916" ht="16.399999999999999" customHeight="1" x14ac:dyDescent="0.35"/>
    <row r="917" ht="16.399999999999999" customHeight="1" x14ac:dyDescent="0.35"/>
    <row r="918" ht="16.399999999999999" customHeight="1" x14ac:dyDescent="0.35"/>
    <row r="919" ht="16.399999999999999" customHeight="1" x14ac:dyDescent="0.35"/>
    <row r="920" ht="16.399999999999999" customHeight="1" x14ac:dyDescent="0.35"/>
    <row r="921" ht="16.399999999999999" customHeight="1" x14ac:dyDescent="0.35"/>
    <row r="922" ht="16.399999999999999" customHeight="1" x14ac:dyDescent="0.35"/>
    <row r="923" ht="16.399999999999999" customHeight="1" x14ac:dyDescent="0.35"/>
    <row r="924" ht="16.399999999999999" customHeight="1" x14ac:dyDescent="0.35"/>
    <row r="925" ht="16.399999999999999" customHeight="1" x14ac:dyDescent="0.35"/>
    <row r="926" ht="16.399999999999999" customHeight="1" x14ac:dyDescent="0.35"/>
    <row r="927" ht="16.399999999999999" customHeight="1" x14ac:dyDescent="0.35"/>
    <row r="928" ht="16.399999999999999" customHeight="1" x14ac:dyDescent="0.35"/>
    <row r="929" ht="16.399999999999999" customHeight="1" x14ac:dyDescent="0.35"/>
    <row r="930" ht="16.399999999999999" customHeight="1" x14ac:dyDescent="0.35"/>
    <row r="931" ht="16.399999999999999" customHeight="1" x14ac:dyDescent="0.35"/>
    <row r="932" ht="16.399999999999999" customHeight="1" x14ac:dyDescent="0.35"/>
    <row r="933" ht="16.399999999999999" customHeight="1" x14ac:dyDescent="0.35"/>
    <row r="934" ht="16.399999999999999" customHeight="1" x14ac:dyDescent="0.35"/>
    <row r="935" ht="16.399999999999999" customHeight="1" x14ac:dyDescent="0.35"/>
    <row r="936" ht="16.399999999999999" customHeight="1" x14ac:dyDescent="0.35"/>
    <row r="937" ht="16.399999999999999" customHeight="1" x14ac:dyDescent="0.35"/>
    <row r="938" ht="16.399999999999999" customHeight="1" x14ac:dyDescent="0.35"/>
    <row r="939" ht="16.399999999999999" customHeight="1" x14ac:dyDescent="0.35"/>
    <row r="940" ht="16.399999999999999" customHeight="1" x14ac:dyDescent="0.35"/>
    <row r="941" ht="16.399999999999999" customHeight="1" x14ac:dyDescent="0.35"/>
    <row r="942" ht="16.399999999999999" customHeight="1" x14ac:dyDescent="0.35"/>
    <row r="943" ht="16.399999999999999" customHeight="1" x14ac:dyDescent="0.35"/>
    <row r="944" ht="16.399999999999999" customHeight="1" x14ac:dyDescent="0.35"/>
    <row r="945" ht="16.399999999999999" customHeight="1" x14ac:dyDescent="0.35"/>
    <row r="946" ht="16.399999999999999" customHeight="1" x14ac:dyDescent="0.35"/>
    <row r="947" ht="16.399999999999999" customHeight="1" x14ac:dyDescent="0.35"/>
    <row r="948" ht="16.399999999999999" customHeight="1" x14ac:dyDescent="0.35"/>
    <row r="949" ht="16.399999999999999" customHeight="1" x14ac:dyDescent="0.35"/>
    <row r="950" ht="16.399999999999999" customHeight="1" x14ac:dyDescent="0.35"/>
    <row r="951" ht="16.399999999999999" customHeight="1" x14ac:dyDescent="0.35"/>
    <row r="952" ht="16.399999999999999" customHeight="1" x14ac:dyDescent="0.35"/>
    <row r="953" ht="16.399999999999999" customHeight="1" x14ac:dyDescent="0.35"/>
    <row r="954" ht="16.399999999999999" customHeight="1" x14ac:dyDescent="0.35"/>
    <row r="955" ht="16.399999999999999" customHeight="1" x14ac:dyDescent="0.35"/>
    <row r="956" ht="16.399999999999999" customHeight="1" x14ac:dyDescent="0.35"/>
    <row r="957" ht="16.399999999999999" customHeight="1" x14ac:dyDescent="0.35"/>
    <row r="958" ht="16.399999999999999" customHeight="1" x14ac:dyDescent="0.35"/>
    <row r="959" ht="16.399999999999999" customHeight="1" x14ac:dyDescent="0.35"/>
    <row r="960" ht="16.399999999999999" customHeight="1" x14ac:dyDescent="0.35"/>
    <row r="961" ht="16.399999999999999" customHeight="1" x14ac:dyDescent="0.35"/>
    <row r="962" ht="16.399999999999999" customHeight="1" x14ac:dyDescent="0.35"/>
    <row r="963" ht="16.399999999999999" customHeight="1" x14ac:dyDescent="0.35"/>
    <row r="964" ht="16.399999999999999" customHeight="1" x14ac:dyDescent="0.35"/>
    <row r="965" ht="16.399999999999999" customHeight="1" x14ac:dyDescent="0.35"/>
    <row r="966" ht="16.399999999999999" customHeight="1" x14ac:dyDescent="0.35"/>
    <row r="967" ht="16.399999999999999" customHeight="1" x14ac:dyDescent="0.35"/>
    <row r="968" ht="16.399999999999999" customHeight="1" x14ac:dyDescent="0.35"/>
    <row r="969" ht="16.399999999999999" customHeight="1" x14ac:dyDescent="0.35"/>
    <row r="970" ht="16.399999999999999" customHeight="1" x14ac:dyDescent="0.35"/>
    <row r="971" ht="16.399999999999999" customHeight="1" x14ac:dyDescent="0.35"/>
    <row r="972" ht="16.399999999999999" customHeight="1" x14ac:dyDescent="0.35"/>
    <row r="973" ht="16.399999999999999" customHeight="1" x14ac:dyDescent="0.35"/>
    <row r="974" ht="16.399999999999999" customHeight="1" x14ac:dyDescent="0.35"/>
    <row r="975" ht="16.399999999999999" customHeight="1" x14ac:dyDescent="0.35"/>
    <row r="976" ht="16.399999999999999" customHeight="1" x14ac:dyDescent="0.35"/>
    <row r="977" ht="16.399999999999999" customHeight="1" x14ac:dyDescent="0.35"/>
    <row r="978" ht="16.399999999999999" customHeight="1" x14ac:dyDescent="0.35"/>
    <row r="979" ht="16.399999999999999" customHeight="1" x14ac:dyDescent="0.35"/>
    <row r="980" ht="16.399999999999999" customHeight="1" x14ac:dyDescent="0.35"/>
    <row r="981" ht="16.399999999999999" customHeight="1" x14ac:dyDescent="0.35"/>
    <row r="982" ht="16.399999999999999" customHeight="1" x14ac:dyDescent="0.35"/>
    <row r="983" ht="16.399999999999999" customHeight="1" x14ac:dyDescent="0.35"/>
    <row r="984" ht="16.399999999999999" customHeight="1" x14ac:dyDescent="0.35"/>
    <row r="985" ht="16.399999999999999" customHeight="1" x14ac:dyDescent="0.35"/>
    <row r="986" ht="16.399999999999999" customHeight="1" x14ac:dyDescent="0.35"/>
    <row r="987" ht="16.399999999999999" customHeight="1" x14ac:dyDescent="0.35"/>
    <row r="988" ht="16.399999999999999" customHeight="1" x14ac:dyDescent="0.35"/>
    <row r="989" ht="16.399999999999999" customHeight="1" x14ac:dyDescent="0.35"/>
    <row r="990" ht="16.399999999999999" customHeight="1" x14ac:dyDescent="0.35"/>
    <row r="991" ht="16.399999999999999" customHeight="1" x14ac:dyDescent="0.35"/>
    <row r="992" ht="16.399999999999999" customHeight="1" x14ac:dyDescent="0.35"/>
    <row r="993" ht="16.399999999999999" customHeight="1" x14ac:dyDescent="0.35"/>
    <row r="994" ht="16.399999999999999" customHeight="1" x14ac:dyDescent="0.35"/>
    <row r="995" ht="16.399999999999999" customHeight="1" x14ac:dyDescent="0.35"/>
    <row r="996" ht="16.399999999999999" customHeight="1" x14ac:dyDescent="0.35"/>
    <row r="997" ht="16.399999999999999" customHeight="1" x14ac:dyDescent="0.35"/>
    <row r="998" ht="16.399999999999999" customHeight="1" x14ac:dyDescent="0.35"/>
    <row r="999" ht="16.399999999999999" customHeight="1" x14ac:dyDescent="0.35"/>
    <row r="1000" ht="16.399999999999999" customHeight="1" x14ac:dyDescent="0.35"/>
    <row r="1001" ht="16.399999999999999" customHeight="1" x14ac:dyDescent="0.35"/>
    <row r="1002" ht="16.399999999999999" customHeight="1" x14ac:dyDescent="0.35"/>
    <row r="1003" ht="16.399999999999999" customHeight="1" x14ac:dyDescent="0.35"/>
    <row r="1004" ht="16.399999999999999" customHeight="1" x14ac:dyDescent="0.35"/>
    <row r="1005" ht="16.399999999999999" customHeight="1" x14ac:dyDescent="0.35"/>
    <row r="1006" ht="16.399999999999999" customHeight="1" x14ac:dyDescent="0.35"/>
    <row r="1007" ht="16.399999999999999" customHeight="1" x14ac:dyDescent="0.35"/>
    <row r="1008" ht="16.399999999999999" customHeight="1" x14ac:dyDescent="0.35"/>
    <row r="1009" ht="16.399999999999999" customHeight="1" x14ac:dyDescent="0.35"/>
    <row r="1010" ht="16.399999999999999" customHeight="1" x14ac:dyDescent="0.35"/>
    <row r="1011" ht="16.399999999999999" customHeight="1" x14ac:dyDescent="0.35"/>
    <row r="1012" ht="16.399999999999999" customHeight="1" x14ac:dyDescent="0.35"/>
    <row r="1013" ht="16.399999999999999" customHeight="1" x14ac:dyDescent="0.35"/>
    <row r="1014" ht="16.399999999999999" customHeight="1" x14ac:dyDescent="0.35"/>
    <row r="1015" ht="16.399999999999999" customHeight="1" x14ac:dyDescent="0.35"/>
    <row r="1016" ht="16.399999999999999" customHeight="1" x14ac:dyDescent="0.35"/>
    <row r="1017" ht="16.399999999999999" customHeight="1" x14ac:dyDescent="0.35"/>
    <row r="1018" ht="16.399999999999999" customHeight="1" x14ac:dyDescent="0.35"/>
    <row r="1019" ht="16.399999999999999" customHeight="1" x14ac:dyDescent="0.35"/>
    <row r="1020" ht="16.399999999999999" customHeight="1" x14ac:dyDescent="0.35"/>
    <row r="1021" ht="16.399999999999999" customHeight="1" x14ac:dyDescent="0.35"/>
    <row r="1022" ht="16.399999999999999" customHeight="1" x14ac:dyDescent="0.35"/>
    <row r="1023" ht="16.399999999999999" customHeight="1" x14ac:dyDescent="0.35"/>
    <row r="1024" ht="16.399999999999999" customHeight="1" x14ac:dyDescent="0.35"/>
    <row r="1025" ht="16.399999999999999" customHeight="1" x14ac:dyDescent="0.35"/>
    <row r="1026" ht="16.399999999999999" customHeight="1" x14ac:dyDescent="0.35"/>
    <row r="1027" ht="16.399999999999999" customHeight="1" x14ac:dyDescent="0.35"/>
    <row r="1028" ht="16.399999999999999" customHeight="1" x14ac:dyDescent="0.35"/>
    <row r="1029" ht="16.399999999999999" customHeight="1" x14ac:dyDescent="0.35"/>
    <row r="1030" ht="16.399999999999999" customHeight="1" x14ac:dyDescent="0.35"/>
    <row r="1031" ht="16.399999999999999" customHeight="1" x14ac:dyDescent="0.35"/>
    <row r="1032" ht="16.399999999999999" customHeight="1" x14ac:dyDescent="0.35"/>
    <row r="1033" ht="16.399999999999999" customHeight="1" x14ac:dyDescent="0.35"/>
    <row r="1034" ht="16.399999999999999" customHeight="1" x14ac:dyDescent="0.35"/>
    <row r="1035" ht="16.399999999999999" customHeight="1" x14ac:dyDescent="0.35"/>
    <row r="1036" ht="16.399999999999999" customHeight="1" x14ac:dyDescent="0.35"/>
    <row r="1037" ht="16.399999999999999" customHeight="1" x14ac:dyDescent="0.35"/>
    <row r="1038" ht="16.399999999999999" customHeight="1" x14ac:dyDescent="0.35"/>
    <row r="1039" ht="16.399999999999999" customHeight="1" x14ac:dyDescent="0.35"/>
  </sheetData>
  <sheetProtection algorithmName="SHA-512" hashValue="/TCbrwZN6kvucQgwn7qkYVqPkjBn5z5gae+adF+Qdfk9PT7tJnla/2X2FUgXqNFxm3zKrmxsYomBOAcXllOaTg==" saltValue="Sf1ErDHzmU0l3NHzNTHi2A==" spinCount="100000" sheet="1" objects="1" scenarios="1"/>
  <hyperlinks>
    <hyperlink ref="F2" location="Navigation!A1" display="Navigation" xr:uid="{00000000-0004-0000-0D00-000000000000}"/>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8" tint="-0.499984740745262"/>
  </sheetPr>
  <dimension ref="A1:BC43"/>
  <sheetViews>
    <sheetView showGridLines="0" zoomScale="70" zoomScaleNormal="70" workbookViewId="0"/>
  </sheetViews>
  <sheetFormatPr defaultColWidth="0" defaultRowHeight="18" customHeight="1" zeroHeight="1" x14ac:dyDescent="0.25"/>
  <cols>
    <col min="1" max="2" width="3.54296875" style="308" customWidth="1"/>
    <col min="3" max="3" width="19.453125" style="308" customWidth="1"/>
    <col min="4" max="4" width="17.453125" style="308" customWidth="1"/>
    <col min="5" max="7" width="10.54296875" style="308" customWidth="1"/>
    <col min="8" max="8" width="17" style="308" customWidth="1"/>
    <col min="9" max="14" width="10.54296875" style="308" customWidth="1"/>
    <col min="15" max="16" width="3.54296875" style="308" customWidth="1"/>
    <col min="17" max="53" width="10.54296875" style="308" hidden="1" customWidth="1"/>
    <col min="54" max="55" width="0" style="308" hidden="1" customWidth="1"/>
    <col min="56" max="16384" width="10.54296875" style="308" hidden="1"/>
  </cols>
  <sheetData>
    <row r="1" spans="2:55" ht="18" customHeight="1" thickBot="1" x14ac:dyDescent="0.3"/>
    <row r="2" spans="2:55" ht="18" customHeight="1" thickTop="1" thickBot="1" x14ac:dyDescent="0.3">
      <c r="C2" s="265" t="s">
        <v>77</v>
      </c>
      <c r="D2" s="309"/>
      <c r="E2" s="310"/>
      <c r="M2" s="794" t="s">
        <v>159</v>
      </c>
      <c r="N2" s="795"/>
    </row>
    <row r="3" spans="2:55" ht="18" customHeight="1" thickBot="1" x14ac:dyDescent="0.3">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row>
    <row r="4" spans="2:55" ht="18" customHeight="1" x14ac:dyDescent="0.25">
      <c r="B4" s="311"/>
      <c r="C4" s="312"/>
      <c r="D4" s="312"/>
      <c r="E4" s="312"/>
      <c r="F4" s="312"/>
      <c r="G4" s="312"/>
      <c r="H4" s="312"/>
      <c r="I4" s="312"/>
      <c r="J4" s="312"/>
      <c r="K4" s="312"/>
      <c r="L4" s="312"/>
      <c r="M4" s="312"/>
      <c r="N4" s="312"/>
      <c r="O4" s="313"/>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c r="AQ4" s="65"/>
      <c r="AR4" s="65"/>
      <c r="AS4" s="65"/>
      <c r="AT4" s="65"/>
      <c r="AU4" s="65"/>
      <c r="AV4" s="65"/>
      <c r="AW4" s="65"/>
      <c r="AX4" s="65"/>
      <c r="AY4" s="65"/>
      <c r="AZ4" s="65"/>
      <c r="BA4" s="65"/>
      <c r="BB4" s="65"/>
      <c r="BC4" s="65"/>
    </row>
    <row r="5" spans="2:55" ht="18" customHeight="1" x14ac:dyDescent="0.25">
      <c r="B5" s="314"/>
      <c r="C5" s="315"/>
      <c r="D5" s="315"/>
      <c r="E5" s="316" t="s">
        <v>137</v>
      </c>
      <c r="F5" s="316"/>
      <c r="G5" s="316"/>
      <c r="H5" s="316"/>
      <c r="I5" s="316"/>
      <c r="J5" s="316"/>
      <c r="K5" s="316"/>
      <c r="L5" s="316"/>
      <c r="M5" s="316"/>
      <c r="N5" s="316"/>
      <c r="O5" s="317"/>
      <c r="P5" s="65"/>
      <c r="Q5" s="318"/>
      <c r="R5" s="319"/>
      <c r="S5" s="319"/>
      <c r="T5" s="319"/>
      <c r="U5" s="65"/>
      <c r="V5" s="65"/>
      <c r="W5" s="65"/>
      <c r="X5" s="65"/>
      <c r="Y5" s="65"/>
      <c r="Z5" s="65"/>
      <c r="AA5" s="65"/>
      <c r="AB5" s="65"/>
      <c r="AC5" s="65"/>
      <c r="AD5" s="65"/>
      <c r="AE5" s="65"/>
      <c r="AF5" s="65"/>
      <c r="AG5" s="65"/>
      <c r="AH5" s="65"/>
      <c r="AI5" s="65"/>
      <c r="AJ5" s="65"/>
      <c r="AK5" s="65"/>
      <c r="AL5" s="65"/>
      <c r="AM5" s="65"/>
      <c r="AN5" s="65"/>
      <c r="AO5" s="65"/>
      <c r="AP5" s="65"/>
      <c r="AQ5" s="65"/>
      <c r="AR5" s="65"/>
      <c r="AS5" s="65"/>
      <c r="AT5" s="65"/>
      <c r="AU5" s="65"/>
      <c r="AV5" s="65"/>
      <c r="AW5" s="65"/>
      <c r="AX5" s="65"/>
      <c r="AY5" s="65"/>
      <c r="AZ5" s="65"/>
      <c r="BA5" s="65"/>
      <c r="BB5" s="65"/>
      <c r="BC5" s="65"/>
    </row>
    <row r="6" spans="2:55" ht="18" customHeight="1" x14ac:dyDescent="0.25">
      <c r="B6" s="314"/>
      <c r="C6" s="315"/>
      <c r="D6" s="315"/>
      <c r="E6" s="294" t="s">
        <v>70</v>
      </c>
      <c r="F6" s="294" t="s">
        <v>69</v>
      </c>
      <c r="G6" s="294" t="s">
        <v>68</v>
      </c>
      <c r="H6" s="294" t="s">
        <v>67</v>
      </c>
      <c r="I6" s="294" t="s">
        <v>66</v>
      </c>
      <c r="J6" s="294" t="s">
        <v>65</v>
      </c>
      <c r="K6" s="294" t="s">
        <v>64</v>
      </c>
      <c r="L6" s="294" t="s">
        <v>63</v>
      </c>
      <c r="M6" s="294" t="s">
        <v>62</v>
      </c>
      <c r="N6" s="294" t="s">
        <v>140</v>
      </c>
      <c r="O6" s="317"/>
      <c r="P6" s="65"/>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11"/>
      <c r="BC6" s="65"/>
    </row>
    <row r="7" spans="2:55" ht="18" customHeight="1" x14ac:dyDescent="0.25">
      <c r="B7" s="314"/>
      <c r="C7" s="816" t="s">
        <v>313</v>
      </c>
      <c r="D7" s="294">
        <v>1</v>
      </c>
      <c r="E7" s="321"/>
      <c r="F7" s="322"/>
      <c r="G7" s="322"/>
      <c r="H7" s="322"/>
      <c r="I7" s="322"/>
      <c r="J7" s="322"/>
      <c r="K7" s="322"/>
      <c r="L7" s="323">
        <v>1</v>
      </c>
      <c r="M7" s="324">
        <v>0</v>
      </c>
      <c r="N7" s="325">
        <f>SUM(E7:M7)</f>
        <v>1</v>
      </c>
      <c r="O7" s="317"/>
      <c r="P7" s="65"/>
      <c r="Q7" s="326"/>
      <c r="R7" s="326"/>
      <c r="S7" s="326"/>
      <c r="T7" s="326"/>
      <c r="U7" s="326"/>
      <c r="V7" s="326"/>
      <c r="W7" s="326"/>
      <c r="X7" s="326"/>
      <c r="Y7" s="326"/>
      <c r="Z7" s="326"/>
      <c r="AA7" s="326"/>
      <c r="AB7" s="326"/>
      <c r="AC7" s="326"/>
      <c r="AD7" s="326"/>
      <c r="AE7" s="326"/>
      <c r="AF7" s="326"/>
      <c r="AG7" s="326"/>
      <c r="AH7" s="326"/>
      <c r="AI7" s="326"/>
      <c r="AJ7" s="326"/>
      <c r="AK7" s="326"/>
      <c r="AL7" s="326"/>
      <c r="AM7" s="326"/>
      <c r="AN7" s="326"/>
      <c r="AO7" s="326"/>
      <c r="AP7" s="326"/>
      <c r="AQ7" s="326"/>
      <c r="AR7" s="326"/>
      <c r="AS7" s="326"/>
      <c r="AT7" s="326"/>
      <c r="AU7" s="326"/>
      <c r="AV7" s="326"/>
      <c r="AW7" s="326"/>
      <c r="AX7" s="326"/>
      <c r="AY7" s="326"/>
      <c r="AZ7" s="326"/>
      <c r="BA7" s="326"/>
      <c r="BB7" s="326"/>
      <c r="BC7" s="65"/>
    </row>
    <row r="8" spans="2:55" ht="18" customHeight="1" x14ac:dyDescent="0.25">
      <c r="B8" s="314"/>
      <c r="C8" s="816"/>
      <c r="D8" s="294">
        <v>2</v>
      </c>
      <c r="E8" s="327"/>
      <c r="F8" s="328"/>
      <c r="G8" s="328"/>
      <c r="H8" s="328"/>
      <c r="I8" s="328"/>
      <c r="J8" s="328"/>
      <c r="K8" s="328">
        <v>0.45</v>
      </c>
      <c r="L8" s="328">
        <v>0.55000000000000004</v>
      </c>
      <c r="M8" s="329">
        <v>0</v>
      </c>
      <c r="N8" s="330">
        <f t="shared" ref="N8:N14" si="0">SUM(E8:M8)</f>
        <v>1</v>
      </c>
      <c r="O8" s="317"/>
      <c r="P8" s="331"/>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2"/>
      <c r="AP8" s="332"/>
      <c r="AQ8" s="332"/>
      <c r="AR8" s="332"/>
      <c r="AS8" s="332"/>
      <c r="AT8" s="332"/>
      <c r="AU8" s="332"/>
      <c r="AV8" s="332"/>
      <c r="AW8" s="332"/>
      <c r="AX8" s="332"/>
      <c r="AY8" s="332"/>
      <c r="AZ8" s="332"/>
      <c r="BA8" s="332"/>
      <c r="BB8" s="65"/>
      <c r="BC8" s="65"/>
    </row>
    <row r="9" spans="2:55" ht="18" customHeight="1" x14ac:dyDescent="0.25">
      <c r="B9" s="314"/>
      <c r="C9" s="816"/>
      <c r="D9" s="294">
        <v>3</v>
      </c>
      <c r="E9" s="327"/>
      <c r="F9" s="328"/>
      <c r="G9" s="328"/>
      <c r="H9" s="328"/>
      <c r="I9" s="328"/>
      <c r="J9" s="328">
        <v>0.2</v>
      </c>
      <c r="K9" s="328">
        <v>0.35</v>
      </c>
      <c r="L9" s="328">
        <v>0.45</v>
      </c>
      <c r="M9" s="329">
        <v>0</v>
      </c>
      <c r="N9" s="330">
        <f t="shared" si="0"/>
        <v>1</v>
      </c>
      <c r="O9" s="317"/>
      <c r="P9" s="331"/>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c r="AP9" s="332"/>
      <c r="AQ9" s="332"/>
      <c r="AR9" s="332"/>
      <c r="AS9" s="332"/>
      <c r="AT9" s="332"/>
      <c r="AU9" s="332"/>
      <c r="AV9" s="332"/>
      <c r="AW9" s="332"/>
      <c r="AX9" s="332"/>
      <c r="AY9" s="332"/>
      <c r="AZ9" s="332"/>
      <c r="BA9" s="332"/>
      <c r="BB9" s="65"/>
      <c r="BC9" s="65"/>
    </row>
    <row r="10" spans="2:55" ht="18" customHeight="1" x14ac:dyDescent="0.25">
      <c r="B10" s="314"/>
      <c r="C10" s="816"/>
      <c r="D10" s="294">
        <v>4</v>
      </c>
      <c r="E10" s="327"/>
      <c r="F10" s="328"/>
      <c r="G10" s="328"/>
      <c r="H10" s="328"/>
      <c r="I10" s="328">
        <v>0.02</v>
      </c>
      <c r="J10" s="328">
        <v>0.17</v>
      </c>
      <c r="K10" s="328">
        <v>0.36</v>
      </c>
      <c r="L10" s="328">
        <v>0.45</v>
      </c>
      <c r="M10" s="329">
        <v>0</v>
      </c>
      <c r="N10" s="330">
        <f t="shared" si="0"/>
        <v>1</v>
      </c>
      <c r="O10" s="317"/>
      <c r="P10" s="65"/>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AY10" s="333"/>
      <c r="AZ10" s="333"/>
      <c r="BA10" s="333"/>
      <c r="BB10" s="65"/>
      <c r="BC10" s="65"/>
    </row>
    <row r="11" spans="2:55" ht="18" customHeight="1" x14ac:dyDescent="0.25">
      <c r="B11" s="314"/>
      <c r="C11" s="816"/>
      <c r="D11" s="294">
        <v>5</v>
      </c>
      <c r="E11" s="327"/>
      <c r="F11" s="328"/>
      <c r="G11" s="328"/>
      <c r="H11" s="328">
        <v>0</v>
      </c>
      <c r="I11" s="328">
        <v>0.02</v>
      </c>
      <c r="J11" s="328">
        <v>0.17</v>
      </c>
      <c r="K11" s="328">
        <v>0.36</v>
      </c>
      <c r="L11" s="328">
        <v>0.45</v>
      </c>
      <c r="M11" s="329">
        <v>0</v>
      </c>
      <c r="N11" s="330">
        <f t="shared" si="0"/>
        <v>1</v>
      </c>
      <c r="O11" s="317"/>
      <c r="P11" s="331"/>
      <c r="Q11" s="332"/>
      <c r="R11" s="332"/>
      <c r="S11" s="332"/>
      <c r="T11" s="332"/>
      <c r="U11" s="332"/>
      <c r="V11" s="332"/>
      <c r="W11" s="332"/>
      <c r="X11" s="332"/>
      <c r="Y11" s="332"/>
      <c r="Z11" s="332"/>
      <c r="AA11" s="332"/>
      <c r="AB11" s="332"/>
      <c r="AC11" s="332"/>
      <c r="AD11" s="332"/>
      <c r="AE11" s="332"/>
      <c r="AF11" s="332"/>
      <c r="AG11" s="332"/>
      <c r="AH11" s="332"/>
      <c r="AI11" s="332"/>
      <c r="AJ11" s="332"/>
      <c r="AK11" s="332"/>
      <c r="AL11" s="332"/>
      <c r="AM11" s="332"/>
      <c r="AN11" s="332"/>
      <c r="AO11" s="332"/>
      <c r="AP11" s="332"/>
      <c r="AQ11" s="332"/>
      <c r="AR11" s="332"/>
      <c r="AS11" s="332"/>
      <c r="AT11" s="332"/>
      <c r="AU11" s="332"/>
      <c r="AV11" s="332"/>
      <c r="AW11" s="332"/>
      <c r="AX11" s="332"/>
      <c r="AY11" s="332"/>
      <c r="AZ11" s="332"/>
      <c r="BA11" s="332"/>
      <c r="BB11" s="65"/>
      <c r="BC11" s="65"/>
    </row>
    <row r="12" spans="2:55" ht="18" customHeight="1" x14ac:dyDescent="0.25">
      <c r="B12" s="314"/>
      <c r="C12" s="816"/>
      <c r="D12" s="294">
        <v>6</v>
      </c>
      <c r="E12" s="327"/>
      <c r="F12" s="328"/>
      <c r="G12" s="328">
        <v>0</v>
      </c>
      <c r="H12" s="328">
        <v>0</v>
      </c>
      <c r="I12" s="328">
        <v>0.02</v>
      </c>
      <c r="J12" s="328">
        <v>0.17</v>
      </c>
      <c r="K12" s="328">
        <v>0.36</v>
      </c>
      <c r="L12" s="328">
        <v>0.45</v>
      </c>
      <c r="M12" s="329">
        <v>0</v>
      </c>
      <c r="N12" s="330">
        <f t="shared" si="0"/>
        <v>1</v>
      </c>
      <c r="O12" s="317"/>
      <c r="P12" s="65"/>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AY12" s="333"/>
      <c r="AZ12" s="333"/>
      <c r="BA12" s="333"/>
      <c r="BB12" s="65"/>
      <c r="BC12" s="65"/>
    </row>
    <row r="13" spans="2:55" ht="18" customHeight="1" x14ac:dyDescent="0.25">
      <c r="B13" s="314"/>
      <c r="C13" s="816"/>
      <c r="D13" s="294">
        <v>7</v>
      </c>
      <c r="E13" s="327"/>
      <c r="F13" s="328">
        <v>0</v>
      </c>
      <c r="G13" s="328">
        <v>0</v>
      </c>
      <c r="H13" s="328">
        <v>0</v>
      </c>
      <c r="I13" s="328">
        <v>0.02</v>
      </c>
      <c r="J13" s="328">
        <v>0.17</v>
      </c>
      <c r="K13" s="328">
        <v>0.36</v>
      </c>
      <c r="L13" s="328">
        <v>0.45</v>
      </c>
      <c r="M13" s="329">
        <v>0</v>
      </c>
      <c r="N13" s="330">
        <f t="shared" si="0"/>
        <v>1</v>
      </c>
      <c r="O13" s="317"/>
      <c r="P13" s="65"/>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AY13" s="333"/>
      <c r="AZ13" s="333"/>
      <c r="BA13" s="333"/>
      <c r="BB13" s="65"/>
      <c r="BC13" s="65"/>
    </row>
    <row r="14" spans="2:55" ht="18" customHeight="1" x14ac:dyDescent="0.25">
      <c r="B14" s="314"/>
      <c r="C14" s="816"/>
      <c r="D14" s="294">
        <v>8</v>
      </c>
      <c r="E14" s="334">
        <v>0</v>
      </c>
      <c r="F14" s="335">
        <v>0</v>
      </c>
      <c r="G14" s="335">
        <v>0</v>
      </c>
      <c r="H14" s="335">
        <v>0</v>
      </c>
      <c r="I14" s="335">
        <v>0.02</v>
      </c>
      <c r="J14" s="335">
        <v>0.17</v>
      </c>
      <c r="K14" s="335">
        <v>0.36</v>
      </c>
      <c r="L14" s="335">
        <v>0.45</v>
      </c>
      <c r="M14" s="336">
        <v>0</v>
      </c>
      <c r="N14" s="337">
        <f t="shared" si="0"/>
        <v>1</v>
      </c>
      <c r="O14" s="317"/>
      <c r="P14" s="65"/>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AY14" s="333"/>
      <c r="AZ14" s="333"/>
      <c r="BA14" s="333"/>
      <c r="BB14" s="65"/>
      <c r="BC14" s="65"/>
    </row>
    <row r="15" spans="2:55" ht="18" customHeight="1" x14ac:dyDescent="0.25">
      <c r="B15" s="314"/>
      <c r="C15" s="315"/>
      <c r="D15" s="338"/>
      <c r="E15" s="315"/>
      <c r="F15" s="315"/>
      <c r="G15" s="315"/>
      <c r="H15" s="315"/>
      <c r="I15" s="315"/>
      <c r="J15" s="315"/>
      <c r="K15" s="315"/>
      <c r="L15" s="315"/>
      <c r="M15" s="315"/>
      <c r="N15" s="315"/>
      <c r="O15" s="317"/>
      <c r="P15" s="65"/>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AY15" s="333"/>
      <c r="AZ15" s="333"/>
      <c r="BA15" s="333"/>
      <c r="BB15" s="65"/>
      <c r="BC15" s="65"/>
    </row>
    <row r="16" spans="2:55" ht="18" customHeight="1" x14ac:dyDescent="0.25">
      <c r="B16" s="314"/>
      <c r="C16" s="315"/>
      <c r="D16" s="338"/>
      <c r="E16" s="315"/>
      <c r="F16" s="315"/>
      <c r="G16" s="315"/>
      <c r="H16" s="315"/>
      <c r="I16" s="315"/>
      <c r="J16" s="315"/>
      <c r="K16" s="315"/>
      <c r="L16" s="315"/>
      <c r="M16" s="315"/>
      <c r="N16" s="315"/>
      <c r="O16" s="317"/>
      <c r="P16" s="65"/>
      <c r="Q16" s="339"/>
      <c r="R16" s="339"/>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AY16" s="333"/>
      <c r="AZ16" s="333"/>
      <c r="BA16" s="333"/>
      <c r="BB16" s="65"/>
      <c r="BC16" s="65"/>
    </row>
    <row r="17" spans="2:55" ht="18" customHeight="1" x14ac:dyDescent="0.25">
      <c r="B17" s="314"/>
      <c r="C17" s="340" t="s">
        <v>139</v>
      </c>
      <c r="D17" s="338"/>
      <c r="E17" s="341">
        <v>1</v>
      </c>
      <c r="F17" s="315"/>
      <c r="G17" s="315"/>
      <c r="H17" s="315"/>
      <c r="I17" s="315"/>
      <c r="J17" s="315"/>
      <c r="K17" s="315"/>
      <c r="L17" s="315"/>
      <c r="M17" s="315"/>
      <c r="N17" s="315"/>
      <c r="O17" s="317"/>
      <c r="P17" s="65"/>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AY17" s="333"/>
      <c r="AZ17" s="333"/>
      <c r="BA17" s="333"/>
      <c r="BB17" s="65"/>
      <c r="BC17" s="65"/>
    </row>
    <row r="18" spans="2:55" ht="18" customHeight="1" x14ac:dyDescent="0.25">
      <c r="B18" s="314"/>
      <c r="C18" s="315"/>
      <c r="D18" s="338"/>
      <c r="E18" s="315"/>
      <c r="F18" s="315"/>
      <c r="G18" s="315"/>
      <c r="H18" s="315"/>
      <c r="I18" s="315"/>
      <c r="J18" s="315"/>
      <c r="K18" s="315"/>
      <c r="L18" s="315"/>
      <c r="M18" s="315"/>
      <c r="N18" s="315"/>
      <c r="O18" s="317"/>
      <c r="P18" s="65"/>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AY18" s="333"/>
      <c r="AZ18" s="333"/>
      <c r="BA18" s="333"/>
      <c r="BB18" s="65"/>
      <c r="BC18" s="65"/>
    </row>
    <row r="19" spans="2:55" ht="18" customHeight="1" x14ac:dyDescent="0.25">
      <c r="B19" s="314"/>
      <c r="C19" s="315"/>
      <c r="D19" s="338"/>
      <c r="E19" s="316" t="s">
        <v>138</v>
      </c>
      <c r="F19" s="316"/>
      <c r="G19" s="316"/>
      <c r="H19" s="316"/>
      <c r="I19" s="316"/>
      <c r="J19" s="316"/>
      <c r="K19" s="316"/>
      <c r="L19" s="316"/>
      <c r="M19" s="316"/>
      <c r="N19" s="316"/>
      <c r="O19" s="317"/>
      <c r="P19" s="65"/>
      <c r="Q19" s="318"/>
      <c r="R19" s="319"/>
      <c r="S19" s="319"/>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AY19" s="333"/>
      <c r="AZ19" s="333"/>
      <c r="BA19" s="333"/>
      <c r="BB19" s="65"/>
      <c r="BC19" s="65"/>
    </row>
    <row r="20" spans="2:55" ht="18" customHeight="1" x14ac:dyDescent="0.25">
      <c r="B20" s="314"/>
      <c r="C20" s="315"/>
      <c r="D20" s="338"/>
      <c r="E20" s="294" t="s">
        <v>70</v>
      </c>
      <c r="F20" s="294" t="s">
        <v>69</v>
      </c>
      <c r="G20" s="294" t="s">
        <v>68</v>
      </c>
      <c r="H20" s="294" t="s">
        <v>67</v>
      </c>
      <c r="I20" s="294" t="s">
        <v>66</v>
      </c>
      <c r="J20" s="294" t="s">
        <v>65</v>
      </c>
      <c r="K20" s="294" t="s">
        <v>64</v>
      </c>
      <c r="L20" s="294" t="s">
        <v>63</v>
      </c>
      <c r="M20" s="294" t="s">
        <v>62</v>
      </c>
      <c r="N20" s="294" t="s">
        <v>140</v>
      </c>
      <c r="O20" s="317"/>
      <c r="P20" s="65"/>
      <c r="Q20" s="320"/>
      <c r="R20" s="320"/>
      <c r="S20" s="320"/>
      <c r="T20" s="320"/>
      <c r="U20" s="320"/>
      <c r="V20" s="320"/>
      <c r="W20" s="320"/>
      <c r="X20" s="320"/>
      <c r="Y20" s="320"/>
      <c r="Z20" s="320"/>
      <c r="AA20" s="320"/>
      <c r="AB20" s="320"/>
      <c r="AC20" s="320"/>
      <c r="AD20" s="320"/>
      <c r="AE20" s="320"/>
      <c r="AF20" s="320"/>
      <c r="AG20" s="320"/>
      <c r="AH20" s="320"/>
      <c r="AI20" s="320"/>
      <c r="AJ20" s="320"/>
      <c r="AK20" s="320"/>
      <c r="AL20" s="320"/>
      <c r="AM20" s="320"/>
      <c r="AN20" s="320"/>
      <c r="AO20" s="320"/>
      <c r="AP20" s="320"/>
      <c r="AQ20" s="320"/>
      <c r="AR20" s="320"/>
      <c r="AS20" s="320"/>
      <c r="AT20" s="320"/>
      <c r="AU20" s="320"/>
      <c r="AV20" s="320"/>
      <c r="AW20" s="320"/>
      <c r="AX20" s="320"/>
      <c r="AY20" s="320"/>
      <c r="AZ20" s="320"/>
      <c r="BA20" s="320"/>
      <c r="BB20" s="11"/>
      <c r="BC20" s="65"/>
    </row>
    <row r="21" spans="2:55" ht="18" customHeight="1" x14ac:dyDescent="0.25">
      <c r="B21" s="314"/>
      <c r="C21" s="816" t="s">
        <v>313</v>
      </c>
      <c r="D21" s="294">
        <v>1</v>
      </c>
      <c r="E21" s="342"/>
      <c r="F21" s="343"/>
      <c r="G21" s="343"/>
      <c r="H21" s="343"/>
      <c r="I21" s="343"/>
      <c r="J21" s="343"/>
      <c r="K21" s="343"/>
      <c r="L21" s="344">
        <f t="shared" ref="L21:L28" si="1">L7*ProductionHoldFactor</f>
        <v>1</v>
      </c>
      <c r="M21" s="344">
        <f t="shared" ref="M21:M28" si="2">1-ProductionHoldFactor</f>
        <v>0</v>
      </c>
      <c r="N21" s="325">
        <f>SUM(E21:M21)</f>
        <v>1</v>
      </c>
      <c r="O21" s="317"/>
      <c r="P21" s="65"/>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11"/>
      <c r="BC21" s="65"/>
    </row>
    <row r="22" spans="2:55" ht="18" customHeight="1" x14ac:dyDescent="0.25">
      <c r="B22" s="314"/>
      <c r="C22" s="816"/>
      <c r="D22" s="294">
        <v>2</v>
      </c>
      <c r="E22" s="345"/>
      <c r="F22" s="346"/>
      <c r="G22" s="346"/>
      <c r="H22" s="346"/>
      <c r="I22" s="346"/>
      <c r="J22" s="346"/>
      <c r="K22" s="347">
        <f t="shared" ref="K22:K28" si="3">K8*ProductionHoldFactor</f>
        <v>0.45</v>
      </c>
      <c r="L22" s="347">
        <f t="shared" si="1"/>
        <v>0.55000000000000004</v>
      </c>
      <c r="M22" s="347">
        <f t="shared" si="2"/>
        <v>0</v>
      </c>
      <c r="N22" s="330">
        <f t="shared" ref="N22:N28" si="4">SUM(E22:M22)</f>
        <v>1</v>
      </c>
      <c r="O22" s="317"/>
      <c r="P22" s="331"/>
      <c r="Q22" s="332"/>
      <c r="R22" s="332"/>
      <c r="S22" s="332"/>
      <c r="T22" s="332"/>
      <c r="U22" s="332"/>
      <c r="V22" s="332"/>
      <c r="W22" s="332"/>
      <c r="X22" s="332"/>
      <c r="Y22" s="332"/>
      <c r="Z22" s="332"/>
      <c r="AA22" s="332"/>
      <c r="AB22" s="332"/>
      <c r="AC22" s="332"/>
      <c r="AD22" s="332"/>
      <c r="AE22" s="332"/>
      <c r="AF22" s="332"/>
      <c r="AG22" s="332"/>
      <c r="AH22" s="332"/>
      <c r="AI22" s="332"/>
      <c r="AJ22" s="332"/>
      <c r="AK22" s="332"/>
      <c r="AL22" s="332"/>
      <c r="AM22" s="332"/>
      <c r="AN22" s="332"/>
      <c r="AO22" s="332"/>
      <c r="AP22" s="332"/>
      <c r="AQ22" s="332"/>
      <c r="AR22" s="332"/>
      <c r="AS22" s="332"/>
      <c r="AT22" s="332"/>
      <c r="AU22" s="332"/>
      <c r="AV22" s="332"/>
      <c r="AW22" s="332"/>
      <c r="AX22" s="332"/>
      <c r="AY22" s="332"/>
      <c r="AZ22" s="332"/>
      <c r="BA22" s="332"/>
      <c r="BB22" s="65"/>
      <c r="BC22" s="65"/>
    </row>
    <row r="23" spans="2:55" ht="18" customHeight="1" x14ac:dyDescent="0.25">
      <c r="B23" s="314"/>
      <c r="C23" s="816"/>
      <c r="D23" s="294">
        <v>3</v>
      </c>
      <c r="E23" s="345"/>
      <c r="F23" s="346"/>
      <c r="G23" s="346"/>
      <c r="H23" s="346"/>
      <c r="I23" s="346"/>
      <c r="J23" s="347">
        <f t="shared" ref="J23:J28" si="5">J9*ProductionHoldFactor</f>
        <v>0.2</v>
      </c>
      <c r="K23" s="347">
        <f t="shared" si="3"/>
        <v>0.35</v>
      </c>
      <c r="L23" s="347">
        <f t="shared" si="1"/>
        <v>0.45</v>
      </c>
      <c r="M23" s="347">
        <f t="shared" si="2"/>
        <v>0</v>
      </c>
      <c r="N23" s="330">
        <f>SUM(E23:M23)</f>
        <v>1</v>
      </c>
      <c r="O23" s="317"/>
      <c r="P23" s="331"/>
      <c r="Q23" s="332"/>
      <c r="R23" s="332"/>
      <c r="S23" s="332"/>
      <c r="T23" s="332"/>
      <c r="U23" s="332"/>
      <c r="V23" s="332"/>
      <c r="W23" s="332"/>
      <c r="X23" s="332"/>
      <c r="Y23" s="332"/>
      <c r="Z23" s="332"/>
      <c r="AA23" s="332"/>
      <c r="AB23" s="332"/>
      <c r="AC23" s="332"/>
      <c r="AD23" s="332"/>
      <c r="AE23" s="332"/>
      <c r="AF23" s="332"/>
      <c r="AG23" s="332"/>
      <c r="AH23" s="332"/>
      <c r="AI23" s="332"/>
      <c r="AJ23" s="332"/>
      <c r="AK23" s="332"/>
      <c r="AL23" s="332"/>
      <c r="AM23" s="332"/>
      <c r="AN23" s="332"/>
      <c r="AO23" s="332"/>
      <c r="AP23" s="332"/>
      <c r="AQ23" s="332"/>
      <c r="AR23" s="332"/>
      <c r="AS23" s="332"/>
      <c r="AT23" s="332"/>
      <c r="AU23" s="332"/>
      <c r="AV23" s="332"/>
      <c r="AW23" s="332"/>
      <c r="AX23" s="332"/>
      <c r="AY23" s="332"/>
      <c r="AZ23" s="332"/>
      <c r="BA23" s="332"/>
      <c r="BB23" s="65"/>
      <c r="BC23" s="65"/>
    </row>
    <row r="24" spans="2:55" ht="18" customHeight="1" x14ac:dyDescent="0.25">
      <c r="B24" s="314"/>
      <c r="C24" s="816"/>
      <c r="D24" s="294">
        <v>4</v>
      </c>
      <c r="E24" s="345"/>
      <c r="F24" s="346"/>
      <c r="G24" s="346"/>
      <c r="H24" s="346"/>
      <c r="I24" s="347">
        <f>I10*ProductionHoldFactor</f>
        <v>0.02</v>
      </c>
      <c r="J24" s="347">
        <f>J10*ProductionHoldFactor</f>
        <v>0.17</v>
      </c>
      <c r="K24" s="347">
        <f t="shared" si="3"/>
        <v>0.36</v>
      </c>
      <c r="L24" s="347">
        <f t="shared" si="1"/>
        <v>0.45</v>
      </c>
      <c r="M24" s="347">
        <f t="shared" si="2"/>
        <v>0</v>
      </c>
      <c r="N24" s="330">
        <f t="shared" si="4"/>
        <v>1</v>
      </c>
      <c r="O24" s="317"/>
      <c r="P24" s="65"/>
      <c r="Q24" s="333"/>
      <c r="R24" s="333"/>
      <c r="S24" s="333"/>
      <c r="T24" s="333"/>
      <c r="U24" s="333"/>
      <c r="V24" s="333"/>
      <c r="W24" s="333"/>
      <c r="X24" s="333"/>
      <c r="Y24" s="333"/>
      <c r="Z24" s="333"/>
      <c r="AA24" s="333"/>
      <c r="AB24" s="333"/>
      <c r="AC24" s="333"/>
      <c r="AD24" s="333"/>
      <c r="AE24" s="333"/>
      <c r="AF24" s="333"/>
      <c r="AG24" s="333"/>
      <c r="AH24" s="333"/>
      <c r="AI24" s="333"/>
      <c r="AJ24" s="333"/>
      <c r="AK24" s="333"/>
      <c r="AL24" s="333"/>
      <c r="AM24" s="333"/>
      <c r="AN24" s="333"/>
      <c r="AO24" s="333"/>
      <c r="AP24" s="333"/>
      <c r="AQ24" s="333"/>
      <c r="AR24" s="333"/>
      <c r="AS24" s="333"/>
      <c r="AT24" s="333"/>
      <c r="AU24" s="333"/>
      <c r="AV24" s="333"/>
      <c r="AW24" s="333"/>
      <c r="AX24" s="333"/>
      <c r="AY24" s="333"/>
      <c r="AZ24" s="333"/>
      <c r="BA24" s="333"/>
      <c r="BB24" s="65"/>
      <c r="BC24" s="65"/>
    </row>
    <row r="25" spans="2:55" ht="18" customHeight="1" x14ac:dyDescent="0.25">
      <c r="B25" s="314"/>
      <c r="C25" s="816"/>
      <c r="D25" s="294">
        <v>5</v>
      </c>
      <c r="E25" s="345"/>
      <c r="F25" s="346"/>
      <c r="G25" s="346"/>
      <c r="H25" s="347">
        <f t="shared" ref="H25:I28" si="6">H11*ProductionHoldFactor</f>
        <v>0</v>
      </c>
      <c r="I25" s="347">
        <f t="shared" si="6"/>
        <v>0.02</v>
      </c>
      <c r="J25" s="347">
        <f t="shared" si="5"/>
        <v>0.17</v>
      </c>
      <c r="K25" s="347">
        <f t="shared" si="3"/>
        <v>0.36</v>
      </c>
      <c r="L25" s="347">
        <f t="shared" si="1"/>
        <v>0.45</v>
      </c>
      <c r="M25" s="347">
        <f t="shared" si="2"/>
        <v>0</v>
      </c>
      <c r="N25" s="330">
        <f t="shared" si="4"/>
        <v>1</v>
      </c>
      <c r="O25" s="317"/>
      <c r="P25" s="331"/>
      <c r="Q25" s="332"/>
      <c r="R25" s="332"/>
      <c r="S25" s="332"/>
      <c r="T25" s="332"/>
      <c r="U25" s="332"/>
      <c r="V25" s="332"/>
      <c r="W25" s="332"/>
      <c r="X25" s="332"/>
      <c r="Y25" s="332"/>
      <c r="Z25" s="332"/>
      <c r="AA25" s="332"/>
      <c r="AB25" s="332"/>
      <c r="AC25" s="332"/>
      <c r="AD25" s="332"/>
      <c r="AE25" s="332"/>
      <c r="AF25" s="332"/>
      <c r="AG25" s="332"/>
      <c r="AH25" s="332"/>
      <c r="AI25" s="332"/>
      <c r="AJ25" s="332"/>
      <c r="AK25" s="332"/>
      <c r="AL25" s="332"/>
      <c r="AM25" s="332"/>
      <c r="AN25" s="332"/>
      <c r="AO25" s="332"/>
      <c r="AP25" s="332"/>
      <c r="AQ25" s="332"/>
      <c r="AR25" s="332"/>
      <c r="AS25" s="332"/>
      <c r="AT25" s="332"/>
      <c r="AU25" s="332"/>
      <c r="AV25" s="332"/>
      <c r="AW25" s="332"/>
      <c r="AX25" s="332"/>
      <c r="AY25" s="332"/>
      <c r="AZ25" s="332"/>
      <c r="BA25" s="332"/>
      <c r="BB25" s="65"/>
      <c r="BC25" s="65"/>
    </row>
    <row r="26" spans="2:55" ht="18" customHeight="1" x14ac:dyDescent="0.25">
      <c r="B26" s="314"/>
      <c r="C26" s="816"/>
      <c r="D26" s="294">
        <v>6</v>
      </c>
      <c r="E26" s="345"/>
      <c r="F26" s="346"/>
      <c r="G26" s="347">
        <f>G12*ProductionHoldFactor</f>
        <v>0</v>
      </c>
      <c r="H26" s="347">
        <f t="shared" si="6"/>
        <v>0</v>
      </c>
      <c r="I26" s="347">
        <f t="shared" si="6"/>
        <v>0.02</v>
      </c>
      <c r="J26" s="347">
        <f t="shared" si="5"/>
        <v>0.17</v>
      </c>
      <c r="K26" s="347">
        <f t="shared" si="3"/>
        <v>0.36</v>
      </c>
      <c r="L26" s="347">
        <f t="shared" si="1"/>
        <v>0.45</v>
      </c>
      <c r="M26" s="347">
        <f t="shared" si="2"/>
        <v>0</v>
      </c>
      <c r="N26" s="330">
        <f t="shared" si="4"/>
        <v>1</v>
      </c>
      <c r="O26" s="317"/>
      <c r="P26" s="65"/>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333"/>
      <c r="AU26" s="333"/>
      <c r="AV26" s="333"/>
      <c r="AW26" s="333"/>
      <c r="AX26" s="333"/>
      <c r="AY26" s="333"/>
      <c r="AZ26" s="333"/>
      <c r="BA26" s="333"/>
      <c r="BB26" s="65"/>
      <c r="BC26" s="65"/>
    </row>
    <row r="27" spans="2:55" ht="18" customHeight="1" x14ac:dyDescent="0.25">
      <c r="B27" s="314"/>
      <c r="C27" s="816"/>
      <c r="D27" s="294">
        <v>7</v>
      </c>
      <c r="E27" s="345"/>
      <c r="F27" s="347">
        <f>F13*ProductionHoldFactor</f>
        <v>0</v>
      </c>
      <c r="G27" s="347">
        <f>G13*ProductionHoldFactor</f>
        <v>0</v>
      </c>
      <c r="H27" s="347">
        <f t="shared" si="6"/>
        <v>0</v>
      </c>
      <c r="I27" s="347">
        <f t="shared" si="6"/>
        <v>0.02</v>
      </c>
      <c r="J27" s="347">
        <f t="shared" si="5"/>
        <v>0.17</v>
      </c>
      <c r="K27" s="347">
        <f t="shared" si="3"/>
        <v>0.36</v>
      </c>
      <c r="L27" s="347">
        <f t="shared" si="1"/>
        <v>0.45</v>
      </c>
      <c r="M27" s="347">
        <f t="shared" si="2"/>
        <v>0</v>
      </c>
      <c r="N27" s="330">
        <f t="shared" si="4"/>
        <v>1</v>
      </c>
      <c r="O27" s="317"/>
      <c r="P27" s="65"/>
      <c r="Q27" s="333"/>
      <c r="R27" s="333"/>
      <c r="S27" s="333"/>
      <c r="T27" s="333"/>
      <c r="U27" s="333"/>
      <c r="V27" s="333"/>
      <c r="W27" s="333"/>
      <c r="X27" s="333"/>
      <c r="Y27" s="333"/>
      <c r="Z27" s="333"/>
      <c r="AA27" s="333"/>
      <c r="AB27" s="333"/>
      <c r="AC27" s="333"/>
      <c r="AD27" s="333"/>
      <c r="AE27" s="333"/>
      <c r="AF27" s="333"/>
      <c r="AG27" s="333"/>
      <c r="AH27" s="333"/>
      <c r="AI27" s="333"/>
      <c r="AJ27" s="333"/>
      <c r="AK27" s="333"/>
      <c r="AL27" s="333"/>
      <c r="AM27" s="333"/>
      <c r="AN27" s="333"/>
      <c r="AO27" s="333"/>
      <c r="AP27" s="333"/>
      <c r="AQ27" s="333"/>
      <c r="AR27" s="333"/>
      <c r="AS27" s="333"/>
      <c r="AT27" s="333"/>
      <c r="AU27" s="333"/>
      <c r="AV27" s="333"/>
      <c r="AW27" s="333"/>
      <c r="AX27" s="333"/>
      <c r="AY27" s="333"/>
      <c r="AZ27" s="333"/>
      <c r="BA27" s="333"/>
      <c r="BB27" s="65"/>
      <c r="BC27" s="65"/>
    </row>
    <row r="28" spans="2:55" ht="18" customHeight="1" x14ac:dyDescent="0.25">
      <c r="B28" s="314"/>
      <c r="C28" s="816"/>
      <c r="D28" s="294">
        <v>8</v>
      </c>
      <c r="E28" s="348">
        <f>E14*ProductionHoldFactor</f>
        <v>0</v>
      </c>
      <c r="F28" s="349">
        <f>F14*ProductionHoldFactor</f>
        <v>0</v>
      </c>
      <c r="G28" s="349">
        <f>G14*ProductionHoldFactor</f>
        <v>0</v>
      </c>
      <c r="H28" s="349">
        <f t="shared" si="6"/>
        <v>0</v>
      </c>
      <c r="I28" s="349">
        <f t="shared" si="6"/>
        <v>0.02</v>
      </c>
      <c r="J28" s="349">
        <f t="shared" si="5"/>
        <v>0.17</v>
      </c>
      <c r="K28" s="349">
        <f t="shared" si="3"/>
        <v>0.36</v>
      </c>
      <c r="L28" s="349">
        <f t="shared" si="1"/>
        <v>0.45</v>
      </c>
      <c r="M28" s="349">
        <f t="shared" si="2"/>
        <v>0</v>
      </c>
      <c r="N28" s="337">
        <f t="shared" si="4"/>
        <v>1</v>
      </c>
      <c r="O28" s="317"/>
      <c r="P28" s="65"/>
      <c r="Q28" s="333"/>
      <c r="R28" s="333"/>
      <c r="S28" s="333"/>
      <c r="T28" s="333"/>
      <c r="U28" s="333"/>
      <c r="V28" s="333"/>
      <c r="W28" s="333"/>
      <c r="X28" s="333"/>
      <c r="Y28" s="333"/>
      <c r="Z28" s="333"/>
      <c r="AA28" s="333"/>
      <c r="AB28" s="333"/>
      <c r="AC28" s="333"/>
      <c r="AD28" s="333"/>
      <c r="AE28" s="333"/>
      <c r="AF28" s="333"/>
      <c r="AG28" s="333"/>
      <c r="AH28" s="333"/>
      <c r="AI28" s="333"/>
      <c r="AJ28" s="333"/>
      <c r="AK28" s="333"/>
      <c r="AL28" s="333"/>
      <c r="AM28" s="333"/>
      <c r="AN28" s="333"/>
      <c r="AO28" s="333"/>
      <c r="AP28" s="333"/>
      <c r="AQ28" s="333"/>
      <c r="AR28" s="333"/>
      <c r="AS28" s="333"/>
      <c r="AT28" s="333"/>
      <c r="AU28" s="333"/>
      <c r="AV28" s="333"/>
      <c r="AW28" s="333"/>
      <c r="AX28" s="333"/>
      <c r="AY28" s="333"/>
      <c r="AZ28" s="333"/>
      <c r="BA28" s="333"/>
      <c r="BB28" s="65"/>
      <c r="BC28" s="65"/>
    </row>
    <row r="29" spans="2:55" ht="18" customHeight="1" thickBot="1" x14ac:dyDescent="0.3">
      <c r="B29" s="350"/>
      <c r="C29" s="351"/>
      <c r="D29" s="351"/>
      <c r="E29" s="351"/>
      <c r="F29" s="351"/>
      <c r="G29" s="351"/>
      <c r="H29" s="351"/>
      <c r="I29" s="351"/>
      <c r="J29" s="351"/>
      <c r="K29" s="351"/>
      <c r="L29" s="351"/>
      <c r="M29" s="351"/>
      <c r="N29" s="351"/>
      <c r="O29" s="352"/>
    </row>
    <row r="30" spans="2:55" ht="18" customHeight="1" thickBot="1" x14ac:dyDescent="0.3"/>
    <row r="31" spans="2:55" ht="18" customHeight="1" x14ac:dyDescent="0.25">
      <c r="B31" s="311"/>
      <c r="C31" s="312"/>
      <c r="D31" s="312"/>
      <c r="E31" s="312"/>
      <c r="F31" s="312"/>
      <c r="G31" s="312"/>
      <c r="H31" s="312"/>
      <c r="I31" s="312"/>
      <c r="J31" s="312"/>
      <c r="K31" s="312"/>
      <c r="L31" s="312"/>
      <c r="M31" s="312"/>
      <c r="N31" s="312"/>
      <c r="O31" s="313"/>
    </row>
    <row r="32" spans="2:55" ht="18" customHeight="1" x14ac:dyDescent="0.25">
      <c r="B32" s="314"/>
      <c r="C32" s="315"/>
      <c r="D32" s="315"/>
      <c r="E32" s="316" t="s">
        <v>136</v>
      </c>
      <c r="F32" s="316"/>
      <c r="G32" s="316"/>
      <c r="H32" s="316"/>
      <c r="I32" s="316"/>
      <c r="J32" s="316"/>
      <c r="K32" s="316"/>
      <c r="L32" s="316"/>
      <c r="M32" s="316"/>
      <c r="N32" s="353"/>
      <c r="O32" s="317"/>
    </row>
    <row r="33" spans="2:54" s="357" customFormat="1" ht="18" customHeight="1" x14ac:dyDescent="0.25">
      <c r="B33" s="354"/>
      <c r="C33" s="338"/>
      <c r="D33" s="338"/>
      <c r="E33" s="294" t="str">
        <f t="shared" ref="E33:M33" si="7">IF(E34=Announcement_Year,"Ancmt Yr",
IF(E34=Reference_Year,"Ref Yr",
IF(E34=Standard_Year,"Std Yr",
IF(E34=Terminal_Year,"Term Yr",
" "))))</f>
        <v xml:space="preserve"> </v>
      </c>
      <c r="F33" s="294" t="str">
        <f t="shared" si="7"/>
        <v xml:space="preserve"> </v>
      </c>
      <c r="G33" s="294" t="str">
        <f t="shared" si="7"/>
        <v xml:space="preserve"> </v>
      </c>
      <c r="H33" s="294" t="str">
        <f t="shared" si="7"/>
        <v xml:space="preserve"> </v>
      </c>
      <c r="I33" s="294" t="str">
        <f t="shared" si="7"/>
        <v xml:space="preserve"> </v>
      </c>
      <c r="J33" s="294" t="str">
        <f t="shared" si="7"/>
        <v>Ancmt Yr</v>
      </c>
      <c r="K33" s="294" t="str">
        <f t="shared" si="7"/>
        <v xml:space="preserve"> </v>
      </c>
      <c r="L33" s="294" t="str">
        <f t="shared" si="7"/>
        <v xml:space="preserve"> </v>
      </c>
      <c r="M33" s="294" t="str">
        <f t="shared" si="7"/>
        <v>Std Yr</v>
      </c>
      <c r="N33" s="294"/>
      <c r="O33" s="355"/>
      <c r="P33" s="356"/>
      <c r="Q33" s="356"/>
      <c r="R33" s="356"/>
      <c r="S33" s="356"/>
      <c r="T33" s="356"/>
      <c r="U33" s="356"/>
      <c r="V33" s="356"/>
      <c r="W33" s="356"/>
      <c r="X33" s="356"/>
      <c r="Y33" s="356"/>
      <c r="Z33" s="356"/>
      <c r="AA33" s="356"/>
      <c r="AB33" s="356"/>
      <c r="AC33" s="356"/>
      <c r="AD33" s="356"/>
      <c r="AE33" s="356"/>
      <c r="AF33" s="356"/>
      <c r="AG33" s="356"/>
      <c r="AH33" s="356"/>
      <c r="AI33" s="356"/>
      <c r="AJ33" s="356"/>
      <c r="AK33" s="356"/>
      <c r="AL33" s="356"/>
      <c r="AM33" s="356"/>
      <c r="AN33" s="356"/>
      <c r="AO33" s="356"/>
      <c r="AP33" s="356"/>
      <c r="AQ33" s="333"/>
      <c r="AR33" s="333"/>
      <c r="AS33" s="333"/>
      <c r="AT33" s="333"/>
      <c r="AU33" s="333"/>
      <c r="AV33" s="333"/>
      <c r="AW33" s="333"/>
      <c r="AX33" s="333"/>
      <c r="AY33" s="333"/>
      <c r="AZ33" s="333"/>
      <c r="BA33" s="333"/>
      <c r="BB33" s="333"/>
    </row>
    <row r="34" spans="2:54" s="357" customFormat="1" ht="18" customHeight="1" thickBot="1" x14ac:dyDescent="0.3">
      <c r="B34" s="354"/>
      <c r="C34" s="338"/>
      <c r="D34" s="338"/>
      <c r="E34" s="338">
        <f>Standard_Year-8</f>
        <v>2018</v>
      </c>
      <c r="F34" s="338">
        <f>Standard_Year-7</f>
        <v>2019</v>
      </c>
      <c r="G34" s="338">
        <f>Standard_Year-6</f>
        <v>2020</v>
      </c>
      <c r="H34" s="338">
        <f>Standard_Year-5</f>
        <v>2021</v>
      </c>
      <c r="I34" s="338">
        <f>Standard_Year-4</f>
        <v>2022</v>
      </c>
      <c r="J34" s="338">
        <f>Standard_Year-3</f>
        <v>2023</v>
      </c>
      <c r="K34" s="338">
        <f>Standard_Year-2</f>
        <v>2024</v>
      </c>
      <c r="L34" s="338">
        <f>Standard_Year-1</f>
        <v>2025</v>
      </c>
      <c r="M34" s="338">
        <f>Standard_Year</f>
        <v>2026</v>
      </c>
      <c r="N34" s="338"/>
      <c r="O34" s="358"/>
      <c r="P34" s="333"/>
      <c r="Q34" s="333"/>
      <c r="R34" s="333"/>
      <c r="S34" s="333"/>
      <c r="T34" s="333"/>
      <c r="U34" s="333"/>
      <c r="V34" s="333"/>
      <c r="W34" s="333"/>
      <c r="X34" s="333"/>
      <c r="Y34" s="333"/>
      <c r="Z34" s="333"/>
      <c r="AA34" s="333"/>
      <c r="AB34" s="333"/>
      <c r="AC34" s="333"/>
      <c r="AD34" s="333"/>
      <c r="AE34" s="333"/>
      <c r="AF34" s="333"/>
      <c r="AG34" s="333"/>
      <c r="AH34" s="333"/>
      <c r="AI34" s="333"/>
      <c r="AJ34" s="333"/>
      <c r="AK34" s="333"/>
      <c r="AL34" s="333"/>
      <c r="AM34" s="333"/>
      <c r="AN34" s="333"/>
      <c r="AO34" s="333"/>
      <c r="AP34" s="333"/>
      <c r="AQ34" s="333"/>
      <c r="AR34" s="333"/>
      <c r="AS34" s="333"/>
      <c r="AT34" s="333"/>
      <c r="AU34" s="333"/>
      <c r="AV34" s="333"/>
      <c r="AW34" s="333"/>
      <c r="AX34" s="333"/>
      <c r="AY34" s="333"/>
      <c r="AZ34" s="333"/>
      <c r="BA34" s="333"/>
      <c r="BB34" s="333"/>
    </row>
    <row r="35" spans="2:54" s="357" customFormat="1" ht="18" customHeight="1" thickBot="1" x14ac:dyDescent="0.3">
      <c r="B35" s="354"/>
      <c r="C35" s="338"/>
      <c r="D35" s="301" t="str">
        <f>TSL_X</f>
        <v>TSL 1</v>
      </c>
      <c r="E35" s="543">
        <f ca="1">CapitalConversionCosts*OFFSET(E6,(Standard_Year-Announcement_Year),0)</f>
        <v>0</v>
      </c>
      <c r="F35" s="544">
        <f t="shared" ref="F35:M35" ca="1" si="8">CapitalConversionCosts*OFFSET(F6,(Standard_Year-Announcement_Year),0)</f>
        <v>0</v>
      </c>
      <c r="G35" s="544">
        <f t="shared" ca="1" si="8"/>
        <v>0</v>
      </c>
      <c r="H35" s="544">
        <f t="shared" ca="1" si="8"/>
        <v>0</v>
      </c>
      <c r="I35" s="544">
        <f t="shared" ca="1" si="8"/>
        <v>0</v>
      </c>
      <c r="J35" s="544">
        <f t="shared" ca="1" si="8"/>
        <v>4.0884764783214669</v>
      </c>
      <c r="K35" s="544">
        <f t="shared" ca="1" si="8"/>
        <v>7.1548338370625659</v>
      </c>
      <c r="L35" s="544">
        <f t="shared" ca="1" si="8"/>
        <v>9.1990720762232989</v>
      </c>
      <c r="M35" s="545">
        <f t="shared" ca="1" si="8"/>
        <v>0</v>
      </c>
      <c r="N35" s="338"/>
      <c r="O35" s="358"/>
      <c r="P35" s="333"/>
      <c r="Q35" s="333"/>
      <c r="R35" s="333"/>
      <c r="S35" s="333"/>
      <c r="T35" s="333"/>
      <c r="U35" s="333"/>
      <c r="V35" s="333"/>
      <c r="W35" s="333"/>
      <c r="X35" s="333"/>
      <c r="Y35" s="333"/>
      <c r="Z35" s="333"/>
      <c r="AA35" s="333"/>
      <c r="AB35" s="333"/>
      <c r="AC35" s="333"/>
      <c r="AD35" s="333"/>
      <c r="AE35" s="333"/>
      <c r="AF35" s="333"/>
      <c r="AG35" s="333"/>
      <c r="AH35" s="333"/>
      <c r="AI35" s="333"/>
      <c r="AJ35" s="333"/>
      <c r="AK35" s="333"/>
      <c r="AL35" s="333"/>
      <c r="AM35" s="333"/>
      <c r="AN35" s="333"/>
      <c r="AO35" s="333"/>
      <c r="AP35" s="333"/>
      <c r="AQ35" s="333"/>
      <c r="AR35" s="333"/>
      <c r="AS35" s="333"/>
      <c r="AT35" s="333"/>
      <c r="AU35" s="333"/>
      <c r="AV35" s="333"/>
      <c r="AW35" s="333"/>
      <c r="AX35" s="333"/>
      <c r="AY35" s="333"/>
      <c r="AZ35" s="333"/>
      <c r="BA35" s="333"/>
      <c r="BB35" s="333"/>
    </row>
    <row r="36" spans="2:54" ht="18" customHeight="1" x14ac:dyDescent="0.25">
      <c r="B36" s="314"/>
      <c r="C36" s="315"/>
      <c r="D36" s="315"/>
      <c r="E36" s="315"/>
      <c r="F36" s="315"/>
      <c r="G36" s="315"/>
      <c r="H36" s="315"/>
      <c r="I36" s="315"/>
      <c r="J36" s="315"/>
      <c r="K36" s="315"/>
      <c r="L36" s="315"/>
      <c r="M36" s="315"/>
      <c r="N36" s="315"/>
      <c r="O36" s="317"/>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c r="AQ36" s="65"/>
      <c r="AR36" s="65"/>
      <c r="AS36" s="65"/>
      <c r="AT36" s="65"/>
      <c r="AU36" s="65"/>
      <c r="AV36" s="65"/>
      <c r="AW36" s="65"/>
      <c r="AX36" s="65"/>
      <c r="AY36" s="65"/>
      <c r="AZ36" s="65"/>
      <c r="BA36" s="65"/>
      <c r="BB36" s="65"/>
    </row>
    <row r="37" spans="2:54" ht="18" customHeight="1" x14ac:dyDescent="0.25">
      <c r="B37" s="314"/>
      <c r="C37" s="315"/>
      <c r="D37" s="315"/>
      <c r="E37" s="315"/>
      <c r="F37" s="315"/>
      <c r="G37" s="315"/>
      <c r="H37" s="315"/>
      <c r="I37" s="315"/>
      <c r="J37" s="315"/>
      <c r="K37" s="315"/>
      <c r="L37" s="315"/>
      <c r="M37" s="315"/>
      <c r="N37" s="315"/>
      <c r="O37" s="317"/>
    </row>
    <row r="38" spans="2:54" ht="18" customHeight="1" x14ac:dyDescent="0.25">
      <c r="B38" s="314"/>
      <c r="C38" s="315"/>
      <c r="D38" s="315"/>
      <c r="E38" s="316" t="s">
        <v>135</v>
      </c>
      <c r="F38" s="316"/>
      <c r="G38" s="316"/>
      <c r="H38" s="316"/>
      <c r="I38" s="316"/>
      <c r="J38" s="316"/>
      <c r="K38" s="316"/>
      <c r="L38" s="316"/>
      <c r="M38" s="316"/>
      <c r="N38" s="353"/>
      <c r="O38" s="317"/>
    </row>
    <row r="39" spans="2:54" s="357" customFormat="1" ht="18" customHeight="1" x14ac:dyDescent="0.25">
      <c r="B39" s="354"/>
      <c r="C39" s="338"/>
      <c r="D39" s="338"/>
      <c r="E39" s="294" t="str">
        <f t="shared" ref="E39:M39" si="9">IF(E40=Announcement_Year,"Ancmt Yr",
IF(E40=Reference_Year,"Ref Yr",
IF(E40=Standard_Year,"Std Yr",
IF(E40=Terminal_Year,"Term Yr",
" "))))</f>
        <v xml:space="preserve"> </v>
      </c>
      <c r="F39" s="294" t="str">
        <f t="shared" si="9"/>
        <v xml:space="preserve"> </v>
      </c>
      <c r="G39" s="294" t="str">
        <f t="shared" si="9"/>
        <v xml:space="preserve"> </v>
      </c>
      <c r="H39" s="294" t="str">
        <f t="shared" si="9"/>
        <v xml:space="preserve"> </v>
      </c>
      <c r="I39" s="294" t="str">
        <f t="shared" si="9"/>
        <v xml:space="preserve"> </v>
      </c>
      <c r="J39" s="294" t="str">
        <f t="shared" si="9"/>
        <v>Ancmt Yr</v>
      </c>
      <c r="K39" s="294" t="str">
        <f t="shared" si="9"/>
        <v xml:space="preserve"> </v>
      </c>
      <c r="L39" s="294" t="str">
        <f t="shared" si="9"/>
        <v xml:space="preserve"> </v>
      </c>
      <c r="M39" s="294" t="str">
        <f t="shared" si="9"/>
        <v>Std Yr</v>
      </c>
      <c r="N39" s="294"/>
      <c r="O39" s="355"/>
      <c r="P39" s="356"/>
      <c r="Q39" s="356"/>
      <c r="R39" s="356"/>
      <c r="S39" s="356"/>
      <c r="T39" s="356"/>
      <c r="U39" s="356"/>
      <c r="V39" s="356"/>
      <c r="W39" s="356"/>
      <c r="X39" s="356"/>
      <c r="Y39" s="356"/>
      <c r="Z39" s="356"/>
      <c r="AA39" s="356"/>
      <c r="AB39" s="356"/>
      <c r="AC39" s="356"/>
      <c r="AD39" s="356"/>
      <c r="AE39" s="356"/>
      <c r="AF39" s="356"/>
      <c r="AG39" s="356"/>
      <c r="AH39" s="356"/>
      <c r="AI39" s="356"/>
      <c r="AJ39" s="356"/>
      <c r="AK39" s="356"/>
      <c r="AL39" s="356"/>
      <c r="AM39" s="356"/>
      <c r="AN39" s="356"/>
      <c r="AO39" s="356"/>
      <c r="AP39" s="356"/>
      <c r="AQ39" s="333"/>
      <c r="AR39" s="333"/>
      <c r="AS39" s="333"/>
      <c r="AT39" s="333"/>
      <c r="AU39" s="333"/>
      <c r="AV39" s="333"/>
      <c r="AW39" s="333"/>
      <c r="AX39" s="333"/>
      <c r="AY39" s="333"/>
      <c r="AZ39" s="333"/>
      <c r="BA39" s="333"/>
      <c r="BB39" s="333"/>
    </row>
    <row r="40" spans="2:54" s="357" customFormat="1" ht="18" customHeight="1" thickBot="1" x14ac:dyDescent="0.3">
      <c r="B40" s="354"/>
      <c r="C40" s="338"/>
      <c r="D40" s="338"/>
      <c r="E40" s="338">
        <f>Standard_Year-8</f>
        <v>2018</v>
      </c>
      <c r="F40" s="338">
        <f>Standard_Year-7</f>
        <v>2019</v>
      </c>
      <c r="G40" s="338">
        <f>Standard_Year-6</f>
        <v>2020</v>
      </c>
      <c r="H40" s="338">
        <f>Standard_Year-5</f>
        <v>2021</v>
      </c>
      <c r="I40" s="338">
        <f>Standard_Year-4</f>
        <v>2022</v>
      </c>
      <c r="J40" s="338">
        <f>Standard_Year-3</f>
        <v>2023</v>
      </c>
      <c r="K40" s="338">
        <f>Standard_Year-2</f>
        <v>2024</v>
      </c>
      <c r="L40" s="338">
        <f>Standard_Year-1</f>
        <v>2025</v>
      </c>
      <c r="M40" s="338">
        <f>Standard_Year</f>
        <v>2026</v>
      </c>
      <c r="N40" s="338"/>
      <c r="O40" s="358"/>
      <c r="P40" s="333"/>
      <c r="Q40" s="333"/>
      <c r="R40" s="333"/>
      <c r="S40" s="333"/>
      <c r="T40" s="333"/>
      <c r="U40" s="333"/>
      <c r="V40" s="333"/>
      <c r="W40" s="333"/>
      <c r="X40" s="333"/>
      <c r="Y40" s="333"/>
      <c r="Z40" s="333"/>
      <c r="AA40" s="333"/>
      <c r="AB40" s="333"/>
      <c r="AC40" s="333"/>
      <c r="AD40" s="333"/>
      <c r="AE40" s="333"/>
      <c r="AF40" s="333"/>
      <c r="AG40" s="333"/>
      <c r="AH40" s="333"/>
      <c r="AI40" s="333"/>
      <c r="AJ40" s="333"/>
      <c r="AK40" s="333"/>
      <c r="AL40" s="333"/>
      <c r="AM40" s="333"/>
      <c r="AN40" s="333"/>
      <c r="AO40" s="333"/>
      <c r="AP40" s="333"/>
      <c r="AQ40" s="333"/>
      <c r="AR40" s="333"/>
      <c r="AS40" s="333"/>
      <c r="AT40" s="333"/>
      <c r="AU40" s="333"/>
      <c r="AV40" s="333"/>
      <c r="AW40" s="333"/>
      <c r="AX40" s="333"/>
      <c r="AY40" s="333"/>
      <c r="AZ40" s="333"/>
      <c r="BA40" s="333"/>
      <c r="BB40" s="333"/>
    </row>
    <row r="41" spans="2:54" s="357" customFormat="1" ht="18" customHeight="1" thickBot="1" x14ac:dyDescent="0.3">
      <c r="B41" s="354"/>
      <c r="C41" s="338"/>
      <c r="D41" s="301" t="str">
        <f>TSL_X</f>
        <v>TSL 1</v>
      </c>
      <c r="E41" s="543">
        <f t="shared" ref="E41:M41" ca="1" si="10">ProductConversionCosts*OFFSET(E20,(Standard_Year-Announcement_Year),0)</f>
        <v>0</v>
      </c>
      <c r="F41" s="544">
        <f t="shared" ca="1" si="10"/>
        <v>0</v>
      </c>
      <c r="G41" s="544">
        <f t="shared" ca="1" si="10"/>
        <v>0</v>
      </c>
      <c r="H41" s="544">
        <f t="shared" ca="1" si="10"/>
        <v>0</v>
      </c>
      <c r="I41" s="544">
        <f t="shared" ca="1" si="10"/>
        <v>0</v>
      </c>
      <c r="J41" s="544">
        <f t="shared" ca="1" si="10"/>
        <v>1.2086673045331597</v>
      </c>
      <c r="K41" s="544">
        <f t="shared" ca="1" si="10"/>
        <v>2.1151677829330291</v>
      </c>
      <c r="L41" s="544">
        <f t="shared" ca="1" si="10"/>
        <v>2.719501435199609</v>
      </c>
      <c r="M41" s="545">
        <f t="shared" ca="1" si="10"/>
        <v>0</v>
      </c>
      <c r="N41" s="338"/>
      <c r="O41" s="358"/>
      <c r="P41" s="333"/>
      <c r="Q41" s="333"/>
      <c r="R41" s="333"/>
      <c r="S41" s="333"/>
      <c r="T41" s="333"/>
      <c r="U41" s="333"/>
      <c r="V41" s="333"/>
      <c r="W41" s="333"/>
      <c r="X41" s="333"/>
      <c r="Y41" s="333"/>
      <c r="Z41" s="333"/>
      <c r="AA41" s="333"/>
      <c r="AB41" s="333"/>
      <c r="AC41" s="333"/>
      <c r="AD41" s="333"/>
      <c r="AE41" s="333"/>
      <c r="AF41" s="333"/>
      <c r="AG41" s="333"/>
      <c r="AH41" s="333"/>
      <c r="AI41" s="333"/>
      <c r="AJ41" s="333"/>
      <c r="AK41" s="333"/>
      <c r="AL41" s="333"/>
      <c r="AM41" s="333"/>
      <c r="AN41" s="333"/>
      <c r="AO41" s="333"/>
      <c r="AP41" s="333"/>
      <c r="AQ41" s="333"/>
      <c r="AR41" s="333"/>
      <c r="AS41" s="333"/>
      <c r="AT41" s="333"/>
      <c r="AU41" s="333"/>
      <c r="AV41" s="333"/>
      <c r="AW41" s="333"/>
      <c r="AX41" s="333"/>
      <c r="AY41" s="333"/>
      <c r="AZ41" s="333"/>
      <c r="BA41" s="333"/>
      <c r="BB41" s="333"/>
    </row>
    <row r="42" spans="2:54" ht="18" customHeight="1" thickBot="1" x14ac:dyDescent="0.3">
      <c r="B42" s="350"/>
      <c r="C42" s="351"/>
      <c r="D42" s="351"/>
      <c r="E42" s="351"/>
      <c r="F42" s="351"/>
      <c r="G42" s="351"/>
      <c r="H42" s="351"/>
      <c r="I42" s="351"/>
      <c r="J42" s="351"/>
      <c r="K42" s="351"/>
      <c r="L42" s="351"/>
      <c r="M42" s="351"/>
      <c r="N42" s="351"/>
      <c r="O42" s="352"/>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row>
    <row r="43" spans="2:54" ht="18" customHeight="1" x14ac:dyDescent="0.25"/>
  </sheetData>
  <sheetProtection algorithmName="SHA-512" hashValue="sgrwVsp2nOifcmWyz2ZDf2iSR7klLCIFcP6h9xeKQIbnGJW+z9F/oUVurd8U2AAmLTa8vyr3wK0+rDIfUWTWDg==" saltValue="h3Mzk2ZLwC4hRQQ5pEgYFA==" spinCount="100000" sheet="1" objects="1" scenarios="1"/>
  <mergeCells count="3">
    <mergeCell ref="M2:N2"/>
    <mergeCell ref="C7:C14"/>
    <mergeCell ref="C21:C28"/>
  </mergeCells>
  <hyperlinks>
    <hyperlink ref="M2:N2" location="Navigation!A1" display="Navigation" xr:uid="{00000000-0004-0000-0E00-000000000000}"/>
  </hyperlink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tabColor theme="8" tint="-0.499984740745262"/>
  </sheetPr>
  <dimension ref="A1:CN38"/>
  <sheetViews>
    <sheetView zoomScale="70" zoomScaleNormal="70" workbookViewId="0"/>
  </sheetViews>
  <sheetFormatPr defaultColWidth="9.453125" defaultRowHeight="15.5" x14ac:dyDescent="0.35"/>
  <cols>
    <col min="1" max="2" width="3.54296875" style="50" customWidth="1"/>
    <col min="3" max="3" width="27" style="50" customWidth="1"/>
    <col min="4" max="4" width="3.54296875" style="50" customWidth="1"/>
    <col min="5" max="6" width="28.453125" style="50" customWidth="1"/>
    <col min="7" max="7" width="3.54296875" style="50" customWidth="1"/>
    <col min="8" max="12" width="15.54296875" style="50" customWidth="1"/>
    <col min="13" max="13" width="3.54296875" style="50" customWidth="1"/>
    <col min="14" max="18" width="15.54296875" style="50" customWidth="1"/>
    <col min="19" max="19" width="5.81640625" style="50" customWidth="1"/>
    <col min="20" max="20" width="3.81640625" style="50" customWidth="1"/>
    <col min="21" max="21" width="9.453125" style="50" customWidth="1"/>
    <col min="22" max="22" width="14.1796875" style="50" customWidth="1"/>
    <col min="23" max="23" width="19" style="50" customWidth="1"/>
    <col min="24" max="24" width="40.1796875" style="50" customWidth="1"/>
    <col min="25" max="226" width="9.453125" style="50" customWidth="1"/>
    <col min="227" max="16384" width="9.453125" style="50"/>
  </cols>
  <sheetData>
    <row r="1" spans="1:92" ht="16" thickBot="1" x14ac:dyDescent="0.4">
      <c r="U1" s="817" t="s">
        <v>347</v>
      </c>
      <c r="V1" s="818"/>
      <c r="W1" s="818"/>
      <c r="X1" s="818"/>
      <c r="Y1" s="819"/>
    </row>
    <row r="2" spans="1:92" s="254" customFormat="1" ht="52" customHeight="1" thickTop="1" thickBot="1" x14ac:dyDescent="0.4">
      <c r="A2" s="50"/>
      <c r="B2" s="50"/>
      <c r="C2" s="253" t="s">
        <v>169</v>
      </c>
      <c r="D2" s="50"/>
      <c r="E2" s="10" t="s">
        <v>159</v>
      </c>
      <c r="F2" s="50"/>
      <c r="G2" s="50"/>
      <c r="H2" s="50"/>
      <c r="I2" s="50"/>
      <c r="J2" s="50"/>
      <c r="K2" s="50"/>
      <c r="L2" s="50"/>
      <c r="M2" s="50"/>
      <c r="N2" s="50"/>
      <c r="O2" s="50"/>
      <c r="P2" s="50"/>
      <c r="Q2" s="50"/>
      <c r="R2" s="50"/>
      <c r="S2" s="50"/>
      <c r="T2" s="50"/>
      <c r="U2" s="743"/>
      <c r="V2" s="741" t="str">
        <f>"Per Unit No-Stds Case EBIT "&amp;Standard_Year</f>
        <v>Per Unit No-Stds Case EBIT 2026</v>
      </c>
      <c r="W2" s="742" t="str">
        <f>"Per Unit Stds Case EBIT "&amp;Standard_Year</f>
        <v>Per Unit Stds Case EBIT 2026</v>
      </c>
      <c r="X2" s="741" t="s">
        <v>348</v>
      </c>
      <c r="Y2" s="744"/>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c r="BJ2" s="50"/>
      <c r="BK2" s="50"/>
      <c r="BL2" s="50"/>
      <c r="BM2" s="50"/>
      <c r="BN2" s="50"/>
      <c r="BO2" s="50"/>
      <c r="BP2" s="50"/>
      <c r="BQ2" s="50"/>
      <c r="BR2" s="50"/>
      <c r="BS2" s="50"/>
      <c r="BT2" s="50"/>
      <c r="BU2" s="50"/>
      <c r="BV2" s="50"/>
      <c r="BW2" s="50"/>
      <c r="BX2" s="50"/>
      <c r="BY2" s="50"/>
      <c r="BZ2" s="50"/>
      <c r="CA2" s="50"/>
      <c r="CB2" s="50"/>
      <c r="CC2" s="50"/>
      <c r="CD2" s="50"/>
      <c r="CE2" s="50"/>
      <c r="CF2" s="50"/>
      <c r="CG2" s="50"/>
      <c r="CH2" s="50"/>
      <c r="CI2" s="50"/>
      <c r="CJ2" s="50"/>
      <c r="CK2" s="50"/>
      <c r="CL2" s="50"/>
      <c r="CM2" s="50"/>
      <c r="CN2" s="50"/>
    </row>
    <row r="3" spans="1:92" ht="16" thickBot="1" x14ac:dyDescent="0.4">
      <c r="U3" s="745"/>
      <c r="V3" s="760">
        <f ca="1">'No STDs Case DCF'!K15</f>
        <v>9.1552274847722614</v>
      </c>
      <c r="W3" s="760">
        <f ca="1">'Standards Case DCF'!K16</f>
        <v>9.1663754624557026</v>
      </c>
      <c r="X3" s="767">
        <f ca="1">V3/W3</f>
        <v>0.99878381834465524</v>
      </c>
      <c r="Y3" s="746"/>
    </row>
    <row r="4" spans="1:92" s="254" customFormat="1" x14ac:dyDescent="0.35">
      <c r="A4" s="50"/>
      <c r="B4" s="255"/>
      <c r="C4" s="242"/>
      <c r="D4" s="242"/>
      <c r="E4" s="242"/>
      <c r="F4" s="242"/>
      <c r="G4" s="242"/>
      <c r="H4" s="242"/>
      <c r="I4" s="242"/>
      <c r="J4" s="242"/>
      <c r="K4" s="242"/>
      <c r="L4" s="242"/>
      <c r="M4" s="242"/>
      <c r="N4" s="242"/>
      <c r="O4" s="242"/>
      <c r="P4" s="242"/>
      <c r="Q4" s="242"/>
      <c r="R4" s="242"/>
      <c r="S4" s="50"/>
      <c r="T4" s="50"/>
      <c r="U4" s="311"/>
      <c r="V4" s="312"/>
      <c r="W4" s="312"/>
      <c r="X4" s="312"/>
      <c r="Y4" s="313"/>
      <c r="Z4" s="50"/>
      <c r="AA4" s="50"/>
      <c r="AB4" s="50"/>
      <c r="AC4" s="50"/>
      <c r="AD4" s="50"/>
      <c r="AE4" s="50"/>
      <c r="AF4" s="50"/>
      <c r="AG4" s="50"/>
      <c r="AH4" s="50"/>
      <c r="AI4" s="50"/>
      <c r="AJ4" s="50"/>
      <c r="AK4" s="50"/>
      <c r="AL4" s="50"/>
      <c r="AM4" s="50"/>
      <c r="AN4" s="50"/>
      <c r="AO4" s="50"/>
      <c r="AP4" s="50"/>
      <c r="AQ4" s="50"/>
      <c r="AR4" s="50"/>
      <c r="AS4" s="50"/>
      <c r="AT4" s="50"/>
      <c r="AU4" s="50"/>
      <c r="AV4" s="50"/>
      <c r="AW4" s="50"/>
      <c r="AX4" s="50"/>
      <c r="AY4" s="50"/>
      <c r="AZ4" s="50"/>
      <c r="BA4" s="50"/>
      <c r="BB4" s="50"/>
      <c r="BC4" s="50"/>
      <c r="BD4" s="50"/>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row>
    <row r="5" spans="1:92" s="254" customFormat="1" x14ac:dyDescent="0.35">
      <c r="A5" s="50"/>
      <c r="B5" s="256"/>
      <c r="C5" s="244"/>
      <c r="D5" s="244"/>
      <c r="E5" s="245" t="s">
        <v>130</v>
      </c>
      <c r="F5" s="245"/>
      <c r="G5" s="244"/>
      <c r="H5" s="257"/>
      <c r="I5" s="257"/>
      <c r="J5" s="257"/>
      <c r="K5" s="257"/>
      <c r="L5" s="257"/>
      <c r="M5" s="244"/>
      <c r="N5" s="257"/>
      <c r="O5" s="257"/>
      <c r="P5" s="257"/>
      <c r="Q5" s="257"/>
      <c r="R5" s="257"/>
      <c r="S5" s="50"/>
      <c r="T5" s="50"/>
      <c r="U5" s="739"/>
      <c r="V5" s="758"/>
      <c r="W5" s="758"/>
      <c r="X5" s="758"/>
      <c r="Y5" s="740"/>
      <c r="Z5" s="50"/>
      <c r="AA5" s="50"/>
      <c r="AB5" s="50"/>
      <c r="AC5" s="50"/>
      <c r="AD5" s="50"/>
      <c r="AE5" s="50"/>
      <c r="AF5" s="50"/>
      <c r="AG5" s="50"/>
      <c r="AH5" s="50"/>
      <c r="AI5" s="50"/>
      <c r="AJ5" s="50"/>
      <c r="AK5" s="50"/>
      <c r="AL5" s="50"/>
      <c r="AM5" s="50"/>
      <c r="AN5" s="50"/>
      <c r="AO5" s="50"/>
      <c r="AP5" s="50"/>
      <c r="AQ5" s="50"/>
      <c r="AR5" s="50"/>
      <c r="AS5" s="50"/>
      <c r="AT5" s="50"/>
      <c r="AU5" s="50"/>
      <c r="AV5" s="50"/>
      <c r="AW5" s="50"/>
      <c r="AX5" s="50"/>
      <c r="AY5" s="50"/>
      <c r="AZ5" s="50"/>
      <c r="BA5" s="50"/>
      <c r="BB5" s="50"/>
      <c r="BC5" s="50"/>
      <c r="BD5" s="50"/>
      <c r="BE5" s="50"/>
      <c r="BF5" s="50"/>
      <c r="BG5" s="50"/>
      <c r="BH5" s="50"/>
      <c r="BI5" s="50"/>
      <c r="BJ5" s="50"/>
      <c r="BK5" s="50"/>
      <c r="BL5" s="50"/>
      <c r="BM5" s="50"/>
      <c r="BN5" s="50"/>
      <c r="BO5" s="50"/>
      <c r="BP5" s="50"/>
      <c r="BQ5" s="50"/>
      <c r="BR5" s="50"/>
      <c r="BS5" s="50"/>
      <c r="BT5" s="50"/>
      <c r="BU5" s="50"/>
      <c r="BV5" s="50"/>
      <c r="BW5" s="50"/>
      <c r="BX5" s="50"/>
      <c r="BY5" s="50"/>
      <c r="BZ5" s="50"/>
      <c r="CA5" s="50"/>
      <c r="CB5" s="50"/>
      <c r="CC5" s="50"/>
      <c r="CD5" s="50"/>
      <c r="CE5" s="50"/>
      <c r="CF5" s="50"/>
      <c r="CG5" s="50"/>
      <c r="CH5" s="50"/>
      <c r="CI5" s="50"/>
      <c r="CJ5" s="50"/>
      <c r="CK5" s="50"/>
      <c r="CL5" s="50"/>
      <c r="CM5" s="50"/>
      <c r="CN5" s="50"/>
    </row>
    <row r="6" spans="1:92" s="254" customFormat="1" ht="15.75" customHeight="1" x14ac:dyDescent="0.35">
      <c r="A6" s="50"/>
      <c r="B6" s="256"/>
      <c r="C6" s="243" t="s">
        <v>99</v>
      </c>
      <c r="D6" s="243"/>
      <c r="E6" s="258">
        <v>1.45</v>
      </c>
      <c r="F6" s="244"/>
      <c r="G6" s="244"/>
      <c r="H6" s="259" t="str">
        <f>Markup_Scenario_1</f>
        <v>Preservation of Gross Margin</v>
      </c>
      <c r="I6" s="259"/>
      <c r="J6" s="259"/>
      <c r="K6" s="259"/>
      <c r="L6" s="259"/>
      <c r="M6" s="244"/>
      <c r="N6" s="259" t="str">
        <f>Markup_Scenario_2</f>
        <v>Preservation of Operating Profit</v>
      </c>
      <c r="O6" s="259"/>
      <c r="P6" s="259"/>
      <c r="Q6" s="259"/>
      <c r="R6" s="259"/>
      <c r="S6" s="50"/>
      <c r="T6" s="50"/>
      <c r="U6" s="747"/>
      <c r="V6" s="754" t="str">
        <f>C6</f>
        <v>PC1</v>
      </c>
      <c r="W6" s="748"/>
      <c r="X6" s="748"/>
      <c r="Y6" s="749"/>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D6" s="50"/>
      <c r="CE6" s="50"/>
      <c r="CF6" s="50"/>
      <c r="CG6" s="50"/>
      <c r="CH6" s="50"/>
      <c r="CI6" s="50"/>
      <c r="CJ6" s="50"/>
      <c r="CK6" s="50"/>
      <c r="CL6" s="50"/>
      <c r="CM6" s="50"/>
      <c r="CN6" s="50"/>
    </row>
    <row r="7" spans="1:92" s="254" customFormat="1" x14ac:dyDescent="0.35">
      <c r="A7" s="50"/>
      <c r="B7" s="256"/>
      <c r="C7" s="260" t="str">
        <f>VLOOKUP(C6,PC_Table,2,FALSE)</f>
        <v>10 ≤ PM2.5 CADR &lt; 100</v>
      </c>
      <c r="D7" s="260"/>
      <c r="E7" s="257"/>
      <c r="F7" s="257"/>
      <c r="G7" s="257"/>
      <c r="H7" s="257"/>
      <c r="I7" s="257"/>
      <c r="J7" s="257"/>
      <c r="K7" s="257"/>
      <c r="L7" s="257"/>
      <c r="M7" s="257"/>
      <c r="N7" s="257"/>
      <c r="O7" s="257"/>
      <c r="P7" s="257"/>
      <c r="Q7" s="257"/>
      <c r="R7" s="257"/>
      <c r="S7" s="50"/>
      <c r="T7" s="50"/>
      <c r="U7" s="747"/>
      <c r="V7" s="754" t="str">
        <f>C7</f>
        <v>10 ≤ PM2.5 CADR &lt; 100</v>
      </c>
      <c r="W7" s="748"/>
      <c r="X7" s="748"/>
      <c r="Y7" s="749"/>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0"/>
      <c r="CA7" s="50"/>
      <c r="CB7" s="50"/>
      <c r="CC7" s="50"/>
      <c r="CD7" s="50"/>
      <c r="CE7" s="50"/>
      <c r="CF7" s="50"/>
      <c r="CG7" s="50"/>
      <c r="CH7" s="50"/>
      <c r="CI7" s="50"/>
      <c r="CJ7" s="50"/>
      <c r="CK7" s="50"/>
      <c r="CL7" s="50"/>
      <c r="CM7" s="50"/>
      <c r="CN7" s="50"/>
    </row>
    <row r="8" spans="1:92" s="254" customFormat="1" ht="16" thickBot="1" x14ac:dyDescent="0.4">
      <c r="A8" s="50"/>
      <c r="B8" s="256"/>
      <c r="C8" s="244"/>
      <c r="D8" s="244"/>
      <c r="E8" s="249" t="s">
        <v>241</v>
      </c>
      <c r="F8" s="249" t="s">
        <v>242</v>
      </c>
      <c r="G8" s="257"/>
      <c r="H8" s="249" t="s">
        <v>81</v>
      </c>
      <c r="I8" s="249" t="s">
        <v>86</v>
      </c>
      <c r="J8" s="249" t="s">
        <v>344</v>
      </c>
      <c r="K8" s="249" t="s">
        <v>343</v>
      </c>
      <c r="L8" s="249" t="s">
        <v>342</v>
      </c>
      <c r="M8" s="257"/>
      <c r="N8" s="249" t="s">
        <v>81</v>
      </c>
      <c r="O8" s="249" t="s">
        <v>86</v>
      </c>
      <c r="P8" s="249" t="s">
        <v>344</v>
      </c>
      <c r="Q8" s="249" t="s">
        <v>343</v>
      </c>
      <c r="R8" s="249" t="s">
        <v>342</v>
      </c>
      <c r="S8" s="50"/>
      <c r="T8" s="50"/>
      <c r="U8" s="747"/>
      <c r="V8" s="748"/>
      <c r="W8" s="748"/>
      <c r="X8" s="748"/>
      <c r="Y8" s="749"/>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0"/>
      <c r="CA8" s="50"/>
      <c r="CB8" s="50"/>
      <c r="CC8" s="50"/>
      <c r="CD8" s="50"/>
      <c r="CE8" s="50"/>
      <c r="CF8" s="50"/>
      <c r="CG8" s="50"/>
      <c r="CH8" s="50"/>
      <c r="CI8" s="50"/>
      <c r="CJ8" s="50"/>
      <c r="CK8" s="50"/>
      <c r="CL8" s="50"/>
      <c r="CM8" s="50"/>
      <c r="CN8" s="50"/>
    </row>
    <row r="9" spans="1:92" s="254" customFormat="1" ht="16" thickBot="1" x14ac:dyDescent="0.4">
      <c r="A9" s="50"/>
      <c r="B9" s="256"/>
      <c r="C9" s="245" t="s">
        <v>81</v>
      </c>
      <c r="D9" s="245"/>
      <c r="E9" s="262">
        <f ca="1">OFFSET(E9,0,MATCH(Markup_Scenario_X,H$6:AAH$6,0)+2)</f>
        <v>1.45</v>
      </c>
      <c r="F9" s="262">
        <f ca="1">OFFSET(F9,0,(MATCH(Markup_Scenario_X,H$6:AAK$6,0)
+MATCH(OFFSET('EL and TSL Setup'!$J$1,MATCH(OFFSET($C9,-(MATCH($C9,EL_List,0)+2),0),'EL and TSL Setup'!$C:$C,0),0),EL_List,0)))</f>
        <v>0</v>
      </c>
      <c r="G9" s="244"/>
      <c r="H9" s="261">
        <f ca="1">OFFSET(H9,-3,-3-(MATCH(H6,Markup_Scenario_List,0)-1)*(NAMES!$F$4+2))</f>
        <v>1.45</v>
      </c>
      <c r="I9" s="261">
        <v>0</v>
      </c>
      <c r="J9" s="261">
        <v>0</v>
      </c>
      <c r="K9" s="261">
        <v>0</v>
      </c>
      <c r="L9" s="261">
        <v>0</v>
      </c>
      <c r="M9" s="244"/>
      <c r="N9" s="261">
        <f ca="1">OFFSET(N9,-3,-3-(MATCH(N6,Markup_Scenario_List,0)-1)*(NAMES!$F$4+2))</f>
        <v>1.45</v>
      </c>
      <c r="O9" s="261">
        <v>0</v>
      </c>
      <c r="P9" s="261">
        <v>0</v>
      </c>
      <c r="Q9" s="261">
        <v>0</v>
      </c>
      <c r="R9" s="261">
        <v>0</v>
      </c>
      <c r="S9" s="50"/>
      <c r="T9" s="50"/>
      <c r="U9" s="747"/>
      <c r="V9" s="750" t="s">
        <v>193</v>
      </c>
      <c r="W9" s="750" t="s">
        <v>192</v>
      </c>
      <c r="X9" s="750" t="s">
        <v>206</v>
      </c>
      <c r="Y9" s="749"/>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row>
    <row r="10" spans="1:92" s="254" customFormat="1" ht="16" thickBot="1" x14ac:dyDescent="0.4">
      <c r="A10" s="50"/>
      <c r="B10" s="256"/>
      <c r="C10" s="249" t="s">
        <v>86</v>
      </c>
      <c r="D10" s="249"/>
      <c r="E10" s="262">
        <f ca="1">OFFSET(E10,0,MATCH(Markup_Scenario_X,H$6:AAH$6,0)+2)</f>
        <v>1.45</v>
      </c>
      <c r="F10" s="262">
        <f ca="1">OFFSET(F10,0,(MATCH(Markup_Scenario_X,H$6:AAK$6,0)
+MATCH(OFFSET('EL and TSL Setup'!$J$1,MATCH(OFFSET($C10,-(MATCH($C10,EL_List,0)+2),0),'EL and TSL Setup'!$C:$C,0),0),EL_List,0)))</f>
        <v>0</v>
      </c>
      <c r="G10" s="244"/>
      <c r="H10" s="261">
        <f ca="1">H9</f>
        <v>1.45</v>
      </c>
      <c r="I10" s="261">
        <f t="shared" ref="I10:J13" ca="1" si="0">IF(RIGHT(I$8,1)&lt;=RIGHT($C10),H10,0)</f>
        <v>1.45</v>
      </c>
      <c r="J10" s="261">
        <f t="shared" si="0"/>
        <v>0</v>
      </c>
      <c r="K10" s="261">
        <f>IF(RIGHT(K$8,1)&lt;=RIGHT($C10),I10,0)</f>
        <v>0</v>
      </c>
      <c r="L10" s="261">
        <f>IF(RIGHT(L$8,1)&lt;=RIGHT($C10),I10,0)</f>
        <v>0</v>
      </c>
      <c r="M10" s="244"/>
      <c r="N10" s="261">
        <f ca="1">N9</f>
        <v>1.45</v>
      </c>
      <c r="O10" s="261">
        <f ca="1">IF(RIGHT(O$8,1)&lt;=RIGHT($C10),N10,0)*X10</f>
        <v>1.4474343929780313</v>
      </c>
      <c r="P10" s="261">
        <f>IF(RIGHT(P$8,1)&lt;=RIGHT($C10),O10,0)</f>
        <v>0</v>
      </c>
      <c r="Q10" s="261">
        <f>IF(RIGHT(Q$8,1)&lt;=RIGHT($C10),O10,0)</f>
        <v>0</v>
      </c>
      <c r="R10" s="261">
        <f>IF(RIGHT(R$8,1)&lt;=RIGHT($C10),O10,0)</f>
        <v>0</v>
      </c>
      <c r="S10" s="50"/>
      <c r="T10" s="50"/>
      <c r="U10" s="747"/>
      <c r="V10" s="755" t="s">
        <v>86</v>
      </c>
      <c r="W10" s="791"/>
      <c r="X10" s="792">
        <v>0.99823061584691819</v>
      </c>
      <c r="Y10" s="749"/>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50"/>
      <c r="CK10" s="50"/>
      <c r="CL10" s="50"/>
      <c r="CM10" s="50"/>
      <c r="CN10" s="50"/>
    </row>
    <row r="11" spans="1:92" s="254" customFormat="1" ht="16" thickBot="1" x14ac:dyDescent="0.4">
      <c r="A11" s="50"/>
      <c r="B11" s="256"/>
      <c r="C11" s="249" t="s">
        <v>344</v>
      </c>
      <c r="D11" s="249"/>
      <c r="E11" s="262">
        <f ca="1">OFFSET(E11,0,MATCH(Markup_Scenario_X,H$6:AAH$6,0)+2)</f>
        <v>1.45</v>
      </c>
      <c r="F11" s="262">
        <f ca="1">OFFSET(F11,0,(MATCH(Markup_Scenario_X,H$6:AAK$6,0)
+MATCH(OFFSET('EL and TSL Setup'!$J$1,MATCH(OFFSET($C11,-(MATCH($C11,EL_List,0)+2),0),'EL and TSL Setup'!$C:$C,0),0),EL_List,0)))</f>
        <v>1.4424639597731757</v>
      </c>
      <c r="G11" s="244"/>
      <c r="H11" s="261">
        <f ca="1">H10</f>
        <v>1.45</v>
      </c>
      <c r="I11" s="261">
        <f t="shared" ca="1" si="0"/>
        <v>1.45</v>
      </c>
      <c r="J11" s="261">
        <f t="shared" ca="1" si="0"/>
        <v>1.45</v>
      </c>
      <c r="K11" s="261">
        <f>IF(RIGHT(K$8,1)&lt;=RIGHT($C11),I11,0)</f>
        <v>0</v>
      </c>
      <c r="L11" s="261">
        <f>IF(RIGHT(L$8,1)&lt;=RIGHT($C11),I11,0)</f>
        <v>0</v>
      </c>
      <c r="M11" s="244"/>
      <c r="N11" s="261">
        <f ca="1">N10</f>
        <v>1.45</v>
      </c>
      <c r="O11" s="261">
        <f ca="1">IF(RIGHT(O$8,1)&lt;=RIGHT($C11),N11,0)</f>
        <v>1.45</v>
      </c>
      <c r="P11" s="261">
        <f ca="1">IF(RIGHT(P$8,1)&lt;=RIGHT($C11),O11,0)*X11</f>
        <v>1.4424639597731757</v>
      </c>
      <c r="Q11" s="261">
        <f>IF(RIGHT(Q$8,1)&lt;=RIGHT($C11),O11,0)</f>
        <v>0</v>
      </c>
      <c r="R11" s="261">
        <f>IF(RIGHT(R$8,1)&lt;=RIGHT($C11),O11,0)</f>
        <v>0</v>
      </c>
      <c r="S11" s="50"/>
      <c r="T11" s="50"/>
      <c r="U11" s="747"/>
      <c r="V11" s="755" t="s">
        <v>344</v>
      </c>
      <c r="W11" s="791" t="s">
        <v>90</v>
      </c>
      <c r="X11" s="792">
        <v>0.99480273087805227</v>
      </c>
      <c r="Y11" s="749"/>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0"/>
      <c r="CA11" s="50"/>
      <c r="CB11" s="50"/>
      <c r="CC11" s="50"/>
      <c r="CD11" s="50"/>
      <c r="CE11" s="50"/>
      <c r="CF11" s="50"/>
      <c r="CG11" s="50"/>
      <c r="CH11" s="50"/>
      <c r="CI11" s="50"/>
      <c r="CJ11" s="50"/>
      <c r="CK11" s="50"/>
      <c r="CL11" s="50"/>
      <c r="CM11" s="50"/>
      <c r="CN11" s="50"/>
    </row>
    <row r="12" spans="1:92" s="254" customFormat="1" ht="16" thickBot="1" x14ac:dyDescent="0.4">
      <c r="A12" s="50"/>
      <c r="B12" s="256"/>
      <c r="C12" s="249" t="s">
        <v>343</v>
      </c>
      <c r="D12" s="249"/>
      <c r="E12" s="262">
        <f ca="1">OFFSET(E12,0,MATCH(Markup_Scenario_X,H$6:AAH$6,0)+2)</f>
        <v>1.45</v>
      </c>
      <c r="F12" s="262">
        <f ca="1">OFFSET(F12,0,(MATCH(Markup_Scenario_X,H$6:AAK$6,0)
+MATCH(OFFSET('EL and TSL Setup'!$J$1,MATCH(OFFSET($C12,-(MATCH($C12,EL_List,0)+2),0),'EL and TSL Setup'!$C:$C,0),0),EL_List,0)))</f>
        <v>1.45</v>
      </c>
      <c r="G12" s="244"/>
      <c r="H12" s="261">
        <f ca="1">H10</f>
        <v>1.45</v>
      </c>
      <c r="I12" s="261">
        <f t="shared" ca="1" si="0"/>
        <v>1.45</v>
      </c>
      <c r="J12" s="261">
        <f t="shared" ca="1" si="0"/>
        <v>1.45</v>
      </c>
      <c r="K12" s="261">
        <f ca="1">IF(RIGHT(K$8,1)&lt;=RIGHT($C12),I12,0)</f>
        <v>1.45</v>
      </c>
      <c r="L12" s="261">
        <f>IF(RIGHT(L$8,1)&lt;=RIGHT($C12),I12,0)</f>
        <v>0</v>
      </c>
      <c r="M12" s="244"/>
      <c r="N12" s="261">
        <f ca="1">N10</f>
        <v>1.45</v>
      </c>
      <c r="O12" s="261">
        <f ca="1">IF(RIGHT(O$8,1)&lt;=RIGHT($C12),N12,0)</f>
        <v>1.45</v>
      </c>
      <c r="P12" s="261">
        <f ca="1">IF(RIGHT(P$8,1)&lt;=RIGHT($C12),O12,0)</f>
        <v>1.45</v>
      </c>
      <c r="Q12" s="261">
        <f ca="1">IF(RIGHT(Q$8,1)&lt;=RIGHT($C12),O12,0)*X12</f>
        <v>1.45</v>
      </c>
      <c r="R12" s="261">
        <f>IF(RIGHT(R$8,1)&lt;=RIGHT($C12),O12,0)</f>
        <v>0</v>
      </c>
      <c r="S12" s="50"/>
      <c r="T12" s="50"/>
      <c r="U12" s="747"/>
      <c r="V12" s="755" t="s">
        <v>343</v>
      </c>
      <c r="W12" s="756"/>
      <c r="X12" s="757">
        <v>1</v>
      </c>
      <c r="Y12" s="749"/>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0"/>
      <c r="CA12" s="50"/>
      <c r="CB12" s="50"/>
      <c r="CC12" s="50"/>
      <c r="CD12" s="50"/>
      <c r="CE12" s="50"/>
      <c r="CF12" s="50"/>
      <c r="CG12" s="50"/>
      <c r="CH12" s="50"/>
      <c r="CI12" s="50"/>
      <c r="CJ12" s="50"/>
      <c r="CK12" s="50"/>
      <c r="CL12" s="50"/>
      <c r="CM12" s="50"/>
      <c r="CN12" s="50"/>
    </row>
    <row r="13" spans="1:92" s="254" customFormat="1" ht="16" thickBot="1" x14ac:dyDescent="0.4">
      <c r="A13" s="50"/>
      <c r="B13" s="256"/>
      <c r="C13" s="249" t="s">
        <v>342</v>
      </c>
      <c r="D13" s="249"/>
      <c r="E13" s="262">
        <f ca="1">OFFSET(E13,0,MATCH(Markup_Scenario_X,H$6:AAH$6,0)+2)</f>
        <v>1.45</v>
      </c>
      <c r="F13" s="262">
        <f ca="1">OFFSET(F13,0,(MATCH(Markup_Scenario_X,H$6:AAK$6,0)
+MATCH(OFFSET('EL and TSL Setup'!$J$1,MATCH(OFFSET($C13,-(MATCH($C13,EL_List,0)+2),0),'EL and TSL Setup'!$C:$C,0),0),EL_List,0)))</f>
        <v>1.45</v>
      </c>
      <c r="G13" s="244"/>
      <c r="H13" s="261">
        <f ca="1">H10</f>
        <v>1.45</v>
      </c>
      <c r="I13" s="261">
        <f t="shared" ca="1" si="0"/>
        <v>1.45</v>
      </c>
      <c r="J13" s="261">
        <f t="shared" ca="1" si="0"/>
        <v>1.45</v>
      </c>
      <c r="K13" s="261">
        <f ca="1">IF(RIGHT(K$8,1)&lt;=RIGHT($C13),I13,0)</f>
        <v>1.45</v>
      </c>
      <c r="L13" s="261">
        <f ca="1">IF(RIGHT(L$8,1)&lt;=RIGHT($C13),I13,0)</f>
        <v>1.45</v>
      </c>
      <c r="M13" s="244"/>
      <c r="N13" s="261">
        <f ca="1">N10</f>
        <v>1.45</v>
      </c>
      <c r="O13" s="261">
        <f ca="1">IF(RIGHT(O$8,1)&lt;=RIGHT($C13),N13,0)</f>
        <v>1.45</v>
      </c>
      <c r="P13" s="261">
        <f ca="1">IF(RIGHT(P$8,1)&lt;=RIGHT($C13),O13,0)</f>
        <v>1.45</v>
      </c>
      <c r="Q13" s="261">
        <f ca="1">IF(RIGHT(Q$8,1)&lt;=RIGHT($C13),O13,0)</f>
        <v>1.45</v>
      </c>
      <c r="R13" s="261">
        <f ca="1">IF(RIGHT(R$8,1)&lt;=RIGHT($C13),O13,0)*X13</f>
        <v>1.45</v>
      </c>
      <c r="S13" s="50"/>
      <c r="T13" s="50"/>
      <c r="U13" s="747"/>
      <c r="V13" s="755" t="s">
        <v>342</v>
      </c>
      <c r="W13" s="756"/>
      <c r="X13" s="757">
        <v>1</v>
      </c>
      <c r="Y13" s="749"/>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0"/>
      <c r="CA13" s="50"/>
      <c r="CB13" s="50"/>
      <c r="CC13" s="50"/>
      <c r="CD13" s="50"/>
      <c r="CE13" s="50"/>
      <c r="CF13" s="50"/>
      <c r="CG13" s="50"/>
      <c r="CH13" s="50"/>
      <c r="CI13" s="50"/>
      <c r="CJ13" s="50"/>
      <c r="CK13" s="50"/>
      <c r="CL13" s="50"/>
      <c r="CM13" s="50"/>
      <c r="CN13" s="50"/>
    </row>
    <row r="14" spans="1:92" s="254" customFormat="1" ht="16" thickBot="1" x14ac:dyDescent="0.4">
      <c r="A14" s="50"/>
      <c r="B14" s="263"/>
      <c r="C14" s="250"/>
      <c r="D14" s="250"/>
      <c r="E14" s="250"/>
      <c r="F14" s="250"/>
      <c r="G14" s="250"/>
      <c r="H14" s="250"/>
      <c r="I14" s="250"/>
      <c r="J14" s="250"/>
      <c r="K14" s="250"/>
      <c r="L14" s="250"/>
      <c r="M14" s="250"/>
      <c r="N14" s="250"/>
      <c r="O14" s="250"/>
      <c r="P14" s="250"/>
      <c r="Q14" s="250"/>
      <c r="R14" s="250" t="s">
        <v>346</v>
      </c>
      <c r="S14" s="50"/>
      <c r="T14" s="50"/>
      <c r="U14" s="751"/>
      <c r="V14" s="752"/>
      <c r="W14" s="752"/>
      <c r="X14" s="752"/>
      <c r="Y14" s="753"/>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row>
    <row r="15" spans="1:92" ht="16" thickBot="1" x14ac:dyDescent="0.4"/>
    <row r="16" spans="1:92" s="254" customFormat="1" x14ac:dyDescent="0.35">
      <c r="A16" s="50"/>
      <c r="B16" s="255"/>
      <c r="C16" s="242"/>
      <c r="D16" s="242"/>
      <c r="E16" s="242"/>
      <c r="F16" s="242"/>
      <c r="G16" s="242"/>
      <c r="H16" s="242"/>
      <c r="I16" s="242"/>
      <c r="J16" s="242"/>
      <c r="K16" s="242"/>
      <c r="L16" s="242"/>
      <c r="M16" s="242"/>
      <c r="N16" s="242"/>
      <c r="O16" s="242"/>
      <c r="P16" s="242"/>
      <c r="Q16" s="242"/>
      <c r="R16" s="242"/>
      <c r="S16" s="50"/>
      <c r="T16" s="50"/>
      <c r="U16" s="311"/>
      <c r="V16" s="312"/>
      <c r="W16" s="312"/>
      <c r="X16" s="312"/>
      <c r="Y16" s="313"/>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row>
    <row r="17" spans="1:92" s="254" customFormat="1" x14ac:dyDescent="0.35">
      <c r="A17" s="50"/>
      <c r="B17" s="256"/>
      <c r="C17" s="244"/>
      <c r="D17" s="244"/>
      <c r="E17" s="245" t="s">
        <v>130</v>
      </c>
      <c r="F17" s="245"/>
      <c r="G17" s="244"/>
      <c r="H17" s="257"/>
      <c r="I17" s="257"/>
      <c r="J17" s="257"/>
      <c r="K17" s="257"/>
      <c r="L17" s="257"/>
      <c r="M17" s="244"/>
      <c r="N17" s="257"/>
      <c r="O17" s="257"/>
      <c r="P17" s="257"/>
      <c r="Q17" s="257"/>
      <c r="R17" s="257"/>
      <c r="S17" s="50"/>
      <c r="T17" s="50"/>
      <c r="U17" s="739"/>
      <c r="V17" s="758"/>
      <c r="W17" s="758"/>
      <c r="X17" s="758"/>
      <c r="Y17" s="74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0"/>
      <c r="CA17" s="50"/>
      <c r="CB17" s="50"/>
      <c r="CC17" s="50"/>
      <c r="CD17" s="50"/>
      <c r="CE17" s="50"/>
      <c r="CF17" s="50"/>
      <c r="CG17" s="50"/>
      <c r="CH17" s="50"/>
      <c r="CI17" s="50"/>
      <c r="CJ17" s="50"/>
      <c r="CK17" s="50"/>
      <c r="CL17" s="50"/>
      <c r="CM17" s="50"/>
      <c r="CN17" s="50"/>
    </row>
    <row r="18" spans="1:92" s="254" customFormat="1" ht="15.75" customHeight="1" x14ac:dyDescent="0.35">
      <c r="A18" s="50"/>
      <c r="B18" s="256"/>
      <c r="C18" s="243" t="s">
        <v>180</v>
      </c>
      <c r="D18" s="243"/>
      <c r="E18" s="258">
        <v>1.45</v>
      </c>
      <c r="F18" s="244"/>
      <c r="G18" s="244"/>
      <c r="H18" s="259" t="str">
        <f>Markup_Scenario_1</f>
        <v>Preservation of Gross Margin</v>
      </c>
      <c r="I18" s="259"/>
      <c r="J18" s="259"/>
      <c r="K18" s="259"/>
      <c r="L18" s="259"/>
      <c r="M18" s="244"/>
      <c r="N18" s="259" t="str">
        <f>Markup_Scenario_2</f>
        <v>Preservation of Operating Profit</v>
      </c>
      <c r="O18" s="259"/>
      <c r="P18" s="259"/>
      <c r="Q18" s="259"/>
      <c r="R18" s="259"/>
      <c r="S18" s="50"/>
      <c r="T18" s="50"/>
      <c r="U18" s="747"/>
      <c r="V18" s="754" t="str">
        <f>C18</f>
        <v>PC2</v>
      </c>
      <c r="W18" s="748"/>
      <c r="X18" s="748"/>
      <c r="Y18" s="749"/>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c r="CB18" s="50"/>
      <c r="CC18" s="50"/>
      <c r="CD18" s="50"/>
      <c r="CE18" s="50"/>
      <c r="CF18" s="50"/>
      <c r="CG18" s="50"/>
      <c r="CH18" s="50"/>
      <c r="CI18" s="50"/>
      <c r="CJ18" s="50"/>
      <c r="CK18" s="50"/>
      <c r="CL18" s="50"/>
      <c r="CM18" s="50"/>
      <c r="CN18" s="50"/>
    </row>
    <row r="19" spans="1:92" s="254" customFormat="1" x14ac:dyDescent="0.35">
      <c r="A19" s="50"/>
      <c r="B19" s="256"/>
      <c r="C19" s="260" t="str">
        <f>VLOOKUP(C18,PC_Table,2,FALSE)</f>
        <v>100 ≤ PM2.5 CADR &lt; 150</v>
      </c>
      <c r="D19" s="260"/>
      <c r="E19" s="257"/>
      <c r="F19" s="257"/>
      <c r="G19" s="257"/>
      <c r="H19" s="257"/>
      <c r="I19" s="257"/>
      <c r="J19" s="257"/>
      <c r="K19" s="257"/>
      <c r="L19" s="257"/>
      <c r="M19" s="257"/>
      <c r="N19" s="257"/>
      <c r="O19" s="257"/>
      <c r="P19" s="257"/>
      <c r="Q19" s="257"/>
      <c r="R19" s="257"/>
      <c r="S19" s="50"/>
      <c r="T19" s="50"/>
      <c r="U19" s="747"/>
      <c r="V19" s="754" t="str">
        <f>C19</f>
        <v>100 ≤ PM2.5 CADR &lt; 150</v>
      </c>
      <c r="W19" s="748"/>
      <c r="X19" s="748"/>
      <c r="Y19" s="749"/>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0"/>
      <c r="CA19" s="50"/>
      <c r="CB19" s="50"/>
      <c r="CC19" s="50"/>
      <c r="CD19" s="50"/>
      <c r="CE19" s="50"/>
      <c r="CF19" s="50"/>
      <c r="CG19" s="50"/>
      <c r="CH19" s="50"/>
      <c r="CI19" s="50"/>
      <c r="CJ19" s="50"/>
      <c r="CK19" s="50"/>
      <c r="CL19" s="50"/>
      <c r="CM19" s="50"/>
      <c r="CN19" s="50"/>
    </row>
    <row r="20" spans="1:92" s="254" customFormat="1" ht="16" thickBot="1" x14ac:dyDescent="0.4">
      <c r="A20" s="50"/>
      <c r="B20" s="256"/>
      <c r="C20" s="244"/>
      <c r="D20" s="244"/>
      <c r="E20" s="249" t="s">
        <v>241</v>
      </c>
      <c r="F20" s="249" t="s">
        <v>242</v>
      </c>
      <c r="G20" s="257"/>
      <c r="H20" s="249" t="s">
        <v>81</v>
      </c>
      <c r="I20" s="249" t="s">
        <v>86</v>
      </c>
      <c r="J20" s="249" t="s">
        <v>344</v>
      </c>
      <c r="K20" s="249" t="s">
        <v>343</v>
      </c>
      <c r="L20" s="249" t="s">
        <v>342</v>
      </c>
      <c r="M20" s="257"/>
      <c r="N20" s="249" t="s">
        <v>81</v>
      </c>
      <c r="O20" s="249" t="s">
        <v>86</v>
      </c>
      <c r="P20" s="249" t="s">
        <v>344</v>
      </c>
      <c r="Q20" s="249" t="s">
        <v>343</v>
      </c>
      <c r="R20" s="249" t="s">
        <v>342</v>
      </c>
      <c r="S20" s="50"/>
      <c r="T20" s="50"/>
      <c r="U20" s="747"/>
      <c r="V20" s="748"/>
      <c r="W20" s="748"/>
      <c r="X20" s="748"/>
      <c r="Y20" s="749"/>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50"/>
      <c r="CK20" s="50"/>
      <c r="CL20" s="50"/>
      <c r="CM20" s="50"/>
      <c r="CN20" s="50"/>
    </row>
    <row r="21" spans="1:92" s="254" customFormat="1" ht="16" thickBot="1" x14ac:dyDescent="0.4">
      <c r="A21" s="50"/>
      <c r="B21" s="256"/>
      <c r="C21" s="245" t="s">
        <v>81</v>
      </c>
      <c r="D21" s="245"/>
      <c r="E21" s="262">
        <f ca="1">OFFSET(E21,0,MATCH(Markup_Scenario_X,H$6:AAH$6,0)+2)</f>
        <v>1.45</v>
      </c>
      <c r="F21" s="262">
        <f ca="1">OFFSET(F21,0,(MATCH(Markup_Scenario_X,H$6:AAK$6,0)
+MATCH(OFFSET('EL and TSL Setup'!$J$1,MATCH(OFFSET($C21,-(MATCH($C21,EL_List,0)+2),0),'EL and TSL Setup'!$C:$C,0),0),EL_List,0)))</f>
        <v>0</v>
      </c>
      <c r="G21" s="244"/>
      <c r="H21" s="261">
        <f ca="1">OFFSET(H21,-3,-3-(MATCH(H18,Markup_Scenario_List,0)-1)*(NAMES!$F$4+2))</f>
        <v>1.45</v>
      </c>
      <c r="I21" s="261">
        <v>0</v>
      </c>
      <c r="J21" s="261">
        <v>0</v>
      </c>
      <c r="K21" s="261">
        <v>0</v>
      </c>
      <c r="L21" s="261">
        <v>0</v>
      </c>
      <c r="M21" s="244"/>
      <c r="N21" s="261">
        <f ca="1">OFFSET(N21,-3,-3-(MATCH(N18,Markup_Scenario_List,0)-1)*(NAMES!$F$4+2))</f>
        <v>1.45</v>
      </c>
      <c r="O21" s="261">
        <v>0</v>
      </c>
      <c r="P21" s="261">
        <v>0</v>
      </c>
      <c r="Q21" s="261">
        <v>0</v>
      </c>
      <c r="R21" s="261">
        <v>0</v>
      </c>
      <c r="S21" s="50"/>
      <c r="T21" s="50"/>
      <c r="U21" s="747"/>
      <c r="V21" s="750" t="s">
        <v>193</v>
      </c>
      <c r="W21" s="750" t="s">
        <v>192</v>
      </c>
      <c r="X21" s="750" t="s">
        <v>206</v>
      </c>
      <c r="Y21" s="749"/>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0"/>
      <c r="CA21" s="50"/>
      <c r="CB21" s="50"/>
      <c r="CC21" s="50"/>
      <c r="CD21" s="50"/>
      <c r="CE21" s="50"/>
      <c r="CF21" s="50"/>
      <c r="CG21" s="50"/>
      <c r="CH21" s="50"/>
      <c r="CI21" s="50"/>
      <c r="CJ21" s="50"/>
      <c r="CK21" s="50"/>
      <c r="CL21" s="50"/>
      <c r="CM21" s="50"/>
      <c r="CN21" s="50"/>
    </row>
    <row r="22" spans="1:92" s="254" customFormat="1" ht="16" thickBot="1" x14ac:dyDescent="0.4">
      <c r="A22" s="50"/>
      <c r="B22" s="256"/>
      <c r="C22" s="249" t="s">
        <v>86</v>
      </c>
      <c r="D22" s="249"/>
      <c r="E22" s="262">
        <f ca="1">OFFSET(E22,0,MATCH(Markup_Scenario_X,H$6:AAH$6,0)+2)</f>
        <v>1.45</v>
      </c>
      <c r="F22" s="262">
        <f ca="1">OFFSET(F22,0,(MATCH(Markup_Scenario_X,H$6:AAK$6,0)
+MATCH(OFFSET('EL and TSL Setup'!$J$1,MATCH(OFFSET($C22,-(MATCH($C22,EL_List,0)+2),0),'EL and TSL Setup'!$C:$C,0),0),EL_List,0)))</f>
        <v>0</v>
      </c>
      <c r="G22" s="244"/>
      <c r="H22" s="261">
        <f ca="1">H21</f>
        <v>1.45</v>
      </c>
      <c r="I22" s="261">
        <f t="shared" ref="I22:J25" ca="1" si="1">IF(RIGHT(I$8,1)&lt;=RIGHT($C22),H22,0)</f>
        <v>1.45</v>
      </c>
      <c r="J22" s="261">
        <f t="shared" si="1"/>
        <v>0</v>
      </c>
      <c r="K22" s="261">
        <f>IF(RIGHT(K$8,1)&lt;=RIGHT($C22),I22,0)</f>
        <v>0</v>
      </c>
      <c r="L22" s="261">
        <f>IF(RIGHT(L$8,1)&lt;=RIGHT($C22),I22,0)</f>
        <v>0</v>
      </c>
      <c r="M22" s="244"/>
      <c r="N22" s="261">
        <f ca="1">N21</f>
        <v>1.45</v>
      </c>
      <c r="O22" s="261">
        <f ca="1">IF(RIGHT(O$8,1)&lt;=RIGHT($C22),N22,0)*X22</f>
        <v>1.4476785044513851</v>
      </c>
      <c r="P22" s="261">
        <f>IF(RIGHT(P$8,1)&lt;=RIGHT($C22),O22,0)</f>
        <v>0</v>
      </c>
      <c r="Q22" s="261">
        <f>IF(RIGHT(Q$8,1)&lt;=RIGHT($C22),O22,0)</f>
        <v>0</v>
      </c>
      <c r="R22" s="261">
        <f>IF(RIGHT(R$8,1)&lt;=RIGHT($C22),O22,0)</f>
        <v>0</v>
      </c>
      <c r="S22" s="50"/>
      <c r="T22" s="50"/>
      <c r="U22" s="747"/>
      <c r="V22" s="755" t="s">
        <v>86</v>
      </c>
      <c r="W22" s="791"/>
      <c r="X22" s="792">
        <v>0.99839896858716226</v>
      </c>
      <c r="Y22" s="749"/>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0"/>
      <c r="CA22" s="50"/>
      <c r="CB22" s="50"/>
      <c r="CC22" s="50"/>
      <c r="CD22" s="50"/>
      <c r="CE22" s="50"/>
      <c r="CF22" s="50"/>
      <c r="CG22" s="50"/>
      <c r="CH22" s="50"/>
      <c r="CI22" s="50"/>
      <c r="CJ22" s="50"/>
      <c r="CK22" s="50"/>
      <c r="CL22" s="50"/>
      <c r="CM22" s="50"/>
      <c r="CN22" s="50"/>
    </row>
    <row r="23" spans="1:92" s="254" customFormat="1" ht="16" thickBot="1" x14ac:dyDescent="0.4">
      <c r="A23" s="50"/>
      <c r="B23" s="256"/>
      <c r="C23" s="249" t="s">
        <v>344</v>
      </c>
      <c r="D23" s="249"/>
      <c r="E23" s="262">
        <f ca="1">OFFSET(E23,0,MATCH(Markup_Scenario_X,H$6:AAH$6,0)+2)</f>
        <v>1.45</v>
      </c>
      <c r="F23" s="262">
        <f ca="1">OFFSET(F23,0,(MATCH(Markup_Scenario_X,H$6:AAK$6,0)
+MATCH(OFFSET('EL and TSL Setup'!$J$1,MATCH(OFFSET($C23,-(MATCH($C23,EL_List,0)+2),0),'EL and TSL Setup'!$C:$C,0),0),EL_List,0)))</f>
        <v>1.444445235606505</v>
      </c>
      <c r="G23" s="244"/>
      <c r="H23" s="261">
        <f ca="1">H22</f>
        <v>1.45</v>
      </c>
      <c r="I23" s="261">
        <f t="shared" ca="1" si="1"/>
        <v>1.45</v>
      </c>
      <c r="J23" s="261">
        <f t="shared" ca="1" si="1"/>
        <v>1.45</v>
      </c>
      <c r="K23" s="261">
        <f>IF(RIGHT(K$8,1)&lt;=RIGHT($C23),I23,0)</f>
        <v>0</v>
      </c>
      <c r="L23" s="261">
        <f>IF(RIGHT(L$8,1)&lt;=RIGHT($C23),I23,0)</f>
        <v>0</v>
      </c>
      <c r="M23" s="244"/>
      <c r="N23" s="261">
        <f ca="1">N22</f>
        <v>1.45</v>
      </c>
      <c r="O23" s="261">
        <f ca="1">IF(RIGHT(O$8,1)&lt;=RIGHT($C23),N23,0)</f>
        <v>1.45</v>
      </c>
      <c r="P23" s="261">
        <f ca="1">IF(RIGHT(P$8,1)&lt;=RIGHT($C23),O23,0)*X23</f>
        <v>1.444445235606505</v>
      </c>
      <c r="Q23" s="261">
        <f>IF(RIGHT(Q$8,1)&lt;=RIGHT($C23),O23,0)</f>
        <v>0</v>
      </c>
      <c r="R23" s="261">
        <f>IF(RIGHT(R$8,1)&lt;=RIGHT($C23),O23,0)</f>
        <v>0</v>
      </c>
      <c r="S23" s="50"/>
      <c r="T23" s="50"/>
      <c r="U23" s="747"/>
      <c r="V23" s="755" t="s">
        <v>344</v>
      </c>
      <c r="W23" s="791" t="s">
        <v>90</v>
      </c>
      <c r="X23" s="792">
        <v>0.9961691280044862</v>
      </c>
      <c r="Y23" s="749"/>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0"/>
      <c r="CA23" s="50"/>
      <c r="CB23" s="50"/>
      <c r="CC23" s="50"/>
      <c r="CD23" s="50"/>
      <c r="CE23" s="50"/>
      <c r="CF23" s="50"/>
      <c r="CG23" s="50"/>
      <c r="CH23" s="50"/>
      <c r="CI23" s="50"/>
      <c r="CJ23" s="50"/>
      <c r="CK23" s="50"/>
      <c r="CL23" s="50"/>
      <c r="CM23" s="50"/>
      <c r="CN23" s="50"/>
    </row>
    <row r="24" spans="1:92" s="254" customFormat="1" ht="16" thickBot="1" x14ac:dyDescent="0.4">
      <c r="A24" s="50"/>
      <c r="B24" s="256"/>
      <c r="C24" s="249" t="s">
        <v>343</v>
      </c>
      <c r="D24" s="249"/>
      <c r="E24" s="262">
        <f ca="1">OFFSET(E24,0,MATCH(Markup_Scenario_X,H$6:AAH$6,0)+2)</f>
        <v>1.45</v>
      </c>
      <c r="F24" s="262">
        <f ca="1">OFFSET(F24,0,(MATCH(Markup_Scenario_X,H$6:AAK$6,0)
+MATCH(OFFSET('EL and TSL Setup'!$J$1,MATCH(OFFSET($C24,-(MATCH($C24,EL_List,0)+2),0),'EL and TSL Setup'!$C:$C,0),0),EL_List,0)))</f>
        <v>1.45</v>
      </c>
      <c r="G24" s="244"/>
      <c r="H24" s="261">
        <f ca="1">H22</f>
        <v>1.45</v>
      </c>
      <c r="I24" s="261">
        <f t="shared" ca="1" si="1"/>
        <v>1.45</v>
      </c>
      <c r="J24" s="261">
        <f t="shared" ca="1" si="1"/>
        <v>1.45</v>
      </c>
      <c r="K24" s="261">
        <f ca="1">IF(RIGHT(K$8,1)&lt;=RIGHT($C24),I24,0)</f>
        <v>1.45</v>
      </c>
      <c r="L24" s="261">
        <f>IF(RIGHT(L$8,1)&lt;=RIGHT($C24),I24,0)</f>
        <v>0</v>
      </c>
      <c r="M24" s="244"/>
      <c r="N24" s="261">
        <f ca="1">N22</f>
        <v>1.45</v>
      </c>
      <c r="O24" s="261">
        <f ca="1">IF(RIGHT(O$8,1)&lt;=RIGHT($C24),N24,0)</f>
        <v>1.45</v>
      </c>
      <c r="P24" s="261">
        <f ca="1">IF(RIGHT(P$8,1)&lt;=RIGHT($C24),O24,0)</f>
        <v>1.45</v>
      </c>
      <c r="Q24" s="261">
        <f ca="1">IF(RIGHT(Q$8,1)&lt;=RIGHT($C24),O24,0)*X24</f>
        <v>1.45</v>
      </c>
      <c r="R24" s="261">
        <f>IF(RIGHT(R$8,1)&lt;=RIGHT($C24),O24,0)</f>
        <v>0</v>
      </c>
      <c r="S24" s="50"/>
      <c r="T24" s="50"/>
      <c r="U24" s="747"/>
      <c r="V24" s="755" t="s">
        <v>343</v>
      </c>
      <c r="W24" s="756"/>
      <c r="X24" s="757">
        <v>1</v>
      </c>
      <c r="Y24" s="749"/>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0"/>
      <c r="CA24" s="50"/>
      <c r="CB24" s="50"/>
      <c r="CC24" s="50"/>
      <c r="CD24" s="50"/>
      <c r="CE24" s="50"/>
      <c r="CF24" s="50"/>
      <c r="CG24" s="50"/>
      <c r="CH24" s="50"/>
      <c r="CI24" s="50"/>
      <c r="CJ24" s="50"/>
      <c r="CK24" s="50"/>
      <c r="CL24" s="50"/>
      <c r="CM24" s="50"/>
      <c r="CN24" s="50"/>
    </row>
    <row r="25" spans="1:92" s="254" customFormat="1" ht="16" thickBot="1" x14ac:dyDescent="0.4">
      <c r="A25" s="50"/>
      <c r="B25" s="256"/>
      <c r="C25" s="249" t="s">
        <v>342</v>
      </c>
      <c r="D25" s="249"/>
      <c r="E25" s="262">
        <f ca="1">OFFSET(E25,0,MATCH(Markup_Scenario_X,H$6:AAH$6,0)+2)</f>
        <v>1.45</v>
      </c>
      <c r="F25" s="262">
        <f ca="1">OFFSET(F25,0,(MATCH(Markup_Scenario_X,H$6:AAK$6,0)
+MATCH(OFFSET('EL and TSL Setup'!$J$1,MATCH(OFFSET($C25,-(MATCH($C25,EL_List,0)+2),0),'EL and TSL Setup'!$C:$C,0),0),EL_List,0)))</f>
        <v>1.45</v>
      </c>
      <c r="G25" s="244"/>
      <c r="H25" s="261">
        <f ca="1">H22</f>
        <v>1.45</v>
      </c>
      <c r="I25" s="261">
        <f t="shared" ca="1" si="1"/>
        <v>1.45</v>
      </c>
      <c r="J25" s="261">
        <f t="shared" ca="1" si="1"/>
        <v>1.45</v>
      </c>
      <c r="K25" s="261">
        <f ca="1">IF(RIGHT(K$8,1)&lt;=RIGHT($C25),I25,0)</f>
        <v>1.45</v>
      </c>
      <c r="L25" s="261">
        <f ca="1">IF(RIGHT(L$8,1)&lt;=RIGHT($C25),I25,0)</f>
        <v>1.45</v>
      </c>
      <c r="M25" s="244"/>
      <c r="N25" s="261">
        <f ca="1">N22</f>
        <v>1.45</v>
      </c>
      <c r="O25" s="261">
        <f ca="1">IF(RIGHT(O$8,1)&lt;=RIGHT($C25),N25,0)</f>
        <v>1.45</v>
      </c>
      <c r="P25" s="261">
        <f ca="1">IF(RIGHT(P$8,1)&lt;=RIGHT($C25),O25,0)</f>
        <v>1.45</v>
      </c>
      <c r="Q25" s="261">
        <f ca="1">IF(RIGHT(Q$8,1)&lt;=RIGHT($C25),O25,0)</f>
        <v>1.45</v>
      </c>
      <c r="R25" s="261">
        <f ca="1">IF(RIGHT(R$8,1)&lt;=RIGHT($C25),O25,0)*X25</f>
        <v>1.45</v>
      </c>
      <c r="S25" s="50"/>
      <c r="T25" s="50"/>
      <c r="U25" s="747"/>
      <c r="V25" s="755" t="s">
        <v>342</v>
      </c>
      <c r="W25" s="756"/>
      <c r="X25" s="757">
        <v>1</v>
      </c>
      <c r="Y25" s="749"/>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row>
    <row r="26" spans="1:92" s="254" customFormat="1" ht="16" thickBot="1" x14ac:dyDescent="0.4">
      <c r="A26" s="50"/>
      <c r="B26" s="263"/>
      <c r="C26" s="250"/>
      <c r="D26" s="250"/>
      <c r="E26" s="250"/>
      <c r="F26" s="250"/>
      <c r="G26" s="250"/>
      <c r="H26" s="250"/>
      <c r="I26" s="250"/>
      <c r="J26" s="250"/>
      <c r="K26" s="250"/>
      <c r="L26" s="250"/>
      <c r="M26" s="250"/>
      <c r="N26" s="250"/>
      <c r="O26" s="250"/>
      <c r="P26" s="250"/>
      <c r="Q26" s="250"/>
      <c r="R26" s="250"/>
      <c r="S26" s="50"/>
      <c r="T26" s="50"/>
      <c r="U26" s="751"/>
      <c r="V26" s="752"/>
      <c r="W26" s="752"/>
      <c r="X26" s="752"/>
      <c r="Y26" s="753"/>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c r="BI26" s="50"/>
      <c r="BJ26" s="50"/>
      <c r="BK26" s="50"/>
      <c r="BL26" s="50"/>
      <c r="BM26" s="50"/>
      <c r="BN26" s="50"/>
      <c r="BO26" s="50"/>
      <c r="BP26" s="50"/>
      <c r="BQ26" s="50"/>
      <c r="BR26" s="50"/>
      <c r="BS26" s="50"/>
      <c r="BT26" s="50"/>
      <c r="BU26" s="50"/>
      <c r="BV26" s="50"/>
      <c r="BW26" s="50"/>
      <c r="BX26" s="50"/>
      <c r="BY26" s="50"/>
      <c r="BZ26" s="50"/>
      <c r="CA26" s="50"/>
      <c r="CB26" s="50"/>
      <c r="CC26" s="50"/>
      <c r="CD26" s="50"/>
      <c r="CE26" s="50"/>
      <c r="CF26" s="50"/>
      <c r="CG26" s="50"/>
      <c r="CH26" s="50"/>
      <c r="CI26" s="50"/>
      <c r="CJ26" s="50"/>
      <c r="CK26" s="50"/>
      <c r="CL26" s="50"/>
      <c r="CM26" s="50"/>
      <c r="CN26" s="50"/>
    </row>
    <row r="27" spans="1:92" ht="16" thickBot="1" x14ac:dyDescent="0.4"/>
    <row r="28" spans="1:92" s="254" customFormat="1" x14ac:dyDescent="0.35">
      <c r="A28" s="50"/>
      <c r="B28" s="255"/>
      <c r="C28" s="242"/>
      <c r="D28" s="242"/>
      <c r="E28" s="242"/>
      <c r="F28" s="242"/>
      <c r="G28" s="242"/>
      <c r="H28" s="242"/>
      <c r="I28" s="242"/>
      <c r="J28" s="242"/>
      <c r="K28" s="242"/>
      <c r="L28" s="242"/>
      <c r="M28" s="242"/>
      <c r="N28" s="242"/>
      <c r="O28" s="242"/>
      <c r="P28" s="242"/>
      <c r="Q28" s="242"/>
      <c r="R28" s="242"/>
      <c r="S28" s="50"/>
      <c r="T28" s="50"/>
      <c r="U28" s="311"/>
      <c r="V28" s="312"/>
      <c r="W28" s="312"/>
      <c r="X28" s="312"/>
      <c r="Y28" s="313"/>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0"/>
      <c r="CA28" s="50"/>
      <c r="CB28" s="50"/>
      <c r="CC28" s="50"/>
      <c r="CD28" s="50"/>
      <c r="CE28" s="50"/>
      <c r="CF28" s="50"/>
      <c r="CG28" s="50"/>
      <c r="CH28" s="50"/>
      <c r="CI28" s="50"/>
      <c r="CJ28" s="50"/>
      <c r="CK28" s="50"/>
      <c r="CL28" s="50"/>
      <c r="CM28" s="50"/>
      <c r="CN28" s="50"/>
    </row>
    <row r="29" spans="1:92" s="254" customFormat="1" x14ac:dyDescent="0.35">
      <c r="A29" s="50"/>
      <c r="B29" s="256"/>
      <c r="C29" s="244"/>
      <c r="D29" s="244"/>
      <c r="E29" s="245" t="s">
        <v>130</v>
      </c>
      <c r="F29" s="245"/>
      <c r="G29" s="244"/>
      <c r="H29" s="257"/>
      <c r="I29" s="257"/>
      <c r="J29" s="257"/>
      <c r="K29" s="257"/>
      <c r="L29" s="257"/>
      <c r="M29" s="244"/>
      <c r="N29" s="257"/>
      <c r="O29" s="257"/>
      <c r="P29" s="257"/>
      <c r="Q29" s="257"/>
      <c r="R29" s="257"/>
      <c r="S29" s="50"/>
      <c r="T29" s="50"/>
      <c r="U29" s="739"/>
      <c r="V29" s="758"/>
      <c r="W29" s="758"/>
      <c r="X29" s="758"/>
      <c r="Y29" s="74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c r="BI29" s="50"/>
      <c r="BJ29" s="50"/>
      <c r="BK29" s="50"/>
      <c r="BL29" s="50"/>
      <c r="BM29" s="50"/>
      <c r="BN29" s="50"/>
      <c r="BO29" s="50"/>
      <c r="BP29" s="50"/>
      <c r="BQ29" s="50"/>
      <c r="BR29" s="50"/>
      <c r="BS29" s="50"/>
      <c r="BT29" s="50"/>
      <c r="BU29" s="50"/>
      <c r="BV29" s="50"/>
      <c r="BW29" s="50"/>
      <c r="BX29" s="50"/>
      <c r="BY29" s="50"/>
      <c r="BZ29" s="50"/>
      <c r="CA29" s="50"/>
      <c r="CB29" s="50"/>
      <c r="CC29" s="50"/>
      <c r="CD29" s="50"/>
      <c r="CE29" s="50"/>
      <c r="CF29" s="50"/>
      <c r="CG29" s="50"/>
      <c r="CH29" s="50"/>
      <c r="CI29" s="50"/>
      <c r="CJ29" s="50"/>
      <c r="CK29" s="50"/>
      <c r="CL29" s="50"/>
      <c r="CM29" s="50"/>
      <c r="CN29" s="50"/>
    </row>
    <row r="30" spans="1:92" s="254" customFormat="1" ht="15.75" customHeight="1" x14ac:dyDescent="0.35">
      <c r="A30" s="50"/>
      <c r="B30" s="256"/>
      <c r="C30" s="243" t="s">
        <v>181</v>
      </c>
      <c r="D30" s="243"/>
      <c r="E30" s="258">
        <v>1.45</v>
      </c>
      <c r="F30" s="244"/>
      <c r="G30" s="244"/>
      <c r="H30" s="259" t="str">
        <f>Markup_Scenario_1</f>
        <v>Preservation of Gross Margin</v>
      </c>
      <c r="I30" s="259"/>
      <c r="J30" s="259"/>
      <c r="K30" s="259"/>
      <c r="L30" s="259"/>
      <c r="M30" s="244"/>
      <c r="N30" s="259" t="str">
        <f>Markup_Scenario_2</f>
        <v>Preservation of Operating Profit</v>
      </c>
      <c r="O30" s="259"/>
      <c r="P30" s="259"/>
      <c r="Q30" s="259"/>
      <c r="R30" s="259"/>
      <c r="S30" s="50"/>
      <c r="T30" s="50"/>
      <c r="U30" s="747"/>
      <c r="V30" s="754" t="str">
        <f>C30</f>
        <v>PC3</v>
      </c>
      <c r="W30" s="748"/>
      <c r="X30" s="748"/>
      <c r="Y30" s="749"/>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0"/>
      <c r="CA30" s="50"/>
      <c r="CB30" s="50"/>
      <c r="CC30" s="50"/>
      <c r="CD30" s="50"/>
      <c r="CE30" s="50"/>
      <c r="CF30" s="50"/>
      <c r="CG30" s="50"/>
      <c r="CH30" s="50"/>
      <c r="CI30" s="50"/>
      <c r="CJ30" s="50"/>
      <c r="CK30" s="50"/>
      <c r="CL30" s="50"/>
      <c r="CM30" s="50"/>
      <c r="CN30" s="50"/>
    </row>
    <row r="31" spans="1:92" s="254" customFormat="1" x14ac:dyDescent="0.35">
      <c r="A31" s="50"/>
      <c r="B31" s="256"/>
      <c r="C31" s="260" t="str">
        <f>VLOOKUP(C30,PC_Table,2,FALSE)</f>
        <v>PM2.5 CADR ≥ 150</v>
      </c>
      <c r="D31" s="260"/>
      <c r="E31" s="257"/>
      <c r="F31" s="257"/>
      <c r="G31" s="257"/>
      <c r="H31" s="257"/>
      <c r="I31" s="257"/>
      <c r="J31" s="257"/>
      <c r="K31" s="257"/>
      <c r="L31" s="257"/>
      <c r="M31" s="257"/>
      <c r="N31" s="257"/>
      <c r="O31" s="257"/>
      <c r="P31" s="257"/>
      <c r="Q31" s="257"/>
      <c r="R31" s="257"/>
      <c r="S31" s="50"/>
      <c r="T31" s="50"/>
      <c r="U31" s="747"/>
      <c r="V31" s="754" t="str">
        <f>C31</f>
        <v>PM2.5 CADR ≥ 150</v>
      </c>
      <c r="W31" s="748"/>
      <c r="X31" s="748"/>
      <c r="Y31" s="749"/>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0"/>
      <c r="CA31" s="50"/>
      <c r="CB31" s="50"/>
      <c r="CC31" s="50"/>
      <c r="CD31" s="50"/>
      <c r="CE31" s="50"/>
      <c r="CF31" s="50"/>
      <c r="CG31" s="50"/>
      <c r="CH31" s="50"/>
      <c r="CI31" s="50"/>
      <c r="CJ31" s="50"/>
      <c r="CK31" s="50"/>
      <c r="CL31" s="50"/>
      <c r="CM31" s="50"/>
      <c r="CN31" s="50"/>
    </row>
    <row r="32" spans="1:92" s="254" customFormat="1" ht="16" thickBot="1" x14ac:dyDescent="0.4">
      <c r="A32" s="50"/>
      <c r="B32" s="256"/>
      <c r="C32" s="244"/>
      <c r="D32" s="244"/>
      <c r="E32" s="249" t="s">
        <v>241</v>
      </c>
      <c r="F32" s="249" t="s">
        <v>242</v>
      </c>
      <c r="G32" s="257"/>
      <c r="H32" s="249" t="s">
        <v>81</v>
      </c>
      <c r="I32" s="249" t="s">
        <v>86</v>
      </c>
      <c r="J32" s="249" t="s">
        <v>344</v>
      </c>
      <c r="K32" s="249" t="s">
        <v>343</v>
      </c>
      <c r="L32" s="249" t="s">
        <v>342</v>
      </c>
      <c r="M32" s="257"/>
      <c r="N32" s="249" t="s">
        <v>81</v>
      </c>
      <c r="O32" s="249" t="s">
        <v>86</v>
      </c>
      <c r="P32" s="249" t="s">
        <v>344</v>
      </c>
      <c r="Q32" s="249" t="s">
        <v>343</v>
      </c>
      <c r="R32" s="249" t="s">
        <v>342</v>
      </c>
      <c r="S32" s="50"/>
      <c r="T32" s="50"/>
      <c r="U32" s="747"/>
      <c r="V32" s="748"/>
      <c r="W32" s="748"/>
      <c r="X32" s="748"/>
      <c r="Y32" s="749"/>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0"/>
      <c r="CA32" s="50"/>
      <c r="CB32" s="50"/>
      <c r="CC32" s="50"/>
      <c r="CD32" s="50"/>
      <c r="CE32" s="50"/>
      <c r="CF32" s="50"/>
      <c r="CG32" s="50"/>
      <c r="CH32" s="50"/>
      <c r="CI32" s="50"/>
      <c r="CJ32" s="50"/>
      <c r="CK32" s="50"/>
      <c r="CL32" s="50"/>
      <c r="CM32" s="50"/>
      <c r="CN32" s="50"/>
    </row>
    <row r="33" spans="1:92" s="254" customFormat="1" ht="16" thickBot="1" x14ac:dyDescent="0.4">
      <c r="A33" s="50"/>
      <c r="B33" s="256"/>
      <c r="C33" s="245" t="s">
        <v>81</v>
      </c>
      <c r="D33" s="245"/>
      <c r="E33" s="262">
        <f ca="1">OFFSET(E33,0,MATCH(Markup_Scenario_X,H$6:AAH$6,0)+2)</f>
        <v>1.45</v>
      </c>
      <c r="F33" s="262">
        <f ca="1">OFFSET(F33,0,(MATCH(Markup_Scenario_X,H$6:AAK$6,0)
+MATCH(OFFSET('EL and TSL Setup'!$J$1,MATCH(OFFSET($C33,-(MATCH($C33,EL_List,0)+2),0),'EL and TSL Setup'!$C:$C,0),0),EL_List,0)))</f>
        <v>0</v>
      </c>
      <c r="G33" s="244"/>
      <c r="H33" s="261">
        <f ca="1">OFFSET(H33,-3,-3-(MATCH(H30,Markup_Scenario_List,0)-1)*(NAMES!$F$4+2))</f>
        <v>1.45</v>
      </c>
      <c r="I33" s="261">
        <v>0</v>
      </c>
      <c r="J33" s="261">
        <v>0</v>
      </c>
      <c r="K33" s="261">
        <v>0</v>
      </c>
      <c r="L33" s="261">
        <v>0</v>
      </c>
      <c r="M33" s="244"/>
      <c r="N33" s="261">
        <f ca="1">OFFSET(N33,-3,-3-(MATCH(N30,Markup_Scenario_List,0)-1)*(NAMES!$F$4+2))</f>
        <v>1.45</v>
      </c>
      <c r="O33" s="261">
        <v>0</v>
      </c>
      <c r="P33" s="261">
        <v>0</v>
      </c>
      <c r="Q33" s="261">
        <v>0</v>
      </c>
      <c r="R33" s="261">
        <v>0</v>
      </c>
      <c r="S33" s="50"/>
      <c r="T33" s="50"/>
      <c r="U33" s="747"/>
      <c r="V33" s="750" t="s">
        <v>193</v>
      </c>
      <c r="W33" s="750" t="s">
        <v>192</v>
      </c>
      <c r="X33" s="750" t="s">
        <v>206</v>
      </c>
      <c r="Y33" s="749"/>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W33" s="50"/>
      <c r="AX33" s="50"/>
      <c r="AY33" s="50"/>
      <c r="AZ33" s="50"/>
      <c r="BA33" s="50"/>
      <c r="BB33" s="50"/>
      <c r="BC33" s="50"/>
      <c r="BD33" s="50"/>
      <c r="BE33" s="50"/>
      <c r="BF33" s="50"/>
      <c r="BG33" s="50"/>
      <c r="BH33" s="50"/>
      <c r="BI33" s="50"/>
      <c r="BJ33" s="50"/>
      <c r="BK33" s="50"/>
      <c r="BL33" s="50"/>
      <c r="BM33" s="50"/>
      <c r="BN33" s="50"/>
      <c r="BO33" s="50"/>
      <c r="BP33" s="50"/>
      <c r="BQ33" s="50"/>
      <c r="BR33" s="50"/>
      <c r="BS33" s="50"/>
      <c r="BT33" s="50"/>
      <c r="BU33" s="50"/>
      <c r="BV33" s="50"/>
      <c r="BW33" s="50"/>
      <c r="BX33" s="50"/>
      <c r="BY33" s="50"/>
      <c r="BZ33" s="50"/>
      <c r="CA33" s="50"/>
      <c r="CB33" s="50"/>
      <c r="CC33" s="50"/>
      <c r="CD33" s="50"/>
      <c r="CE33" s="50"/>
      <c r="CF33" s="50"/>
      <c r="CG33" s="50"/>
      <c r="CH33" s="50"/>
      <c r="CI33" s="50"/>
      <c r="CJ33" s="50"/>
      <c r="CK33" s="50"/>
      <c r="CL33" s="50"/>
      <c r="CM33" s="50"/>
      <c r="CN33" s="50"/>
    </row>
    <row r="34" spans="1:92" s="254" customFormat="1" ht="16" thickBot="1" x14ac:dyDescent="0.4">
      <c r="A34" s="50"/>
      <c r="B34" s="256"/>
      <c r="C34" s="249" t="s">
        <v>86</v>
      </c>
      <c r="D34" s="249"/>
      <c r="E34" s="262">
        <f ca="1">OFFSET(E34,0,MATCH(Markup_Scenario_X,H$6:AAH$6,0)+2)</f>
        <v>1.45</v>
      </c>
      <c r="F34" s="262">
        <f ca="1">OFFSET(F34,0,(MATCH(Markup_Scenario_X,H$6:AAK$6,0)
+MATCH(OFFSET('EL and TSL Setup'!$J$1,MATCH(OFFSET($C34,-(MATCH($C34,EL_List,0)+2),0),'EL and TSL Setup'!$C:$C,0),0),EL_List,0)))</f>
        <v>0</v>
      </c>
      <c r="G34" s="244"/>
      <c r="H34" s="261">
        <f ca="1">H33</f>
        <v>1.45</v>
      </c>
      <c r="I34" s="261">
        <f t="shared" ref="I34:J37" ca="1" si="2">IF(RIGHT(I$8,1)&lt;=RIGHT($C34),H34,0)</f>
        <v>1.45</v>
      </c>
      <c r="J34" s="261">
        <f t="shared" si="2"/>
        <v>0</v>
      </c>
      <c r="K34" s="261">
        <f>IF(RIGHT(K$8,1)&lt;=RIGHT($C34),I34,0)</f>
        <v>0</v>
      </c>
      <c r="L34" s="261">
        <f>IF(RIGHT(L$8,1)&lt;=RIGHT($C34),I34,0)</f>
        <v>0</v>
      </c>
      <c r="M34" s="244"/>
      <c r="N34" s="261">
        <f ca="1">N33</f>
        <v>1.45</v>
      </c>
      <c r="O34" s="261">
        <f ca="1">IF(RIGHT(O$8,1)&lt;=RIGHT($C34),N34,0)*X34</f>
        <v>1.448718087556276</v>
      </c>
      <c r="P34" s="261">
        <f>IF(RIGHT(P$8,1)&lt;=RIGHT($C34),O34,0)</f>
        <v>0</v>
      </c>
      <c r="Q34" s="261">
        <f>IF(RIGHT(Q$8,1)&lt;=RIGHT($C34),O34,0)</f>
        <v>0</v>
      </c>
      <c r="R34" s="261">
        <f>IF(RIGHT(R$8,1)&lt;=RIGHT($C34),O34,0)</f>
        <v>0</v>
      </c>
      <c r="S34" s="50"/>
      <c r="T34" s="50"/>
      <c r="U34" s="747"/>
      <c r="V34" s="755" t="s">
        <v>86</v>
      </c>
      <c r="W34" s="791"/>
      <c r="X34" s="792">
        <v>0.99911592245260417</v>
      </c>
      <c r="Y34" s="749"/>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c r="BI34" s="50"/>
      <c r="BJ34" s="50"/>
      <c r="BK34" s="50"/>
      <c r="BL34" s="50"/>
      <c r="BM34" s="50"/>
      <c r="BN34" s="50"/>
      <c r="BO34" s="50"/>
      <c r="BP34" s="50"/>
      <c r="BQ34" s="50"/>
      <c r="BR34" s="50"/>
      <c r="BS34" s="50"/>
      <c r="BT34" s="50"/>
      <c r="BU34" s="50"/>
      <c r="BV34" s="50"/>
      <c r="BW34" s="50"/>
      <c r="BX34" s="50"/>
      <c r="BY34" s="50"/>
      <c r="BZ34" s="50"/>
      <c r="CA34" s="50"/>
      <c r="CB34" s="50"/>
      <c r="CC34" s="50"/>
      <c r="CD34" s="50"/>
      <c r="CE34" s="50"/>
      <c r="CF34" s="50"/>
      <c r="CG34" s="50"/>
      <c r="CH34" s="50"/>
      <c r="CI34" s="50"/>
      <c r="CJ34" s="50"/>
      <c r="CK34" s="50"/>
      <c r="CL34" s="50"/>
      <c r="CM34" s="50"/>
      <c r="CN34" s="50"/>
    </row>
    <row r="35" spans="1:92" s="254" customFormat="1" ht="16" thickBot="1" x14ac:dyDescent="0.4">
      <c r="A35" s="50"/>
      <c r="B35" s="256"/>
      <c r="C35" s="249" t="s">
        <v>344</v>
      </c>
      <c r="D35" s="249"/>
      <c r="E35" s="262">
        <f ca="1">OFFSET(E35,0,MATCH(Markup_Scenario_X,H$6:AAH$6,0)+2)</f>
        <v>1.45</v>
      </c>
      <c r="F35" s="262">
        <f ca="1">OFFSET(F35,0,(MATCH(Markup_Scenario_X,H$6:AAK$6,0)
+MATCH(OFFSET('EL and TSL Setup'!$J$1,MATCH(OFFSET($C35,-(MATCH($C35,EL_List,0)+2),0),'EL and TSL Setup'!$C:$C,0),0),EL_List,0)))</f>
        <v>1.4479314458477663</v>
      </c>
      <c r="G35" s="244"/>
      <c r="H35" s="261">
        <f ca="1">H34</f>
        <v>1.45</v>
      </c>
      <c r="I35" s="261">
        <f t="shared" ca="1" si="2"/>
        <v>1.45</v>
      </c>
      <c r="J35" s="261">
        <f t="shared" ca="1" si="2"/>
        <v>1.45</v>
      </c>
      <c r="K35" s="261">
        <f>IF(RIGHT(K$8,1)&lt;=RIGHT($C35),I35,0)</f>
        <v>0</v>
      </c>
      <c r="L35" s="261">
        <f>IF(RIGHT(L$8,1)&lt;=RIGHT($C35),I35,0)</f>
        <v>0</v>
      </c>
      <c r="M35" s="244"/>
      <c r="N35" s="261">
        <f ca="1">N34</f>
        <v>1.45</v>
      </c>
      <c r="O35" s="261">
        <f ca="1">IF(RIGHT(O$8,1)&lt;=RIGHT($C35),N35,0)</f>
        <v>1.45</v>
      </c>
      <c r="P35" s="261">
        <f ca="1">IF(RIGHT(P$8,1)&lt;=RIGHT($C35),O35,0)*X35</f>
        <v>1.4479314458477663</v>
      </c>
      <c r="Q35" s="261">
        <f>IF(RIGHT(Q$8,1)&lt;=RIGHT($C35),O35,0)</f>
        <v>0</v>
      </c>
      <c r="R35" s="261">
        <f>IF(RIGHT(R$8,1)&lt;=RIGHT($C35),O35,0)</f>
        <v>0</v>
      </c>
      <c r="S35" s="50"/>
      <c r="T35" s="50"/>
      <c r="U35" s="747"/>
      <c r="V35" s="755" t="s">
        <v>344</v>
      </c>
      <c r="W35" s="791" t="s">
        <v>90</v>
      </c>
      <c r="X35" s="792">
        <v>0.99857341092949403</v>
      </c>
      <c r="Y35" s="749"/>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c r="BI35" s="50"/>
      <c r="BJ35" s="50"/>
      <c r="BK35" s="50"/>
      <c r="BL35" s="50"/>
      <c r="BM35" s="50"/>
      <c r="BN35" s="50"/>
      <c r="BO35" s="50"/>
      <c r="BP35" s="50"/>
      <c r="BQ35" s="50"/>
      <c r="BR35" s="50"/>
      <c r="BS35" s="50"/>
      <c r="BT35" s="50"/>
      <c r="BU35" s="50"/>
      <c r="BV35" s="50"/>
      <c r="BW35" s="50"/>
      <c r="BX35" s="50"/>
      <c r="BY35" s="50"/>
      <c r="BZ35" s="50"/>
      <c r="CA35" s="50"/>
      <c r="CB35" s="50"/>
      <c r="CC35" s="50"/>
      <c r="CD35" s="50"/>
      <c r="CE35" s="50"/>
      <c r="CF35" s="50"/>
      <c r="CG35" s="50"/>
      <c r="CH35" s="50"/>
      <c r="CI35" s="50"/>
      <c r="CJ35" s="50"/>
      <c r="CK35" s="50"/>
      <c r="CL35" s="50"/>
      <c r="CM35" s="50"/>
      <c r="CN35" s="50"/>
    </row>
    <row r="36" spans="1:92" s="254" customFormat="1" ht="16" thickBot="1" x14ac:dyDescent="0.4">
      <c r="A36" s="50"/>
      <c r="B36" s="256"/>
      <c r="C36" s="249" t="s">
        <v>343</v>
      </c>
      <c r="D36" s="249"/>
      <c r="E36" s="262">
        <f ca="1">OFFSET(E36,0,MATCH(Markup_Scenario_X,H$6:AAH$6,0)+2)</f>
        <v>1.45</v>
      </c>
      <c r="F36" s="262">
        <f ca="1">OFFSET(F36,0,(MATCH(Markup_Scenario_X,H$6:AAK$6,0)
+MATCH(OFFSET('EL and TSL Setup'!$J$1,MATCH(OFFSET($C36,-(MATCH($C36,EL_List,0)+2),0),'EL and TSL Setup'!$C:$C,0),0),EL_List,0)))</f>
        <v>1.45</v>
      </c>
      <c r="G36" s="244"/>
      <c r="H36" s="261">
        <f ca="1">H34</f>
        <v>1.45</v>
      </c>
      <c r="I36" s="261">
        <f t="shared" ca="1" si="2"/>
        <v>1.45</v>
      </c>
      <c r="J36" s="261">
        <f t="shared" ca="1" si="2"/>
        <v>1.45</v>
      </c>
      <c r="K36" s="261">
        <f ca="1">IF(RIGHT(K$8,1)&lt;=RIGHT($C36),I36,0)</f>
        <v>1.45</v>
      </c>
      <c r="L36" s="261">
        <f>IF(RIGHT(L$8,1)&lt;=RIGHT($C36),I36,0)</f>
        <v>0</v>
      </c>
      <c r="M36" s="244"/>
      <c r="N36" s="261">
        <f ca="1">N34</f>
        <v>1.45</v>
      </c>
      <c r="O36" s="261">
        <f ca="1">IF(RIGHT(O$8,1)&lt;=RIGHT($C36),N36,0)</f>
        <v>1.45</v>
      </c>
      <c r="P36" s="261">
        <f ca="1">IF(RIGHT(P$8,1)&lt;=RIGHT($C36),O36,0)</f>
        <v>1.45</v>
      </c>
      <c r="Q36" s="261">
        <f ca="1">IF(RIGHT(Q$8,1)&lt;=RIGHT($C36),O36,0)*X36</f>
        <v>1.45</v>
      </c>
      <c r="R36" s="261">
        <f>IF(RIGHT(R$8,1)&lt;=RIGHT($C36),O36,0)</f>
        <v>0</v>
      </c>
      <c r="S36" s="50"/>
      <c r="T36" s="50"/>
      <c r="U36" s="747"/>
      <c r="V36" s="755" t="s">
        <v>343</v>
      </c>
      <c r="W36" s="756"/>
      <c r="X36" s="757">
        <v>1</v>
      </c>
      <c r="Y36" s="749"/>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W36" s="50"/>
      <c r="AX36" s="50"/>
      <c r="AY36" s="50"/>
      <c r="AZ36" s="50"/>
      <c r="BA36" s="50"/>
      <c r="BB36" s="50"/>
      <c r="BC36" s="50"/>
      <c r="BD36" s="50"/>
      <c r="BE36" s="50"/>
      <c r="BF36" s="50"/>
      <c r="BG36" s="50"/>
      <c r="BH36" s="50"/>
      <c r="BI36" s="50"/>
      <c r="BJ36" s="50"/>
      <c r="BK36" s="50"/>
      <c r="BL36" s="50"/>
      <c r="BM36" s="50"/>
      <c r="BN36" s="50"/>
      <c r="BO36" s="50"/>
      <c r="BP36" s="50"/>
      <c r="BQ36" s="50"/>
      <c r="BR36" s="50"/>
      <c r="BS36" s="50"/>
      <c r="BT36" s="50"/>
      <c r="BU36" s="50"/>
      <c r="BV36" s="50"/>
      <c r="BW36" s="50"/>
      <c r="BX36" s="50"/>
      <c r="BY36" s="50"/>
      <c r="BZ36" s="50"/>
      <c r="CA36" s="50"/>
      <c r="CB36" s="50"/>
      <c r="CC36" s="50"/>
      <c r="CD36" s="50"/>
      <c r="CE36" s="50"/>
      <c r="CF36" s="50"/>
      <c r="CG36" s="50"/>
      <c r="CH36" s="50"/>
      <c r="CI36" s="50"/>
      <c r="CJ36" s="50"/>
      <c r="CK36" s="50"/>
      <c r="CL36" s="50"/>
      <c r="CM36" s="50"/>
      <c r="CN36" s="50"/>
    </row>
    <row r="37" spans="1:92" s="254" customFormat="1" ht="16" thickBot="1" x14ac:dyDescent="0.4">
      <c r="A37" s="50"/>
      <c r="B37" s="256"/>
      <c r="C37" s="249" t="s">
        <v>342</v>
      </c>
      <c r="D37" s="249"/>
      <c r="E37" s="262">
        <f ca="1">OFFSET(E37,0,MATCH(Markup_Scenario_X,H$6:AAH$6,0)+2)</f>
        <v>1.45</v>
      </c>
      <c r="F37" s="262">
        <f ca="1">OFFSET(F37,0,(MATCH(Markup_Scenario_X,H$6:AAK$6,0)
+MATCH(OFFSET('EL and TSL Setup'!$J$1,MATCH(OFFSET($C37,-(MATCH($C37,EL_List,0)+2),0),'EL and TSL Setup'!$C:$C,0),0),EL_List,0)))</f>
        <v>1.45</v>
      </c>
      <c r="G37" s="244"/>
      <c r="H37" s="261">
        <f ca="1">H34</f>
        <v>1.45</v>
      </c>
      <c r="I37" s="261">
        <f t="shared" ca="1" si="2"/>
        <v>1.45</v>
      </c>
      <c r="J37" s="261">
        <f t="shared" ca="1" si="2"/>
        <v>1.45</v>
      </c>
      <c r="K37" s="261">
        <f ca="1">IF(RIGHT(K$8,1)&lt;=RIGHT($C37),I37,0)</f>
        <v>1.45</v>
      </c>
      <c r="L37" s="261">
        <f ca="1">IF(RIGHT(L$8,1)&lt;=RIGHT($C37),I37,0)</f>
        <v>1.45</v>
      </c>
      <c r="M37" s="244"/>
      <c r="N37" s="261">
        <f ca="1">N34</f>
        <v>1.45</v>
      </c>
      <c r="O37" s="261">
        <f ca="1">IF(RIGHT(O$8,1)&lt;=RIGHT($C37),N37,0)</f>
        <v>1.45</v>
      </c>
      <c r="P37" s="261">
        <f ca="1">IF(RIGHT(P$8,1)&lt;=RIGHT($C37),O37,0)</f>
        <v>1.45</v>
      </c>
      <c r="Q37" s="261">
        <f ca="1">IF(RIGHT(Q$8,1)&lt;=RIGHT($C37),O37,0)</f>
        <v>1.45</v>
      </c>
      <c r="R37" s="261">
        <f ca="1">IF(RIGHT(R$8,1)&lt;=RIGHT($C37),O37,0)*X37</f>
        <v>1.45</v>
      </c>
      <c r="S37" s="50"/>
      <c r="T37" s="50"/>
      <c r="U37" s="747"/>
      <c r="V37" s="755" t="s">
        <v>342</v>
      </c>
      <c r="W37" s="756"/>
      <c r="X37" s="757">
        <v>1</v>
      </c>
      <c r="Y37" s="749"/>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0"/>
      <c r="CA37" s="50"/>
      <c r="CB37" s="50"/>
      <c r="CC37" s="50"/>
      <c r="CD37" s="50"/>
      <c r="CE37" s="50"/>
      <c r="CF37" s="50"/>
      <c r="CG37" s="50"/>
      <c r="CH37" s="50"/>
      <c r="CI37" s="50"/>
      <c r="CJ37" s="50"/>
      <c r="CK37" s="50"/>
      <c r="CL37" s="50"/>
      <c r="CM37" s="50"/>
      <c r="CN37" s="50"/>
    </row>
    <row r="38" spans="1:92" s="254" customFormat="1" ht="16" thickBot="1" x14ac:dyDescent="0.4">
      <c r="A38" s="50"/>
      <c r="B38" s="263"/>
      <c r="C38" s="250"/>
      <c r="D38" s="250"/>
      <c r="E38" s="250"/>
      <c r="F38" s="250"/>
      <c r="G38" s="250"/>
      <c r="H38" s="250"/>
      <c r="I38" s="250"/>
      <c r="J38" s="250"/>
      <c r="K38" s="250"/>
      <c r="L38" s="250"/>
      <c r="M38" s="250"/>
      <c r="N38" s="250"/>
      <c r="O38" s="250"/>
      <c r="P38" s="250"/>
      <c r="Q38" s="250"/>
      <c r="R38" s="250"/>
      <c r="S38" s="50"/>
      <c r="T38" s="50"/>
      <c r="U38" s="751"/>
      <c r="V38" s="752"/>
      <c r="W38" s="752"/>
      <c r="X38" s="752"/>
      <c r="Y38" s="753"/>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row>
  </sheetData>
  <mergeCells count="1">
    <mergeCell ref="U1:Y1"/>
  </mergeCells>
  <hyperlinks>
    <hyperlink ref="E2" location="Navigation!A1" display="Navigation" xr:uid="{00000000-0004-0000-0900-000000000000}"/>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theme="8" tint="-0.499984740745262"/>
  </sheetPr>
  <dimension ref="A1:AU102"/>
  <sheetViews>
    <sheetView zoomScale="60" zoomScaleNormal="60" workbookViewId="0"/>
  </sheetViews>
  <sheetFormatPr defaultColWidth="15.54296875" defaultRowHeight="18" customHeight="1" x14ac:dyDescent="0.35"/>
  <cols>
    <col min="1" max="2" width="3.54296875" style="359" customWidth="1"/>
    <col min="3" max="3" width="81.54296875" style="359" customWidth="1"/>
    <col min="4" max="4" width="15.54296875" style="359"/>
    <col min="5" max="5" width="21.54296875" style="359" customWidth="1"/>
    <col min="6" max="6" width="20.453125" style="359" customWidth="1"/>
    <col min="7" max="7" width="22.453125" style="359" customWidth="1"/>
    <col min="8" max="8" width="15.54296875" style="359"/>
    <col min="9" max="9" width="29.453125" style="359" customWidth="1"/>
    <col min="10" max="15" width="14.453125" style="359" customWidth="1"/>
    <col min="16" max="16384" width="15.54296875" style="359"/>
  </cols>
  <sheetData>
    <row r="1" spans="1:41" ht="18" customHeight="1" thickBot="1" x14ac:dyDescent="0.4"/>
    <row r="2" spans="1:41" ht="18" customHeight="1" thickTop="1" thickBot="1" x14ac:dyDescent="0.4">
      <c r="B2" s="360"/>
      <c r="C2" s="361" t="s">
        <v>87</v>
      </c>
      <c r="D2" s="360"/>
      <c r="E2" s="10" t="s">
        <v>159</v>
      </c>
      <c r="F2" s="360"/>
      <c r="G2" s="360"/>
      <c r="H2" s="360"/>
      <c r="I2" s="360"/>
      <c r="J2" s="360"/>
      <c r="K2" s="360"/>
      <c r="L2" s="360"/>
      <c r="M2" s="360"/>
      <c r="N2" s="360"/>
      <c r="O2" s="360"/>
      <c r="P2" s="360"/>
      <c r="Q2" s="360"/>
      <c r="R2" s="360"/>
      <c r="S2" s="360"/>
      <c r="T2" s="360"/>
      <c r="U2" s="360"/>
      <c r="V2" s="360"/>
      <c r="W2" s="360"/>
      <c r="X2" s="360"/>
      <c r="Y2" s="360"/>
      <c r="Z2" s="360"/>
      <c r="AA2" s="360"/>
      <c r="AB2" s="360"/>
      <c r="AC2" s="360"/>
      <c r="AD2" s="360"/>
      <c r="AE2" s="360"/>
      <c r="AF2" s="360"/>
      <c r="AG2" s="360"/>
      <c r="AH2" s="360"/>
      <c r="AI2" s="360"/>
      <c r="AJ2" s="360"/>
      <c r="AK2" s="360"/>
      <c r="AL2" s="360"/>
      <c r="AM2" s="360"/>
      <c r="AN2" s="360"/>
    </row>
    <row r="3" spans="1:41" ht="18" customHeight="1" thickBot="1" x14ac:dyDescent="0.4">
      <c r="A3" s="362"/>
      <c r="B3" s="67"/>
      <c r="C3" s="362"/>
      <c r="D3" s="362"/>
      <c r="E3" s="362"/>
      <c r="F3" s="362"/>
      <c r="G3" s="362"/>
      <c r="H3" s="362"/>
      <c r="I3" s="362"/>
      <c r="J3" s="362"/>
      <c r="K3" s="362"/>
      <c r="L3" s="362"/>
      <c r="M3" s="362"/>
      <c r="N3" s="363"/>
      <c r="O3" s="363"/>
      <c r="P3" s="363"/>
      <c r="Q3" s="363"/>
      <c r="R3" s="363"/>
      <c r="S3" s="363"/>
      <c r="T3" s="363"/>
      <c r="U3" s="363"/>
      <c r="V3" s="363"/>
      <c r="W3" s="363"/>
      <c r="X3" s="363"/>
      <c r="Y3" s="363"/>
      <c r="Z3" s="363"/>
      <c r="AA3" s="363"/>
      <c r="AB3" s="363"/>
      <c r="AC3" s="363"/>
      <c r="AD3" s="363"/>
      <c r="AE3" s="363"/>
      <c r="AF3" s="363"/>
      <c r="AG3" s="363"/>
      <c r="AH3" s="363"/>
      <c r="AI3" s="363"/>
      <c r="AJ3" s="363"/>
      <c r="AK3" s="363"/>
      <c r="AL3" s="363"/>
      <c r="AM3" s="363"/>
      <c r="AN3" s="363"/>
    </row>
    <row r="4" spans="1:41" ht="18" customHeight="1" x14ac:dyDescent="0.35">
      <c r="A4" s="362"/>
      <c r="B4" s="364"/>
      <c r="C4" s="365"/>
      <c r="D4" s="366"/>
      <c r="E4" s="366"/>
      <c r="F4" s="366"/>
      <c r="G4" s="366"/>
      <c r="H4" s="366"/>
      <c r="I4" s="366"/>
      <c r="J4" s="367"/>
      <c r="K4" s="366"/>
      <c r="L4" s="366"/>
      <c r="M4" s="366"/>
      <c r="N4" s="369"/>
      <c r="O4" s="363"/>
      <c r="P4" s="363"/>
      <c r="Q4" s="363"/>
      <c r="R4" s="363"/>
      <c r="S4" s="363"/>
      <c r="T4" s="363"/>
      <c r="U4" s="363"/>
      <c r="V4" s="363"/>
      <c r="W4" s="363"/>
      <c r="X4" s="363"/>
      <c r="Y4" s="363"/>
      <c r="Z4" s="363"/>
      <c r="AA4" s="363"/>
      <c r="AB4" s="363"/>
      <c r="AC4" s="363"/>
      <c r="AD4" s="363"/>
      <c r="AE4" s="363"/>
      <c r="AF4" s="363"/>
      <c r="AG4" s="363"/>
      <c r="AH4" s="363"/>
      <c r="AI4" s="363"/>
      <c r="AJ4" s="363"/>
      <c r="AK4" s="363"/>
      <c r="AL4" s="363"/>
      <c r="AM4" s="363"/>
      <c r="AN4" s="363"/>
      <c r="AO4" s="363"/>
    </row>
    <row r="5" spans="1:41" ht="18" customHeight="1" x14ac:dyDescent="0.35">
      <c r="A5" s="362"/>
      <c r="B5" s="370"/>
      <c r="C5" s="380"/>
      <c r="D5" s="380" t="s">
        <v>265</v>
      </c>
      <c r="E5" s="380"/>
      <c r="F5" s="380"/>
      <c r="G5" s="380"/>
      <c r="H5" s="380"/>
      <c r="I5" s="380"/>
      <c r="J5" s="380"/>
      <c r="K5" s="380"/>
      <c r="L5" s="380"/>
      <c r="M5" s="573" t="s">
        <v>259</v>
      </c>
      <c r="N5" s="37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3"/>
    </row>
    <row r="6" spans="1:41" ht="18" customHeight="1" x14ac:dyDescent="0.35">
      <c r="A6" s="362"/>
      <c r="B6" s="370"/>
      <c r="C6" s="380" t="s">
        <v>264</v>
      </c>
      <c r="D6" s="375">
        <v>333413</v>
      </c>
      <c r="E6" s="371"/>
      <c r="F6" s="380"/>
      <c r="G6" s="380" t="s">
        <v>176</v>
      </c>
      <c r="H6" s="381">
        <f>(D10*1000)/D9</f>
        <v>1919.9882938249928</v>
      </c>
      <c r="I6" s="372"/>
      <c r="J6" s="380" t="str">
        <f>CONCATENATE("U.S. Labor Percentage"," ", "(", "All Product Classes",")")</f>
        <v>U.S. Labor Percentage (All Product Classes)</v>
      </c>
      <c r="K6" s="567">
        <v>2.5477707006369428E-2</v>
      </c>
      <c r="L6" s="380"/>
      <c r="M6" s="566">
        <f>SUMPRODUCT(($K$8:$K$17),($M$8:$M$17),($L$8:$L$17=TRUE)*1)/SUMIF($L$8:$L$17,"TRUE",$M$8:$M$17)</f>
        <v>1</v>
      </c>
      <c r="N6" s="373"/>
      <c r="O6" s="378"/>
      <c r="P6" s="378"/>
      <c r="Q6" s="378"/>
      <c r="R6" s="378"/>
      <c r="S6" s="363"/>
      <c r="T6" s="363"/>
      <c r="U6" s="363"/>
      <c r="V6" s="363"/>
      <c r="W6" s="363"/>
      <c r="X6" s="363"/>
      <c r="Y6" s="363"/>
      <c r="Z6" s="363"/>
      <c r="AA6" s="363"/>
      <c r="AB6" s="363"/>
      <c r="AC6" s="363"/>
      <c r="AD6" s="363"/>
      <c r="AE6" s="363"/>
      <c r="AF6" s="363"/>
      <c r="AG6" s="363"/>
      <c r="AH6" s="363"/>
      <c r="AI6" s="363"/>
      <c r="AJ6" s="363"/>
      <c r="AK6" s="363"/>
      <c r="AL6" s="363"/>
      <c r="AM6" s="363"/>
      <c r="AN6" s="363"/>
      <c r="AO6" s="363"/>
    </row>
    <row r="7" spans="1:41" ht="18" customHeight="1" x14ac:dyDescent="0.35">
      <c r="A7" s="362"/>
      <c r="B7" s="370"/>
      <c r="C7" s="374" t="s">
        <v>61</v>
      </c>
      <c r="D7" s="375">
        <v>2020</v>
      </c>
      <c r="E7" s="376"/>
      <c r="F7" s="376"/>
      <c r="G7" s="380" t="str">
        <f>"No STDs Case Industry Labor Expenditures for "&amp;Standard_Year&amp;" ($MM)"</f>
        <v>No STDs Case Industry Labor Expenditures for 2026 ($MM)</v>
      </c>
      <c r="H7" s="382">
        <f ca="1">INDEX(Total_Labor_NoSTDs,MATCH(Standard_Year,Dates,0))</f>
        <v>10.506061888651297</v>
      </c>
      <c r="I7" s="372"/>
      <c r="J7" s="372"/>
      <c r="K7" s="372"/>
      <c r="L7" s="372"/>
      <c r="M7" s="573" t="str">
        <f>"PLE in " &amp;Standard_Year&amp;" ($MM)"</f>
        <v>PLE in 2026 ($MM)</v>
      </c>
      <c r="N7" s="373"/>
      <c r="O7" s="378"/>
      <c r="P7" s="378"/>
      <c r="Q7" s="378"/>
      <c r="R7" s="378"/>
      <c r="S7" s="363"/>
      <c r="T7" s="363"/>
      <c r="U7" s="363"/>
      <c r="V7" s="363"/>
      <c r="W7" s="363"/>
      <c r="X7" s="363"/>
      <c r="Y7" s="363"/>
      <c r="Z7" s="363"/>
      <c r="AA7" s="363"/>
      <c r="AB7" s="363"/>
      <c r="AC7" s="363"/>
      <c r="AD7" s="363"/>
      <c r="AE7" s="363"/>
      <c r="AF7" s="363"/>
      <c r="AG7" s="363"/>
      <c r="AH7" s="363"/>
      <c r="AI7" s="363"/>
      <c r="AJ7" s="363"/>
      <c r="AK7" s="363"/>
      <c r="AL7" s="363"/>
      <c r="AM7" s="363"/>
      <c r="AN7" s="363"/>
      <c r="AO7" s="363"/>
    </row>
    <row r="8" spans="1:41" ht="18" customHeight="1" x14ac:dyDescent="0.35">
      <c r="A8" s="362"/>
      <c r="B8" s="370"/>
      <c r="C8" s="374" t="s">
        <v>88</v>
      </c>
      <c r="D8" s="379">
        <v>24463</v>
      </c>
      <c r="E8" s="376"/>
      <c r="F8" s="376"/>
      <c r="G8" s="380" t="str">
        <f>"Standard Case Industry Labor Expenditures for "&amp;Standard_Year&amp;" ($MM)"</f>
        <v>Standard Case Industry Labor Expenditures for 2026 ($MM)</v>
      </c>
      <c r="H8" s="382">
        <f ca="1">INDEX(Total_Labor_Standards,MATCH(Standard_Year,Dates,0))</f>
        <v>10.269532169875859</v>
      </c>
      <c r="I8" s="372"/>
      <c r="J8" s="380" t="str">
        <f>CONCATENATE("U.S. Labor Percentage"," ", "(",NAMES!D6,")")</f>
        <v>U.S. Labor Percentage (PC1)</v>
      </c>
      <c r="K8" s="567">
        <v>1</v>
      </c>
      <c r="L8" s="567" t="b">
        <f>IF(INDEX(NAMES!G:G,MATCH(NAMES!D6,NAMES!D:D,0),)=TRUE,TRUE,FALSE)</f>
        <v>1</v>
      </c>
      <c r="M8" s="568">
        <v>248.79321925735155</v>
      </c>
      <c r="N8" s="373"/>
      <c r="O8" s="378"/>
      <c r="P8" s="378"/>
      <c r="Q8" s="378"/>
      <c r="R8" s="378"/>
      <c r="S8" s="363"/>
      <c r="T8" s="363"/>
      <c r="U8" s="363"/>
      <c r="V8" s="363"/>
      <c r="W8" s="363"/>
      <c r="X8" s="363"/>
      <c r="Y8" s="363"/>
      <c r="Z8" s="363"/>
      <c r="AA8" s="363"/>
      <c r="AB8" s="363"/>
      <c r="AC8" s="363"/>
      <c r="AD8" s="363"/>
      <c r="AE8" s="363"/>
      <c r="AF8" s="363"/>
      <c r="AG8" s="363"/>
      <c r="AH8" s="363"/>
      <c r="AI8" s="363"/>
      <c r="AJ8" s="363"/>
      <c r="AK8" s="363"/>
      <c r="AL8" s="363"/>
      <c r="AM8" s="363"/>
      <c r="AN8" s="363"/>
      <c r="AO8" s="363"/>
    </row>
    <row r="9" spans="1:41" ht="18" customHeight="1" x14ac:dyDescent="0.35">
      <c r="A9" s="362"/>
      <c r="B9" s="370"/>
      <c r="C9" s="374" t="s">
        <v>263</v>
      </c>
      <c r="D9" s="379">
        <v>17085</v>
      </c>
      <c r="E9" s="376"/>
      <c r="F9" s="376"/>
      <c r="G9" s="380"/>
      <c r="H9" s="383"/>
      <c r="I9" s="372"/>
      <c r="J9" s="372"/>
      <c r="K9" s="377"/>
      <c r="L9" s="377"/>
      <c r="M9" s="372"/>
      <c r="N9" s="373"/>
      <c r="O9" s="378"/>
      <c r="P9" s="378"/>
      <c r="Q9" s="378"/>
      <c r="R9" s="378"/>
      <c r="S9" s="363"/>
      <c r="T9" s="363"/>
      <c r="U9" s="363"/>
      <c r="V9" s="363"/>
      <c r="W9" s="363"/>
      <c r="X9" s="363"/>
      <c r="Y9" s="363"/>
      <c r="Z9" s="363"/>
      <c r="AA9" s="363"/>
      <c r="AB9" s="363"/>
      <c r="AC9" s="363"/>
      <c r="AD9" s="363"/>
      <c r="AE9" s="363"/>
      <c r="AF9" s="363"/>
      <c r="AG9" s="363"/>
      <c r="AH9" s="363"/>
      <c r="AI9" s="363"/>
      <c r="AJ9" s="363"/>
      <c r="AK9" s="363"/>
      <c r="AL9" s="363"/>
      <c r="AM9" s="363"/>
      <c r="AN9" s="363"/>
      <c r="AO9" s="363"/>
    </row>
    <row r="10" spans="1:41" ht="18" customHeight="1" x14ac:dyDescent="0.35">
      <c r="A10" s="362"/>
      <c r="B10" s="370"/>
      <c r="C10" s="374" t="s">
        <v>208</v>
      </c>
      <c r="D10" s="379">
        <v>32803</v>
      </c>
      <c r="E10" s="376"/>
      <c r="F10" s="376"/>
      <c r="G10" s="380" t="s">
        <v>238</v>
      </c>
      <c r="H10" s="384">
        <f ca="1">(H7*1000000)/($H$6*$D$15)</f>
        <v>181.53353440570467</v>
      </c>
      <c r="I10" s="372"/>
      <c r="J10" s="372"/>
      <c r="K10" s="377"/>
      <c r="L10" s="377"/>
      <c r="M10" s="372"/>
      <c r="N10" s="373"/>
      <c r="O10" s="378"/>
      <c r="P10" s="378"/>
      <c r="Q10" s="378"/>
      <c r="R10" s="378"/>
      <c r="S10" s="363"/>
      <c r="T10" s="363"/>
      <c r="U10" s="363"/>
      <c r="V10" s="363"/>
      <c r="W10" s="363"/>
      <c r="X10" s="363"/>
      <c r="Y10" s="363"/>
      <c r="Z10" s="363"/>
      <c r="AA10" s="363"/>
      <c r="AB10" s="363"/>
      <c r="AC10" s="363"/>
      <c r="AD10" s="363"/>
      <c r="AE10" s="363"/>
      <c r="AF10" s="363"/>
      <c r="AG10" s="363"/>
      <c r="AH10" s="363"/>
      <c r="AI10" s="363"/>
      <c r="AJ10" s="363"/>
      <c r="AK10" s="363"/>
      <c r="AL10" s="363"/>
      <c r="AM10" s="363"/>
      <c r="AN10" s="363"/>
      <c r="AO10" s="363"/>
    </row>
    <row r="11" spans="1:41" ht="18" customHeight="1" x14ac:dyDescent="0.35">
      <c r="A11" s="362"/>
      <c r="B11" s="370"/>
      <c r="C11" s="374"/>
      <c r="D11" s="374"/>
      <c r="E11" s="376"/>
      <c r="F11" s="376"/>
      <c r="G11" s="380" t="s">
        <v>108</v>
      </c>
      <c r="H11" s="384">
        <f ca="1">(H8*1000000)/($H$6*$D$15)</f>
        <v>177.44655335644256</v>
      </c>
      <c r="I11" s="372"/>
      <c r="J11" s="372"/>
      <c r="K11" s="377"/>
      <c r="L11" s="377"/>
      <c r="M11" s="372"/>
      <c r="N11" s="373"/>
      <c r="O11" s="378"/>
      <c r="P11" s="378"/>
      <c r="Q11" s="378"/>
      <c r="R11" s="378"/>
      <c r="S11" s="363"/>
      <c r="T11" s="363"/>
      <c r="U11" s="363"/>
      <c r="V11" s="363"/>
      <c r="W11" s="363"/>
      <c r="X11" s="363"/>
      <c r="Y11" s="363"/>
      <c r="Z11" s="363"/>
      <c r="AA11" s="363"/>
      <c r="AB11" s="363"/>
      <c r="AC11" s="363"/>
      <c r="AD11" s="363"/>
      <c r="AE11" s="363"/>
      <c r="AF11" s="363"/>
      <c r="AG11" s="363"/>
      <c r="AH11" s="363"/>
      <c r="AI11" s="363"/>
      <c r="AJ11" s="363"/>
      <c r="AK11" s="363"/>
      <c r="AL11" s="363"/>
      <c r="AM11" s="363"/>
      <c r="AN11" s="363"/>
      <c r="AO11" s="363"/>
    </row>
    <row r="12" spans="1:41" ht="18" customHeight="1" x14ac:dyDescent="0.35">
      <c r="A12" s="362"/>
      <c r="B12" s="370"/>
      <c r="C12" s="575"/>
      <c r="D12" s="576" t="s">
        <v>262</v>
      </c>
      <c r="E12" s="376"/>
      <c r="F12" s="376"/>
      <c r="G12" s="372"/>
      <c r="H12" s="372"/>
      <c r="I12" s="372"/>
      <c r="J12" s="372"/>
      <c r="K12" s="377"/>
      <c r="L12" s="377"/>
      <c r="M12" s="372"/>
      <c r="N12" s="373"/>
      <c r="O12" s="378"/>
      <c r="P12" s="378"/>
      <c r="Q12" s="378"/>
      <c r="R12" s="378"/>
      <c r="S12" s="363"/>
      <c r="T12" s="363"/>
      <c r="U12" s="363"/>
      <c r="V12" s="363"/>
      <c r="W12" s="363"/>
      <c r="X12" s="363"/>
      <c r="Y12" s="363"/>
      <c r="Z12" s="363"/>
      <c r="AA12" s="363"/>
      <c r="AB12" s="363"/>
      <c r="AC12" s="363"/>
      <c r="AD12" s="363"/>
      <c r="AE12" s="363"/>
      <c r="AF12" s="363"/>
      <c r="AG12" s="363"/>
      <c r="AH12" s="363"/>
      <c r="AI12" s="363"/>
      <c r="AJ12" s="363"/>
      <c r="AK12" s="363"/>
      <c r="AL12" s="363"/>
      <c r="AM12" s="363"/>
      <c r="AN12" s="363"/>
      <c r="AO12" s="363"/>
    </row>
    <row r="13" spans="1:41" ht="18" customHeight="1" x14ac:dyDescent="0.35">
      <c r="A13" s="362"/>
      <c r="B13" s="370"/>
      <c r="C13" s="374" t="s">
        <v>260</v>
      </c>
      <c r="D13" s="574">
        <v>1.43</v>
      </c>
      <c r="E13" s="376"/>
      <c r="F13" s="376"/>
      <c r="G13" s="380" t="s">
        <v>257</v>
      </c>
      <c r="H13" s="565" cm="1">
        <f t="array" aca="1" ref="H13" ca="1">INDEX('No STDs Case Rev &amp; Cost'!$E$12:$AN$12,,MATCH(Standard_Year,'No STDs Case DCF'!$F$6:$AM$6))</f>
        <v>10.506061888651297</v>
      </c>
      <c r="I13" s="372"/>
      <c r="J13" s="372"/>
      <c r="K13" s="377"/>
      <c r="L13" s="377"/>
      <c r="M13" s="372"/>
      <c r="N13" s="373"/>
      <c r="O13" s="378"/>
      <c r="P13" s="378"/>
      <c r="Q13" s="378"/>
      <c r="R13" s="378"/>
      <c r="S13" s="363"/>
      <c r="T13" s="363"/>
      <c r="U13" s="363"/>
      <c r="V13" s="363"/>
      <c r="W13" s="363"/>
      <c r="X13" s="363"/>
      <c r="Y13" s="363"/>
      <c r="Z13" s="363"/>
      <c r="AA13" s="363"/>
      <c r="AB13" s="363"/>
      <c r="AC13" s="363"/>
      <c r="AD13" s="363"/>
      <c r="AE13" s="363"/>
      <c r="AF13" s="363"/>
      <c r="AG13" s="363"/>
      <c r="AH13" s="363"/>
      <c r="AI13" s="363"/>
      <c r="AJ13" s="363"/>
      <c r="AK13" s="363"/>
      <c r="AL13" s="363"/>
      <c r="AM13" s="363"/>
      <c r="AN13" s="363"/>
      <c r="AO13" s="363"/>
    </row>
    <row r="14" spans="1:41" ht="18" customHeight="1" x14ac:dyDescent="0.35">
      <c r="A14" s="362"/>
      <c r="B14" s="370"/>
      <c r="C14" s="380" t="s">
        <v>266</v>
      </c>
      <c r="D14" s="759">
        <v>21.078925708014509</v>
      </c>
      <c r="E14" s="372"/>
      <c r="F14" s="372"/>
      <c r="G14" s="372"/>
      <c r="H14" s="372"/>
      <c r="I14" s="372"/>
      <c r="J14" s="372"/>
      <c r="K14" s="377"/>
      <c r="L14" s="377"/>
      <c r="M14" s="372"/>
      <c r="N14" s="373"/>
      <c r="O14" s="378"/>
      <c r="P14" s="378"/>
      <c r="Q14" s="378"/>
      <c r="R14" s="378"/>
      <c r="S14" s="363"/>
      <c r="T14" s="363"/>
      <c r="U14" s="363"/>
      <c r="V14" s="363"/>
      <c r="W14" s="363"/>
      <c r="X14" s="363"/>
      <c r="Y14" s="363"/>
      <c r="Z14" s="363"/>
      <c r="AA14" s="363"/>
      <c r="AB14" s="363"/>
      <c r="AC14" s="363"/>
      <c r="AD14" s="363"/>
      <c r="AE14" s="363"/>
      <c r="AF14" s="363"/>
      <c r="AG14" s="363"/>
      <c r="AH14" s="363"/>
      <c r="AI14" s="363"/>
      <c r="AJ14" s="363"/>
      <c r="AK14" s="363"/>
      <c r="AL14" s="363"/>
      <c r="AM14" s="363"/>
      <c r="AN14" s="363"/>
      <c r="AO14" s="363"/>
    </row>
    <row r="15" spans="1:41" ht="18" customHeight="1" x14ac:dyDescent="0.35">
      <c r="A15" s="362"/>
      <c r="B15" s="370"/>
      <c r="C15" s="380" t="s">
        <v>261</v>
      </c>
      <c r="D15" s="577">
        <f>D14*D13</f>
        <v>30.142863762460745</v>
      </c>
      <c r="E15" s="372"/>
      <c r="F15" s="372"/>
      <c r="G15" s="372"/>
      <c r="H15" s="372"/>
      <c r="I15" s="380"/>
      <c r="J15" s="372"/>
      <c r="K15" s="372"/>
      <c r="L15" s="372"/>
      <c r="M15" s="372"/>
      <c r="N15" s="373"/>
      <c r="O15" s="378"/>
      <c r="P15" s="378"/>
      <c r="Q15" s="378"/>
      <c r="R15" s="378"/>
      <c r="S15" s="363"/>
      <c r="T15" s="363"/>
      <c r="U15" s="363"/>
      <c r="V15" s="363"/>
      <c r="W15" s="363"/>
      <c r="X15" s="363"/>
      <c r="Y15" s="363"/>
      <c r="Z15" s="363"/>
      <c r="AA15" s="363"/>
      <c r="AB15" s="363"/>
      <c r="AC15" s="363"/>
      <c r="AD15" s="363"/>
      <c r="AE15" s="363"/>
      <c r="AF15" s="363"/>
      <c r="AG15" s="363"/>
      <c r="AH15" s="363"/>
      <c r="AI15" s="363"/>
      <c r="AJ15" s="363"/>
      <c r="AK15" s="363"/>
      <c r="AL15" s="363"/>
      <c r="AM15" s="363"/>
      <c r="AN15" s="363"/>
      <c r="AO15" s="363"/>
    </row>
    <row r="16" spans="1:41" ht="17.25" customHeight="1" x14ac:dyDescent="0.35">
      <c r="A16" s="362"/>
      <c r="B16" s="370"/>
      <c r="C16" s="570"/>
      <c r="D16" s="374"/>
      <c r="E16" s="372"/>
      <c r="F16" s="372"/>
      <c r="G16" s="372"/>
      <c r="H16" s="372"/>
      <c r="I16" s="371"/>
      <c r="J16" s="372"/>
      <c r="K16" s="372"/>
      <c r="L16" s="372"/>
      <c r="M16" s="372"/>
      <c r="N16" s="373"/>
      <c r="O16" s="378"/>
      <c r="P16" s="378"/>
      <c r="Q16" s="378"/>
      <c r="R16" s="378"/>
      <c r="S16" s="363"/>
      <c r="T16" s="363"/>
      <c r="U16" s="363"/>
      <c r="V16" s="363"/>
      <c r="W16" s="363"/>
      <c r="X16" s="363"/>
      <c r="Y16" s="363"/>
      <c r="Z16" s="363"/>
      <c r="AA16" s="363"/>
      <c r="AB16" s="363"/>
      <c r="AC16" s="363"/>
      <c r="AD16" s="363"/>
      <c r="AE16" s="363"/>
      <c r="AF16" s="363"/>
      <c r="AG16" s="363"/>
      <c r="AH16" s="363"/>
      <c r="AI16" s="363"/>
      <c r="AJ16" s="363"/>
      <c r="AK16" s="363"/>
      <c r="AL16" s="363"/>
      <c r="AM16" s="363"/>
      <c r="AN16" s="363"/>
      <c r="AO16" s="363"/>
    </row>
    <row r="17" spans="1:46" ht="17.25" customHeight="1" thickBot="1" x14ac:dyDescent="0.4">
      <c r="A17" s="362"/>
      <c r="B17" s="385"/>
      <c r="C17" s="386"/>
      <c r="D17" s="387"/>
      <c r="E17" s="388"/>
      <c r="F17" s="388"/>
      <c r="G17" s="388"/>
      <c r="H17" s="388"/>
      <c r="I17" s="388"/>
      <c r="J17" s="388"/>
      <c r="K17" s="388"/>
      <c r="L17" s="388"/>
      <c r="M17" s="388"/>
      <c r="N17" s="389"/>
      <c r="O17" s="378"/>
      <c r="P17" s="378"/>
      <c r="Q17" s="378"/>
      <c r="R17" s="378"/>
      <c r="S17" s="363"/>
      <c r="T17" s="363"/>
      <c r="U17" s="363"/>
      <c r="V17" s="363"/>
      <c r="W17" s="363"/>
      <c r="X17" s="363"/>
      <c r="Y17" s="363"/>
      <c r="Z17" s="363"/>
      <c r="AA17" s="363"/>
      <c r="AB17" s="363"/>
      <c r="AC17" s="363"/>
      <c r="AD17" s="363"/>
      <c r="AE17" s="363"/>
      <c r="AF17" s="363"/>
      <c r="AG17" s="363"/>
      <c r="AH17" s="363"/>
      <c r="AI17" s="363"/>
      <c r="AJ17" s="363"/>
      <c r="AK17" s="363"/>
      <c r="AL17" s="363"/>
      <c r="AM17" s="363"/>
      <c r="AN17" s="363"/>
      <c r="AO17" s="363"/>
    </row>
    <row r="18" spans="1:46" ht="17.25" customHeight="1" thickBot="1" x14ac:dyDescent="0.4">
      <c r="A18" s="362"/>
      <c r="B18" s="362"/>
      <c r="C18" s="362"/>
      <c r="D18" s="362"/>
      <c r="E18" s="362"/>
      <c r="F18" s="362"/>
      <c r="G18" s="362"/>
      <c r="H18" s="362"/>
      <c r="I18" s="362"/>
      <c r="J18" s="362"/>
      <c r="K18" s="362"/>
      <c r="L18" s="362"/>
      <c r="M18" s="362"/>
      <c r="N18" s="363"/>
      <c r="O18" s="363"/>
      <c r="P18" s="363"/>
      <c r="Q18" s="363"/>
      <c r="R18" s="363"/>
      <c r="S18" s="363"/>
      <c r="T18" s="363"/>
      <c r="U18" s="363"/>
      <c r="V18" s="363"/>
      <c r="W18" s="363"/>
      <c r="X18" s="363"/>
      <c r="Y18" s="363"/>
      <c r="Z18" s="363"/>
      <c r="AA18" s="363"/>
      <c r="AB18" s="363"/>
      <c r="AC18" s="363"/>
      <c r="AD18" s="363"/>
      <c r="AE18" s="363"/>
      <c r="AF18" s="363"/>
      <c r="AG18" s="363"/>
      <c r="AH18" s="363"/>
      <c r="AI18" s="363"/>
      <c r="AJ18" s="363"/>
      <c r="AK18" s="363"/>
      <c r="AL18" s="363"/>
      <c r="AM18" s="363"/>
      <c r="AN18" s="363"/>
    </row>
    <row r="19" spans="1:46" ht="18" customHeight="1" x14ac:dyDescent="0.35">
      <c r="A19" s="362"/>
      <c r="B19" s="390"/>
      <c r="C19" s="368"/>
      <c r="D19" s="391"/>
      <c r="E19" s="392"/>
      <c r="F19" s="393"/>
      <c r="G19" s="394"/>
      <c r="H19" s="394"/>
      <c r="I19" s="394"/>
      <c r="J19" s="394"/>
      <c r="K19" s="362"/>
      <c r="L19" s="363"/>
      <c r="M19" s="363"/>
      <c r="N19" s="363"/>
      <c r="O19" s="363"/>
      <c r="P19" s="363"/>
      <c r="Q19" s="363"/>
      <c r="R19" s="363"/>
      <c r="S19" s="363"/>
      <c r="T19" s="363"/>
      <c r="U19" s="363"/>
      <c r="V19" s="363"/>
      <c r="W19" s="363"/>
      <c r="X19" s="363"/>
      <c r="Y19" s="363"/>
      <c r="Z19" s="363"/>
      <c r="AA19" s="363"/>
      <c r="AB19" s="363"/>
      <c r="AC19" s="363"/>
      <c r="AD19" s="363"/>
      <c r="AE19" s="363"/>
      <c r="AF19" s="363"/>
      <c r="AG19" s="363"/>
      <c r="AH19" s="363"/>
      <c r="AI19" s="363"/>
      <c r="AJ19" s="363"/>
      <c r="AK19" s="363"/>
      <c r="AL19" s="363"/>
      <c r="AM19" s="67"/>
      <c r="AN19" s="67"/>
      <c r="AO19" s="67"/>
      <c r="AP19" s="67"/>
    </row>
    <row r="20" spans="1:46" ht="18" customHeight="1" x14ac:dyDescent="0.35">
      <c r="A20" s="362"/>
      <c r="B20" s="395"/>
      <c r="C20" s="396"/>
      <c r="D20" s="397" t="s">
        <v>81</v>
      </c>
      <c r="E20" s="397" t="s">
        <v>90</v>
      </c>
      <c r="F20" s="398"/>
      <c r="G20" s="399"/>
      <c r="H20" s="399"/>
      <c r="I20" s="362"/>
      <c r="J20" s="362"/>
      <c r="K20" s="363"/>
      <c r="L20" s="363"/>
      <c r="M20" s="363"/>
      <c r="N20" s="363"/>
      <c r="O20" s="363"/>
      <c r="P20" s="363"/>
      <c r="Q20" s="363"/>
      <c r="R20" s="363"/>
      <c r="S20" s="363"/>
      <c r="T20" s="363"/>
      <c r="U20" s="363"/>
      <c r="V20" s="363"/>
      <c r="W20" s="363"/>
      <c r="X20" s="363"/>
      <c r="Y20" s="363"/>
      <c r="Z20" s="363"/>
      <c r="AA20" s="363"/>
      <c r="AB20" s="363"/>
      <c r="AC20" s="363"/>
      <c r="AD20" s="363"/>
      <c r="AE20" s="363"/>
      <c r="AF20" s="363"/>
      <c r="AG20" s="363"/>
      <c r="AH20" s="363"/>
      <c r="AI20" s="363"/>
      <c r="AJ20" s="363"/>
      <c r="AK20" s="363"/>
      <c r="AL20" s="363"/>
      <c r="AM20" s="67"/>
      <c r="AN20" s="67"/>
    </row>
    <row r="21" spans="1:46" ht="18" customHeight="1" x14ac:dyDescent="0.35">
      <c r="A21" s="362"/>
      <c r="B21" s="395"/>
      <c r="C21" s="374" t="str">
        <f>"Production Labor Expenditures (PLE) in " &amp;Standard_Year&amp;"* ($MM)"</f>
        <v>Production Labor Expenditures (PLE) in 2026* ($MM)</v>
      </c>
      <c r="D21" s="569">
        <f ca="1">INDEX($D$38:$AM$39,MATCH(D$20,$C$38:$C$39),MATCH(Standard_Year,$D$37:$AM$37))*$K$6</f>
        <v>3.4933748958838859</v>
      </c>
      <c r="E21" s="400">
        <f ca="1">INDEX(OFFSET($C$37,1,1,NAMES!$K$4+1,37),MATCH(E$20,TSL_Selection_List,0),MATCH(Standard_Year+2,Dates))*$K$6</f>
        <v>3.4251317612005341</v>
      </c>
      <c r="F21" s="398"/>
      <c r="G21" s="399"/>
      <c r="H21" s="399"/>
      <c r="I21" s="362"/>
      <c r="J21" s="362"/>
      <c r="K21" s="363"/>
      <c r="L21" s="363"/>
      <c r="M21" s="363"/>
      <c r="N21" s="363"/>
      <c r="O21" s="363"/>
      <c r="P21" s="363"/>
      <c r="Q21" s="363"/>
      <c r="R21" s="363"/>
      <c r="S21" s="363"/>
      <c r="T21" s="363"/>
      <c r="U21" s="363"/>
      <c r="V21" s="363"/>
      <c r="W21" s="363"/>
      <c r="X21" s="363"/>
      <c r="Y21" s="363"/>
      <c r="Z21" s="363"/>
      <c r="AA21" s="363"/>
      <c r="AB21" s="363"/>
      <c r="AC21" s="363"/>
      <c r="AD21" s="363"/>
      <c r="AE21" s="363"/>
      <c r="AF21" s="363"/>
      <c r="AG21" s="363"/>
      <c r="AH21" s="363"/>
      <c r="AI21" s="363"/>
      <c r="AJ21" s="363"/>
      <c r="AK21" s="363"/>
      <c r="AL21" s="363"/>
      <c r="AM21" s="67"/>
      <c r="AN21" s="67"/>
    </row>
    <row r="22" spans="1:46" ht="18" customHeight="1" x14ac:dyDescent="0.35">
      <c r="A22" s="362"/>
      <c r="B22" s="395"/>
      <c r="C22" s="374" t="s">
        <v>239</v>
      </c>
      <c r="D22" s="401" t="s">
        <v>82</v>
      </c>
      <c r="E22" s="400">
        <f ca="1">E21-$D$21</f>
        <v>-6.8243134683351858E-2</v>
      </c>
      <c r="F22" s="398"/>
      <c r="G22" s="399"/>
      <c r="H22" s="399"/>
      <c r="I22" s="362"/>
      <c r="J22" s="362"/>
      <c r="K22" s="363"/>
      <c r="L22" s="363"/>
      <c r="M22" s="363"/>
      <c r="N22" s="363"/>
      <c r="O22" s="363"/>
      <c r="P22" s="363"/>
      <c r="Q22" s="363"/>
      <c r="R22" s="363"/>
      <c r="S22" s="363"/>
      <c r="T22" s="363"/>
      <c r="U22" s="363"/>
      <c r="V22" s="363"/>
      <c r="W22" s="363"/>
      <c r="X22" s="363"/>
      <c r="Y22" s="363"/>
      <c r="Z22" s="363"/>
      <c r="AA22" s="363"/>
      <c r="AB22" s="363"/>
      <c r="AC22" s="363"/>
      <c r="AD22" s="363"/>
      <c r="AE22" s="363"/>
      <c r="AF22" s="363"/>
      <c r="AG22" s="363"/>
      <c r="AH22" s="363"/>
      <c r="AI22" s="363"/>
      <c r="AJ22" s="363"/>
      <c r="AK22" s="363"/>
      <c r="AL22" s="363"/>
      <c r="AM22" s="67"/>
      <c r="AN22" s="67"/>
    </row>
    <row r="23" spans="1:46" ht="18" customHeight="1" x14ac:dyDescent="0.35">
      <c r="A23" s="362"/>
      <c r="B23" s="395"/>
      <c r="C23" s="374" t="s">
        <v>246</v>
      </c>
      <c r="D23" s="402" t="s">
        <v>82</v>
      </c>
      <c r="E23" s="403">
        <f ca="1">ROUND(((E22*1000000)/$D$15)/$H$6,0)</f>
        <v>-1</v>
      </c>
      <c r="F23" s="398"/>
      <c r="G23" s="399"/>
      <c r="H23" s="399"/>
      <c r="I23" s="362"/>
      <c r="J23" s="362"/>
      <c r="K23" s="363"/>
      <c r="L23" s="363"/>
      <c r="M23" s="363"/>
      <c r="N23" s="363"/>
      <c r="O23" s="363"/>
      <c r="P23" s="363"/>
      <c r="Q23" s="363"/>
      <c r="R23" s="363"/>
      <c r="S23" s="363"/>
      <c r="T23" s="363"/>
      <c r="U23" s="363"/>
      <c r="V23" s="363"/>
      <c r="W23" s="363"/>
      <c r="X23" s="363"/>
      <c r="Y23" s="363"/>
      <c r="Z23" s="363"/>
      <c r="AA23" s="363"/>
      <c r="AB23" s="363"/>
      <c r="AC23" s="363"/>
      <c r="AD23" s="363"/>
      <c r="AE23" s="363"/>
      <c r="AF23" s="363"/>
      <c r="AG23" s="363"/>
      <c r="AH23" s="363"/>
      <c r="AI23" s="363"/>
      <c r="AJ23" s="363"/>
      <c r="AK23" s="363"/>
      <c r="AL23" s="363"/>
      <c r="AM23" s="67"/>
      <c r="AN23" s="67"/>
    </row>
    <row r="24" spans="1:46" ht="18" customHeight="1" x14ac:dyDescent="0.35">
      <c r="A24" s="362"/>
      <c r="B24" s="395"/>
      <c r="C24" s="374" t="str">
        <f>"Domestic Production Employment in "&amp;Standard_Year&amp;" (#)"</f>
        <v>Domestic Production Employment in 2026 (#)</v>
      </c>
      <c r="D24" s="403">
        <f ca="1">((D21*1000000)/$H$6)/$D$15</f>
        <v>60.361789086640584</v>
      </c>
      <c r="E24" s="403">
        <f ca="1">$D$24+E23</f>
        <v>59.361789086640584</v>
      </c>
      <c r="F24" s="398"/>
      <c r="G24" s="399"/>
      <c r="H24" s="404"/>
      <c r="I24" s="362"/>
      <c r="J24" s="362"/>
      <c r="K24" s="363"/>
      <c r="L24" s="363"/>
      <c r="M24" s="363"/>
      <c r="N24" s="363"/>
      <c r="O24" s="363"/>
      <c r="P24" s="363"/>
      <c r="Q24" s="363"/>
      <c r="R24" s="363"/>
      <c r="S24" s="363"/>
      <c r="T24" s="363"/>
      <c r="U24" s="363"/>
      <c r="V24" s="363"/>
      <c r="W24" s="363"/>
      <c r="X24" s="363"/>
      <c r="Y24" s="363"/>
      <c r="Z24" s="363"/>
      <c r="AA24" s="363"/>
      <c r="AB24" s="363"/>
      <c r="AC24" s="363"/>
      <c r="AD24" s="363"/>
      <c r="AE24" s="363"/>
      <c r="AF24" s="363"/>
      <c r="AG24" s="363"/>
      <c r="AH24" s="363"/>
      <c r="AI24" s="363"/>
      <c r="AJ24" s="363"/>
      <c r="AK24" s="363"/>
      <c r="AL24" s="363"/>
      <c r="AM24" s="67"/>
      <c r="AN24" s="67"/>
    </row>
    <row r="25" spans="1:46" ht="18" customHeight="1" x14ac:dyDescent="0.35">
      <c r="A25" s="362"/>
      <c r="B25" s="395"/>
      <c r="C25" s="374" t="str">
        <f>"Non Production Employment in "&amp;Standard_Year&amp;" (#)"</f>
        <v>Non Production Employment in 2026 (#)</v>
      </c>
      <c r="D25" s="405">
        <f ca="1">ROUND(D24*(($D$8-$D$9)/$D$9),0)</f>
        <v>26</v>
      </c>
      <c r="E25" s="405">
        <f ca="1">ROUND(E24*(($D$8-$D$9)/$D$9),0)</f>
        <v>26</v>
      </c>
      <c r="F25" s="398"/>
      <c r="G25" s="399"/>
      <c r="H25" s="399"/>
      <c r="I25" s="362"/>
      <c r="J25" s="362"/>
      <c r="K25" s="363"/>
      <c r="L25" s="363"/>
      <c r="M25" s="363"/>
      <c r="N25" s="363"/>
      <c r="O25" s="363"/>
      <c r="P25" s="363"/>
      <c r="Q25" s="363"/>
      <c r="R25" s="363"/>
      <c r="S25" s="363"/>
      <c r="T25" s="363"/>
      <c r="U25" s="363"/>
      <c r="V25" s="363"/>
      <c r="W25" s="363"/>
      <c r="X25" s="363"/>
      <c r="Y25" s="363"/>
      <c r="Z25" s="363"/>
      <c r="AA25" s="363"/>
      <c r="AB25" s="363"/>
      <c r="AC25" s="363"/>
      <c r="AD25" s="363"/>
      <c r="AE25" s="363"/>
      <c r="AF25" s="363"/>
      <c r="AG25" s="363"/>
      <c r="AH25" s="363"/>
      <c r="AI25" s="363"/>
      <c r="AJ25" s="363"/>
      <c r="AK25" s="363"/>
      <c r="AL25" s="363"/>
      <c r="AM25" s="67"/>
      <c r="AN25" s="67"/>
    </row>
    <row r="26" spans="1:46" ht="18" customHeight="1" x14ac:dyDescent="0.35">
      <c r="A26" s="362"/>
      <c r="B26" s="395"/>
      <c r="C26" s="374" t="s">
        <v>177</v>
      </c>
      <c r="D26" s="403">
        <f ca="1">D24+D25</f>
        <v>86.361789086640584</v>
      </c>
      <c r="E26" s="403">
        <f ca="1">E24+E25</f>
        <v>85.361789086640584</v>
      </c>
      <c r="F26" s="398"/>
      <c r="G26" s="399"/>
      <c r="H26" s="399"/>
      <c r="I26" s="362"/>
      <c r="J26" s="362"/>
      <c r="K26" s="363"/>
      <c r="L26" s="363"/>
      <c r="M26" s="363"/>
      <c r="N26" s="363"/>
      <c r="O26" s="363"/>
      <c r="P26" s="363"/>
      <c r="Q26" s="363"/>
      <c r="R26" s="363"/>
      <c r="S26" s="363"/>
      <c r="T26" s="363"/>
      <c r="U26" s="363"/>
      <c r="V26" s="363"/>
      <c r="W26" s="363"/>
      <c r="X26" s="363"/>
      <c r="Y26" s="363"/>
      <c r="Z26" s="363"/>
      <c r="AA26" s="363"/>
      <c r="AB26" s="363"/>
      <c r="AC26" s="363"/>
      <c r="AD26" s="363"/>
      <c r="AE26" s="363"/>
      <c r="AF26" s="363"/>
      <c r="AG26" s="363"/>
      <c r="AH26" s="363"/>
      <c r="AI26" s="363"/>
      <c r="AJ26" s="363"/>
      <c r="AK26" s="363"/>
      <c r="AL26" s="363"/>
      <c r="AM26" s="67"/>
      <c r="AN26" s="67"/>
    </row>
    <row r="27" spans="1:46" ht="18" customHeight="1" x14ac:dyDescent="0.35">
      <c r="A27" s="362"/>
      <c r="B27" s="395"/>
      <c r="C27" s="374" t="str">
        <f>"Change in Domestic Employment in "&amp;Standard_Year&amp;" (%)"</f>
        <v>Change in Domestic Employment in 2026 (%)</v>
      </c>
      <c r="D27" s="402" t="s">
        <v>82</v>
      </c>
      <c r="E27" s="406">
        <f ca="1">(E26-$D$26)/$D$26</f>
        <v>-1.1579195041880985E-2</v>
      </c>
      <c r="F27" s="398"/>
      <c r="G27" s="399"/>
      <c r="H27" s="399"/>
      <c r="I27" s="362"/>
      <c r="J27" s="362"/>
      <c r="K27" s="363"/>
      <c r="L27" s="363"/>
      <c r="M27" s="363"/>
      <c r="N27" s="363"/>
      <c r="O27" s="363"/>
      <c r="P27" s="363"/>
      <c r="Q27" s="363"/>
      <c r="R27" s="363"/>
      <c r="S27" s="363"/>
      <c r="T27" s="363"/>
      <c r="U27" s="363"/>
      <c r="V27" s="363"/>
      <c r="W27" s="363"/>
      <c r="X27" s="363"/>
      <c r="Y27" s="363"/>
      <c r="Z27" s="363"/>
      <c r="AA27" s="363"/>
      <c r="AB27" s="363"/>
      <c r="AC27" s="363"/>
      <c r="AD27" s="363"/>
      <c r="AE27" s="363"/>
      <c r="AF27" s="363"/>
      <c r="AG27" s="363"/>
      <c r="AH27" s="363"/>
      <c r="AI27" s="363"/>
      <c r="AJ27" s="363"/>
      <c r="AK27" s="363"/>
      <c r="AL27" s="363"/>
      <c r="AM27" s="67"/>
      <c r="AN27" s="67"/>
    </row>
    <row r="28" spans="1:46" ht="18" customHeight="1" x14ac:dyDescent="0.35">
      <c r="A28" s="362"/>
      <c r="B28" s="370"/>
      <c r="C28" s="374" t="str">
        <f>"Change in Domestic Employment in "&amp;Standard_Year&amp;" (#)"</f>
        <v>Change in Domestic Employment in 2026 (#)</v>
      </c>
      <c r="D28" s="402" t="s">
        <v>82</v>
      </c>
      <c r="E28" s="559">
        <f ca="1">(E26-$D$26)</f>
        <v>-1</v>
      </c>
      <c r="F28" s="407"/>
      <c r="G28" s="408"/>
      <c r="H28" s="362"/>
      <c r="I28" s="409"/>
      <c r="J28" s="362"/>
      <c r="K28" s="362"/>
      <c r="L28" s="363"/>
      <c r="M28" s="363"/>
      <c r="N28" s="363"/>
      <c r="O28" s="363"/>
      <c r="P28" s="363"/>
      <c r="Q28" s="363"/>
      <c r="R28" s="363"/>
      <c r="S28" s="363"/>
      <c r="T28" s="363"/>
      <c r="U28" s="363"/>
      <c r="V28" s="363"/>
      <c r="W28" s="363"/>
      <c r="X28" s="363"/>
      <c r="Y28" s="363"/>
      <c r="Z28" s="363"/>
      <c r="AA28" s="363"/>
      <c r="AB28" s="363"/>
      <c r="AC28" s="363"/>
      <c r="AD28" s="363"/>
      <c r="AE28" s="363"/>
      <c r="AF28" s="363"/>
      <c r="AG28" s="363"/>
      <c r="AH28" s="363"/>
      <c r="AI28" s="363"/>
      <c r="AJ28" s="363"/>
      <c r="AK28" s="363"/>
      <c r="AL28" s="363"/>
      <c r="AM28" s="67"/>
      <c r="AN28" s="67"/>
      <c r="AO28" s="67"/>
      <c r="AP28" s="67"/>
    </row>
    <row r="29" spans="1:46" ht="18" customHeight="1" x14ac:dyDescent="0.35">
      <c r="A29" s="362"/>
      <c r="B29" s="571"/>
      <c r="C29" s="410"/>
      <c r="D29" s="411"/>
      <c r="E29" s="411"/>
      <c r="F29" s="407"/>
      <c r="G29" s="408"/>
      <c r="H29" s="362"/>
      <c r="I29" s="362"/>
      <c r="J29" s="362"/>
      <c r="K29" s="362"/>
      <c r="L29" s="363"/>
      <c r="M29" s="363"/>
      <c r="N29" s="363"/>
      <c r="O29" s="363"/>
      <c r="P29" s="363"/>
      <c r="Q29" s="363"/>
      <c r="R29" s="363"/>
      <c r="S29" s="363"/>
      <c r="T29" s="363"/>
      <c r="U29" s="363"/>
      <c r="V29" s="363"/>
      <c r="W29" s="363"/>
      <c r="X29" s="363"/>
      <c r="Y29" s="363"/>
      <c r="Z29" s="363"/>
      <c r="AA29" s="363"/>
      <c r="AB29" s="363"/>
      <c r="AC29" s="363"/>
      <c r="AD29" s="363"/>
      <c r="AE29" s="363"/>
      <c r="AF29" s="363"/>
      <c r="AG29" s="363"/>
      <c r="AH29" s="363"/>
      <c r="AI29" s="363"/>
      <c r="AJ29" s="363"/>
      <c r="AK29" s="363"/>
      <c r="AL29" s="363"/>
      <c r="AM29" s="67"/>
      <c r="AN29" s="67"/>
      <c r="AO29" s="67"/>
      <c r="AP29" s="67"/>
    </row>
    <row r="30" spans="1:46" ht="18" customHeight="1" thickBot="1" x14ac:dyDescent="0.4">
      <c r="A30" s="362"/>
      <c r="B30" s="572" t="s">
        <v>258</v>
      </c>
      <c r="C30" s="388"/>
      <c r="D30" s="412"/>
      <c r="E30" s="412"/>
      <c r="F30" s="389"/>
      <c r="G30" s="362"/>
      <c r="H30" s="362"/>
      <c r="I30" s="362"/>
      <c r="J30" s="362"/>
      <c r="K30" s="363"/>
      <c r="L30" s="363"/>
      <c r="M30" s="363"/>
      <c r="N30" s="363"/>
      <c r="O30" s="363"/>
      <c r="P30" s="363"/>
      <c r="Q30" s="363"/>
      <c r="R30" s="363"/>
      <c r="S30" s="363"/>
      <c r="T30" s="363"/>
      <c r="U30" s="363"/>
      <c r="V30" s="363"/>
      <c r="W30" s="363"/>
      <c r="X30" s="363"/>
      <c r="Y30" s="363"/>
      <c r="Z30" s="363"/>
      <c r="AA30" s="363"/>
      <c r="AB30" s="363"/>
      <c r="AC30" s="363"/>
      <c r="AD30" s="363"/>
      <c r="AE30" s="363"/>
      <c r="AF30" s="363"/>
      <c r="AG30" s="363"/>
      <c r="AH30" s="363"/>
      <c r="AI30" s="363"/>
      <c r="AJ30" s="363"/>
      <c r="AK30" s="363"/>
      <c r="AL30" s="363"/>
      <c r="AM30" s="67"/>
      <c r="AN30" s="67"/>
      <c r="AO30" s="67"/>
      <c r="AP30" s="67"/>
      <c r="AQ30" s="67"/>
    </row>
    <row r="31" spans="1:46" ht="18" customHeight="1" thickBot="1" x14ac:dyDescent="0.4">
      <c r="A31" s="362"/>
      <c r="B31" s="362"/>
      <c r="C31" s="362"/>
      <c r="D31" s="413"/>
      <c r="E31" s="413"/>
      <c r="F31" s="413"/>
      <c r="G31" s="413"/>
      <c r="H31" s="413"/>
      <c r="I31" s="362"/>
      <c r="J31" s="362"/>
      <c r="K31" s="362"/>
      <c r="L31" s="362"/>
      <c r="M31" s="362"/>
      <c r="N31" s="363"/>
      <c r="O31" s="363"/>
      <c r="P31" s="363"/>
      <c r="Q31" s="363"/>
      <c r="R31" s="363"/>
      <c r="S31" s="363"/>
      <c r="T31" s="363"/>
      <c r="U31" s="363"/>
      <c r="V31" s="363"/>
      <c r="W31" s="363"/>
      <c r="X31" s="363"/>
      <c r="Y31" s="363"/>
      <c r="Z31" s="363"/>
      <c r="AA31" s="363"/>
      <c r="AB31" s="363"/>
      <c r="AC31" s="363"/>
      <c r="AD31" s="363"/>
      <c r="AE31" s="363"/>
      <c r="AF31" s="363"/>
      <c r="AG31" s="363"/>
      <c r="AH31" s="363"/>
      <c r="AI31" s="363"/>
      <c r="AJ31" s="363"/>
      <c r="AK31" s="363"/>
      <c r="AL31" s="363"/>
      <c r="AM31" s="363"/>
      <c r="AN31" s="363"/>
      <c r="AO31" s="363"/>
      <c r="AP31" s="67"/>
      <c r="AQ31" s="67"/>
      <c r="AR31" s="67"/>
      <c r="AS31" s="67"/>
      <c r="AT31" s="67"/>
    </row>
    <row r="32" spans="1:46" s="67" customFormat="1" ht="18" customHeight="1" x14ac:dyDescent="0.35">
      <c r="A32" s="362"/>
      <c r="B32" s="390"/>
      <c r="C32" s="367"/>
      <c r="D32" s="368"/>
      <c r="E32" s="368"/>
      <c r="F32" s="368"/>
      <c r="G32" s="368"/>
      <c r="H32" s="368"/>
      <c r="I32" s="368"/>
      <c r="J32" s="368"/>
      <c r="K32" s="368"/>
      <c r="L32" s="368"/>
      <c r="M32" s="368"/>
      <c r="N32" s="368"/>
      <c r="O32" s="368"/>
      <c r="P32" s="368"/>
      <c r="Q32" s="368"/>
      <c r="R32" s="368"/>
      <c r="S32" s="368"/>
      <c r="T32" s="368"/>
      <c r="U32" s="368"/>
      <c r="V32" s="368"/>
      <c r="W32" s="368"/>
      <c r="X32" s="368"/>
      <c r="Y32" s="368"/>
      <c r="Z32" s="368"/>
      <c r="AA32" s="368"/>
      <c r="AB32" s="368"/>
      <c r="AC32" s="368"/>
      <c r="AD32" s="368"/>
      <c r="AE32" s="368"/>
      <c r="AF32" s="368"/>
      <c r="AG32" s="368"/>
      <c r="AH32" s="368"/>
      <c r="AI32" s="368"/>
      <c r="AJ32" s="368"/>
      <c r="AK32" s="368"/>
      <c r="AL32" s="368"/>
      <c r="AM32" s="368"/>
      <c r="AN32" s="369"/>
      <c r="AO32" s="362"/>
      <c r="AP32" s="362"/>
    </row>
    <row r="33" spans="1:42" s="67" customFormat="1" ht="18" customHeight="1" x14ac:dyDescent="0.35">
      <c r="A33" s="362"/>
      <c r="B33" s="370"/>
      <c r="C33" s="377"/>
      <c r="D33" s="414" t="str">
        <f t="shared" ref="D33:AG33" si="0">IF(D34=Announcement_Year,"Ancmt Yr",
IF(D34=Reference_Year,"Ref Yr",
IF(D34=Standard_Year,"Std Yr",
IF(D34=Terminal_Year,"Term Yr",
" "))))</f>
        <v xml:space="preserve"> </v>
      </c>
      <c r="E33" s="414" t="str">
        <f t="shared" ca="1" si="0"/>
        <v>Ancmt Yr</v>
      </c>
      <c r="F33" s="414" t="str">
        <f t="shared" ca="1" si="0"/>
        <v xml:space="preserve"> </v>
      </c>
      <c r="G33" s="414" t="str">
        <f t="shared" ca="1" si="0"/>
        <v xml:space="preserve"> </v>
      </c>
      <c r="H33" s="414" t="str">
        <f t="shared" ca="1" si="0"/>
        <v>Std Yr</v>
      </c>
      <c r="I33" s="414" t="str">
        <f t="shared" ca="1" si="0"/>
        <v xml:space="preserve"> </v>
      </c>
      <c r="J33" s="414" t="str">
        <f t="shared" ca="1" si="0"/>
        <v xml:space="preserve"> </v>
      </c>
      <c r="K33" s="414" t="str">
        <f t="shared" ca="1" si="0"/>
        <v xml:space="preserve"> </v>
      </c>
      <c r="L33" s="414" t="str">
        <f t="shared" ca="1" si="0"/>
        <v xml:space="preserve"> </v>
      </c>
      <c r="M33" s="414" t="str">
        <f t="shared" ca="1" si="0"/>
        <v xml:space="preserve"> </v>
      </c>
      <c r="N33" s="414" t="str">
        <f t="shared" ca="1" si="0"/>
        <v xml:space="preserve"> </v>
      </c>
      <c r="O33" s="414" t="str">
        <f t="shared" ca="1" si="0"/>
        <v xml:space="preserve"> </v>
      </c>
      <c r="P33" s="414" t="str">
        <f t="shared" ca="1" si="0"/>
        <v xml:space="preserve"> </v>
      </c>
      <c r="Q33" s="414" t="str">
        <f t="shared" ca="1" si="0"/>
        <v xml:space="preserve"> </v>
      </c>
      <c r="R33" s="414" t="str">
        <f t="shared" ca="1" si="0"/>
        <v xml:space="preserve"> </v>
      </c>
      <c r="S33" s="414" t="str">
        <f t="shared" ca="1" si="0"/>
        <v xml:space="preserve"> </v>
      </c>
      <c r="T33" s="414" t="str">
        <f t="shared" ca="1" si="0"/>
        <v xml:space="preserve"> </v>
      </c>
      <c r="U33" s="414" t="str">
        <f t="shared" ca="1" si="0"/>
        <v xml:space="preserve"> </v>
      </c>
      <c r="V33" s="414" t="str">
        <f t="shared" ca="1" si="0"/>
        <v xml:space="preserve"> </v>
      </c>
      <c r="W33" s="414" t="str">
        <f t="shared" ca="1" si="0"/>
        <v xml:space="preserve"> </v>
      </c>
      <c r="X33" s="414" t="str">
        <f t="shared" ca="1" si="0"/>
        <v xml:space="preserve"> </v>
      </c>
      <c r="Y33" s="414" t="str">
        <f t="shared" ca="1" si="0"/>
        <v xml:space="preserve"> </v>
      </c>
      <c r="Z33" s="414" t="str">
        <f t="shared" ca="1" si="0"/>
        <v xml:space="preserve"> </v>
      </c>
      <c r="AA33" s="414" t="str">
        <f t="shared" ca="1" si="0"/>
        <v xml:space="preserve"> </v>
      </c>
      <c r="AB33" s="414" t="str">
        <f t="shared" ca="1" si="0"/>
        <v xml:space="preserve"> </v>
      </c>
      <c r="AC33" s="414" t="str">
        <f t="shared" ca="1" si="0"/>
        <v xml:space="preserve"> </v>
      </c>
      <c r="AD33" s="414" t="str">
        <f t="shared" ca="1" si="0"/>
        <v xml:space="preserve"> </v>
      </c>
      <c r="AE33" s="414" t="str">
        <f t="shared" ca="1" si="0"/>
        <v xml:space="preserve"> </v>
      </c>
      <c r="AF33" s="414" t="str">
        <f t="shared" ca="1" si="0"/>
        <v xml:space="preserve"> </v>
      </c>
      <c r="AG33" s="414" t="str">
        <f t="shared" ca="1" si="0"/>
        <v xml:space="preserve"> </v>
      </c>
      <c r="AH33" s="414"/>
      <c r="AI33" s="414"/>
      <c r="AJ33" s="414"/>
      <c r="AK33" s="414"/>
      <c r="AL33" s="414"/>
      <c r="AM33" s="414" t="str">
        <f ca="1">IF(AM34=Announcement_Year,"Ancmt Yr",
IF(AM34=Reference_Year,"Ref Yr",
IF(AM34=Standard_Year,"Std Yr",
IF(AM34=Terminal_Year,"Term Yr",
" "))))</f>
        <v>Term Yr</v>
      </c>
      <c r="AN33" s="373"/>
      <c r="AO33" s="362"/>
      <c r="AP33" s="362"/>
    </row>
    <row r="34" spans="1:42" s="67" customFormat="1" ht="18" customHeight="1" thickBot="1" x14ac:dyDescent="0.4">
      <c r="A34" s="362"/>
      <c r="B34" s="370"/>
      <c r="C34" s="415" t="s">
        <v>253</v>
      </c>
      <c r="D34" s="297">
        <f>Reference_Year - 1</f>
        <v>2022</v>
      </c>
      <c r="E34" s="297">
        <f ca="1">OFFSET(E34,0,-1)+1</f>
        <v>2023</v>
      </c>
      <c r="F34" s="297">
        <f t="shared" ref="F34:AM34" ca="1" si="1">OFFSET(F34,0,-1)+1</f>
        <v>2024</v>
      </c>
      <c r="G34" s="297">
        <f t="shared" ca="1" si="1"/>
        <v>2025</v>
      </c>
      <c r="H34" s="297">
        <f t="shared" ca="1" si="1"/>
        <v>2026</v>
      </c>
      <c r="I34" s="297">
        <f t="shared" ca="1" si="1"/>
        <v>2027</v>
      </c>
      <c r="J34" s="297">
        <f t="shared" ca="1" si="1"/>
        <v>2028</v>
      </c>
      <c r="K34" s="297">
        <f t="shared" ca="1" si="1"/>
        <v>2029</v>
      </c>
      <c r="L34" s="297">
        <f t="shared" ca="1" si="1"/>
        <v>2030</v>
      </c>
      <c r="M34" s="297">
        <f t="shared" ca="1" si="1"/>
        <v>2031</v>
      </c>
      <c r="N34" s="297">
        <f t="shared" ca="1" si="1"/>
        <v>2032</v>
      </c>
      <c r="O34" s="297">
        <f t="shared" ca="1" si="1"/>
        <v>2033</v>
      </c>
      <c r="P34" s="297">
        <f t="shared" ca="1" si="1"/>
        <v>2034</v>
      </c>
      <c r="Q34" s="297">
        <f t="shared" ca="1" si="1"/>
        <v>2035</v>
      </c>
      <c r="R34" s="297">
        <f t="shared" ca="1" si="1"/>
        <v>2036</v>
      </c>
      <c r="S34" s="297">
        <f t="shared" ca="1" si="1"/>
        <v>2037</v>
      </c>
      <c r="T34" s="297">
        <f t="shared" ca="1" si="1"/>
        <v>2038</v>
      </c>
      <c r="U34" s="297">
        <f t="shared" ca="1" si="1"/>
        <v>2039</v>
      </c>
      <c r="V34" s="297">
        <f t="shared" ca="1" si="1"/>
        <v>2040</v>
      </c>
      <c r="W34" s="297">
        <f t="shared" ca="1" si="1"/>
        <v>2041</v>
      </c>
      <c r="X34" s="297">
        <f t="shared" ca="1" si="1"/>
        <v>2042</v>
      </c>
      <c r="Y34" s="297">
        <f t="shared" ca="1" si="1"/>
        <v>2043</v>
      </c>
      <c r="Z34" s="297">
        <f t="shared" ca="1" si="1"/>
        <v>2044</v>
      </c>
      <c r="AA34" s="297">
        <f t="shared" ca="1" si="1"/>
        <v>2045</v>
      </c>
      <c r="AB34" s="297">
        <f t="shared" ca="1" si="1"/>
        <v>2046</v>
      </c>
      <c r="AC34" s="297">
        <f t="shared" ca="1" si="1"/>
        <v>2047</v>
      </c>
      <c r="AD34" s="297">
        <f t="shared" ca="1" si="1"/>
        <v>2048</v>
      </c>
      <c r="AE34" s="297">
        <f t="shared" ca="1" si="1"/>
        <v>2049</v>
      </c>
      <c r="AF34" s="297">
        <f t="shared" ca="1" si="1"/>
        <v>2050</v>
      </c>
      <c r="AG34" s="297">
        <f t="shared" ca="1" si="1"/>
        <v>2051</v>
      </c>
      <c r="AH34" s="297">
        <f t="shared" ca="1" si="1"/>
        <v>2052</v>
      </c>
      <c r="AI34" s="297">
        <f t="shared" ca="1" si="1"/>
        <v>2053</v>
      </c>
      <c r="AJ34" s="297">
        <f t="shared" ca="1" si="1"/>
        <v>2054</v>
      </c>
      <c r="AK34" s="297">
        <f t="shared" ca="1" si="1"/>
        <v>2055</v>
      </c>
      <c r="AL34" s="793">
        <f t="shared" ca="1" si="1"/>
        <v>2056</v>
      </c>
      <c r="AM34" s="793">
        <f t="shared" ca="1" si="1"/>
        <v>2057</v>
      </c>
      <c r="AN34" s="373"/>
      <c r="AO34" s="362"/>
      <c r="AP34" s="362"/>
    </row>
    <row r="35" spans="1:42" s="67" customFormat="1" ht="18" customHeight="1" thickBot="1" x14ac:dyDescent="0.4">
      <c r="A35" s="362"/>
      <c r="B35" s="370"/>
      <c r="C35" s="416" t="str">
        <f>TSL_X</f>
        <v>TSL 1</v>
      </c>
      <c r="D35" s="538">
        <f ca="1">OFFSET('Standards Rev &amp; Cost'!$E$12,0,MATCH(D$34,Dates,0))</f>
        <v>9.4119419434205298</v>
      </c>
      <c r="E35" s="538">
        <f ca="1">OFFSET('Standards Rev &amp; Cost'!$E$12,0,MATCH(E$34,Dates,0))</f>
        <v>9.7022436724499244</v>
      </c>
      <c r="F35" s="538">
        <f ca="1">OFFSET('Standards Rev &amp; Cost'!$E$12,0,MATCH(F$34,Dates,0))</f>
        <v>10.085843100694941</v>
      </c>
      <c r="G35" s="538">
        <f ca="1">OFFSET('Standards Rev &amp; Cost'!$E$12,0,MATCH(G$34,Dates,0))</f>
        <v>10.269532169875859</v>
      </c>
      <c r="H35" s="538">
        <f ca="1">OFFSET('Standards Rev &amp; Cost'!$E$12,0,MATCH(H$34,Dates,0))</f>
        <v>10.723449566724463</v>
      </c>
      <c r="I35" s="538">
        <f ca="1">OFFSET('Standards Rev &amp; Cost'!$E$12,0,MATCH(I$34,Dates,0))</f>
        <v>11.223003124302281</v>
      </c>
      <c r="J35" s="538">
        <f ca="1">OFFSET('Standards Rev &amp; Cost'!$E$12,0,MATCH(J$34,Dates,0))</f>
        <v>11.747610190893155</v>
      </c>
      <c r="K35" s="538">
        <f ca="1">OFFSET('Standards Rev &amp; Cost'!$E$12,0,MATCH(K$34,Dates,0))</f>
        <v>12.292483821998955</v>
      </c>
      <c r="L35" s="538">
        <f ca="1">OFFSET('Standards Rev &amp; Cost'!$E$12,0,MATCH(L$34,Dates,0))</f>
        <v>12.852544496997197</v>
      </c>
      <c r="M35" s="538">
        <f ca="1">OFFSET('Standards Rev &amp; Cost'!$E$12,0,MATCH(M$34,Dates,0))</f>
        <v>13.436600411831106</v>
      </c>
      <c r="N35" s="538">
        <f ca="1">OFFSET('Standards Rev &amp; Cost'!$E$12,0,MATCH(N$34,Dates,0))</f>
        <v>14.042266404174644</v>
      </c>
      <c r="O35" s="538">
        <f ca="1">OFFSET('Standards Rev &amp; Cost'!$E$12,0,MATCH(O$34,Dates,0))</f>
        <v>14.657316537690789</v>
      </c>
      <c r="P35" s="538">
        <f ca="1">OFFSET('Standards Rev &amp; Cost'!$E$12,0,MATCH(P$34,Dates,0))</f>
        <v>15.306701337652164</v>
      </c>
      <c r="Q35" s="538">
        <f ca="1">OFFSET('Standards Rev &amp; Cost'!$E$12,0,MATCH(Q$34,Dates,0))</f>
        <v>15.986869343501425</v>
      </c>
      <c r="R35" s="538">
        <f ca="1">OFFSET('Standards Rev &amp; Cost'!$E$12,0,MATCH(R$34,Dates,0))</f>
        <v>16.701142179515465</v>
      </c>
      <c r="S35" s="538">
        <f ca="1">OFFSET('Standards Rev &amp; Cost'!$E$12,0,MATCH(S$34,Dates,0))</f>
        <v>17.463346826038169</v>
      </c>
      <c r="T35" s="538">
        <f ca="1">OFFSET('Standards Rev &amp; Cost'!$E$12,0,MATCH(T$34,Dates,0))</f>
        <v>18.244198618079647</v>
      </c>
      <c r="U35" s="538">
        <f ca="1">OFFSET('Standards Rev &amp; Cost'!$E$12,0,MATCH(U$34,Dates,0))</f>
        <v>19.058868970658722</v>
      </c>
      <c r="V35" s="538">
        <f ca="1">OFFSET('Standards Rev &amp; Cost'!$E$12,0,MATCH(V$34,Dates,0))</f>
        <v>19.927607512421378</v>
      </c>
      <c r="W35" s="538">
        <f ca="1">OFFSET('Standards Rev &amp; Cost'!$E$12,0,MATCH(W$34,Dates,0))</f>
        <v>20.82637687097305</v>
      </c>
      <c r="X35" s="538">
        <f ca="1">OFFSET('Standards Rev &amp; Cost'!$E$12,0,MATCH(X$34,Dates,0))</f>
        <v>21.753722630174813</v>
      </c>
      <c r="Y35" s="538">
        <f ca="1">OFFSET('Standards Rev &amp; Cost'!$E$12,0,MATCH(Y$34,Dates,0))</f>
        <v>22.733352998384085</v>
      </c>
      <c r="Z35" s="538">
        <f ca="1">OFFSET('Standards Rev &amp; Cost'!$E$12,0,MATCH(Z$34,Dates,0))</f>
        <v>23.756800321789243</v>
      </c>
      <c r="AA35" s="538">
        <f ca="1">OFFSET('Standards Rev &amp; Cost'!$E$12,0,MATCH(AA$34,Dates,0))</f>
        <v>24.827642417204984</v>
      </c>
      <c r="AB35" s="538">
        <f ca="1">OFFSET('Standards Rev &amp; Cost'!$E$12,0,MATCH(AB$34,Dates,0))</f>
        <v>25.944221701273904</v>
      </c>
      <c r="AC35" s="538">
        <f ca="1">OFFSET('Standards Rev &amp; Cost'!$E$12,0,MATCH(AC$34,Dates,0))</f>
        <v>27.11089668724038</v>
      </c>
      <c r="AD35" s="538">
        <f ca="1">OFFSET('Standards Rev &amp; Cost'!$E$12,0,MATCH(AD$34,Dates,0))</f>
        <v>28.323384668701557</v>
      </c>
      <c r="AE35" s="538">
        <f ca="1">OFFSET('Standards Rev &amp; Cost'!$E$12,0,MATCH(AE$34,Dates,0))</f>
        <v>29.596516481613293</v>
      </c>
      <c r="AF35" s="538">
        <f ca="1">OFFSET('Standards Rev &amp; Cost'!$E$12,0,MATCH(AF$34,Dates,0))</f>
        <v>30.929560187480412</v>
      </c>
      <c r="AG35" s="538">
        <f ca="1">OFFSET('Standards Rev &amp; Cost'!$E$12,0,MATCH(AG$34,Dates,0))</f>
        <v>32.314337121624575</v>
      </c>
      <c r="AH35" s="538">
        <f ca="1">OFFSET('Standards Rev &amp; Cost'!$E$12,0,MATCH(AH$34,Dates,0))</f>
        <v>33.760276172917166</v>
      </c>
      <c r="AI35" s="538">
        <f ca="1">OFFSET('Standards Rev &amp; Cost'!$E$12,0,MATCH(AI$34,Dates,0))</f>
        <v>35.294029247768158</v>
      </c>
      <c r="AJ35" s="538">
        <f ca="1">OFFSET('Standards Rev &amp; Cost'!$E$12,0,MATCH(AJ$34,Dates,0))</f>
        <v>36.870625370764955</v>
      </c>
      <c r="AK35" s="538">
        <f ca="1">OFFSET('Standards Rev &amp; Cost'!$E$12,0,MATCH(AK$34,Dates,0))</f>
        <v>38.521323821799449</v>
      </c>
      <c r="AL35" s="538">
        <f ca="1">OFFSET('Standards Rev &amp; Cost'!$E$12,0,MATCH(AL$34,Dates,0))</f>
        <v>40.254097307088742</v>
      </c>
      <c r="AM35" s="538">
        <f ca="1">OFFSET('Standards Rev &amp; Cost'!$E$12,0,MATCH(AM$34,Dates,0))</f>
        <v>0</v>
      </c>
      <c r="AN35" s="373"/>
      <c r="AO35" s="362"/>
      <c r="AP35" s="362"/>
    </row>
    <row r="36" spans="1:42" s="67" customFormat="1" ht="18" customHeight="1" x14ac:dyDescent="0.35">
      <c r="A36" s="362"/>
      <c r="B36" s="370"/>
      <c r="C36" s="377"/>
      <c r="D36" s="297"/>
      <c r="E36" s="297"/>
      <c r="F36" s="297"/>
      <c r="G36" s="297"/>
      <c r="H36" s="297"/>
      <c r="I36" s="297"/>
      <c r="J36" s="297"/>
      <c r="K36" s="297"/>
      <c r="L36" s="297"/>
      <c r="M36" s="297"/>
      <c r="N36" s="297"/>
      <c r="O36" s="297"/>
      <c r="P36" s="297"/>
      <c r="Q36" s="297"/>
      <c r="R36" s="297"/>
      <c r="S36" s="297"/>
      <c r="T36" s="297"/>
      <c r="U36" s="297"/>
      <c r="V36" s="297"/>
      <c r="W36" s="297"/>
      <c r="X36" s="297"/>
      <c r="Y36" s="297"/>
      <c r="Z36" s="297"/>
      <c r="AA36" s="297"/>
      <c r="AB36" s="297"/>
      <c r="AC36" s="297"/>
      <c r="AD36" s="297"/>
      <c r="AE36" s="297"/>
      <c r="AF36" s="297"/>
      <c r="AG36" s="297"/>
      <c r="AH36" s="297"/>
      <c r="AI36" s="297"/>
      <c r="AJ36" s="297"/>
      <c r="AK36" s="297"/>
      <c r="AL36" s="297"/>
      <c r="AM36" s="297"/>
      <c r="AN36" s="373"/>
      <c r="AO36" s="362"/>
      <c r="AP36" s="362"/>
    </row>
    <row r="37" spans="1:42" s="67" customFormat="1" ht="18" customHeight="1" x14ac:dyDescent="0.35">
      <c r="A37" s="362"/>
      <c r="B37" s="370"/>
      <c r="C37" s="415" t="s">
        <v>255</v>
      </c>
      <c r="D37" s="297">
        <f>Reference_Year -1</f>
        <v>2022</v>
      </c>
      <c r="E37" s="297">
        <f ca="1">OFFSET(E37,0,-1)+1</f>
        <v>2023</v>
      </c>
      <c r="F37" s="297">
        <f t="shared" ref="F37:AM37" ca="1" si="2">OFFSET(F37,0,-1)+1</f>
        <v>2024</v>
      </c>
      <c r="G37" s="297">
        <f t="shared" ca="1" si="2"/>
        <v>2025</v>
      </c>
      <c r="H37" s="297">
        <f t="shared" ca="1" si="2"/>
        <v>2026</v>
      </c>
      <c r="I37" s="297">
        <f t="shared" ca="1" si="2"/>
        <v>2027</v>
      </c>
      <c r="J37" s="297">
        <f t="shared" ca="1" si="2"/>
        <v>2028</v>
      </c>
      <c r="K37" s="297">
        <f t="shared" ca="1" si="2"/>
        <v>2029</v>
      </c>
      <c r="L37" s="297">
        <f t="shared" ca="1" si="2"/>
        <v>2030</v>
      </c>
      <c r="M37" s="297">
        <f t="shared" ca="1" si="2"/>
        <v>2031</v>
      </c>
      <c r="N37" s="297">
        <f t="shared" ca="1" si="2"/>
        <v>2032</v>
      </c>
      <c r="O37" s="297">
        <f t="shared" ca="1" si="2"/>
        <v>2033</v>
      </c>
      <c r="P37" s="297">
        <f t="shared" ca="1" si="2"/>
        <v>2034</v>
      </c>
      <c r="Q37" s="297">
        <f t="shared" ca="1" si="2"/>
        <v>2035</v>
      </c>
      <c r="R37" s="297">
        <f t="shared" ca="1" si="2"/>
        <v>2036</v>
      </c>
      <c r="S37" s="297">
        <f t="shared" ca="1" si="2"/>
        <v>2037</v>
      </c>
      <c r="T37" s="297">
        <f t="shared" ca="1" si="2"/>
        <v>2038</v>
      </c>
      <c r="U37" s="297">
        <f t="shared" ca="1" si="2"/>
        <v>2039</v>
      </c>
      <c r="V37" s="297">
        <f t="shared" ca="1" si="2"/>
        <v>2040</v>
      </c>
      <c r="W37" s="297">
        <f t="shared" ca="1" si="2"/>
        <v>2041</v>
      </c>
      <c r="X37" s="297">
        <f t="shared" ca="1" si="2"/>
        <v>2042</v>
      </c>
      <c r="Y37" s="297">
        <f t="shared" ca="1" si="2"/>
        <v>2043</v>
      </c>
      <c r="Z37" s="297">
        <f t="shared" ca="1" si="2"/>
        <v>2044</v>
      </c>
      <c r="AA37" s="297">
        <f t="shared" ca="1" si="2"/>
        <v>2045</v>
      </c>
      <c r="AB37" s="297">
        <f t="shared" ca="1" si="2"/>
        <v>2046</v>
      </c>
      <c r="AC37" s="297">
        <f t="shared" ca="1" si="2"/>
        <v>2047</v>
      </c>
      <c r="AD37" s="297">
        <f t="shared" ca="1" si="2"/>
        <v>2048</v>
      </c>
      <c r="AE37" s="297">
        <f t="shared" ca="1" si="2"/>
        <v>2049</v>
      </c>
      <c r="AF37" s="297">
        <f t="shared" ca="1" si="2"/>
        <v>2050</v>
      </c>
      <c r="AG37" s="297">
        <f t="shared" ca="1" si="2"/>
        <v>2051</v>
      </c>
      <c r="AH37" s="297">
        <f t="shared" ca="1" si="2"/>
        <v>2052</v>
      </c>
      <c r="AI37" s="297">
        <f t="shared" ca="1" si="2"/>
        <v>2053</v>
      </c>
      <c r="AJ37" s="297">
        <f t="shared" ca="1" si="2"/>
        <v>2054</v>
      </c>
      <c r="AK37" s="297">
        <f t="shared" ca="1" si="2"/>
        <v>2055</v>
      </c>
      <c r="AL37" s="297">
        <f t="shared" ca="1" si="2"/>
        <v>2056</v>
      </c>
      <c r="AM37" s="297">
        <f t="shared" ca="1" si="2"/>
        <v>2057</v>
      </c>
      <c r="AN37" s="373"/>
      <c r="AO37" s="362"/>
      <c r="AP37" s="362"/>
    </row>
    <row r="38" spans="1:42" s="67" customFormat="1" ht="18" customHeight="1" x14ac:dyDescent="0.35">
      <c r="A38" s="362"/>
      <c r="B38" s="370"/>
      <c r="C38" s="416" t="s">
        <v>81</v>
      </c>
      <c r="D38" s="539">
        <v>146.799841258177</v>
      </c>
      <c r="E38" s="539">
        <v>144.12231959027287</v>
      </c>
      <c r="F38" s="539">
        <v>141.66855445128536</v>
      </c>
      <c r="G38" s="539">
        <v>139.37216598676224</v>
      </c>
      <c r="H38" s="539">
        <v>137.11496466344252</v>
      </c>
      <c r="I38" s="539">
        <v>134.9332611051899</v>
      </c>
      <c r="J38" s="539">
        <v>132.83598803632188</v>
      </c>
      <c r="K38" s="539">
        <v>130.81718309316705</v>
      </c>
      <c r="L38" s="539">
        <v>128.873707825731</v>
      </c>
      <c r="M38" s="539">
        <v>127.00522872513538</v>
      </c>
      <c r="N38" s="539">
        <v>125.20332730134956</v>
      </c>
      <c r="O38" s="539">
        <v>123.44744196990109</v>
      </c>
      <c r="P38" s="539">
        <v>121.75625163495133</v>
      </c>
      <c r="Q38" s="539">
        <v>120.12070269267241</v>
      </c>
      <c r="R38" s="539">
        <v>118.5286492378783</v>
      </c>
      <c r="S38" s="539">
        <v>116.9860011965753</v>
      </c>
      <c r="T38" s="539">
        <v>115.49732650977123</v>
      </c>
      <c r="U38" s="539">
        <v>114.05804176539277</v>
      </c>
      <c r="V38" s="539">
        <v>112.66211572259475</v>
      </c>
      <c r="W38" s="539">
        <v>111.30235199589066</v>
      </c>
      <c r="X38" s="539">
        <v>109.98404140047376</v>
      </c>
      <c r="Y38" s="539">
        <v>108.70799393781846</v>
      </c>
      <c r="Z38" s="539">
        <v>107.4670498021685</v>
      </c>
      <c r="AA38" s="539">
        <v>106.2573973356602</v>
      </c>
      <c r="AB38" s="539">
        <v>105.08078599085157</v>
      </c>
      <c r="AC38" s="539">
        <v>103.93380724413112</v>
      </c>
      <c r="AD38" s="539">
        <v>102.81569381168872</v>
      </c>
      <c r="AE38" s="539">
        <v>101.72512947966254</v>
      </c>
      <c r="AF38" s="539">
        <v>100.66126031155284</v>
      </c>
      <c r="AG38" s="539">
        <v>99.62326369307948</v>
      </c>
      <c r="AH38" s="539">
        <v>99.62326369307948</v>
      </c>
      <c r="AI38" s="539">
        <v>99.62326369307948</v>
      </c>
      <c r="AJ38" s="539">
        <v>99.62326369307948</v>
      </c>
      <c r="AK38" s="539">
        <v>99.62326369307948</v>
      </c>
      <c r="AL38" s="539">
        <v>99.62326369307948</v>
      </c>
      <c r="AM38" s="539">
        <v>97.620855030386849</v>
      </c>
      <c r="AN38" s="417"/>
      <c r="AO38" s="362"/>
      <c r="AP38" s="362"/>
    </row>
    <row r="39" spans="1:42" s="67" customFormat="1" ht="18" customHeight="1" x14ac:dyDescent="0.35">
      <c r="A39" s="362"/>
      <c r="B39" s="370"/>
      <c r="C39" s="418" t="s">
        <v>90</v>
      </c>
      <c r="D39" s="540">
        <v>146.79984125817651</v>
      </c>
      <c r="E39" s="540">
        <v>144.12231959027287</v>
      </c>
      <c r="F39" s="540">
        <v>141.66855445128536</v>
      </c>
      <c r="G39" s="540">
        <v>141.05134870949431</v>
      </c>
      <c r="H39" s="540">
        <v>138.76695218950809</v>
      </c>
      <c r="I39" s="540">
        <v>136.55896304621629</v>
      </c>
      <c r="J39" s="540">
        <v>134.43642162712095</v>
      </c>
      <c r="K39" s="540">
        <v>132.39329373284374</v>
      </c>
      <c r="L39" s="540">
        <v>130.4264031007398</v>
      </c>
      <c r="M39" s="540">
        <v>128.53541220375146</v>
      </c>
      <c r="N39" s="540">
        <v>126.71180112425738</v>
      </c>
      <c r="O39" s="540">
        <v>124.9347605478517</v>
      </c>
      <c r="P39" s="540">
        <v>123.22319442573387</v>
      </c>
      <c r="Q39" s="540">
        <v>121.56794007451182</v>
      </c>
      <c r="R39" s="540">
        <v>119.95670525279249</v>
      </c>
      <c r="S39" s="540">
        <v>118.39547109050994</v>
      </c>
      <c r="T39" s="540">
        <v>116.88886056410581</v>
      </c>
      <c r="U39" s="540">
        <v>115.43223503967461</v>
      </c>
      <c r="V39" s="540">
        <v>114.01949061081879</v>
      </c>
      <c r="W39" s="540">
        <v>112.64334418861225</v>
      </c>
      <c r="X39" s="540">
        <v>111.30915033300957</v>
      </c>
      <c r="Y39" s="540">
        <v>110.01772880453916</v>
      </c>
      <c r="Z39" s="540">
        <v>108.76183353472474</v>
      </c>
      <c r="AA39" s="540">
        <v>107.53760694211394</v>
      </c>
      <c r="AB39" s="540">
        <v>106.34681955700641</v>
      </c>
      <c r="AC39" s="540">
        <v>105.18602178924112</v>
      </c>
      <c r="AD39" s="540">
        <v>104.05443711062472</v>
      </c>
      <c r="AE39" s="540">
        <v>102.95073344929703</v>
      </c>
      <c r="AF39" s="540">
        <v>101.87404658036672</v>
      </c>
      <c r="AG39" s="540">
        <v>100.82354397853827</v>
      </c>
      <c r="AH39" s="540">
        <v>100.82354397853827</v>
      </c>
      <c r="AI39" s="540">
        <v>100.82354397853827</v>
      </c>
      <c r="AJ39" s="540">
        <v>100.82354397853827</v>
      </c>
      <c r="AK39" s="540">
        <v>100.82354397853827</v>
      </c>
      <c r="AL39" s="540">
        <v>100.82354397853827</v>
      </c>
      <c r="AM39" s="540">
        <v>98.797009910271044</v>
      </c>
      <c r="AN39" s="417"/>
      <c r="AO39" s="362"/>
      <c r="AP39" s="362"/>
    </row>
    <row r="40" spans="1:42" s="67" customFormat="1" ht="18" customHeight="1" x14ac:dyDescent="0.35">
      <c r="A40" s="362"/>
      <c r="B40" s="370"/>
      <c r="C40" s="418"/>
      <c r="D40" s="419"/>
      <c r="E40" s="419"/>
      <c r="F40" s="419"/>
      <c r="G40" s="419"/>
      <c r="H40" s="419"/>
      <c r="I40" s="419"/>
      <c r="J40" s="419"/>
      <c r="K40" s="419"/>
      <c r="L40" s="419"/>
      <c r="M40" s="419"/>
      <c r="N40" s="419"/>
      <c r="O40" s="419"/>
      <c r="P40" s="419"/>
      <c r="Q40" s="419"/>
      <c r="R40" s="419"/>
      <c r="S40" s="419"/>
      <c r="T40" s="419"/>
      <c r="U40" s="419"/>
      <c r="V40" s="419"/>
      <c r="W40" s="419"/>
      <c r="X40" s="419"/>
      <c r="Y40" s="419"/>
      <c r="Z40" s="419"/>
      <c r="AA40" s="419"/>
      <c r="AB40" s="419"/>
      <c r="AC40" s="419"/>
      <c r="AD40" s="419"/>
      <c r="AE40" s="419"/>
      <c r="AF40" s="419"/>
      <c r="AG40" s="419"/>
      <c r="AH40" s="419"/>
      <c r="AI40" s="419"/>
      <c r="AJ40" s="419"/>
      <c r="AK40" s="419"/>
      <c r="AL40" s="419"/>
      <c r="AM40" s="419"/>
      <c r="AN40" s="417"/>
      <c r="AO40" s="362"/>
      <c r="AP40" s="362"/>
    </row>
    <row r="41" spans="1:42" s="67" customFormat="1" ht="18" customHeight="1" x14ac:dyDescent="0.35">
      <c r="A41" s="362"/>
      <c r="B41" s="370"/>
      <c r="C41" s="418"/>
      <c r="D41" s="419"/>
      <c r="E41" s="419"/>
      <c r="F41" s="419"/>
      <c r="G41" s="419"/>
      <c r="H41" s="419"/>
      <c r="I41" s="419"/>
      <c r="J41" s="419"/>
      <c r="K41" s="419"/>
      <c r="L41" s="419"/>
      <c r="M41" s="419"/>
      <c r="N41" s="419"/>
      <c r="O41" s="419"/>
      <c r="P41" s="419"/>
      <c r="Q41" s="419"/>
      <c r="R41" s="419"/>
      <c r="S41" s="419"/>
      <c r="T41" s="419"/>
      <c r="U41" s="419"/>
      <c r="V41" s="419"/>
      <c r="W41" s="419"/>
      <c r="X41" s="419"/>
      <c r="Y41" s="419"/>
      <c r="Z41" s="419"/>
      <c r="AA41" s="419"/>
      <c r="AB41" s="419"/>
      <c r="AC41" s="419"/>
      <c r="AD41" s="419"/>
      <c r="AE41" s="419"/>
      <c r="AF41" s="419"/>
      <c r="AG41" s="419"/>
      <c r="AH41" s="419"/>
      <c r="AI41" s="419"/>
      <c r="AJ41" s="419"/>
      <c r="AK41" s="419"/>
      <c r="AL41" s="419"/>
      <c r="AM41" s="419"/>
      <c r="AN41" s="417"/>
      <c r="AO41" s="362"/>
      <c r="AP41" s="362"/>
    </row>
    <row r="42" spans="1:42" s="67" customFormat="1" ht="18" customHeight="1" x14ac:dyDescent="0.35">
      <c r="A42" s="362"/>
      <c r="B42" s="370"/>
      <c r="C42" s="415" t="s">
        <v>254</v>
      </c>
      <c r="D42" s="297">
        <f>Reference_Year -1</f>
        <v>2022</v>
      </c>
      <c r="E42" s="297">
        <f ca="1">OFFSET(E42,0,-1)+1</f>
        <v>2023</v>
      </c>
      <c r="F42" s="297">
        <f t="shared" ref="F42:AM42" ca="1" si="3">OFFSET(F42,0,-1)+1</f>
        <v>2024</v>
      </c>
      <c r="G42" s="297">
        <f t="shared" ca="1" si="3"/>
        <v>2025</v>
      </c>
      <c r="H42" s="297">
        <f t="shared" ca="1" si="3"/>
        <v>2026</v>
      </c>
      <c r="I42" s="297">
        <f t="shared" ca="1" si="3"/>
        <v>2027</v>
      </c>
      <c r="J42" s="297">
        <f t="shared" ca="1" si="3"/>
        <v>2028</v>
      </c>
      <c r="K42" s="297">
        <f t="shared" ca="1" si="3"/>
        <v>2029</v>
      </c>
      <c r="L42" s="297">
        <f t="shared" ca="1" si="3"/>
        <v>2030</v>
      </c>
      <c r="M42" s="297">
        <f t="shared" ca="1" si="3"/>
        <v>2031</v>
      </c>
      <c r="N42" s="297">
        <f t="shared" ca="1" si="3"/>
        <v>2032</v>
      </c>
      <c r="O42" s="297">
        <f t="shared" ca="1" si="3"/>
        <v>2033</v>
      </c>
      <c r="P42" s="297">
        <f t="shared" ca="1" si="3"/>
        <v>2034</v>
      </c>
      <c r="Q42" s="297">
        <f t="shared" ca="1" si="3"/>
        <v>2035</v>
      </c>
      <c r="R42" s="297">
        <f t="shared" ca="1" si="3"/>
        <v>2036</v>
      </c>
      <c r="S42" s="297">
        <f t="shared" ca="1" si="3"/>
        <v>2037</v>
      </c>
      <c r="T42" s="297">
        <f t="shared" ca="1" si="3"/>
        <v>2038</v>
      </c>
      <c r="U42" s="297">
        <f t="shared" ca="1" si="3"/>
        <v>2039</v>
      </c>
      <c r="V42" s="297">
        <f t="shared" ca="1" si="3"/>
        <v>2040</v>
      </c>
      <c r="W42" s="297">
        <f t="shared" ca="1" si="3"/>
        <v>2041</v>
      </c>
      <c r="X42" s="297">
        <f t="shared" ca="1" si="3"/>
        <v>2042</v>
      </c>
      <c r="Y42" s="297">
        <f t="shared" ca="1" si="3"/>
        <v>2043</v>
      </c>
      <c r="Z42" s="297">
        <f t="shared" ca="1" si="3"/>
        <v>2044</v>
      </c>
      <c r="AA42" s="297">
        <f t="shared" ca="1" si="3"/>
        <v>2045</v>
      </c>
      <c r="AB42" s="297">
        <f t="shared" ca="1" si="3"/>
        <v>2046</v>
      </c>
      <c r="AC42" s="297">
        <f t="shared" ca="1" si="3"/>
        <v>2047</v>
      </c>
      <c r="AD42" s="297">
        <f t="shared" ca="1" si="3"/>
        <v>2048</v>
      </c>
      <c r="AE42" s="297">
        <f t="shared" ca="1" si="3"/>
        <v>2049</v>
      </c>
      <c r="AF42" s="297">
        <f t="shared" ca="1" si="3"/>
        <v>2050</v>
      </c>
      <c r="AG42" s="297">
        <f t="shared" ca="1" si="3"/>
        <v>2051</v>
      </c>
      <c r="AH42" s="297">
        <f t="shared" ca="1" si="3"/>
        <v>2052</v>
      </c>
      <c r="AI42" s="297">
        <f t="shared" ca="1" si="3"/>
        <v>2053</v>
      </c>
      <c r="AJ42" s="297">
        <f t="shared" ca="1" si="3"/>
        <v>2054</v>
      </c>
      <c r="AK42" s="297">
        <f t="shared" ca="1" si="3"/>
        <v>2055</v>
      </c>
      <c r="AL42" s="297">
        <f t="shared" ca="1" si="3"/>
        <v>2056</v>
      </c>
      <c r="AM42" s="297">
        <f t="shared" ca="1" si="3"/>
        <v>2057</v>
      </c>
      <c r="AN42" s="373"/>
      <c r="AO42" s="362"/>
      <c r="AP42" s="362"/>
    </row>
    <row r="43" spans="1:42" s="67" customFormat="1" ht="18" customHeight="1" x14ac:dyDescent="0.35">
      <c r="A43" s="362"/>
      <c r="B43" s="370"/>
      <c r="C43" s="416" t="s">
        <v>81</v>
      </c>
      <c r="D43" s="541">
        <f ca="1">(OFFSET(D43,-4-NAMES!$K$4,0)*1000000*$K$6)/$D$15/$H$6</f>
        <v>64.625338873320928</v>
      </c>
      <c r="E43" s="541">
        <f ca="1">(OFFSET(E43,-4-NAMES!$K$4,0)*1000000*$K$6)/$D$15/$H$6</f>
        <v>63.446619988845811</v>
      </c>
      <c r="F43" s="541">
        <f ca="1">(OFFSET(F43,-4-NAMES!$K$4,0)*1000000*$K$6)/$D$15/$H$6</f>
        <v>62.366404899622914</v>
      </c>
      <c r="G43" s="541">
        <f ca="1">(OFFSET(G43,-4-NAMES!$K$4,0)*1000000*$K$6)/$D$15/$H$6</f>
        <v>61.355471362960621</v>
      </c>
      <c r="H43" s="541">
        <f ca="1">(OFFSET(H43,-4-NAMES!$K$4,0)*1000000*$K$6)/$D$15/$H$6</f>
        <v>60.361789086640584</v>
      </c>
      <c r="I43" s="541">
        <f ca="1">(OFFSET(I43,-4-NAMES!$K$4,0)*1000000*$K$6)/$D$15/$H$6</f>
        <v>59.401343008737534</v>
      </c>
      <c r="J43" s="541">
        <f ca="1">(OFFSET(J43,-4-NAMES!$K$4,0)*1000000*$K$6)/$D$15/$H$6</f>
        <v>58.47806556086131</v>
      </c>
      <c r="K43" s="541">
        <f ca="1">(OFFSET(K43,-4-NAMES!$K$4,0)*1000000*$K$6)/$D$15/$H$6</f>
        <v>57.589331946081266</v>
      </c>
      <c r="L43" s="541">
        <f ca="1">(OFFSET(L43,-4-NAMES!$K$4,0)*1000000*$K$6)/$D$15/$H$6</f>
        <v>56.733760532151166</v>
      </c>
      <c r="M43" s="541">
        <f ca="1">(OFFSET(M43,-4-NAMES!$K$4,0)*1000000*$K$6)/$D$15/$H$6</f>
        <v>55.911204499264564</v>
      </c>
      <c r="N43" s="541">
        <f ca="1">(OFFSET(N43,-4-NAMES!$K$4,0)*1000000*$K$6)/$D$15/$H$6</f>
        <v>55.117957795927325</v>
      </c>
      <c r="O43" s="541">
        <f ca="1">(OFFSET(O43,-4-NAMES!$K$4,0)*1000000*$K$6)/$D$15/$H$6</f>
        <v>54.344968645564521</v>
      </c>
      <c r="P43" s="541">
        <f ca="1">(OFFSET(P43,-4-NAMES!$K$4,0)*1000000*$K$6)/$D$15/$H$6</f>
        <v>53.60046001695369</v>
      </c>
      <c r="Q43" s="541">
        <f ca="1">(OFFSET(Q43,-4-NAMES!$K$4,0)*1000000*$K$6)/$D$15/$H$6</f>
        <v>52.88044626399067</v>
      </c>
      <c r="R43" s="541">
        <f ca="1">(OFFSET(R43,-4-NAMES!$K$4,0)*1000000*$K$6)/$D$15/$H$6</f>
        <v>52.17958042422751</v>
      </c>
      <c r="S43" s="541">
        <f ca="1">(OFFSET(S43,-4-NAMES!$K$4,0)*1000000*$K$6)/$D$15/$H$6</f>
        <v>51.500464210088431</v>
      </c>
      <c r="T43" s="541">
        <f ca="1">(OFFSET(T43,-4-NAMES!$K$4,0)*1000000*$K$6)/$D$15/$H$6</f>
        <v>50.845108555189256</v>
      </c>
      <c r="U43" s="541">
        <f ca="1">(OFFSET(U43,-4-NAMES!$K$4,0)*1000000*$K$6)/$D$15/$H$6</f>
        <v>50.211495715124428</v>
      </c>
      <c r="V43" s="541">
        <f ca="1">(OFFSET(V43,-4-NAMES!$K$4,0)*1000000*$K$6)/$D$15/$H$6</f>
        <v>49.596970571331795</v>
      </c>
      <c r="W43" s="541">
        <f ca="1">(OFFSET(W43,-4-NAMES!$K$4,0)*1000000*$K$6)/$D$15/$H$6</f>
        <v>48.998365076443321</v>
      </c>
      <c r="X43" s="541">
        <f ca="1">(OFFSET(X43,-4-NAMES!$K$4,0)*1000000*$K$6)/$D$15/$H$6</f>
        <v>48.418008393228163</v>
      </c>
      <c r="Y43" s="541">
        <f ca="1">(OFFSET(Y43,-4-NAMES!$K$4,0)*1000000*$K$6)/$D$15/$H$6</f>
        <v>47.856257106675272</v>
      </c>
      <c r="Z43" s="541">
        <f ca="1">(OFFSET(Z43,-4-NAMES!$K$4,0)*1000000*$K$6)/$D$15/$H$6</f>
        <v>47.309959272822738</v>
      </c>
      <c r="AA43" s="541">
        <f ca="1">(OFFSET(AA43,-4-NAMES!$K$4,0)*1000000*$K$6)/$D$15/$H$6</f>
        <v>46.777436894753123</v>
      </c>
      <c r="AB43" s="541">
        <f ca="1">(OFFSET(AB43,-4-NAMES!$K$4,0)*1000000*$K$6)/$D$15/$H$6</f>
        <v>46.259460129732496</v>
      </c>
      <c r="AC43" s="541">
        <f ca="1">(OFFSET(AC43,-4-NAMES!$K$4,0)*1000000*$K$6)/$D$15/$H$6</f>
        <v>45.754528451659738</v>
      </c>
      <c r="AD43" s="541">
        <f ca="1">(OFFSET(AD43,-4-NAMES!$K$4,0)*1000000*$K$6)/$D$15/$H$6</f>
        <v>45.262304081039872</v>
      </c>
      <c r="AE43" s="541">
        <f ca="1">(OFFSET(AE43,-4-NAMES!$K$4,0)*1000000*$K$6)/$D$15/$H$6</f>
        <v>44.782207584229639</v>
      </c>
      <c r="AF43" s="541">
        <f ca="1">(OFFSET(AF43,-4-NAMES!$K$4,0)*1000000*$K$6)/$D$15/$H$6</f>
        <v>44.313863034830213</v>
      </c>
      <c r="AG43" s="541">
        <f ca="1">(OFFSET(AG43,-4-NAMES!$K$4,0)*1000000*$K$6)/$D$15/$H$6</f>
        <v>43.856908295347722</v>
      </c>
      <c r="AH43" s="541">
        <f ca="1">(OFFSET(AH43,-4-NAMES!$K$4,0)*1000000*$K$6)/$D$15/$H$6</f>
        <v>43.856908295347722</v>
      </c>
      <c r="AI43" s="541">
        <f ca="1">(OFFSET(AI43,-4-NAMES!$K$4,0)*1000000*$K$6)/$D$15/$H$6</f>
        <v>43.856908295347722</v>
      </c>
      <c r="AJ43" s="541">
        <f ca="1">(OFFSET(AJ43,-4-NAMES!$K$4,0)*1000000*$K$6)/$D$15/$H$6</f>
        <v>43.856908295347722</v>
      </c>
      <c r="AK43" s="541">
        <f ca="1">(OFFSET(AK43,-4-NAMES!$K$4,0)*1000000*$K$6)/$D$15/$H$6</f>
        <v>43.856908295347722</v>
      </c>
      <c r="AL43" s="541">
        <f ca="1">(OFFSET(AL43,-4-NAMES!$K$4,0)*1000000*$K$6)/$D$15/$H$6</f>
        <v>43.856908295347722</v>
      </c>
      <c r="AM43" s="541">
        <f ca="1">(OFFSET(AM43,-4-NAMES!$K$4,0)*1000000*$K$6)/$D$15/$H$6</f>
        <v>42.975392775437875</v>
      </c>
      <c r="AN43" s="420"/>
      <c r="AO43" s="362"/>
      <c r="AP43" s="362"/>
    </row>
    <row r="44" spans="1:42" s="67" customFormat="1" ht="18" customHeight="1" x14ac:dyDescent="0.35">
      <c r="A44" s="362"/>
      <c r="B44" s="370"/>
      <c r="C44" s="418" t="s">
        <v>90</v>
      </c>
      <c r="D44" s="542">
        <f ca="1">(OFFSET(D44,-4-NAMES!$K$4,0)*1000000*$K$6)/$D$15/$H$6</f>
        <v>64.625338873320715</v>
      </c>
      <c r="E44" s="542">
        <f ca="1">(OFFSET(E44,-4-NAMES!$K$4,0)*1000000*$K$6)/$D$15/$H$6</f>
        <v>63.446619988845811</v>
      </c>
      <c r="F44" s="542">
        <f ca="1">(OFFSET(F44,-4-NAMES!$K$4,0)*1000000*$K$6)/$D$15/$H$6</f>
        <v>62.366404899622914</v>
      </c>
      <c r="G44" s="542">
        <f ca="1">(OFFSET(G44,-4-NAMES!$K$4,0)*1000000*$K$6)/$D$15/$H$6</f>
        <v>62.094693909502304</v>
      </c>
      <c r="H44" s="542">
        <f ca="1">(OFFSET(H44,-4-NAMES!$K$4,0)*1000000*$K$6)/$D$15/$H$6</f>
        <v>61.089039557563957</v>
      </c>
      <c r="I44" s="542">
        <f ca="1">(OFFSET(I44,-4-NAMES!$K$4,0)*1000000*$K$6)/$D$15/$H$6</f>
        <v>60.117021840168107</v>
      </c>
      <c r="J44" s="542">
        <f ca="1">(OFFSET(J44,-4-NAMES!$K$4,0)*1000000*$K$6)/$D$15/$H$6</f>
        <v>59.182620567618677</v>
      </c>
      <c r="K44" s="542">
        <f ca="1">(OFFSET(K44,-4-NAMES!$K$4,0)*1000000*$K$6)/$D$15/$H$6</f>
        <v>58.283179318925605</v>
      </c>
      <c r="L44" s="542">
        <f ca="1">(OFFSET(L44,-4-NAMES!$K$4,0)*1000000*$K$6)/$D$15/$H$6</f>
        <v>57.417299815671051</v>
      </c>
      <c r="M44" s="542">
        <f ca="1">(OFFSET(M44,-4-NAMES!$K$4,0)*1000000*$K$6)/$D$15/$H$6</f>
        <v>56.584833469135212</v>
      </c>
      <c r="N44" s="542">
        <f ca="1">(OFFSET(N44,-4-NAMES!$K$4,0)*1000000*$K$6)/$D$15/$H$6</f>
        <v>55.782029576601133</v>
      </c>
      <c r="O44" s="542">
        <f ca="1">(OFFSET(O44,-4-NAMES!$K$4,0)*1000000*$K$6)/$D$15/$H$6</f>
        <v>54.999727303944823</v>
      </c>
      <c r="P44" s="542">
        <f ca="1">(OFFSET(P44,-4-NAMES!$K$4,0)*1000000*$K$6)/$D$15/$H$6</f>
        <v>54.246248691856749</v>
      </c>
      <c r="Q44" s="542">
        <f ca="1">(OFFSET(Q44,-4-NAMES!$K$4,0)*1000000*$K$6)/$D$15/$H$6</f>
        <v>53.517560074400187</v>
      </c>
      <c r="R44" s="542">
        <f ca="1">(OFFSET(R44,-4-NAMES!$K$4,0)*1000000*$K$6)/$D$15/$H$6</f>
        <v>52.808250067892907</v>
      </c>
      <c r="S44" s="542">
        <f ca="1">(OFFSET(S44,-4-NAMES!$K$4,0)*1000000*$K$6)/$D$15/$H$6</f>
        <v>52.1209517306919</v>
      </c>
      <c r="T44" s="542">
        <f ca="1">(OFFSET(T44,-4-NAMES!$K$4,0)*1000000*$K$6)/$D$15/$H$6</f>
        <v>51.457700224528878</v>
      </c>
      <c r="U44" s="542">
        <f ca="1">(OFFSET(U44,-4-NAMES!$K$4,0)*1000000*$K$6)/$D$15/$H$6</f>
        <v>50.816453494824721</v>
      </c>
      <c r="V44" s="542">
        <f ca="1">(OFFSET(V44,-4-NAMES!$K$4,0)*1000000*$K$6)/$D$15/$H$6</f>
        <v>50.194524433637007</v>
      </c>
      <c r="W44" s="542">
        <f ca="1">(OFFSET(W44,-4-NAMES!$K$4,0)*1000000*$K$6)/$D$15/$H$6</f>
        <v>49.588706824352286</v>
      </c>
      <c r="X44" s="542">
        <f ca="1">(OFFSET(X44,-4-NAMES!$K$4,0)*1000000*$K$6)/$D$15/$H$6</f>
        <v>49.001357891941744</v>
      </c>
      <c r="Y44" s="542">
        <f ca="1">(OFFSET(Y44,-4-NAMES!$K$4,0)*1000000*$K$6)/$D$15/$H$6</f>
        <v>48.432838517599073</v>
      </c>
      <c r="Z44" s="542">
        <f ca="1">(OFFSET(Z44,-4-NAMES!$K$4,0)*1000000*$K$6)/$D$15/$H$6</f>
        <v>47.879958782133855</v>
      </c>
      <c r="AA44" s="542">
        <f ca="1">(OFFSET(AA44,-4-NAMES!$K$4,0)*1000000*$K$6)/$D$15/$H$6</f>
        <v>47.341020471798338</v>
      </c>
      <c r="AB44" s="542">
        <f ca="1">(OFFSET(AB44,-4-NAMES!$K$4,0)*1000000*$K$6)/$D$15/$H$6</f>
        <v>46.816803022861812</v>
      </c>
      <c r="AC44" s="542">
        <f ca="1">(OFFSET(AC44,-4-NAMES!$K$4,0)*1000000*$K$6)/$D$15/$H$6</f>
        <v>46.305787830595392</v>
      </c>
      <c r="AD44" s="542">
        <f ca="1">(OFFSET(AD44,-4-NAMES!$K$4,0)*1000000*$K$6)/$D$15/$H$6</f>
        <v>45.807633045871668</v>
      </c>
      <c r="AE44" s="542">
        <f ca="1">(OFFSET(AE44,-4-NAMES!$K$4,0)*1000000*$K$6)/$D$15/$H$6</f>
        <v>45.321752253919151</v>
      </c>
      <c r="AF44" s="542">
        <f ca="1">(OFFSET(AF44,-4-NAMES!$K$4,0)*1000000*$K$6)/$D$15/$H$6</f>
        <v>44.847764999105273</v>
      </c>
      <c r="AG44" s="542">
        <f ca="1">(OFFSET(AG44,-4-NAMES!$K$4,0)*1000000*$K$6)/$D$15/$H$6</f>
        <v>44.385304780833842</v>
      </c>
      <c r="AH44" s="542">
        <f ca="1">(OFFSET(AH44,-4-NAMES!$K$4,0)*1000000*$K$6)/$D$15/$H$6</f>
        <v>44.385304780833842</v>
      </c>
      <c r="AI44" s="542">
        <f ca="1">(OFFSET(AI44,-4-NAMES!$K$4,0)*1000000*$K$6)/$D$15/$H$6</f>
        <v>44.385304780833842</v>
      </c>
      <c r="AJ44" s="542">
        <f ca="1">(OFFSET(AJ44,-4-NAMES!$K$4,0)*1000000*$K$6)/$D$15/$H$6</f>
        <v>44.385304780833842</v>
      </c>
      <c r="AK44" s="542">
        <f ca="1">(OFFSET(AK44,-4-NAMES!$K$4,0)*1000000*$K$6)/$D$15/$H$6</f>
        <v>44.385304780833842</v>
      </c>
      <c r="AL44" s="542">
        <f ca="1">(OFFSET(AL44,-4-NAMES!$K$4,0)*1000000*$K$6)/$D$15/$H$6</f>
        <v>44.385304780833842</v>
      </c>
      <c r="AM44" s="542">
        <f ca="1">(OFFSET(AM44,-4-NAMES!$K$4,0)*1000000*$K$6)/$D$15/$H$6</f>
        <v>43.493168592009425</v>
      </c>
      <c r="AN44" s="420"/>
      <c r="AO44" s="362"/>
      <c r="AP44" s="362"/>
    </row>
    <row r="45" spans="1:42" s="67" customFormat="1" ht="18" customHeight="1" x14ac:dyDescent="0.35">
      <c r="A45" s="362"/>
      <c r="B45" s="370"/>
      <c r="C45" s="418"/>
      <c r="D45" s="419"/>
      <c r="E45" s="419"/>
      <c r="F45" s="419"/>
      <c r="G45" s="419"/>
      <c r="H45" s="419"/>
      <c r="I45" s="419"/>
      <c r="J45" s="419"/>
      <c r="K45" s="419"/>
      <c r="L45" s="419"/>
      <c r="M45" s="419"/>
      <c r="N45" s="419"/>
      <c r="O45" s="419"/>
      <c r="P45" s="419"/>
      <c r="Q45" s="419"/>
      <c r="R45" s="419"/>
      <c r="S45" s="419"/>
      <c r="T45" s="419"/>
      <c r="U45" s="419"/>
      <c r="V45" s="419"/>
      <c r="W45" s="419"/>
      <c r="X45" s="419"/>
      <c r="Y45" s="419"/>
      <c r="Z45" s="419"/>
      <c r="AA45" s="419"/>
      <c r="AB45" s="419"/>
      <c r="AC45" s="419"/>
      <c r="AD45" s="419"/>
      <c r="AE45" s="419"/>
      <c r="AF45" s="419"/>
      <c r="AG45" s="419"/>
      <c r="AH45" s="419"/>
      <c r="AI45" s="419"/>
      <c r="AJ45" s="419"/>
      <c r="AK45" s="419"/>
      <c r="AL45" s="419"/>
      <c r="AM45" s="419"/>
      <c r="AN45" s="420"/>
      <c r="AO45" s="362"/>
      <c r="AP45" s="362"/>
    </row>
    <row r="46" spans="1:42" s="67" customFormat="1" ht="18" customHeight="1" x14ac:dyDescent="0.35">
      <c r="A46" s="362"/>
      <c r="B46" s="370"/>
      <c r="C46" s="418"/>
      <c r="D46" s="421"/>
      <c r="E46" s="421"/>
      <c r="F46" s="421"/>
      <c r="G46" s="421"/>
      <c r="H46" s="421"/>
      <c r="I46" s="421"/>
      <c r="J46" s="421"/>
      <c r="K46" s="421"/>
      <c r="L46" s="421"/>
      <c r="M46" s="421"/>
      <c r="N46" s="421"/>
      <c r="O46" s="421"/>
      <c r="P46" s="421"/>
      <c r="Q46" s="421"/>
      <c r="R46" s="421"/>
      <c r="S46" s="421"/>
      <c r="T46" s="421"/>
      <c r="U46" s="421"/>
      <c r="V46" s="421"/>
      <c r="W46" s="421"/>
      <c r="X46" s="421"/>
      <c r="Y46" s="421"/>
      <c r="Z46" s="421"/>
      <c r="AA46" s="421"/>
      <c r="AB46" s="421"/>
      <c r="AC46" s="421"/>
      <c r="AD46" s="421"/>
      <c r="AE46" s="421"/>
      <c r="AF46" s="421"/>
      <c r="AG46" s="421"/>
      <c r="AH46" s="421"/>
      <c r="AI46" s="421"/>
      <c r="AJ46" s="421"/>
      <c r="AK46" s="421"/>
      <c r="AL46" s="421"/>
      <c r="AM46" s="421"/>
      <c r="AN46" s="420"/>
      <c r="AO46" s="362"/>
      <c r="AP46" s="362"/>
    </row>
    <row r="47" spans="1:42" s="67" customFormat="1" ht="18" customHeight="1" x14ac:dyDescent="0.35">
      <c r="A47" s="362"/>
      <c r="B47" s="370"/>
      <c r="C47" s="415" t="s">
        <v>256</v>
      </c>
      <c r="D47" s="297">
        <f>Reference_Year -1</f>
        <v>2022</v>
      </c>
      <c r="E47" s="297">
        <f ca="1">OFFSET(E47,0,-1)+1</f>
        <v>2023</v>
      </c>
      <c r="F47" s="297">
        <f t="shared" ref="F47:AM47" ca="1" si="4">OFFSET(F47,0,-1)+1</f>
        <v>2024</v>
      </c>
      <c r="G47" s="297">
        <f t="shared" ca="1" si="4"/>
        <v>2025</v>
      </c>
      <c r="H47" s="297">
        <f t="shared" ca="1" si="4"/>
        <v>2026</v>
      </c>
      <c r="I47" s="297">
        <f t="shared" ca="1" si="4"/>
        <v>2027</v>
      </c>
      <c r="J47" s="297">
        <f t="shared" ca="1" si="4"/>
        <v>2028</v>
      </c>
      <c r="K47" s="297">
        <f t="shared" ca="1" si="4"/>
        <v>2029</v>
      </c>
      <c r="L47" s="297">
        <f t="shared" ca="1" si="4"/>
        <v>2030</v>
      </c>
      <c r="M47" s="297">
        <f t="shared" ca="1" si="4"/>
        <v>2031</v>
      </c>
      <c r="N47" s="297">
        <f t="shared" ca="1" si="4"/>
        <v>2032</v>
      </c>
      <c r="O47" s="297">
        <f t="shared" ca="1" si="4"/>
        <v>2033</v>
      </c>
      <c r="P47" s="297">
        <f t="shared" ca="1" si="4"/>
        <v>2034</v>
      </c>
      <c r="Q47" s="297">
        <f t="shared" ca="1" si="4"/>
        <v>2035</v>
      </c>
      <c r="R47" s="297">
        <f t="shared" ca="1" si="4"/>
        <v>2036</v>
      </c>
      <c r="S47" s="297">
        <f t="shared" ca="1" si="4"/>
        <v>2037</v>
      </c>
      <c r="T47" s="297">
        <f t="shared" ca="1" si="4"/>
        <v>2038</v>
      </c>
      <c r="U47" s="297">
        <f t="shared" ca="1" si="4"/>
        <v>2039</v>
      </c>
      <c r="V47" s="297">
        <f t="shared" ca="1" si="4"/>
        <v>2040</v>
      </c>
      <c r="W47" s="297">
        <f t="shared" ca="1" si="4"/>
        <v>2041</v>
      </c>
      <c r="X47" s="297">
        <f t="shared" ca="1" si="4"/>
        <v>2042</v>
      </c>
      <c r="Y47" s="297">
        <f t="shared" ca="1" si="4"/>
        <v>2043</v>
      </c>
      <c r="Z47" s="297">
        <f t="shared" ca="1" si="4"/>
        <v>2044</v>
      </c>
      <c r="AA47" s="297">
        <f t="shared" ca="1" si="4"/>
        <v>2045</v>
      </c>
      <c r="AB47" s="297">
        <f t="shared" ca="1" si="4"/>
        <v>2046</v>
      </c>
      <c r="AC47" s="297">
        <f t="shared" ca="1" si="4"/>
        <v>2047</v>
      </c>
      <c r="AD47" s="297">
        <f t="shared" ca="1" si="4"/>
        <v>2048</v>
      </c>
      <c r="AE47" s="297">
        <f t="shared" ca="1" si="4"/>
        <v>2049</v>
      </c>
      <c r="AF47" s="297">
        <f t="shared" ca="1" si="4"/>
        <v>2050</v>
      </c>
      <c r="AG47" s="297">
        <f t="shared" ca="1" si="4"/>
        <v>2051</v>
      </c>
      <c r="AH47" s="297">
        <f t="shared" ca="1" si="4"/>
        <v>2052</v>
      </c>
      <c r="AI47" s="297">
        <f t="shared" ca="1" si="4"/>
        <v>2053</v>
      </c>
      <c r="AJ47" s="297">
        <f t="shared" ca="1" si="4"/>
        <v>2054</v>
      </c>
      <c r="AK47" s="297">
        <f t="shared" ca="1" si="4"/>
        <v>2055</v>
      </c>
      <c r="AL47" s="297">
        <f t="shared" ca="1" si="4"/>
        <v>2056</v>
      </c>
      <c r="AM47" s="297">
        <f t="shared" ca="1" si="4"/>
        <v>2057</v>
      </c>
      <c r="AN47" s="373"/>
      <c r="AO47" s="362"/>
      <c r="AP47" s="362"/>
    </row>
    <row r="48" spans="1:42" s="67" customFormat="1" ht="18" customHeight="1" x14ac:dyDescent="0.35">
      <c r="A48" s="362"/>
      <c r="B48" s="370"/>
      <c r="C48" s="416" t="s">
        <v>81</v>
      </c>
      <c r="D48" s="541">
        <f ca="1">OFFSET(D48,-4-NAMES!$K$4,0)+(OFFSET(D48,-4-NAMES!$K$4,0)*(($D$8-$D$9)/$D$9))</f>
        <v>92.533196655431652</v>
      </c>
      <c r="E48" s="541">
        <f ca="1">OFFSET(E48,-4-NAMES!$K$4,0)+(OFFSET(E48,-4-NAMES!$K$4,0)*(($D$8-$D$9)/$D$9))</f>
        <v>90.845458869601117</v>
      </c>
      <c r="F48" s="541">
        <f ca="1">OFFSET(F48,-4-NAMES!$K$4,0)+(OFFSET(F48,-4-NAMES!$K$4,0)*(($D$8-$D$9)/$D$9))</f>
        <v>89.298762836375488</v>
      </c>
      <c r="G48" s="541">
        <f ca="1">OFFSET(G48,-4-NAMES!$K$4,0)+(OFFSET(G48,-4-NAMES!$K$4,0)*(($D$8-$D$9)/$D$9))</f>
        <v>87.851266956517748</v>
      </c>
      <c r="H48" s="541">
        <f ca="1">OFFSET(H48,-4-NAMES!$K$4,0)+(OFFSET(H48,-4-NAMES!$K$4,0)*(($D$8-$D$9)/$D$9))</f>
        <v>86.428472135000789</v>
      </c>
      <c r="I48" s="541">
        <f ca="1">OFFSET(I48,-4-NAMES!$K$4,0)+(OFFSET(I48,-4-NAMES!$K$4,0)*(($D$8-$D$9)/$D$9))</f>
        <v>85.053266258281894</v>
      </c>
      <c r="J48" s="541">
        <f ca="1">OFFSET(J48,-4-NAMES!$K$4,0)+(OFFSET(J48,-4-NAMES!$K$4,0)*(($D$8-$D$9)/$D$9))</f>
        <v>83.731279942367593</v>
      </c>
      <c r="K48" s="541">
        <f ca="1">OFFSET(K48,-4-NAMES!$K$4,0)+(OFFSET(K48,-4-NAMES!$K$4,0)*(($D$8-$D$9)/$D$9))</f>
        <v>82.458754895931293</v>
      </c>
      <c r="L48" s="541">
        <f ca="1">OFFSET(L48,-4-NAMES!$K$4,0)+(OFFSET(L48,-4-NAMES!$K$4,0)*(($D$8-$D$9)/$D$9))</f>
        <v>81.233712841557747</v>
      </c>
      <c r="M48" s="541">
        <f ca="1">OFFSET(M48,-4-NAMES!$K$4,0)+(OFFSET(M48,-4-NAMES!$K$4,0)*(($D$8-$D$9)/$D$9))</f>
        <v>80.05594355665842</v>
      </c>
      <c r="N48" s="541">
        <f ca="1">OFFSET(N48,-4-NAMES!$K$4,0)+(OFFSET(N48,-4-NAMES!$K$4,0)*(($D$8-$D$9)/$D$9))</f>
        <v>78.920140565511858</v>
      </c>
      <c r="O48" s="541">
        <f ca="1">OFFSET(O48,-4-NAMES!$K$4,0)+(OFFSET(O48,-4-NAMES!$K$4,0)*(($D$8-$D$9)/$D$9))</f>
        <v>77.813343165141646</v>
      </c>
      <c r="P48" s="541">
        <f ca="1">OFFSET(P48,-4-NAMES!$K$4,0)+(OFFSET(P48,-4-NAMES!$K$4,0)*(($D$8-$D$9)/$D$9))</f>
        <v>76.747325337707821</v>
      </c>
      <c r="Q48" s="541">
        <f ca="1">OFFSET(Q48,-4-NAMES!$K$4,0)+(OFFSET(Q48,-4-NAMES!$K$4,0)*(($D$8-$D$9)/$D$9))</f>
        <v>75.71638027251997</v>
      </c>
      <c r="R48" s="541">
        <f ca="1">OFFSET(R48,-4-NAMES!$K$4,0)+(OFFSET(R48,-4-NAMES!$K$4,0)*(($D$8-$D$9)/$D$9))</f>
        <v>74.71285197061033</v>
      </c>
      <c r="S48" s="541">
        <f ca="1">OFFSET(S48,-4-NAMES!$K$4,0)+(OFFSET(S48,-4-NAMES!$K$4,0)*(($D$8-$D$9)/$D$9))</f>
        <v>73.740465669967421</v>
      </c>
      <c r="T48" s="541">
        <f ca="1">OFFSET(T48,-4-NAMES!$K$4,0)+(OFFSET(T48,-4-NAMES!$K$4,0)*(($D$8-$D$9)/$D$9))</f>
        <v>72.802100707380433</v>
      </c>
      <c r="U48" s="541">
        <f ca="1">OFFSET(U48,-4-NAMES!$K$4,0)+(OFFSET(U48,-4-NAMES!$K$4,0)*(($D$8-$D$9)/$D$9))</f>
        <v>71.894867994093588</v>
      </c>
      <c r="V48" s="541">
        <f ca="1">OFFSET(V48,-4-NAMES!$K$4,0)+(OFFSET(V48,-4-NAMES!$K$4,0)*(($D$8-$D$9)/$D$9))</f>
        <v>71.014965823031304</v>
      </c>
      <c r="W48" s="541">
        <f ca="1">OFFSET(W48,-4-NAMES!$K$4,0)+(OFFSET(W48,-4-NAMES!$K$4,0)*(($D$8-$D$9)/$D$9))</f>
        <v>70.157858054728294</v>
      </c>
      <c r="X48" s="541">
        <f ca="1">OFFSET(X48,-4-NAMES!$K$4,0)+(OFFSET(X48,-4-NAMES!$K$4,0)*(($D$8-$D$9)/$D$9))</f>
        <v>69.326879679458045</v>
      </c>
      <c r="Y48" s="541">
        <f ca="1">OFFSET(Y48,-4-NAMES!$K$4,0)+(OFFSET(Y48,-4-NAMES!$K$4,0)*(($D$8-$D$9)/$D$9))</f>
        <v>68.522541270154946</v>
      </c>
      <c r="Z48" s="541">
        <f ca="1">OFFSET(Z48,-4-NAMES!$K$4,0)+(OFFSET(Z48,-4-NAMES!$K$4,0)*(($D$8-$D$9)/$D$9))</f>
        <v>67.74032974486758</v>
      </c>
      <c r="AA48" s="541">
        <f ca="1">OFFSET(AA48,-4-NAMES!$K$4,0)+(OFFSET(AA48,-4-NAMES!$K$4,0)*(($D$8-$D$9)/$D$9))</f>
        <v>66.977842479153978</v>
      </c>
      <c r="AB48" s="541">
        <f ca="1">OFFSET(AB48,-4-NAMES!$K$4,0)+(OFFSET(AB48,-4-NAMES!$K$4,0)*(($D$8-$D$9)/$D$9))</f>
        <v>66.23618221560703</v>
      </c>
      <c r="AC48" s="541">
        <f ca="1">OFFSET(AC48,-4-NAMES!$K$4,0)+(OFFSET(AC48,-4-NAMES!$K$4,0)*(($D$8-$D$9)/$D$9))</f>
        <v>65.513200439739663</v>
      </c>
      <c r="AD48" s="541">
        <f ca="1">OFFSET(AD48,-4-NAMES!$K$4,0)+(OFFSET(AD48,-4-NAMES!$K$4,0)*(($D$8-$D$9)/$D$9))</f>
        <v>64.808413505090925</v>
      </c>
      <c r="AE48" s="541">
        <f ca="1">OFFSET(AE48,-4-NAMES!$K$4,0)+(OFFSET(AE48,-4-NAMES!$K$4,0)*(($D$8-$D$9)/$D$9))</f>
        <v>64.120991754931794</v>
      </c>
      <c r="AF48" s="541">
        <f ca="1">OFFSET(AF48,-4-NAMES!$K$4,0)+(OFFSET(AF48,-4-NAMES!$K$4,0)*(($D$8-$D$9)/$D$9))</f>
        <v>63.450396922508133</v>
      </c>
      <c r="AG48" s="541">
        <f ca="1">OFFSET(AG48,-4-NAMES!$K$4,0)+(OFFSET(AG48,-4-NAMES!$K$4,0)*(($D$8-$D$9)/$D$9))</f>
        <v>62.796110484582456</v>
      </c>
      <c r="AH48" s="541">
        <f ca="1">OFFSET(AH48,-4-NAMES!$K$4,0)+(OFFSET(AH48,-4-NAMES!$K$4,0)*(($D$8-$D$9)/$D$9))</f>
        <v>62.796110484582456</v>
      </c>
      <c r="AI48" s="541">
        <f ca="1">OFFSET(AI48,-4-NAMES!$K$4,0)+(OFFSET(AI48,-4-NAMES!$K$4,0)*(($D$8-$D$9)/$D$9))</f>
        <v>62.796110484582456</v>
      </c>
      <c r="AJ48" s="541">
        <f ca="1">OFFSET(AJ48,-4-NAMES!$K$4,0)+(OFFSET(AJ48,-4-NAMES!$K$4,0)*(($D$8-$D$9)/$D$9))</f>
        <v>62.796110484582456</v>
      </c>
      <c r="AK48" s="541">
        <f ca="1">OFFSET(AK48,-4-NAMES!$K$4,0)+(OFFSET(AK48,-4-NAMES!$K$4,0)*(($D$8-$D$9)/$D$9))</f>
        <v>62.796110484582456</v>
      </c>
      <c r="AL48" s="541">
        <f ca="1">OFFSET(AL48,-4-NAMES!$K$4,0)+(OFFSET(AL48,-4-NAMES!$K$4,0)*(($D$8-$D$9)/$D$9))</f>
        <v>62.796110484582456</v>
      </c>
      <c r="AM48" s="541">
        <f ca="1">OFFSET(AM48,-4-NAMES!$K$4,0)+(OFFSET(AM48,-4-NAMES!$K$4,0)*(($D$8-$D$9)/$D$9))</f>
        <v>61.533920600850848</v>
      </c>
      <c r="AN48" s="420"/>
      <c r="AO48" s="362"/>
      <c r="AP48" s="362"/>
    </row>
    <row r="49" spans="1:47" s="67" customFormat="1" ht="18" customHeight="1" x14ac:dyDescent="0.35">
      <c r="A49" s="362"/>
      <c r="B49" s="370"/>
      <c r="C49" s="418" t="s">
        <v>90</v>
      </c>
      <c r="D49" s="542">
        <f ca="1">OFFSET(D49,-4-NAMES!$K$4,0)+(OFFSET(D49,-4-NAMES!$K$4,0)*(($D$8-$D$9)/$D$9))</f>
        <v>92.533196655431354</v>
      </c>
      <c r="E49" s="542">
        <f ca="1">OFFSET(E49,-4-NAMES!$K$4,0)+(OFFSET(E49,-4-NAMES!$K$4,0)*(($D$8-$D$9)/$D$9))</f>
        <v>90.845458869601117</v>
      </c>
      <c r="F49" s="542">
        <f ca="1">OFFSET(F49,-4-NAMES!$K$4,0)+(OFFSET(F49,-4-NAMES!$K$4,0)*(($D$8-$D$9)/$D$9))</f>
        <v>89.298762836375488</v>
      </c>
      <c r="G49" s="542">
        <f ca="1">OFFSET(G49,-4-NAMES!$K$4,0)+(OFFSET(G49,-4-NAMES!$K$4,0)*(($D$8-$D$9)/$D$9))</f>
        <v>88.909715955993846</v>
      </c>
      <c r="H49" s="542">
        <f ca="1">OFFSET(H49,-4-NAMES!$K$4,0)+(OFFSET(H49,-4-NAMES!$K$4,0)*(($D$8-$D$9)/$D$9))</f>
        <v>87.469779028193571</v>
      </c>
      <c r="I49" s="542">
        <f ca="1">OFFSET(I49,-4-NAMES!$K$4,0)+(OFFSET(I49,-4-NAMES!$K$4,0)*(($D$8-$D$9)/$D$9))</f>
        <v>86.078004405972052</v>
      </c>
      <c r="J49" s="542">
        <f ca="1">OFFSET(J49,-4-NAMES!$K$4,0)+(OFFSET(J49,-4-NAMES!$K$4,0)*(($D$8-$D$9)/$D$9))</f>
        <v>84.740090544082861</v>
      </c>
      <c r="K49" s="542">
        <f ca="1">OFFSET(K49,-4-NAMES!$K$4,0)+(OFFSET(K49,-4-NAMES!$K$4,0)*(($D$8-$D$9)/$D$9))</f>
        <v>83.45223387058104</v>
      </c>
      <c r="L49" s="542">
        <f ca="1">OFFSET(L49,-4-NAMES!$K$4,0)+(OFFSET(L49,-4-NAMES!$K$4,0)*(($D$8-$D$9)/$D$9))</f>
        <v>82.212432273383726</v>
      </c>
      <c r="M49" s="542">
        <f ca="1">OFFSET(M49,-4-NAMES!$K$4,0)+(OFFSET(M49,-4-NAMES!$K$4,0)*(($D$8-$D$9)/$D$9))</f>
        <v>81.020472997100072</v>
      </c>
      <c r="N49" s="542">
        <f ca="1">OFFSET(N49,-4-NAMES!$K$4,0)+(OFFSET(N49,-4-NAMES!$K$4,0)*(($D$8-$D$9)/$D$9))</f>
        <v>79.870985632566203</v>
      </c>
      <c r="O49" s="542">
        <f ca="1">OFFSET(O49,-4-NAMES!$K$4,0)+(OFFSET(O49,-4-NAMES!$K$4,0)*(($D$8-$D$9)/$D$9))</f>
        <v>78.750853323757809</v>
      </c>
      <c r="P49" s="542">
        <f ca="1">OFFSET(P49,-4-NAMES!$K$4,0)+(OFFSET(P49,-4-NAMES!$K$4,0)*(($D$8-$D$9)/$D$9))</f>
        <v>77.671991908041662</v>
      </c>
      <c r="Q49" s="542">
        <f ca="1">OFFSET(Q49,-4-NAMES!$K$4,0)+(OFFSET(Q49,-4-NAMES!$K$4,0)*(($D$8-$D$9)/$D$9))</f>
        <v>76.628625817972008</v>
      </c>
      <c r="R49" s="542">
        <f ca="1">OFFSET(R49,-4-NAMES!$K$4,0)+(OFFSET(R49,-4-NAMES!$K$4,0)*(($D$8-$D$9)/$D$9))</f>
        <v>75.613006813629738</v>
      </c>
      <c r="S49" s="542">
        <f ca="1">OFFSET(S49,-4-NAMES!$K$4,0)+(OFFSET(S49,-4-NAMES!$K$4,0)*(($D$8-$D$9)/$D$9))</f>
        <v>74.628905015388696</v>
      </c>
      <c r="T49" s="542">
        <f ca="1">OFFSET(T49,-4-NAMES!$K$4,0)+(OFFSET(T49,-4-NAMES!$K$4,0)*(($D$8-$D$9)/$D$9))</f>
        <v>73.679234450842841</v>
      </c>
      <c r="U49" s="542">
        <f ca="1">OFFSET(U49,-4-NAMES!$K$4,0)+(OFFSET(U49,-4-NAMES!$K$4,0)*(($D$8-$D$9)/$D$9))</f>
        <v>72.761071222938085</v>
      </c>
      <c r="V49" s="542">
        <f ca="1">OFFSET(V49,-4-NAMES!$K$4,0)+(OFFSET(V49,-4-NAMES!$K$4,0)*(($D$8-$D$9)/$D$9))</f>
        <v>71.870567820899154</v>
      </c>
      <c r="W49" s="542">
        <f ca="1">OFFSET(W49,-4-NAMES!$K$4,0)+(OFFSET(W49,-4-NAMES!$K$4,0)*(($D$8-$D$9)/$D$9))</f>
        <v>71.003133452978048</v>
      </c>
      <c r="X49" s="542">
        <f ca="1">OFFSET(X49,-4-NAMES!$K$4,0)+(OFFSET(X49,-4-NAMES!$K$4,0)*(($D$8-$D$9)/$D$9))</f>
        <v>70.162143290053905</v>
      </c>
      <c r="Y49" s="542">
        <f ca="1">OFFSET(Y49,-4-NAMES!$K$4,0)+(OFFSET(Y49,-4-NAMES!$K$4,0)*(($D$8-$D$9)/$D$9))</f>
        <v>69.348114056542357</v>
      </c>
      <c r="Z49" s="542">
        <f ca="1">OFFSET(Z49,-4-NAMES!$K$4,0)+(OFFSET(Z49,-4-NAMES!$K$4,0)*(($D$8-$D$9)/$D$9))</f>
        <v>68.556478296010567</v>
      </c>
      <c r="AA49" s="542">
        <f ca="1">OFFSET(AA49,-4-NAMES!$K$4,0)+(OFFSET(AA49,-4-NAMES!$K$4,0)*(($D$8-$D$9)/$D$9))</f>
        <v>67.784804436734134</v>
      </c>
      <c r="AB49" s="542">
        <f ca="1">OFFSET(AB49,-4-NAMES!$K$4,0)+(OFFSET(AB49,-4-NAMES!$K$4,0)*(($D$8-$D$9)/$D$9))</f>
        <v>67.034208507361342</v>
      </c>
      <c r="AC49" s="542">
        <f ca="1">OFFSET(AC49,-4-NAMES!$K$4,0)+(OFFSET(AC49,-4-NAMES!$K$4,0)*(($D$8-$D$9)/$D$9))</f>
        <v>66.302516107688319</v>
      </c>
      <c r="AD49" s="542">
        <f ca="1">OFFSET(AD49,-4-NAMES!$K$4,0)+(OFFSET(AD49,-4-NAMES!$K$4,0)*(($D$8-$D$9)/$D$9))</f>
        <v>65.589237764188397</v>
      </c>
      <c r="AE49" s="542">
        <f ca="1">OFFSET(AE49,-4-NAMES!$K$4,0)+(OFFSET(AE49,-4-NAMES!$K$4,0)*(($D$8-$D$9)/$D$9))</f>
        <v>64.893533824268317</v>
      </c>
      <c r="AF49" s="542">
        <f ca="1">OFFSET(AF49,-4-NAMES!$K$4,0)+(OFFSET(AF49,-4-NAMES!$K$4,0)*(($D$8-$D$9)/$D$9))</f>
        <v>64.214859536032321</v>
      </c>
      <c r="AG49" s="542">
        <f ca="1">OFFSET(AG49,-4-NAMES!$K$4,0)+(OFFSET(AG49,-4-NAMES!$K$4,0)*(($D$8-$D$9)/$D$9))</f>
        <v>63.552690128975023</v>
      </c>
      <c r="AH49" s="542">
        <f ca="1">OFFSET(AH49,-4-NAMES!$K$4,0)+(OFFSET(AH49,-4-NAMES!$K$4,0)*(($D$8-$D$9)/$D$9))</f>
        <v>63.552690128975023</v>
      </c>
      <c r="AI49" s="542">
        <f ca="1">OFFSET(AI49,-4-NAMES!$K$4,0)+(OFFSET(AI49,-4-NAMES!$K$4,0)*(($D$8-$D$9)/$D$9))</f>
        <v>63.552690128975023</v>
      </c>
      <c r="AJ49" s="542">
        <f ca="1">OFFSET(AJ49,-4-NAMES!$K$4,0)+(OFFSET(AJ49,-4-NAMES!$K$4,0)*(($D$8-$D$9)/$D$9))</f>
        <v>63.552690128975023</v>
      </c>
      <c r="AK49" s="542">
        <f ca="1">OFFSET(AK49,-4-NAMES!$K$4,0)+(OFFSET(AK49,-4-NAMES!$K$4,0)*(($D$8-$D$9)/$D$9))</f>
        <v>63.552690128975023</v>
      </c>
      <c r="AL49" s="542">
        <f ca="1">OFFSET(AL49,-4-NAMES!$K$4,0)+(OFFSET(AL49,-4-NAMES!$K$4,0)*(($D$8-$D$9)/$D$9))</f>
        <v>63.552690128975023</v>
      </c>
      <c r="AM49" s="542">
        <f ca="1">OFFSET(AM49,-4-NAMES!$K$4,0)+(OFFSET(AM49,-4-NAMES!$K$4,0)*(($D$8-$D$9)/$D$9))</f>
        <v>62.275293138210515</v>
      </c>
      <c r="AN49" s="420"/>
      <c r="AO49" s="362"/>
      <c r="AP49" s="362"/>
    </row>
    <row r="50" spans="1:47" s="67" customFormat="1" ht="18" customHeight="1" x14ac:dyDescent="0.35">
      <c r="A50" s="362"/>
      <c r="B50" s="370"/>
      <c r="C50" s="418"/>
      <c r="D50" s="421"/>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421"/>
      <c r="AL50" s="421"/>
      <c r="AM50" s="421"/>
      <c r="AN50" s="420"/>
      <c r="AO50" s="362"/>
      <c r="AP50" s="362"/>
    </row>
    <row r="51" spans="1:47" s="67" customFormat="1" ht="18" customHeight="1" thickBot="1" x14ac:dyDescent="0.4">
      <c r="A51" s="362"/>
      <c r="B51" s="385"/>
      <c r="C51" s="388"/>
      <c r="D51" s="388"/>
      <c r="E51" s="388"/>
      <c r="F51" s="388"/>
      <c r="G51" s="388"/>
      <c r="H51" s="388"/>
      <c r="I51" s="388"/>
      <c r="J51" s="388"/>
      <c r="K51" s="388"/>
      <c r="L51" s="388"/>
      <c r="M51" s="388"/>
      <c r="N51" s="388"/>
      <c r="O51" s="388"/>
      <c r="P51" s="388"/>
      <c r="Q51" s="388"/>
      <c r="R51" s="388"/>
      <c r="S51" s="388"/>
      <c r="T51" s="388"/>
      <c r="U51" s="388"/>
      <c r="V51" s="388"/>
      <c r="W51" s="388"/>
      <c r="X51" s="388"/>
      <c r="Y51" s="388"/>
      <c r="Z51" s="388"/>
      <c r="AA51" s="388"/>
      <c r="AB51" s="388"/>
      <c r="AC51" s="388"/>
      <c r="AD51" s="388"/>
      <c r="AE51" s="388"/>
      <c r="AF51" s="388"/>
      <c r="AG51" s="388"/>
      <c r="AH51" s="388"/>
      <c r="AI51" s="388"/>
      <c r="AJ51" s="388"/>
      <c r="AK51" s="388"/>
      <c r="AL51" s="388"/>
      <c r="AM51" s="388"/>
      <c r="AN51" s="389"/>
      <c r="AO51" s="362"/>
      <c r="AP51" s="362"/>
    </row>
    <row r="52" spans="1:47" s="67" customFormat="1" ht="18" customHeight="1" x14ac:dyDescent="0.35">
      <c r="A52" s="362"/>
      <c r="B52" s="362"/>
      <c r="C52" s="362"/>
      <c r="D52" s="362"/>
      <c r="E52" s="362"/>
      <c r="F52" s="362"/>
      <c r="G52" s="362"/>
      <c r="H52" s="362"/>
      <c r="I52" s="362"/>
      <c r="J52" s="362"/>
      <c r="K52" s="362"/>
      <c r="L52" s="362"/>
      <c r="M52" s="362"/>
      <c r="N52" s="362"/>
      <c r="O52" s="362"/>
      <c r="P52" s="362"/>
      <c r="Q52" s="362"/>
      <c r="R52" s="362"/>
      <c r="S52" s="362"/>
      <c r="T52" s="362"/>
      <c r="U52" s="362"/>
      <c r="V52" s="362"/>
      <c r="W52" s="362"/>
      <c r="X52" s="362"/>
      <c r="Y52" s="362"/>
      <c r="Z52" s="362"/>
      <c r="AA52" s="362"/>
      <c r="AB52" s="362"/>
      <c r="AC52" s="362"/>
      <c r="AD52" s="362"/>
      <c r="AE52" s="362"/>
      <c r="AF52" s="362"/>
      <c r="AG52" s="362"/>
      <c r="AH52" s="362"/>
      <c r="AI52" s="362"/>
      <c r="AJ52" s="362"/>
      <c r="AK52" s="362"/>
      <c r="AL52" s="362"/>
      <c r="AM52" s="362"/>
      <c r="AN52" s="362"/>
      <c r="AO52" s="362"/>
      <c r="AP52" s="362"/>
    </row>
    <row r="53" spans="1:47" ht="18" customHeight="1" x14ac:dyDescent="0.35">
      <c r="A53" s="363"/>
      <c r="B53" s="363"/>
      <c r="C53" s="363"/>
      <c r="D53" s="363"/>
      <c r="E53" s="363"/>
      <c r="F53" s="363"/>
      <c r="G53" s="363"/>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67"/>
      <c r="AR53" s="67"/>
      <c r="AS53" s="67"/>
      <c r="AT53" s="67"/>
      <c r="AU53" s="67"/>
    </row>
    <row r="54" spans="1:47" ht="18" customHeight="1" x14ac:dyDescent="0.35">
      <c r="A54" s="363"/>
      <c r="B54" s="363"/>
      <c r="C54" s="363"/>
      <c r="D54" s="363"/>
      <c r="E54" s="363"/>
      <c r="F54" s="363"/>
      <c r="G54" s="363"/>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67"/>
      <c r="AR54" s="67"/>
      <c r="AS54" s="67"/>
      <c r="AT54" s="67"/>
      <c r="AU54" s="67"/>
    </row>
    <row r="55" spans="1:47" ht="18" customHeight="1" x14ac:dyDescent="0.35">
      <c r="A55" s="363"/>
      <c r="B55" s="363"/>
      <c r="C55" s="363"/>
      <c r="D55" s="363"/>
      <c r="E55" s="363"/>
      <c r="F55" s="363"/>
      <c r="G55" s="363"/>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67"/>
      <c r="AR55" s="67"/>
      <c r="AS55" s="67"/>
      <c r="AT55" s="67"/>
      <c r="AU55" s="67"/>
    </row>
    <row r="56" spans="1:47" ht="18" customHeight="1" x14ac:dyDescent="0.35">
      <c r="A56" s="363"/>
      <c r="B56" s="363"/>
      <c r="C56" s="363"/>
      <c r="D56" s="363"/>
      <c r="E56" s="363"/>
      <c r="F56" s="363"/>
      <c r="G56" s="363"/>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67"/>
      <c r="AR56" s="67"/>
      <c r="AS56" s="67"/>
      <c r="AT56" s="67"/>
      <c r="AU56" s="67"/>
    </row>
    <row r="57" spans="1:47" ht="18" customHeight="1" x14ac:dyDescent="0.35">
      <c r="A57" s="363"/>
      <c r="B57" s="363"/>
      <c r="C57" s="363"/>
      <c r="D57" s="363"/>
      <c r="E57" s="363"/>
      <c r="F57" s="363"/>
      <c r="G57" s="363"/>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67"/>
      <c r="AR57" s="67"/>
      <c r="AS57" s="67"/>
      <c r="AT57" s="67"/>
      <c r="AU57" s="67"/>
    </row>
    <row r="58" spans="1:47" ht="18" customHeight="1" x14ac:dyDescent="0.35">
      <c r="A58" s="363"/>
      <c r="B58" s="363"/>
      <c r="C58" s="363"/>
      <c r="D58" s="363"/>
      <c r="E58" s="363"/>
      <c r="F58" s="363"/>
      <c r="G58" s="363"/>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67"/>
      <c r="AR58" s="67"/>
      <c r="AS58" s="67"/>
      <c r="AT58" s="67"/>
      <c r="AU58" s="67"/>
    </row>
    <row r="59" spans="1:47" ht="18" customHeight="1" x14ac:dyDescent="0.35">
      <c r="A59" s="363"/>
      <c r="B59" s="363"/>
      <c r="C59" s="363"/>
      <c r="D59" s="363"/>
      <c r="E59" s="363"/>
      <c r="F59" s="363"/>
      <c r="G59" s="363"/>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67"/>
      <c r="AR59" s="67"/>
      <c r="AS59" s="67"/>
      <c r="AT59" s="67"/>
      <c r="AU59" s="67"/>
    </row>
    <row r="60" spans="1:47" ht="18" customHeight="1" x14ac:dyDescent="0.35">
      <c r="A60" s="363"/>
      <c r="B60" s="363"/>
      <c r="C60" s="363"/>
      <c r="D60" s="363"/>
      <c r="E60" s="363"/>
      <c r="F60" s="363"/>
      <c r="G60" s="363"/>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67"/>
      <c r="AR60" s="67"/>
      <c r="AS60" s="67"/>
      <c r="AT60" s="67"/>
      <c r="AU60" s="67"/>
    </row>
    <row r="61" spans="1:47" ht="18" customHeight="1" x14ac:dyDescent="0.35">
      <c r="A61" s="363"/>
      <c r="B61" s="363"/>
      <c r="C61" s="363"/>
      <c r="D61" s="363"/>
      <c r="E61" s="363"/>
      <c r="F61" s="363"/>
      <c r="G61" s="363"/>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67"/>
      <c r="AR61" s="67"/>
      <c r="AS61" s="67"/>
      <c r="AT61" s="67"/>
      <c r="AU61" s="67"/>
    </row>
    <row r="62" spans="1:47" ht="18" customHeight="1" x14ac:dyDescent="0.35">
      <c r="A62" s="363"/>
      <c r="B62" s="363"/>
      <c r="C62" s="363"/>
      <c r="D62" s="363"/>
      <c r="E62" s="363"/>
      <c r="F62" s="363"/>
      <c r="G62" s="363"/>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67"/>
      <c r="AR62" s="67"/>
      <c r="AS62" s="67"/>
      <c r="AT62" s="67"/>
      <c r="AU62" s="67"/>
    </row>
    <row r="63" spans="1:47" ht="18" customHeight="1" x14ac:dyDescent="0.35">
      <c r="A63" s="363"/>
      <c r="B63" s="363"/>
      <c r="C63" s="363"/>
      <c r="D63" s="363"/>
      <c r="E63" s="363"/>
      <c r="F63" s="363"/>
      <c r="G63" s="363"/>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67"/>
      <c r="AR63" s="67"/>
      <c r="AS63" s="67"/>
      <c r="AT63" s="67"/>
      <c r="AU63" s="67"/>
    </row>
    <row r="64" spans="1:47" ht="18" customHeight="1" x14ac:dyDescent="0.35">
      <c r="A64" s="363"/>
      <c r="B64" s="363"/>
      <c r="C64" s="363"/>
      <c r="D64" s="363"/>
      <c r="E64" s="363"/>
      <c r="F64" s="363"/>
      <c r="G64" s="363"/>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67"/>
      <c r="AR64" s="67"/>
      <c r="AS64" s="67"/>
      <c r="AT64" s="67"/>
      <c r="AU64" s="67"/>
    </row>
    <row r="65" spans="1:47" ht="18" customHeight="1" x14ac:dyDescent="0.35">
      <c r="A65" s="363"/>
      <c r="B65" s="363"/>
      <c r="C65" s="363"/>
      <c r="D65" s="363"/>
      <c r="E65" s="363"/>
      <c r="F65" s="363"/>
      <c r="G65" s="363"/>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67"/>
      <c r="AR65" s="67"/>
      <c r="AS65" s="67"/>
      <c r="AT65" s="67"/>
      <c r="AU65" s="67"/>
    </row>
    <row r="66" spans="1:47" ht="18" customHeight="1" x14ac:dyDescent="0.35">
      <c r="A66" s="363"/>
      <c r="B66" s="363"/>
      <c r="C66" s="363"/>
      <c r="D66" s="363"/>
      <c r="E66" s="363"/>
      <c r="F66" s="363"/>
      <c r="G66" s="363"/>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67"/>
      <c r="AR66" s="67"/>
      <c r="AS66" s="67"/>
      <c r="AT66" s="67"/>
      <c r="AU66" s="67"/>
    </row>
    <row r="67" spans="1:47" ht="18" customHeight="1" x14ac:dyDescent="0.35">
      <c r="A67" s="363"/>
      <c r="B67" s="363"/>
      <c r="C67" s="363"/>
      <c r="D67" s="363"/>
      <c r="E67" s="363"/>
      <c r="F67" s="363"/>
      <c r="G67" s="363"/>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67"/>
      <c r="AR67" s="67"/>
      <c r="AS67" s="67"/>
      <c r="AT67" s="67"/>
      <c r="AU67" s="67"/>
    </row>
    <row r="68" spans="1:47" ht="18" customHeight="1" x14ac:dyDescent="0.35">
      <c r="A68" s="363"/>
      <c r="B68" s="363"/>
      <c r="C68" s="363"/>
      <c r="D68" s="363"/>
      <c r="E68" s="363"/>
      <c r="F68" s="363"/>
      <c r="G68" s="363"/>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67"/>
      <c r="AR68" s="67"/>
      <c r="AS68" s="67"/>
      <c r="AT68" s="67"/>
      <c r="AU68" s="67"/>
    </row>
    <row r="69" spans="1:47" ht="18" customHeight="1" x14ac:dyDescent="0.35">
      <c r="A69" s="363"/>
      <c r="B69" s="363"/>
      <c r="C69" s="363"/>
      <c r="D69" s="363"/>
      <c r="E69" s="363"/>
      <c r="F69" s="363"/>
      <c r="G69" s="363"/>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67"/>
      <c r="AR69" s="67"/>
      <c r="AS69" s="67"/>
      <c r="AT69" s="67"/>
      <c r="AU69" s="67"/>
    </row>
    <row r="70" spans="1:47" ht="18" customHeight="1" x14ac:dyDescent="0.35">
      <c r="A70" s="363"/>
      <c r="B70" s="363"/>
      <c r="C70" s="363"/>
      <c r="D70" s="363"/>
      <c r="E70" s="363"/>
      <c r="F70" s="363"/>
      <c r="G70" s="363"/>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67"/>
      <c r="AR70" s="67"/>
      <c r="AS70" s="67"/>
      <c r="AT70" s="67"/>
      <c r="AU70" s="67"/>
    </row>
    <row r="71" spans="1:47" ht="18" customHeight="1" x14ac:dyDescent="0.35">
      <c r="A71" s="363"/>
      <c r="B71" s="363"/>
      <c r="C71" s="363"/>
      <c r="D71" s="363"/>
      <c r="E71" s="363"/>
      <c r="F71" s="363"/>
      <c r="G71" s="363"/>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67"/>
      <c r="AR71" s="67"/>
      <c r="AS71" s="67"/>
      <c r="AT71" s="67"/>
      <c r="AU71" s="67"/>
    </row>
    <row r="72" spans="1:47" ht="18" customHeight="1" x14ac:dyDescent="0.35">
      <c r="A72" s="363"/>
      <c r="B72" s="363"/>
      <c r="C72" s="363"/>
      <c r="D72" s="363"/>
      <c r="E72" s="363"/>
      <c r="F72" s="363"/>
      <c r="G72" s="363"/>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67"/>
      <c r="AR72" s="67"/>
      <c r="AS72" s="67"/>
      <c r="AT72" s="67"/>
      <c r="AU72" s="67"/>
    </row>
    <row r="73" spans="1:47" ht="18" customHeight="1" x14ac:dyDescent="0.35">
      <c r="A73" s="363"/>
      <c r="B73" s="363"/>
      <c r="C73" s="363"/>
      <c r="D73" s="363"/>
      <c r="E73" s="363"/>
      <c r="F73" s="363"/>
      <c r="G73" s="363"/>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67"/>
      <c r="AR73" s="67"/>
      <c r="AS73" s="67"/>
      <c r="AT73" s="67"/>
      <c r="AU73" s="67"/>
    </row>
    <row r="74" spans="1:47" ht="18" customHeight="1" x14ac:dyDescent="0.35">
      <c r="A74" s="363"/>
      <c r="B74" s="363"/>
      <c r="C74" s="363"/>
      <c r="D74" s="363"/>
      <c r="E74" s="363"/>
      <c r="F74" s="363"/>
      <c r="G74" s="363"/>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67"/>
      <c r="AR74" s="67"/>
      <c r="AS74" s="67"/>
      <c r="AT74" s="67"/>
      <c r="AU74" s="67"/>
    </row>
    <row r="75" spans="1:47" ht="18" customHeight="1" x14ac:dyDescent="0.35">
      <c r="A75" s="363"/>
      <c r="B75" s="363"/>
      <c r="C75" s="363"/>
      <c r="D75" s="363"/>
      <c r="E75" s="363"/>
      <c r="F75" s="363"/>
      <c r="G75" s="363"/>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67"/>
      <c r="AR75" s="67"/>
      <c r="AS75" s="67"/>
      <c r="AT75" s="67"/>
      <c r="AU75" s="67"/>
    </row>
    <row r="76" spans="1:47" ht="18" customHeight="1" x14ac:dyDescent="0.35">
      <c r="A76" s="363"/>
      <c r="B76" s="363"/>
      <c r="C76" s="363"/>
      <c r="D76" s="363"/>
      <c r="E76" s="363"/>
      <c r="F76" s="363"/>
      <c r="G76" s="363"/>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67"/>
      <c r="AR76" s="67"/>
      <c r="AS76" s="67"/>
      <c r="AT76" s="67"/>
      <c r="AU76" s="67"/>
    </row>
    <row r="77" spans="1:47" ht="18" customHeight="1" x14ac:dyDescent="0.35">
      <c r="A77" s="363"/>
      <c r="B77" s="363"/>
      <c r="C77" s="363"/>
      <c r="D77" s="363"/>
      <c r="E77" s="363"/>
      <c r="F77" s="363"/>
      <c r="G77" s="363"/>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67"/>
      <c r="AR77" s="67"/>
      <c r="AS77" s="67"/>
      <c r="AT77" s="67"/>
      <c r="AU77" s="67"/>
    </row>
    <row r="78" spans="1:47" ht="18" customHeight="1" x14ac:dyDescent="0.35">
      <c r="A78" s="363"/>
      <c r="B78" s="363"/>
      <c r="C78" s="363"/>
      <c r="D78" s="363"/>
      <c r="E78" s="363"/>
      <c r="F78" s="363"/>
      <c r="G78" s="363"/>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67"/>
      <c r="AR78" s="67"/>
      <c r="AS78" s="67"/>
      <c r="AT78" s="67"/>
      <c r="AU78" s="67"/>
    </row>
    <row r="79" spans="1:47" ht="18" customHeight="1" x14ac:dyDescent="0.35">
      <c r="B79" s="67"/>
      <c r="C79" s="67"/>
      <c r="D79" s="67"/>
      <c r="E79" s="67"/>
      <c r="F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row>
    <row r="80" spans="1:47" ht="18" customHeight="1" x14ac:dyDescent="0.35">
      <c r="B80" s="67"/>
      <c r="C80" s="67"/>
      <c r="D80" s="67"/>
      <c r="E80" s="67"/>
      <c r="F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row>
    <row r="81" spans="2:47" ht="18" customHeight="1" x14ac:dyDescent="0.35">
      <c r="B81" s="67"/>
      <c r="C81" s="67"/>
      <c r="D81" s="67"/>
      <c r="E81" s="67"/>
      <c r="F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row>
    <row r="82" spans="2:47" ht="18" customHeight="1" x14ac:dyDescent="0.35">
      <c r="B82" s="67"/>
      <c r="C82" s="67"/>
      <c r="D82" s="67"/>
      <c r="E82" s="67"/>
      <c r="F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row>
    <row r="83" spans="2:47" ht="18" customHeight="1" x14ac:dyDescent="0.35">
      <c r="B83" s="67"/>
      <c r="C83" s="67"/>
      <c r="D83" s="67"/>
      <c r="E83" s="67"/>
      <c r="F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row>
    <row r="84" spans="2:47" ht="18" customHeight="1" x14ac:dyDescent="0.35">
      <c r="B84" s="67"/>
      <c r="C84" s="67"/>
      <c r="D84" s="67"/>
      <c r="E84" s="67"/>
      <c r="F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row>
    <row r="85" spans="2:47" ht="18" customHeight="1" x14ac:dyDescent="0.35">
      <c r="B85" s="67"/>
      <c r="C85" s="67"/>
      <c r="D85" s="67"/>
      <c r="E85" s="67"/>
      <c r="F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row>
    <row r="86" spans="2:47" ht="18" customHeight="1" x14ac:dyDescent="0.35">
      <c r="B86" s="67"/>
      <c r="C86" s="67"/>
      <c r="D86" s="67"/>
      <c r="E86" s="67"/>
      <c r="F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row>
    <row r="87" spans="2:47" ht="18" customHeight="1" x14ac:dyDescent="0.35">
      <c r="B87" s="67"/>
      <c r="C87" s="67"/>
      <c r="D87" s="67"/>
      <c r="E87" s="67"/>
      <c r="F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row>
    <row r="88" spans="2:47" ht="18" customHeight="1" x14ac:dyDescent="0.35">
      <c r="B88" s="67"/>
      <c r="C88" s="67"/>
      <c r="D88" s="67"/>
      <c r="E88" s="67"/>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row>
    <row r="89" spans="2:47" ht="18" customHeight="1" x14ac:dyDescent="0.35">
      <c r="B89" s="67"/>
      <c r="C89" s="67"/>
      <c r="D89" s="67"/>
      <c r="E89" s="67"/>
      <c r="F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row>
    <row r="90" spans="2:47" ht="18" customHeight="1" x14ac:dyDescent="0.35">
      <c r="B90" s="67"/>
      <c r="C90" s="67"/>
      <c r="D90" s="67"/>
      <c r="E90" s="67"/>
      <c r="F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row>
    <row r="91" spans="2:47" ht="18" customHeight="1" x14ac:dyDescent="0.35">
      <c r="B91" s="67"/>
      <c r="C91" s="67"/>
      <c r="D91" s="67"/>
      <c r="E91" s="67"/>
      <c r="F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row>
    <row r="92" spans="2:47" ht="18" customHeight="1" x14ac:dyDescent="0.35">
      <c r="B92" s="67"/>
      <c r="C92" s="67"/>
      <c r="D92" s="67"/>
      <c r="E92" s="67"/>
      <c r="F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row>
    <row r="93" spans="2:47" ht="18" customHeight="1" x14ac:dyDescent="0.35">
      <c r="B93" s="67"/>
      <c r="C93" s="67"/>
      <c r="D93" s="67"/>
      <c r="E93" s="67"/>
      <c r="F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row>
    <row r="94" spans="2:47" ht="18" customHeight="1" x14ac:dyDescent="0.35">
      <c r="B94" s="67"/>
      <c r="C94" s="67"/>
      <c r="D94" s="67"/>
      <c r="E94" s="67"/>
      <c r="F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row>
    <row r="95" spans="2:47" ht="18" customHeight="1" x14ac:dyDescent="0.35">
      <c r="B95" s="67"/>
      <c r="C95" s="67"/>
      <c r="D95" s="67"/>
      <c r="E95" s="67"/>
      <c r="F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row>
    <row r="96" spans="2:47" ht="18" customHeight="1" x14ac:dyDescent="0.35">
      <c r="B96" s="67"/>
      <c r="C96" s="67"/>
      <c r="D96" s="67"/>
      <c r="E96" s="67"/>
      <c r="F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row>
    <row r="97" spans="2:47" ht="18" customHeight="1" x14ac:dyDescent="0.35">
      <c r="B97" s="67"/>
      <c r="C97" s="67"/>
      <c r="D97" s="67"/>
      <c r="E97" s="67"/>
      <c r="F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row>
    <row r="98" spans="2:47" ht="18" customHeight="1" x14ac:dyDescent="0.35">
      <c r="B98" s="67"/>
      <c r="C98" s="67"/>
      <c r="D98" s="67"/>
      <c r="E98" s="67"/>
      <c r="F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row>
    <row r="99" spans="2:47" ht="18" customHeight="1" x14ac:dyDescent="0.35">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row>
    <row r="100" spans="2:47" ht="18" customHeight="1" x14ac:dyDescent="0.35">
      <c r="B100" s="67"/>
      <c r="C100" s="67"/>
      <c r="D100" s="67"/>
      <c r="E100" s="67"/>
      <c r="F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row>
    <row r="101" spans="2:47" ht="18" customHeight="1" x14ac:dyDescent="0.35">
      <c r="B101" s="67"/>
      <c r="C101" s="67"/>
      <c r="D101" s="67"/>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row>
    <row r="102" spans="2:47" ht="18" customHeight="1" x14ac:dyDescent="0.35">
      <c r="B102" s="67"/>
      <c r="C102" s="67"/>
      <c r="D102" s="67"/>
      <c r="E102" s="67"/>
      <c r="F102" s="67"/>
      <c r="G102" s="67"/>
      <c r="H102" s="67"/>
      <c r="I102" s="67"/>
      <c r="J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row>
  </sheetData>
  <phoneticPr fontId="11" type="noConversion"/>
  <hyperlinks>
    <hyperlink ref="E2" location="Navigation!A1" display="Navigation" xr:uid="{00000000-0004-0000-0F00-000000000000}"/>
  </hyperlinks>
  <pageMargins left="0.75" right="0.75" top="1" bottom="1" header="0.5" footer="0.5"/>
  <pageSetup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theme="7" tint="-0.499984740745262"/>
  </sheetPr>
  <dimension ref="A1:Q1492"/>
  <sheetViews>
    <sheetView zoomScale="70" zoomScaleNormal="70" workbookViewId="0"/>
  </sheetViews>
  <sheetFormatPr defaultColWidth="0" defaultRowHeight="15.5" zeroHeight="1" x14ac:dyDescent="0.35"/>
  <cols>
    <col min="1" max="2" width="3.54296875" style="241" customWidth="1"/>
    <col min="3" max="3" width="22.453125" style="241" customWidth="1"/>
    <col min="4" max="8" width="15.54296875" style="241" customWidth="1"/>
    <col min="9" max="9" width="8.453125" style="241" bestFit="1" customWidth="1"/>
    <col min="10" max="11" width="15.54296875" style="241" customWidth="1"/>
    <col min="12" max="12" width="3.54296875" style="241" customWidth="1"/>
    <col min="13" max="14" width="15.54296875" style="241" customWidth="1"/>
    <col min="15" max="15" width="9.453125" style="241" bestFit="1" customWidth="1"/>
    <col min="16" max="16" width="3.54296875" style="241" customWidth="1"/>
    <col min="17" max="17" width="0" style="241" hidden="1" customWidth="1"/>
    <col min="18" max="16384" width="9.453125" style="241" hidden="1"/>
  </cols>
  <sheetData>
    <row r="1" spans="2:15" ht="16" thickBot="1" x14ac:dyDescent="0.4"/>
    <row r="2" spans="2:15" ht="16.5" thickTop="1" thickBot="1" x14ac:dyDescent="0.4">
      <c r="B2" s="422" t="s">
        <v>97</v>
      </c>
      <c r="C2" s="423"/>
      <c r="D2" s="423"/>
      <c r="E2" s="423"/>
      <c r="F2" s="423"/>
      <c r="G2" s="423"/>
      <c r="H2" s="424"/>
      <c r="I2" s="50"/>
      <c r="J2" s="10" t="s">
        <v>159</v>
      </c>
    </row>
    <row r="3" spans="2:15" ht="16" thickBot="1" x14ac:dyDescent="0.4"/>
    <row r="4" spans="2:15" x14ac:dyDescent="0.35">
      <c r="B4" s="425"/>
      <c r="C4" s="426"/>
      <c r="D4" s="426"/>
      <c r="E4" s="426"/>
      <c r="F4" s="426"/>
      <c r="G4" s="426"/>
      <c r="H4" s="426"/>
      <c r="I4" s="427"/>
      <c r="J4" s="427"/>
      <c r="K4" s="426"/>
      <c r="L4" s="426"/>
      <c r="M4" s="426"/>
      <c r="N4" s="426"/>
      <c r="O4" s="428"/>
    </row>
    <row r="5" spans="2:15" ht="15" customHeight="1" x14ac:dyDescent="0.35">
      <c r="B5" s="429"/>
      <c r="C5" s="430"/>
      <c r="D5" s="431" t="s">
        <v>132</v>
      </c>
      <c r="E5" s="432"/>
      <c r="F5" s="432"/>
      <c r="G5" s="432"/>
      <c r="H5" s="432"/>
      <c r="I5" s="433"/>
      <c r="J5" s="434" t="s">
        <v>237</v>
      </c>
      <c r="K5" s="434"/>
      <c r="L5" s="435"/>
      <c r="M5" s="431" t="str">
        <f>TSL_X</f>
        <v>TSL 1</v>
      </c>
      <c r="N5" s="431"/>
      <c r="O5" s="436"/>
    </row>
    <row r="6" spans="2:15" ht="16" thickBot="1" x14ac:dyDescent="0.4">
      <c r="B6" s="429"/>
      <c r="C6" s="437" t="s">
        <v>99</v>
      </c>
      <c r="D6" s="438" t="s">
        <v>59</v>
      </c>
      <c r="E6" s="438" t="s">
        <v>12</v>
      </c>
      <c r="F6" s="438" t="s">
        <v>8</v>
      </c>
      <c r="G6" s="438" t="s">
        <v>13</v>
      </c>
      <c r="H6" s="438" t="s">
        <v>91</v>
      </c>
      <c r="I6" s="433"/>
      <c r="J6" s="439" t="s">
        <v>28</v>
      </c>
      <c r="K6" s="438" t="s">
        <v>107</v>
      </c>
      <c r="L6" s="435"/>
      <c r="M6" s="439" t="s">
        <v>28</v>
      </c>
      <c r="N6" s="438" t="s">
        <v>107</v>
      </c>
      <c r="O6" s="436"/>
    </row>
    <row r="7" spans="2:15" ht="16" thickBot="1" x14ac:dyDescent="0.4">
      <c r="B7" s="429"/>
      <c r="C7" s="438" t="s">
        <v>81</v>
      </c>
      <c r="D7" s="440">
        <f ca="1">$H7*OFFSET('MPC Breakdown'!$F$1,
MATCH(OFFSET($C7,-MATCH($C7,EL_List,0),0),'MPC Breakdown'!$C:$C,0)+MATCH($C7,EL_List,0),0)</f>
        <v>27.848977514326489</v>
      </c>
      <c r="E7" s="440">
        <f ca="1">$H7*OFFSET('MPC Breakdown'!$G$1,
MATCH(OFFSET($C7,-MATCH($C7,EL_List,0),0),'MPC Breakdown'!$C:$C,0)+MATCH($C7,EL_List,0),0)</f>
        <v>0.62951504627985988</v>
      </c>
      <c r="F7" s="440">
        <f ca="1">$H7*OFFSET('MPC Breakdown'!$H$1,
MATCH(OFFSET($C7,-MATCH($C7,EL_List,0),0),'MPC Breakdown'!$C:$C,0)+MATCH($C7,EL_List,0),0)</f>
        <v>1.5854300000000001</v>
      </c>
      <c r="G7" s="440">
        <f ca="1">$H7*OFFSET('MPC Breakdown'!$I$1,
MATCH(OFFSET($C7,-MATCH($C7,EL_List,0),0),'MPC Breakdown'!$C:$C,0)+MATCH($C7,EL_List,0),0)</f>
        <v>1.1760774393936497</v>
      </c>
      <c r="H7" s="440">
        <f ca="1">OFFSET('MPC Breakdown'!$E$1,
MATCH(OFFSET($C7,-MATCH($C7,EL_List,0),0),'MPC Breakdown'!C:C,0)+MATCH($C7,EL_List,0),0)</f>
        <v>31.24</v>
      </c>
      <c r="I7" s="433"/>
      <c r="J7" s="441">
        <f ca="1">OFFSET(Markups!$E$1,
MATCH(OFFSET($C7,-MATCH($C7,EL_List,0),0),Markups!C:C,0)+MATCH($C7,EL_List,0)+1,0)</f>
        <v>1.45</v>
      </c>
      <c r="K7" s="442">
        <f ca="1">H7*J7</f>
        <v>45.297999999999995</v>
      </c>
      <c r="L7" s="443"/>
      <c r="M7" s="444">
        <f ca="1">OFFSET(Markups!$F$1,
MATCH(OFFSET($C7,-MATCH($C7,EL_List,0),0),Markups!C:C,0)+MATCH($C7,EL_List,0)+1,0)</f>
        <v>0</v>
      </c>
      <c r="N7" s="445">
        <f ca="1">H7*M7</f>
        <v>0</v>
      </c>
      <c r="O7" s="436" t="str">
        <f ca="1">IF(H7&gt;0,IF((N7/H7)&lt;(1/(1-RandD-SGA)),"BELOW MARKUP FLOOR",""),"")</f>
        <v>BELOW MARKUP FLOOR</v>
      </c>
    </row>
    <row r="8" spans="2:15" ht="16" thickBot="1" x14ac:dyDescent="0.4">
      <c r="B8" s="429"/>
      <c r="C8" s="438" t="s">
        <v>86</v>
      </c>
      <c r="D8" s="440">
        <f ca="1">$H8*OFFSET('MPC Breakdown'!$F$1,
MATCH(OFFSET($C8,-MATCH($C8,EL_List,0),0),'MPC Breakdown'!$C:$C,0)+MATCH($C8,EL_List,0),0)</f>
        <v>28.766101026595749</v>
      </c>
      <c r="E8" s="440">
        <f ca="1">$H8*OFFSET('MPC Breakdown'!$G$1,
MATCH(OFFSET($C8,-MATCH($C8,EL_List,0),0),'MPC Breakdown'!$C:$C,0)+MATCH($C8,EL_List,0),0)</f>
        <v>0.75460782643678381</v>
      </c>
      <c r="F8" s="440">
        <f ca="1">$H8*OFFSET('MPC Breakdown'!$H$1,
MATCH(OFFSET($C8,-MATCH($C8,EL_List,0),0),'MPC Breakdown'!$C:$C,0)+MATCH($C8,EL_List,0),0)</f>
        <v>1.6366875000000001</v>
      </c>
      <c r="G8" s="440">
        <f ca="1">$H8*OFFSET('MPC Breakdown'!$I$1,
MATCH(OFFSET($C8,-MATCH($C8,EL_List,0),0),'MPC Breakdown'!$C:$C,0)+MATCH($C8,EL_List,0),0)</f>
        <v>1.092603646967468</v>
      </c>
      <c r="H8" s="440">
        <f ca="1">OFFSET('MPC Breakdown'!$E$1,
MATCH(OFFSET($C8,-MATCH($C8,EL_List,0),0),'MPC Breakdown'!C:C,0)+MATCH($C8,EL_List,0),0)</f>
        <v>32.25</v>
      </c>
      <c r="I8" s="433"/>
      <c r="J8" s="441">
        <f ca="1">OFFSET(Markups!$E$1,
MATCH(OFFSET($C8,-MATCH($C8,EL_List,0),0),Markups!C:C,0)+MATCH($C8,EL_List,0)+1,0)</f>
        <v>1.45</v>
      </c>
      <c r="K8" s="442">
        <f ca="1">H8*J8</f>
        <v>46.762499999999996</v>
      </c>
      <c r="L8" s="443"/>
      <c r="M8" s="444">
        <f ca="1">OFFSET(Markups!$F$1,
MATCH(OFFSET($C8,-MATCH($C8,EL_List,0),0),Markups!C:C,0)+MATCH($C8,EL_List,0)+1,0)</f>
        <v>0</v>
      </c>
      <c r="N8" s="445">
        <f ca="1">H8*M8</f>
        <v>0</v>
      </c>
      <c r="O8" s="436" t="str">
        <f ca="1">IF(H8&gt;0,IF((N8/H8)&lt;(1/(1-RandD-SGA)),"BELOW MARKUP FLOOR",""),"")</f>
        <v>BELOW MARKUP FLOOR</v>
      </c>
    </row>
    <row r="9" spans="2:15" ht="16" thickBot="1" x14ac:dyDescent="0.4">
      <c r="B9" s="429"/>
      <c r="C9" s="438" t="s">
        <v>344</v>
      </c>
      <c r="D9" s="440">
        <f ca="1">$H9*OFFSET('MPC Breakdown'!$F$1,
MATCH(OFFSET($C9,-MATCH($C9,EL_List,0),0),'MPC Breakdown'!$C:$C,0)+MATCH($C9,EL_List,0),0)</f>
        <v>30.536026936978814</v>
      </c>
      <c r="E9" s="440">
        <f ca="1">$H9*OFFSET('MPC Breakdown'!$G$1,
MATCH(OFFSET($C9,-MATCH($C9,EL_List,0),0),'MPC Breakdown'!$C:$C,0)+MATCH($C9,EL_List,0),0)</f>
        <v>0.51322071147689952</v>
      </c>
      <c r="F9" s="440">
        <f ca="1">$H9*OFFSET('MPC Breakdown'!$H$1,
MATCH(OFFSET($C9,-MATCH($C9,EL_List,0),0),'MPC Breakdown'!$C:$C,0)+MATCH($C9,EL_List,0),0)</f>
        <v>1.6945425000000001</v>
      </c>
      <c r="G9" s="440">
        <f ca="1">$H9*OFFSET('MPC Breakdown'!$I$1,
MATCH(OFFSET($C9,-MATCH($C9,EL_List,0),0),'MPC Breakdown'!$C:$C,0)+MATCH($C9,EL_List,0),0)</f>
        <v>0.64620985154428889</v>
      </c>
      <c r="H9" s="440">
        <f ca="1">OFFSET('MPC Breakdown'!$E$1,
MATCH(OFFSET($C9,-MATCH($C9,EL_List,0),0),'MPC Breakdown'!C:C,0)+MATCH($C9,EL_List,0),0)</f>
        <v>33.39</v>
      </c>
      <c r="I9" s="433"/>
      <c r="J9" s="441">
        <f ca="1">OFFSET(Markups!$E$1,
MATCH(OFFSET($C9,-MATCH($C9,EL_List,0),0),Markups!C:C,0)+MATCH($C9,EL_List,0)+1,0)</f>
        <v>1.45</v>
      </c>
      <c r="K9" s="442">
        <f ca="1">H9*J9</f>
        <v>48.415500000000002</v>
      </c>
      <c r="L9" s="443"/>
      <c r="M9" s="444">
        <f ca="1">OFFSET(Markups!$F$1,
MATCH(OFFSET($C9,-MATCH($C9,EL_List,0),0),Markups!C:C,0)+MATCH($C9,EL_List,0)+1,0)</f>
        <v>1.4424639597731757</v>
      </c>
      <c r="N9" s="445">
        <f ca="1">H9*M9</f>
        <v>48.163871616826334</v>
      </c>
      <c r="O9" s="436" t="str">
        <f ca="1">IF(H9&gt;0,IF((N9/H9)&lt;(1/(1-RandD-SGA)),"BELOW MARKUP FLOOR",""),"")</f>
        <v/>
      </c>
    </row>
    <row r="10" spans="2:15" ht="16" thickBot="1" x14ac:dyDescent="0.4">
      <c r="B10" s="429"/>
      <c r="C10" s="438" t="s">
        <v>343</v>
      </c>
      <c r="D10" s="440">
        <f ca="1">$H10*OFFSET('MPC Breakdown'!$F$1,
MATCH(OFFSET($C10,-MATCH($C10,EL_List,0),0),'MPC Breakdown'!$C:$C,0)+MATCH($C10,EL_List,0),0)</f>
        <v>35.700317758866795</v>
      </c>
      <c r="E10" s="440">
        <f ca="1">$H10*OFFSET('MPC Breakdown'!$G$1,
MATCH(OFFSET($C10,-MATCH($C10,EL_List,0),0),'MPC Breakdown'!$C:$C,0)+MATCH($C10,EL_List,0),0)</f>
        <v>0.81324284882739262</v>
      </c>
      <c r="F10" s="440">
        <f ca="1">$H10*OFFSET('MPC Breakdown'!$H$1,
MATCH(OFFSET($C10,-MATCH($C10,EL_List,0),0),'MPC Breakdown'!$C:$C,0)+MATCH($C10,EL_List,0),0)</f>
        <v>1.9929525000000003</v>
      </c>
      <c r="G10" s="440">
        <f ca="1">$H10*OFFSET('MPC Breakdown'!$I$1,
MATCH(OFFSET($C10,-MATCH($C10,EL_List,0),0),'MPC Breakdown'!$C:$C,0)+MATCH($C10,EL_List,0),0)</f>
        <v>0.7634868923058169</v>
      </c>
      <c r="H10" s="440">
        <f ca="1">OFFSET('MPC Breakdown'!$E$1,
MATCH(OFFSET($C10,-MATCH($C10,EL_List,0),0),'MPC Breakdown'!C:C,0)+MATCH($C10,EL_List,0),0)</f>
        <v>39.270000000000003</v>
      </c>
      <c r="I10" s="433"/>
      <c r="J10" s="441">
        <f ca="1">OFFSET(Markups!$E$1,
MATCH(OFFSET($C10,-MATCH($C10,EL_List,0),0),Markups!C:C,0)+MATCH($C10,EL_List,0)+1,0)</f>
        <v>1.45</v>
      </c>
      <c r="K10" s="442">
        <f ca="1">H10*J10</f>
        <v>56.941500000000005</v>
      </c>
      <c r="L10" s="443"/>
      <c r="M10" s="444">
        <f ca="1">OFFSET(Markups!$F$1,
MATCH(OFFSET($C10,-MATCH($C10,EL_List,0),0),Markups!C:C,0)+MATCH($C10,EL_List,0)+1,0)</f>
        <v>1.45</v>
      </c>
      <c r="N10" s="445">
        <f ca="1">H10*M10</f>
        <v>56.941500000000005</v>
      </c>
      <c r="O10" s="436" t="str">
        <f ca="1">IF(H10&gt;0,IF((N10/H10)&lt;(1/(1-RandD-SGA)),"BELOW MARKUP FLOOR",""),"")</f>
        <v/>
      </c>
    </row>
    <row r="11" spans="2:15" ht="16" thickBot="1" x14ac:dyDescent="0.4">
      <c r="B11" s="429"/>
      <c r="C11" s="438" t="s">
        <v>342</v>
      </c>
      <c r="D11" s="440">
        <f ca="1">$H11*OFFSET('MPC Breakdown'!$F$1,
MATCH(OFFSET($C11,-MATCH($C11,EL_List,0),0),'MPC Breakdown'!$C:$C,0)+MATCH($C11,EL_List,0),0)</f>
        <v>40.117185412374774</v>
      </c>
      <c r="E11" s="440">
        <f ca="1">$H11*OFFSET('MPC Breakdown'!$G$1,
MATCH(OFFSET($C11,-MATCH($C11,EL_List,0),0),'MPC Breakdown'!$C:$C,0)+MATCH($C11,EL_List,0),0)</f>
        <v>0.85433177269217198</v>
      </c>
      <c r="F11" s="440">
        <f ca="1">$H11*OFFSET('MPC Breakdown'!$H$1,
MATCH(OFFSET($C11,-MATCH($C11,EL_List,0),0),'MPC Breakdown'!$C:$C,0)+MATCH($C11,EL_List,0),0)</f>
        <v>2.2360450000000003</v>
      </c>
      <c r="G11" s="440">
        <f ca="1">$H11*OFFSET('MPC Breakdown'!$I$1,
MATCH(OFFSET($C11,-MATCH($C11,EL_List,0),0),'MPC Breakdown'!$C:$C,0)+MATCH($C11,EL_List,0),0)</f>
        <v>0.85243781493305892</v>
      </c>
      <c r="H11" s="440">
        <f ca="1">OFFSET('MPC Breakdown'!$E$1,
MATCH(OFFSET($C11,-MATCH($C11,EL_List,0),0),'MPC Breakdown'!C:C,0)+MATCH($C11,EL_List,0),0)</f>
        <v>44.06</v>
      </c>
      <c r="I11" s="433"/>
      <c r="J11" s="441">
        <f ca="1">OFFSET(Markups!$E$1,
MATCH(OFFSET($C11,-MATCH($C11,EL_List,0),0),Markups!C:C,0)+MATCH($C11,EL_List,0)+1,0)</f>
        <v>1.45</v>
      </c>
      <c r="K11" s="442">
        <f ca="1">H11*J11</f>
        <v>63.887</v>
      </c>
      <c r="L11" s="443"/>
      <c r="M11" s="444">
        <f ca="1">OFFSET(Markups!$F$1,
MATCH(OFFSET($C11,-MATCH($C11,EL_List,0),0),Markups!C:C,0)+MATCH($C11,EL_List,0)+1,0)</f>
        <v>1.45</v>
      </c>
      <c r="N11" s="445">
        <f ca="1">H11*M11</f>
        <v>63.887</v>
      </c>
      <c r="O11" s="436" t="str">
        <f ca="1">IF(H11&gt;0,IF((N11/H11)&lt;(1/(1-RandD-SGA)),"BELOW MARKUP FLOOR",""),"")</f>
        <v/>
      </c>
    </row>
    <row r="12" spans="2:15" ht="16" thickBot="1" x14ac:dyDescent="0.4">
      <c r="B12" s="446"/>
      <c r="C12" s="447"/>
      <c r="D12" s="448"/>
      <c r="E12" s="448"/>
      <c r="F12" s="448"/>
      <c r="G12" s="448"/>
      <c r="H12" s="448"/>
      <c r="I12" s="448"/>
      <c r="J12" s="448"/>
      <c r="K12" s="448"/>
      <c r="L12" s="448"/>
      <c r="M12" s="448"/>
      <c r="N12" s="448"/>
      <c r="O12" s="449"/>
    </row>
    <row r="13" spans="2:15" ht="16" thickBot="1" x14ac:dyDescent="0.4"/>
    <row r="14" spans="2:15" x14ac:dyDescent="0.35">
      <c r="B14" s="425"/>
      <c r="C14" s="426"/>
      <c r="D14" s="426"/>
      <c r="E14" s="426"/>
      <c r="F14" s="426"/>
      <c r="G14" s="426"/>
      <c r="H14" s="426"/>
      <c r="I14" s="427"/>
      <c r="J14" s="427"/>
      <c r="K14" s="426"/>
      <c r="L14" s="426"/>
      <c r="M14" s="426"/>
      <c r="N14" s="426"/>
      <c r="O14" s="428"/>
    </row>
    <row r="15" spans="2:15" ht="15" customHeight="1" x14ac:dyDescent="0.35">
      <c r="B15" s="429"/>
      <c r="C15" s="430"/>
      <c r="D15" s="431" t="s">
        <v>132</v>
      </c>
      <c r="E15" s="432"/>
      <c r="F15" s="432"/>
      <c r="G15" s="432"/>
      <c r="H15" s="432"/>
      <c r="I15" s="433"/>
      <c r="J15" s="434" t="s">
        <v>237</v>
      </c>
      <c r="K15" s="434"/>
      <c r="L15" s="435"/>
      <c r="M15" s="431" t="str">
        <f>TSL_X</f>
        <v>TSL 1</v>
      </c>
      <c r="N15" s="431"/>
      <c r="O15" s="436"/>
    </row>
    <row r="16" spans="2:15" ht="16" thickBot="1" x14ac:dyDescent="0.4">
      <c r="B16" s="429"/>
      <c r="C16" s="437" t="s">
        <v>180</v>
      </c>
      <c r="D16" s="438" t="s">
        <v>59</v>
      </c>
      <c r="E16" s="438" t="s">
        <v>12</v>
      </c>
      <c r="F16" s="438" t="s">
        <v>8</v>
      </c>
      <c r="G16" s="438" t="s">
        <v>13</v>
      </c>
      <c r="H16" s="438" t="s">
        <v>91</v>
      </c>
      <c r="I16" s="433"/>
      <c r="J16" s="439" t="s">
        <v>28</v>
      </c>
      <c r="K16" s="438" t="s">
        <v>107</v>
      </c>
      <c r="L16" s="435"/>
      <c r="M16" s="439" t="s">
        <v>28</v>
      </c>
      <c r="N16" s="438" t="s">
        <v>107</v>
      </c>
      <c r="O16" s="436"/>
    </row>
    <row r="17" spans="2:15" ht="16" thickBot="1" x14ac:dyDescent="0.4">
      <c r="B17" s="429"/>
      <c r="C17" s="438" t="s">
        <v>81</v>
      </c>
      <c r="D17" s="440">
        <f ca="1">$H17*OFFSET('MPC Breakdown'!$F$1,
MATCH(OFFSET($C17,-MATCH($C17,EL_List,0),0),'MPC Breakdown'!$C:$C,0)+MATCH($C17,EL_List,0),0)</f>
        <v>38.177931643354384</v>
      </c>
      <c r="E17" s="440">
        <f ca="1">$H17*OFFSET('MPC Breakdown'!$G$1,
MATCH(OFFSET($C17,-MATCH($C17,EL_List,0),0),'MPC Breakdown'!$C:$C,0)+MATCH($C17,EL_List,0),0)</f>
        <v>1.0170886762412812</v>
      </c>
      <c r="F17" s="440">
        <f ca="1">$H17*OFFSET('MPC Breakdown'!$H$1,
MATCH(OFFSET($C17,-MATCH($C17,EL_List,0),0),'MPC Breakdown'!$C:$C,0)+MATCH($C17,EL_List,0),0)</f>
        <v>2.1807275000000002</v>
      </c>
      <c r="G17" s="440">
        <f ca="1">$H17*OFFSET('MPC Breakdown'!$I$1,
MATCH(OFFSET($C17,-MATCH($C17,EL_List,0),0),'MPC Breakdown'!$C:$C,0)+MATCH($C17,EL_List,0),0)</f>
        <v>1.5942521804043324</v>
      </c>
      <c r="H17" s="440">
        <f ca="1">OFFSET('MPC Breakdown'!$E$1,
MATCH(OFFSET($C17,-MATCH($C17,EL_List,0),0),'MPC Breakdown'!C:C,0)+MATCH($C17,EL_List,0),0)</f>
        <v>42.97</v>
      </c>
      <c r="I17" s="433"/>
      <c r="J17" s="441">
        <f ca="1">OFFSET(Markups!$E$1,
MATCH(OFFSET($C17,-MATCH($C17,EL_List,0),0),Markups!C:C,0)+MATCH($C17,EL_List,0)+1,0)</f>
        <v>1.45</v>
      </c>
      <c r="K17" s="442">
        <f ca="1">H17*J17</f>
        <v>62.3065</v>
      </c>
      <c r="L17" s="443"/>
      <c r="M17" s="444">
        <f ca="1">OFFSET(Markups!$F$1,
MATCH(OFFSET($C17,-MATCH($C17,EL_List,0),0),Markups!C:C,0)+MATCH($C17,EL_List,0)+1,0)</f>
        <v>0</v>
      </c>
      <c r="N17" s="445">
        <f ca="1">H17*M17</f>
        <v>0</v>
      </c>
      <c r="O17" s="436" t="str">
        <f ca="1">IF(H17&gt;0,IF((N17/H17)&lt;(1/(1-RandD-SGA)),"BELOW MARKUP FLOOR",""),"")</f>
        <v>BELOW MARKUP FLOOR</v>
      </c>
    </row>
    <row r="18" spans="2:15" ht="16" thickBot="1" x14ac:dyDescent="0.4">
      <c r="B18" s="429"/>
      <c r="C18" s="438" t="s">
        <v>86</v>
      </c>
      <c r="D18" s="440">
        <f ca="1">$H18*OFFSET('MPC Breakdown'!$F$1,
MATCH(OFFSET($C18,-MATCH($C18,EL_List,0),0),'MPC Breakdown'!$C:$C,0)+MATCH($C18,EL_List,0),0)</f>
        <v>39.976866054537318</v>
      </c>
      <c r="E18" s="440">
        <f ca="1">$H18*OFFSET('MPC Breakdown'!$G$1,
MATCH(OFFSET($C18,-MATCH($C18,EL_List,0),0),'MPC Breakdown'!$C:$C,0)+MATCH($C18,EL_List,0),0)</f>
        <v>0.89755451806944841</v>
      </c>
      <c r="F18" s="440">
        <f ca="1">$H18*OFFSET('MPC Breakdown'!$H$1,
MATCH(OFFSET($C18,-MATCH($C18,EL_List,0),0),'MPC Breakdown'!$C:$C,0)+MATCH($C18,EL_List,0),0)</f>
        <v>2.2461950000000002</v>
      </c>
      <c r="G18" s="440">
        <f ca="1">$H18*OFFSET('MPC Breakdown'!$I$1,
MATCH(OFFSET($C18,-MATCH($C18,EL_List,0),0),'MPC Breakdown'!$C:$C,0)+MATCH($C18,EL_List,0),0)</f>
        <v>1.1393844273932343</v>
      </c>
      <c r="H18" s="440">
        <f ca="1">OFFSET('MPC Breakdown'!$E$1,
MATCH(OFFSET($C18,-MATCH($C18,EL_List,0),0),'MPC Breakdown'!C:C,0)+MATCH($C18,EL_List,0),0)</f>
        <v>44.26</v>
      </c>
      <c r="I18" s="433"/>
      <c r="J18" s="441">
        <f ca="1">OFFSET(Markups!$E$1,
MATCH(OFFSET($C18,-MATCH($C18,EL_List,0),0),Markups!C:C,0)+MATCH($C18,EL_List,0)+1,0)</f>
        <v>1.45</v>
      </c>
      <c r="K18" s="442">
        <f ca="1">H18*J18</f>
        <v>64.176999999999992</v>
      </c>
      <c r="L18" s="443"/>
      <c r="M18" s="444">
        <f ca="1">OFFSET(Markups!$F$1,
MATCH(OFFSET($C18,-MATCH($C18,EL_List,0),0),Markups!C:C,0)+MATCH($C18,EL_List,0)+1,0)</f>
        <v>0</v>
      </c>
      <c r="N18" s="445">
        <f ca="1">H18*M18</f>
        <v>0</v>
      </c>
      <c r="O18" s="436" t="str">
        <f ca="1">IF(H18&gt;0,IF((N18/H18)&lt;(1/(1-RandD-SGA)),"BELOW MARKUP FLOOR",""),"")</f>
        <v>BELOW MARKUP FLOOR</v>
      </c>
    </row>
    <row r="19" spans="2:15" ht="16" thickBot="1" x14ac:dyDescent="0.4">
      <c r="B19" s="429"/>
      <c r="C19" s="438" t="s">
        <v>344</v>
      </c>
      <c r="D19" s="440">
        <f ca="1">$H19*OFFSET('MPC Breakdown'!$F$1,
MATCH(OFFSET($C19,-MATCH($C19,EL_List,0),0),'MPC Breakdown'!$C:$C,0)+MATCH($C19,EL_List,0),0)</f>
        <v>41.090556028761483</v>
      </c>
      <c r="E19" s="440">
        <f ca="1">$H19*OFFSET('MPC Breakdown'!$G$1,
MATCH(OFFSET($C19,-MATCH($C19,EL_List,0),0),'MPC Breakdown'!$C:$C,0)+MATCH($C19,EL_List,0),0)</f>
        <v>0.87477129941653742</v>
      </c>
      <c r="F19" s="440">
        <f ca="1">$H19*OFFSET('MPC Breakdown'!$H$1,
MATCH(OFFSET($C19,-MATCH($C19,EL_List,0),0),'MPC Breakdown'!$C:$C,0)+MATCH($C19,EL_List,0),0)</f>
        <v>2.3152150000000002</v>
      </c>
      <c r="G19" s="440">
        <f ca="1">$H19*OFFSET('MPC Breakdown'!$I$1,
MATCH(OFFSET($C19,-MATCH($C19,EL_List,0),0),'MPC Breakdown'!$C:$C,0)+MATCH($C19,EL_List,0),0)</f>
        <v>1.3394576718219762</v>
      </c>
      <c r="H19" s="440">
        <f ca="1">OFFSET('MPC Breakdown'!$E$1,
MATCH(OFFSET($C19,-MATCH($C19,EL_List,0),0),'MPC Breakdown'!C:C,0)+MATCH($C19,EL_List,0),0)</f>
        <v>45.62</v>
      </c>
      <c r="I19" s="433"/>
      <c r="J19" s="441">
        <f ca="1">OFFSET(Markups!$E$1,
MATCH(OFFSET($C19,-MATCH($C19,EL_List,0),0),Markups!C:C,0)+MATCH($C19,EL_List,0)+1,0)</f>
        <v>1.45</v>
      </c>
      <c r="K19" s="442">
        <f ca="1">H19*J19</f>
        <v>66.149000000000001</v>
      </c>
      <c r="L19" s="443"/>
      <c r="M19" s="444">
        <f ca="1">OFFSET(Markups!$F$1,
MATCH(OFFSET($C19,-MATCH($C19,EL_List,0),0),Markups!C:C,0)+MATCH($C19,EL_List,0)+1,0)</f>
        <v>1.444445235606505</v>
      </c>
      <c r="N19" s="445">
        <f ca="1">H19*M19</f>
        <v>65.89559164836875</v>
      </c>
      <c r="O19" s="436" t="str">
        <f ca="1">IF(H19&gt;0,IF((N19/H19)&lt;(1/(1-RandD-SGA)),"BELOW MARKUP FLOOR",""),"")</f>
        <v/>
      </c>
    </row>
    <row r="20" spans="2:15" ht="16" thickBot="1" x14ac:dyDescent="0.4">
      <c r="B20" s="429"/>
      <c r="C20" s="438" t="s">
        <v>343</v>
      </c>
      <c r="D20" s="440">
        <f ca="1">$H20*OFFSET('MPC Breakdown'!$F$1,
MATCH(OFFSET($C20,-MATCH($C20,EL_List,0),0),'MPC Breakdown'!$C:$C,0)+MATCH($C20,EL_List,0),0)</f>
        <v>45.483739971979844</v>
      </c>
      <c r="E20" s="440">
        <f ca="1">$H20*OFFSET('MPC Breakdown'!$G$1,
MATCH(OFFSET($C20,-MATCH($C20,EL_List,0),0),'MPC Breakdown'!$C:$C,0)+MATCH($C20,EL_List,0),0)</f>
        <v>1.1350090574499447</v>
      </c>
      <c r="F20" s="440">
        <f ca="1">$H20*OFFSET('MPC Breakdown'!$H$1,
MATCH(OFFSET($C20,-MATCH($C20,EL_List,0),0),'MPC Breakdown'!$C:$C,0)+MATCH($C20,EL_List,0),0)</f>
        <v>2.5603375000000002</v>
      </c>
      <c r="G20" s="440">
        <f ca="1">$H20*OFFSET('MPC Breakdown'!$I$1,
MATCH(OFFSET($C20,-MATCH($C20,EL_List,0),0),'MPC Breakdown'!$C:$C,0)+MATCH($C20,EL_List,0),0)</f>
        <v>1.2709134705702139</v>
      </c>
      <c r="H20" s="440">
        <f ca="1">OFFSET('MPC Breakdown'!$E$1,
MATCH(OFFSET($C20,-MATCH($C20,EL_List,0),0),'MPC Breakdown'!C:C,0)+MATCH($C20,EL_List,0),0)</f>
        <v>50.45</v>
      </c>
      <c r="I20" s="433"/>
      <c r="J20" s="441">
        <f ca="1">OFFSET(Markups!$E$1,
MATCH(OFFSET($C20,-MATCH($C20,EL_List,0),0),Markups!C:C,0)+MATCH($C20,EL_List,0)+1,0)</f>
        <v>1.45</v>
      </c>
      <c r="K20" s="442">
        <f ca="1">H20*J20</f>
        <v>73.152500000000003</v>
      </c>
      <c r="L20" s="443"/>
      <c r="M20" s="444">
        <f ca="1">OFFSET(Markups!$F$1,
MATCH(OFFSET($C20,-MATCH($C20,EL_List,0),0),Markups!C:C,0)+MATCH($C20,EL_List,0)+1,0)</f>
        <v>1.45</v>
      </c>
      <c r="N20" s="445">
        <f ca="1">H20*M20</f>
        <v>73.152500000000003</v>
      </c>
      <c r="O20" s="436" t="str">
        <f ca="1">IF(H20&gt;0,IF((N20/H20)&lt;(1/(1-RandD-SGA)),"BELOW MARKUP FLOOR",""),"")</f>
        <v/>
      </c>
    </row>
    <row r="21" spans="2:15" ht="16" thickBot="1" x14ac:dyDescent="0.4">
      <c r="B21" s="429"/>
      <c r="C21" s="438" t="s">
        <v>342</v>
      </c>
      <c r="D21" s="440">
        <f ca="1">$H21*OFFSET('MPC Breakdown'!$F$1,
MATCH(OFFSET($C21,-MATCH($C21,EL_List,0),0),'MPC Breakdown'!$C:$C,0)+MATCH($C21,EL_List,0),0)</f>
        <v>49.71766010620356</v>
      </c>
      <c r="E21" s="440">
        <f ca="1">$H21*OFFSET('MPC Breakdown'!$G$1,
MATCH(OFFSET($C21,-MATCH($C21,EL_List,0),0),'MPC Breakdown'!$C:$C,0)+MATCH($C21,EL_List,0),0)</f>
        <v>1.3019542106863604</v>
      </c>
      <c r="F21" s="440">
        <f ca="1">$H21*OFFSET('MPC Breakdown'!$H$1,
MATCH(OFFSET($C21,-MATCH($C21,EL_List,0),0),'MPC Breakdown'!$C:$C,0)+MATCH($C21,EL_List,0),0)</f>
        <v>2.8191625</v>
      </c>
      <c r="G21" s="440">
        <f ca="1">$H21*OFFSET('MPC Breakdown'!$I$1,
MATCH(OFFSET($C21,-MATCH($C21,EL_List,0),0),'MPC Breakdown'!$C:$C,0)+MATCH($C21,EL_List,0),0)</f>
        <v>1.7112231831100799</v>
      </c>
      <c r="H21" s="440">
        <f ca="1">OFFSET('MPC Breakdown'!$E$1,
MATCH(OFFSET($C21,-MATCH($C21,EL_List,0),0),'MPC Breakdown'!C:C,0)+MATCH($C21,EL_List,0),0)</f>
        <v>55.55</v>
      </c>
      <c r="I21" s="433"/>
      <c r="J21" s="441">
        <f ca="1">OFFSET(Markups!$E$1,
MATCH(OFFSET($C21,-MATCH($C21,EL_List,0),0),Markups!C:C,0)+MATCH($C21,EL_List,0)+1,0)</f>
        <v>1.45</v>
      </c>
      <c r="K21" s="442">
        <f ca="1">H21*J21</f>
        <v>80.547499999999999</v>
      </c>
      <c r="L21" s="443"/>
      <c r="M21" s="444">
        <f ca="1">OFFSET(Markups!$F$1,
MATCH(OFFSET($C21,-MATCH($C21,EL_List,0),0),Markups!C:C,0)+MATCH($C21,EL_List,0)+1,0)</f>
        <v>1.45</v>
      </c>
      <c r="N21" s="445">
        <f ca="1">H21*M21</f>
        <v>80.547499999999999</v>
      </c>
      <c r="O21" s="436" t="str">
        <f ca="1">IF(H21&gt;0,IF((N21/H21)&lt;(1/(1-RandD-SGA)),"BELOW MARKUP FLOOR",""),"")</f>
        <v/>
      </c>
    </row>
    <row r="22" spans="2:15" ht="16" thickBot="1" x14ac:dyDescent="0.4">
      <c r="B22" s="446"/>
      <c r="C22" s="447"/>
      <c r="D22" s="448"/>
      <c r="E22" s="448"/>
      <c r="F22" s="448"/>
      <c r="G22" s="448"/>
      <c r="H22" s="448"/>
      <c r="I22" s="448"/>
      <c r="J22" s="448"/>
      <c r="K22" s="448"/>
      <c r="L22" s="448"/>
      <c r="M22" s="448"/>
      <c r="N22" s="448"/>
      <c r="O22" s="449"/>
    </row>
    <row r="23" spans="2:15" ht="16" thickBot="1" x14ac:dyDescent="0.4"/>
    <row r="24" spans="2:15" x14ac:dyDescent="0.35">
      <c r="B24" s="425"/>
      <c r="C24" s="426"/>
      <c r="D24" s="426"/>
      <c r="E24" s="426"/>
      <c r="F24" s="426"/>
      <c r="G24" s="426"/>
      <c r="H24" s="426"/>
      <c r="I24" s="427"/>
      <c r="J24" s="427"/>
      <c r="K24" s="426"/>
      <c r="L24" s="426"/>
      <c r="M24" s="426"/>
      <c r="N24" s="426"/>
      <c r="O24" s="428"/>
    </row>
    <row r="25" spans="2:15" ht="15" customHeight="1" x14ac:dyDescent="0.35">
      <c r="B25" s="429"/>
      <c r="C25" s="430"/>
      <c r="D25" s="431" t="s">
        <v>132</v>
      </c>
      <c r="E25" s="432"/>
      <c r="F25" s="432"/>
      <c r="G25" s="432"/>
      <c r="H25" s="432"/>
      <c r="I25" s="433"/>
      <c r="J25" s="434" t="s">
        <v>237</v>
      </c>
      <c r="K25" s="434"/>
      <c r="L25" s="435"/>
      <c r="M25" s="431" t="str">
        <f>TSL_X</f>
        <v>TSL 1</v>
      </c>
      <c r="N25" s="431"/>
      <c r="O25" s="436"/>
    </row>
    <row r="26" spans="2:15" ht="16" thickBot="1" x14ac:dyDescent="0.4">
      <c r="B26" s="429"/>
      <c r="C26" s="437" t="s">
        <v>181</v>
      </c>
      <c r="D26" s="438" t="s">
        <v>59</v>
      </c>
      <c r="E26" s="438" t="s">
        <v>12</v>
      </c>
      <c r="F26" s="438" t="s">
        <v>8</v>
      </c>
      <c r="G26" s="438" t="s">
        <v>13</v>
      </c>
      <c r="H26" s="438" t="s">
        <v>91</v>
      </c>
      <c r="I26" s="433"/>
      <c r="J26" s="439" t="s">
        <v>28</v>
      </c>
      <c r="K26" s="438" t="s">
        <v>107</v>
      </c>
      <c r="L26" s="435"/>
      <c r="M26" s="439" t="s">
        <v>28</v>
      </c>
      <c r="N26" s="438" t="s">
        <v>107</v>
      </c>
      <c r="O26" s="436"/>
    </row>
    <row r="27" spans="2:15" ht="16" thickBot="1" x14ac:dyDescent="0.4">
      <c r="B27" s="429"/>
      <c r="C27" s="438" t="s">
        <v>81</v>
      </c>
      <c r="D27" s="440">
        <f ca="1">$H27*OFFSET('MPC Breakdown'!$F$1,
MATCH(OFFSET($C27,-MATCH($C27,EL_List,0),0),'MPC Breakdown'!$C:$C,0)+MATCH($C27,EL_List,0),0)</f>
        <v>63.036113345882185</v>
      </c>
      <c r="E27" s="440">
        <f ca="1">$H27*OFFSET('MPC Breakdown'!$G$1,
MATCH(OFFSET($C27,-MATCH($C27,EL_List,0),0),'MPC Breakdown'!$C:$C,0)+MATCH($C27,EL_List,0),0)</f>
        <v>1.5101403142833463</v>
      </c>
      <c r="F27" s="440">
        <f ca="1">$H27*OFFSET('MPC Breakdown'!$H$1,
MATCH(OFFSET($C27,-MATCH($C27,EL_List,0),0),'MPC Breakdown'!$C:$C,0)+MATCH($C27,EL_List,0),0)</f>
        <v>3.5778750000000001</v>
      </c>
      <c r="G27" s="440">
        <f ca="1">$H27*OFFSET('MPC Breakdown'!$I$1,
MATCH(OFFSET($C27,-MATCH($C27,EL_List,0),0),'MPC Breakdown'!$C:$C,0)+MATCH($C27,EL_List,0),0)</f>
        <v>2.3758713398344713</v>
      </c>
      <c r="H27" s="440">
        <f ca="1">OFFSET('MPC Breakdown'!$E$1,
MATCH(OFFSET($C27,-MATCH($C27,EL_List,0),0),'MPC Breakdown'!C:C,0)+MATCH($C27,EL_List,0),0)</f>
        <v>70.5</v>
      </c>
      <c r="I27" s="433"/>
      <c r="J27" s="441">
        <f ca="1">OFFSET(Markups!$E$1,
MATCH(OFFSET($C27,-MATCH($C27,EL_List,0),0),Markups!C:C,0)+MATCH($C27,EL_List,0)+1,0)</f>
        <v>1.45</v>
      </c>
      <c r="K27" s="442">
        <f ca="1">H27*J27</f>
        <v>102.22499999999999</v>
      </c>
      <c r="L27" s="443"/>
      <c r="M27" s="444">
        <f ca="1">OFFSET(Markups!$F$1,
MATCH(OFFSET($C27,-MATCH($C27,EL_List,0),0),Markups!C:C,0)+MATCH($C27,EL_List,0)+1,0)</f>
        <v>0</v>
      </c>
      <c r="N27" s="445">
        <f ca="1">H27*M27</f>
        <v>0</v>
      </c>
      <c r="O27" s="436" t="str">
        <f ca="1">IF(H27&gt;0,IF((N27/H27)&lt;(1/(1-RandD-SGA)),"BELOW MARKUP FLOOR",""),"")</f>
        <v>BELOW MARKUP FLOOR</v>
      </c>
    </row>
    <row r="28" spans="2:15" ht="16" thickBot="1" x14ac:dyDescent="0.4">
      <c r="B28" s="429"/>
      <c r="C28" s="438" t="s">
        <v>86</v>
      </c>
      <c r="D28" s="440">
        <f ca="1">$H28*OFFSET('MPC Breakdown'!$F$1,
MATCH(OFFSET($C28,-MATCH($C28,EL_List,0),0),'MPC Breakdown'!$C:$C,0)+MATCH($C28,EL_List,0),0)</f>
        <v>64.512895989514831</v>
      </c>
      <c r="E28" s="440">
        <f ca="1">$H28*OFFSET('MPC Breakdown'!$G$1,
MATCH(OFFSET($C28,-MATCH($C28,EL_List,0),0),'MPC Breakdown'!$C:$C,0)+MATCH($C28,EL_List,0),0)</f>
        <v>1.3214542656505179</v>
      </c>
      <c r="F28" s="440">
        <f ca="1">$H28*OFFSET('MPC Breakdown'!$H$1,
MATCH(OFFSET($C28,-MATCH($C28,EL_List,0),0),'MPC Breakdown'!$C:$C,0)+MATCH($C28,EL_List,0),0)</f>
        <v>3.6367449999999999</v>
      </c>
      <c r="G28" s="440">
        <f ca="1">$H28*OFFSET('MPC Breakdown'!$I$1,
MATCH(OFFSET($C28,-MATCH($C28,EL_List,0),0),'MPC Breakdown'!$C:$C,0)+MATCH($C28,EL_List,0),0)</f>
        <v>2.1889047448346575</v>
      </c>
      <c r="H28" s="440">
        <f ca="1">OFFSET('MPC Breakdown'!$E$1,
MATCH(OFFSET($C28,-MATCH($C28,EL_List,0),0),'MPC Breakdown'!C:C,0)+MATCH($C28,EL_List,0),0)</f>
        <v>71.66</v>
      </c>
      <c r="I28" s="433"/>
      <c r="J28" s="441">
        <f ca="1">OFFSET(Markups!$E$1,
MATCH(OFFSET($C28,-MATCH($C28,EL_List,0),0),Markups!C:C,0)+MATCH($C28,EL_List,0)+1,0)</f>
        <v>1.45</v>
      </c>
      <c r="K28" s="442">
        <f ca="1">H28*J28</f>
        <v>103.907</v>
      </c>
      <c r="L28" s="443"/>
      <c r="M28" s="444">
        <f ca="1">OFFSET(Markups!$F$1,
MATCH(OFFSET($C28,-MATCH($C28,EL_List,0),0),Markups!C:C,0)+MATCH($C28,EL_List,0)+1,0)</f>
        <v>0</v>
      </c>
      <c r="N28" s="445">
        <f ca="1">H28*M28</f>
        <v>0</v>
      </c>
      <c r="O28" s="436" t="str">
        <f ca="1">IF(H28&gt;0,IF((N28/H28)&lt;(1/(1-RandD-SGA)),"BELOW MARKUP FLOOR",""),"")</f>
        <v>BELOW MARKUP FLOOR</v>
      </c>
    </row>
    <row r="29" spans="2:15" ht="16" thickBot="1" x14ac:dyDescent="0.4">
      <c r="B29" s="429"/>
      <c r="C29" s="438" t="s">
        <v>344</v>
      </c>
      <c r="D29" s="440">
        <f ca="1">$H29*OFFSET('MPC Breakdown'!$F$1,
MATCH(OFFSET($C29,-MATCH($C29,EL_List,0),0),'MPC Breakdown'!$C:$C,0)+MATCH($C29,EL_List,0),0)</f>
        <v>65.138639240432326</v>
      </c>
      <c r="E29" s="440">
        <f ca="1">$H29*OFFSET('MPC Breakdown'!$G$1,
MATCH(OFFSET($C29,-MATCH($C29,EL_List,0),0),'MPC Breakdown'!$C:$C,0)+MATCH($C29,EL_List,0),0)</f>
        <v>1.4809981903761029</v>
      </c>
      <c r="F29" s="440">
        <f ca="1">$H29*OFFSET('MPC Breakdown'!$H$1,
MATCH(OFFSET($C29,-MATCH($C29,EL_List,0),0),'MPC Breakdown'!$C:$C,0)+MATCH($C29,EL_List,0),0)</f>
        <v>3.6793750000000003</v>
      </c>
      <c r="G29" s="440">
        <f ca="1">$H29*OFFSET('MPC Breakdown'!$I$1,
MATCH(OFFSET($C29,-MATCH($C29,EL_List,0),0),'MPC Breakdown'!$C:$C,0)+MATCH($C29,EL_List,0),0)</f>
        <v>2.2009875691915712</v>
      </c>
      <c r="H29" s="440">
        <f ca="1">OFFSET('MPC Breakdown'!$E$1,
MATCH(OFFSET($C29,-MATCH($C29,EL_List,0),0),'MPC Breakdown'!C:C,0)+MATCH($C29,EL_List,0),0)</f>
        <v>72.5</v>
      </c>
      <c r="I29" s="433"/>
      <c r="J29" s="441">
        <f ca="1">OFFSET(Markups!$E$1,
MATCH(OFFSET($C29,-MATCH($C29,EL_List,0),0),Markups!C:C,0)+MATCH($C29,EL_List,0)+1,0)</f>
        <v>1.45</v>
      </c>
      <c r="K29" s="442">
        <f ca="1">H29*J29</f>
        <v>105.125</v>
      </c>
      <c r="L29" s="443"/>
      <c r="M29" s="444">
        <f ca="1">OFFSET(Markups!$F$1,
MATCH(OFFSET($C29,-MATCH($C29,EL_List,0),0),Markups!C:C,0)+MATCH($C29,EL_List,0)+1,0)</f>
        <v>1.4479314458477663</v>
      </c>
      <c r="N29" s="445">
        <f ca="1">H29*M29</f>
        <v>104.97502982396306</v>
      </c>
      <c r="O29" s="436" t="str">
        <f ca="1">IF(H29&gt;0,IF((N29/H29)&lt;(1/(1-RandD-SGA)),"BELOW MARKUP FLOOR",""),"")</f>
        <v/>
      </c>
    </row>
    <row r="30" spans="2:15" ht="16" thickBot="1" x14ac:dyDescent="0.4">
      <c r="B30" s="429"/>
      <c r="C30" s="438" t="s">
        <v>343</v>
      </c>
      <c r="D30" s="440">
        <f ca="1">$H30*OFFSET('MPC Breakdown'!$F$1,
MATCH(OFFSET($C30,-MATCH($C30,EL_List,0),0),'MPC Breakdown'!$C:$C,0)+MATCH($C30,EL_List,0),0)</f>
        <v>65.859441536804866</v>
      </c>
      <c r="E30" s="440">
        <f ca="1">$H30*OFFSET('MPC Breakdown'!$G$1,
MATCH(OFFSET($C30,-MATCH($C30,EL_List,0),0),'MPC Breakdown'!$C:$C,0)+MATCH($C30,EL_List,0),0)</f>
        <v>2.3715305664697333</v>
      </c>
      <c r="F30" s="440">
        <f ca="1">$H30*OFFSET('MPC Breakdown'!$H$1,
MATCH(OFFSET($C30,-MATCH($C30,EL_List,0),0),'MPC Breakdown'!$C:$C,0)+MATCH($C30,EL_List,0),0)</f>
        <v>3.7722475000000002</v>
      </c>
      <c r="G30" s="440">
        <f ca="1">$H30*OFFSET('MPC Breakdown'!$I$1,
MATCH(OFFSET($C30,-MATCH($C30,EL_List,0),0),'MPC Breakdown'!$C:$C,0)+MATCH($C30,EL_List,0),0)</f>
        <v>2.3267803967253999</v>
      </c>
      <c r="H30" s="440">
        <f ca="1">OFFSET('MPC Breakdown'!$E$1,
MATCH(OFFSET($C30,-MATCH($C30,EL_List,0),0),'MPC Breakdown'!C:C,0)+MATCH($C30,EL_List,0),0)</f>
        <v>74.33</v>
      </c>
      <c r="I30" s="433"/>
      <c r="J30" s="441">
        <f ca="1">OFFSET(Markups!$E$1,
MATCH(OFFSET($C30,-MATCH($C30,EL_List,0),0),Markups!C:C,0)+MATCH($C30,EL_List,0)+1,0)</f>
        <v>1.45</v>
      </c>
      <c r="K30" s="442">
        <f ca="1">H30*J30</f>
        <v>107.77849999999999</v>
      </c>
      <c r="L30" s="443"/>
      <c r="M30" s="444">
        <f ca="1">OFFSET(Markups!$F$1,
MATCH(OFFSET($C30,-MATCH($C30,EL_List,0),0),Markups!C:C,0)+MATCH($C30,EL_List,0)+1,0)</f>
        <v>1.45</v>
      </c>
      <c r="N30" s="445">
        <f ca="1">H30*M30</f>
        <v>107.77849999999999</v>
      </c>
      <c r="O30" s="436" t="str">
        <f ca="1">IF(H30&gt;0,IF((N30/H30)&lt;(1/(1-RandD-SGA)),"BELOW MARKUP FLOOR",""),"")</f>
        <v/>
      </c>
    </row>
    <row r="31" spans="2:15" ht="16" thickBot="1" x14ac:dyDescent="0.4">
      <c r="B31" s="429"/>
      <c r="C31" s="438" t="s">
        <v>342</v>
      </c>
      <c r="D31" s="440">
        <f ca="1">$H31*OFFSET('MPC Breakdown'!$F$1,
MATCH(OFFSET($C31,-MATCH($C31,EL_List,0),0),'MPC Breakdown'!$C:$C,0)+MATCH($C31,EL_List,0),0)</f>
        <v>66.252560326080285</v>
      </c>
      <c r="E31" s="440">
        <f ca="1">$H31*OFFSET('MPC Breakdown'!$G$1,
MATCH(OFFSET($C31,-MATCH($C31,EL_List,0),0),'MPC Breakdown'!$C:$C,0)+MATCH($C31,EL_List,0),0)</f>
        <v>2.3149838285394218</v>
      </c>
      <c r="F31" s="440">
        <f ca="1">$H31*OFFSET('MPC Breakdown'!$H$1,
MATCH(OFFSET($C31,-MATCH($C31,EL_List,0),0),'MPC Breakdown'!$C:$C,0)+MATCH($C31,EL_List,0),0)</f>
        <v>3.7864575</v>
      </c>
      <c r="G31" s="440">
        <f ca="1">$H31*OFFSET('MPC Breakdown'!$I$1,
MATCH(OFFSET($C31,-MATCH($C31,EL_List,0),0),'MPC Breakdown'!$C:$C,0)+MATCH($C31,EL_List,0),0)</f>
        <v>2.2559983453802888</v>
      </c>
      <c r="H31" s="440">
        <f ca="1">OFFSET('MPC Breakdown'!$E$1,
MATCH(OFFSET($C31,-MATCH($C31,EL_List,0),0),'MPC Breakdown'!C:C,0)+MATCH($C31,EL_List,0),0)</f>
        <v>74.61</v>
      </c>
      <c r="I31" s="433"/>
      <c r="J31" s="441">
        <f ca="1">OFFSET(Markups!$E$1,
MATCH(OFFSET($C31,-MATCH($C31,EL_List,0),0),Markups!C:C,0)+MATCH($C31,EL_List,0)+1,0)</f>
        <v>1.45</v>
      </c>
      <c r="K31" s="442">
        <f ca="1">H31*J31</f>
        <v>108.1845</v>
      </c>
      <c r="L31" s="443"/>
      <c r="M31" s="444">
        <f ca="1">OFFSET(Markups!$F$1,
MATCH(OFFSET($C31,-MATCH($C31,EL_List,0),0),Markups!C:C,0)+MATCH($C31,EL_List,0)+1,0)</f>
        <v>1.45</v>
      </c>
      <c r="N31" s="445">
        <f ca="1">H31*M31</f>
        <v>108.1845</v>
      </c>
      <c r="O31" s="436" t="str">
        <f ca="1">IF(H31&gt;0,IF((N31/H31)&lt;(1/(1-RandD-SGA)),"BELOW MARKUP FLOOR",""),"")</f>
        <v/>
      </c>
    </row>
    <row r="32" spans="2:15" ht="16" thickBot="1" x14ac:dyDescent="0.4">
      <c r="B32" s="446"/>
      <c r="C32" s="447"/>
      <c r="D32" s="448"/>
      <c r="E32" s="448"/>
      <c r="F32" s="448"/>
      <c r="G32" s="448"/>
      <c r="H32" s="448"/>
      <c r="I32" s="448"/>
      <c r="J32" s="448"/>
      <c r="K32" s="448"/>
      <c r="L32" s="448"/>
      <c r="M32" s="448"/>
      <c r="N32" s="448"/>
      <c r="O32" s="449"/>
    </row>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row r="55" x14ac:dyDescent="0.35"/>
    <row r="56" x14ac:dyDescent="0.35"/>
    <row r="57" x14ac:dyDescent="0.35"/>
    <row r="58" x14ac:dyDescent="0.35"/>
    <row r="59" x14ac:dyDescent="0.35"/>
    <row r="60" x14ac:dyDescent="0.35"/>
    <row r="61" x14ac:dyDescent="0.35"/>
    <row r="62" x14ac:dyDescent="0.35"/>
    <row r="63" x14ac:dyDescent="0.35"/>
    <row r="64"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row r="103" x14ac:dyDescent="0.35"/>
    <row r="104" x14ac:dyDescent="0.35"/>
    <row r="105" x14ac:dyDescent="0.35"/>
    <row r="106" x14ac:dyDescent="0.35"/>
    <row r="107" x14ac:dyDescent="0.35"/>
    <row r="108" x14ac:dyDescent="0.35"/>
    <row r="109" x14ac:dyDescent="0.35"/>
    <row r="110" x14ac:dyDescent="0.35"/>
    <row r="111" x14ac:dyDescent="0.35"/>
    <row r="112" x14ac:dyDescent="0.35"/>
    <row r="113" x14ac:dyDescent="0.35"/>
    <row r="114" x14ac:dyDescent="0.35"/>
    <row r="115" x14ac:dyDescent="0.35"/>
    <row r="116" x14ac:dyDescent="0.35"/>
    <row r="117" x14ac:dyDescent="0.35"/>
    <row r="118" x14ac:dyDescent="0.35"/>
    <row r="119" x14ac:dyDescent="0.35"/>
    <row r="120" x14ac:dyDescent="0.35"/>
    <row r="121" x14ac:dyDescent="0.35"/>
    <row r="122" x14ac:dyDescent="0.35"/>
    <row r="123" x14ac:dyDescent="0.35"/>
    <row r="124" x14ac:dyDescent="0.35"/>
    <row r="125" x14ac:dyDescent="0.35"/>
    <row r="126" x14ac:dyDescent="0.35"/>
    <row r="127" x14ac:dyDescent="0.35"/>
    <row r="128" x14ac:dyDescent="0.35"/>
    <row r="129" x14ac:dyDescent="0.35"/>
    <row r="130" x14ac:dyDescent="0.35"/>
    <row r="131" x14ac:dyDescent="0.35"/>
    <row r="132" x14ac:dyDescent="0.35"/>
    <row r="133" x14ac:dyDescent="0.35"/>
    <row r="134" x14ac:dyDescent="0.35"/>
    <row r="135" x14ac:dyDescent="0.35"/>
    <row r="136" x14ac:dyDescent="0.35"/>
    <row r="137" x14ac:dyDescent="0.35"/>
    <row r="138" x14ac:dyDescent="0.35"/>
    <row r="139" x14ac:dyDescent="0.35"/>
    <row r="140" x14ac:dyDescent="0.35"/>
    <row r="141" x14ac:dyDescent="0.35"/>
    <row r="142" x14ac:dyDescent="0.35"/>
    <row r="143" x14ac:dyDescent="0.35"/>
    <row r="144" x14ac:dyDescent="0.35"/>
    <row r="145" x14ac:dyDescent="0.35"/>
    <row r="146" x14ac:dyDescent="0.35"/>
    <row r="147" x14ac:dyDescent="0.35"/>
    <row r="148" x14ac:dyDescent="0.35"/>
    <row r="149" x14ac:dyDescent="0.35"/>
    <row r="150" x14ac:dyDescent="0.35"/>
    <row r="151" x14ac:dyDescent="0.35"/>
    <row r="152" x14ac:dyDescent="0.35"/>
    <row r="153" x14ac:dyDescent="0.35"/>
    <row r="154" x14ac:dyDescent="0.35"/>
    <row r="155" x14ac:dyDescent="0.35"/>
    <row r="156" x14ac:dyDescent="0.35"/>
    <row r="157" x14ac:dyDescent="0.35"/>
    <row r="158" x14ac:dyDescent="0.35"/>
    <row r="159" x14ac:dyDescent="0.35"/>
    <row r="160" x14ac:dyDescent="0.35"/>
    <row r="161" x14ac:dyDescent="0.35"/>
    <row r="162" x14ac:dyDescent="0.35"/>
    <row r="163" x14ac:dyDescent="0.35"/>
    <row r="164" x14ac:dyDescent="0.35"/>
    <row r="165" x14ac:dyDescent="0.35"/>
    <row r="166" x14ac:dyDescent="0.35"/>
    <row r="167" x14ac:dyDescent="0.35"/>
    <row r="168" x14ac:dyDescent="0.35"/>
    <row r="169" x14ac:dyDescent="0.35"/>
    <row r="170" x14ac:dyDescent="0.35"/>
    <row r="171" x14ac:dyDescent="0.35"/>
    <row r="172" x14ac:dyDescent="0.35"/>
    <row r="173" x14ac:dyDescent="0.35"/>
    <row r="174" x14ac:dyDescent="0.35"/>
    <row r="175" x14ac:dyDescent="0.35"/>
    <row r="176"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15" x14ac:dyDescent="0.35"/>
    <row r="216" x14ac:dyDescent="0.35"/>
    <row r="217" x14ac:dyDescent="0.35"/>
    <row r="218" x14ac:dyDescent="0.35"/>
    <row r="219" x14ac:dyDescent="0.35"/>
    <row r="220" x14ac:dyDescent="0.35"/>
    <row r="221" x14ac:dyDescent="0.35"/>
    <row r="222" x14ac:dyDescent="0.35"/>
    <row r="223" x14ac:dyDescent="0.35"/>
    <row r="224" x14ac:dyDescent="0.35"/>
    <row r="225" x14ac:dyDescent="0.35"/>
    <row r="226" x14ac:dyDescent="0.35"/>
    <row r="227" x14ac:dyDescent="0.35"/>
    <row r="228" x14ac:dyDescent="0.35"/>
    <row r="229" x14ac:dyDescent="0.35"/>
    <row r="230" x14ac:dyDescent="0.35"/>
    <row r="231" x14ac:dyDescent="0.35"/>
    <row r="232" x14ac:dyDescent="0.35"/>
    <row r="233" x14ac:dyDescent="0.35"/>
    <row r="234" x14ac:dyDescent="0.35"/>
    <row r="235" x14ac:dyDescent="0.35"/>
    <row r="236" x14ac:dyDescent="0.35"/>
    <row r="237" x14ac:dyDescent="0.35"/>
    <row r="238" x14ac:dyDescent="0.35"/>
    <row r="239" x14ac:dyDescent="0.35"/>
    <row r="240" x14ac:dyDescent="0.35"/>
    <row r="241" x14ac:dyDescent="0.35"/>
    <row r="242" x14ac:dyDescent="0.35"/>
    <row r="243" x14ac:dyDescent="0.35"/>
    <row r="244" x14ac:dyDescent="0.35"/>
    <row r="245" x14ac:dyDescent="0.35"/>
    <row r="246" x14ac:dyDescent="0.35"/>
    <row r="247" x14ac:dyDescent="0.35"/>
    <row r="248" x14ac:dyDescent="0.35"/>
    <row r="249" x14ac:dyDescent="0.35"/>
    <row r="250" x14ac:dyDescent="0.35"/>
    <row r="251" x14ac:dyDescent="0.35"/>
    <row r="252" x14ac:dyDescent="0.35"/>
    <row r="253" x14ac:dyDescent="0.35"/>
    <row r="254" x14ac:dyDescent="0.35"/>
    <row r="255" x14ac:dyDescent="0.35"/>
    <row r="256" x14ac:dyDescent="0.35"/>
    <row r="257" x14ac:dyDescent="0.35"/>
    <row r="258" x14ac:dyDescent="0.35"/>
    <row r="259" x14ac:dyDescent="0.35"/>
    <row r="260" x14ac:dyDescent="0.35"/>
    <row r="261" x14ac:dyDescent="0.35"/>
    <row r="262" x14ac:dyDescent="0.35"/>
    <row r="263" x14ac:dyDescent="0.35"/>
    <row r="264" x14ac:dyDescent="0.35"/>
    <row r="265" x14ac:dyDescent="0.35"/>
    <row r="266" x14ac:dyDescent="0.35"/>
    <row r="267" x14ac:dyDescent="0.35"/>
    <row r="268" x14ac:dyDescent="0.35"/>
    <row r="269" x14ac:dyDescent="0.35"/>
    <row r="270" x14ac:dyDescent="0.35"/>
    <row r="271" x14ac:dyDescent="0.35"/>
    <row r="272" x14ac:dyDescent="0.35"/>
    <row r="273" x14ac:dyDescent="0.35"/>
    <row r="274" x14ac:dyDescent="0.35"/>
    <row r="275" x14ac:dyDescent="0.35"/>
    <row r="276" x14ac:dyDescent="0.35"/>
    <row r="277" x14ac:dyDescent="0.35"/>
    <row r="278" x14ac:dyDescent="0.35"/>
    <row r="279" x14ac:dyDescent="0.35"/>
    <row r="280" x14ac:dyDescent="0.35"/>
    <row r="281" x14ac:dyDescent="0.35"/>
    <row r="282" x14ac:dyDescent="0.35"/>
    <row r="283" x14ac:dyDescent="0.35"/>
    <row r="284" x14ac:dyDescent="0.35"/>
    <row r="285" x14ac:dyDescent="0.35"/>
    <row r="286" x14ac:dyDescent="0.35"/>
    <row r="287" x14ac:dyDescent="0.35"/>
    <row r="288" x14ac:dyDescent="0.35"/>
    <row r="289" x14ac:dyDescent="0.35"/>
    <row r="290" x14ac:dyDescent="0.35"/>
    <row r="291" x14ac:dyDescent="0.35"/>
    <row r="292" x14ac:dyDescent="0.35"/>
    <row r="293" x14ac:dyDescent="0.35"/>
    <row r="294" x14ac:dyDescent="0.35"/>
    <row r="295" x14ac:dyDescent="0.35"/>
    <row r="296" x14ac:dyDescent="0.35"/>
    <row r="297" x14ac:dyDescent="0.35"/>
    <row r="298" x14ac:dyDescent="0.35"/>
    <row r="299" x14ac:dyDescent="0.35"/>
    <row r="300" x14ac:dyDescent="0.35"/>
    <row r="301" x14ac:dyDescent="0.35"/>
    <row r="302" x14ac:dyDescent="0.35"/>
    <row r="303" x14ac:dyDescent="0.35"/>
    <row r="304" x14ac:dyDescent="0.35"/>
    <row r="305" x14ac:dyDescent="0.35"/>
    <row r="306" x14ac:dyDescent="0.35"/>
    <row r="307" x14ac:dyDescent="0.35"/>
    <row r="308" x14ac:dyDescent="0.35"/>
    <row r="309" x14ac:dyDescent="0.35"/>
    <row r="310" x14ac:dyDescent="0.35"/>
    <row r="311" x14ac:dyDescent="0.35"/>
    <row r="312" x14ac:dyDescent="0.35"/>
    <row r="313" x14ac:dyDescent="0.35"/>
    <row r="314" x14ac:dyDescent="0.35"/>
    <row r="315" x14ac:dyDescent="0.35"/>
    <row r="316" x14ac:dyDescent="0.35"/>
    <row r="317" x14ac:dyDescent="0.35"/>
    <row r="318" x14ac:dyDescent="0.35"/>
    <row r="319" x14ac:dyDescent="0.35"/>
    <row r="320" x14ac:dyDescent="0.35"/>
    <row r="321" x14ac:dyDescent="0.35"/>
    <row r="322" x14ac:dyDescent="0.35"/>
    <row r="323" x14ac:dyDescent="0.35"/>
    <row r="324" x14ac:dyDescent="0.35"/>
    <row r="325" x14ac:dyDescent="0.35"/>
    <row r="326" x14ac:dyDescent="0.35"/>
    <row r="327" x14ac:dyDescent="0.35"/>
    <row r="328" x14ac:dyDescent="0.35"/>
    <row r="329" x14ac:dyDescent="0.35"/>
    <row r="330" x14ac:dyDescent="0.35"/>
    <row r="331" x14ac:dyDescent="0.35"/>
    <row r="332" x14ac:dyDescent="0.35"/>
    <row r="333" x14ac:dyDescent="0.35"/>
    <row r="334" x14ac:dyDescent="0.35"/>
    <row r="335" x14ac:dyDescent="0.35"/>
    <row r="336" x14ac:dyDescent="0.35"/>
    <row r="337" x14ac:dyDescent="0.35"/>
    <row r="338" x14ac:dyDescent="0.35"/>
    <row r="339" x14ac:dyDescent="0.35"/>
    <row r="340" x14ac:dyDescent="0.35"/>
    <row r="341" x14ac:dyDescent="0.35"/>
    <row r="342" x14ac:dyDescent="0.35"/>
    <row r="343" x14ac:dyDescent="0.35"/>
    <row r="344" x14ac:dyDescent="0.35"/>
    <row r="345" x14ac:dyDescent="0.35"/>
    <row r="346" x14ac:dyDescent="0.35"/>
    <row r="347" x14ac:dyDescent="0.35"/>
    <row r="348" x14ac:dyDescent="0.35"/>
    <row r="349" x14ac:dyDescent="0.35"/>
    <row r="350" x14ac:dyDescent="0.35"/>
    <row r="351" x14ac:dyDescent="0.35"/>
    <row r="352" x14ac:dyDescent="0.35"/>
    <row r="353" x14ac:dyDescent="0.35"/>
    <row r="354" x14ac:dyDescent="0.35"/>
    <row r="355" x14ac:dyDescent="0.35"/>
    <row r="356" x14ac:dyDescent="0.35"/>
    <row r="357" x14ac:dyDescent="0.35"/>
    <row r="358" x14ac:dyDescent="0.35"/>
    <row r="359" x14ac:dyDescent="0.35"/>
    <row r="360" x14ac:dyDescent="0.35"/>
    <row r="361" x14ac:dyDescent="0.35"/>
    <row r="362" x14ac:dyDescent="0.35"/>
    <row r="363" x14ac:dyDescent="0.35"/>
    <row r="364" x14ac:dyDescent="0.35"/>
    <row r="365" x14ac:dyDescent="0.35"/>
    <row r="366" x14ac:dyDescent="0.35"/>
    <row r="367" x14ac:dyDescent="0.35"/>
    <row r="368" x14ac:dyDescent="0.35"/>
    <row r="369" x14ac:dyDescent="0.35"/>
    <row r="370" x14ac:dyDescent="0.35"/>
    <row r="371" x14ac:dyDescent="0.35"/>
    <row r="372" x14ac:dyDescent="0.35"/>
    <row r="373" x14ac:dyDescent="0.35"/>
    <row r="374" x14ac:dyDescent="0.35"/>
    <row r="375" x14ac:dyDescent="0.35"/>
    <row r="376" x14ac:dyDescent="0.35"/>
    <row r="377" x14ac:dyDescent="0.35"/>
    <row r="378" x14ac:dyDescent="0.35"/>
    <row r="379" x14ac:dyDescent="0.35"/>
    <row r="380" x14ac:dyDescent="0.35"/>
    <row r="381" x14ac:dyDescent="0.35"/>
    <row r="382" x14ac:dyDescent="0.35"/>
    <row r="383" x14ac:dyDescent="0.35"/>
    <row r="384" x14ac:dyDescent="0.35"/>
    <row r="385" x14ac:dyDescent="0.35"/>
    <row r="386" x14ac:dyDescent="0.35"/>
    <row r="387" x14ac:dyDescent="0.35"/>
    <row r="388" x14ac:dyDescent="0.35"/>
    <row r="389" x14ac:dyDescent="0.35"/>
    <row r="390" x14ac:dyDescent="0.35"/>
    <row r="391" x14ac:dyDescent="0.35"/>
    <row r="392" x14ac:dyDescent="0.35"/>
    <row r="393" x14ac:dyDescent="0.35"/>
    <row r="394" x14ac:dyDescent="0.35"/>
    <row r="395" x14ac:dyDescent="0.35"/>
    <row r="396" x14ac:dyDescent="0.35"/>
    <row r="397" x14ac:dyDescent="0.35"/>
    <row r="398" x14ac:dyDescent="0.35"/>
    <row r="399" x14ac:dyDescent="0.35"/>
    <row r="400" x14ac:dyDescent="0.35"/>
    <row r="401" x14ac:dyDescent="0.35"/>
    <row r="402" x14ac:dyDescent="0.35"/>
    <row r="403" x14ac:dyDescent="0.35"/>
    <row r="404" x14ac:dyDescent="0.35"/>
    <row r="405" x14ac:dyDescent="0.35"/>
    <row r="406" x14ac:dyDescent="0.35"/>
    <row r="407" x14ac:dyDescent="0.35"/>
    <row r="408" x14ac:dyDescent="0.35"/>
    <row r="409" x14ac:dyDescent="0.35"/>
    <row r="410" x14ac:dyDescent="0.35"/>
    <row r="411" x14ac:dyDescent="0.35"/>
    <row r="412" x14ac:dyDescent="0.35"/>
    <row r="413" x14ac:dyDescent="0.35"/>
    <row r="414" x14ac:dyDescent="0.35"/>
    <row r="415" x14ac:dyDescent="0.35"/>
    <row r="416" x14ac:dyDescent="0.35"/>
    <row r="417" x14ac:dyDescent="0.35"/>
    <row r="418" x14ac:dyDescent="0.35"/>
    <row r="419" x14ac:dyDescent="0.35"/>
    <row r="420" x14ac:dyDescent="0.35"/>
    <row r="421" x14ac:dyDescent="0.35"/>
    <row r="422" x14ac:dyDescent="0.35"/>
    <row r="423" x14ac:dyDescent="0.35"/>
    <row r="424" x14ac:dyDescent="0.35"/>
    <row r="425" x14ac:dyDescent="0.35"/>
    <row r="426" x14ac:dyDescent="0.35"/>
    <row r="427" x14ac:dyDescent="0.35"/>
    <row r="428" x14ac:dyDescent="0.35"/>
    <row r="429" x14ac:dyDescent="0.35"/>
    <row r="430" x14ac:dyDescent="0.35"/>
    <row r="431" x14ac:dyDescent="0.35"/>
    <row r="432" x14ac:dyDescent="0.35"/>
    <row r="433" x14ac:dyDescent="0.35"/>
    <row r="434" x14ac:dyDescent="0.35"/>
    <row r="435" x14ac:dyDescent="0.35"/>
    <row r="436" x14ac:dyDescent="0.35"/>
    <row r="437" x14ac:dyDescent="0.35"/>
    <row r="438" x14ac:dyDescent="0.35"/>
    <row r="439" x14ac:dyDescent="0.35"/>
    <row r="440" x14ac:dyDescent="0.35"/>
    <row r="441" x14ac:dyDescent="0.35"/>
    <row r="442" x14ac:dyDescent="0.35"/>
    <row r="443" x14ac:dyDescent="0.35"/>
    <row r="444" x14ac:dyDescent="0.35"/>
    <row r="445" x14ac:dyDescent="0.35"/>
    <row r="446" x14ac:dyDescent="0.35"/>
    <row r="447" x14ac:dyDescent="0.35"/>
    <row r="448" x14ac:dyDescent="0.35"/>
    <row r="449" x14ac:dyDescent="0.35"/>
    <row r="450" x14ac:dyDescent="0.35"/>
    <row r="451" x14ac:dyDescent="0.35"/>
    <row r="452" x14ac:dyDescent="0.35"/>
    <row r="453" x14ac:dyDescent="0.35"/>
    <row r="454" x14ac:dyDescent="0.35"/>
    <row r="455" x14ac:dyDescent="0.35"/>
    <row r="456" x14ac:dyDescent="0.35"/>
    <row r="457" x14ac:dyDescent="0.35"/>
    <row r="458" x14ac:dyDescent="0.35"/>
    <row r="459" x14ac:dyDescent="0.35"/>
    <row r="460" x14ac:dyDescent="0.35"/>
    <row r="461" x14ac:dyDescent="0.35"/>
    <row r="462" x14ac:dyDescent="0.35"/>
    <row r="463" x14ac:dyDescent="0.35"/>
    <row r="464" x14ac:dyDescent="0.35"/>
    <row r="465" x14ac:dyDescent="0.35"/>
    <row r="466" x14ac:dyDescent="0.35"/>
    <row r="467" x14ac:dyDescent="0.35"/>
    <row r="468" x14ac:dyDescent="0.35"/>
    <row r="469" x14ac:dyDescent="0.35"/>
    <row r="470" x14ac:dyDescent="0.35"/>
    <row r="471" x14ac:dyDescent="0.35"/>
    <row r="472" x14ac:dyDescent="0.35"/>
    <row r="473" x14ac:dyDescent="0.35"/>
    <row r="474" x14ac:dyDescent="0.35"/>
    <row r="475" x14ac:dyDescent="0.35"/>
    <row r="476" x14ac:dyDescent="0.35"/>
    <row r="477" x14ac:dyDescent="0.35"/>
    <row r="478" x14ac:dyDescent="0.35"/>
    <row r="479" x14ac:dyDescent="0.35"/>
    <row r="480" x14ac:dyDescent="0.35"/>
    <row r="481" x14ac:dyDescent="0.35"/>
    <row r="482" x14ac:dyDescent="0.35"/>
    <row r="483" x14ac:dyDescent="0.35"/>
    <row r="484" x14ac:dyDescent="0.35"/>
    <row r="485" x14ac:dyDescent="0.35"/>
    <row r="486" x14ac:dyDescent="0.35"/>
    <row r="487" x14ac:dyDescent="0.35"/>
    <row r="488" x14ac:dyDescent="0.35"/>
    <row r="489" x14ac:dyDescent="0.35"/>
    <row r="490" x14ac:dyDescent="0.35"/>
    <row r="491" x14ac:dyDescent="0.35"/>
    <row r="492" x14ac:dyDescent="0.35"/>
    <row r="493" x14ac:dyDescent="0.35"/>
    <row r="494" x14ac:dyDescent="0.35"/>
    <row r="495" x14ac:dyDescent="0.35"/>
    <row r="496" x14ac:dyDescent="0.35"/>
    <row r="497" x14ac:dyDescent="0.35"/>
    <row r="498" x14ac:dyDescent="0.35"/>
    <row r="499" x14ac:dyDescent="0.35"/>
    <row r="500" x14ac:dyDescent="0.35"/>
    <row r="501" x14ac:dyDescent="0.35"/>
    <row r="502" x14ac:dyDescent="0.35"/>
    <row r="503" x14ac:dyDescent="0.35"/>
    <row r="504" x14ac:dyDescent="0.35"/>
    <row r="505" x14ac:dyDescent="0.35"/>
    <row r="506" x14ac:dyDescent="0.35"/>
    <row r="507" x14ac:dyDescent="0.35"/>
    <row r="508" x14ac:dyDescent="0.35"/>
    <row r="509" x14ac:dyDescent="0.35"/>
    <row r="510" x14ac:dyDescent="0.35"/>
    <row r="511" x14ac:dyDescent="0.35"/>
    <row r="512" x14ac:dyDescent="0.35"/>
    <row r="513" x14ac:dyDescent="0.35"/>
    <row r="514" x14ac:dyDescent="0.35"/>
    <row r="515" x14ac:dyDescent="0.35"/>
    <row r="516" x14ac:dyDescent="0.35"/>
    <row r="517" x14ac:dyDescent="0.35"/>
    <row r="518" x14ac:dyDescent="0.35"/>
    <row r="519" x14ac:dyDescent="0.35"/>
    <row r="520" x14ac:dyDescent="0.35"/>
    <row r="521" x14ac:dyDescent="0.35"/>
    <row r="522" x14ac:dyDescent="0.35"/>
    <row r="523" x14ac:dyDescent="0.35"/>
    <row r="524" x14ac:dyDescent="0.35"/>
    <row r="525" x14ac:dyDescent="0.35"/>
    <row r="526" x14ac:dyDescent="0.35"/>
    <row r="527" x14ac:dyDescent="0.35"/>
    <row r="528" x14ac:dyDescent="0.35"/>
    <row r="529" x14ac:dyDescent="0.35"/>
    <row r="530" x14ac:dyDescent="0.35"/>
    <row r="531" x14ac:dyDescent="0.35"/>
    <row r="532" x14ac:dyDescent="0.35"/>
    <row r="533" x14ac:dyDescent="0.35"/>
    <row r="534" x14ac:dyDescent="0.35"/>
    <row r="535" x14ac:dyDescent="0.35"/>
    <row r="536" x14ac:dyDescent="0.35"/>
    <row r="537" x14ac:dyDescent="0.35"/>
    <row r="538" x14ac:dyDescent="0.35"/>
    <row r="539" x14ac:dyDescent="0.35"/>
    <row r="540" x14ac:dyDescent="0.35"/>
    <row r="541" x14ac:dyDescent="0.35"/>
    <row r="542" x14ac:dyDescent="0.35"/>
    <row r="543" x14ac:dyDescent="0.35"/>
    <row r="544" x14ac:dyDescent="0.35"/>
    <row r="545" x14ac:dyDescent="0.35"/>
    <row r="546" x14ac:dyDescent="0.35"/>
    <row r="547" x14ac:dyDescent="0.35"/>
    <row r="548" x14ac:dyDescent="0.35"/>
    <row r="549" x14ac:dyDescent="0.35"/>
    <row r="550" x14ac:dyDescent="0.35"/>
    <row r="551" x14ac:dyDescent="0.35"/>
    <row r="552" x14ac:dyDescent="0.35"/>
    <row r="553" x14ac:dyDescent="0.35"/>
    <row r="554" x14ac:dyDescent="0.35"/>
    <row r="555" x14ac:dyDescent="0.35"/>
    <row r="556" x14ac:dyDescent="0.35"/>
    <row r="557" x14ac:dyDescent="0.35"/>
    <row r="558" x14ac:dyDescent="0.35"/>
    <row r="559" x14ac:dyDescent="0.35"/>
    <row r="560" x14ac:dyDescent="0.35"/>
    <row r="561" x14ac:dyDescent="0.35"/>
    <row r="562" x14ac:dyDescent="0.35"/>
    <row r="563" x14ac:dyDescent="0.35"/>
    <row r="564" x14ac:dyDescent="0.35"/>
    <row r="565" x14ac:dyDescent="0.35"/>
    <row r="566" x14ac:dyDescent="0.35"/>
    <row r="567" x14ac:dyDescent="0.35"/>
    <row r="568" x14ac:dyDescent="0.35"/>
    <row r="569" x14ac:dyDescent="0.35"/>
    <row r="570" x14ac:dyDescent="0.35"/>
    <row r="571" x14ac:dyDescent="0.35"/>
    <row r="572" x14ac:dyDescent="0.35"/>
    <row r="573" x14ac:dyDescent="0.35"/>
    <row r="574" x14ac:dyDescent="0.35"/>
    <row r="575" x14ac:dyDescent="0.35"/>
    <row r="576" x14ac:dyDescent="0.35"/>
    <row r="577" x14ac:dyDescent="0.35"/>
    <row r="578" x14ac:dyDescent="0.35"/>
    <row r="579" x14ac:dyDescent="0.35"/>
    <row r="580" x14ac:dyDescent="0.35"/>
    <row r="581" x14ac:dyDescent="0.35"/>
    <row r="582" x14ac:dyDescent="0.35"/>
    <row r="583" x14ac:dyDescent="0.35"/>
    <row r="584" x14ac:dyDescent="0.35"/>
    <row r="585" x14ac:dyDescent="0.35"/>
    <row r="586" x14ac:dyDescent="0.35"/>
    <row r="587" x14ac:dyDescent="0.35"/>
    <row r="588" x14ac:dyDescent="0.35"/>
    <row r="589" x14ac:dyDescent="0.35"/>
    <row r="590" x14ac:dyDescent="0.35"/>
    <row r="591" x14ac:dyDescent="0.35"/>
    <row r="592" x14ac:dyDescent="0.35"/>
    <row r="593" x14ac:dyDescent="0.35"/>
    <row r="594" x14ac:dyDescent="0.35"/>
    <row r="595" x14ac:dyDescent="0.35"/>
    <row r="596" x14ac:dyDescent="0.35"/>
    <row r="597" x14ac:dyDescent="0.35"/>
    <row r="598" x14ac:dyDescent="0.35"/>
    <row r="599" x14ac:dyDescent="0.35"/>
    <row r="600" x14ac:dyDescent="0.35"/>
    <row r="601" x14ac:dyDescent="0.35"/>
    <row r="602" x14ac:dyDescent="0.35"/>
    <row r="603" x14ac:dyDescent="0.35"/>
    <row r="604" x14ac:dyDescent="0.35"/>
    <row r="605" x14ac:dyDescent="0.35"/>
    <row r="606" x14ac:dyDescent="0.35"/>
    <row r="607" x14ac:dyDescent="0.35"/>
    <row r="608" x14ac:dyDescent="0.35"/>
    <row r="609" x14ac:dyDescent="0.35"/>
    <row r="610" x14ac:dyDescent="0.35"/>
    <row r="611" x14ac:dyDescent="0.35"/>
    <row r="612" x14ac:dyDescent="0.35"/>
    <row r="613" x14ac:dyDescent="0.35"/>
    <row r="614" x14ac:dyDescent="0.35"/>
    <row r="615" x14ac:dyDescent="0.35"/>
    <row r="616" x14ac:dyDescent="0.35"/>
    <row r="617" x14ac:dyDescent="0.35"/>
    <row r="618" x14ac:dyDescent="0.35"/>
    <row r="619" x14ac:dyDescent="0.35"/>
    <row r="620" x14ac:dyDescent="0.35"/>
    <row r="621" x14ac:dyDescent="0.35"/>
    <row r="622" x14ac:dyDescent="0.35"/>
    <row r="623" x14ac:dyDescent="0.35"/>
    <row r="624" x14ac:dyDescent="0.35"/>
    <row r="625" x14ac:dyDescent="0.35"/>
    <row r="626" x14ac:dyDescent="0.35"/>
    <row r="627" x14ac:dyDescent="0.35"/>
    <row r="628" x14ac:dyDescent="0.35"/>
    <row r="629" x14ac:dyDescent="0.35"/>
    <row r="630" x14ac:dyDescent="0.35"/>
    <row r="631" x14ac:dyDescent="0.35"/>
    <row r="632" x14ac:dyDescent="0.35"/>
    <row r="633" x14ac:dyDescent="0.35"/>
    <row r="634" x14ac:dyDescent="0.35"/>
    <row r="635" x14ac:dyDescent="0.35"/>
    <row r="636" x14ac:dyDescent="0.35"/>
    <row r="637" x14ac:dyDescent="0.35"/>
    <row r="638" x14ac:dyDescent="0.35"/>
    <row r="639" x14ac:dyDescent="0.35"/>
    <row r="640" x14ac:dyDescent="0.35"/>
    <row r="641" x14ac:dyDescent="0.35"/>
    <row r="642" x14ac:dyDescent="0.35"/>
    <row r="643" x14ac:dyDescent="0.35"/>
    <row r="644" x14ac:dyDescent="0.35"/>
    <row r="645" x14ac:dyDescent="0.35"/>
    <row r="646" x14ac:dyDescent="0.35"/>
    <row r="647" x14ac:dyDescent="0.35"/>
    <row r="648" x14ac:dyDescent="0.35"/>
    <row r="649" x14ac:dyDescent="0.35"/>
    <row r="650" x14ac:dyDescent="0.35"/>
    <row r="651" x14ac:dyDescent="0.35"/>
    <row r="652" x14ac:dyDescent="0.35"/>
    <row r="653" x14ac:dyDescent="0.35"/>
    <row r="654" x14ac:dyDescent="0.35"/>
    <row r="655" x14ac:dyDescent="0.35"/>
    <row r="656" x14ac:dyDescent="0.35"/>
    <row r="657" x14ac:dyDescent="0.35"/>
    <row r="658" x14ac:dyDescent="0.35"/>
    <row r="659" x14ac:dyDescent="0.35"/>
    <row r="660" x14ac:dyDescent="0.35"/>
    <row r="661" x14ac:dyDescent="0.35"/>
    <row r="662" x14ac:dyDescent="0.35"/>
    <row r="663" x14ac:dyDescent="0.35"/>
    <row r="664" x14ac:dyDescent="0.35"/>
    <row r="665" x14ac:dyDescent="0.35"/>
    <row r="666" x14ac:dyDescent="0.35"/>
    <row r="667" x14ac:dyDescent="0.35"/>
    <row r="668" x14ac:dyDescent="0.35"/>
    <row r="669" x14ac:dyDescent="0.35"/>
    <row r="670" x14ac:dyDescent="0.35"/>
    <row r="671" x14ac:dyDescent="0.35"/>
    <row r="672" x14ac:dyDescent="0.35"/>
    <row r="673" x14ac:dyDescent="0.35"/>
    <row r="674" x14ac:dyDescent="0.35"/>
    <row r="675" x14ac:dyDescent="0.35"/>
    <row r="676" x14ac:dyDescent="0.35"/>
    <row r="677" x14ac:dyDescent="0.35"/>
    <row r="678" x14ac:dyDescent="0.35"/>
    <row r="679" x14ac:dyDescent="0.35"/>
    <row r="680" x14ac:dyDescent="0.35"/>
    <row r="681" x14ac:dyDescent="0.35"/>
    <row r="682" x14ac:dyDescent="0.35"/>
    <row r="683" x14ac:dyDescent="0.35"/>
    <row r="684" x14ac:dyDescent="0.35"/>
    <row r="685" x14ac:dyDescent="0.35"/>
    <row r="686" x14ac:dyDescent="0.35"/>
    <row r="687" x14ac:dyDescent="0.35"/>
    <row r="688" x14ac:dyDescent="0.35"/>
    <row r="689" x14ac:dyDescent="0.35"/>
    <row r="690" x14ac:dyDescent="0.35"/>
    <row r="691" x14ac:dyDescent="0.35"/>
    <row r="692" x14ac:dyDescent="0.35"/>
    <row r="693" x14ac:dyDescent="0.35"/>
    <row r="694" x14ac:dyDescent="0.35"/>
    <row r="695" x14ac:dyDescent="0.35"/>
    <row r="696" x14ac:dyDescent="0.35"/>
    <row r="697" x14ac:dyDescent="0.35"/>
    <row r="698" x14ac:dyDescent="0.35"/>
    <row r="699" x14ac:dyDescent="0.35"/>
    <row r="700" x14ac:dyDescent="0.35"/>
    <row r="701" x14ac:dyDescent="0.35"/>
    <row r="702" x14ac:dyDescent="0.35"/>
    <row r="703" x14ac:dyDescent="0.35"/>
    <row r="704" x14ac:dyDescent="0.35"/>
    <row r="705" x14ac:dyDescent="0.35"/>
    <row r="706" x14ac:dyDescent="0.35"/>
    <row r="707" x14ac:dyDescent="0.35"/>
    <row r="708" x14ac:dyDescent="0.35"/>
    <row r="709" x14ac:dyDescent="0.35"/>
    <row r="710" x14ac:dyDescent="0.35"/>
    <row r="711" x14ac:dyDescent="0.35"/>
    <row r="712" x14ac:dyDescent="0.35"/>
    <row r="713" x14ac:dyDescent="0.35"/>
    <row r="714" x14ac:dyDescent="0.35"/>
    <row r="715" x14ac:dyDescent="0.35"/>
    <row r="716" x14ac:dyDescent="0.35"/>
    <row r="717" x14ac:dyDescent="0.35"/>
    <row r="718" x14ac:dyDescent="0.35"/>
    <row r="719" x14ac:dyDescent="0.35"/>
    <row r="720" x14ac:dyDescent="0.35"/>
    <row r="721" x14ac:dyDescent="0.35"/>
    <row r="722" x14ac:dyDescent="0.35"/>
    <row r="723" x14ac:dyDescent="0.35"/>
    <row r="724" x14ac:dyDescent="0.35"/>
    <row r="725" x14ac:dyDescent="0.35"/>
    <row r="726" x14ac:dyDescent="0.35"/>
    <row r="727" x14ac:dyDescent="0.35"/>
    <row r="728" x14ac:dyDescent="0.35"/>
    <row r="729" x14ac:dyDescent="0.35"/>
    <row r="730" x14ac:dyDescent="0.35"/>
    <row r="731" x14ac:dyDescent="0.35"/>
    <row r="732" x14ac:dyDescent="0.35"/>
    <row r="733" x14ac:dyDescent="0.35"/>
    <row r="734" x14ac:dyDescent="0.35"/>
    <row r="735" x14ac:dyDescent="0.35"/>
    <row r="736" x14ac:dyDescent="0.35"/>
    <row r="737" x14ac:dyDescent="0.35"/>
    <row r="738" x14ac:dyDescent="0.35"/>
    <row r="739" x14ac:dyDescent="0.35"/>
    <row r="740" x14ac:dyDescent="0.35"/>
    <row r="741" x14ac:dyDescent="0.35"/>
    <row r="742" x14ac:dyDescent="0.35"/>
    <row r="743" x14ac:dyDescent="0.35"/>
    <row r="744" x14ac:dyDescent="0.35"/>
    <row r="745" x14ac:dyDescent="0.35"/>
    <row r="746" x14ac:dyDescent="0.35"/>
    <row r="747" x14ac:dyDescent="0.35"/>
    <row r="748" x14ac:dyDescent="0.35"/>
    <row r="749" x14ac:dyDescent="0.35"/>
    <row r="750" x14ac:dyDescent="0.35"/>
    <row r="751" x14ac:dyDescent="0.35"/>
    <row r="752" x14ac:dyDescent="0.35"/>
    <row r="753" x14ac:dyDescent="0.35"/>
    <row r="754" x14ac:dyDescent="0.35"/>
    <row r="755" x14ac:dyDescent="0.35"/>
    <row r="756" x14ac:dyDescent="0.35"/>
    <row r="757" x14ac:dyDescent="0.35"/>
    <row r="758" x14ac:dyDescent="0.35"/>
    <row r="759" x14ac:dyDescent="0.35"/>
    <row r="760" x14ac:dyDescent="0.35"/>
    <row r="761" x14ac:dyDescent="0.35"/>
    <row r="762" x14ac:dyDescent="0.35"/>
    <row r="763" x14ac:dyDescent="0.35"/>
    <row r="764" x14ac:dyDescent="0.35"/>
    <row r="765" x14ac:dyDescent="0.35"/>
    <row r="766" x14ac:dyDescent="0.35"/>
    <row r="767" x14ac:dyDescent="0.35"/>
    <row r="768" x14ac:dyDescent="0.35"/>
    <row r="769" x14ac:dyDescent="0.35"/>
    <row r="770" x14ac:dyDescent="0.35"/>
    <row r="771" x14ac:dyDescent="0.35"/>
    <row r="772" x14ac:dyDescent="0.35"/>
    <row r="773" x14ac:dyDescent="0.35"/>
    <row r="774" x14ac:dyDescent="0.35"/>
    <row r="775" x14ac:dyDescent="0.35"/>
    <row r="776" x14ac:dyDescent="0.35"/>
    <row r="777" x14ac:dyDescent="0.35"/>
    <row r="778" x14ac:dyDescent="0.35"/>
    <row r="779" x14ac:dyDescent="0.35"/>
    <row r="780" x14ac:dyDescent="0.35"/>
    <row r="781" x14ac:dyDescent="0.35"/>
    <row r="782" x14ac:dyDescent="0.35"/>
    <row r="783" x14ac:dyDescent="0.35"/>
    <row r="784" x14ac:dyDescent="0.35"/>
    <row r="785" x14ac:dyDescent="0.35"/>
    <row r="786" x14ac:dyDescent="0.35"/>
    <row r="787" x14ac:dyDescent="0.35"/>
    <row r="788" x14ac:dyDescent="0.35"/>
    <row r="789" x14ac:dyDescent="0.35"/>
    <row r="790" x14ac:dyDescent="0.35"/>
    <row r="791" x14ac:dyDescent="0.35"/>
    <row r="792" x14ac:dyDescent="0.35"/>
    <row r="793" x14ac:dyDescent="0.35"/>
    <row r="794" x14ac:dyDescent="0.35"/>
    <row r="795" x14ac:dyDescent="0.35"/>
    <row r="796" x14ac:dyDescent="0.35"/>
    <row r="797" x14ac:dyDescent="0.35"/>
    <row r="798" x14ac:dyDescent="0.35"/>
    <row r="799" x14ac:dyDescent="0.35"/>
    <row r="800" x14ac:dyDescent="0.35"/>
    <row r="801" x14ac:dyDescent="0.35"/>
    <row r="802" x14ac:dyDescent="0.35"/>
    <row r="803" x14ac:dyDescent="0.35"/>
    <row r="804" x14ac:dyDescent="0.35"/>
    <row r="805" x14ac:dyDescent="0.35"/>
    <row r="806" x14ac:dyDescent="0.35"/>
    <row r="807" x14ac:dyDescent="0.35"/>
    <row r="808" x14ac:dyDescent="0.35"/>
    <row r="809" x14ac:dyDescent="0.35"/>
    <row r="810" x14ac:dyDescent="0.35"/>
    <row r="811" x14ac:dyDescent="0.35"/>
    <row r="812" x14ac:dyDescent="0.35"/>
    <row r="813" x14ac:dyDescent="0.35"/>
    <row r="814" x14ac:dyDescent="0.35"/>
    <row r="815" x14ac:dyDescent="0.35"/>
    <row r="816" x14ac:dyDescent="0.35"/>
    <row r="817" x14ac:dyDescent="0.35"/>
    <row r="818" x14ac:dyDescent="0.35"/>
    <row r="819" x14ac:dyDescent="0.35"/>
    <row r="820" x14ac:dyDescent="0.35"/>
    <row r="821" x14ac:dyDescent="0.35"/>
    <row r="822" x14ac:dyDescent="0.35"/>
    <row r="823" x14ac:dyDescent="0.35"/>
    <row r="824" x14ac:dyDescent="0.35"/>
    <row r="825" x14ac:dyDescent="0.35"/>
    <row r="826" x14ac:dyDescent="0.35"/>
    <row r="827" x14ac:dyDescent="0.35"/>
    <row r="828" x14ac:dyDescent="0.35"/>
    <row r="829" x14ac:dyDescent="0.35"/>
    <row r="830" x14ac:dyDescent="0.35"/>
    <row r="831" x14ac:dyDescent="0.35"/>
    <row r="832" x14ac:dyDescent="0.35"/>
    <row r="833" x14ac:dyDescent="0.35"/>
    <row r="834" x14ac:dyDescent="0.35"/>
    <row r="835" x14ac:dyDescent="0.35"/>
    <row r="836" x14ac:dyDescent="0.35"/>
    <row r="837" x14ac:dyDescent="0.35"/>
    <row r="838" x14ac:dyDescent="0.35"/>
    <row r="839" x14ac:dyDescent="0.35"/>
    <row r="840" x14ac:dyDescent="0.35"/>
    <row r="841" x14ac:dyDescent="0.35"/>
    <row r="842" x14ac:dyDescent="0.35"/>
    <row r="843" x14ac:dyDescent="0.35"/>
    <row r="844" x14ac:dyDescent="0.35"/>
    <row r="845" x14ac:dyDescent="0.35"/>
    <row r="846" x14ac:dyDescent="0.35"/>
    <row r="847" x14ac:dyDescent="0.35"/>
    <row r="848" x14ac:dyDescent="0.35"/>
    <row r="849" x14ac:dyDescent="0.35"/>
    <row r="850" x14ac:dyDescent="0.35"/>
    <row r="851" x14ac:dyDescent="0.35"/>
    <row r="852" x14ac:dyDescent="0.35"/>
    <row r="853" x14ac:dyDescent="0.35"/>
    <row r="854" x14ac:dyDescent="0.35"/>
    <row r="855" x14ac:dyDescent="0.35"/>
    <row r="856" x14ac:dyDescent="0.35"/>
    <row r="857" x14ac:dyDescent="0.35"/>
    <row r="858" x14ac:dyDescent="0.35"/>
    <row r="859" x14ac:dyDescent="0.35"/>
    <row r="860" x14ac:dyDescent="0.35"/>
    <row r="861" x14ac:dyDescent="0.35"/>
    <row r="862" x14ac:dyDescent="0.35"/>
    <row r="863" x14ac:dyDescent="0.35"/>
    <row r="864" x14ac:dyDescent="0.35"/>
    <row r="865" x14ac:dyDescent="0.35"/>
    <row r="866" x14ac:dyDescent="0.35"/>
    <row r="867" x14ac:dyDescent="0.35"/>
    <row r="868" x14ac:dyDescent="0.35"/>
    <row r="869" x14ac:dyDescent="0.35"/>
    <row r="870" x14ac:dyDescent="0.35"/>
    <row r="871" x14ac:dyDescent="0.35"/>
    <row r="872" x14ac:dyDescent="0.35"/>
    <row r="873" x14ac:dyDescent="0.35"/>
    <row r="874" x14ac:dyDescent="0.35"/>
    <row r="875" x14ac:dyDescent="0.35"/>
    <row r="876" x14ac:dyDescent="0.35"/>
    <row r="877" x14ac:dyDescent="0.35"/>
    <row r="878" x14ac:dyDescent="0.35"/>
    <row r="879" x14ac:dyDescent="0.35"/>
    <row r="880" x14ac:dyDescent="0.35"/>
    <row r="881" x14ac:dyDescent="0.35"/>
    <row r="882" x14ac:dyDescent="0.35"/>
    <row r="883" x14ac:dyDescent="0.35"/>
    <row r="884" x14ac:dyDescent="0.35"/>
    <row r="885" x14ac:dyDescent="0.35"/>
    <row r="886" x14ac:dyDescent="0.35"/>
    <row r="887" x14ac:dyDescent="0.35"/>
    <row r="888" x14ac:dyDescent="0.35"/>
    <row r="889" x14ac:dyDescent="0.35"/>
    <row r="890" x14ac:dyDescent="0.35"/>
    <row r="891" x14ac:dyDescent="0.35"/>
    <row r="892" x14ac:dyDescent="0.35"/>
    <row r="893" x14ac:dyDescent="0.35"/>
    <row r="894" x14ac:dyDescent="0.35"/>
    <row r="895" x14ac:dyDescent="0.35"/>
    <row r="896" x14ac:dyDescent="0.35"/>
    <row r="897" x14ac:dyDescent="0.35"/>
    <row r="898" x14ac:dyDescent="0.35"/>
    <row r="899" x14ac:dyDescent="0.35"/>
    <row r="900" x14ac:dyDescent="0.35"/>
    <row r="901" x14ac:dyDescent="0.35"/>
    <row r="902" x14ac:dyDescent="0.35"/>
    <row r="903" x14ac:dyDescent="0.35"/>
    <row r="904" x14ac:dyDescent="0.35"/>
    <row r="905" x14ac:dyDescent="0.35"/>
    <row r="906" x14ac:dyDescent="0.35"/>
    <row r="907" x14ac:dyDescent="0.35"/>
    <row r="908" x14ac:dyDescent="0.35"/>
    <row r="909" x14ac:dyDescent="0.35"/>
    <row r="910" x14ac:dyDescent="0.35"/>
    <row r="911" x14ac:dyDescent="0.35"/>
    <row r="912" x14ac:dyDescent="0.35"/>
    <row r="913" x14ac:dyDescent="0.35"/>
    <row r="914" x14ac:dyDescent="0.35"/>
    <row r="915" x14ac:dyDescent="0.35"/>
    <row r="916" x14ac:dyDescent="0.35"/>
    <row r="917" x14ac:dyDescent="0.35"/>
    <row r="918" x14ac:dyDescent="0.35"/>
    <row r="919" x14ac:dyDescent="0.35"/>
    <row r="920" x14ac:dyDescent="0.35"/>
    <row r="921" x14ac:dyDescent="0.35"/>
    <row r="922" x14ac:dyDescent="0.35"/>
    <row r="923" x14ac:dyDescent="0.35"/>
    <row r="924" x14ac:dyDescent="0.35"/>
    <row r="925" x14ac:dyDescent="0.35"/>
    <row r="926" x14ac:dyDescent="0.35"/>
    <row r="927" x14ac:dyDescent="0.35"/>
    <row r="928" x14ac:dyDescent="0.35"/>
    <row r="929" x14ac:dyDescent="0.35"/>
    <row r="930" x14ac:dyDescent="0.35"/>
    <row r="931" x14ac:dyDescent="0.35"/>
    <row r="932" x14ac:dyDescent="0.35"/>
    <row r="933" x14ac:dyDescent="0.35"/>
    <row r="934" x14ac:dyDescent="0.35"/>
    <row r="935" x14ac:dyDescent="0.35"/>
    <row r="936" x14ac:dyDescent="0.35"/>
    <row r="937" x14ac:dyDescent="0.35"/>
    <row r="938" x14ac:dyDescent="0.35"/>
    <row r="939" x14ac:dyDescent="0.35"/>
    <row r="940" x14ac:dyDescent="0.35"/>
    <row r="941" x14ac:dyDescent="0.35"/>
    <row r="942" x14ac:dyDescent="0.35"/>
    <row r="943" x14ac:dyDescent="0.35"/>
    <row r="944" x14ac:dyDescent="0.35"/>
    <row r="945" x14ac:dyDescent="0.35"/>
    <row r="946" x14ac:dyDescent="0.35"/>
    <row r="947" x14ac:dyDescent="0.35"/>
    <row r="948" x14ac:dyDescent="0.35"/>
    <row r="949" x14ac:dyDescent="0.35"/>
    <row r="950" x14ac:dyDescent="0.35"/>
    <row r="951" x14ac:dyDescent="0.35"/>
    <row r="952" x14ac:dyDescent="0.35"/>
    <row r="953" x14ac:dyDescent="0.35"/>
    <row r="954" x14ac:dyDescent="0.35"/>
    <row r="955" x14ac:dyDescent="0.35"/>
    <row r="956" x14ac:dyDescent="0.35"/>
    <row r="957" x14ac:dyDescent="0.35"/>
    <row r="958" x14ac:dyDescent="0.35"/>
    <row r="959" x14ac:dyDescent="0.35"/>
    <row r="960" x14ac:dyDescent="0.35"/>
    <row r="961" x14ac:dyDescent="0.35"/>
    <row r="962" x14ac:dyDescent="0.35"/>
    <row r="963" x14ac:dyDescent="0.35"/>
    <row r="964" x14ac:dyDescent="0.35"/>
    <row r="965" x14ac:dyDescent="0.35"/>
    <row r="966" x14ac:dyDescent="0.35"/>
    <row r="967" x14ac:dyDescent="0.35"/>
    <row r="968" x14ac:dyDescent="0.35"/>
    <row r="969" x14ac:dyDescent="0.35"/>
    <row r="970" x14ac:dyDescent="0.35"/>
    <row r="971" x14ac:dyDescent="0.35"/>
    <row r="972" x14ac:dyDescent="0.35"/>
    <row r="973" x14ac:dyDescent="0.35"/>
    <row r="974" x14ac:dyDescent="0.35"/>
    <row r="975" x14ac:dyDescent="0.35"/>
    <row r="976" x14ac:dyDescent="0.35"/>
    <row r="977" x14ac:dyDescent="0.35"/>
    <row r="978" x14ac:dyDescent="0.35"/>
    <row r="979" x14ac:dyDescent="0.35"/>
    <row r="980" x14ac:dyDescent="0.35"/>
    <row r="981" x14ac:dyDescent="0.35"/>
    <row r="982" x14ac:dyDescent="0.35"/>
    <row r="983" x14ac:dyDescent="0.35"/>
    <row r="984" x14ac:dyDescent="0.35"/>
    <row r="985" x14ac:dyDescent="0.35"/>
    <row r="986" x14ac:dyDescent="0.35"/>
    <row r="987" x14ac:dyDescent="0.35"/>
    <row r="988" x14ac:dyDescent="0.35"/>
    <row r="989" x14ac:dyDescent="0.35"/>
    <row r="990" x14ac:dyDescent="0.35"/>
    <row r="991" x14ac:dyDescent="0.35"/>
    <row r="992" x14ac:dyDescent="0.35"/>
    <row r="993" x14ac:dyDescent="0.35"/>
    <row r="994" x14ac:dyDescent="0.35"/>
    <row r="995" x14ac:dyDescent="0.35"/>
    <row r="996" x14ac:dyDescent="0.35"/>
    <row r="997" x14ac:dyDescent="0.35"/>
    <row r="998" x14ac:dyDescent="0.35"/>
    <row r="999" x14ac:dyDescent="0.35"/>
    <row r="1000" x14ac:dyDescent="0.35"/>
    <row r="1001" x14ac:dyDescent="0.35"/>
    <row r="1002" x14ac:dyDescent="0.35"/>
    <row r="1003" x14ac:dyDescent="0.35"/>
    <row r="1004" x14ac:dyDescent="0.35"/>
    <row r="1005" x14ac:dyDescent="0.35"/>
    <row r="1006" x14ac:dyDescent="0.35"/>
    <row r="1007" x14ac:dyDescent="0.35"/>
    <row r="1008" x14ac:dyDescent="0.35"/>
    <row r="1009" x14ac:dyDescent="0.35"/>
    <row r="1010" x14ac:dyDescent="0.35"/>
    <row r="1011" x14ac:dyDescent="0.35"/>
    <row r="1012" x14ac:dyDescent="0.35"/>
    <row r="1013" x14ac:dyDescent="0.35"/>
    <row r="1014" x14ac:dyDescent="0.35"/>
    <row r="1015" x14ac:dyDescent="0.35"/>
    <row r="1016" x14ac:dyDescent="0.35"/>
    <row r="1017" x14ac:dyDescent="0.35"/>
    <row r="1018" x14ac:dyDescent="0.35"/>
    <row r="1019" x14ac:dyDescent="0.35"/>
    <row r="1020" x14ac:dyDescent="0.35"/>
    <row r="1021" x14ac:dyDescent="0.35"/>
    <row r="1022" x14ac:dyDescent="0.35"/>
    <row r="1023" x14ac:dyDescent="0.35"/>
    <row r="1024" x14ac:dyDescent="0.35"/>
    <row r="1025" x14ac:dyDescent="0.35"/>
    <row r="1026" x14ac:dyDescent="0.35"/>
    <row r="1027" x14ac:dyDescent="0.35"/>
    <row r="1028" x14ac:dyDescent="0.35"/>
    <row r="1029" x14ac:dyDescent="0.35"/>
    <row r="1030" x14ac:dyDescent="0.35"/>
    <row r="1031" x14ac:dyDescent="0.35"/>
    <row r="1032" x14ac:dyDescent="0.35"/>
    <row r="1033" x14ac:dyDescent="0.35"/>
    <row r="1034" x14ac:dyDescent="0.35"/>
    <row r="1035" x14ac:dyDescent="0.35"/>
    <row r="1036" x14ac:dyDescent="0.35"/>
    <row r="1037" x14ac:dyDescent="0.35"/>
    <row r="1038" x14ac:dyDescent="0.35"/>
    <row r="1039" x14ac:dyDescent="0.35"/>
    <row r="1040" x14ac:dyDescent="0.35"/>
    <row r="1041" x14ac:dyDescent="0.35"/>
    <row r="1042" x14ac:dyDescent="0.35"/>
    <row r="1043" x14ac:dyDescent="0.35"/>
    <row r="1044" x14ac:dyDescent="0.35"/>
    <row r="1045" x14ac:dyDescent="0.35"/>
    <row r="1046" x14ac:dyDescent="0.35"/>
    <row r="1047" x14ac:dyDescent="0.35"/>
    <row r="1048" x14ac:dyDescent="0.35"/>
    <row r="1049" x14ac:dyDescent="0.35"/>
    <row r="1050" x14ac:dyDescent="0.35"/>
    <row r="1051" x14ac:dyDescent="0.35"/>
    <row r="1052" x14ac:dyDescent="0.35"/>
    <row r="1053" x14ac:dyDescent="0.35"/>
    <row r="1054" x14ac:dyDescent="0.35"/>
    <row r="1055" x14ac:dyDescent="0.35"/>
    <row r="1056" x14ac:dyDescent="0.35"/>
    <row r="1057" x14ac:dyDescent="0.35"/>
    <row r="1058" x14ac:dyDescent="0.35"/>
    <row r="1059" x14ac:dyDescent="0.35"/>
    <row r="1060" x14ac:dyDescent="0.35"/>
    <row r="1061" x14ac:dyDescent="0.35"/>
    <row r="1062" x14ac:dyDescent="0.35"/>
    <row r="1063" x14ac:dyDescent="0.35"/>
    <row r="1064" x14ac:dyDescent="0.35"/>
    <row r="1065" x14ac:dyDescent="0.35"/>
    <row r="1066" x14ac:dyDescent="0.35"/>
    <row r="1067" x14ac:dyDescent="0.35"/>
    <row r="1068" x14ac:dyDescent="0.35"/>
    <row r="1069" x14ac:dyDescent="0.35"/>
    <row r="1070" x14ac:dyDescent="0.35"/>
    <row r="1071" x14ac:dyDescent="0.35"/>
    <row r="1072" x14ac:dyDescent="0.35"/>
    <row r="1073" x14ac:dyDescent="0.35"/>
    <row r="1074" x14ac:dyDescent="0.35"/>
    <row r="1075" x14ac:dyDescent="0.35"/>
    <row r="1076" x14ac:dyDescent="0.35"/>
    <row r="1077" x14ac:dyDescent="0.35"/>
    <row r="1078" x14ac:dyDescent="0.35"/>
    <row r="1079" x14ac:dyDescent="0.35"/>
    <row r="1080" x14ac:dyDescent="0.35"/>
    <row r="1081" x14ac:dyDescent="0.35"/>
    <row r="1082" x14ac:dyDescent="0.35"/>
    <row r="1083" x14ac:dyDescent="0.35"/>
    <row r="1084" x14ac:dyDescent="0.35"/>
    <row r="1085" x14ac:dyDescent="0.35"/>
    <row r="1086" x14ac:dyDescent="0.35"/>
    <row r="1087" x14ac:dyDescent="0.35"/>
    <row r="1088" x14ac:dyDescent="0.35"/>
    <row r="1089" x14ac:dyDescent="0.35"/>
    <row r="1090" x14ac:dyDescent="0.35"/>
    <row r="1091" x14ac:dyDescent="0.35"/>
    <row r="1092" x14ac:dyDescent="0.35"/>
    <row r="1093" x14ac:dyDescent="0.35"/>
    <row r="1094" x14ac:dyDescent="0.35"/>
    <row r="1095" x14ac:dyDescent="0.35"/>
    <row r="1096" x14ac:dyDescent="0.35"/>
    <row r="1097" x14ac:dyDescent="0.35"/>
    <row r="1098" x14ac:dyDescent="0.35"/>
    <row r="1099" x14ac:dyDescent="0.35"/>
    <row r="1100" x14ac:dyDescent="0.35"/>
    <row r="1101" x14ac:dyDescent="0.35"/>
    <row r="1102" x14ac:dyDescent="0.35"/>
    <row r="1103" x14ac:dyDescent="0.35"/>
    <row r="1104" x14ac:dyDescent="0.35"/>
    <row r="1105" x14ac:dyDescent="0.35"/>
    <row r="1106" x14ac:dyDescent="0.35"/>
    <row r="1107" x14ac:dyDescent="0.35"/>
    <row r="1108" x14ac:dyDescent="0.35"/>
    <row r="1109" x14ac:dyDescent="0.35"/>
    <row r="1110" x14ac:dyDescent="0.35"/>
    <row r="1111" x14ac:dyDescent="0.35"/>
    <row r="1112" x14ac:dyDescent="0.35"/>
    <row r="1113" x14ac:dyDescent="0.35"/>
    <row r="1114" x14ac:dyDescent="0.35"/>
    <row r="1115" x14ac:dyDescent="0.35"/>
    <row r="1116" x14ac:dyDescent="0.35"/>
    <row r="1117" x14ac:dyDescent="0.35"/>
    <row r="1118" x14ac:dyDescent="0.35"/>
    <row r="1119" x14ac:dyDescent="0.35"/>
    <row r="1120" x14ac:dyDescent="0.35"/>
    <row r="1121" x14ac:dyDescent="0.35"/>
    <row r="1122" x14ac:dyDescent="0.35"/>
    <row r="1123" x14ac:dyDescent="0.35"/>
    <row r="1124" x14ac:dyDescent="0.35"/>
    <row r="1125" x14ac:dyDescent="0.35"/>
    <row r="1126" x14ac:dyDescent="0.35"/>
    <row r="1127" x14ac:dyDescent="0.35"/>
    <row r="1128" x14ac:dyDescent="0.35"/>
    <row r="1129" x14ac:dyDescent="0.35"/>
    <row r="1130" x14ac:dyDescent="0.35"/>
    <row r="1131" x14ac:dyDescent="0.35"/>
    <row r="1132" x14ac:dyDescent="0.35"/>
    <row r="1133" x14ac:dyDescent="0.35"/>
    <row r="1134" x14ac:dyDescent="0.35"/>
    <row r="1135" x14ac:dyDescent="0.35"/>
    <row r="1136" x14ac:dyDescent="0.35"/>
    <row r="1137" x14ac:dyDescent="0.35"/>
    <row r="1138" x14ac:dyDescent="0.35"/>
    <row r="1139" x14ac:dyDescent="0.35"/>
    <row r="1140" x14ac:dyDescent="0.35"/>
    <row r="1141" x14ac:dyDescent="0.35"/>
    <row r="1142" x14ac:dyDescent="0.35"/>
    <row r="1143" x14ac:dyDescent="0.35"/>
    <row r="1144" x14ac:dyDescent="0.35"/>
    <row r="1145" x14ac:dyDescent="0.35"/>
    <row r="1146" x14ac:dyDescent="0.35"/>
    <row r="1147" x14ac:dyDescent="0.35"/>
    <row r="1148" x14ac:dyDescent="0.35"/>
    <row r="1149" x14ac:dyDescent="0.35"/>
    <row r="1150" x14ac:dyDescent="0.35"/>
    <row r="1151" x14ac:dyDescent="0.35"/>
    <row r="1152" x14ac:dyDescent="0.35"/>
    <row r="1153" x14ac:dyDescent="0.35"/>
    <row r="1154" x14ac:dyDescent="0.35"/>
    <row r="1155" x14ac:dyDescent="0.35"/>
    <row r="1156" x14ac:dyDescent="0.35"/>
    <row r="1157" x14ac:dyDescent="0.35"/>
    <row r="1158" x14ac:dyDescent="0.35"/>
    <row r="1159" x14ac:dyDescent="0.35"/>
    <row r="1160" x14ac:dyDescent="0.35"/>
    <row r="1161" x14ac:dyDescent="0.35"/>
    <row r="1162" x14ac:dyDescent="0.35"/>
    <row r="1163" x14ac:dyDescent="0.35"/>
    <row r="1164" x14ac:dyDescent="0.35"/>
    <row r="1165" x14ac:dyDescent="0.35"/>
    <row r="1166" x14ac:dyDescent="0.35"/>
    <row r="1167" x14ac:dyDescent="0.35"/>
    <row r="1168" x14ac:dyDescent="0.35"/>
    <row r="1169" x14ac:dyDescent="0.35"/>
    <row r="1170" x14ac:dyDescent="0.35"/>
    <row r="1171" x14ac:dyDescent="0.35"/>
    <row r="1172" x14ac:dyDescent="0.35"/>
    <row r="1173" x14ac:dyDescent="0.35"/>
    <row r="1174" x14ac:dyDescent="0.35"/>
    <row r="1175" x14ac:dyDescent="0.35"/>
    <row r="1176" x14ac:dyDescent="0.35"/>
    <row r="1177" x14ac:dyDescent="0.35"/>
    <row r="1178" x14ac:dyDescent="0.35"/>
    <row r="1179" x14ac:dyDescent="0.35"/>
    <row r="1180" x14ac:dyDescent="0.35"/>
    <row r="1181" x14ac:dyDescent="0.35"/>
    <row r="1182" x14ac:dyDescent="0.35"/>
    <row r="1183" x14ac:dyDescent="0.35"/>
    <row r="1184" x14ac:dyDescent="0.35"/>
    <row r="1185" x14ac:dyDescent="0.35"/>
    <row r="1186" x14ac:dyDescent="0.35"/>
    <row r="1187" x14ac:dyDescent="0.35"/>
    <row r="1188" x14ac:dyDescent="0.35"/>
    <row r="1189" x14ac:dyDescent="0.35"/>
    <row r="1190" x14ac:dyDescent="0.35"/>
    <row r="1191" x14ac:dyDescent="0.35"/>
    <row r="1192" x14ac:dyDescent="0.35"/>
    <row r="1193" x14ac:dyDescent="0.35"/>
    <row r="1194" x14ac:dyDescent="0.35"/>
    <row r="1195" x14ac:dyDescent="0.35"/>
    <row r="1196" x14ac:dyDescent="0.35"/>
    <row r="1197" x14ac:dyDescent="0.35"/>
    <row r="1198" x14ac:dyDescent="0.35"/>
    <row r="1199" x14ac:dyDescent="0.35"/>
    <row r="1200" x14ac:dyDescent="0.35"/>
    <row r="1201" x14ac:dyDescent="0.35"/>
    <row r="1202" x14ac:dyDescent="0.35"/>
    <row r="1203" x14ac:dyDescent="0.35"/>
    <row r="1204" x14ac:dyDescent="0.35"/>
    <row r="1205" x14ac:dyDescent="0.35"/>
    <row r="1206" x14ac:dyDescent="0.35"/>
    <row r="1207" x14ac:dyDescent="0.35"/>
    <row r="1208" x14ac:dyDescent="0.35"/>
    <row r="1209" x14ac:dyDescent="0.35"/>
    <row r="1210" x14ac:dyDescent="0.35"/>
    <row r="1211" x14ac:dyDescent="0.35"/>
    <row r="1212" x14ac:dyDescent="0.35"/>
    <row r="1213" x14ac:dyDescent="0.35"/>
    <row r="1214" x14ac:dyDescent="0.35"/>
    <row r="1215" x14ac:dyDescent="0.35"/>
    <row r="1216" x14ac:dyDescent="0.35"/>
    <row r="1217" x14ac:dyDescent="0.35"/>
    <row r="1218" x14ac:dyDescent="0.35"/>
    <row r="1219" x14ac:dyDescent="0.35"/>
    <row r="1220" x14ac:dyDescent="0.35"/>
    <row r="1221" x14ac:dyDescent="0.35"/>
    <row r="1222" x14ac:dyDescent="0.35"/>
    <row r="1223" x14ac:dyDescent="0.35"/>
    <row r="1224" x14ac:dyDescent="0.35"/>
    <row r="1225" x14ac:dyDescent="0.35"/>
    <row r="1226" x14ac:dyDescent="0.35"/>
    <row r="1227" x14ac:dyDescent="0.35"/>
    <row r="1228" x14ac:dyDescent="0.35"/>
    <row r="1229" x14ac:dyDescent="0.35"/>
    <row r="1230" x14ac:dyDescent="0.35"/>
    <row r="1231" x14ac:dyDescent="0.35"/>
    <row r="1232" x14ac:dyDescent="0.35"/>
    <row r="1233" x14ac:dyDescent="0.35"/>
    <row r="1234" x14ac:dyDescent="0.35"/>
    <row r="1235" x14ac:dyDescent="0.35"/>
    <row r="1236" x14ac:dyDescent="0.35"/>
    <row r="1237" x14ac:dyDescent="0.35"/>
    <row r="1238" x14ac:dyDescent="0.35"/>
    <row r="1239" x14ac:dyDescent="0.35"/>
    <row r="1240" x14ac:dyDescent="0.35"/>
    <row r="1241" x14ac:dyDescent="0.35"/>
    <row r="1242" x14ac:dyDescent="0.35"/>
    <row r="1243" x14ac:dyDescent="0.35"/>
    <row r="1244" x14ac:dyDescent="0.35"/>
    <row r="1245" x14ac:dyDescent="0.35"/>
    <row r="1246" x14ac:dyDescent="0.35"/>
    <row r="1247" x14ac:dyDescent="0.35"/>
    <row r="1248" x14ac:dyDescent="0.35"/>
    <row r="1249" x14ac:dyDescent="0.35"/>
    <row r="1250" x14ac:dyDescent="0.35"/>
    <row r="1251" x14ac:dyDescent="0.35"/>
    <row r="1252" x14ac:dyDescent="0.35"/>
    <row r="1253" x14ac:dyDescent="0.35"/>
    <row r="1254" x14ac:dyDescent="0.35"/>
    <row r="1255" x14ac:dyDescent="0.35"/>
    <row r="1256" x14ac:dyDescent="0.35"/>
    <row r="1257" x14ac:dyDescent="0.35"/>
    <row r="1258" x14ac:dyDescent="0.35"/>
    <row r="1259" x14ac:dyDescent="0.35"/>
    <row r="1260" x14ac:dyDescent="0.35"/>
    <row r="1261" x14ac:dyDescent="0.35"/>
    <row r="1262" x14ac:dyDescent="0.35"/>
    <row r="1263" x14ac:dyDescent="0.35"/>
    <row r="1264" x14ac:dyDescent="0.35"/>
    <row r="1265" x14ac:dyDescent="0.35"/>
    <row r="1266" x14ac:dyDescent="0.35"/>
    <row r="1267" x14ac:dyDescent="0.35"/>
    <row r="1268" x14ac:dyDescent="0.35"/>
    <row r="1269" x14ac:dyDescent="0.35"/>
    <row r="1270" x14ac:dyDescent="0.35"/>
    <row r="1271" x14ac:dyDescent="0.35"/>
    <row r="1272" x14ac:dyDescent="0.35"/>
    <row r="1273" x14ac:dyDescent="0.35"/>
    <row r="1274" x14ac:dyDescent="0.35"/>
    <row r="1275" x14ac:dyDescent="0.35"/>
    <row r="1276" x14ac:dyDescent="0.35"/>
    <row r="1277" x14ac:dyDescent="0.35"/>
    <row r="1278" x14ac:dyDescent="0.35"/>
    <row r="1279" x14ac:dyDescent="0.35"/>
    <row r="1280" x14ac:dyDescent="0.35"/>
    <row r="1281" x14ac:dyDescent="0.35"/>
    <row r="1282" x14ac:dyDescent="0.35"/>
    <row r="1283" x14ac:dyDescent="0.35"/>
    <row r="1284" x14ac:dyDescent="0.35"/>
    <row r="1285" x14ac:dyDescent="0.35"/>
    <row r="1286" x14ac:dyDescent="0.35"/>
    <row r="1287" x14ac:dyDescent="0.35"/>
    <row r="1288" x14ac:dyDescent="0.35"/>
    <row r="1289" x14ac:dyDescent="0.35"/>
    <row r="1290" x14ac:dyDescent="0.35"/>
    <row r="1291" x14ac:dyDescent="0.35"/>
    <row r="1292" x14ac:dyDescent="0.35"/>
    <row r="1293" x14ac:dyDescent="0.35"/>
    <row r="1294" x14ac:dyDescent="0.35"/>
    <row r="1295" x14ac:dyDescent="0.35"/>
    <row r="1296" x14ac:dyDescent="0.35"/>
    <row r="1297" x14ac:dyDescent="0.35"/>
    <row r="1298" x14ac:dyDescent="0.35"/>
    <row r="1299" x14ac:dyDescent="0.35"/>
    <row r="1300" x14ac:dyDescent="0.35"/>
    <row r="1301" x14ac:dyDescent="0.35"/>
    <row r="1302" x14ac:dyDescent="0.35"/>
    <row r="1303" x14ac:dyDescent="0.35"/>
    <row r="1304" x14ac:dyDescent="0.35"/>
    <row r="1305" x14ac:dyDescent="0.35"/>
    <row r="1306" x14ac:dyDescent="0.35"/>
    <row r="1307" x14ac:dyDescent="0.35"/>
    <row r="1308" x14ac:dyDescent="0.35"/>
    <row r="1309" x14ac:dyDescent="0.35"/>
    <row r="1310" x14ac:dyDescent="0.35"/>
    <row r="1311" x14ac:dyDescent="0.35"/>
    <row r="1312" x14ac:dyDescent="0.35"/>
    <row r="1313" x14ac:dyDescent="0.35"/>
    <row r="1314" x14ac:dyDescent="0.35"/>
    <row r="1315" x14ac:dyDescent="0.35"/>
    <row r="1316" x14ac:dyDescent="0.35"/>
    <row r="1317" x14ac:dyDescent="0.35"/>
    <row r="1318" x14ac:dyDescent="0.35"/>
    <row r="1319" x14ac:dyDescent="0.35"/>
    <row r="1320" x14ac:dyDescent="0.35"/>
    <row r="1321" x14ac:dyDescent="0.35"/>
    <row r="1322" x14ac:dyDescent="0.35"/>
    <row r="1323" x14ac:dyDescent="0.35"/>
    <row r="1324" x14ac:dyDescent="0.35"/>
    <row r="1325" x14ac:dyDescent="0.35"/>
    <row r="1326" x14ac:dyDescent="0.35"/>
    <row r="1327" x14ac:dyDescent="0.35"/>
    <row r="1328" x14ac:dyDescent="0.35"/>
    <row r="1329" x14ac:dyDescent="0.35"/>
    <row r="1330" x14ac:dyDescent="0.35"/>
    <row r="1331" x14ac:dyDescent="0.35"/>
    <row r="1332" x14ac:dyDescent="0.35"/>
    <row r="1333" x14ac:dyDescent="0.35"/>
    <row r="1334" x14ac:dyDescent="0.35"/>
    <row r="1335" x14ac:dyDescent="0.35"/>
    <row r="1336" x14ac:dyDescent="0.35"/>
    <row r="1337" x14ac:dyDescent="0.35"/>
    <row r="1338" x14ac:dyDescent="0.35"/>
    <row r="1339" x14ac:dyDescent="0.35"/>
    <row r="1340" x14ac:dyDescent="0.35"/>
    <row r="1341" x14ac:dyDescent="0.35"/>
    <row r="1342" x14ac:dyDescent="0.35"/>
    <row r="1343" x14ac:dyDescent="0.35"/>
    <row r="1344" x14ac:dyDescent="0.35"/>
    <row r="1345" x14ac:dyDescent="0.35"/>
    <row r="1346" x14ac:dyDescent="0.35"/>
    <row r="1347" x14ac:dyDescent="0.35"/>
    <row r="1348" x14ac:dyDescent="0.35"/>
    <row r="1349" x14ac:dyDescent="0.35"/>
    <row r="1350" x14ac:dyDescent="0.35"/>
    <row r="1351" x14ac:dyDescent="0.35"/>
    <row r="1352" x14ac:dyDescent="0.35"/>
    <row r="1353" x14ac:dyDescent="0.35"/>
    <row r="1354" x14ac:dyDescent="0.35"/>
    <row r="1355" x14ac:dyDescent="0.35"/>
    <row r="1356" x14ac:dyDescent="0.35"/>
    <row r="1357" x14ac:dyDescent="0.35"/>
    <row r="1358" x14ac:dyDescent="0.35"/>
    <row r="1359" x14ac:dyDescent="0.35"/>
    <row r="1360" x14ac:dyDescent="0.35"/>
    <row r="1361" x14ac:dyDescent="0.35"/>
    <row r="1362" x14ac:dyDescent="0.35"/>
    <row r="1363" x14ac:dyDescent="0.35"/>
    <row r="1364" x14ac:dyDescent="0.35"/>
    <row r="1365" x14ac:dyDescent="0.35"/>
    <row r="1366" x14ac:dyDescent="0.35"/>
    <row r="1367" x14ac:dyDescent="0.35"/>
    <row r="1368" x14ac:dyDescent="0.35"/>
    <row r="1369" x14ac:dyDescent="0.35"/>
    <row r="1370" x14ac:dyDescent="0.35"/>
    <row r="1371" x14ac:dyDescent="0.35"/>
    <row r="1372" x14ac:dyDescent="0.35"/>
    <row r="1373" x14ac:dyDescent="0.35"/>
    <row r="1374" x14ac:dyDescent="0.35"/>
    <row r="1375" x14ac:dyDescent="0.35"/>
    <row r="1376" x14ac:dyDescent="0.35"/>
    <row r="1377" x14ac:dyDescent="0.35"/>
    <row r="1378" x14ac:dyDescent="0.35"/>
    <row r="1379" x14ac:dyDescent="0.35"/>
    <row r="1380" x14ac:dyDescent="0.35"/>
    <row r="1381" x14ac:dyDescent="0.35"/>
    <row r="1382" x14ac:dyDescent="0.35"/>
    <row r="1383" x14ac:dyDescent="0.35"/>
    <row r="1384" x14ac:dyDescent="0.35"/>
    <row r="1385" x14ac:dyDescent="0.35"/>
    <row r="1386" x14ac:dyDescent="0.35"/>
    <row r="1387" x14ac:dyDescent="0.35"/>
    <row r="1388" x14ac:dyDescent="0.35"/>
    <row r="1389" x14ac:dyDescent="0.35"/>
    <row r="1390" x14ac:dyDescent="0.35"/>
    <row r="1391" x14ac:dyDescent="0.35"/>
    <row r="1392" x14ac:dyDescent="0.35"/>
    <row r="1393" x14ac:dyDescent="0.35"/>
    <row r="1394" x14ac:dyDescent="0.35"/>
    <row r="1395" x14ac:dyDescent="0.35"/>
    <row r="1396" x14ac:dyDescent="0.35"/>
    <row r="1397" x14ac:dyDescent="0.35"/>
    <row r="1398" x14ac:dyDescent="0.35"/>
    <row r="1399" x14ac:dyDescent="0.35"/>
    <row r="1400" x14ac:dyDescent="0.35"/>
    <row r="1401" x14ac:dyDescent="0.35"/>
    <row r="1402" x14ac:dyDescent="0.35"/>
    <row r="1403" x14ac:dyDescent="0.35"/>
    <row r="1404" x14ac:dyDescent="0.35"/>
    <row r="1405" x14ac:dyDescent="0.35"/>
    <row r="1406" x14ac:dyDescent="0.35"/>
    <row r="1407" x14ac:dyDescent="0.35"/>
    <row r="1408" x14ac:dyDescent="0.35"/>
    <row r="1409" x14ac:dyDescent="0.35"/>
    <row r="1410" x14ac:dyDescent="0.35"/>
    <row r="1411" x14ac:dyDescent="0.35"/>
    <row r="1412" x14ac:dyDescent="0.35"/>
    <row r="1413" x14ac:dyDescent="0.35"/>
    <row r="1414" x14ac:dyDescent="0.35"/>
    <row r="1415" x14ac:dyDescent="0.35"/>
    <row r="1416" x14ac:dyDescent="0.35"/>
    <row r="1417" x14ac:dyDescent="0.35"/>
    <row r="1418" x14ac:dyDescent="0.35"/>
    <row r="1419" x14ac:dyDescent="0.35"/>
    <row r="1420" x14ac:dyDescent="0.35"/>
    <row r="1421" x14ac:dyDescent="0.35"/>
    <row r="1422" x14ac:dyDescent="0.35"/>
    <row r="1423" x14ac:dyDescent="0.35"/>
    <row r="1424" x14ac:dyDescent="0.35"/>
    <row r="1425" x14ac:dyDescent="0.35"/>
    <row r="1426" x14ac:dyDescent="0.35"/>
    <row r="1427" x14ac:dyDescent="0.35"/>
    <row r="1428" x14ac:dyDescent="0.35"/>
    <row r="1429" x14ac:dyDescent="0.35"/>
    <row r="1430" x14ac:dyDescent="0.35"/>
    <row r="1431" x14ac:dyDescent="0.35"/>
    <row r="1432" x14ac:dyDescent="0.35"/>
    <row r="1433" x14ac:dyDescent="0.35"/>
    <row r="1434" x14ac:dyDescent="0.35"/>
    <row r="1435" x14ac:dyDescent="0.35"/>
    <row r="1436" x14ac:dyDescent="0.35"/>
    <row r="1437" x14ac:dyDescent="0.35"/>
    <row r="1438" x14ac:dyDescent="0.35"/>
    <row r="1439" x14ac:dyDescent="0.35"/>
    <row r="1440" x14ac:dyDescent="0.35"/>
    <row r="1441" x14ac:dyDescent="0.35"/>
    <row r="1442" x14ac:dyDescent="0.35"/>
    <row r="1443" x14ac:dyDescent="0.35"/>
    <row r="1444" x14ac:dyDescent="0.35"/>
    <row r="1445" x14ac:dyDescent="0.35"/>
    <row r="1446" x14ac:dyDescent="0.35"/>
    <row r="1447" x14ac:dyDescent="0.35"/>
    <row r="1448" x14ac:dyDescent="0.35"/>
    <row r="1449" x14ac:dyDescent="0.35"/>
    <row r="1450" x14ac:dyDescent="0.35"/>
    <row r="1451" x14ac:dyDescent="0.35"/>
    <row r="1452" x14ac:dyDescent="0.35"/>
    <row r="1453" x14ac:dyDescent="0.35"/>
    <row r="1454" x14ac:dyDescent="0.35"/>
    <row r="1455" x14ac:dyDescent="0.35"/>
    <row r="1456" x14ac:dyDescent="0.35"/>
    <row r="1457" x14ac:dyDescent="0.35"/>
    <row r="1458" x14ac:dyDescent="0.35"/>
    <row r="1459" x14ac:dyDescent="0.35"/>
    <row r="1460" x14ac:dyDescent="0.35"/>
    <row r="1461" x14ac:dyDescent="0.35"/>
    <row r="1462" x14ac:dyDescent="0.35"/>
    <row r="1463" x14ac:dyDescent="0.35"/>
    <row r="1464" x14ac:dyDescent="0.35"/>
    <row r="1465" x14ac:dyDescent="0.35"/>
    <row r="1466" x14ac:dyDescent="0.35"/>
    <row r="1467" x14ac:dyDescent="0.35"/>
    <row r="1468" x14ac:dyDescent="0.35"/>
    <row r="1469" x14ac:dyDescent="0.35"/>
    <row r="1470" x14ac:dyDescent="0.35"/>
    <row r="1471" x14ac:dyDescent="0.35"/>
    <row r="1472" x14ac:dyDescent="0.35"/>
    <row r="1473" x14ac:dyDescent="0.35"/>
    <row r="1474" x14ac:dyDescent="0.35"/>
    <row r="1475" x14ac:dyDescent="0.35"/>
    <row r="1476" x14ac:dyDescent="0.35"/>
    <row r="1477" x14ac:dyDescent="0.35"/>
    <row r="1478" x14ac:dyDescent="0.35"/>
    <row r="1479" x14ac:dyDescent="0.35"/>
    <row r="1480" x14ac:dyDescent="0.35"/>
    <row r="1481" x14ac:dyDescent="0.35"/>
    <row r="1482" x14ac:dyDescent="0.35"/>
    <row r="1483" x14ac:dyDescent="0.35"/>
    <row r="1484" x14ac:dyDescent="0.35"/>
    <row r="1485" x14ac:dyDescent="0.35"/>
    <row r="1486" x14ac:dyDescent="0.35"/>
    <row r="1487" x14ac:dyDescent="0.35"/>
    <row r="1488" x14ac:dyDescent="0.35"/>
    <row r="1489" x14ac:dyDescent="0.35"/>
    <row r="1490" x14ac:dyDescent="0.35"/>
    <row r="1491" x14ac:dyDescent="0.35"/>
    <row r="1492" x14ac:dyDescent="0.35"/>
  </sheetData>
  <sheetProtection algorithmName="SHA-512" hashValue="TvezjShuX0nw44fbWE2eqqmWcvvVGiLnKKNGSjWGgq/ed7iHgXxilqah7WlYF86bNUn9lrAKG3KE6UGGPy6acw==" saltValue="g4ZZXJltdOeVqFWiPJ49pg==" spinCount="100000" sheet="1" objects="1" scenarios="1"/>
  <conditionalFormatting sqref="O7:O8">
    <cfRule type="cellIs" dxfId="11" priority="12" operator="equal">
      <formula>"""BELOW MARKUP FLOOR"""</formula>
    </cfRule>
  </conditionalFormatting>
  <conditionalFormatting sqref="O27:O28">
    <cfRule type="cellIs" dxfId="10" priority="11" operator="equal">
      <formula>"""BELOW MARKUP FLOOR"""</formula>
    </cfRule>
  </conditionalFormatting>
  <conditionalFormatting sqref="O31">
    <cfRule type="cellIs" dxfId="9" priority="10" operator="equal">
      <formula>"""BELOW MARKUP FLOOR"""</formula>
    </cfRule>
  </conditionalFormatting>
  <conditionalFormatting sqref="O30">
    <cfRule type="cellIs" dxfId="8" priority="9" operator="equal">
      <formula>"""BELOW MARKUP FLOOR"""</formula>
    </cfRule>
  </conditionalFormatting>
  <conditionalFormatting sqref="O29">
    <cfRule type="cellIs" dxfId="7" priority="8" operator="equal">
      <formula>"""BELOW MARKUP FLOOR"""</formula>
    </cfRule>
  </conditionalFormatting>
  <conditionalFormatting sqref="O17:O18">
    <cfRule type="cellIs" dxfId="6" priority="7" operator="equal">
      <formula>"""BELOW MARKUP FLOOR"""</formula>
    </cfRule>
  </conditionalFormatting>
  <conditionalFormatting sqref="O21">
    <cfRule type="cellIs" dxfId="5" priority="6" operator="equal">
      <formula>"""BELOW MARKUP FLOOR"""</formula>
    </cfRule>
  </conditionalFormatting>
  <conditionalFormatting sqref="O20">
    <cfRule type="cellIs" dxfId="4" priority="5" operator="equal">
      <formula>"""BELOW MARKUP FLOOR"""</formula>
    </cfRule>
  </conditionalFormatting>
  <conditionalFormatting sqref="O19">
    <cfRule type="cellIs" dxfId="3" priority="4" operator="equal">
      <formula>"""BELOW MARKUP FLOOR"""</formula>
    </cfRule>
  </conditionalFormatting>
  <conditionalFormatting sqref="O11">
    <cfRule type="cellIs" dxfId="2" priority="3" operator="equal">
      <formula>"""BELOW MARKUP FLOOR"""</formula>
    </cfRule>
  </conditionalFormatting>
  <conditionalFormatting sqref="O10">
    <cfRule type="cellIs" dxfId="1" priority="2" operator="equal">
      <formula>"""BELOW MARKUP FLOOR"""</formula>
    </cfRule>
  </conditionalFormatting>
  <conditionalFormatting sqref="O9">
    <cfRule type="cellIs" dxfId="0" priority="1" operator="equal">
      <formula>"""BELOW MARKUP FLOOR"""</formula>
    </cfRule>
  </conditionalFormatting>
  <hyperlinks>
    <hyperlink ref="J2" location="Navigation!A1" display="Navigation" xr:uid="{00000000-0004-0000-1000-000000000000}"/>
  </hyperlink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7" tint="-0.499984740745262"/>
  </sheetPr>
  <dimension ref="A1:BZ4440"/>
  <sheetViews>
    <sheetView zoomScale="70" zoomScaleNormal="70" workbookViewId="0"/>
  </sheetViews>
  <sheetFormatPr defaultColWidth="0" defaultRowHeight="0" customHeight="1" zeroHeight="1" x14ac:dyDescent="0.35"/>
  <cols>
    <col min="1" max="2" width="3.54296875" style="4" customWidth="1"/>
    <col min="3" max="3" width="42.453125" style="4" customWidth="1"/>
    <col min="4" max="4" width="3.54296875" style="4" customWidth="1"/>
    <col min="5" max="40" width="17" style="4" customWidth="1"/>
    <col min="41" max="42" width="3.54296875" style="4" customWidth="1"/>
    <col min="43" max="78" width="0" style="4" hidden="1" customWidth="1"/>
    <col min="79" max="16384" width="12.54296875" style="4" hidden="1"/>
  </cols>
  <sheetData>
    <row r="1" spans="2:41" ht="15" customHeight="1" thickBot="1" x14ac:dyDescent="0.4"/>
    <row r="2" spans="2:41" ht="15" customHeight="1" thickTop="1" thickBot="1" x14ac:dyDescent="0.4">
      <c r="C2" s="422" t="s">
        <v>240</v>
      </c>
      <c r="D2" s="450"/>
      <c r="E2" s="11"/>
      <c r="F2" s="10" t="s">
        <v>159</v>
      </c>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row>
    <row r="3" spans="2:41" ht="15" customHeight="1" thickBot="1" x14ac:dyDescent="0.4">
      <c r="C3" s="451"/>
      <c r="D3" s="451"/>
      <c r="E3" s="451"/>
      <c r="F3" s="451"/>
      <c r="G3" s="451"/>
      <c r="H3" s="451"/>
      <c r="I3" s="451"/>
      <c r="J3" s="451"/>
      <c r="K3" s="451"/>
      <c r="L3" s="451"/>
      <c r="M3" s="451"/>
      <c r="N3" s="451"/>
      <c r="O3" s="451"/>
      <c r="P3" s="451"/>
      <c r="Q3" s="451"/>
      <c r="R3" s="451"/>
      <c r="S3" s="451"/>
      <c r="T3" s="451"/>
      <c r="U3" s="451"/>
      <c r="V3" s="451"/>
      <c r="W3" s="451"/>
      <c r="X3" s="451"/>
      <c r="Y3" s="451"/>
      <c r="Z3" s="451"/>
      <c r="AA3" s="451"/>
      <c r="AB3" s="451"/>
      <c r="AC3" s="451"/>
      <c r="AD3" s="451"/>
      <c r="AE3" s="451"/>
      <c r="AF3" s="451"/>
      <c r="AG3" s="451"/>
      <c r="AH3" s="451"/>
      <c r="AI3" s="451"/>
      <c r="AJ3" s="451"/>
      <c r="AK3" s="451"/>
      <c r="AL3" s="451"/>
      <c r="AM3" s="451"/>
      <c r="AN3" s="451"/>
    </row>
    <row r="4" spans="2:41" s="456" customFormat="1" ht="15" customHeight="1" x14ac:dyDescent="0.3">
      <c r="B4" s="452"/>
      <c r="C4" s="453"/>
      <c r="D4" s="454"/>
      <c r="E4" s="454"/>
      <c r="F4" s="454"/>
      <c r="G4" s="454"/>
      <c r="H4" s="453"/>
      <c r="I4" s="453"/>
      <c r="J4" s="453"/>
      <c r="K4" s="453"/>
      <c r="L4" s="453"/>
      <c r="M4" s="453"/>
      <c r="N4" s="453"/>
      <c r="O4" s="453"/>
      <c r="P4" s="453"/>
      <c r="Q4" s="453"/>
      <c r="R4" s="453"/>
      <c r="S4" s="453"/>
      <c r="T4" s="453"/>
      <c r="U4" s="453"/>
      <c r="V4" s="453"/>
      <c r="W4" s="453"/>
      <c r="X4" s="453"/>
      <c r="Y4" s="453"/>
      <c r="Z4" s="453"/>
      <c r="AA4" s="453"/>
      <c r="AB4" s="453"/>
      <c r="AC4" s="453"/>
      <c r="AD4" s="453"/>
      <c r="AE4" s="453"/>
      <c r="AF4" s="453"/>
      <c r="AG4" s="453"/>
      <c r="AH4" s="453"/>
      <c r="AI4" s="453"/>
      <c r="AJ4" s="453"/>
      <c r="AK4" s="453"/>
      <c r="AL4" s="453"/>
      <c r="AM4" s="453"/>
      <c r="AN4" s="453"/>
      <c r="AO4" s="455"/>
    </row>
    <row r="5" spans="2:41" ht="15" customHeight="1" x14ac:dyDescent="0.35">
      <c r="B5" s="429"/>
      <c r="C5" s="457" t="s">
        <v>109</v>
      </c>
      <c r="D5" s="435"/>
      <c r="E5" s="435"/>
      <c r="F5" s="435"/>
      <c r="G5" s="435"/>
      <c r="H5" s="435"/>
      <c r="I5" s="435"/>
      <c r="J5" s="435"/>
      <c r="K5" s="435"/>
      <c r="L5" s="435"/>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6"/>
    </row>
    <row r="6" spans="2:41" ht="15" customHeight="1" x14ac:dyDescent="0.35">
      <c r="B6" s="429"/>
      <c r="C6" s="435"/>
      <c r="D6" s="435"/>
      <c r="E6" s="435"/>
      <c r="F6" s="435"/>
      <c r="G6" s="435"/>
      <c r="H6" s="435"/>
      <c r="I6" s="435"/>
      <c r="J6" s="435"/>
      <c r="K6" s="435"/>
      <c r="L6" s="435"/>
      <c r="M6" s="435"/>
      <c r="N6" s="435"/>
      <c r="O6" s="435"/>
      <c r="P6" s="435"/>
      <c r="Q6" s="435"/>
      <c r="R6" s="435"/>
      <c r="S6" s="435"/>
      <c r="T6" s="435"/>
      <c r="U6" s="435"/>
      <c r="V6" s="435"/>
      <c r="W6" s="435"/>
      <c r="X6" s="435"/>
      <c r="Y6" s="435"/>
      <c r="Z6" s="435"/>
      <c r="AA6" s="435"/>
      <c r="AB6" s="435"/>
      <c r="AC6" s="435"/>
      <c r="AD6" s="435"/>
      <c r="AE6" s="435"/>
      <c r="AF6" s="435"/>
      <c r="AG6" s="435"/>
      <c r="AH6" s="435"/>
      <c r="AI6" s="435"/>
      <c r="AJ6" s="435"/>
      <c r="AK6" s="435"/>
      <c r="AL6" s="435"/>
      <c r="AM6" s="435"/>
      <c r="AN6" s="435"/>
      <c r="AO6" s="436"/>
    </row>
    <row r="7" spans="2:41" ht="15" customHeight="1" thickBot="1" x14ac:dyDescent="0.4">
      <c r="B7" s="429"/>
      <c r="C7" s="458"/>
      <c r="D7" s="459"/>
      <c r="E7" s="460">
        <f>Reference_Year - 1</f>
        <v>2022</v>
      </c>
      <c r="F7" s="460">
        <f ca="1">OFFSET(F7,0,-1)+1</f>
        <v>2023</v>
      </c>
      <c r="G7" s="460">
        <f t="shared" ref="G7:AN7" ca="1" si="0">OFFSET(G7,0,-1)+1</f>
        <v>2024</v>
      </c>
      <c r="H7" s="460">
        <f t="shared" ca="1" si="0"/>
        <v>2025</v>
      </c>
      <c r="I7" s="460">
        <f t="shared" ca="1" si="0"/>
        <v>2026</v>
      </c>
      <c r="J7" s="460">
        <f t="shared" ca="1" si="0"/>
        <v>2027</v>
      </c>
      <c r="K7" s="460">
        <f t="shared" ca="1" si="0"/>
        <v>2028</v>
      </c>
      <c r="L7" s="460">
        <f t="shared" ca="1" si="0"/>
        <v>2029</v>
      </c>
      <c r="M7" s="460">
        <f t="shared" ca="1" si="0"/>
        <v>2030</v>
      </c>
      <c r="N7" s="460">
        <f t="shared" ca="1" si="0"/>
        <v>2031</v>
      </c>
      <c r="O7" s="460">
        <f t="shared" ca="1" si="0"/>
        <v>2032</v>
      </c>
      <c r="P7" s="460">
        <f t="shared" ca="1" si="0"/>
        <v>2033</v>
      </c>
      <c r="Q7" s="460">
        <f t="shared" ca="1" si="0"/>
        <v>2034</v>
      </c>
      <c r="R7" s="460">
        <f t="shared" ca="1" si="0"/>
        <v>2035</v>
      </c>
      <c r="S7" s="460">
        <f t="shared" ca="1" si="0"/>
        <v>2036</v>
      </c>
      <c r="T7" s="460">
        <f t="shared" ca="1" si="0"/>
        <v>2037</v>
      </c>
      <c r="U7" s="460">
        <f t="shared" ca="1" si="0"/>
        <v>2038</v>
      </c>
      <c r="V7" s="460">
        <f t="shared" ca="1" si="0"/>
        <v>2039</v>
      </c>
      <c r="W7" s="460">
        <f t="shared" ca="1" si="0"/>
        <v>2040</v>
      </c>
      <c r="X7" s="460">
        <f t="shared" ca="1" si="0"/>
        <v>2041</v>
      </c>
      <c r="Y7" s="460">
        <f t="shared" ca="1" si="0"/>
        <v>2042</v>
      </c>
      <c r="Z7" s="460">
        <f t="shared" ca="1" si="0"/>
        <v>2043</v>
      </c>
      <c r="AA7" s="460">
        <f t="shared" ca="1" si="0"/>
        <v>2044</v>
      </c>
      <c r="AB7" s="460">
        <f t="shared" ca="1" si="0"/>
        <v>2045</v>
      </c>
      <c r="AC7" s="460">
        <f t="shared" ca="1" si="0"/>
        <v>2046</v>
      </c>
      <c r="AD7" s="460">
        <f t="shared" ca="1" si="0"/>
        <v>2047</v>
      </c>
      <c r="AE7" s="460">
        <f t="shared" ca="1" si="0"/>
        <v>2048</v>
      </c>
      <c r="AF7" s="460">
        <f t="shared" ca="1" si="0"/>
        <v>2049</v>
      </c>
      <c r="AG7" s="460">
        <f t="shared" ca="1" si="0"/>
        <v>2050</v>
      </c>
      <c r="AH7" s="460">
        <f t="shared" ca="1" si="0"/>
        <v>2051</v>
      </c>
      <c r="AI7" s="460">
        <f t="shared" ca="1" si="0"/>
        <v>2052</v>
      </c>
      <c r="AJ7" s="460">
        <f t="shared" ca="1" si="0"/>
        <v>2053</v>
      </c>
      <c r="AK7" s="460">
        <f t="shared" ca="1" si="0"/>
        <v>2054</v>
      </c>
      <c r="AL7" s="460">
        <f t="shared" ca="1" si="0"/>
        <v>2055</v>
      </c>
      <c r="AM7" s="460">
        <f t="shared" ca="1" si="0"/>
        <v>2056</v>
      </c>
      <c r="AN7" s="460">
        <f t="shared" ca="1" si="0"/>
        <v>2057</v>
      </c>
      <c r="AO7" s="436"/>
    </row>
    <row r="8" spans="2:41" ht="15" customHeight="1" x14ac:dyDescent="0.35">
      <c r="B8" s="429"/>
      <c r="C8" s="461" t="s">
        <v>143</v>
      </c>
      <c r="D8" s="462"/>
      <c r="E8" s="657">
        <f t="shared" ref="E8:AN8" ca="1" si="1">SUMIF($C:$C,"Total Unit Sales (MM)",E:E)</f>
        <v>7.5707973221489757</v>
      </c>
      <c r="F8" s="658">
        <f t="shared" ca="1" si="1"/>
        <v>7.9093524384259357</v>
      </c>
      <c r="G8" s="658">
        <f t="shared" ca="1" si="1"/>
        <v>8.2127347841074965</v>
      </c>
      <c r="H8" s="658">
        <f t="shared" ca="1" si="1"/>
        <v>8.5984294340082918</v>
      </c>
      <c r="I8" s="658">
        <f t="shared" ca="1" si="1"/>
        <v>9.0122912362700944</v>
      </c>
      <c r="J8" s="658">
        <f t="shared" ca="1" si="1"/>
        <v>9.4703081184118609</v>
      </c>
      <c r="K8" s="658">
        <f t="shared" ca="1" si="1"/>
        <v>9.9670926866355813</v>
      </c>
      <c r="L8" s="658">
        <f t="shared" ca="1" si="1"/>
        <v>10.494559173428762</v>
      </c>
      <c r="M8" s="658">
        <f t="shared" ca="1" si="1"/>
        <v>11.046397652219259</v>
      </c>
      <c r="N8" s="658">
        <f t="shared" ca="1" si="1"/>
        <v>11.618404085770958</v>
      </c>
      <c r="O8" s="658">
        <f t="shared" ca="1" si="1"/>
        <v>12.210331454247907</v>
      </c>
      <c r="P8" s="658">
        <f t="shared" ca="1" si="1"/>
        <v>12.824714907367937</v>
      </c>
      <c r="Q8" s="658">
        <f t="shared" ca="1" si="1"/>
        <v>13.465427859557796</v>
      </c>
      <c r="R8" s="658">
        <f t="shared" ca="1" si="1"/>
        <v>14.136991745687819</v>
      </c>
      <c r="S8" s="658">
        <f t="shared" ca="1" si="1"/>
        <v>14.843206467369427</v>
      </c>
      <c r="T8" s="658">
        <f t="shared" ca="1" si="1"/>
        <v>15.586476240436248</v>
      </c>
      <c r="U8" s="658">
        <f t="shared" ca="1" si="1"/>
        <v>16.369473128948385</v>
      </c>
      <c r="V8" s="658">
        <f t="shared" ca="1" si="1"/>
        <v>17.190628033199836</v>
      </c>
      <c r="W8" s="658">
        <f t="shared" ca="1" si="1"/>
        <v>18.052436324644866</v>
      </c>
      <c r="X8" s="658">
        <f t="shared" ca="1" si="1"/>
        <v>18.955938520315421</v>
      </c>
      <c r="Y8" s="658">
        <f t="shared" ca="1" si="1"/>
        <v>19.902673592501202</v>
      </c>
      <c r="Z8" s="658">
        <f t="shared" ca="1" si="1"/>
        <v>20.894704857773277</v>
      </c>
      <c r="AA8" s="658">
        <f t="shared" ca="1" si="1"/>
        <v>21.934412373627794</v>
      </c>
      <c r="AB8" s="658">
        <f t="shared" ca="1" si="1"/>
        <v>23.024524492715912</v>
      </c>
      <c r="AC8" s="658">
        <f t="shared" ca="1" si="1"/>
        <v>24.167797168625285</v>
      </c>
      <c r="AD8" s="658">
        <f t="shared" ca="1" si="1"/>
        <v>25.367001754271541</v>
      </c>
      <c r="AE8" s="658">
        <f t="shared" ca="1" si="1"/>
        <v>26.624910204793778</v>
      </c>
      <c r="AF8" s="658">
        <f t="shared" ca="1" si="1"/>
        <v>27.944321902036261</v>
      </c>
      <c r="AG8" s="658">
        <f t="shared" ca="1" si="1"/>
        <v>29.32812310017567</v>
      </c>
      <c r="AH8" s="658">
        <f t="shared" ca="1" si="1"/>
        <v>30.779340545114337</v>
      </c>
      <c r="AI8" s="658">
        <f t="shared" ca="1" si="1"/>
        <v>32.301181969831163</v>
      </c>
      <c r="AJ8" s="658">
        <f t="shared" ca="1" si="1"/>
        <v>33.897058210285969</v>
      </c>
      <c r="AK8" s="658">
        <f t="shared" ca="1" si="1"/>
        <v>35.570585160088655</v>
      </c>
      <c r="AL8" s="658">
        <f t="shared" ca="1" si="1"/>
        <v>37.325577124247062</v>
      </c>
      <c r="AM8" s="658">
        <f t="shared" ca="1" si="1"/>
        <v>39.166042399535925</v>
      </c>
      <c r="AN8" s="659">
        <f t="shared" ca="1" si="1"/>
        <v>41.096167382286382</v>
      </c>
      <c r="AO8" s="436"/>
    </row>
    <row r="9" spans="2:41" ht="15" customHeight="1" thickBot="1" x14ac:dyDescent="0.4">
      <c r="B9" s="429"/>
      <c r="C9" s="461" t="s">
        <v>144</v>
      </c>
      <c r="D9" s="462"/>
      <c r="E9" s="660">
        <f t="shared" ref="E9:AN9" ca="1" si="2">SUMIF($C:$C,"Total Revenues (MM)",E:E)</f>
        <v>633.28196497713952</v>
      </c>
      <c r="F9" s="661">
        <f t="shared" ca="1" si="2"/>
        <v>656.61115010410003</v>
      </c>
      <c r="G9" s="661">
        <f t="shared" ca="1" si="2"/>
        <v>676.84807695261088</v>
      </c>
      <c r="H9" s="661">
        <f t="shared" ca="1" si="2"/>
        <v>703.5950648918415</v>
      </c>
      <c r="I9" s="661">
        <f t="shared" ca="1" si="2"/>
        <v>732.91827329366379</v>
      </c>
      <c r="J9" s="661">
        <f t="shared" ca="1" si="2"/>
        <v>764.94734714738001</v>
      </c>
      <c r="K9" s="661">
        <f t="shared" ca="1" si="2"/>
        <v>800.19811613745082</v>
      </c>
      <c r="L9" s="661">
        <f t="shared" ca="1" si="2"/>
        <v>837.48996661600631</v>
      </c>
      <c r="M9" s="661">
        <f t="shared" ca="1" si="2"/>
        <v>876.20328064140472</v>
      </c>
      <c r="N9" s="661">
        <f t="shared" ca="1" si="2"/>
        <v>916.37569706233899</v>
      </c>
      <c r="O9" s="661">
        <f t="shared" ca="1" si="2"/>
        <v>957.64200498407854</v>
      </c>
      <c r="P9" s="661">
        <f t="shared" ca="1" si="2"/>
        <v>1000.5713101624074</v>
      </c>
      <c r="Q9" s="661">
        <f t="shared" ca="1" si="2"/>
        <v>1044.7098022293153</v>
      </c>
      <c r="R9" s="661">
        <f t="shared" ca="1" si="2"/>
        <v>1090.8565948682619</v>
      </c>
      <c r="S9" s="661">
        <f t="shared" ca="1" si="2"/>
        <v>1139.6431689368528</v>
      </c>
      <c r="T9" s="661">
        <f t="shared" ca="1" si="2"/>
        <v>1190.4471257036066</v>
      </c>
      <c r="U9" s="661">
        <f t="shared" ca="1" si="2"/>
        <v>1244.2706890001464</v>
      </c>
      <c r="V9" s="661">
        <f t="shared" ca="1" si="2"/>
        <v>1300.061586548798</v>
      </c>
      <c r="W9" s="661">
        <f t="shared" ca="1" si="2"/>
        <v>1358.5418970953899</v>
      </c>
      <c r="X9" s="661">
        <f t="shared" ca="1" si="2"/>
        <v>1419.8914098699152</v>
      </c>
      <c r="Y9" s="661">
        <f t="shared" ca="1" si="2"/>
        <v>1483.8979071782965</v>
      </c>
      <c r="Z9" s="661">
        <f t="shared" ca="1" si="2"/>
        <v>1550.5003546378121</v>
      </c>
      <c r="AA9" s="661">
        <f t="shared" ca="1" si="2"/>
        <v>1620.0190047244378</v>
      </c>
      <c r="AB9" s="661">
        <f t="shared" ca="1" si="2"/>
        <v>1693.082543231887</v>
      </c>
      <c r="AC9" s="661">
        <f t="shared" ca="1" si="2"/>
        <v>1769.1871937452381</v>
      </c>
      <c r="AD9" s="661">
        <f t="shared" ca="1" si="2"/>
        <v>1848.8654305169232</v>
      </c>
      <c r="AE9" s="661">
        <f t="shared" ca="1" si="2"/>
        <v>1931.9974491472371</v>
      </c>
      <c r="AF9" s="661">
        <f t="shared" ca="1" si="2"/>
        <v>2018.6399170813993</v>
      </c>
      <c r="AG9" s="661">
        <f t="shared" ca="1" si="2"/>
        <v>2109.1859563430003</v>
      </c>
      <c r="AH9" s="661">
        <f t="shared" ca="1" si="2"/>
        <v>2204.4029585585545</v>
      </c>
      <c r="AI9" s="661">
        <f t="shared" ca="1" si="2"/>
        <v>2303.4495780331035</v>
      </c>
      <c r="AJ9" s="661">
        <f t="shared" ca="1" si="2"/>
        <v>2406.6043644369265</v>
      </c>
      <c r="AK9" s="661">
        <f t="shared" ca="1" si="2"/>
        <v>2514.8434024405774</v>
      </c>
      <c r="AL9" s="661">
        <f t="shared" ca="1" si="2"/>
        <v>2627.9831454698424</v>
      </c>
      <c r="AM9" s="661">
        <f t="shared" ca="1" si="2"/>
        <v>2746.1582362224781</v>
      </c>
      <c r="AN9" s="662">
        <f t="shared" ca="1" si="2"/>
        <v>2869.5448729737386</v>
      </c>
      <c r="AO9" s="436"/>
    </row>
    <row r="10" spans="2:41" ht="15" customHeight="1" thickBot="1" x14ac:dyDescent="0.4">
      <c r="B10" s="429"/>
      <c r="C10" s="461"/>
      <c r="D10" s="463"/>
      <c r="E10" s="463"/>
      <c r="F10" s="463"/>
      <c r="G10" s="463"/>
      <c r="H10" s="463"/>
      <c r="I10" s="463"/>
      <c r="J10" s="463"/>
      <c r="K10" s="463"/>
      <c r="L10" s="463"/>
      <c r="M10" s="463"/>
      <c r="N10" s="463"/>
      <c r="O10" s="463"/>
      <c r="P10" s="463"/>
      <c r="Q10" s="463"/>
      <c r="R10" s="463"/>
      <c r="S10" s="463"/>
      <c r="T10" s="463"/>
      <c r="U10" s="463"/>
      <c r="V10" s="463"/>
      <c r="W10" s="463"/>
      <c r="X10" s="463"/>
      <c r="Y10" s="463"/>
      <c r="Z10" s="463"/>
      <c r="AA10" s="463"/>
      <c r="AB10" s="463"/>
      <c r="AC10" s="463"/>
      <c r="AD10" s="463"/>
      <c r="AE10" s="463"/>
      <c r="AF10" s="463"/>
      <c r="AG10" s="463"/>
      <c r="AH10" s="463"/>
      <c r="AI10" s="463"/>
      <c r="AJ10" s="463"/>
      <c r="AK10" s="463"/>
      <c r="AL10" s="463"/>
      <c r="AM10" s="463"/>
      <c r="AN10" s="463"/>
      <c r="AO10" s="436"/>
    </row>
    <row r="11" spans="2:41" ht="15" customHeight="1" x14ac:dyDescent="0.35">
      <c r="B11" s="429"/>
      <c r="C11" s="464" t="s">
        <v>220</v>
      </c>
      <c r="D11" s="435"/>
      <c r="E11" s="663">
        <f t="shared" ref="E11:AN11" ca="1" si="3">SUMIF($C:$C,"Total Materials (MM)",E:E)</f>
        <v>392.11145885356893</v>
      </c>
      <c r="F11" s="664">
        <f t="shared" ca="1" si="3"/>
        <v>406.55590959189897</v>
      </c>
      <c r="G11" s="664">
        <f t="shared" ca="1" si="3"/>
        <v>419.08593377948614</v>
      </c>
      <c r="H11" s="664">
        <f t="shared" ca="1" si="3"/>
        <v>435.64680881669045</v>
      </c>
      <c r="I11" s="664">
        <f t="shared" ca="1" si="3"/>
        <v>453.80313517879921</v>
      </c>
      <c r="J11" s="664">
        <f t="shared" ca="1" si="3"/>
        <v>473.634364649639</v>
      </c>
      <c r="K11" s="664">
        <f t="shared" ca="1" si="3"/>
        <v>495.46060068239728</v>
      </c>
      <c r="L11" s="664">
        <f t="shared" ca="1" si="3"/>
        <v>518.55068583262198</v>
      </c>
      <c r="M11" s="664">
        <f t="shared" ca="1" si="3"/>
        <v>542.52072446516445</v>
      </c>
      <c r="N11" s="664">
        <f t="shared" ca="1" si="3"/>
        <v>567.39415704699968</v>
      </c>
      <c r="O11" s="664">
        <f t="shared" ca="1" si="3"/>
        <v>592.94510469962631</v>
      </c>
      <c r="P11" s="664">
        <f t="shared" ca="1" si="3"/>
        <v>619.52617486395934</v>
      </c>
      <c r="Q11" s="664">
        <f t="shared" ca="1" si="3"/>
        <v>646.85501016323337</v>
      </c>
      <c r="R11" s="664">
        <f t="shared" ca="1" si="3"/>
        <v>675.42733299851579</v>
      </c>
      <c r="S11" s="664">
        <f t="shared" ca="1" si="3"/>
        <v>705.63440554357226</v>
      </c>
      <c r="T11" s="664">
        <f t="shared" ca="1" si="3"/>
        <v>737.09107179715988</v>
      </c>
      <c r="U11" s="664">
        <f t="shared" ca="1" si="3"/>
        <v>770.41720084255849</v>
      </c>
      <c r="V11" s="664">
        <f t="shared" ca="1" si="3"/>
        <v>804.96084759511223</v>
      </c>
      <c r="W11" s="664">
        <f t="shared" ca="1" si="3"/>
        <v>841.16983059166</v>
      </c>
      <c r="X11" s="664">
        <f t="shared" ca="1" si="3"/>
        <v>879.15621586279326</v>
      </c>
      <c r="Y11" s="664">
        <f t="shared" ca="1" si="3"/>
        <v>918.78763517618916</v>
      </c>
      <c r="Z11" s="664">
        <f t="shared" ca="1" si="3"/>
        <v>960.02507569547265</v>
      </c>
      <c r="AA11" s="664">
        <f t="shared" ca="1" si="3"/>
        <v>1003.0686178338223</v>
      </c>
      <c r="AB11" s="664">
        <f t="shared" ca="1" si="3"/>
        <v>1048.3067849319752</v>
      </c>
      <c r="AC11" s="664">
        <f t="shared" ca="1" si="3"/>
        <v>1095.4293715878921</v>
      </c>
      <c r="AD11" s="664">
        <f t="shared" ca="1" si="3"/>
        <v>1144.7628821047715</v>
      </c>
      <c r="AE11" s="664">
        <f t="shared" ca="1" si="3"/>
        <v>1196.235756739572</v>
      </c>
      <c r="AF11" s="664">
        <f t="shared" ca="1" si="3"/>
        <v>1249.8819453199735</v>
      </c>
      <c r="AG11" s="664">
        <f t="shared" ca="1" si="3"/>
        <v>1305.9460914150861</v>
      </c>
      <c r="AH11" s="664">
        <f t="shared" ca="1" si="3"/>
        <v>1364.9024036816636</v>
      </c>
      <c r="AI11" s="664">
        <f t="shared" ca="1" si="3"/>
        <v>1426.2284129073259</v>
      </c>
      <c r="AJ11" s="664">
        <f t="shared" ca="1" si="3"/>
        <v>1490.0980189113211</v>
      </c>
      <c r="AK11" s="664">
        <f t="shared" ca="1" si="3"/>
        <v>1557.1163973332723</v>
      </c>
      <c r="AL11" s="664">
        <f t="shared" ca="1" si="3"/>
        <v>1627.1712089948041</v>
      </c>
      <c r="AM11" s="664">
        <f t="shared" ca="1" si="3"/>
        <v>1700.3381939951148</v>
      </c>
      <c r="AN11" s="665">
        <f t="shared" ca="1" si="3"/>
        <v>1776.7361525963015</v>
      </c>
      <c r="AO11" s="436"/>
    </row>
    <row r="12" spans="2:41" ht="15" customHeight="1" x14ac:dyDescent="0.35">
      <c r="B12" s="429"/>
      <c r="C12" s="464" t="s">
        <v>221</v>
      </c>
      <c r="D12" s="435"/>
      <c r="E12" s="666">
        <f t="shared" ref="E12:AN12" ca="1" si="4">SUMIF($C:$C,"Total Labor (MM)",E:E)</f>
        <v>9.0774248163452782</v>
      </c>
      <c r="F12" s="667">
        <f t="shared" ca="1" si="4"/>
        <v>9.4119419434205298</v>
      </c>
      <c r="G12" s="667">
        <f t="shared" ca="1" si="4"/>
        <v>9.7022436724499244</v>
      </c>
      <c r="H12" s="667">
        <f t="shared" ca="1" si="4"/>
        <v>10.085843100694941</v>
      </c>
      <c r="I12" s="667">
        <f t="shared" ca="1" si="4"/>
        <v>10.506061888651297</v>
      </c>
      <c r="J12" s="667">
        <f t="shared" ca="1" si="4"/>
        <v>10.965523463312991</v>
      </c>
      <c r="K12" s="667">
        <f t="shared" ca="1" si="4"/>
        <v>11.470840958003777</v>
      </c>
      <c r="L12" s="667">
        <f t="shared" ca="1" si="4"/>
        <v>12.0054196795009</v>
      </c>
      <c r="M12" s="667">
        <f t="shared" ca="1" si="4"/>
        <v>12.560688692441232</v>
      </c>
      <c r="N12" s="667">
        <f t="shared" ca="1" si="4"/>
        <v>13.136420604928182</v>
      </c>
      <c r="O12" s="667">
        <f t="shared" ca="1" si="4"/>
        <v>13.728360426485773</v>
      </c>
      <c r="P12" s="667">
        <f t="shared" ca="1" si="4"/>
        <v>14.343680628125073</v>
      </c>
      <c r="Q12" s="667">
        <f t="shared" ca="1" si="4"/>
        <v>14.976519562086066</v>
      </c>
      <c r="R12" s="667">
        <f t="shared" ca="1" si="4"/>
        <v>15.638560281452476</v>
      </c>
      <c r="S12" s="667">
        <f t="shared" ca="1" si="4"/>
        <v>16.337903388997358</v>
      </c>
      <c r="T12" s="667">
        <f t="shared" ca="1" si="4"/>
        <v>17.066323602987943</v>
      </c>
      <c r="U12" s="667">
        <f t="shared" ca="1" si="4"/>
        <v>17.838099117206397</v>
      </c>
      <c r="V12" s="667">
        <f t="shared" ca="1" si="4"/>
        <v>18.638275922309671</v>
      </c>
      <c r="W12" s="667">
        <f t="shared" ca="1" si="4"/>
        <v>19.476769921564085</v>
      </c>
      <c r="X12" s="667">
        <f t="shared" ca="1" si="4"/>
        <v>20.356564149050051</v>
      </c>
      <c r="Y12" s="667">
        <f t="shared" ca="1" si="4"/>
        <v>21.273935557260636</v>
      </c>
      <c r="Z12" s="667">
        <f t="shared" ca="1" si="4"/>
        <v>22.229155378241121</v>
      </c>
      <c r="AA12" s="667">
        <f t="shared" ca="1" si="4"/>
        <v>23.226361093431262</v>
      </c>
      <c r="AB12" s="667">
        <f t="shared" ca="1" si="4"/>
        <v>24.274101925924953</v>
      </c>
      <c r="AC12" s="667">
        <f t="shared" ca="1" si="4"/>
        <v>25.365061131888559</v>
      </c>
      <c r="AD12" s="667">
        <f t="shared" ca="1" si="4"/>
        <v>26.508082304548427</v>
      </c>
      <c r="AE12" s="667">
        <f t="shared" ca="1" si="4"/>
        <v>27.700007707260809</v>
      </c>
      <c r="AF12" s="667">
        <f t="shared" ca="1" si="4"/>
        <v>28.942405134652233</v>
      </c>
      <c r="AG12" s="667">
        <f t="shared" ca="1" si="4"/>
        <v>30.240788967831254</v>
      </c>
      <c r="AH12" s="667">
        <f t="shared" ca="1" si="4"/>
        <v>31.605434679169289</v>
      </c>
      <c r="AI12" s="667">
        <f t="shared" ca="1" si="4"/>
        <v>33.025761844125299</v>
      </c>
      <c r="AJ12" s="667">
        <f t="shared" ca="1" si="4"/>
        <v>34.505428909716116</v>
      </c>
      <c r="AK12" s="667">
        <f t="shared" ca="1" si="4"/>
        <v>36.057787750833072</v>
      </c>
      <c r="AL12" s="667">
        <f t="shared" ca="1" si="4"/>
        <v>37.679432684939712</v>
      </c>
      <c r="AM12" s="667">
        <f t="shared" ca="1" si="4"/>
        <v>39.374982555919857</v>
      </c>
      <c r="AN12" s="668">
        <f t="shared" ca="1" si="4"/>
        <v>41.144383169962197</v>
      </c>
      <c r="AO12" s="436"/>
    </row>
    <row r="13" spans="2:41" ht="15" customHeight="1" x14ac:dyDescent="0.35">
      <c r="B13" s="429"/>
      <c r="C13" s="464" t="s">
        <v>222</v>
      </c>
      <c r="D13" s="435"/>
      <c r="E13" s="666">
        <f t="shared" ref="E13:AN13" ca="1" si="5">SUMIF($C:$C,"Total Depreciation (MM)",E:E)</f>
        <v>22.164868774199888</v>
      </c>
      <c r="F13" s="667">
        <f t="shared" ca="1" si="5"/>
        <v>22.981390253643504</v>
      </c>
      <c r="G13" s="667">
        <f t="shared" ca="1" si="5"/>
        <v>23.689682693341382</v>
      </c>
      <c r="H13" s="667">
        <f t="shared" ca="1" si="5"/>
        <v>24.625827271214455</v>
      </c>
      <c r="I13" s="667">
        <f t="shared" ca="1" si="5"/>
        <v>25.652139565278237</v>
      </c>
      <c r="J13" s="667">
        <f t="shared" ca="1" si="5"/>
        <v>26.773157150158305</v>
      </c>
      <c r="K13" s="667">
        <f t="shared" ca="1" si="5"/>
        <v>28.006934064810785</v>
      </c>
      <c r="L13" s="667">
        <f t="shared" ca="1" si="5"/>
        <v>29.312148831560229</v>
      </c>
      <c r="M13" s="667">
        <f t="shared" ca="1" si="5"/>
        <v>30.667114822449172</v>
      </c>
      <c r="N13" s="667">
        <f t="shared" ca="1" si="5"/>
        <v>32.073149397181865</v>
      </c>
      <c r="O13" s="667">
        <f t="shared" ca="1" si="5"/>
        <v>33.517470174442749</v>
      </c>
      <c r="P13" s="667">
        <f t="shared" ca="1" si="5"/>
        <v>35.019995855684257</v>
      </c>
      <c r="Q13" s="667">
        <f t="shared" ca="1" si="5"/>
        <v>36.564843078026044</v>
      </c>
      <c r="R13" s="667">
        <f t="shared" ca="1" si="5"/>
        <v>38.179980820389176</v>
      </c>
      <c r="S13" s="667">
        <f t="shared" ca="1" si="5"/>
        <v>39.88751091278985</v>
      </c>
      <c r="T13" s="667">
        <f t="shared" ca="1" si="5"/>
        <v>41.66564939962624</v>
      </c>
      <c r="U13" s="667">
        <f t="shared" ca="1" si="5"/>
        <v>43.549474115005125</v>
      </c>
      <c r="V13" s="667">
        <f t="shared" ca="1" si="5"/>
        <v>45.502155529207933</v>
      </c>
      <c r="W13" s="667">
        <f t="shared" ca="1" si="5"/>
        <v>47.548966398338656</v>
      </c>
      <c r="X13" s="667">
        <f t="shared" ca="1" si="5"/>
        <v>49.696199345447042</v>
      </c>
      <c r="Y13" s="667">
        <f t="shared" ca="1" si="5"/>
        <v>51.936426751240376</v>
      </c>
      <c r="Z13" s="667">
        <f t="shared" ca="1" si="5"/>
        <v>54.267512412323427</v>
      </c>
      <c r="AA13" s="667">
        <f t="shared" ca="1" si="5"/>
        <v>56.700665165355332</v>
      </c>
      <c r="AB13" s="667">
        <f t="shared" ca="1" si="5"/>
        <v>59.257889013116056</v>
      </c>
      <c r="AC13" s="667">
        <f t="shared" ca="1" si="5"/>
        <v>61.921551781083338</v>
      </c>
      <c r="AD13" s="667">
        <f t="shared" ca="1" si="5"/>
        <v>64.71029006809232</v>
      </c>
      <c r="AE13" s="667">
        <f t="shared" ca="1" si="5"/>
        <v>67.619910720153314</v>
      </c>
      <c r="AF13" s="667">
        <f t="shared" ca="1" si="5"/>
        <v>70.652397097848976</v>
      </c>
      <c r="AG13" s="667">
        <f t="shared" ca="1" si="5"/>
        <v>73.821508472005021</v>
      </c>
      <c r="AH13" s="667">
        <f t="shared" ca="1" si="5"/>
        <v>77.154103549549419</v>
      </c>
      <c r="AI13" s="667">
        <f t="shared" ca="1" si="5"/>
        <v>80.620735231158648</v>
      </c>
      <c r="AJ13" s="667">
        <f t="shared" ca="1" si="5"/>
        <v>84.231152755292428</v>
      </c>
      <c r="AK13" s="667">
        <f t="shared" ca="1" si="5"/>
        <v>88.0195190854202</v>
      </c>
      <c r="AL13" s="667">
        <f t="shared" ca="1" si="5"/>
        <v>91.979410091444507</v>
      </c>
      <c r="AM13" s="667">
        <f t="shared" ca="1" si="5"/>
        <v>96.115538267786746</v>
      </c>
      <c r="AN13" s="668">
        <f t="shared" ca="1" si="5"/>
        <v>100.43407055408088</v>
      </c>
      <c r="AO13" s="436"/>
    </row>
    <row r="14" spans="2:41" ht="15" customHeight="1" thickBot="1" x14ac:dyDescent="0.4">
      <c r="B14" s="429"/>
      <c r="C14" s="464" t="s">
        <v>223</v>
      </c>
      <c r="D14" s="435"/>
      <c r="E14" s="660">
        <f t="shared" ref="E14:AN14" ca="1" si="6">SUMIF($C:$C,"Total Overhead (MM)",E:E)</f>
        <v>13.392430298740752</v>
      </c>
      <c r="F14" s="661">
        <f t="shared" ca="1" si="6"/>
        <v>13.886034144899217</v>
      </c>
      <c r="G14" s="661">
        <f t="shared" ca="1" si="6"/>
        <v>14.313917063419783</v>
      </c>
      <c r="H14" s="661">
        <f t="shared" ca="1" si="6"/>
        <v>14.87949659887706</v>
      </c>
      <c r="I14" s="661">
        <f t="shared" ca="1" si="6"/>
        <v>15.499541500832542</v>
      </c>
      <c r="J14" s="661">
        <f t="shared" ca="1" si="6"/>
        <v>16.176849321289801</v>
      </c>
      <c r="K14" s="661">
        <f t="shared" ca="1" si="6"/>
        <v>16.922394044754419</v>
      </c>
      <c r="L14" s="661">
        <f t="shared" ca="1" si="6"/>
        <v>17.711032977700597</v>
      </c>
      <c r="M14" s="661">
        <f t="shared" ca="1" si="6"/>
        <v>18.529596600224309</v>
      </c>
      <c r="N14" s="661">
        <f t="shared" ca="1" si="6"/>
        <v>19.379512304227532</v>
      </c>
      <c r="O14" s="661">
        <f t="shared" ca="1" si="6"/>
        <v>20.251826757430443</v>
      </c>
      <c r="P14" s="661">
        <f t="shared" ca="1" si="6"/>
        <v>21.159328074581303</v>
      </c>
      <c r="Q14" s="661">
        <f t="shared" ca="1" si="6"/>
        <v>22.093145975492632</v>
      </c>
      <c r="R14" s="661">
        <f t="shared" ca="1" si="6"/>
        <v>23.069018912237048</v>
      </c>
      <c r="S14" s="661">
        <f t="shared" ca="1" si="6"/>
        <v>24.100986317987484</v>
      </c>
      <c r="T14" s="661">
        <f t="shared" ca="1" si="6"/>
        <v>25.174972926851435</v>
      </c>
      <c r="U14" s="661">
        <f t="shared" ca="1" si="6"/>
        <v>26.312942477055095</v>
      </c>
      <c r="V14" s="661">
        <f t="shared" ca="1" si="6"/>
        <v>27.492918573230885</v>
      </c>
      <c r="W14" s="661">
        <f t="shared" ca="1" si="6"/>
        <v>28.729879361119956</v>
      </c>
      <c r="X14" s="661">
        <f t="shared" ca="1" si="6"/>
        <v>30.026475725409945</v>
      </c>
      <c r="Y14" s="661">
        <f t="shared" ca="1" si="6"/>
        <v>31.379869534824699</v>
      </c>
      <c r="Z14" s="661">
        <f t="shared" ca="1" si="6"/>
        <v>32.788845919350486</v>
      </c>
      <c r="AA14" s="661">
        <f t="shared" ca="1" si="6"/>
        <v>34.258841924244919</v>
      </c>
      <c r="AB14" s="661">
        <f t="shared" ca="1" si="6"/>
        <v>35.804357392354461</v>
      </c>
      <c r="AC14" s="661">
        <f t="shared" ca="1" si="6"/>
        <v>37.413114633783145</v>
      </c>
      <c r="AD14" s="661">
        <f t="shared" ca="1" si="6"/>
        <v>39.098352775638674</v>
      </c>
      <c r="AE14" s="661">
        <f t="shared" ca="1" si="6"/>
        <v>40.856358727660336</v>
      </c>
      <c r="AF14" s="661">
        <f t="shared" ca="1" si="6"/>
        <v>42.688712503662664</v>
      </c>
      <c r="AG14" s="661">
        <f t="shared" ca="1" si="6"/>
        <v>44.602615519560842</v>
      </c>
      <c r="AH14" s="661">
        <f t="shared" ca="1" si="6"/>
        <v>46.615960543793335</v>
      </c>
      <c r="AI14" s="661">
        <f t="shared" ca="1" si="6"/>
        <v>48.71100590228933</v>
      </c>
      <c r="AJ14" s="661">
        <f t="shared" ca="1" si="6"/>
        <v>50.892547311205902</v>
      </c>
      <c r="AK14" s="661">
        <f t="shared" ca="1" si="6"/>
        <v>53.181056134320841</v>
      </c>
      <c r="AL14" s="661">
        <f t="shared" ca="1" si="6"/>
        <v>55.572117518358411</v>
      </c>
      <c r="AM14" s="661">
        <f t="shared" ca="1" si="6"/>
        <v>58.07351705875007</v>
      </c>
      <c r="AN14" s="662">
        <f t="shared" ca="1" si="6"/>
        <v>60.681857799475566</v>
      </c>
      <c r="AO14" s="436"/>
    </row>
    <row r="15" spans="2:41" ht="15" customHeight="1" thickBot="1" x14ac:dyDescent="0.4">
      <c r="B15" s="465"/>
      <c r="C15" s="466"/>
      <c r="D15" s="466"/>
      <c r="E15" s="466"/>
      <c r="F15" s="466"/>
      <c r="G15" s="466"/>
      <c r="H15" s="466"/>
      <c r="I15" s="466"/>
      <c r="J15" s="466"/>
      <c r="K15" s="466"/>
      <c r="L15" s="466"/>
      <c r="M15" s="466"/>
      <c r="N15" s="466"/>
      <c r="O15" s="466"/>
      <c r="P15" s="466"/>
      <c r="Q15" s="466"/>
      <c r="R15" s="466"/>
      <c r="S15" s="466"/>
      <c r="T15" s="466"/>
      <c r="U15" s="466"/>
      <c r="V15" s="466"/>
      <c r="W15" s="466"/>
      <c r="X15" s="466"/>
      <c r="Y15" s="466"/>
      <c r="Z15" s="466"/>
      <c r="AA15" s="466"/>
      <c r="AB15" s="466"/>
      <c r="AC15" s="466"/>
      <c r="AD15" s="466"/>
      <c r="AE15" s="466"/>
      <c r="AF15" s="466"/>
      <c r="AG15" s="466"/>
      <c r="AH15" s="466"/>
      <c r="AI15" s="466"/>
      <c r="AJ15" s="466"/>
      <c r="AK15" s="466"/>
      <c r="AL15" s="466"/>
      <c r="AM15" s="466"/>
      <c r="AN15" s="466"/>
      <c r="AO15" s="467"/>
    </row>
    <row r="16" spans="2:41" ht="15" customHeight="1" x14ac:dyDescent="0.35"/>
    <row r="17" spans="2:42" ht="15" customHeight="1" thickBot="1" x14ac:dyDescent="0.4"/>
    <row r="18" spans="2:42" ht="15" customHeight="1" x14ac:dyDescent="0.35">
      <c r="B18" s="425"/>
      <c r="C18" s="453"/>
      <c r="D18" s="426"/>
      <c r="E18" s="453"/>
      <c r="F18" s="453"/>
      <c r="G18" s="453"/>
      <c r="H18" s="453"/>
      <c r="I18" s="453"/>
      <c r="J18" s="453"/>
      <c r="K18" s="453"/>
      <c r="L18" s="453"/>
      <c r="M18" s="453"/>
      <c r="N18" s="426"/>
      <c r="O18" s="426"/>
      <c r="P18" s="426"/>
      <c r="Q18" s="426"/>
      <c r="R18" s="426"/>
      <c r="S18" s="426"/>
      <c r="T18" s="426"/>
      <c r="U18" s="426"/>
      <c r="V18" s="426"/>
      <c r="W18" s="426"/>
      <c r="X18" s="426"/>
      <c r="Y18" s="426"/>
      <c r="Z18" s="426"/>
      <c r="AA18" s="426"/>
      <c r="AB18" s="426"/>
      <c r="AC18" s="426"/>
      <c r="AD18" s="426"/>
      <c r="AE18" s="426"/>
      <c r="AF18" s="426"/>
      <c r="AG18" s="426"/>
      <c r="AH18" s="426"/>
      <c r="AI18" s="426"/>
      <c r="AJ18" s="426"/>
      <c r="AK18" s="426"/>
      <c r="AL18" s="426"/>
      <c r="AM18" s="426"/>
      <c r="AN18" s="426"/>
      <c r="AO18" s="428"/>
      <c r="AP18" s="21"/>
    </row>
    <row r="19" spans="2:42" ht="15" customHeight="1" x14ac:dyDescent="0.35">
      <c r="B19" s="429"/>
      <c r="C19" s="772" t="s">
        <v>237</v>
      </c>
      <c r="D19" s="773"/>
      <c r="E19" s="773"/>
      <c r="F19" s="773"/>
      <c r="G19" s="773"/>
      <c r="H19" s="773"/>
      <c r="I19" s="773"/>
      <c r="J19" s="773"/>
      <c r="K19" s="773"/>
      <c r="L19" s="773"/>
      <c r="M19" s="773"/>
      <c r="N19" s="773"/>
      <c r="O19" s="773"/>
      <c r="P19" s="773"/>
      <c r="Q19" s="773"/>
      <c r="R19" s="773"/>
      <c r="S19" s="773"/>
      <c r="T19" s="773"/>
      <c r="U19" s="773"/>
      <c r="V19" s="773"/>
      <c r="W19" s="773"/>
      <c r="X19" s="773"/>
      <c r="Y19" s="773"/>
      <c r="Z19" s="773"/>
      <c r="AA19" s="773"/>
      <c r="AB19" s="773"/>
      <c r="AC19" s="773"/>
      <c r="AD19" s="773"/>
      <c r="AE19" s="773"/>
      <c r="AF19" s="773"/>
      <c r="AG19" s="773"/>
      <c r="AH19" s="773"/>
      <c r="AI19" s="773"/>
      <c r="AJ19" s="773"/>
      <c r="AK19" s="773"/>
      <c r="AL19" s="773"/>
      <c r="AM19" s="773"/>
      <c r="AN19" s="773"/>
      <c r="AO19" s="436"/>
      <c r="AP19" s="21"/>
    </row>
    <row r="20" spans="2:42" ht="15" customHeight="1" x14ac:dyDescent="0.35">
      <c r="B20" s="429"/>
      <c r="C20" s="772"/>
      <c r="D20" s="773"/>
      <c r="E20" s="774" t="str">
        <f t="shared" ref="E20:AN20" si="7">IF(E21=Announcement_Year,"Ancmt Yr",
IF(E21=Reference_Year,"Ref Yr",
IF(E21=Standard_Year,"Std Yr",
IF(E21=Terminal_Year,"Term Yr",
" "))))</f>
        <v xml:space="preserve"> </v>
      </c>
      <c r="F20" s="774" t="str">
        <f t="shared" ca="1" si="7"/>
        <v>Ancmt Yr</v>
      </c>
      <c r="G20" s="774" t="str">
        <f t="shared" ca="1" si="7"/>
        <v xml:space="preserve"> </v>
      </c>
      <c r="H20" s="774" t="str">
        <f t="shared" ca="1" si="7"/>
        <v xml:space="preserve"> </v>
      </c>
      <c r="I20" s="774" t="str">
        <f t="shared" ca="1" si="7"/>
        <v>Std Yr</v>
      </c>
      <c r="J20" s="774" t="str">
        <f t="shared" ca="1" si="7"/>
        <v xml:space="preserve"> </v>
      </c>
      <c r="K20" s="774" t="str">
        <f t="shared" ca="1" si="7"/>
        <v xml:space="preserve"> </v>
      </c>
      <c r="L20" s="774" t="str">
        <f t="shared" ca="1" si="7"/>
        <v xml:space="preserve"> </v>
      </c>
      <c r="M20" s="774" t="str">
        <f t="shared" ca="1" si="7"/>
        <v xml:space="preserve"> </v>
      </c>
      <c r="N20" s="774" t="str">
        <f t="shared" ca="1" si="7"/>
        <v xml:space="preserve"> </v>
      </c>
      <c r="O20" s="774" t="str">
        <f t="shared" ca="1" si="7"/>
        <v xml:space="preserve"> </v>
      </c>
      <c r="P20" s="774" t="str">
        <f t="shared" ca="1" si="7"/>
        <v xml:space="preserve"> </v>
      </c>
      <c r="Q20" s="774" t="str">
        <f t="shared" ca="1" si="7"/>
        <v xml:space="preserve"> </v>
      </c>
      <c r="R20" s="774" t="str">
        <f t="shared" ca="1" si="7"/>
        <v xml:space="preserve"> </v>
      </c>
      <c r="S20" s="774" t="str">
        <f t="shared" ca="1" si="7"/>
        <v xml:space="preserve"> </v>
      </c>
      <c r="T20" s="774" t="str">
        <f t="shared" ca="1" si="7"/>
        <v xml:space="preserve"> </v>
      </c>
      <c r="U20" s="774" t="str">
        <f t="shared" ca="1" si="7"/>
        <v xml:space="preserve"> </v>
      </c>
      <c r="V20" s="774" t="str">
        <f t="shared" ca="1" si="7"/>
        <v xml:space="preserve"> </v>
      </c>
      <c r="W20" s="774" t="str">
        <f t="shared" ca="1" si="7"/>
        <v xml:space="preserve"> </v>
      </c>
      <c r="X20" s="774" t="str">
        <f t="shared" ca="1" si="7"/>
        <v xml:space="preserve"> </v>
      </c>
      <c r="Y20" s="774" t="str">
        <f t="shared" ca="1" si="7"/>
        <v xml:space="preserve"> </v>
      </c>
      <c r="Z20" s="774" t="str">
        <f t="shared" ca="1" si="7"/>
        <v xml:space="preserve"> </v>
      </c>
      <c r="AA20" s="774" t="str">
        <f t="shared" ca="1" si="7"/>
        <v xml:space="preserve"> </v>
      </c>
      <c r="AB20" s="774" t="str">
        <f t="shared" ca="1" si="7"/>
        <v xml:space="preserve"> </v>
      </c>
      <c r="AC20" s="774" t="str">
        <f t="shared" ca="1" si="7"/>
        <v xml:space="preserve"> </v>
      </c>
      <c r="AD20" s="774" t="str">
        <f t="shared" ca="1" si="7"/>
        <v xml:space="preserve"> </v>
      </c>
      <c r="AE20" s="774" t="str">
        <f t="shared" ca="1" si="7"/>
        <v xml:space="preserve"> </v>
      </c>
      <c r="AF20" s="774" t="str">
        <f t="shared" ca="1" si="7"/>
        <v xml:space="preserve"> </v>
      </c>
      <c r="AG20" s="774" t="str">
        <f t="shared" ca="1" si="7"/>
        <v xml:space="preserve"> </v>
      </c>
      <c r="AH20" s="774" t="str">
        <f t="shared" ca="1" si="7"/>
        <v xml:space="preserve"> </v>
      </c>
      <c r="AI20" s="774" t="str">
        <f t="shared" ca="1" si="7"/>
        <v xml:space="preserve"> </v>
      </c>
      <c r="AJ20" s="774" t="str">
        <f t="shared" ca="1" si="7"/>
        <v xml:space="preserve"> </v>
      </c>
      <c r="AK20" s="774" t="str">
        <f t="shared" ca="1" si="7"/>
        <v xml:space="preserve"> </v>
      </c>
      <c r="AL20" s="774" t="str">
        <f t="shared" ca="1" si="7"/>
        <v xml:space="preserve"> </v>
      </c>
      <c r="AM20" s="774" t="str">
        <f t="shared" ca="1" si="7"/>
        <v xml:space="preserve"> </v>
      </c>
      <c r="AN20" s="774" t="str">
        <f t="shared" ca="1" si="7"/>
        <v>Term Yr</v>
      </c>
      <c r="AO20" s="436"/>
      <c r="AP20" s="21"/>
    </row>
    <row r="21" spans="2:42" ht="15" customHeight="1" x14ac:dyDescent="0.35">
      <c r="B21" s="429"/>
      <c r="C21" s="775" t="s">
        <v>99</v>
      </c>
      <c r="D21" s="776"/>
      <c r="E21" s="772">
        <f>Reference_Year -1</f>
        <v>2022</v>
      </c>
      <c r="F21" s="772">
        <f ca="1">OFFSET(F21,0,-1)+1</f>
        <v>2023</v>
      </c>
      <c r="G21" s="772">
        <f t="shared" ref="G21:AN21" ca="1" si="8">OFFSET(G21,0,-1)+1</f>
        <v>2024</v>
      </c>
      <c r="H21" s="772">
        <f t="shared" ca="1" si="8"/>
        <v>2025</v>
      </c>
      <c r="I21" s="772">
        <f t="shared" ca="1" si="8"/>
        <v>2026</v>
      </c>
      <c r="J21" s="772">
        <f t="shared" ca="1" si="8"/>
        <v>2027</v>
      </c>
      <c r="K21" s="772">
        <f t="shared" ca="1" si="8"/>
        <v>2028</v>
      </c>
      <c r="L21" s="772">
        <f t="shared" ca="1" si="8"/>
        <v>2029</v>
      </c>
      <c r="M21" s="772">
        <f t="shared" ca="1" si="8"/>
        <v>2030</v>
      </c>
      <c r="N21" s="772">
        <f t="shared" ca="1" si="8"/>
        <v>2031</v>
      </c>
      <c r="O21" s="772">
        <f t="shared" ca="1" si="8"/>
        <v>2032</v>
      </c>
      <c r="P21" s="772">
        <f t="shared" ca="1" si="8"/>
        <v>2033</v>
      </c>
      <c r="Q21" s="772">
        <f t="shared" ca="1" si="8"/>
        <v>2034</v>
      </c>
      <c r="R21" s="772">
        <f t="shared" ca="1" si="8"/>
        <v>2035</v>
      </c>
      <c r="S21" s="772">
        <f t="shared" ca="1" si="8"/>
        <v>2036</v>
      </c>
      <c r="T21" s="772">
        <f t="shared" ca="1" si="8"/>
        <v>2037</v>
      </c>
      <c r="U21" s="772">
        <f t="shared" ca="1" si="8"/>
        <v>2038</v>
      </c>
      <c r="V21" s="772">
        <f t="shared" ca="1" si="8"/>
        <v>2039</v>
      </c>
      <c r="W21" s="772">
        <f t="shared" ca="1" si="8"/>
        <v>2040</v>
      </c>
      <c r="X21" s="772">
        <f t="shared" ca="1" si="8"/>
        <v>2041</v>
      </c>
      <c r="Y21" s="772">
        <f t="shared" ca="1" si="8"/>
        <v>2042</v>
      </c>
      <c r="Z21" s="772">
        <f t="shared" ca="1" si="8"/>
        <v>2043</v>
      </c>
      <c r="AA21" s="772">
        <f t="shared" ca="1" si="8"/>
        <v>2044</v>
      </c>
      <c r="AB21" s="772">
        <f t="shared" ca="1" si="8"/>
        <v>2045</v>
      </c>
      <c r="AC21" s="772">
        <f t="shared" ca="1" si="8"/>
        <v>2046</v>
      </c>
      <c r="AD21" s="772">
        <f t="shared" ca="1" si="8"/>
        <v>2047</v>
      </c>
      <c r="AE21" s="772">
        <f ca="1">OFFSET(AE21,0,-1)+1</f>
        <v>2048</v>
      </c>
      <c r="AF21" s="772">
        <f t="shared" ca="1" si="8"/>
        <v>2049</v>
      </c>
      <c r="AG21" s="772">
        <f t="shared" ca="1" si="8"/>
        <v>2050</v>
      </c>
      <c r="AH21" s="772">
        <f t="shared" ca="1" si="8"/>
        <v>2051</v>
      </c>
      <c r="AI21" s="772">
        <f t="shared" ca="1" si="8"/>
        <v>2052</v>
      </c>
      <c r="AJ21" s="772">
        <f t="shared" ca="1" si="8"/>
        <v>2053</v>
      </c>
      <c r="AK21" s="772">
        <f t="shared" ca="1" si="8"/>
        <v>2054</v>
      </c>
      <c r="AL21" s="772">
        <f t="shared" ca="1" si="8"/>
        <v>2055</v>
      </c>
      <c r="AM21" s="772">
        <f t="shared" ca="1" si="8"/>
        <v>2056</v>
      </c>
      <c r="AN21" s="772">
        <f t="shared" ca="1" si="8"/>
        <v>2057</v>
      </c>
      <c r="AO21" s="436"/>
      <c r="AP21" s="21"/>
    </row>
    <row r="22" spans="2:42" ht="15" customHeight="1" x14ac:dyDescent="0.35">
      <c r="B22" s="429"/>
      <c r="C22" s="772" t="s">
        <v>81</v>
      </c>
      <c r="D22" s="776"/>
      <c r="E22" s="776"/>
      <c r="F22" s="776"/>
      <c r="G22" s="776"/>
      <c r="H22" s="776"/>
      <c r="I22" s="776"/>
      <c r="J22" s="776"/>
      <c r="K22" s="776"/>
      <c r="L22" s="776"/>
      <c r="M22" s="776"/>
      <c r="N22" s="776"/>
      <c r="O22" s="776"/>
      <c r="P22" s="776"/>
      <c r="Q22" s="776"/>
      <c r="R22" s="776"/>
      <c r="S22" s="776"/>
      <c r="T22" s="776"/>
      <c r="U22" s="776"/>
      <c r="V22" s="776"/>
      <c r="W22" s="776"/>
      <c r="X22" s="776"/>
      <c r="Y22" s="776"/>
      <c r="Z22" s="776"/>
      <c r="AA22" s="776"/>
      <c r="AB22" s="776"/>
      <c r="AC22" s="776"/>
      <c r="AD22" s="776"/>
      <c r="AE22" s="776"/>
      <c r="AF22" s="776"/>
      <c r="AG22" s="776"/>
      <c r="AH22" s="776"/>
      <c r="AI22" s="776"/>
      <c r="AJ22" s="776"/>
      <c r="AK22" s="776"/>
      <c r="AL22" s="776"/>
      <c r="AM22" s="776"/>
      <c r="AN22" s="776"/>
      <c r="AO22" s="436"/>
      <c r="AP22" s="21"/>
    </row>
    <row r="23" spans="2:42" ht="15" customHeight="1" x14ac:dyDescent="0.35">
      <c r="B23" s="429"/>
      <c r="C23" s="777" t="s">
        <v>10</v>
      </c>
      <c r="D23" s="776"/>
      <c r="E23" s="778" cm="1">
        <f t="array" aca="1" ref="E23" ca="1">OFFSET(MSP!$C$1,
MATCH(OFFSET($C22,((MATCH($C22,EL_List,0)-1)*-10)-1,0),MSP!$C:$C,0)+MATCH($C22,EL_List,0)-1,
MATCH(OFFSET($C22,((MATCH($C22,EL_List,0)-1)*-10)-3,0),MSP!$D$5:$N$5,0)+1)
*INDEX(Learning!$E$6:$S$41,(MATCH(E$21,Dates,0)),(MATCH($C$21,Learning!$E$4:$S$4,0)+MATCH($C$22,Learning!$E$5:$S$5,0)-1))</f>
        <v>47.245813999999989</v>
      </c>
      <c r="F23" s="778" cm="1">
        <f t="array" aca="1" ref="F23" ca="1">OFFSET(MSP!$C$1,
MATCH(OFFSET($C22,((MATCH($C22,EL_List,0)-1)*-10)-1,0),MSP!$C:$C,0)+MATCH($C22,EL_List,0)-1,
MATCH(OFFSET($C22,((MATCH($C22,EL_List,0)-1)*-10)-3,0),MSP!$D$5:$N$5,0)+1)
*INDEX(Learning!$E$6:$S$41,(MATCH(F$21,Dates,0)),(MATCH($C$21,Learning!$E$4:$S$4,0)+MATCH($C$22,Learning!$E$5:$S$5,0)-1))</f>
        <v>46.88342999999999</v>
      </c>
      <c r="G23" s="778" cm="1">
        <f t="array" aca="1" ref="G23" ca="1">OFFSET(MSP!$C$1,
MATCH(OFFSET($C22,((MATCH($C22,EL_List,0)-1)*-10)-1,0),MSP!$C:$C,0)+MATCH($C22,EL_List,0)-1,
MATCH(OFFSET($C22,((MATCH($C22,EL_List,0)-1)*-10)-3,0),MSP!$D$5:$N$5,0)+1)
*INDEX(Learning!$E$6:$S$41,(MATCH(G$21,Dates,0)),(MATCH($C$21,Learning!$E$4:$S$4,0)+MATCH($C$22,Learning!$E$5:$S$5,0)-1))</f>
        <v>46.566343999999994</v>
      </c>
      <c r="H23" s="778" cm="1">
        <f t="array" aca="1" ref="H23" ca="1">OFFSET(MSP!$C$1,
MATCH(OFFSET($C22,((MATCH($C22,EL_List,0)-1)*-10)-1,0),MSP!$C:$C,0)+MATCH($C22,EL_List,0)-1,
MATCH(OFFSET($C22,((MATCH($C22,EL_List,0)-1)*-10)-3,0),MSP!$D$5:$N$5,0)+1)
*INDEX(Learning!$E$6:$S$41,(MATCH(H$21,Dates,0)),(MATCH($C$21,Learning!$E$4:$S$4,0)+MATCH($C$22,Learning!$E$5:$S$5,0)-1))</f>
        <v>46.203959999999995</v>
      </c>
      <c r="I23" s="778" cm="1">
        <f t="array" aca="1" ref="I23" ca="1">OFFSET(MSP!$C$1,
MATCH(OFFSET($C22,((MATCH($C22,EL_List,0)-1)*-10)-1,0),MSP!$C:$C,0)+MATCH($C22,EL_List,0)-1,
MATCH(OFFSET($C22,((MATCH($C22,EL_List,0)-1)*-10)-3,0),MSP!$D$5:$N$5,0)+1)
*INDEX(Learning!$E$6:$S$41,(MATCH(I$21,Dates,0)),(MATCH($C$21,Learning!$E$4:$S$4,0)+MATCH($C$22,Learning!$E$5:$S$5,0)-1))</f>
        <v>45.886873999999992</v>
      </c>
      <c r="J23" s="778" cm="1">
        <f t="array" aca="1" ref="J23" ca="1">OFFSET(MSP!$C$1,
MATCH(OFFSET($C22,((MATCH($C22,EL_List,0)-1)*-10)-1,0),MSP!$C:$C,0)+MATCH($C22,EL_List,0)-1,
MATCH(OFFSET($C22,((MATCH($C22,EL_List,0)-1)*-10)-3,0),MSP!$D$5:$N$5,0)+1)
*INDEX(Learning!$E$6:$S$41,(MATCH(J$21,Dates,0)),(MATCH($C$21,Learning!$E$4:$S$4,0)+MATCH($C$22,Learning!$E$5:$S$5,0)-1))</f>
        <v>45.569787999999996</v>
      </c>
      <c r="K23" s="778" cm="1">
        <f t="array" aca="1" ref="K23" ca="1">OFFSET(MSP!$C$1,
MATCH(OFFSET($C22,((MATCH($C22,EL_List,0)-1)*-10)-1,0),MSP!$C:$C,0)+MATCH($C22,EL_List,0)-1,
MATCH(OFFSET($C22,((MATCH($C22,EL_List,0)-1)*-10)-3,0),MSP!$D$5:$N$5,0)+1)
*INDEX(Learning!$E$6:$S$41,(MATCH(K$21,Dates,0)),(MATCH($C$21,Learning!$E$4:$S$4,0)+MATCH($C$22,Learning!$E$5:$S$5,0)-1))</f>
        <v>45.297999999999995</v>
      </c>
      <c r="L23" s="778" cm="1">
        <f t="array" aca="1" ref="L23" ca="1">OFFSET(MSP!$C$1,
MATCH(OFFSET($C22,((MATCH($C22,EL_List,0)-1)*-10)-1,0),MSP!$C:$C,0)+MATCH($C22,EL_List,0)-1,
MATCH(OFFSET($C22,((MATCH($C22,EL_List,0)-1)*-10)-3,0),MSP!$D$5:$N$5,0)+1)
*INDEX(Learning!$E$6:$S$41,(MATCH(L$21,Dates,0)),(MATCH($C$21,Learning!$E$4:$S$4,0)+MATCH($C$22,Learning!$E$5:$S$5,0)-1))</f>
        <v>45.026211999999994</v>
      </c>
      <c r="M23" s="778" cm="1">
        <f t="array" aca="1" ref="M23" ca="1">OFFSET(MSP!$C$1,
MATCH(OFFSET($C22,((MATCH($C22,EL_List,0)-1)*-10)-1,0),MSP!$C:$C,0)+MATCH($C22,EL_List,0)-1,
MATCH(OFFSET($C22,((MATCH($C22,EL_List,0)-1)*-10)-3,0),MSP!$D$5:$N$5,0)+1)
*INDEX(Learning!$E$6:$S$41,(MATCH(M$21,Dates,0)),(MATCH($C$21,Learning!$E$4:$S$4,0)+MATCH($C$22,Learning!$E$5:$S$5,0)-1))</f>
        <v>44.754423999999993</v>
      </c>
      <c r="N23" s="778" cm="1">
        <f t="array" aca="1" ref="N23" ca="1">OFFSET(MSP!$C$1,
MATCH(OFFSET($C22,((MATCH($C22,EL_List,0)-1)*-10)-1,0),MSP!$C:$C,0)+MATCH($C22,EL_List,0)-1,
MATCH(OFFSET($C22,((MATCH($C22,EL_List,0)-1)*-10)-3,0),MSP!$D$5:$N$5,0)+1)
*INDEX(Learning!$E$6:$S$41,(MATCH(N$21,Dates,0)),(MATCH($C$21,Learning!$E$4:$S$4,0)+MATCH($C$22,Learning!$E$5:$S$5,0)-1))</f>
        <v>44.482635999999992</v>
      </c>
      <c r="O23" s="778" cm="1">
        <f t="array" aca="1" ref="O23" ca="1">OFFSET(MSP!$C$1,
MATCH(OFFSET($C22,((MATCH($C22,EL_List,0)-1)*-10)-1,0),MSP!$C:$C,0)+MATCH($C22,EL_List,0)-1,
MATCH(OFFSET($C22,((MATCH($C22,EL_List,0)-1)*-10)-3,0),MSP!$D$5:$N$5,0)+1)
*INDEX(Learning!$E$6:$S$41,(MATCH(O$21,Dates,0)),(MATCH($C$21,Learning!$E$4:$S$4,0)+MATCH($C$22,Learning!$E$5:$S$5,0)-1))</f>
        <v>44.210847999999991</v>
      </c>
      <c r="P23" s="778" cm="1">
        <f t="array" aca="1" ref="P23" ca="1">OFFSET(MSP!$C$1,
MATCH(OFFSET($C22,((MATCH($C22,EL_List,0)-1)*-10)-1,0),MSP!$C:$C,0)+MATCH($C22,EL_List,0)-1,
MATCH(OFFSET($C22,((MATCH($C22,EL_List,0)-1)*-10)-3,0),MSP!$D$5:$N$5,0)+1)
*INDEX(Learning!$E$6:$S$41,(MATCH(P$21,Dates,0)),(MATCH($C$21,Learning!$E$4:$S$4,0)+MATCH($C$22,Learning!$E$5:$S$5,0)-1))</f>
        <v>43.939059999999991</v>
      </c>
      <c r="Q23" s="778" cm="1">
        <f t="array" aca="1" ref="Q23" ca="1">OFFSET(MSP!$C$1,
MATCH(OFFSET($C22,((MATCH($C22,EL_List,0)-1)*-10)-1,0),MSP!$C:$C,0)+MATCH($C22,EL_List,0)-1,
MATCH(OFFSET($C22,((MATCH($C22,EL_List,0)-1)*-10)-3,0),MSP!$D$5:$N$5,0)+1)
*INDEX(Learning!$E$6:$S$41,(MATCH(Q$21,Dates,0)),(MATCH($C$21,Learning!$E$4:$S$4,0)+MATCH($C$22,Learning!$E$5:$S$5,0)-1))</f>
        <v>43.712569999999992</v>
      </c>
      <c r="R23" s="778" cm="1">
        <f t="array" aca="1" ref="R23" ca="1">OFFSET(MSP!$C$1,
MATCH(OFFSET($C22,((MATCH($C22,EL_List,0)-1)*-10)-1,0),MSP!$C:$C,0)+MATCH($C22,EL_List,0)-1,
MATCH(OFFSET($C22,((MATCH($C22,EL_List,0)-1)*-10)-3,0),MSP!$D$5:$N$5,0)+1)
*INDEX(Learning!$E$6:$S$41,(MATCH(R$21,Dates,0)),(MATCH($C$21,Learning!$E$4:$S$4,0)+MATCH($C$22,Learning!$E$5:$S$5,0)-1))</f>
        <v>43.486079999999994</v>
      </c>
      <c r="S23" s="778" cm="1">
        <f t="array" aca="1" ref="S23" ca="1">OFFSET(MSP!$C$1,
MATCH(OFFSET($C22,((MATCH($C22,EL_List,0)-1)*-10)-1,0),MSP!$C:$C,0)+MATCH($C22,EL_List,0)-1,
MATCH(OFFSET($C22,((MATCH($C22,EL_List,0)-1)*-10)-3,0),MSP!$D$5:$N$5,0)+1)
*INDEX(Learning!$E$6:$S$41,(MATCH(S$21,Dates,0)),(MATCH($C$21,Learning!$E$4:$S$4,0)+MATCH($C$22,Learning!$E$5:$S$5,0)-1))</f>
        <v>43.259589999999996</v>
      </c>
      <c r="T23" s="778" cm="1">
        <f t="array" aca="1" ref="T23" ca="1">OFFSET(MSP!$C$1,
MATCH(OFFSET($C22,((MATCH($C22,EL_List,0)-1)*-10)-1,0),MSP!$C:$C,0)+MATCH($C22,EL_List,0)-1,
MATCH(OFFSET($C22,((MATCH($C22,EL_List,0)-1)*-10)-3,0),MSP!$D$5:$N$5,0)+1)
*INDEX(Learning!$E$6:$S$41,(MATCH(T$21,Dates,0)),(MATCH($C$21,Learning!$E$4:$S$4,0)+MATCH($C$22,Learning!$E$5:$S$5,0)-1))</f>
        <v>43.03309999999999</v>
      </c>
      <c r="U23" s="778" cm="1">
        <f t="array" aca="1" ref="U23" ca="1">OFFSET(MSP!$C$1,
MATCH(OFFSET($C22,((MATCH($C22,EL_List,0)-1)*-10)-1,0),MSP!$C:$C,0)+MATCH($C22,EL_List,0)-1,
MATCH(OFFSET($C22,((MATCH($C22,EL_List,0)-1)*-10)-3,0),MSP!$D$5:$N$5,0)+1)
*INDEX(Learning!$E$6:$S$41,(MATCH(U$21,Dates,0)),(MATCH($C$21,Learning!$E$4:$S$4,0)+MATCH($C$22,Learning!$E$5:$S$5,0)-1))</f>
        <v>42.806609999999992</v>
      </c>
      <c r="V23" s="778" cm="1">
        <f t="array" aca="1" ref="V23" ca="1">OFFSET(MSP!$C$1,
MATCH(OFFSET($C22,((MATCH($C22,EL_List,0)-1)*-10)-1,0),MSP!$C:$C,0)+MATCH($C22,EL_List,0)-1,
MATCH(OFFSET($C22,((MATCH($C22,EL_List,0)-1)*-10)-3,0),MSP!$D$5:$N$5,0)+1)
*INDEX(Learning!$E$6:$S$41,(MATCH(V$21,Dates,0)),(MATCH($C$21,Learning!$E$4:$S$4,0)+MATCH($C$22,Learning!$E$5:$S$5,0)-1))</f>
        <v>42.580119999999994</v>
      </c>
      <c r="W23" s="778" cm="1">
        <f t="array" aca="1" ref="W23" ca="1">OFFSET(MSP!$C$1,
MATCH(OFFSET($C22,((MATCH($C22,EL_List,0)-1)*-10)-1,0),MSP!$C:$C,0)+MATCH($C22,EL_List,0)-1,
MATCH(OFFSET($C22,((MATCH($C22,EL_List,0)-1)*-10)-3,0),MSP!$D$5:$N$5,0)+1)
*INDEX(Learning!$E$6:$S$41,(MATCH(W$21,Dates,0)),(MATCH($C$21,Learning!$E$4:$S$4,0)+MATCH($C$22,Learning!$E$5:$S$5,0)-1))</f>
        <v>42.353629999999995</v>
      </c>
      <c r="X23" s="778" cm="1">
        <f t="array" aca="1" ref="X23" ca="1">OFFSET(MSP!$C$1,
MATCH(OFFSET($C22,((MATCH($C22,EL_List,0)-1)*-10)-1,0),MSP!$C:$C,0)+MATCH($C22,EL_List,0)-1,
MATCH(OFFSET($C22,((MATCH($C22,EL_List,0)-1)*-10)-3,0),MSP!$D$5:$N$5,0)+1)
*INDEX(Learning!$E$6:$S$41,(MATCH(X$21,Dates,0)),(MATCH($C$21,Learning!$E$4:$S$4,0)+MATCH($C$22,Learning!$E$5:$S$5,0)-1))</f>
        <v>42.127139999999997</v>
      </c>
      <c r="Y23" s="778" cm="1">
        <f t="array" aca="1" ref="Y23" ca="1">OFFSET(MSP!$C$1,
MATCH(OFFSET($C22,((MATCH($C22,EL_List,0)-1)*-10)-1,0),MSP!$C:$C,0)+MATCH($C22,EL_List,0)-1,
MATCH(OFFSET($C22,((MATCH($C22,EL_List,0)-1)*-10)-3,0),MSP!$D$5:$N$5,0)+1)
*INDEX(Learning!$E$6:$S$41,(MATCH(Y$21,Dates,0)),(MATCH($C$21,Learning!$E$4:$S$4,0)+MATCH($C$22,Learning!$E$5:$S$5,0)-1))</f>
        <v>41.945947999999994</v>
      </c>
      <c r="Z23" s="778" cm="1">
        <f t="array" aca="1" ref="Z23" ca="1">OFFSET(MSP!$C$1,
MATCH(OFFSET($C22,((MATCH($C22,EL_List,0)-1)*-10)-1,0),MSP!$C:$C,0)+MATCH($C22,EL_List,0)-1,
MATCH(OFFSET($C22,((MATCH($C22,EL_List,0)-1)*-10)-3,0),MSP!$D$5:$N$5,0)+1)
*INDEX(Learning!$E$6:$S$41,(MATCH(Z$21,Dates,0)),(MATCH($C$21,Learning!$E$4:$S$4,0)+MATCH($C$22,Learning!$E$5:$S$5,0)-1))</f>
        <v>41.719457999999996</v>
      </c>
      <c r="AA23" s="778" cm="1">
        <f t="array" aca="1" ref="AA23" ca="1">OFFSET(MSP!$C$1,
MATCH(OFFSET($C22,((MATCH($C22,EL_List,0)-1)*-10)-1,0),MSP!$C:$C,0)+MATCH($C22,EL_List,0)-1,
MATCH(OFFSET($C22,((MATCH($C22,EL_List,0)-1)*-10)-3,0),MSP!$D$5:$N$5,0)+1)
*INDEX(Learning!$E$6:$S$41,(MATCH(AA$21,Dates,0)),(MATCH($C$21,Learning!$E$4:$S$4,0)+MATCH($C$22,Learning!$E$5:$S$5,0)-1))</f>
        <v>41.538266</v>
      </c>
      <c r="AB23" s="778" cm="1">
        <f t="array" aca="1" ref="AB23" ca="1">OFFSET(MSP!$C$1,
MATCH(OFFSET($C22,((MATCH($C22,EL_List,0)-1)*-10)-1,0),MSP!$C:$C,0)+MATCH($C22,EL_List,0)-1,
MATCH(OFFSET($C22,((MATCH($C22,EL_List,0)-1)*-10)-3,0),MSP!$D$5:$N$5,0)+1)
*INDEX(Learning!$E$6:$S$41,(MATCH(AB$21,Dates,0)),(MATCH($C$21,Learning!$E$4:$S$4,0)+MATCH($C$22,Learning!$E$5:$S$5,0)-1))</f>
        <v>41.357073999999997</v>
      </c>
      <c r="AC23" s="778" cm="1">
        <f t="array" aca="1" ref="AC23" ca="1">OFFSET(MSP!$C$1,
MATCH(OFFSET($C22,((MATCH($C22,EL_List,0)-1)*-10)-1,0),MSP!$C:$C,0)+MATCH($C22,EL_List,0)-1,
MATCH(OFFSET($C22,((MATCH($C22,EL_List,0)-1)*-10)-3,0),MSP!$D$5:$N$5,0)+1)
*INDEX(Learning!$E$6:$S$41,(MATCH(AC$21,Dates,0)),(MATCH($C$21,Learning!$E$4:$S$4,0)+MATCH($C$22,Learning!$E$5:$S$5,0)-1))</f>
        <v>41.130583999999999</v>
      </c>
      <c r="AD23" s="778" cm="1">
        <f t="array" aca="1" ref="AD23" ca="1">OFFSET(MSP!$C$1,
MATCH(OFFSET($C22,((MATCH($C22,EL_List,0)-1)*-10)-1,0),MSP!$C:$C,0)+MATCH($C22,EL_List,0)-1,
MATCH(OFFSET($C22,((MATCH($C22,EL_List,0)-1)*-10)-3,0),MSP!$D$5:$N$5,0)+1)
*INDEX(Learning!$E$6:$S$41,(MATCH(AD$21,Dates,0)),(MATCH($C$21,Learning!$E$4:$S$4,0)+MATCH($C$22,Learning!$E$5:$S$5,0)-1))</f>
        <v>40.949391999999996</v>
      </c>
      <c r="AE23" s="778" cm="1">
        <f t="array" aca="1" ref="AE23" ca="1">OFFSET(MSP!$C$1,
MATCH(OFFSET($C22,((MATCH($C22,EL_List,0)-1)*-10)-1,0),MSP!$C:$C,0)+MATCH($C22,EL_List,0)-1,
MATCH(OFFSET($C22,((MATCH($C22,EL_List,0)-1)*-10)-3,0),MSP!$D$5:$N$5,0)+1)
*INDEX(Learning!$E$6:$S$41,(MATCH(AE$21,Dates,0)),(MATCH($C$21,Learning!$E$4:$S$4,0)+MATCH($C$22,Learning!$E$5:$S$5,0)-1))</f>
        <v>40.768199999999993</v>
      </c>
      <c r="AF23" s="778" cm="1">
        <f t="array" aca="1" ref="AF23" ca="1">OFFSET(MSP!$C$1,
MATCH(OFFSET($C22,((MATCH($C22,EL_List,0)-1)*-10)-1,0),MSP!$C:$C,0)+MATCH($C22,EL_List,0)-1,
MATCH(OFFSET($C22,((MATCH($C22,EL_List,0)-1)*-10)-3,0),MSP!$D$5:$N$5,0)+1)
*INDEX(Learning!$E$6:$S$41,(MATCH(AF$21,Dates,0)),(MATCH($C$21,Learning!$E$4:$S$4,0)+MATCH($C$22,Learning!$E$5:$S$5,0)-1))</f>
        <v>40.587007999999997</v>
      </c>
      <c r="AG23" s="778" cm="1">
        <f t="array" aca="1" ref="AG23" ca="1">OFFSET(MSP!$C$1,
MATCH(OFFSET($C22,((MATCH($C22,EL_List,0)-1)*-10)-1,0),MSP!$C:$C,0)+MATCH($C22,EL_List,0)-1,
MATCH(OFFSET($C22,((MATCH($C22,EL_List,0)-1)*-10)-3,0),MSP!$D$5:$N$5,0)+1)
*INDEX(Learning!$E$6:$S$41,(MATCH(AG$21,Dates,0)),(MATCH($C$21,Learning!$E$4:$S$4,0)+MATCH($C$22,Learning!$E$5:$S$5,0)-1))</f>
        <v>40.405815999999994</v>
      </c>
      <c r="AH23" s="778" cm="1">
        <f t="array" aca="1" ref="AH23" ca="1">OFFSET(MSP!$C$1,
MATCH(OFFSET($C22,((MATCH($C22,EL_List,0)-1)*-10)-1,0),MSP!$C:$C,0)+MATCH($C22,EL_List,0)-1,
MATCH(OFFSET($C22,((MATCH($C22,EL_List,0)-1)*-10)-3,0),MSP!$D$5:$N$5,0)+1)
*INDEX(Learning!$E$6:$S$41,(MATCH(AH$21,Dates,0)),(MATCH($C$21,Learning!$E$4:$S$4,0)+MATCH($C$22,Learning!$E$5:$S$5,0)-1))</f>
        <v>40.224623999999999</v>
      </c>
      <c r="AI23" s="778" cm="1">
        <f t="array" aca="1" ref="AI23" ca="1">OFFSET(MSP!$C$1,
MATCH(OFFSET($C22,((MATCH($C22,EL_List,0)-1)*-10)-1,0),MSP!$C:$C,0)+MATCH($C22,EL_List,0)-1,
MATCH(OFFSET($C22,((MATCH($C22,EL_List,0)-1)*-10)-3,0),MSP!$D$5:$N$5,0)+1)
*INDEX(Learning!$E$6:$S$41,(MATCH(AI$21,Dates,0)),(MATCH($C$21,Learning!$E$4:$S$4,0)+MATCH($C$22,Learning!$E$5:$S$5,0)-1))</f>
        <v>40.043431999999996</v>
      </c>
      <c r="AJ23" s="778" cm="1">
        <f t="array" aca="1" ref="AJ23" ca="1">OFFSET(MSP!$C$1,
MATCH(OFFSET($C22,((MATCH($C22,EL_List,0)-1)*-10)-1,0),MSP!$C:$C,0)+MATCH($C22,EL_List,0)-1,
MATCH(OFFSET($C22,((MATCH($C22,EL_List,0)-1)*-10)-3,0),MSP!$D$5:$N$5,0)+1)
*INDEX(Learning!$E$6:$S$41,(MATCH(AJ$21,Dates,0)),(MATCH($C$21,Learning!$E$4:$S$4,0)+MATCH($C$22,Learning!$E$5:$S$5,0)-1))</f>
        <v>39.862239999999993</v>
      </c>
      <c r="AK23" s="778" cm="1">
        <f t="array" aca="1" ref="AK23" ca="1">OFFSET(MSP!$C$1,
MATCH(OFFSET($C22,((MATCH($C22,EL_List,0)-1)*-10)-1,0),MSP!$C:$C,0)+MATCH($C22,EL_List,0)-1,
MATCH(OFFSET($C22,((MATCH($C22,EL_List,0)-1)*-10)-3,0),MSP!$D$5:$N$5,0)+1)
*INDEX(Learning!$E$6:$S$41,(MATCH(AK$21,Dates,0)),(MATCH($C$21,Learning!$E$4:$S$4,0)+MATCH($C$22,Learning!$E$5:$S$5,0)-1))</f>
        <v>39.681047999999997</v>
      </c>
      <c r="AL23" s="778" cm="1">
        <f t="array" aca="1" ref="AL23" ca="1">OFFSET(MSP!$C$1,
MATCH(OFFSET($C22,((MATCH($C22,EL_List,0)-1)*-10)-1,0),MSP!$C:$C,0)+MATCH($C22,EL_List,0)-1,
MATCH(OFFSET($C22,((MATCH($C22,EL_List,0)-1)*-10)-3,0),MSP!$D$5:$N$5,0)+1)
*INDEX(Learning!$E$6:$S$41,(MATCH(AL$21,Dates,0)),(MATCH($C$21,Learning!$E$4:$S$4,0)+MATCH($C$22,Learning!$E$5:$S$5,0)-1))</f>
        <v>39.499855999999994</v>
      </c>
      <c r="AM23" s="778" cm="1">
        <f t="array" aca="1" ref="AM23" ca="1">OFFSET(MSP!$C$1,
MATCH(OFFSET($C22,((MATCH($C22,EL_List,0)-1)*-10)-1,0),MSP!$C:$C,0)+MATCH($C22,EL_List,0)-1,
MATCH(OFFSET($C22,((MATCH($C22,EL_List,0)-1)*-10)-3,0),MSP!$D$5:$N$5,0)+1)
*INDEX(Learning!$E$6:$S$41,(MATCH(AM$21,Dates,0)),(MATCH($C$21,Learning!$E$4:$S$4,0)+MATCH($C$22,Learning!$E$5:$S$5,0)-1))</f>
        <v>39.363961999999994</v>
      </c>
      <c r="AN23" s="778" cm="1">
        <f t="array" aca="1" ref="AN23" ca="1">OFFSET(MSP!$C$1,
MATCH(OFFSET($C22,((MATCH($C22,EL_List,0)-1)*-10)-1,0),MSP!$C:$C,0)+MATCH($C22,EL_List,0)-1,
MATCH(OFFSET($C22,((MATCH($C22,EL_List,0)-1)*-10)-3,0),MSP!$D$5:$N$5,0)+1)
*INDEX(Learning!$E$6:$S$41,(MATCH(AN$21,Dates,0)),(MATCH($C$21,Learning!$E$4:$S$4,0)+MATCH($C$22,Learning!$E$5:$S$5,0)-1))</f>
        <v>39.173000796026784</v>
      </c>
      <c r="AO23" s="436"/>
      <c r="AP23" s="21"/>
    </row>
    <row r="24" spans="2:42" ht="15" customHeight="1" x14ac:dyDescent="0.35">
      <c r="B24" s="429"/>
      <c r="C24" s="777" t="s">
        <v>78</v>
      </c>
      <c r="D24" s="776"/>
      <c r="E24" s="530">
        <f ca="1">OFFSET(OFFSET(Shipments!$D$1,0,MATCH(E$7,Dates)),
MATCH(OFFSET($C22,((MATCH($C22,EL_List,0)-1)*-10)-3,0),Shipments!$C:$C,0)+
MATCH(OFFSET($C22,((MATCH($C22,EL_List,0)-1)*-10)-1,0),Shipments!$D:$D,0)+
MATCH($C22,EL_List,0)-10,
MATCH(Shipments_Scenario_X,Shipments!$F$5:$AQ$5,0))</f>
        <v>0.5521341648717446</v>
      </c>
      <c r="F24" s="530">
        <f ca="1">OFFSET(OFFSET(Shipments!$D$1,0,MATCH(F$7,Dates)),
MATCH(OFFSET($C22,((MATCH($C22,EL_List,0)-1)*-10)-3,0),Shipments!$C:$C,0)+
MATCH(OFFSET($C22,((MATCH($C22,EL_List,0)-1)*-10)-1,0),Shipments!$D:$D,0)+
MATCH($C22,EL_List,0)-10,
MATCH(Shipments_Scenario_X,Shipments!$F$5:$AQ$5,0))</f>
        <v>0.57682480687873139</v>
      </c>
      <c r="G24" s="530">
        <f ca="1">OFFSET(OFFSET(Shipments!$D$1,0,MATCH(G$7,Dates)),
MATCH(OFFSET($C22,((MATCH($C22,EL_List,0)-1)*-10)-3,0),Shipments!$C:$C,0)+
MATCH(OFFSET($C22,((MATCH($C22,EL_List,0)-1)*-10)-1,0),Shipments!$D:$D,0)+
MATCH($C22,EL_List,0)-10,
MATCH(Shipments_Scenario_X,Shipments!$F$5:$AQ$5,0))</f>
        <v>0.59895031769905971</v>
      </c>
      <c r="H24" s="530">
        <f ca="1">OFFSET(OFFSET(Shipments!$D$1,0,MATCH(H$7,Dates)),
MATCH(OFFSET($C22,((MATCH($C22,EL_List,0)-1)*-10)-3,0),Shipments!$C:$C,0)+
MATCH(OFFSET($C22,((MATCH($C22,EL_List,0)-1)*-10)-1,0),Shipments!$D:$D,0)+
MATCH($C22,EL_List,0)-10,
MATCH(Shipments_Scenario_X,Shipments!$F$5:$AQ$5,0))</f>
        <v>0.62707882046526864</v>
      </c>
      <c r="I24" s="530">
        <f ca="1">OFFSET(OFFSET(Shipments!$D$1,0,MATCH(I$7,Dates)),
MATCH(OFFSET($C22,((MATCH($C22,EL_List,0)-1)*-10)-3,0),Shipments!$C:$C,0)+
MATCH(OFFSET($C22,((MATCH($C22,EL_List,0)-1)*-10)-1,0),Shipments!$D:$D,0)+
MATCH($C22,EL_List,0)-10,
MATCH(Shipments_Scenario_X,Shipments!$F$5:$AQ$5,0))</f>
        <v>0.65726153845926649</v>
      </c>
      <c r="J24" s="530">
        <f ca="1">OFFSET(OFFSET(Shipments!$D$1,0,MATCH(J$7,Dates)),
MATCH(OFFSET($C22,((MATCH($C22,EL_List,0)-1)*-10)-3,0),Shipments!$C:$C,0)+
MATCH(OFFSET($C22,((MATCH($C22,EL_List,0)-1)*-10)-1,0),Shipments!$D:$D,0)+
MATCH($C22,EL_List,0)-10,
MATCH(Shipments_Scenario_X,Shipments!$F$5:$AQ$5,0))</f>
        <v>0.69066446261081693</v>
      </c>
      <c r="K24" s="530">
        <f ca="1">OFFSET(OFFSET(Shipments!$D$1,0,MATCH(K$7,Dates)),
MATCH(OFFSET($C22,((MATCH($C22,EL_List,0)-1)*-10)-3,0),Shipments!$C:$C,0)+
MATCH(OFFSET($C22,((MATCH($C22,EL_List,0)-1)*-10)-1,0),Shipments!$D:$D,0)+
MATCH($C22,EL_List,0)-10,
MATCH(Shipments_Scenario_X,Shipments!$F$5:$AQ$5,0))</f>
        <v>0.72689469319629474</v>
      </c>
      <c r="L24" s="530">
        <f ca="1">OFFSET(OFFSET(Shipments!$D$1,0,MATCH(L$7,Dates)),
MATCH(OFFSET($C22,((MATCH($C22,EL_List,0)-1)*-10)-3,0),Shipments!$C:$C,0)+
MATCH(OFFSET($C22,((MATCH($C22,EL_List,0)-1)*-10)-1,0),Shipments!$D:$D,0)+
MATCH($C22,EL_List,0)-10,
MATCH(Shipments_Scenario_X,Shipments!$F$5:$AQ$5,0))</f>
        <v>0.76536253955263056</v>
      </c>
      <c r="M24" s="530">
        <f ca="1">OFFSET(OFFSET(Shipments!$D$1,0,MATCH(M$7,Dates)),
MATCH(OFFSET($C22,((MATCH($C22,EL_List,0)-1)*-10)-3,0),Shipments!$C:$C,0)+
MATCH(OFFSET($C22,((MATCH($C22,EL_List,0)-1)*-10)-1,0),Shipments!$D:$D,0)+
MATCH($C22,EL_List,0)-10,
MATCH(Shipments_Scenario_X,Shipments!$F$5:$AQ$5,0))</f>
        <v>0.80560782213861293</v>
      </c>
      <c r="N24" s="530">
        <f ca="1">OFFSET(OFFSET(Shipments!$D$1,0,MATCH(N$7,Dates)),
MATCH(OFFSET($C22,((MATCH($C22,EL_List,0)-1)*-10)-3,0),Shipments!$C:$C,0)+
MATCH(OFFSET($C22,((MATCH($C22,EL_List,0)-1)*-10)-1,0),Shipments!$D:$D,0)+
MATCH($C22,EL_List,0)-10,
MATCH(Shipments_Scenario_X,Shipments!$F$5:$AQ$5,0))</f>
        <v>0.84732394278635037</v>
      </c>
      <c r="O24" s="530">
        <f ca="1">OFFSET(OFFSET(Shipments!$D$1,0,MATCH(O$7,Dates)),
MATCH(OFFSET($C22,((MATCH($C22,EL_List,0)-1)*-10)-3,0),Shipments!$C:$C,0)+
MATCH(OFFSET($C22,((MATCH($C22,EL_List,0)-1)*-10)-1,0),Shipments!$D:$D,0)+
MATCH($C22,EL_List,0)-10,
MATCH(Shipments_Scenario_X,Shipments!$F$5:$AQ$5,0))</f>
        <v>0.89049288647245339</v>
      </c>
      <c r="P24" s="530">
        <f ca="1">OFFSET(OFFSET(Shipments!$D$1,0,MATCH(P$7,Dates)),
MATCH(OFFSET($C22,((MATCH($C22,EL_List,0)-1)*-10)-3,0),Shipments!$C:$C,0)+
MATCH(OFFSET($C22,((MATCH($C22,EL_List,0)-1)*-10)-1,0),Shipments!$D:$D,0)+
MATCH($C22,EL_List,0)-10,
MATCH(Shipments_Scenario_X,Shipments!$F$5:$AQ$5,0))</f>
        <v>0.93529954029833573</v>
      </c>
      <c r="Q24" s="530">
        <f ca="1">OFFSET(OFFSET(Shipments!$D$1,0,MATCH(Q$7,Dates)),
MATCH(OFFSET($C22,((MATCH($C22,EL_List,0)-1)*-10)-3,0),Shipments!$C:$C,0)+
MATCH(OFFSET($C22,((MATCH($C22,EL_List,0)-1)*-10)-1,0),Shipments!$D:$D,0)+
MATCH($C22,EL_List,0)-10,
MATCH(Shipments_Scenario_X,Shipments!$F$5:$AQ$5,0))</f>
        <v>0.98202639028874628</v>
      </c>
      <c r="R24" s="530">
        <f ca="1">OFFSET(OFFSET(Shipments!$D$1,0,MATCH(R$7,Dates)),
MATCH(OFFSET($C22,((MATCH($C22,EL_List,0)-1)*-10)-3,0),Shipments!$C:$C,0)+
MATCH(OFFSET($C22,((MATCH($C22,EL_List,0)-1)*-10)-1,0),Shipments!$D:$D,0)+
MATCH($C22,EL_List,0)-10,
MATCH(Shipments_Scenario_X,Shipments!$F$5:$AQ$5,0))</f>
        <v>1.0310031822498305</v>
      </c>
      <c r="S24" s="530">
        <f ca="1">OFFSET(OFFSET(Shipments!$D$1,0,MATCH(S$7,Dates)),
MATCH(OFFSET($C22,((MATCH($C22,EL_List,0)-1)*-10)-3,0),Shipments!$C:$C,0)+
MATCH(OFFSET($C22,((MATCH($C22,EL_List,0)-1)*-10)-1,0),Shipments!$D:$D,0)+
MATCH($C22,EL_List,0)-10,
MATCH(Shipments_Scenario_X,Shipments!$F$5:$AQ$5,0))</f>
        <v>1.0825070409563695</v>
      </c>
      <c r="T24" s="530">
        <f ca="1">OFFSET(OFFSET(Shipments!$D$1,0,MATCH(T$7,Dates)),
MATCH(OFFSET($C22,((MATCH($C22,EL_List,0)-1)*-10)-3,0),Shipments!$C:$C,0)+
MATCH(OFFSET($C22,((MATCH($C22,EL_List,0)-1)*-10)-1,0),Shipments!$D:$D,0)+
MATCH($C22,EL_List,0)-10,
MATCH(Shipments_Scenario_X,Shipments!$F$5:$AQ$5,0))</f>
        <v>1.1367133045722304</v>
      </c>
      <c r="U24" s="530">
        <f ca="1">OFFSET(OFFSET(Shipments!$D$1,0,MATCH(U$7,Dates)),
MATCH(OFFSET($C22,((MATCH($C22,EL_List,0)-1)*-10)-3,0),Shipments!$C:$C,0)+
MATCH(OFFSET($C22,((MATCH($C22,EL_List,0)-1)*-10)-1,0),Shipments!$D:$D,0)+
MATCH($C22,EL_List,0)-10,
MATCH(Shipments_Scenario_X,Shipments!$F$5:$AQ$5,0))</f>
        <v>1.1938168452879538</v>
      </c>
      <c r="V24" s="530">
        <f ca="1">OFFSET(OFFSET(Shipments!$D$1,0,MATCH(V$7,Dates)),
MATCH(OFFSET($C22,((MATCH($C22,EL_List,0)-1)*-10)-3,0),Shipments!$C:$C,0)+
MATCH(OFFSET($C22,((MATCH($C22,EL_List,0)-1)*-10)-1,0),Shipments!$D:$D,0)+
MATCH($C22,EL_List,0)-10,
MATCH(Shipments_Scenario_X,Shipments!$F$5:$AQ$5,0))</f>
        <v>1.2537032295083836</v>
      </c>
      <c r="W24" s="530">
        <f ca="1">OFFSET(OFFSET(Shipments!$D$1,0,MATCH(W$7,Dates)),
MATCH(OFFSET($C22,((MATCH($C22,EL_List,0)-1)*-10)-3,0),Shipments!$C:$C,0)+
MATCH(OFFSET($C22,((MATCH($C22,EL_List,0)-1)*-10)-1,0),Shipments!$D:$D,0)+
MATCH($C22,EL_List,0)-10,
MATCH(Shipments_Scenario_X,Shipments!$F$5:$AQ$5,0))</f>
        <v>1.3165544433276275</v>
      </c>
      <c r="X24" s="530">
        <f ca="1">OFFSET(OFFSET(Shipments!$D$1,0,MATCH(X$7,Dates)),
MATCH(OFFSET($C22,((MATCH($C22,EL_List,0)-1)*-10)-3,0),Shipments!$C:$C,0)+
MATCH(OFFSET($C22,((MATCH($C22,EL_List,0)-1)*-10)-1,0),Shipments!$D:$D,0)+
MATCH($C22,EL_List,0)-10,
MATCH(Shipments_Scenario_X,Shipments!$F$5:$AQ$5,0))</f>
        <v>1.382446371091552</v>
      </c>
      <c r="Y24" s="530">
        <f ca="1">OFFSET(OFFSET(Shipments!$D$1,0,MATCH(Y$7,Dates)),
MATCH(OFFSET($C22,((MATCH($C22,EL_List,0)-1)*-10)-3,0),Shipments!$C:$C,0)+
MATCH(OFFSET($C22,((MATCH($C22,EL_List,0)-1)*-10)-1,0),Shipments!$D:$D,0)+
MATCH($C22,EL_List,0)-10,
MATCH(Shipments_Scenario_X,Shipments!$F$5:$AQ$5,0))</f>
        <v>1.4514912492190921</v>
      </c>
      <c r="Z24" s="530">
        <f ca="1">OFFSET(OFFSET(Shipments!$D$1,0,MATCH(Z$7,Dates)),
MATCH(OFFSET($C22,((MATCH($C22,EL_List,0)-1)*-10)-3,0),Shipments!$C:$C,0)+
MATCH(OFFSET($C22,((MATCH($C22,EL_List,0)-1)*-10)-1,0),Shipments!$D:$D,0)+
MATCH($C22,EL_List,0)-10,
MATCH(Shipments_Scenario_X,Shipments!$F$5:$AQ$5,0))</f>
        <v>1.5238395542747851</v>
      </c>
      <c r="AA24" s="530">
        <f ca="1">OFFSET(OFFSET(Shipments!$D$1,0,MATCH(AA$7,Dates)),
MATCH(OFFSET($C22,((MATCH($C22,EL_List,0)-1)*-10)-3,0),Shipments!$C:$C,0)+
MATCH(OFFSET($C22,((MATCH($C22,EL_List,0)-1)*-10)-1,0),Shipments!$D:$D,0)+
MATCH($C22,EL_List,0)-10,
MATCH(Shipments_Scenario_X,Shipments!$F$5:$AQ$5,0))</f>
        <v>1.5996648625679759</v>
      </c>
      <c r="AB24" s="530">
        <f ca="1">OFFSET(OFFSET(Shipments!$D$1,0,MATCH(AB$7,Dates)),
MATCH(OFFSET($C22,((MATCH($C22,EL_List,0)-1)*-10)-3,0),Shipments!$C:$C,0)+
MATCH(OFFSET($C22,((MATCH($C22,EL_List,0)-1)*-10)-1,0),Shipments!$D:$D,0)+
MATCH($C22,EL_List,0)-10,
MATCH(Shipments_Scenario_X,Shipments!$F$5:$AQ$5,0))</f>
        <v>1.6791661513857883</v>
      </c>
      <c r="AC24" s="530">
        <f ca="1">OFFSET(OFFSET(Shipments!$D$1,0,MATCH(AC$7,Dates)),
MATCH(OFFSET($C22,((MATCH($C22,EL_List,0)-1)*-10)-3,0),Shipments!$C:$C,0)+
MATCH(OFFSET($C22,((MATCH($C22,EL_List,0)-1)*-10)-1,0),Shipments!$D:$D,0)+
MATCH($C22,EL_List,0)-10,
MATCH(Shipments_Scenario_X,Shipments!$F$5:$AQ$5,0))</f>
        <v>1.7625444109367558</v>
      </c>
      <c r="AD24" s="530">
        <f ca="1">OFFSET(OFFSET(Shipments!$D$1,0,MATCH(AD$7,Dates)),
MATCH(OFFSET($C22,((MATCH($C22,EL_List,0)-1)*-10)-3,0),Shipments!$C:$C,0)+
MATCH(OFFSET($C22,((MATCH($C22,EL_List,0)-1)*-10)-1,0),Shipments!$D:$D,0)+
MATCH($C22,EL_List,0)-10,
MATCH(Shipments_Scenario_X,Shipments!$F$5:$AQ$5,0))</f>
        <v>1.8500017544940943</v>
      </c>
      <c r="AE24" s="530">
        <f ca="1">OFFSET(OFFSET(Shipments!$D$1,0,MATCH(AE$7,Dates)),
MATCH(OFFSET($C22,((MATCH($C22,EL_List,0)-1)*-10)-3,0),Shipments!$C:$C,0)+
MATCH(OFFSET($C22,((MATCH($C22,EL_List,0)-1)*-10)-1,0),Shipments!$D:$D,0)+
MATCH($C22,EL_List,0)-10,
MATCH(Shipments_Scenario_X,Shipments!$F$5:$AQ$5,0))</f>
        <v>1.9417403392508525</v>
      </c>
      <c r="AF24" s="530">
        <f ca="1">OFFSET(OFFSET(Shipments!$D$1,0,MATCH(AF$7,Dates)),
MATCH(OFFSET($C22,((MATCH($C22,EL_List,0)-1)*-10)-3,0),Shipments!$C:$C,0)+
MATCH(OFFSET($C22,((MATCH($C22,EL_List,0)-1)*-10)-1,0),Shipments!$D:$D,0)+
MATCH($C22,EL_List,0)-10,
MATCH(Shipments_Scenario_X,Shipments!$F$5:$AQ$5,0))</f>
        <v>2.0379643226148945</v>
      </c>
      <c r="AG24" s="530">
        <f ca="1">OFFSET(OFFSET(Shipments!$D$1,0,MATCH(AG$7,Dates)),
MATCH(OFFSET($C22,((MATCH($C22,EL_List,0)-1)*-10)-3,0),Shipments!$C:$C,0)+
MATCH(OFFSET($C22,((MATCH($C22,EL_List,0)-1)*-10)-1,0),Shipments!$D:$D,0)+
MATCH($C22,EL_List,0)-10,
MATCH(Shipments_Scenario_X,Shipments!$F$5:$AQ$5,0))</f>
        <v>2.1388841975464219</v>
      </c>
      <c r="AH24" s="530">
        <f ca="1">OFFSET(OFFSET(Shipments!$D$1,0,MATCH(AH$7,Dates)),
MATCH(OFFSET($C22,((MATCH($C22,EL_List,0)-1)*-10)-3,0),Shipments!$C:$C,0)+
MATCH(OFFSET($C22,((MATCH($C22,EL_List,0)-1)*-10)-1,0),Shipments!$D:$D,0)+
MATCH($C22,EL_List,0)-10,
MATCH(Shipments_Scenario_X,Shipments!$F$5:$AQ$5,0))</f>
        <v>2.2447207029914096</v>
      </c>
      <c r="AI24" s="530">
        <f ca="1">OFFSET(OFFSET(Shipments!$D$1,0,MATCH(AI$7,Dates)),
MATCH(OFFSET($C22,((MATCH($C22,EL_List,0)-1)*-10)-3,0),Shipments!$C:$C,0)+
MATCH(OFFSET($C22,((MATCH($C22,EL_List,0)-1)*-10)-1,0),Shipments!$D:$D,0)+
MATCH($C22,EL_List,0)-10,
MATCH(Shipments_Scenario_X,Shipments!$F$5:$AQ$5,0))</f>
        <v>2.3557077771856956</v>
      </c>
      <c r="AJ24" s="530">
        <f ca="1">OFFSET(OFFSET(Shipments!$D$1,0,MATCH(AJ$7,Dates)),
MATCH(OFFSET($C22,((MATCH($C22,EL_List,0)-1)*-10)-3,0),Shipments!$C:$C,0)+
MATCH(OFFSET($C22,((MATCH($C22,EL_List,0)-1)*-10)-1,0),Shipments!$D:$D,0)+
MATCH($C22,EL_List,0)-10,
MATCH(Shipments_Scenario_X,Shipments!$F$5:$AQ$5,0))</f>
        <v>2.4720941705559598</v>
      </c>
      <c r="AK24" s="530">
        <f ca="1">OFFSET(OFFSET(Shipments!$D$1,0,MATCH(AK$7,Dates)),
MATCH(OFFSET($C22,((MATCH($C22,EL_List,0)-1)*-10)-3,0),Shipments!$C:$C,0)+
MATCH(OFFSET($C22,((MATCH($C22,EL_List,0)-1)*-10)-1,0),Shipments!$D:$D,0)+
MATCH($C22,EL_List,0)-10,
MATCH(Shipments_Scenario_X,Shipments!$F$5:$AQ$5,0))</f>
        <v>2.5941435882726904</v>
      </c>
      <c r="AL24" s="530">
        <f ca="1">OFFSET(OFFSET(Shipments!$D$1,0,MATCH(AL$7,Dates)),
MATCH(OFFSET($C22,((MATCH($C22,EL_List,0)-1)*-10)-3,0),Shipments!$C:$C,0)+
MATCH(OFFSET($C22,((MATCH($C22,EL_List,0)-1)*-10)-1,0),Shipments!$D:$D,0)+
MATCH($C22,EL_List,0)-10,
MATCH(Shipments_Scenario_X,Shipments!$F$5:$AQ$5,0))</f>
        <v>2.722134205542599</v>
      </c>
      <c r="AM24" s="530">
        <f ca="1">OFFSET(OFFSET(Shipments!$D$1,0,MATCH(AM$7,Dates)),
MATCH(OFFSET($C22,((MATCH($C22,EL_List,0)-1)*-10)-3,0),Shipments!$C:$C,0)+
MATCH(OFFSET($C22,((MATCH($C22,EL_List,0)-1)*-10)-1,0),Shipments!$D:$D,0)+
MATCH($C22,EL_List,0)-10,
MATCH(Shipments_Scenario_X,Shipments!$F$5:$AQ$5,0))</f>
        <v>2.8563583452873176</v>
      </c>
      <c r="AN24" s="530">
        <f ca="1">OFFSET(OFFSET(Shipments!$D$1,0,MATCH(AN$7,Dates)),
MATCH(OFFSET($C22,((MATCH($C22,EL_List,0)-1)*-10)-3,0),Shipments!$C:$C,0)+
MATCH(OFFSET($C22,((MATCH($C22,EL_List,0)-1)*-10)-1,0),Shipments!$D:$D,0)+
MATCH($C22,EL_List,0)-10,
MATCH(Shipments_Scenario_X,Shipments!$F$5:$AQ$5,0))</f>
        <v>2.9971213191330528</v>
      </c>
      <c r="AO24" s="436"/>
      <c r="AP24" s="21"/>
    </row>
    <row r="25" spans="2:42" ht="15" customHeight="1" x14ac:dyDescent="0.35">
      <c r="B25" s="429"/>
      <c r="C25" s="777" t="s">
        <v>79</v>
      </c>
      <c r="D25" s="776"/>
      <c r="E25" s="531">
        <f t="shared" ref="E25:AN25" ca="1" si="9">E23*E24</f>
        <v>26.086028056575774</v>
      </c>
      <c r="F25" s="531">
        <f t="shared" ca="1" si="9"/>
        <v>27.043525455562516</v>
      </c>
      <c r="G25" s="531">
        <f t="shared" ca="1" si="9"/>
        <v>27.8909265328837</v>
      </c>
      <c r="H25" s="531">
        <f t="shared" ca="1" si="9"/>
        <v>28.973524737624452</v>
      </c>
      <c r="I25" s="531">
        <f t="shared" ca="1" si="9"/>
        <v>30.159677400326512</v>
      </c>
      <c r="J25" s="531">
        <f t="shared" ca="1" si="9"/>
        <v>31.473433140308853</v>
      </c>
      <c r="K25" s="531">
        <f t="shared" ca="1" si="9"/>
        <v>32.926875812405754</v>
      </c>
      <c r="L25" s="531">
        <f t="shared" ca="1" si="9"/>
        <v>34.461375962755127</v>
      </c>
      <c r="M25" s="531">
        <f t="shared" ca="1" si="9"/>
        <v>36.054514049708061</v>
      </c>
      <c r="N25" s="531">
        <f t="shared" ca="1" si="9"/>
        <v>37.691202521050045</v>
      </c>
      <c r="O25" s="531">
        <f t="shared" ca="1" si="9"/>
        <v>39.369445648914883</v>
      </c>
      <c r="P25" s="531">
        <f t="shared" ca="1" si="9"/>
        <v>41.096182619140983</v>
      </c>
      <c r="Q25" s="531">
        <f t="shared" ca="1" si="9"/>
        <v>42.926897327344136</v>
      </c>
      <c r="R25" s="531">
        <f t="shared" ca="1" si="9"/>
        <v>44.834286863570703</v>
      </c>
      <c r="S25" s="531">
        <f t="shared" ca="1" si="9"/>
        <v>46.828810763885748</v>
      </c>
      <c r="T25" s="531">
        <f t="shared" ca="1" si="9"/>
        <v>48.916297306987239</v>
      </c>
      <c r="U25" s="531">
        <f t="shared" ca="1" si="9"/>
        <v>51.103252107671771</v>
      </c>
      <c r="V25" s="531">
        <f t="shared" ca="1" si="9"/>
        <v>53.382833956854512</v>
      </c>
      <c r="W25" s="531">
        <f t="shared" ca="1" si="9"/>
        <v>55.760859767554301</v>
      </c>
      <c r="X25" s="531">
        <f t="shared" ca="1" si="9"/>
        <v>58.238511817465756</v>
      </c>
      <c r="Y25" s="531">
        <f t="shared" ca="1" si="9"/>
        <v>60.884176462199072</v>
      </c>
      <c r="Z25" s="531">
        <f t="shared" ca="1" si="9"/>
        <v>63.57376028330561</v>
      </c>
      <c r="AA25" s="531">
        <f t="shared" ca="1" si="9"/>
        <v>66.447304572202029</v>
      </c>
      <c r="AB25" s="531">
        <f t="shared" ca="1" si="9"/>
        <v>69.445398781157238</v>
      </c>
      <c r="AC25" s="531">
        <f t="shared" ca="1" si="9"/>
        <v>72.494480947764757</v>
      </c>
      <c r="AD25" s="531">
        <f t="shared" ca="1" si="9"/>
        <v>75.756447045466416</v>
      </c>
      <c r="AE25" s="531">
        <f t="shared" ca="1" si="9"/>
        <v>79.161258498646589</v>
      </c>
      <c r="AF25" s="531">
        <f t="shared" ca="1" si="9"/>
        <v>82.714874265685296</v>
      </c>
      <c r="AG25" s="531">
        <f t="shared" ca="1" si="9"/>
        <v>86.423361331368369</v>
      </c>
      <c r="AH25" s="531">
        <f t="shared" ca="1" si="9"/>
        <v>90.293046262845124</v>
      </c>
      <c r="AI25" s="531">
        <f t="shared" ca="1" si="9"/>
        <v>94.330624187606546</v>
      </c>
      <c r="AJ25" s="531">
        <f t="shared" ca="1" si="9"/>
        <v>98.543211129302591</v>
      </c>
      <c r="AK25" s="531">
        <f t="shared" ca="1" si="9"/>
        <v>102.93833624514086</v>
      </c>
      <c r="AL25" s="531">
        <f t="shared" ca="1" si="9"/>
        <v>107.52390913160704</v>
      </c>
      <c r="AM25" s="531">
        <f t="shared" ref="AM25" ca="1" si="10">AM23*AM24</f>
        <v>112.43758136227284</v>
      </c>
      <c r="AN25" s="531">
        <f t="shared" ca="1" si="9"/>
        <v>117.40623582018792</v>
      </c>
      <c r="AO25" s="436"/>
      <c r="AP25" s="21"/>
    </row>
    <row r="26" spans="2:42" ht="15" customHeight="1" x14ac:dyDescent="0.35">
      <c r="B26" s="429"/>
      <c r="C26" s="777"/>
      <c r="D26" s="776"/>
      <c r="E26" s="776"/>
      <c r="F26" s="776"/>
      <c r="G26" s="776"/>
      <c r="H26" s="776"/>
      <c r="I26" s="776"/>
      <c r="J26" s="776"/>
      <c r="K26" s="776"/>
      <c r="L26" s="776"/>
      <c r="M26" s="776"/>
      <c r="N26" s="776"/>
      <c r="O26" s="776"/>
      <c r="P26" s="776"/>
      <c r="Q26" s="776"/>
      <c r="R26" s="776"/>
      <c r="S26" s="776"/>
      <c r="T26" s="776"/>
      <c r="U26" s="776"/>
      <c r="V26" s="776"/>
      <c r="W26" s="776"/>
      <c r="X26" s="776"/>
      <c r="Y26" s="776"/>
      <c r="Z26" s="776"/>
      <c r="AA26" s="776"/>
      <c r="AB26" s="776"/>
      <c r="AC26" s="776"/>
      <c r="AD26" s="776"/>
      <c r="AE26" s="776"/>
      <c r="AF26" s="776"/>
      <c r="AG26" s="776"/>
      <c r="AH26" s="776"/>
      <c r="AI26" s="776"/>
      <c r="AJ26" s="776"/>
      <c r="AK26" s="776"/>
      <c r="AL26" s="776"/>
      <c r="AM26" s="776"/>
      <c r="AN26" s="776"/>
      <c r="AO26" s="436"/>
      <c r="AP26" s="21"/>
    </row>
    <row r="27" spans="2:42" ht="15" customHeight="1" x14ac:dyDescent="0.35">
      <c r="B27" s="429"/>
      <c r="C27" s="777" t="s">
        <v>212</v>
      </c>
      <c r="D27" s="776"/>
      <c r="E27" s="532" cm="1">
        <f t="array" aca="1" ref="E27" ca="1">OFFSET(E27,-3,0)*
OFFSET(MSP!$D$1,
MATCH(OFFSET($C22,((MATCH($C22,EL_List,0)-1)*-10)-1,0),MSP!$C:$C,0)+MATCH($C22,EL_List,0)-1,0)
*INDEX(Learning!$E$6:$S$41,(MATCH(E$21,Dates,0)),(MATCH($C$21,Learning!$E$4:$S$4,0)+MATCH($C$22,Learning!$E$5:$S$5,0)-1))</f>
        <v>16.037555935928047</v>
      </c>
      <c r="F27" s="532" cm="1">
        <f t="array" aca="1" ref="F27" ca="1">OFFSET(F27,-3,0)*
OFFSET(MSP!$D$1,
MATCH(OFFSET($C22,((MATCH($C22,EL_List,0)-1)*-10)-1,0),MSP!$C:$C,0)+MATCH($C22,EL_List,0)-1,0)
*INDEX(Learning!$E$6:$S$41,(MATCH(F$21,Dates,0)),(MATCH($C$21,Learning!$E$4:$S$4,0)+MATCH($C$22,Learning!$E$5:$S$5,0)-1))</f>
        <v>16.626220414148012</v>
      </c>
      <c r="G27" s="532" cm="1">
        <f t="array" aca="1" ref="G27" ca="1">OFFSET(G27,-3,0)*
OFFSET(MSP!$D$1,
MATCH(OFFSET($C22,((MATCH($C22,EL_List,0)-1)*-10)-1,0),MSP!$C:$C,0)+MATCH($C22,EL_List,0)-1,0)
*INDEX(Learning!$E$6:$S$41,(MATCH(G$21,Dates,0)),(MATCH($C$21,Learning!$E$4:$S$4,0)+MATCH($C$22,Learning!$E$5:$S$5,0)-1))</f>
        <v>17.147198239834218</v>
      </c>
      <c r="H27" s="532" cm="1">
        <f t="array" aca="1" ref="H27" ca="1">OFFSET(H27,-3,0)*
OFFSET(MSP!$D$1,
MATCH(OFFSET($C22,((MATCH($C22,EL_List,0)-1)*-10)-1,0),MSP!$C:$C,0)+MATCH($C22,EL_List,0)-1,0)
*INDEX(Learning!$E$6:$S$41,(MATCH(H$21,Dates,0)),(MATCH($C$21,Learning!$E$4:$S$4,0)+MATCH($C$22,Learning!$E$5:$S$5,0)-1))</f>
        <v>17.812774050264597</v>
      </c>
      <c r="I27" s="532" cm="1">
        <f t="array" aca="1" ref="I27" ca="1">OFFSET(I27,-3,0)*
OFFSET(MSP!$D$1,
MATCH(OFFSET($C22,((MATCH($C22,EL_List,0)-1)*-10)-1,0),MSP!$C:$C,0)+MATCH($C22,EL_List,0)-1,0)
*INDEX(Learning!$E$6:$S$41,(MATCH(I$21,Dates,0)),(MATCH($C$21,Learning!$E$4:$S$4,0)+MATCH($C$22,Learning!$E$5:$S$5,0)-1))</f>
        <v>18.542014609056334</v>
      </c>
      <c r="J27" s="532" cm="1">
        <f t="array" aca="1" ref="J27" ca="1">OFFSET(J27,-3,0)*
OFFSET(MSP!$D$1,
MATCH(OFFSET($C22,((MATCH($C22,EL_List,0)-1)*-10)-1,0),MSP!$C:$C,0)+MATCH($C22,EL_List,0)-1,0)
*INDEX(Learning!$E$6:$S$41,(MATCH(J$21,Dates,0)),(MATCH($C$21,Learning!$E$4:$S$4,0)+MATCH($C$22,Learning!$E$5:$S$5,0)-1))</f>
        <v>19.349704883728187</v>
      </c>
      <c r="K27" s="532" cm="1">
        <f t="array" aca="1" ref="K27" ca="1">OFFSET(K27,-3,0)*
OFFSET(MSP!$D$1,
MATCH(OFFSET($C22,((MATCH($C22,EL_List,0)-1)*-10)-1,0),MSP!$C:$C,0)+MATCH($C22,EL_List,0)-1,0)
*INDEX(Learning!$E$6:$S$41,(MATCH(K$21,Dates,0)),(MATCH($C$21,Learning!$E$4:$S$4,0)+MATCH($C$22,Learning!$E$5:$S$5,0)-1))</f>
        <v>20.243273966106862</v>
      </c>
      <c r="L27" s="532" cm="1">
        <f t="array" aca="1" ref="L27" ca="1">OFFSET(L27,-3,0)*
OFFSET(MSP!$D$1,
MATCH(OFFSET($C22,((MATCH($C22,EL_List,0)-1)*-10)-1,0),MSP!$C:$C,0)+MATCH($C22,EL_List,0)-1,0)
*INDEX(Learning!$E$6:$S$41,(MATCH(L$21,Dates,0)),(MATCH($C$21,Learning!$E$4:$S$4,0)+MATCH($C$22,Learning!$E$5:$S$5,0)-1))</f>
        <v>21.186676769383169</v>
      </c>
      <c r="M27" s="532" cm="1">
        <f t="array" aca="1" ref="M27" ca="1">OFFSET(M27,-3,0)*
OFFSET(MSP!$D$1,
MATCH(OFFSET($C22,((MATCH($C22,EL_List,0)-1)*-10)-1,0),MSP!$C:$C,0)+MATCH($C22,EL_List,0)-1,0)
*INDEX(Learning!$E$6:$S$41,(MATCH(M$21,Dates,0)),(MATCH($C$21,Learning!$E$4:$S$4,0)+MATCH($C$22,Learning!$E$5:$S$5,0)-1))</f>
        <v>22.166129874614519</v>
      </c>
      <c r="N27" s="532" cm="1">
        <f t="array" aca="1" ref="N27" ca="1">OFFSET(N27,-3,0)*
OFFSET(MSP!$D$1,
MATCH(OFFSET($C22,((MATCH($C22,EL_List,0)-1)*-10)-1,0),MSP!$C:$C,0)+MATCH($C22,EL_List,0)-1,0)
*INDEX(Learning!$E$6:$S$41,(MATCH(N$21,Dates,0)),(MATCH($C$21,Learning!$E$4:$S$4,0)+MATCH($C$22,Learning!$E$5:$S$5,0)-1))</f>
        <v>23.172357532267398</v>
      </c>
      <c r="O27" s="532" cm="1">
        <f t="array" aca="1" ref="O27" ca="1">OFFSET(O27,-3,0)*
OFFSET(MSP!$D$1,
MATCH(OFFSET($C22,((MATCH($C22,EL_List,0)-1)*-10)-1,0),MSP!$C:$C,0)+MATCH($C22,EL_List,0)-1,0)
*INDEX(Learning!$E$6:$S$41,(MATCH(O$21,Dates,0)),(MATCH($C$21,Learning!$E$4:$S$4,0)+MATCH($C$22,Learning!$E$5:$S$5,0)-1))</f>
        <v>24.204132779110108</v>
      </c>
      <c r="P27" s="532" cm="1">
        <f t="array" aca="1" ref="P27" ca="1">OFFSET(P27,-3,0)*
OFFSET(MSP!$D$1,
MATCH(OFFSET($C22,((MATCH($C22,EL_List,0)-1)*-10)-1,0),MSP!$C:$C,0)+MATCH($C22,EL_List,0)-1,0)
*INDEX(Learning!$E$6:$S$41,(MATCH(P$21,Dates,0)),(MATCH($C$21,Learning!$E$4:$S$4,0)+MATCH($C$22,Learning!$E$5:$S$5,0)-1))</f>
        <v>25.265721790920406</v>
      </c>
      <c r="Q27" s="532" cm="1">
        <f t="array" aca="1" ref="Q27" ca="1">OFFSET(Q27,-3,0)*
OFFSET(MSP!$D$1,
MATCH(OFFSET($C22,((MATCH($C22,EL_List,0)-1)*-10)-1,0),MSP!$C:$C,0)+MATCH($C22,EL_List,0)-1,0)
*INDEX(Learning!$E$6:$S$41,(MATCH(Q$21,Dates,0)),(MATCH($C$21,Learning!$E$4:$S$4,0)+MATCH($C$22,Learning!$E$5:$S$5,0)-1))</f>
        <v>26.391235781469575</v>
      </c>
      <c r="R27" s="532" cm="1">
        <f t="array" aca="1" ref="R27" ca="1">OFFSET(R27,-3,0)*
OFFSET(MSP!$D$1,
MATCH(OFFSET($C22,((MATCH($C22,EL_List,0)-1)*-10)-1,0),MSP!$C:$C,0)+MATCH($C22,EL_List,0)-1,0)
*INDEX(Learning!$E$6:$S$41,(MATCH(R$21,Dates,0)),(MATCH($C$21,Learning!$E$4:$S$4,0)+MATCH($C$22,Learning!$E$5:$S$5,0)-1))</f>
        <v>27.5638890620876</v>
      </c>
      <c r="S27" s="532" cm="1">
        <f t="array" aca="1" ref="S27" ca="1">OFFSET(S27,-3,0)*
OFFSET(MSP!$D$1,
MATCH(OFFSET($C22,((MATCH($C22,EL_List,0)-1)*-10)-1,0),MSP!$C:$C,0)+MATCH($C22,EL_List,0)-1,0)
*INDEX(Learning!$E$6:$S$41,(MATCH(S$21,Dates,0)),(MATCH($C$21,Learning!$E$4:$S$4,0)+MATCH($C$22,Learning!$E$5:$S$5,0)-1))</f>
        <v>28.790112101772806</v>
      </c>
      <c r="T27" s="532" cm="1">
        <f t="array" aca="1" ref="T27" ca="1">OFFSET(T27,-3,0)*
OFFSET(MSP!$D$1,
MATCH(OFFSET($C22,((MATCH($C22,EL_List,0)-1)*-10)-1,0),MSP!$C:$C,0)+MATCH($C22,EL_List,0)-1,0)
*INDEX(Learning!$E$6:$S$41,(MATCH(T$21,Dates,0)),(MATCH($C$21,Learning!$E$4:$S$4,0)+MATCH($C$22,Learning!$E$5:$S$5,0)-1))</f>
        <v>30.073488096304409</v>
      </c>
      <c r="U27" s="532" cm="1">
        <f t="array" aca="1" ref="U27" ca="1">OFFSET(U27,-3,0)*
OFFSET(MSP!$D$1,
MATCH(OFFSET($C22,((MATCH($C22,EL_List,0)-1)*-10)-1,0),MSP!$C:$C,0)+MATCH($C22,EL_List,0)-1,0)
*INDEX(Learning!$E$6:$S$41,(MATCH(U$21,Dates,0)),(MATCH($C$21,Learning!$E$4:$S$4,0)+MATCH($C$22,Learning!$E$5:$S$5,0)-1))</f>
        <v>31.418016664212747</v>
      </c>
      <c r="V27" s="532" cm="1">
        <f t="array" aca="1" ref="V27" ca="1">OFFSET(V27,-3,0)*
OFFSET(MSP!$D$1,
MATCH(OFFSET($C22,((MATCH($C22,EL_List,0)-1)*-10)-1,0),MSP!$C:$C,0)+MATCH($C22,EL_List,0)-1,0)
*INDEX(Learning!$E$6:$S$41,(MATCH(V$21,Dates,0)),(MATCH($C$21,Learning!$E$4:$S$4,0)+MATCH($C$22,Learning!$E$5:$S$5,0)-1))</f>
        <v>32.81949186532443</v>
      </c>
      <c r="W27" s="532" cm="1">
        <f t="array" aca="1" ref="W27" ca="1">OFFSET(W27,-3,0)*
OFFSET(MSP!$D$1,
MATCH(OFFSET($C22,((MATCH($C22,EL_List,0)-1)*-10)-1,0),MSP!$C:$C,0)+MATCH($C22,EL_List,0)-1,0)
*INDEX(Learning!$E$6:$S$41,(MATCH(W$21,Dates,0)),(MATCH($C$21,Learning!$E$4:$S$4,0)+MATCH($C$22,Learning!$E$5:$S$5,0)-1))</f>
        <v>34.281489907857576</v>
      </c>
      <c r="X27" s="532" cm="1">
        <f t="array" aca="1" ref="X27" ca="1">OFFSET(X27,-3,0)*
OFFSET(MSP!$D$1,
MATCH(OFFSET($C22,((MATCH($C22,EL_List,0)-1)*-10)-1,0),MSP!$C:$C,0)+MATCH($C22,EL_List,0)-1,0)
*INDEX(Learning!$E$6:$S$41,(MATCH(X$21,Dates,0)),(MATCH($C$21,Learning!$E$4:$S$4,0)+MATCH($C$22,Learning!$E$5:$S$5,0)-1))</f>
        <v>35.804737650060524</v>
      </c>
      <c r="Y27" s="532" cm="1">
        <f t="array" aca="1" ref="Y27" ca="1">OFFSET(Y27,-3,0)*
OFFSET(MSP!$D$1,
MATCH(OFFSET($C22,((MATCH($C22,EL_List,0)-1)*-10)-1,0),MSP!$C:$C,0)+MATCH($C22,EL_List,0)-1,0)
*INDEX(Learning!$E$6:$S$41,(MATCH(Y$21,Dates,0)),(MATCH($C$21,Learning!$E$4:$S$4,0)+MATCH($C$22,Learning!$E$5:$S$5,0)-1))</f>
        <v>37.431278671775097</v>
      </c>
      <c r="Z27" s="532" cm="1">
        <f t="array" aca="1" ref="Z27" ca="1">OFFSET(Z27,-3,0)*
OFFSET(MSP!$D$1,
MATCH(OFFSET($C22,((MATCH($C22,EL_List,0)-1)*-10)-1,0),MSP!$C:$C,0)+MATCH($C22,EL_List,0)-1,0)
*INDEX(Learning!$E$6:$S$41,(MATCH(Z$21,Dates,0)),(MATCH($C$21,Learning!$E$4:$S$4,0)+MATCH($C$22,Learning!$E$5:$S$5,0)-1))</f>
        <v>39.084820977327048</v>
      </c>
      <c r="AA27" s="532" cm="1">
        <f t="array" aca="1" ref="AA27" ca="1">OFFSET(AA27,-3,0)*
OFFSET(MSP!$D$1,
MATCH(OFFSET($C22,((MATCH($C22,EL_List,0)-1)*-10)-1,0),MSP!$C:$C,0)+MATCH($C22,EL_List,0)-1,0)
*INDEX(Learning!$E$6:$S$41,(MATCH(AA$21,Dates,0)),(MATCH($C$21,Learning!$E$4:$S$4,0)+MATCH($C$22,Learning!$E$5:$S$5,0)-1))</f>
        <v>40.851461232700295</v>
      </c>
      <c r="AB27" s="532" cm="1">
        <f t="array" aca="1" ref="AB27" ca="1">OFFSET(AB27,-3,0)*
OFFSET(MSP!$D$1,
MATCH(OFFSET($C22,((MATCH($C22,EL_List,0)-1)*-10)-1,0),MSP!$C:$C,0)+MATCH($C22,EL_List,0)-1,0)
*INDEX(Learning!$E$6:$S$41,(MATCH(AB$21,Dates,0)),(MATCH($C$21,Learning!$E$4:$S$4,0)+MATCH($C$22,Learning!$E$5:$S$5,0)-1))</f>
        <v>42.69467413859077</v>
      </c>
      <c r="AC27" s="532" cm="1">
        <f t="array" aca="1" ref="AC27" ca="1">OFFSET(AC27,-3,0)*
OFFSET(MSP!$D$1,
MATCH(OFFSET($C22,((MATCH($C22,EL_List,0)-1)*-10)-1,0),MSP!$C:$C,0)+MATCH($C22,EL_List,0)-1,0)
*INDEX(Learning!$E$6:$S$41,(MATCH(AC$21,Dates,0)),(MATCH($C$21,Learning!$E$4:$S$4,0)+MATCH($C$22,Learning!$E$5:$S$5,0)-1))</f>
        <v>44.569234178707021</v>
      </c>
      <c r="AD27" s="532" cm="1">
        <f t="array" aca="1" ref="AD27" ca="1">OFFSET(AD27,-3,0)*
OFFSET(MSP!$D$1,
MATCH(OFFSET($C22,((MATCH($C22,EL_List,0)-1)*-10)-1,0),MSP!$C:$C,0)+MATCH($C22,EL_List,0)-1,0)
*INDEX(Learning!$E$6:$S$41,(MATCH(AD$21,Dates,0)),(MATCH($C$21,Learning!$E$4:$S$4,0)+MATCH($C$22,Learning!$E$5:$S$5,0)-1))</f>
        <v>46.574674165183012</v>
      </c>
      <c r="AE27" s="532" cm="1">
        <f t="array" aca="1" ref="AE27" ca="1">OFFSET(AE27,-3,0)*
OFFSET(MSP!$D$1,
MATCH(OFFSET($C22,((MATCH($C22,EL_List,0)-1)*-10)-1,0),MSP!$C:$C,0)+MATCH($C22,EL_List,0)-1,0)
*INDEX(Learning!$E$6:$S$41,(MATCH(AE$21,Dates,0)),(MATCH($C$21,Learning!$E$4:$S$4,0)+MATCH($C$22,Learning!$E$5:$S$5,0)-1))</f>
        <v>48.667934741811912</v>
      </c>
      <c r="AF27" s="532" cm="1">
        <f t="array" aca="1" ref="AF27" ca="1">OFFSET(AF27,-3,0)*
OFFSET(MSP!$D$1,
MATCH(OFFSET($C22,((MATCH($C22,EL_List,0)-1)*-10)-1,0),MSP!$C:$C,0)+MATCH($C22,EL_List,0)-1,0)
*INDEX(Learning!$E$6:$S$41,(MATCH(AF$21,Dates,0)),(MATCH($C$21,Learning!$E$4:$S$4,0)+MATCH($C$22,Learning!$E$5:$S$5,0)-1))</f>
        <v>50.852679445569628</v>
      </c>
      <c r="AG27" s="532" cm="1">
        <f t="array" aca="1" ref="AG27" ca="1">OFFSET(AG27,-3,0)*
OFFSET(MSP!$D$1,
MATCH(OFFSET($C22,((MATCH($C22,EL_List,0)-1)*-10)-1,0),MSP!$C:$C,0)+MATCH($C22,EL_List,0)-1,0)
*INDEX(Learning!$E$6:$S$41,(MATCH(AG$21,Dates,0)),(MATCH($C$21,Learning!$E$4:$S$4,0)+MATCH($C$22,Learning!$E$5:$S$5,0)-1))</f>
        <v>53.132638227510952</v>
      </c>
      <c r="AH27" s="532" cm="1">
        <f t="array" aca="1" ref="AH27" ca="1">OFFSET(AH27,-3,0)*
OFFSET(MSP!$D$1,
MATCH(OFFSET($C22,((MATCH($C22,EL_List,0)-1)*-10)-1,0),MSP!$C:$C,0)+MATCH($C22,EL_List,0)-1,0)
*INDEX(Learning!$E$6:$S$41,(MATCH(AH$21,Dates,0)),(MATCH($C$21,Learning!$E$4:$S$4,0)+MATCH($C$22,Learning!$E$5:$S$5,0)-1))</f>
        <v>55.511700628593211</v>
      </c>
      <c r="AI27" s="532" cm="1">
        <f t="array" aca="1" ref="AI27" ca="1">OFFSET(AI27,-3,0)*
OFFSET(MSP!$D$1,
MATCH(OFFSET($C22,((MATCH($C22,EL_List,0)-1)*-10)-1,0),MSP!$C:$C,0)+MATCH($C22,EL_List,0)-1,0)
*INDEX(Learning!$E$6:$S$41,(MATCH(AI$21,Dates,0)),(MATCH($C$21,Learning!$E$4:$S$4,0)+MATCH($C$22,Learning!$E$5:$S$5,0)-1))</f>
        <v>57.993982778776932</v>
      </c>
      <c r="AJ27" s="532" cm="1">
        <f t="array" aca="1" ref="AJ27" ca="1">OFFSET(AJ27,-3,0)*
OFFSET(MSP!$D$1,
MATCH(OFFSET($C22,((MATCH($C22,EL_List,0)-1)*-10)-1,0),MSP!$C:$C,0)+MATCH($C22,EL_List,0)-1,0)
*INDEX(Learning!$E$6:$S$41,(MATCH(AJ$21,Dates,0)),(MATCH($C$21,Learning!$E$4:$S$4,0)+MATCH($C$22,Learning!$E$5:$S$5,0)-1))</f>
        <v>60.583859572817254</v>
      </c>
      <c r="AK27" s="532" cm="1">
        <f t="array" aca="1" ref="AK27" ca="1">OFFSET(AK27,-3,0)*
OFFSET(MSP!$D$1,
MATCH(OFFSET($C22,((MATCH($C22,EL_List,0)-1)*-10)-1,0),MSP!$C:$C,0)+MATCH($C22,EL_List,0)-1,0)
*INDEX(Learning!$E$6:$S$41,(MATCH(AK$21,Dates,0)),(MATCH($C$21,Learning!$E$4:$S$4,0)+MATCH($C$22,Learning!$E$5:$S$5,0)-1))</f>
        <v>63.285959897856586</v>
      </c>
      <c r="AL27" s="532" cm="1">
        <f t="array" aca="1" ref="AL27" ca="1">OFFSET(AL27,-3,0)*
OFFSET(MSP!$D$1,
MATCH(OFFSET($C22,((MATCH($C22,EL_List,0)-1)*-10)-1,0),MSP!$C:$C,0)+MATCH($C22,EL_List,0)-1,0)
*INDEX(Learning!$E$6:$S$41,(MATCH(AL$21,Dates,0)),(MATCH($C$21,Learning!$E$4:$S$4,0)+MATCH($C$22,Learning!$E$5:$S$5,0)-1))</f>
        <v>66.105146533149579</v>
      </c>
      <c r="AM27" s="532" cm="1">
        <f t="array" aca="1" ref="AM27" ca="1">OFFSET(AM27,-3,0)*
OFFSET(MSP!$D$1,
MATCH(OFFSET($C22,((MATCH($C22,EL_List,0)-1)*-10)-1,0),MSP!$C:$C,0)+MATCH($C22,EL_List,0)-1,0)
*INDEX(Learning!$E$6:$S$41,(MATCH(AM$21,Dates,0)),(MATCH($C$21,Learning!$E$4:$S$4,0)+MATCH($C$22,Learning!$E$5:$S$5,0)-1))</f>
        <v>69.126046958435069</v>
      </c>
      <c r="AN27" s="532" cm="1">
        <f t="array" aca="1" ref="AN27" ca="1">OFFSET(AN27,-3,0)*
OFFSET(MSP!$D$1,
MATCH(OFFSET($C22,((MATCH($C22,EL_List,0)-1)*-10)-1,0),MSP!$C:$C,0)+MATCH($C22,EL_List,0)-1,0)
*INDEX(Learning!$E$6:$S$41,(MATCH(AN$21,Dates,0)),(MATCH($C$21,Learning!$E$4:$S$4,0)+MATCH($C$22,Learning!$E$5:$S$5,0)-1))</f>
        <v>72.180750174359275</v>
      </c>
      <c r="AO27" s="436"/>
      <c r="AP27" s="21"/>
    </row>
    <row r="28" spans="2:42" ht="15" customHeight="1" x14ac:dyDescent="0.35">
      <c r="B28" s="429"/>
      <c r="C28" s="777" t="s">
        <v>213</v>
      </c>
      <c r="D28" s="776"/>
      <c r="E28" s="533" cm="1">
        <f t="array" aca="1" ref="E28" ca="1">OFFSET(E28,-4,0)*
OFFSET(MSP!$E$1,
MATCH(OFFSET($C22,((MATCH($C22,EL_List,0)-1)*-10)-1,0),MSP!$C:$C,0)+MATCH($C22,EL_List,0)-1,0)
*INDEX(Learning!$E$6:$S$41,(MATCH(E$21,Dates,0)),(MATCH($C$21,Learning!$E$4:$S$4,0)+MATCH($C$22,Learning!$E$5:$S$5,0)-1))</f>
        <v>0.36252256521906095</v>
      </c>
      <c r="F28" s="533" cm="1">
        <f t="array" aca="1" ref="F28" ca="1">OFFSET(F28,-4,0)*
OFFSET(MSP!$E$1,
MATCH(OFFSET($C22,((MATCH($C22,EL_List,0)-1)*-10)-1,0),MSP!$C:$C,0)+MATCH($C22,EL_List,0)-1,0)
*INDEX(Learning!$E$6:$S$41,(MATCH(F$21,Dates,0)),(MATCH($C$21,Learning!$E$4:$S$4,0)+MATCH($C$22,Learning!$E$5:$S$5,0)-1))</f>
        <v>0.37582909132255304</v>
      </c>
      <c r="G28" s="533" cm="1">
        <f t="array" aca="1" ref="G28" ca="1">OFFSET(G28,-4,0)*
OFFSET(MSP!$E$1,
MATCH(OFFSET($C22,((MATCH($C22,EL_List,0)-1)*-10)-1,0),MSP!$C:$C,0)+MATCH($C22,EL_List,0)-1,0)
*INDEX(Learning!$E$6:$S$41,(MATCH(G$21,Dates,0)),(MATCH($C$21,Learning!$E$4:$S$4,0)+MATCH($C$22,Learning!$E$5:$S$5,0)-1))</f>
        <v>0.38760558760069885</v>
      </c>
      <c r="H28" s="533" cm="1">
        <f t="array" aca="1" ref="H28" ca="1">OFFSET(H28,-4,0)*
OFFSET(MSP!$E$1,
MATCH(OFFSET($C22,((MATCH($C22,EL_List,0)-1)*-10)-1,0),MSP!$C:$C,0)+MATCH($C22,EL_List,0)-1,0)
*INDEX(Learning!$E$6:$S$41,(MATCH(H$21,Dates,0)),(MATCH($C$21,Learning!$E$4:$S$4,0)+MATCH($C$22,Learning!$E$5:$S$5,0)-1))</f>
        <v>0.40265066374003977</v>
      </c>
      <c r="I28" s="533" cm="1">
        <f t="array" aca="1" ref="I28" ca="1">OFFSET(I28,-4,0)*
OFFSET(MSP!$E$1,
MATCH(OFFSET($C22,((MATCH($C22,EL_List,0)-1)*-10)-1,0),MSP!$C:$C,0)+MATCH($C22,EL_List,0)-1,0)
*INDEX(Learning!$E$6:$S$41,(MATCH(I$21,Dates,0)),(MATCH($C$21,Learning!$E$4:$S$4,0)+MATCH($C$22,Learning!$E$5:$S$5,0)-1))</f>
        <v>0.41913485616257207</v>
      </c>
      <c r="J28" s="533" cm="1">
        <f t="array" aca="1" ref="J28" ca="1">OFFSET(J28,-4,0)*
OFFSET(MSP!$E$1,
MATCH(OFFSET($C22,((MATCH($C22,EL_List,0)-1)*-10)-1,0),MSP!$C:$C,0)+MATCH($C22,EL_List,0)-1,0)
*INDEX(Learning!$E$6:$S$41,(MATCH(J$21,Dates,0)),(MATCH($C$21,Learning!$E$4:$S$4,0)+MATCH($C$22,Learning!$E$5:$S$5,0)-1))</f>
        <v>0.4373923731711688</v>
      </c>
      <c r="K28" s="533" cm="1">
        <f t="array" aca="1" ref="K28" ca="1">OFFSET(K28,-4,0)*
OFFSET(MSP!$E$1,
MATCH(OFFSET($C22,((MATCH($C22,EL_List,0)-1)*-10)-1,0),MSP!$C:$C,0)+MATCH($C22,EL_List,0)-1,0)
*INDEX(Learning!$E$6:$S$41,(MATCH(K$21,Dates,0)),(MATCH($C$21,Learning!$E$4:$S$4,0)+MATCH($C$22,Learning!$E$5:$S$5,0)-1))</f>
        <v>0.45759114642805004</v>
      </c>
      <c r="L28" s="533" cm="1">
        <f t="array" aca="1" ref="L28" ca="1">OFFSET(L28,-4,0)*
OFFSET(MSP!$E$1,
MATCH(OFFSET($C22,((MATCH($C22,EL_List,0)-1)*-10)-1,0),MSP!$C:$C,0)+MATCH($C22,EL_List,0)-1,0)
*INDEX(Learning!$E$6:$S$41,(MATCH(L$21,Dates,0)),(MATCH($C$21,Learning!$E$4:$S$4,0)+MATCH($C$22,Learning!$E$5:$S$5,0)-1))</f>
        <v>0.47891639110030121</v>
      </c>
      <c r="M28" s="533" cm="1">
        <f t="array" aca="1" ref="M28" ca="1">OFFSET(M28,-4,0)*
OFFSET(MSP!$E$1,
MATCH(OFFSET($C22,((MATCH($C22,EL_List,0)-1)*-10)-1,0),MSP!$C:$C,0)+MATCH($C22,EL_List,0)-1,0)
*INDEX(Learning!$E$6:$S$41,(MATCH(M$21,Dates,0)),(MATCH($C$21,Learning!$E$4:$S$4,0)+MATCH($C$22,Learning!$E$5:$S$5,0)-1))</f>
        <v>0.5010565384917619</v>
      </c>
      <c r="N28" s="533" cm="1">
        <f t="array" aca="1" ref="N28" ca="1">OFFSET(N28,-4,0)*
OFFSET(MSP!$E$1,
MATCH(OFFSET($C22,((MATCH($C22,EL_List,0)-1)*-10)-1,0),MSP!$C:$C,0)+MATCH($C22,EL_List,0)-1,0)
*INDEX(Learning!$E$6:$S$41,(MATCH(N$21,Dates,0)),(MATCH($C$21,Learning!$E$4:$S$4,0)+MATCH($C$22,Learning!$E$5:$S$5,0)-1))</f>
        <v>0.52380191397815345</v>
      </c>
      <c r="O28" s="533" cm="1">
        <f t="array" aca="1" ref="O28" ca="1">OFFSET(O28,-4,0)*
OFFSET(MSP!$E$1,
MATCH(OFFSET($C22,((MATCH($C22,EL_List,0)-1)*-10)-1,0),MSP!$C:$C,0)+MATCH($C22,EL_List,0)-1,0)
*INDEX(Learning!$E$6:$S$41,(MATCH(O$21,Dates,0)),(MATCH($C$21,Learning!$E$4:$S$4,0)+MATCH($C$22,Learning!$E$5:$S$5,0)-1))</f>
        <v>0.54712478254424235</v>
      </c>
      <c r="P28" s="533" cm="1">
        <f t="array" aca="1" ref="P28" ca="1">OFFSET(P28,-4,0)*
OFFSET(MSP!$E$1,
MATCH(OFFSET($C22,((MATCH($C22,EL_List,0)-1)*-10)-1,0),MSP!$C:$C,0)+MATCH($C22,EL_List,0)-1,0)
*INDEX(Learning!$E$6:$S$41,(MATCH(P$21,Dates,0)),(MATCH($C$21,Learning!$E$4:$S$4,0)+MATCH($C$22,Learning!$E$5:$S$5,0)-1))</f>
        <v>0.57112157939454533</v>
      </c>
      <c r="Q28" s="533" cm="1">
        <f t="array" aca="1" ref="Q28" ca="1">OFFSET(Q28,-4,0)*
OFFSET(MSP!$E$1,
MATCH(OFFSET($C22,((MATCH($C22,EL_List,0)-1)*-10)-1,0),MSP!$C:$C,0)+MATCH($C22,EL_List,0)-1,0)
*INDEX(Learning!$E$6:$S$41,(MATCH(Q$21,Dates,0)),(MATCH($C$21,Learning!$E$4:$S$4,0)+MATCH($C$22,Learning!$E$5:$S$5,0)-1))</f>
        <v>0.59656337493209055</v>
      </c>
      <c r="R28" s="533" cm="1">
        <f t="array" aca="1" ref="R28" ca="1">OFFSET(R28,-4,0)*
OFFSET(MSP!$E$1,
MATCH(OFFSET($C22,((MATCH($C22,EL_List,0)-1)*-10)-1,0),MSP!$C:$C,0)+MATCH($C22,EL_List,0)-1,0)
*INDEX(Learning!$E$6:$S$41,(MATCH(R$21,Dates,0)),(MATCH($C$21,Learning!$E$4:$S$4,0)+MATCH($C$22,Learning!$E$5:$S$5,0)-1))</f>
        <v>0.62307073534913748</v>
      </c>
      <c r="S28" s="533" cm="1">
        <f t="array" aca="1" ref="S28" ca="1">OFFSET(S28,-4,0)*
OFFSET(MSP!$E$1,
MATCH(OFFSET($C22,((MATCH($C22,EL_List,0)-1)*-10)-1,0),MSP!$C:$C,0)+MATCH($C22,EL_List,0)-1,0)
*INDEX(Learning!$E$6:$S$41,(MATCH(S$21,Dates,0)),(MATCH($C$21,Learning!$E$4:$S$4,0)+MATCH($C$22,Learning!$E$5:$S$5,0)-1))</f>
        <v>0.6507890188365566</v>
      </c>
      <c r="T28" s="533" cm="1">
        <f t="array" aca="1" ref="T28" ca="1">OFFSET(T28,-4,0)*
OFFSET(MSP!$E$1,
MATCH(OFFSET($C22,((MATCH($C22,EL_List,0)-1)*-10)-1,0),MSP!$C:$C,0)+MATCH($C22,EL_List,0)-1,0)
*INDEX(Learning!$E$6:$S$41,(MATCH(T$21,Dates,0)),(MATCH($C$21,Learning!$E$4:$S$4,0)+MATCH($C$22,Learning!$E$5:$S$5,0)-1))</f>
        <v>0.67979922210798405</v>
      </c>
      <c r="U28" s="533" cm="1">
        <f t="array" aca="1" ref="U28" ca="1">OFFSET(U28,-4,0)*
OFFSET(MSP!$E$1,
MATCH(OFFSET($C22,((MATCH($C22,EL_List,0)-1)*-10)-1,0),MSP!$C:$C,0)+MATCH($C22,EL_List,0)-1,0)
*INDEX(Learning!$E$6:$S$41,(MATCH(U$21,Dates,0)),(MATCH($C$21,Learning!$E$4:$S$4,0)+MATCH($C$22,Learning!$E$5:$S$5,0)-1))</f>
        <v>0.71019175494751086</v>
      </c>
      <c r="V28" s="533" cm="1">
        <f t="array" aca="1" ref="V28" ca="1">OFFSET(V28,-4,0)*
OFFSET(MSP!$E$1,
MATCH(OFFSET($C22,((MATCH($C22,EL_List,0)-1)*-10)-1,0),MSP!$C:$C,0)+MATCH($C22,EL_List,0)-1,0)
*INDEX(Learning!$E$6:$S$41,(MATCH(V$21,Dates,0)),(MATCH($C$21,Learning!$E$4:$S$4,0)+MATCH($C$22,Learning!$E$5:$S$5,0)-1))</f>
        <v>0.741871543752469</v>
      </c>
      <c r="W28" s="533" cm="1">
        <f t="array" aca="1" ref="W28" ca="1">OFFSET(W28,-4,0)*
OFFSET(MSP!$E$1,
MATCH(OFFSET($C22,((MATCH($C22,EL_List,0)-1)*-10)-1,0),MSP!$C:$C,0)+MATCH($C22,EL_List,0)-1,0)
*INDEX(Learning!$E$6:$S$41,(MATCH(W$21,Dates,0)),(MATCH($C$21,Learning!$E$4:$S$4,0)+MATCH($C$22,Learning!$E$5:$S$5,0)-1))</f>
        <v>0.77491942728545904</v>
      </c>
      <c r="X28" s="533" cm="1">
        <f t="array" aca="1" ref="X28" ca="1">OFFSET(X28,-4,0)*
OFFSET(MSP!$E$1,
MATCH(OFFSET($C22,((MATCH($C22,EL_List,0)-1)*-10)-1,0),MSP!$C:$C,0)+MATCH($C22,EL_List,0)-1,0)
*INDEX(Learning!$E$6:$S$41,(MATCH(X$21,Dates,0)),(MATCH($C$21,Learning!$E$4:$S$4,0)+MATCH($C$22,Learning!$E$5:$S$5,0)-1))</f>
        <v>0.80935183588772419</v>
      </c>
      <c r="Y28" s="533" cm="1">
        <f t="array" aca="1" ref="Y28" ca="1">OFFSET(Y28,-4,0)*
OFFSET(MSP!$E$1,
MATCH(OFFSET($C22,((MATCH($C22,EL_List,0)-1)*-10)-1,0),MSP!$C:$C,0)+MATCH($C22,EL_List,0)-1,0)
*INDEX(Learning!$E$6:$S$41,(MATCH(Y$21,Dates,0)),(MATCH($C$21,Learning!$E$4:$S$4,0)+MATCH($C$22,Learning!$E$5:$S$5,0)-1))</f>
        <v>0.84611914793837273</v>
      </c>
      <c r="Z28" s="533" cm="1">
        <f t="array" aca="1" ref="Z28" ca="1">OFFSET(Z28,-4,0)*
OFFSET(MSP!$E$1,
MATCH(OFFSET($C22,((MATCH($C22,EL_List,0)-1)*-10)-1,0),MSP!$C:$C,0)+MATCH($C22,EL_List,0)-1,0)
*INDEX(Learning!$E$6:$S$41,(MATCH(Z$21,Dates,0)),(MATCH($C$21,Learning!$E$4:$S$4,0)+MATCH($C$22,Learning!$E$5:$S$5,0)-1))</f>
        <v>0.88349681325731511</v>
      </c>
      <c r="AA28" s="533" cm="1">
        <f t="array" aca="1" ref="AA28" ca="1">OFFSET(AA28,-4,0)*
OFFSET(MSP!$E$1,
MATCH(OFFSET($C22,((MATCH($C22,EL_List,0)-1)*-10)-1,0),MSP!$C:$C,0)+MATCH($C22,EL_List,0)-1,0)
*INDEX(Learning!$E$6:$S$41,(MATCH(AA$21,Dates,0)),(MATCH($C$21,Learning!$E$4:$S$4,0)+MATCH($C$22,Learning!$E$5:$S$5,0)-1))</f>
        <v>0.92343101269243022</v>
      </c>
      <c r="AB28" s="533" cm="1">
        <f t="array" aca="1" ref="AB28" ca="1">OFFSET(AB28,-4,0)*
OFFSET(MSP!$E$1,
MATCH(OFFSET($C22,((MATCH($C22,EL_List,0)-1)*-10)-1,0),MSP!$C:$C,0)+MATCH($C22,EL_List,0)-1,0)
*INDEX(Learning!$E$6:$S$41,(MATCH(AB$21,Dates,0)),(MATCH($C$21,Learning!$E$4:$S$4,0)+MATCH($C$22,Learning!$E$5:$S$5,0)-1))</f>
        <v>0.96509610639859444</v>
      </c>
      <c r="AC28" s="533" cm="1">
        <f t="array" aca="1" ref="AC28" ca="1">OFFSET(AC28,-4,0)*
OFFSET(MSP!$E$1,
MATCH(OFFSET($C22,((MATCH($C22,EL_List,0)-1)*-10)-1,0),MSP!$C:$C,0)+MATCH($C22,EL_List,0)-1,0)
*INDEX(Learning!$E$6:$S$41,(MATCH(AC$21,Dates,0)),(MATCH($C$21,Learning!$E$4:$S$4,0)+MATCH($C$22,Learning!$E$5:$S$5,0)-1))</f>
        <v>1.0074697895904134</v>
      </c>
      <c r="AD28" s="533" cm="1">
        <f t="array" aca="1" ref="AD28" ca="1">OFFSET(AD28,-4,0)*
OFFSET(MSP!$E$1,
MATCH(OFFSET($C22,((MATCH($C22,EL_List,0)-1)*-10)-1,0),MSP!$C:$C,0)+MATCH($C22,EL_List,0)-1,0)
*INDEX(Learning!$E$6:$S$41,(MATCH(AD$21,Dates,0)),(MATCH($C$21,Learning!$E$4:$S$4,0)+MATCH($C$22,Learning!$E$5:$S$5,0)-1))</f>
        <v>1.0528019618487474</v>
      </c>
      <c r="AE28" s="533" cm="1">
        <f t="array" aca="1" ref="AE28" ca="1">OFFSET(AE28,-4,0)*
OFFSET(MSP!$E$1,
MATCH(OFFSET($C22,((MATCH($C22,EL_List,0)-1)*-10)-1,0),MSP!$C:$C,0)+MATCH($C22,EL_List,0)-1,0)
*INDEX(Learning!$E$6:$S$41,(MATCH(AE$21,Dates,0)),(MATCH($C$21,Learning!$E$4:$S$4,0)+MATCH($C$22,Learning!$E$5:$S$5,0)-1))</f>
        <v>1.1001192835742741</v>
      </c>
      <c r="AF28" s="533" cm="1">
        <f t="array" aca="1" ref="AF28" ca="1">OFFSET(AF28,-4,0)*
OFFSET(MSP!$E$1,
MATCH(OFFSET($C22,((MATCH($C22,EL_List,0)-1)*-10)-1,0),MSP!$C:$C,0)+MATCH($C22,EL_List,0)-1,0)
*INDEX(Learning!$E$6:$S$41,(MATCH(AF$21,Dates,0)),(MATCH($C$21,Learning!$E$4:$S$4,0)+MATCH($C$22,Learning!$E$5:$S$5,0)-1))</f>
        <v>1.1495045675613864</v>
      </c>
      <c r="AG28" s="533" cm="1">
        <f t="array" aca="1" ref="AG28" ca="1">OFFSET(AG28,-4,0)*
OFFSET(MSP!$E$1,
MATCH(OFFSET($C22,((MATCH($C22,EL_List,0)-1)*-10)-1,0),MSP!$C:$C,0)+MATCH($C22,EL_List,0)-1,0)
*INDEX(Learning!$E$6:$S$41,(MATCH(AG$21,Dates,0)),(MATCH($C$21,Learning!$E$4:$S$4,0)+MATCH($C$22,Learning!$E$5:$S$5,0)-1))</f>
        <v>1.2010421278682815</v>
      </c>
      <c r="AH28" s="533" cm="1">
        <f t="array" aca="1" ref="AH28" ca="1">OFFSET(AH28,-4,0)*
OFFSET(MSP!$E$1,
MATCH(OFFSET($C22,((MATCH($C22,EL_List,0)-1)*-10)-1,0),MSP!$C:$C,0)+MATCH($C22,EL_List,0)-1,0)
*INDEX(Learning!$E$6:$S$41,(MATCH(AH$21,Dates,0)),(MATCH($C$21,Learning!$E$4:$S$4,0)+MATCH($C$22,Learning!$E$5:$S$5,0)-1))</f>
        <v>1.2548198860193491</v>
      </c>
      <c r="AI28" s="533" cm="1">
        <f t="array" aca="1" ref="AI28" ca="1">OFFSET(AI28,-4,0)*
OFFSET(MSP!$E$1,
MATCH(OFFSET($C22,((MATCH($C22,EL_List,0)-1)*-10)-1,0),MSP!$C:$C,0)+MATCH($C22,EL_List,0)-1,0)
*INDEX(Learning!$E$6:$S$41,(MATCH(AI$21,Dates,0)),(MATCH($C$21,Learning!$E$4:$S$4,0)+MATCH($C$22,Learning!$E$5:$S$5,0)-1))</f>
        <v>1.3109308854931612</v>
      </c>
      <c r="AJ28" s="533" cm="1">
        <f t="array" aca="1" ref="AJ28" ca="1">OFFSET(AJ28,-4,0)*
OFFSET(MSP!$E$1,
MATCH(OFFSET($C22,((MATCH($C22,EL_List,0)-1)*-10)-1,0),MSP!$C:$C,0)+MATCH($C22,EL_List,0)-1,0)
*INDEX(Learning!$E$6:$S$41,(MATCH(AJ$21,Dates,0)),(MATCH($C$21,Learning!$E$4:$S$4,0)+MATCH($C$22,Learning!$E$5:$S$5,0)-1))</f>
        <v>1.369474019043422</v>
      </c>
      <c r="AK28" s="533" cm="1">
        <f t="array" aca="1" ref="AK28" ca="1">OFFSET(AK28,-4,0)*
OFFSET(MSP!$E$1,
MATCH(OFFSET($C22,((MATCH($C22,EL_List,0)-1)*-10)-1,0),MSP!$C:$C,0)+MATCH($C22,EL_List,0)-1,0)
*INDEX(Learning!$E$6:$S$41,(MATCH(AK$21,Dates,0)),(MATCH($C$21,Learning!$E$4:$S$4,0)+MATCH($C$22,Learning!$E$5:$S$5,0)-1))</f>
        <v>1.4305539208206022</v>
      </c>
      <c r="AL28" s="533" cm="1">
        <f t="array" aca="1" ref="AL28" ca="1">OFFSET(AL28,-4,0)*
OFFSET(MSP!$E$1,
MATCH(OFFSET($C22,((MATCH($C22,EL_List,0)-1)*-10)-1,0),MSP!$C:$C,0)+MATCH($C22,EL_List,0)-1,0)
*INDEX(Learning!$E$6:$S$41,(MATCH(AL$21,Dates,0)),(MATCH($C$21,Learning!$E$4:$S$4,0)+MATCH($C$22,Learning!$E$5:$S$5,0)-1))</f>
        <v>1.494280512013225</v>
      </c>
      <c r="AM28" s="533" cm="1">
        <f t="array" aca="1" ref="AM28" ca="1">OFFSET(AM28,-4,0)*
OFFSET(MSP!$E$1,
MATCH(OFFSET($C22,((MATCH($C22,EL_List,0)-1)*-10)-1,0),MSP!$C:$C,0)+MATCH($C22,EL_List,0)-1,0)
*INDEX(Learning!$E$6:$S$41,(MATCH(AM$21,Dates,0)),(MATCH($C$21,Learning!$E$4:$S$4,0)+MATCH($C$22,Learning!$E$5:$S$5,0)-1))</f>
        <v>1.5625667630991811</v>
      </c>
      <c r="AN28" s="533" cm="1">
        <f t="array" aca="1" ref="AN28" ca="1">OFFSET(AN28,-4,0)*
OFFSET(MSP!$E$1,
MATCH(OFFSET($C22,((MATCH($C22,EL_List,0)-1)*-10)-1,0),MSP!$C:$C,0)+MATCH($C22,EL_List,0)-1,0)
*INDEX(Learning!$E$6:$S$41,(MATCH(AN$21,Dates,0)),(MATCH($C$21,Learning!$E$4:$S$4,0)+MATCH($C$22,Learning!$E$5:$S$5,0)-1))</f>
        <v>1.6316171128060786</v>
      </c>
      <c r="AO28" s="436"/>
      <c r="AP28" s="21"/>
    </row>
    <row r="29" spans="2:42" ht="15" customHeight="1" x14ac:dyDescent="0.35">
      <c r="B29" s="429"/>
      <c r="C29" s="777" t="s">
        <v>214</v>
      </c>
      <c r="D29" s="776"/>
      <c r="E29" s="533" cm="1">
        <f t="array" aca="1" ref="E29" ca="1">OFFSET(E29,-5,0)*
OFFSET(MSP!$F$1,
MATCH(OFFSET($C22,((MATCH($C22,EL_List,0)-1)*-10)-1,0),MSP!$C:$C,0)+MATCH($C22,EL_List,0)-1,0)
*INDEX(Learning!$E$6:$S$41,(MATCH(E$21,Dates,0)),(MATCH($C$21,Learning!$E$4:$S$4,0)+MATCH($C$22,Learning!$E$5:$S$5,0)-1))</f>
        <v>0.91301098198015229</v>
      </c>
      <c r="F29" s="533" cm="1">
        <f t="array" aca="1" ref="F29" ca="1">OFFSET(F29,-5,0)*
OFFSET(MSP!$F$1,
MATCH(OFFSET($C22,((MATCH($C22,EL_List,0)-1)*-10)-1,0),MSP!$C:$C,0)+MATCH($C22,EL_List,0)-1,0)
*INDEX(Learning!$E$6:$S$41,(MATCH(F$21,Dates,0)),(MATCH($C$21,Learning!$E$4:$S$4,0)+MATCH($C$22,Learning!$E$5:$S$5,0)-1))</f>
        <v>0.94652339094468829</v>
      </c>
      <c r="G29" s="533" cm="1">
        <f t="array" aca="1" ref="G29" ca="1">OFFSET(G29,-5,0)*
OFFSET(MSP!$F$1,
MATCH(OFFSET($C22,((MATCH($C22,EL_List,0)-1)*-10)-1,0),MSP!$C:$C,0)+MATCH($C22,EL_List,0)-1,0)
*INDEX(Learning!$E$6:$S$41,(MATCH(G$21,Dates,0)),(MATCH($C$21,Learning!$E$4:$S$4,0)+MATCH($C$22,Learning!$E$5:$S$5,0)-1))</f>
        <v>0.97618242865092975</v>
      </c>
      <c r="H29" s="533" cm="1">
        <f t="array" aca="1" ref="H29" ca="1">OFFSET(H29,-5,0)*
OFFSET(MSP!$F$1,
MATCH(OFFSET($C22,((MATCH($C22,EL_List,0)-1)*-10)-1,0),MSP!$C:$C,0)+MATCH($C22,EL_List,0)-1,0)
*INDEX(Learning!$E$6:$S$41,(MATCH(H$21,Dates,0)),(MATCH($C$21,Learning!$E$4:$S$4,0)+MATCH($C$22,Learning!$E$5:$S$5,0)-1))</f>
        <v>1.0140733658168559</v>
      </c>
      <c r="I29" s="533" cm="1">
        <f t="array" aca="1" ref="I29" ca="1">OFFSET(I29,-5,0)*
OFFSET(MSP!$F$1,
MATCH(OFFSET($C22,((MATCH($C22,EL_List,0)-1)*-10)-1,0),MSP!$C:$C,0)+MATCH($C22,EL_List,0)-1,0)
*INDEX(Learning!$E$6:$S$41,(MATCH(I$21,Dates,0)),(MATCH($C$21,Learning!$E$4:$S$4,0)+MATCH($C$22,Learning!$E$5:$S$5,0)-1))</f>
        <v>1.055588709011428</v>
      </c>
      <c r="J29" s="533" cm="1">
        <f t="array" aca="1" ref="J29" ca="1">OFFSET(J29,-5,0)*
OFFSET(MSP!$F$1,
MATCH(OFFSET($C22,((MATCH($C22,EL_List,0)-1)*-10)-1,0),MSP!$C:$C,0)+MATCH($C22,EL_List,0)-1,0)
*INDEX(Learning!$E$6:$S$41,(MATCH(J$21,Dates,0)),(MATCH($C$21,Learning!$E$4:$S$4,0)+MATCH($C$22,Learning!$E$5:$S$5,0)-1))</f>
        <v>1.1015701599108099</v>
      </c>
      <c r="K29" s="533" cm="1">
        <f t="array" aca="1" ref="K29" ca="1">OFFSET(K29,-5,0)*
OFFSET(MSP!$F$1,
MATCH(OFFSET($C22,((MATCH($C22,EL_List,0)-1)*-10)-1,0),MSP!$C:$C,0)+MATCH($C22,EL_List,0)-1,0)
*INDEX(Learning!$E$6:$S$41,(MATCH(K$21,Dates,0)),(MATCH($C$21,Learning!$E$4:$S$4,0)+MATCH($C$22,Learning!$E$5:$S$5,0)-1))</f>
        <v>1.1524406534342015</v>
      </c>
      <c r="L29" s="533" cm="1">
        <f t="array" aca="1" ref="L29" ca="1">OFFSET(L29,-5,0)*
OFFSET(MSP!$F$1,
MATCH(OFFSET($C22,((MATCH($C22,EL_List,0)-1)*-10)-1,0),MSP!$C:$C,0)+MATCH($C22,EL_List,0)-1,0)
*INDEX(Learning!$E$6:$S$41,(MATCH(L$21,Dates,0)),(MATCH($C$21,Learning!$E$4:$S$4,0)+MATCH($C$22,Learning!$E$5:$S$5,0)-1))</f>
        <v>1.2061481586964298</v>
      </c>
      <c r="M29" s="533" cm="1">
        <f t="array" aca="1" ref="M29" ca="1">OFFSET(M29,-5,0)*
OFFSET(MSP!$F$1,
MATCH(OFFSET($C22,((MATCH($C22,EL_List,0)-1)*-10)-1,0),MSP!$C:$C,0)+MATCH($C22,EL_List,0)-1,0)
*INDEX(Learning!$E$6:$S$41,(MATCH(M$21,Dates,0)),(MATCH($C$21,Learning!$E$4:$S$4,0)+MATCH($C$22,Learning!$E$5:$S$5,0)-1))</f>
        <v>1.2619079917397824</v>
      </c>
      <c r="N29" s="533" cm="1">
        <f t="array" aca="1" ref="N29" ca="1">OFFSET(N29,-5,0)*
OFFSET(MSP!$F$1,
MATCH(OFFSET($C22,((MATCH($C22,EL_List,0)-1)*-10)-1,0),MSP!$C:$C,0)+MATCH($C22,EL_List,0)-1,0)
*INDEX(Learning!$E$6:$S$41,(MATCH(N$21,Dates,0)),(MATCH($C$21,Learning!$E$4:$S$4,0)+MATCH($C$22,Learning!$E$5:$S$5,0)-1))</f>
        <v>1.3191920882367518</v>
      </c>
      <c r="O29" s="533" cm="1">
        <f t="array" aca="1" ref="O29" ca="1">OFFSET(O29,-5,0)*
OFFSET(MSP!$F$1,
MATCH(OFFSET($C22,((MATCH($C22,EL_List,0)-1)*-10)-1,0),MSP!$C:$C,0)+MATCH($C22,EL_List,0)-1,0)
*INDEX(Learning!$E$6:$S$41,(MATCH(O$21,Dates,0)),(MATCH($C$21,Learning!$E$4:$S$4,0)+MATCH($C$22,Learning!$E$5:$S$5,0)-1))</f>
        <v>1.3779305977120213</v>
      </c>
      <c r="P29" s="533" cm="1">
        <f t="array" aca="1" ref="P29" ca="1">OFFSET(P29,-5,0)*
OFFSET(MSP!$F$1,
MATCH(OFFSET($C22,((MATCH($C22,EL_List,0)-1)*-10)-1,0),MSP!$C:$C,0)+MATCH($C22,EL_List,0)-1,0)
*INDEX(Learning!$E$6:$S$41,(MATCH(P$21,Dates,0)),(MATCH($C$21,Learning!$E$4:$S$4,0)+MATCH($C$22,Learning!$E$5:$S$5,0)-1))</f>
        <v>1.4383663916699347</v>
      </c>
      <c r="Q29" s="533" cm="1">
        <f t="array" aca="1" ref="Q29" ca="1">OFFSET(Q29,-5,0)*
OFFSET(MSP!$F$1,
MATCH(OFFSET($C22,((MATCH($C22,EL_List,0)-1)*-10)-1,0),MSP!$C:$C,0)+MATCH($C22,EL_List,0)-1,0)
*INDEX(Learning!$E$6:$S$41,(MATCH(Q$21,Dates,0)),(MATCH($C$21,Learning!$E$4:$S$4,0)+MATCH($C$22,Learning!$E$5:$S$5,0)-1))</f>
        <v>1.502441406457045</v>
      </c>
      <c r="R29" s="533" cm="1">
        <f t="array" aca="1" ref="R29" ca="1">OFFSET(R29,-5,0)*
OFFSET(MSP!$F$1,
MATCH(OFFSET($C22,((MATCH($C22,EL_List,0)-1)*-10)-1,0),MSP!$C:$C,0)+MATCH($C22,EL_List,0)-1,0)
*INDEX(Learning!$E$6:$S$41,(MATCH(R$21,Dates,0)),(MATCH($C$21,Learning!$E$4:$S$4,0)+MATCH($C$22,Learning!$E$5:$S$5,0)-1))</f>
        <v>1.5692000402249748</v>
      </c>
      <c r="S29" s="533" cm="1">
        <f t="array" aca="1" ref="S29" ca="1">OFFSET(S29,-5,0)*
OFFSET(MSP!$F$1,
MATCH(OFFSET($C22,((MATCH($C22,EL_List,0)-1)*-10)-1,0),MSP!$C:$C,0)+MATCH($C22,EL_List,0)-1,0)
*INDEX(Learning!$E$6:$S$41,(MATCH(S$21,Dates,0)),(MATCH($C$21,Learning!$E$4:$S$4,0)+MATCH($C$22,Learning!$E$5:$S$5,0)-1))</f>
        <v>1.6390083767360013</v>
      </c>
      <c r="T29" s="533" cm="1">
        <f t="array" aca="1" ref="T29" ca="1">OFFSET(T29,-5,0)*
OFFSET(MSP!$F$1,
MATCH(OFFSET($C22,((MATCH($C22,EL_List,0)-1)*-10)-1,0),MSP!$C:$C,0)+MATCH($C22,EL_List,0)-1,0)
*INDEX(Learning!$E$6:$S$41,(MATCH(T$21,Dates,0)),(MATCH($C$21,Learning!$E$4:$S$4,0)+MATCH($C$22,Learning!$E$5:$S$5,0)-1))</f>
        <v>1.7120704057445537</v>
      </c>
      <c r="U29" s="533" cm="1">
        <f t="array" aca="1" ref="U29" ca="1">OFFSET(U29,-5,0)*
OFFSET(MSP!$F$1,
MATCH(OFFSET($C22,((MATCH($C22,EL_List,0)-1)*-10)-1,0),MSP!$C:$C,0)+MATCH($C22,EL_List,0)-1,0)
*INDEX(Learning!$E$6:$S$41,(MATCH(U$21,Dates,0)),(MATCH($C$21,Learning!$E$4:$S$4,0)+MATCH($C$22,Learning!$E$5:$S$5,0)-1))</f>
        <v>1.7886138237685121</v>
      </c>
      <c r="V29" s="533" cm="1">
        <f t="array" aca="1" ref="V29" ca="1">OFFSET(V29,-5,0)*
OFFSET(MSP!$F$1,
MATCH(OFFSET($C22,((MATCH($C22,EL_List,0)-1)*-10)-1,0),MSP!$C:$C,0)+MATCH($C22,EL_List,0)-1,0)
*INDEX(Learning!$E$6:$S$41,(MATCH(V$21,Dates,0)),(MATCH($C$21,Learning!$E$4:$S$4,0)+MATCH($C$22,Learning!$E$5:$S$5,0)-1))</f>
        <v>1.868399188489908</v>
      </c>
      <c r="W29" s="533" cm="1">
        <f t="array" aca="1" ref="W29" ca="1">OFFSET(W29,-5,0)*
OFFSET(MSP!$F$1,
MATCH(OFFSET($C22,((MATCH($C22,EL_List,0)-1)*-10)-1,0),MSP!$C:$C,0)+MATCH($C22,EL_List,0)-1,0)
*INDEX(Learning!$E$6:$S$41,(MATCH(W$21,Dates,0)),(MATCH($C$21,Learning!$E$4:$S$4,0)+MATCH($C$22,Learning!$E$5:$S$5,0)-1))</f>
        <v>1.9516300918644007</v>
      </c>
      <c r="X29" s="533" cm="1">
        <f t="array" aca="1" ref="X29" ca="1">OFFSET(X29,-5,0)*
OFFSET(MSP!$F$1,
MATCH(OFFSET($C22,((MATCH($C22,EL_List,0)-1)*-10)-1,0),MSP!$C:$C,0)+MATCH($C22,EL_List,0)-1,0)
*INDEX(Learning!$E$6:$S$41,(MATCH(X$21,Dates,0)),(MATCH($C$21,Learning!$E$4:$S$4,0)+MATCH($C$22,Learning!$E$5:$S$5,0)-1))</f>
        <v>2.0383479136113021</v>
      </c>
      <c r="Y29" s="533" cm="1">
        <f t="array" aca="1" ref="Y29" ca="1">OFFSET(Y29,-5,0)*
OFFSET(MSP!$F$1,
MATCH(OFFSET($C22,((MATCH($C22,EL_List,0)-1)*-10)-1,0),MSP!$C:$C,0)+MATCH($C22,EL_List,0)-1,0)
*INDEX(Learning!$E$6:$S$41,(MATCH(Y$21,Dates,0)),(MATCH($C$21,Learning!$E$4:$S$4,0)+MATCH($C$22,Learning!$E$5:$S$5,0)-1))</f>
        <v>2.1309461761769679</v>
      </c>
      <c r="Z29" s="533" cm="1">
        <f t="array" aca="1" ref="Z29" ca="1">OFFSET(Z29,-5,0)*
OFFSET(MSP!$F$1,
MATCH(OFFSET($C22,((MATCH($C22,EL_List,0)-1)*-10)-1,0),MSP!$C:$C,0)+MATCH($C22,EL_List,0)-1,0)
*INDEX(Learning!$E$6:$S$41,(MATCH(Z$21,Dates,0)),(MATCH($C$21,Learning!$E$4:$S$4,0)+MATCH($C$22,Learning!$E$5:$S$5,0)-1))</f>
        <v>2.2250816099156969</v>
      </c>
      <c r="AA29" s="533" cm="1">
        <f t="array" aca="1" ref="AA29" ca="1">OFFSET(AA29,-5,0)*
OFFSET(MSP!$F$1,
MATCH(OFFSET($C22,((MATCH($C22,EL_List,0)-1)*-10)-1,0),MSP!$C:$C,0)+MATCH($C22,EL_List,0)-1,0)
*INDEX(Learning!$E$6:$S$41,(MATCH(AA$21,Dates,0)),(MATCH($C$21,Learning!$E$4:$S$4,0)+MATCH($C$22,Learning!$E$5:$S$5,0)-1))</f>
        <v>2.325655660027071</v>
      </c>
      <c r="AB29" s="533" cm="1">
        <f t="array" aca="1" ref="AB29" ca="1">OFFSET(AB29,-5,0)*
OFFSET(MSP!$F$1,
MATCH(OFFSET($C22,((MATCH($C22,EL_List,0)-1)*-10)-1,0),MSP!$C:$C,0)+MATCH($C22,EL_List,0)-1,0)
*INDEX(Learning!$E$6:$S$41,(MATCH(AB$21,Dates,0)),(MATCH($C$21,Learning!$E$4:$S$4,0)+MATCH($C$22,Learning!$E$5:$S$5,0)-1))</f>
        <v>2.430588957340504</v>
      </c>
      <c r="AC29" s="533" cm="1">
        <f t="array" aca="1" ref="AC29" ca="1">OFFSET(AC29,-5,0)*
OFFSET(MSP!$F$1,
MATCH(OFFSET($C22,((MATCH($C22,EL_List,0)-1)*-10)-1,0),MSP!$C:$C,0)+MATCH($C22,EL_List,0)-1,0)
*INDEX(Learning!$E$6:$S$41,(MATCH(AC$21,Dates,0)),(MATCH($C$21,Learning!$E$4:$S$4,0)+MATCH($C$22,Learning!$E$5:$S$5,0)-1))</f>
        <v>2.5373068331717668</v>
      </c>
      <c r="AD29" s="533" cm="1">
        <f t="array" aca="1" ref="AD29" ca="1">OFFSET(AD29,-5,0)*
OFFSET(MSP!$F$1,
MATCH(OFFSET($C22,((MATCH($C22,EL_List,0)-1)*-10)-1,0),MSP!$C:$C,0)+MATCH($C22,EL_List,0)-1,0)
*INDEX(Learning!$E$6:$S$41,(MATCH(AD$21,Dates,0)),(MATCH($C$21,Learning!$E$4:$S$4,0)+MATCH($C$22,Learning!$E$5:$S$5,0)-1))</f>
        <v>2.6514756465913254</v>
      </c>
      <c r="AE29" s="533" cm="1">
        <f t="array" aca="1" ref="AE29" ca="1">OFFSET(AE29,-5,0)*
OFFSET(MSP!$F$1,
MATCH(OFFSET($C22,((MATCH($C22,EL_List,0)-1)*-10)-1,0),MSP!$C:$C,0)+MATCH($C22,EL_List,0)-1,0)
*INDEX(Learning!$E$6:$S$41,(MATCH(AE$21,Dates,0)),(MATCH($C$21,Learning!$E$4:$S$4,0)+MATCH($C$22,Learning!$E$5:$S$5,0)-1))</f>
        <v>2.7706440474526315</v>
      </c>
      <c r="AF29" s="533" cm="1">
        <f t="array" aca="1" ref="AF29" ca="1">OFFSET(AF29,-5,0)*
OFFSET(MSP!$F$1,
MATCH(OFFSET($C22,((MATCH($C22,EL_List,0)-1)*-10)-1,0),MSP!$C:$C,0)+MATCH($C22,EL_List,0)-1,0)
*INDEX(Learning!$E$6:$S$41,(MATCH(AF$21,Dates,0)),(MATCH($C$21,Learning!$E$4:$S$4,0)+MATCH($C$22,Learning!$E$5:$S$5,0)-1))</f>
        <v>2.8950205992989857</v>
      </c>
      <c r="AG29" s="533" cm="1">
        <f t="array" aca="1" ref="AG29" ca="1">OFFSET(AG29,-5,0)*
OFFSET(MSP!$F$1,
MATCH(OFFSET($C22,((MATCH($C22,EL_List,0)-1)*-10)-1,0),MSP!$C:$C,0)+MATCH($C22,EL_List,0)-1,0)
*INDEX(Learning!$E$6:$S$41,(MATCH(AG$21,Dates,0)),(MATCH($C$21,Learning!$E$4:$S$4,0)+MATCH($C$22,Learning!$E$5:$S$5,0)-1))</f>
        <v>3.0248176465978931</v>
      </c>
      <c r="AH29" s="533" cm="1">
        <f t="array" aca="1" ref="AH29" ca="1">OFFSET(AH29,-5,0)*
OFFSET(MSP!$F$1,
MATCH(OFFSET($C22,((MATCH($C22,EL_List,0)-1)*-10)-1,0),MSP!$C:$C,0)+MATCH($C22,EL_List,0)-1,0)
*INDEX(Learning!$E$6:$S$41,(MATCH(AH$21,Dates,0)),(MATCH($C$21,Learning!$E$4:$S$4,0)+MATCH($C$22,Learning!$E$5:$S$5,0)-1))</f>
        <v>3.1602566191995796</v>
      </c>
      <c r="AI29" s="533" cm="1">
        <f t="array" aca="1" ref="AI29" ca="1">OFFSET(AI29,-5,0)*
OFFSET(MSP!$F$1,
MATCH(OFFSET($C22,((MATCH($C22,EL_List,0)-1)*-10)-1,0),MSP!$C:$C,0)+MATCH($C22,EL_List,0)-1,0)
*INDEX(Learning!$E$6:$S$41,(MATCH(AI$21,Dates,0)),(MATCH($C$21,Learning!$E$4:$S$4,0)+MATCH($C$22,Learning!$E$5:$S$5,0)-1))</f>
        <v>3.3015718465662296</v>
      </c>
      <c r="AJ29" s="533" cm="1">
        <f t="array" aca="1" ref="AJ29" ca="1">OFFSET(AJ29,-5,0)*
OFFSET(MSP!$F$1,
MATCH(OFFSET($C22,((MATCH($C22,EL_List,0)-1)*-10)-1,0),MSP!$C:$C,0)+MATCH($C22,EL_List,0)-1,0)
*INDEX(Learning!$E$6:$S$41,(MATCH(AJ$21,Dates,0)),(MATCH($C$21,Learning!$E$4:$S$4,0)+MATCH($C$22,Learning!$E$5:$S$5,0)-1))</f>
        <v>3.4490123895255915</v>
      </c>
      <c r="AK29" s="533" cm="1">
        <f t="array" aca="1" ref="AK29" ca="1">OFFSET(AK29,-5,0)*
OFFSET(MSP!$F$1,
MATCH(OFFSET($C22,((MATCH($C22,EL_List,0)-1)*-10)-1,0),MSP!$C:$C,0)+MATCH($C22,EL_List,0)-1,0)
*INDEX(Learning!$E$6:$S$41,(MATCH(AK$21,Dates,0)),(MATCH($C$21,Learning!$E$4:$S$4,0)+MATCH($C$22,Learning!$E$5:$S$5,0)-1))</f>
        <v>3.6028417685799301</v>
      </c>
      <c r="AL29" s="533" cm="1">
        <f t="array" aca="1" ref="AL29" ca="1">OFFSET(AL29,-5,0)*
OFFSET(MSP!$F$1,
MATCH(OFFSET($C22,((MATCH($C22,EL_List,0)-1)*-10)-1,0),MSP!$C:$C,0)+MATCH($C22,EL_List,0)-1,0)
*INDEX(Learning!$E$6:$S$41,(MATCH(AL$21,Dates,0)),(MATCH($C$21,Learning!$E$4:$S$4,0)+MATCH($C$22,Learning!$E$5:$S$5,0)-1))</f>
        <v>3.7633368196062476</v>
      </c>
      <c r="AM29" s="533" cm="1">
        <f t="array" aca="1" ref="AM29" ca="1">OFFSET(AM29,-5,0)*
OFFSET(MSP!$F$1,
MATCH(OFFSET($C22,((MATCH($C22,EL_List,0)-1)*-10)-1,0),MSP!$C:$C,0)+MATCH($C22,EL_List,0)-1,0)
*INDEX(Learning!$E$6:$S$41,(MATCH(AM$21,Dates,0)),(MATCH($C$21,Learning!$E$4:$S$4,0)+MATCH($C$22,Learning!$E$5:$S$5,0)-1))</f>
        <v>3.9353153476795502</v>
      </c>
      <c r="AN29" s="533" cm="1">
        <f t="array" aca="1" ref="AN29" ca="1">OFFSET(AN29,-5,0)*
OFFSET(MSP!$F$1,
MATCH(OFFSET($C22,((MATCH($C22,EL_List,0)-1)*-10)-1,0),MSP!$C:$C,0)+MATCH($C22,EL_List,0)-1,0)
*INDEX(Learning!$E$6:$S$41,(MATCH(AN$21,Dates,0)),(MATCH($C$21,Learning!$E$4:$S$4,0)+MATCH($C$22,Learning!$E$5:$S$5,0)-1))</f>
        <v>4.1092182537065778</v>
      </c>
      <c r="AO29" s="436"/>
      <c r="AP29" s="21"/>
    </row>
    <row r="30" spans="2:42" ht="15" customHeight="1" collapsed="1" x14ac:dyDescent="0.35">
      <c r="B30" s="429"/>
      <c r="C30" s="777" t="s">
        <v>215</v>
      </c>
      <c r="D30" s="776"/>
      <c r="E30" s="531" cm="1">
        <f t="array" aca="1" ref="E30" ca="1">OFFSET(E30,-6,0)*
OFFSET(MSP!$G$1,
MATCH(OFFSET($C22,((MATCH($C22,EL_List,0)-1)*-10)-1,0),MSP!$C:$C,0)+MATCH($C22,EL_List,0)-1,0)
*INDEX(Learning!$E$6:$S$41,(MATCH(E$21,Dates,0)),(MATCH($C$21,Learning!$E$4:$S$4,0)+MATCH($C$22,Learning!$E$5:$S$5,0)-1))</f>
        <v>0.67727469382154937</v>
      </c>
      <c r="F30" s="531" cm="1">
        <f t="array" aca="1" ref="F30" ca="1">OFFSET(F30,-6,0)*
OFFSET(MSP!$G$1,
MATCH(OFFSET($C22,((MATCH($C22,EL_List,0)-1)*-10)-1,0),MSP!$C:$C,0)+MATCH($C22,EL_List,0)-1,0)
*INDEX(Learning!$E$6:$S$41,(MATCH(F$21,Dates,0)),(MATCH($C$21,Learning!$E$4:$S$4,0)+MATCH($C$22,Learning!$E$5:$S$5,0)-1))</f>
        <v>0.70213431431751849</v>
      </c>
      <c r="G30" s="531" cm="1">
        <f t="array" aca="1" ref="G30" ca="1">OFFSET(G30,-6,0)*
OFFSET(MSP!$G$1,
MATCH(OFFSET($C22,((MATCH($C22,EL_List,0)-1)*-10)-1,0),MSP!$C:$C,0)+MATCH($C22,EL_List,0)-1,0)
*INDEX(Learning!$E$6:$S$41,(MATCH(G$21,Dates,0)),(MATCH($C$21,Learning!$E$4:$S$4,0)+MATCH($C$22,Learning!$E$5:$S$5,0)-1))</f>
        <v>0.72413549073050176</v>
      </c>
      <c r="H30" s="531" cm="1">
        <f t="array" aca="1" ref="H30" ca="1">OFFSET(H30,-6,0)*
OFFSET(MSP!$G$1,
MATCH(OFFSET($C22,((MATCH($C22,EL_List,0)-1)*-10)-1,0),MSP!$C:$C,0)+MATCH($C22,EL_List,0)-1,0)
*INDEX(Learning!$E$6:$S$41,(MATCH(H$21,Dates,0)),(MATCH($C$21,Learning!$E$4:$S$4,0)+MATCH($C$22,Learning!$E$5:$S$5,0)-1))</f>
        <v>0.75224311854019899</v>
      </c>
      <c r="I30" s="531" cm="1">
        <f t="array" aca="1" ref="I30" ca="1">OFFSET(I30,-6,0)*
OFFSET(MSP!$G$1,
MATCH(OFFSET($C22,((MATCH($C22,EL_List,0)-1)*-10)-1,0),MSP!$C:$C,0)+MATCH($C22,EL_List,0)-1,0)
*INDEX(Learning!$E$6:$S$41,(MATCH(I$21,Dates,0)),(MATCH($C$21,Learning!$E$4:$S$4,0)+MATCH($C$22,Learning!$E$5:$S$5,0)-1))</f>
        <v>0.78303934323622526</v>
      </c>
      <c r="J30" s="531" cm="1">
        <f t="array" aca="1" ref="J30" ca="1">OFFSET(J30,-6,0)*
OFFSET(MSP!$G$1,
MATCH(OFFSET($C22,((MATCH($C22,EL_List,0)-1)*-10)-1,0),MSP!$C:$C,0)+MATCH($C22,EL_List,0)-1,0)
*INDEX(Learning!$E$6:$S$41,(MATCH(J$21,Dates,0)),(MATCH($C$21,Learning!$E$4:$S$4,0)+MATCH($C$22,Learning!$E$5:$S$5,0)-1))</f>
        <v>0.81714854202352583</v>
      </c>
      <c r="K30" s="531" cm="1">
        <f t="array" aca="1" ref="K30" ca="1">OFFSET(K30,-6,0)*
OFFSET(MSP!$G$1,
MATCH(OFFSET($C22,((MATCH($C22,EL_List,0)-1)*-10)-1,0),MSP!$C:$C,0)+MATCH($C22,EL_List,0)-1,0)
*INDEX(Learning!$E$6:$S$41,(MATCH(K$21,Dates,0)),(MATCH($C$21,Learning!$E$4:$S$4,0)+MATCH($C$22,Learning!$E$5:$S$5,0)-1))</f>
        <v>0.85488444948313091</v>
      </c>
      <c r="L30" s="531" cm="1">
        <f t="array" aca="1" ref="L30" ca="1">OFFSET(L30,-6,0)*
OFFSET(MSP!$G$1,
MATCH(OFFSET($C22,((MATCH($C22,EL_List,0)-1)*-10)-1,0),MSP!$C:$C,0)+MATCH($C22,EL_List,0)-1,0)
*INDEX(Learning!$E$6:$S$41,(MATCH(L$21,Dates,0)),(MATCH($C$21,Learning!$E$4:$S$4,0)+MATCH($C$22,Learning!$E$5:$S$5,0)-1))</f>
        <v>0.89472486203052948</v>
      </c>
      <c r="M30" s="531" cm="1">
        <f t="array" aca="1" ref="M30" ca="1">OFFSET(M30,-6,0)*
OFFSET(MSP!$G$1,
MATCH(OFFSET($C22,((MATCH($C22,EL_List,0)-1)*-10)-1,0),MSP!$C:$C,0)+MATCH($C22,EL_List,0)-1,0)
*INDEX(Learning!$E$6:$S$41,(MATCH(M$21,Dates,0)),(MATCH($C$21,Learning!$E$4:$S$4,0)+MATCH($C$22,Learning!$E$5:$S$5,0)-1))</f>
        <v>0.93608769840087935</v>
      </c>
      <c r="N30" s="531" cm="1">
        <f t="array" aca="1" ref="N30" ca="1">OFFSET(N30,-6,0)*
OFFSET(MSP!$G$1,
MATCH(OFFSET($C22,((MATCH($C22,EL_List,0)-1)*-10)-1,0),MSP!$C:$C,0)+MATCH($C22,EL_List,0)-1,0)
*INDEX(Learning!$E$6:$S$41,(MATCH(N$21,Dates,0)),(MATCH($C$21,Learning!$E$4:$S$4,0)+MATCH($C$22,Learning!$E$5:$S$5,0)-1))</f>
        <v>0.97858123865565838</v>
      </c>
      <c r="O30" s="531" cm="1">
        <f t="array" aca="1" ref="O30" ca="1">OFFSET(O30,-6,0)*
OFFSET(MSP!$G$1,
MATCH(OFFSET($C22,((MATCH($C22,EL_List,0)-1)*-10)-1,0),MSP!$C:$C,0)+MATCH($C22,EL_List,0)-1,0)
*INDEX(Learning!$E$6:$S$41,(MATCH(O$21,Dates,0)),(MATCH($C$21,Learning!$E$4:$S$4,0)+MATCH($C$22,Learning!$E$5:$S$5,0)-1))</f>
        <v>1.0221536674714842</v>
      </c>
      <c r="P30" s="531" cm="1">
        <f t="array" aca="1" ref="P30" ca="1">OFFSET(P30,-6,0)*
OFFSET(MSP!$G$1,
MATCH(OFFSET($C22,((MATCH($C22,EL_List,0)-1)*-10)-1,0),MSP!$C:$C,0)+MATCH($C22,EL_List,0)-1,0)
*INDEX(Learning!$E$6:$S$41,(MATCH(P$21,Dates,0)),(MATCH($C$21,Learning!$E$4:$S$4,0)+MATCH($C$22,Learning!$E$5:$S$5,0)-1))</f>
        <v>1.0669851477675205</v>
      </c>
      <c r="Q30" s="531" cm="1">
        <f t="array" aca="1" ref="Q30" ca="1">OFFSET(Q30,-6,0)*
OFFSET(MSP!$G$1,
MATCH(OFFSET($C22,((MATCH($C22,EL_List,0)-1)*-10)-1,0),MSP!$C:$C,0)+MATCH($C22,EL_List,0)-1,0)
*INDEX(Learning!$E$6:$S$41,(MATCH(Q$21,Dates,0)),(MATCH($C$21,Learning!$E$4:$S$4,0)+MATCH($C$22,Learning!$E$5:$S$5,0)-1))</f>
        <v>1.1145162146200054</v>
      </c>
      <c r="R30" s="531" cm="1">
        <f t="array" aca="1" ref="R30" ca="1">OFFSET(R30,-6,0)*
OFFSET(MSP!$G$1,
MATCH(OFFSET($C22,((MATCH($C22,EL_List,0)-1)*-10)-1,0),MSP!$C:$C,0)+MATCH($C22,EL_List,0)-1,0)
*INDEX(Learning!$E$6:$S$41,(MATCH(R$21,Dates,0)),(MATCH($C$21,Learning!$E$4:$S$4,0)+MATCH($C$22,Learning!$E$5:$S$5,0)-1))</f>
        <v>1.1640379992836016</v>
      </c>
      <c r="S30" s="531" cm="1">
        <f t="array" aca="1" ref="S30" ca="1">OFFSET(S30,-6,0)*
OFFSET(MSP!$G$1,
MATCH(OFFSET($C22,((MATCH($C22,EL_List,0)-1)*-10)-1,0),MSP!$C:$C,0)+MATCH($C22,EL_List,0)-1,0)
*INDEX(Learning!$E$6:$S$41,(MATCH(S$21,Dates,0)),(MATCH($C$21,Learning!$E$4:$S$4,0)+MATCH($C$22,Learning!$E$5:$S$5,0)-1))</f>
        <v>1.2158220639551534</v>
      </c>
      <c r="T30" s="531" cm="1">
        <f t="array" aca="1" ref="T30" ca="1">OFFSET(T30,-6,0)*
OFFSET(MSP!$G$1,
MATCH(OFFSET($C22,((MATCH($C22,EL_List,0)-1)*-10)-1,0),MSP!$C:$C,0)+MATCH($C22,EL_List,0)-1,0)
*INDEX(Learning!$E$6:$S$41,(MATCH(T$21,Dates,0)),(MATCH($C$21,Learning!$E$4:$S$4,0)+MATCH($C$22,Learning!$E$5:$S$5,0)-1))</f>
        <v>1.2700197289377024</v>
      </c>
      <c r="U30" s="531" cm="1">
        <f t="array" aca="1" ref="U30" ca="1">OFFSET(U30,-6,0)*
OFFSET(MSP!$G$1,
MATCH(OFFSET($C22,((MATCH($C22,EL_List,0)-1)*-10)-1,0),MSP!$C:$C,0)+MATCH($C22,EL_List,0)-1,0)
*INDEX(Learning!$E$6:$S$41,(MATCH(U$21,Dates,0)),(MATCH($C$21,Learning!$E$4:$S$4,0)+MATCH($C$22,Learning!$E$5:$S$5,0)-1))</f>
        <v>1.3267999002931421</v>
      </c>
      <c r="V30" s="531" cm="1">
        <f t="array" aca="1" ref="V30" ca="1">OFFSET(V30,-6,0)*
OFFSET(MSP!$G$1,
MATCH(OFFSET($C22,((MATCH($C22,EL_List,0)-1)*-10)-1,0),MSP!$C:$C,0)+MATCH($C22,EL_List,0)-1,0)
*INDEX(Learning!$E$6:$S$41,(MATCH(V$21,Dates,0)),(MATCH($C$21,Learning!$E$4:$S$4,0)+MATCH($C$22,Learning!$E$5:$S$5,0)-1))</f>
        <v>1.3859849588845827</v>
      </c>
      <c r="W30" s="531" cm="1">
        <f t="array" aca="1" ref="W30" ca="1">OFFSET(W30,-6,0)*
OFFSET(MSP!$G$1,
MATCH(OFFSET($C22,((MATCH($C22,EL_List,0)-1)*-10)-1,0),MSP!$C:$C,0)+MATCH($C22,EL_List,0)-1,0)
*INDEX(Learning!$E$6:$S$41,(MATCH(W$21,Dates,0)),(MATCH($C$21,Learning!$E$4:$S$4,0)+MATCH($C$22,Learning!$E$5:$S$5,0)-1))</f>
        <v>1.4477259299265675</v>
      </c>
      <c r="X30" s="531" cm="1">
        <f t="array" aca="1" ref="X30" ca="1">OFFSET(X30,-6,0)*
OFFSET(MSP!$G$1,
MATCH(OFFSET($C22,((MATCH($C22,EL_List,0)-1)*-10)-1,0),MSP!$C:$C,0)+MATCH($C22,EL_List,0)-1,0)
*INDEX(Learning!$E$6:$S$41,(MATCH(X$21,Dates,0)),(MATCH($C$21,Learning!$E$4:$S$4,0)+MATCH($C$22,Learning!$E$5:$S$5,0)-1))</f>
        <v>1.5120535090375282</v>
      </c>
      <c r="Y30" s="531" cm="1">
        <f t="array" aca="1" ref="Y30" ca="1">OFFSET(Y30,-6,0)*
OFFSET(MSP!$G$1,
MATCH(OFFSET($C22,((MATCH($C22,EL_List,0)-1)*-10)-1,0),MSP!$C:$C,0)+MATCH($C22,EL_List,0)-1,0)
*INDEX(Learning!$E$6:$S$41,(MATCH(Y$21,Dates,0)),(MATCH($C$21,Learning!$E$4:$S$4,0)+MATCH($C$22,Learning!$E$5:$S$5,0)-1))</f>
        <v>1.5807432194192728</v>
      </c>
      <c r="Z30" s="531" cm="1">
        <f t="array" aca="1" ref="Z30" ca="1">OFFSET(Z30,-6,0)*
OFFSET(MSP!$G$1,
MATCH(OFFSET($C22,((MATCH($C22,EL_List,0)-1)*-10)-1,0),MSP!$C:$C,0)+MATCH($C22,EL_List,0)-1,0)
*INDEX(Learning!$E$6:$S$41,(MATCH(Z$21,Dates,0)),(MATCH($C$21,Learning!$E$4:$S$4,0)+MATCH($C$22,Learning!$E$5:$S$5,0)-1))</f>
        <v>1.6505732086762281</v>
      </c>
      <c r="AA30" s="531" cm="1">
        <f t="array" aca="1" ref="AA30" ca="1">OFFSET(AA30,-6,0)*
OFFSET(MSP!$G$1,
MATCH(OFFSET($C22,((MATCH($C22,EL_List,0)-1)*-10)-1,0),MSP!$C:$C,0)+MATCH($C22,EL_List,0)-1,0)
*INDEX(Learning!$E$6:$S$41,(MATCH(AA$21,Dates,0)),(MATCH($C$21,Learning!$E$4:$S$4,0)+MATCH($C$22,Learning!$E$5:$S$5,0)-1))</f>
        <v>1.7251793857540139</v>
      </c>
      <c r="AB30" s="531" cm="1">
        <f t="array" aca="1" ref="AB30" ca="1">OFFSET(AB30,-6,0)*
OFFSET(MSP!$G$1,
MATCH(OFFSET($C22,((MATCH($C22,EL_List,0)-1)*-10)-1,0),MSP!$C:$C,0)+MATCH($C22,EL_List,0)-1,0)
*INDEX(Learning!$E$6:$S$41,(MATCH(AB$21,Dates,0)),(MATCH($C$21,Learning!$E$4:$S$4,0)+MATCH($C$22,Learning!$E$5:$S$5,0)-1))</f>
        <v>1.8030192674337564</v>
      </c>
      <c r="AC30" s="531" cm="1">
        <f t="array" aca="1" ref="AC30" ca="1">OFFSET(AC30,-6,0)*
OFFSET(MSP!$G$1,
MATCH(OFFSET($C22,((MATCH($C22,EL_List,0)-1)*-10)-1,0),MSP!$C:$C,0)+MATCH($C22,EL_List,0)-1,0)
*INDEX(Learning!$E$6:$S$41,(MATCH(AC$21,Dates,0)),(MATCH($C$21,Learning!$E$4:$S$4,0)+MATCH($C$22,Learning!$E$5:$S$5,0)-1))</f>
        <v>1.8821829556099365</v>
      </c>
      <c r="AD30" s="531" cm="1">
        <f t="array" aca="1" ref="AD30" ca="1">OFFSET(AD30,-6,0)*
OFFSET(MSP!$G$1,
MATCH(OFFSET($C22,((MATCH($C22,EL_List,0)-1)*-10)-1,0),MSP!$C:$C,0)+MATCH($C22,EL_List,0)-1,0)
*INDEX(Learning!$E$6:$S$41,(MATCH(AD$21,Dates,0)),(MATCH($C$21,Learning!$E$4:$S$4,0)+MATCH($C$22,Learning!$E$5:$S$5,0)-1))</f>
        <v>1.9668737749744534</v>
      </c>
      <c r="AE30" s="531" cm="1">
        <f t="array" aca="1" ref="AE30" ca="1">OFFSET(AE30,-6,0)*
OFFSET(MSP!$G$1,
MATCH(OFFSET($C22,((MATCH($C22,EL_List,0)-1)*-10)-1,0),MSP!$C:$C,0)+MATCH($C22,EL_List,0)-1,0)
*INDEX(Learning!$E$6:$S$41,(MATCH(AE$21,Dates,0)),(MATCH($C$21,Learning!$E$4:$S$4,0)+MATCH($C$22,Learning!$E$5:$S$5,0)-1))</f>
        <v>2.0552733055381491</v>
      </c>
      <c r="AF30" s="531" cm="1">
        <f t="array" aca="1" ref="AF30" ca="1">OFFSET(AF30,-6,0)*
OFFSET(MSP!$G$1,
MATCH(OFFSET($C22,((MATCH($C22,EL_List,0)-1)*-10)-1,0),MSP!$C:$C,0)+MATCH($C22,EL_List,0)-1,0)
*INDEX(Learning!$E$6:$S$41,(MATCH(AF$21,Dates,0)),(MATCH($C$21,Learning!$E$4:$S$4,0)+MATCH($C$22,Learning!$E$5:$S$5,0)-1))</f>
        <v>2.1475362604564188</v>
      </c>
      <c r="AG30" s="531" cm="1">
        <f t="array" aca="1" ref="AG30" ca="1">OFFSET(AG30,-6,0)*
OFFSET(MSP!$G$1,
MATCH(OFFSET($C22,((MATCH($C22,EL_List,0)-1)*-10)-1,0),MSP!$C:$C,0)+MATCH($C22,EL_List,0)-1,0)
*INDEX(Learning!$E$6:$S$41,(MATCH(AG$21,Dates,0)),(MATCH($C$21,Learning!$E$4:$S$4,0)+MATCH($C$22,Learning!$E$5:$S$5,0)-1))</f>
        <v>2.2438201575872641</v>
      </c>
      <c r="AH30" s="531" cm="1">
        <f t="array" aca="1" ref="AH30" ca="1">OFFSET(AH30,-6,0)*
OFFSET(MSP!$G$1,
MATCH(OFFSET($C22,((MATCH($C22,EL_List,0)-1)*-10)-1,0),MSP!$C:$C,0)+MATCH($C22,EL_List,0)-1,0)
*INDEX(Learning!$E$6:$S$41,(MATCH(AH$21,Dates,0)),(MATCH($C$21,Learning!$E$4:$S$4,0)+MATCH($C$22,Learning!$E$5:$S$5,0)-1))</f>
        <v>2.3442892543569087</v>
      </c>
      <c r="AI30" s="531" cm="1">
        <f t="array" aca="1" ref="AI30" ca="1">OFFSET(AI30,-6,0)*
OFFSET(MSP!$G$1,
MATCH(OFFSET($C22,((MATCH($C22,EL_List,0)-1)*-10)-1,0),MSP!$C:$C,0)+MATCH($C22,EL_List,0)-1,0)
*INDEX(Learning!$E$6:$S$41,(MATCH(AI$21,Dates,0)),(MATCH($C$21,Learning!$E$4:$S$4,0)+MATCH($C$22,Learning!$E$5:$S$5,0)-1))</f>
        <v>2.4491173771681969</v>
      </c>
      <c r="AJ30" s="531" cm="1">
        <f t="array" aca="1" ref="AJ30" ca="1">OFFSET(AJ30,-6,0)*
OFFSET(MSP!$G$1,
MATCH(OFFSET($C22,((MATCH($C22,EL_List,0)-1)*-10)-1,0),MSP!$C:$C,0)+MATCH($C22,EL_List,0)-1,0)
*INDEX(Learning!$E$6:$S$41,(MATCH(AJ$21,Dates,0)),(MATCH($C$21,Learning!$E$4:$S$4,0)+MATCH($C$22,Learning!$E$5:$S$5,0)-1))</f>
        <v>2.5584892802017309</v>
      </c>
      <c r="AK30" s="531" cm="1">
        <f t="array" aca="1" ref="AK30" ca="1">OFFSET(AK30,-6,0)*
OFFSET(MSP!$G$1,
MATCH(OFFSET($C22,((MATCH($C22,EL_List,0)-1)*-10)-1,0),MSP!$C:$C,0)+MATCH($C22,EL_List,0)-1,0)
*INDEX(Learning!$E$6:$S$41,(MATCH(AK$21,Dates,0)),(MATCH($C$21,Learning!$E$4:$S$4,0)+MATCH($C$22,Learning!$E$5:$S$5,0)-1))</f>
        <v>2.6726004438745155</v>
      </c>
      <c r="AL30" s="531" cm="1">
        <f t="array" aca="1" ref="AL30" ca="1">OFFSET(AL30,-6,0)*
OFFSET(MSP!$G$1,
MATCH(OFFSET($C22,((MATCH($C22,EL_List,0)-1)*-10)-1,0),MSP!$C:$C,0)+MATCH($C22,EL_List,0)-1,0)
*INDEX(Learning!$E$6:$S$41,(MATCH(AL$21,Dates,0)),(MATCH($C$21,Learning!$E$4:$S$4,0)+MATCH($C$22,Learning!$E$5:$S$5,0)-1))</f>
        <v>2.7916562259944349</v>
      </c>
      <c r="AM30" s="531" cm="1">
        <f t="array" aca="1" ref="AM30" ca="1">OFFSET(AM30,-6,0)*
OFFSET(MSP!$G$1,
MATCH(OFFSET($C22,((MATCH($C22,EL_List,0)-1)*-10)-1,0),MSP!$C:$C,0)+MATCH($C22,EL_List,0)-1,0)
*INDEX(Learning!$E$6:$S$41,(MATCH(AM$21,Dates,0)),(MATCH($C$21,Learning!$E$4:$S$4,0)+MATCH($C$22,Learning!$E$5:$S$5,0)-1))</f>
        <v>2.9192304909743698</v>
      </c>
      <c r="AN30" s="531" cm="1">
        <f t="array" aca="1" ref="AN30" ca="1">OFFSET(AN30,-6,0)*
OFFSET(MSP!$G$1,
MATCH(OFFSET($C22,((MATCH($C22,EL_List,0)-1)*-10)-1,0),MSP!$C:$C,0)+MATCH($C22,EL_List,0)-1,0)
*INDEX(Learning!$E$6:$S$41,(MATCH(AN$21,Dates,0)),(MATCH($C$21,Learning!$E$4:$S$4,0)+MATCH($C$22,Learning!$E$5:$S$5,0)-1))</f>
        <v>3.0482322661542147</v>
      </c>
      <c r="AO30" s="436"/>
      <c r="AP30" s="21"/>
    </row>
    <row r="31" spans="2:42" ht="15" customHeight="1" x14ac:dyDescent="0.35">
      <c r="B31" s="429"/>
      <c r="C31" s="776"/>
      <c r="D31" s="776"/>
      <c r="E31" s="776"/>
      <c r="F31" s="776"/>
      <c r="G31" s="776"/>
      <c r="H31" s="776"/>
      <c r="I31" s="776"/>
      <c r="J31" s="776"/>
      <c r="K31" s="776"/>
      <c r="L31" s="776"/>
      <c r="M31" s="776"/>
      <c r="N31" s="776"/>
      <c r="O31" s="776"/>
      <c r="P31" s="776"/>
      <c r="Q31" s="776"/>
      <c r="R31" s="776"/>
      <c r="S31" s="776"/>
      <c r="T31" s="776"/>
      <c r="U31" s="776"/>
      <c r="V31" s="776"/>
      <c r="W31" s="776"/>
      <c r="X31" s="776"/>
      <c r="Y31" s="776"/>
      <c r="Z31" s="776"/>
      <c r="AA31" s="776"/>
      <c r="AB31" s="776"/>
      <c r="AC31" s="776"/>
      <c r="AD31" s="776"/>
      <c r="AE31" s="776"/>
      <c r="AF31" s="776"/>
      <c r="AG31" s="776"/>
      <c r="AH31" s="776"/>
      <c r="AI31" s="776"/>
      <c r="AJ31" s="776"/>
      <c r="AK31" s="776"/>
      <c r="AL31" s="776"/>
      <c r="AM31" s="776"/>
      <c r="AN31" s="776"/>
      <c r="AO31" s="436"/>
      <c r="AP31" s="21"/>
    </row>
    <row r="32" spans="2:42" ht="15" customHeight="1" x14ac:dyDescent="0.35">
      <c r="B32" s="429"/>
      <c r="C32" s="772" t="s">
        <v>86</v>
      </c>
      <c r="D32" s="776"/>
      <c r="E32" s="776"/>
      <c r="F32" s="776"/>
      <c r="G32" s="776"/>
      <c r="H32" s="776"/>
      <c r="I32" s="776"/>
      <c r="J32" s="776"/>
      <c r="K32" s="776"/>
      <c r="L32" s="776"/>
      <c r="M32" s="776"/>
      <c r="N32" s="776"/>
      <c r="O32" s="776"/>
      <c r="P32" s="776"/>
      <c r="Q32" s="776"/>
      <c r="R32" s="776"/>
      <c r="S32" s="776"/>
      <c r="T32" s="776"/>
      <c r="U32" s="776"/>
      <c r="V32" s="776"/>
      <c r="W32" s="776"/>
      <c r="X32" s="776"/>
      <c r="Y32" s="776"/>
      <c r="Z32" s="776"/>
      <c r="AA32" s="776"/>
      <c r="AB32" s="776"/>
      <c r="AC32" s="776"/>
      <c r="AD32" s="776"/>
      <c r="AE32" s="776"/>
      <c r="AF32" s="776"/>
      <c r="AG32" s="776"/>
      <c r="AH32" s="776"/>
      <c r="AI32" s="776"/>
      <c r="AJ32" s="776"/>
      <c r="AK32" s="776"/>
      <c r="AL32" s="776"/>
      <c r="AM32" s="776"/>
      <c r="AN32" s="776"/>
      <c r="AO32" s="436"/>
      <c r="AP32" s="21"/>
    </row>
    <row r="33" spans="2:42" ht="15" customHeight="1" x14ac:dyDescent="0.35">
      <c r="B33" s="429"/>
      <c r="C33" s="777" t="s">
        <v>10</v>
      </c>
      <c r="D33" s="776"/>
      <c r="E33" s="778" cm="1">
        <f t="array" aca="1" ref="E33" ca="1">OFFSET(MSP!$C$1,
MATCH(OFFSET($C32,((MATCH($C32,EL_List,0)-1)*-10)-1,0),MSP!$C:$C,0)+MATCH($C32,EL_List,0)-1,
MATCH(OFFSET($C32,((MATCH($C32,EL_List,0)-1)*-10)-3,0),MSP!$D$5:$N$5,0)+1)
*INDEX(Learning!$E$6:$S$41,(MATCH(E$21,Dates,0)),(MATCH($C$21,Learning!$E$4:$S$4,0)+MATCH($C$32,Learning!$E$5:$S$5,0)-1))</f>
        <v>48.820049999999995</v>
      </c>
      <c r="F33" s="778" cm="1">
        <f t="array" aca="1" ref="F33" ca="1">OFFSET(MSP!$C$1,
MATCH(OFFSET($C32,((MATCH($C32,EL_List,0)-1)*-10)-1,0),MSP!$C:$C,0)+MATCH($C32,EL_List,0)-1,
MATCH(OFFSET($C32,((MATCH($C32,EL_List,0)-1)*-10)-3,0),MSP!$D$5:$N$5,0)+1)
*INDEX(Learning!$E$6:$S$41,(MATCH(F$21,Dates,0)),(MATCH($C$21,Learning!$E$4:$S$4,0)+MATCH($C$32,Learning!$E$5:$S$5,0)-1))</f>
        <v>48.445949999999996</v>
      </c>
      <c r="G33" s="778" cm="1">
        <f t="array" aca="1" ref="G33" ca="1">OFFSET(MSP!$C$1,
MATCH(OFFSET($C32,((MATCH($C32,EL_List,0)-1)*-10)-1,0),MSP!$C:$C,0)+MATCH($C32,EL_List,0)-1,
MATCH(OFFSET($C32,((MATCH($C32,EL_List,0)-1)*-10)-3,0),MSP!$D$5:$N$5,0)+1)
*INDEX(Learning!$E$6:$S$41,(MATCH(G$21,Dates,0)),(MATCH($C$21,Learning!$E$4:$S$4,0)+MATCH($C$32,Learning!$E$5:$S$5,0)-1))</f>
        <v>48.071849999999998</v>
      </c>
      <c r="H33" s="778" cm="1">
        <f t="array" aca="1" ref="H33" ca="1">OFFSET(MSP!$C$1,
MATCH(OFFSET($C32,((MATCH($C32,EL_List,0)-1)*-10)-1,0),MSP!$C:$C,0)+MATCH($C32,EL_List,0)-1,
MATCH(OFFSET($C32,((MATCH($C32,EL_List,0)-1)*-10)-3,0),MSP!$D$5:$N$5,0)+1)
*INDEX(Learning!$E$6:$S$41,(MATCH(H$21,Dates,0)),(MATCH($C$21,Learning!$E$4:$S$4,0)+MATCH($C$32,Learning!$E$5:$S$5,0)-1))</f>
        <v>47.744512499999992</v>
      </c>
      <c r="I33" s="778" cm="1">
        <f t="array" aca="1" ref="I33" ca="1">OFFSET(MSP!$C$1,
MATCH(OFFSET($C32,((MATCH($C32,EL_List,0)-1)*-10)-1,0),MSP!$C:$C,0)+MATCH($C32,EL_List,0)-1,
MATCH(OFFSET($C32,((MATCH($C32,EL_List,0)-1)*-10)-3,0),MSP!$D$5:$N$5,0)+1)
*INDEX(Learning!$E$6:$S$41,(MATCH(I$21,Dates,0)),(MATCH($C$21,Learning!$E$4:$S$4,0)+MATCH($C$32,Learning!$E$5:$S$5,0)-1))</f>
        <v>47.417174999999993</v>
      </c>
      <c r="J33" s="778" cm="1">
        <f t="array" aca="1" ref="J33" ca="1">OFFSET(MSP!$C$1,
MATCH(OFFSET($C32,((MATCH($C32,EL_List,0)-1)*-10)-1,0),MSP!$C:$C,0)+MATCH($C32,EL_List,0)-1,
MATCH(OFFSET($C32,((MATCH($C32,EL_List,0)-1)*-10)-3,0),MSP!$D$5:$N$5,0)+1)
*INDEX(Learning!$E$6:$S$41,(MATCH(J$21,Dates,0)),(MATCH($C$21,Learning!$E$4:$S$4,0)+MATCH($C$32,Learning!$E$5:$S$5,0)-1))</f>
        <v>47.089837499999987</v>
      </c>
      <c r="K33" s="778" cm="1">
        <f t="array" aca="1" ref="K33" ca="1">OFFSET(MSP!$C$1,
MATCH(OFFSET($C32,((MATCH($C32,EL_List,0)-1)*-10)-1,0),MSP!$C:$C,0)+MATCH($C32,EL_List,0)-1,
MATCH(OFFSET($C32,((MATCH($C32,EL_List,0)-1)*-10)-3,0),MSP!$D$5:$N$5,0)+1)
*INDEX(Learning!$E$6:$S$41,(MATCH(K$21,Dates,0)),(MATCH($C$21,Learning!$E$4:$S$4,0)+MATCH($C$32,Learning!$E$5:$S$5,0)-1))</f>
        <v>46.762499999999996</v>
      </c>
      <c r="L33" s="778" cm="1">
        <f t="array" aca="1" ref="L33" ca="1">OFFSET(MSP!$C$1,
MATCH(OFFSET($C32,((MATCH($C32,EL_List,0)-1)*-10)-1,0),MSP!$C:$C,0)+MATCH($C32,EL_List,0)-1,
MATCH(OFFSET($C32,((MATCH($C32,EL_List,0)-1)*-10)-3,0),MSP!$D$5:$N$5,0)+1)
*INDEX(Learning!$E$6:$S$41,(MATCH(L$21,Dates,0)),(MATCH($C$21,Learning!$E$4:$S$4,0)+MATCH($C$32,Learning!$E$5:$S$5,0)-1))</f>
        <v>46.481924999999997</v>
      </c>
      <c r="M33" s="778" cm="1">
        <f t="array" aca="1" ref="M33" ca="1">OFFSET(MSP!$C$1,
MATCH(OFFSET($C32,((MATCH($C32,EL_List,0)-1)*-10)-1,0),MSP!$C:$C,0)+MATCH($C32,EL_List,0)-1,
MATCH(OFFSET($C32,((MATCH($C32,EL_List,0)-1)*-10)-3,0),MSP!$D$5:$N$5,0)+1)
*INDEX(Learning!$E$6:$S$41,(MATCH(M$21,Dates,0)),(MATCH($C$21,Learning!$E$4:$S$4,0)+MATCH($C$32,Learning!$E$5:$S$5,0)-1))</f>
        <v>46.154587499999998</v>
      </c>
      <c r="N33" s="778" cm="1">
        <f t="array" aca="1" ref="N33" ca="1">OFFSET(MSP!$C$1,
MATCH(OFFSET($C32,((MATCH($C32,EL_List,0)-1)*-10)-1,0),MSP!$C:$C,0)+MATCH($C32,EL_List,0)-1,
MATCH(OFFSET($C32,((MATCH($C32,EL_List,0)-1)*-10)-3,0),MSP!$D$5:$N$5,0)+1)
*INDEX(Learning!$E$6:$S$41,(MATCH(N$21,Dates,0)),(MATCH($C$21,Learning!$E$4:$S$4,0)+MATCH($C$32,Learning!$E$5:$S$5,0)-1))</f>
        <v>45.874012499999992</v>
      </c>
      <c r="O33" s="778" cm="1">
        <f t="array" aca="1" ref="O33" ca="1">OFFSET(MSP!$C$1,
MATCH(OFFSET($C32,((MATCH($C32,EL_List,0)-1)*-10)-1,0),MSP!$C:$C,0)+MATCH($C32,EL_List,0)-1,
MATCH(OFFSET($C32,((MATCH($C32,EL_List,0)-1)*-10)-3,0),MSP!$D$5:$N$5,0)+1)
*INDEX(Learning!$E$6:$S$41,(MATCH(O$21,Dates,0)),(MATCH($C$21,Learning!$E$4:$S$4,0)+MATCH($C$32,Learning!$E$5:$S$5,0)-1))</f>
        <v>45.640199999999993</v>
      </c>
      <c r="P33" s="778" cm="1">
        <f t="array" aca="1" ref="P33" ca="1">OFFSET(MSP!$C$1,
MATCH(OFFSET($C32,((MATCH($C32,EL_List,0)-1)*-10)-1,0),MSP!$C:$C,0)+MATCH($C32,EL_List,0)-1,
MATCH(OFFSET($C32,((MATCH($C32,EL_List,0)-1)*-10)-3,0),MSP!$D$5:$N$5,0)+1)
*INDEX(Learning!$E$6:$S$41,(MATCH(P$21,Dates,0)),(MATCH($C$21,Learning!$E$4:$S$4,0)+MATCH($C$32,Learning!$E$5:$S$5,0)-1))</f>
        <v>45.359624999999994</v>
      </c>
      <c r="Q33" s="778" cm="1">
        <f t="array" aca="1" ref="Q33" ca="1">OFFSET(MSP!$C$1,
MATCH(OFFSET($C32,((MATCH($C32,EL_List,0)-1)*-10)-1,0),MSP!$C:$C,0)+MATCH($C32,EL_List,0)-1,
MATCH(OFFSET($C32,((MATCH($C32,EL_List,0)-1)*-10)-3,0),MSP!$D$5:$N$5,0)+1)
*INDEX(Learning!$E$6:$S$41,(MATCH(Q$21,Dates,0)),(MATCH($C$21,Learning!$E$4:$S$4,0)+MATCH($C$32,Learning!$E$5:$S$5,0)-1))</f>
        <v>45.079049999999995</v>
      </c>
      <c r="R33" s="778" cm="1">
        <f t="array" aca="1" ref="R33" ca="1">OFFSET(MSP!$C$1,
MATCH(OFFSET($C32,((MATCH($C32,EL_List,0)-1)*-10)-1,0),MSP!$C:$C,0)+MATCH($C32,EL_List,0)-1,
MATCH(OFFSET($C32,((MATCH($C32,EL_List,0)-1)*-10)-3,0),MSP!$D$5:$N$5,0)+1)
*INDEX(Learning!$E$6:$S$41,(MATCH(R$21,Dates,0)),(MATCH($C$21,Learning!$E$4:$S$4,0)+MATCH($C$32,Learning!$E$5:$S$5,0)-1))</f>
        <v>44.845237499999996</v>
      </c>
      <c r="S33" s="778" cm="1">
        <f t="array" aca="1" ref="S33" ca="1">OFFSET(MSP!$C$1,
MATCH(OFFSET($C32,((MATCH($C32,EL_List,0)-1)*-10)-1,0),MSP!$C:$C,0)+MATCH($C32,EL_List,0)-1,
MATCH(OFFSET($C32,((MATCH($C32,EL_List,0)-1)*-10)-3,0),MSP!$D$5:$N$5,0)+1)
*INDEX(Learning!$E$6:$S$41,(MATCH(S$21,Dates,0)),(MATCH($C$21,Learning!$E$4:$S$4,0)+MATCH($C$32,Learning!$E$5:$S$5,0)-1))</f>
        <v>44.611424999999997</v>
      </c>
      <c r="T33" s="778" cm="1">
        <f t="array" aca="1" ref="T33" ca="1">OFFSET(MSP!$C$1,
MATCH(OFFSET($C32,((MATCH($C32,EL_List,0)-1)*-10)-1,0),MSP!$C:$C,0)+MATCH($C32,EL_List,0)-1,
MATCH(OFFSET($C32,((MATCH($C32,EL_List,0)-1)*-10)-3,0),MSP!$D$5:$N$5,0)+1)
*INDEX(Learning!$E$6:$S$41,(MATCH(T$21,Dates,0)),(MATCH($C$21,Learning!$E$4:$S$4,0)+MATCH($C$32,Learning!$E$5:$S$5,0)-1))</f>
        <v>44.330849999999991</v>
      </c>
      <c r="U33" s="778" cm="1">
        <f t="array" aca="1" ref="U33" ca="1">OFFSET(MSP!$C$1,
MATCH(OFFSET($C32,((MATCH($C32,EL_List,0)-1)*-10)-1,0),MSP!$C:$C,0)+MATCH($C32,EL_List,0)-1,
MATCH(OFFSET($C32,((MATCH($C32,EL_List,0)-1)*-10)-3,0),MSP!$D$5:$N$5,0)+1)
*INDEX(Learning!$E$6:$S$41,(MATCH(U$21,Dates,0)),(MATCH($C$21,Learning!$E$4:$S$4,0)+MATCH($C$32,Learning!$E$5:$S$5,0)-1))</f>
        <v>44.097037499999992</v>
      </c>
      <c r="V33" s="778" cm="1">
        <f t="array" aca="1" ref="V33" ca="1">OFFSET(MSP!$C$1,
MATCH(OFFSET($C32,((MATCH($C32,EL_List,0)-1)*-10)-1,0),MSP!$C:$C,0)+MATCH($C32,EL_List,0)-1,
MATCH(OFFSET($C32,((MATCH($C32,EL_List,0)-1)*-10)-3,0),MSP!$D$5:$N$5,0)+1)
*INDEX(Learning!$E$6:$S$41,(MATCH(V$21,Dates,0)),(MATCH($C$21,Learning!$E$4:$S$4,0)+MATCH($C$32,Learning!$E$5:$S$5,0)-1))</f>
        <v>43.863224999999993</v>
      </c>
      <c r="W33" s="778" cm="1">
        <f t="array" aca="1" ref="W33" ca="1">OFFSET(MSP!$C$1,
MATCH(OFFSET($C32,((MATCH($C32,EL_List,0)-1)*-10)-1,0),MSP!$C:$C,0)+MATCH($C32,EL_List,0)-1,
MATCH(OFFSET($C32,((MATCH($C32,EL_List,0)-1)*-10)-3,0),MSP!$D$5:$N$5,0)+1)
*INDEX(Learning!$E$6:$S$41,(MATCH(W$21,Dates,0)),(MATCH($C$21,Learning!$E$4:$S$4,0)+MATCH($C$32,Learning!$E$5:$S$5,0)-1))</f>
        <v>43.676175000000001</v>
      </c>
      <c r="X33" s="778" cm="1">
        <f t="array" aca="1" ref="X33" ca="1">OFFSET(MSP!$C$1,
MATCH(OFFSET($C32,((MATCH($C32,EL_List,0)-1)*-10)-1,0),MSP!$C:$C,0)+MATCH($C32,EL_List,0)-1,
MATCH(OFFSET($C32,((MATCH($C32,EL_List,0)-1)*-10)-3,0),MSP!$D$5:$N$5,0)+1)
*INDEX(Learning!$E$6:$S$41,(MATCH(X$21,Dates,0)),(MATCH($C$21,Learning!$E$4:$S$4,0)+MATCH($C$32,Learning!$E$5:$S$5,0)-1))</f>
        <v>43.442362500000002</v>
      </c>
      <c r="Y33" s="778" cm="1">
        <f t="array" aca="1" ref="Y33" ca="1">OFFSET(MSP!$C$1,
MATCH(OFFSET($C32,((MATCH($C32,EL_List,0)-1)*-10)-1,0),MSP!$C:$C,0)+MATCH($C32,EL_List,0)-1,
MATCH(OFFSET($C32,((MATCH($C32,EL_List,0)-1)*-10)-3,0),MSP!$D$5:$N$5,0)+1)
*INDEX(Learning!$E$6:$S$41,(MATCH(Y$21,Dates,0)),(MATCH($C$21,Learning!$E$4:$S$4,0)+MATCH($C$32,Learning!$E$5:$S$5,0)-1))</f>
        <v>43.208549999999995</v>
      </c>
      <c r="Z33" s="778" cm="1">
        <f t="array" aca="1" ref="Z33" ca="1">OFFSET(MSP!$C$1,
MATCH(OFFSET($C32,((MATCH($C32,EL_List,0)-1)*-10)-1,0),MSP!$C:$C,0)+MATCH($C32,EL_List,0)-1,
MATCH(OFFSET($C32,((MATCH($C32,EL_List,0)-1)*-10)-3,0),MSP!$D$5:$N$5,0)+1)
*INDEX(Learning!$E$6:$S$41,(MATCH(Z$21,Dates,0)),(MATCH($C$21,Learning!$E$4:$S$4,0)+MATCH($C$32,Learning!$E$5:$S$5,0)-1))</f>
        <v>43.021499999999996</v>
      </c>
      <c r="AA33" s="778" cm="1">
        <f t="array" aca="1" ref="AA33" ca="1">OFFSET(MSP!$C$1,
MATCH(OFFSET($C32,((MATCH($C32,EL_List,0)-1)*-10)-1,0),MSP!$C:$C,0)+MATCH($C32,EL_List,0)-1,
MATCH(OFFSET($C32,((MATCH($C32,EL_List,0)-1)*-10)-3,0),MSP!$D$5:$N$5,0)+1)
*INDEX(Learning!$E$6:$S$41,(MATCH(AA$21,Dates,0)),(MATCH($C$21,Learning!$E$4:$S$4,0)+MATCH($C$32,Learning!$E$5:$S$5,0)-1))</f>
        <v>42.787687499999997</v>
      </c>
      <c r="AB33" s="778" cm="1">
        <f t="array" aca="1" ref="AB33" ca="1">OFFSET(MSP!$C$1,
MATCH(OFFSET($C32,((MATCH($C32,EL_List,0)-1)*-10)-1,0),MSP!$C:$C,0)+MATCH($C32,EL_List,0)-1,
MATCH(OFFSET($C32,((MATCH($C32,EL_List,0)-1)*-10)-3,0),MSP!$D$5:$N$5,0)+1)
*INDEX(Learning!$E$6:$S$41,(MATCH(AB$21,Dates,0)),(MATCH($C$21,Learning!$E$4:$S$4,0)+MATCH($C$32,Learning!$E$5:$S$5,0)-1))</f>
        <v>42.600637499999998</v>
      </c>
      <c r="AC33" s="778" cm="1">
        <f t="array" aca="1" ref="AC33" ca="1">OFFSET(MSP!$C$1,
MATCH(OFFSET($C32,((MATCH($C32,EL_List,0)-1)*-10)-1,0),MSP!$C:$C,0)+MATCH($C32,EL_List,0)-1,
MATCH(OFFSET($C32,((MATCH($C32,EL_List,0)-1)*-10)-3,0),MSP!$D$5:$N$5,0)+1)
*INDEX(Learning!$E$6:$S$41,(MATCH(AC$21,Dates,0)),(MATCH($C$21,Learning!$E$4:$S$4,0)+MATCH($C$32,Learning!$E$5:$S$5,0)-1))</f>
        <v>42.366824999999999</v>
      </c>
      <c r="AD33" s="778" cm="1">
        <f t="array" aca="1" ref="AD33" ca="1">OFFSET(MSP!$C$1,
MATCH(OFFSET($C32,((MATCH($C32,EL_List,0)-1)*-10)-1,0),MSP!$C:$C,0)+MATCH($C32,EL_List,0)-1,
MATCH(OFFSET($C32,((MATCH($C32,EL_List,0)-1)*-10)-3,0),MSP!$D$5:$N$5,0)+1)
*INDEX(Learning!$E$6:$S$41,(MATCH(AD$21,Dates,0)),(MATCH($C$21,Learning!$E$4:$S$4,0)+MATCH($C$32,Learning!$E$5:$S$5,0)-1))</f>
        <v>42.179774999999999</v>
      </c>
      <c r="AE33" s="778" cm="1">
        <f t="array" aca="1" ref="AE33" ca="1">OFFSET(MSP!$C$1,
MATCH(OFFSET($C32,((MATCH($C32,EL_List,0)-1)*-10)-1,0),MSP!$C:$C,0)+MATCH($C32,EL_List,0)-1,
MATCH(OFFSET($C32,((MATCH($C32,EL_List,0)-1)*-10)-3,0),MSP!$D$5:$N$5,0)+1)
*INDEX(Learning!$E$6:$S$41,(MATCH(AE$21,Dates,0)),(MATCH($C$21,Learning!$E$4:$S$4,0)+MATCH($C$32,Learning!$E$5:$S$5,0)-1))</f>
        <v>41.992725</v>
      </c>
      <c r="AF33" s="778" cm="1">
        <f t="array" aca="1" ref="AF33" ca="1">OFFSET(MSP!$C$1,
MATCH(OFFSET($C32,((MATCH($C32,EL_List,0)-1)*-10)-1,0),MSP!$C:$C,0)+MATCH($C32,EL_List,0)-1,
MATCH(OFFSET($C32,((MATCH($C32,EL_List,0)-1)*-10)-3,0),MSP!$D$5:$N$5,0)+1)
*INDEX(Learning!$E$6:$S$41,(MATCH(AF$21,Dates,0)),(MATCH($C$21,Learning!$E$4:$S$4,0)+MATCH($C$32,Learning!$E$5:$S$5,0)-1))</f>
        <v>41.805674999999994</v>
      </c>
      <c r="AG33" s="778" cm="1">
        <f t="array" aca="1" ref="AG33" ca="1">OFFSET(MSP!$C$1,
MATCH(OFFSET($C32,((MATCH($C32,EL_List,0)-1)*-10)-1,0),MSP!$C:$C,0)+MATCH($C32,EL_List,0)-1,
MATCH(OFFSET($C32,((MATCH($C32,EL_List,0)-1)*-10)-3,0),MSP!$D$5:$N$5,0)+1)
*INDEX(Learning!$E$6:$S$41,(MATCH(AG$21,Dates,0)),(MATCH($C$21,Learning!$E$4:$S$4,0)+MATCH($C$32,Learning!$E$5:$S$5,0)-1))</f>
        <v>41.571862499999995</v>
      </c>
      <c r="AH33" s="778" cm="1">
        <f t="array" aca="1" ref="AH33" ca="1">OFFSET(MSP!$C$1,
MATCH(OFFSET($C32,((MATCH($C32,EL_List,0)-1)*-10)-1,0),MSP!$C:$C,0)+MATCH($C32,EL_List,0)-1,
MATCH(OFFSET($C32,((MATCH($C32,EL_List,0)-1)*-10)-3,0),MSP!$D$5:$N$5,0)+1)
*INDEX(Learning!$E$6:$S$41,(MATCH(AH$21,Dates,0)),(MATCH($C$21,Learning!$E$4:$S$4,0)+MATCH($C$32,Learning!$E$5:$S$5,0)-1))</f>
        <v>41.384812499999995</v>
      </c>
      <c r="AI33" s="778" cm="1">
        <f t="array" aca="1" ref="AI33" ca="1">OFFSET(MSP!$C$1,
MATCH(OFFSET($C32,((MATCH($C32,EL_List,0)-1)*-10)-1,0),MSP!$C:$C,0)+MATCH($C32,EL_List,0)-1,
MATCH(OFFSET($C32,((MATCH($C32,EL_List,0)-1)*-10)-3,0),MSP!$D$5:$N$5,0)+1)
*INDEX(Learning!$E$6:$S$41,(MATCH(AI$21,Dates,0)),(MATCH($C$21,Learning!$E$4:$S$4,0)+MATCH($C$32,Learning!$E$5:$S$5,0)-1))</f>
        <v>41.197762499999996</v>
      </c>
      <c r="AJ33" s="778" cm="1">
        <f t="array" aca="1" ref="AJ33" ca="1">OFFSET(MSP!$C$1,
MATCH(OFFSET($C32,((MATCH($C32,EL_List,0)-1)*-10)-1,0),MSP!$C:$C,0)+MATCH($C32,EL_List,0)-1,
MATCH(OFFSET($C32,((MATCH($C32,EL_List,0)-1)*-10)-3,0),MSP!$D$5:$N$5,0)+1)
*INDEX(Learning!$E$6:$S$41,(MATCH(AJ$21,Dates,0)),(MATCH($C$21,Learning!$E$4:$S$4,0)+MATCH($C$32,Learning!$E$5:$S$5,0)-1))</f>
        <v>41.010712499999997</v>
      </c>
      <c r="AK33" s="778" cm="1">
        <f t="array" aca="1" ref="AK33" ca="1">OFFSET(MSP!$C$1,
MATCH(OFFSET($C32,((MATCH($C32,EL_List,0)-1)*-10)-1,0),MSP!$C:$C,0)+MATCH($C32,EL_List,0)-1,
MATCH(OFFSET($C32,((MATCH($C32,EL_List,0)-1)*-10)-3,0),MSP!$D$5:$N$5,0)+1)
*INDEX(Learning!$E$6:$S$41,(MATCH(AK$21,Dates,0)),(MATCH($C$21,Learning!$E$4:$S$4,0)+MATCH($C$32,Learning!$E$5:$S$5,0)-1))</f>
        <v>40.823662499999998</v>
      </c>
      <c r="AL33" s="778" cm="1">
        <f t="array" aca="1" ref="AL33" ca="1">OFFSET(MSP!$C$1,
MATCH(OFFSET($C32,((MATCH($C32,EL_List,0)-1)*-10)-1,0),MSP!$C:$C,0)+MATCH($C32,EL_List,0)-1,
MATCH(OFFSET($C32,((MATCH($C32,EL_List,0)-1)*-10)-3,0),MSP!$D$5:$N$5,0)+1)
*INDEX(Learning!$E$6:$S$41,(MATCH(AL$21,Dates,0)),(MATCH($C$21,Learning!$E$4:$S$4,0)+MATCH($C$32,Learning!$E$5:$S$5,0)-1))</f>
        <v>40.636612499999998</v>
      </c>
      <c r="AM33" s="778" cm="1">
        <f t="array" aca="1" ref="AM33" ca="1">OFFSET(MSP!$C$1,
MATCH(OFFSET($C32,((MATCH($C32,EL_List,0)-1)*-10)-1,0),MSP!$C:$C,0)+MATCH($C32,EL_List,0)-1,
MATCH(OFFSET($C32,((MATCH($C32,EL_List,0)-1)*-10)-3,0),MSP!$D$5:$N$5,0)+1)
*INDEX(Learning!$E$6:$S$41,(MATCH(AM$21,Dates,0)),(MATCH($C$21,Learning!$E$4:$S$4,0)+MATCH($C$32,Learning!$E$5:$S$5,0)-1))</f>
        <v>40.496324999999999</v>
      </c>
      <c r="AN33" s="778" cm="1">
        <f t="array" aca="1" ref="AN33" ca="1">OFFSET(MSP!$C$1,
MATCH(OFFSET($C32,((MATCH($C32,EL_List,0)-1)*-10)-1,0),MSP!$C:$C,0)+MATCH($C32,EL_List,0)-1,
MATCH(OFFSET($C32,((MATCH($C32,EL_List,0)-1)*-10)-3,0),MSP!$D$5:$N$5,0)+1)
*INDEX(Learning!$E$6:$S$41,(MATCH(AN$21,Dates,0)),(MATCH($C$21,Learning!$E$4:$S$4,0)+MATCH($C$32,Learning!$E$5:$S$5,0)-1))</f>
        <v>40.295859774454605</v>
      </c>
      <c r="AO33" s="436"/>
      <c r="AP33" s="21"/>
    </row>
    <row r="34" spans="2:42" ht="15" customHeight="1" x14ac:dyDescent="0.35">
      <c r="B34" s="429"/>
      <c r="C34" s="777" t="s">
        <v>78</v>
      </c>
      <c r="D34" s="776"/>
      <c r="E34" s="530">
        <f ca="1">OFFSET(OFFSET(Shipments!$D$1,0,MATCH(E$7,Dates)),
MATCH(OFFSET($C32,((MATCH($C32,EL_List,0)-1)*-10)-3,0),Shipments!$C:$C,0)+
MATCH(OFFSET($C32,((MATCH($C32,EL_List,0)-1)*-10)-1,0),Shipments!$D:$D,0)+
MATCH($C32,EL_List,0)-10,
MATCH(Shipments_Scenario_X,Shipments!$F$5:$AQ$5,0))</f>
        <v>0.82820124730761657</v>
      </c>
      <c r="F34" s="530">
        <f ca="1">OFFSET(OFFSET(Shipments!$D$1,0,MATCH(F$7,Dates)),
MATCH(OFFSET($C32,((MATCH($C32,EL_List,0)-1)*-10)-3,0),Shipments!$C:$C,0)+
MATCH(OFFSET($C32,((MATCH($C32,EL_List,0)-1)*-10)-1,0),Shipments!$D:$D,0)+
MATCH($C32,EL_List,0)-10,
MATCH(Shipments_Scenario_X,Shipments!$F$5:$AQ$5,0))</f>
        <v>0.86523721031809697</v>
      </c>
      <c r="G34" s="530">
        <f ca="1">OFFSET(OFFSET(Shipments!$D$1,0,MATCH(G$7,Dates)),
MATCH(OFFSET($C32,((MATCH($C32,EL_List,0)-1)*-10)-3,0),Shipments!$C:$C,0)+
MATCH(OFFSET($C32,((MATCH($C32,EL_List,0)-1)*-10)-1,0),Shipments!$D:$D,0)+
MATCH($C32,EL_List,0)-10,
MATCH(Shipments_Scenario_X,Shipments!$F$5:$AQ$5,0))</f>
        <v>0.89842547654858929</v>
      </c>
      <c r="H34" s="530">
        <f ca="1">OFFSET(OFFSET(Shipments!$D$1,0,MATCH(H$7,Dates)),
MATCH(OFFSET($C32,((MATCH($C32,EL_List,0)-1)*-10)-3,0),Shipments!$C:$C,0)+
MATCH(OFFSET($C32,((MATCH($C32,EL_List,0)-1)*-10)-1,0),Shipments!$D:$D,0)+
MATCH($C32,EL_List,0)-10,
MATCH(Shipments_Scenario_X,Shipments!$F$5:$AQ$5,0))</f>
        <v>0.94061823069790274</v>
      </c>
      <c r="I34" s="530">
        <f ca="1">OFFSET(OFFSET(Shipments!$D$1,0,MATCH(I$7,Dates)),
MATCH(OFFSET($C32,((MATCH($C32,EL_List,0)-1)*-10)-3,0),Shipments!$C:$C,0)+
MATCH(OFFSET($C32,((MATCH($C32,EL_List,0)-1)*-10)-1,0),Shipments!$D:$D,0)+
MATCH($C32,EL_List,0)-10,
MATCH(Shipments_Scenario_X,Shipments!$F$5:$AQ$5,0))</f>
        <v>0.98589230768889946</v>
      </c>
      <c r="J34" s="530">
        <f ca="1">OFFSET(OFFSET(Shipments!$D$1,0,MATCH(J$7,Dates)),
MATCH(OFFSET($C32,((MATCH($C32,EL_List,0)-1)*-10)-3,0),Shipments!$C:$C,0)+
MATCH(OFFSET($C32,((MATCH($C32,EL_List,0)-1)*-10)-1,0),Shipments!$D:$D,0)+
MATCH($C32,EL_List,0)-10,
MATCH(Shipments_Scenario_X,Shipments!$F$5:$AQ$5,0))</f>
        <v>1.0359966939162253</v>
      </c>
      <c r="K34" s="530">
        <f ca="1">OFFSET(OFFSET(Shipments!$D$1,0,MATCH(K$7,Dates)),
MATCH(OFFSET($C32,((MATCH($C32,EL_List,0)-1)*-10)-3,0),Shipments!$C:$C,0)+
MATCH(OFFSET($C32,((MATCH($C32,EL_List,0)-1)*-10)-1,0),Shipments!$D:$D,0)+
MATCH($C32,EL_List,0)-10,
MATCH(Shipments_Scenario_X,Shipments!$F$5:$AQ$5,0))</f>
        <v>1.0903420397944417</v>
      </c>
      <c r="L34" s="530">
        <f ca="1">OFFSET(OFFSET(Shipments!$D$1,0,MATCH(L$7,Dates)),
MATCH(OFFSET($C32,((MATCH($C32,EL_List,0)-1)*-10)-3,0),Shipments!$C:$C,0)+
MATCH(OFFSET($C32,((MATCH($C32,EL_List,0)-1)*-10)-1,0),Shipments!$D:$D,0)+
MATCH($C32,EL_List,0)-10,
MATCH(Shipments_Scenario_X,Shipments!$F$5:$AQ$5,0))</f>
        <v>1.1480438093289456</v>
      </c>
      <c r="M34" s="530">
        <f ca="1">OFFSET(OFFSET(Shipments!$D$1,0,MATCH(M$7,Dates)),
MATCH(OFFSET($C32,((MATCH($C32,EL_List,0)-1)*-10)-3,0),Shipments!$C:$C,0)+
MATCH(OFFSET($C32,((MATCH($C32,EL_List,0)-1)*-10)-1,0),Shipments!$D:$D,0)+
MATCH($C32,EL_List,0)-10,
MATCH(Shipments_Scenario_X,Shipments!$F$5:$AQ$5,0))</f>
        <v>1.2084117332079189</v>
      </c>
      <c r="N34" s="530">
        <f ca="1">OFFSET(OFFSET(Shipments!$D$1,0,MATCH(N$7,Dates)),
MATCH(OFFSET($C32,((MATCH($C32,EL_List,0)-1)*-10)-3,0),Shipments!$C:$C,0)+
MATCH(OFFSET($C32,((MATCH($C32,EL_List,0)-1)*-10)-1,0),Shipments!$D:$D,0)+
MATCH($C32,EL_List,0)-10,
MATCH(Shipments_Scenario_X,Shipments!$F$5:$AQ$5,0))</f>
        <v>1.270985914179525</v>
      </c>
      <c r="O34" s="530">
        <f ca="1">OFFSET(OFFSET(Shipments!$D$1,0,MATCH(O$7,Dates)),
MATCH(OFFSET($C32,((MATCH($C32,EL_List,0)-1)*-10)-3,0),Shipments!$C:$C,0)+
MATCH(OFFSET($C32,((MATCH($C32,EL_List,0)-1)*-10)-1,0),Shipments!$D:$D,0)+
MATCH($C32,EL_List,0)-10,
MATCH(Shipments_Scenario_X,Shipments!$F$5:$AQ$5,0))</f>
        <v>1.3357393297086797</v>
      </c>
      <c r="P34" s="530">
        <f ca="1">OFFSET(OFFSET(Shipments!$D$1,0,MATCH(P$7,Dates)),
MATCH(OFFSET($C32,((MATCH($C32,EL_List,0)-1)*-10)-3,0),Shipments!$C:$C,0)+
MATCH(OFFSET($C32,((MATCH($C32,EL_List,0)-1)*-10)-1,0),Shipments!$D:$D,0)+
MATCH($C32,EL_List,0)-10,
MATCH(Shipments_Scenario_X,Shipments!$F$5:$AQ$5,0))</f>
        <v>1.4029493104475033</v>
      </c>
      <c r="Q34" s="530">
        <f ca="1">OFFSET(OFFSET(Shipments!$D$1,0,MATCH(Q$7,Dates)),
MATCH(OFFSET($C32,((MATCH($C32,EL_List,0)-1)*-10)-3,0),Shipments!$C:$C,0)+
MATCH(OFFSET($C32,((MATCH($C32,EL_List,0)-1)*-10)-1,0),Shipments!$D:$D,0)+
MATCH($C32,EL_List,0)-10,
MATCH(Shipments_Scenario_X,Shipments!$F$5:$AQ$5,0))</f>
        <v>1.4730395854331189</v>
      </c>
      <c r="R34" s="530">
        <f ca="1">OFFSET(OFFSET(Shipments!$D$1,0,MATCH(R$7,Dates)),
MATCH(OFFSET($C32,((MATCH($C32,EL_List,0)-1)*-10)-3,0),Shipments!$C:$C,0)+
MATCH(OFFSET($C32,((MATCH($C32,EL_List,0)-1)*-10)-1,0),Shipments!$D:$D,0)+
MATCH($C32,EL_List,0)-10,
MATCH(Shipments_Scenario_X,Shipments!$F$5:$AQ$5,0))</f>
        <v>1.5465047733747452</v>
      </c>
      <c r="S34" s="530">
        <f ca="1">OFFSET(OFFSET(Shipments!$D$1,0,MATCH(S$7,Dates)),
MATCH(OFFSET($C32,((MATCH($C32,EL_List,0)-1)*-10)-3,0),Shipments!$C:$C,0)+
MATCH(OFFSET($C32,((MATCH($C32,EL_List,0)-1)*-10)-1,0),Shipments!$D:$D,0)+
MATCH($C32,EL_List,0)-10,
MATCH(Shipments_Scenario_X,Shipments!$F$5:$AQ$5,0))</f>
        <v>1.6237605614345538</v>
      </c>
      <c r="T34" s="530">
        <f ca="1">OFFSET(OFFSET(Shipments!$D$1,0,MATCH(T$7,Dates)),
MATCH(OFFSET($C32,((MATCH($C32,EL_List,0)-1)*-10)-3,0),Shipments!$C:$C,0)+
MATCH(OFFSET($C32,((MATCH($C32,EL_List,0)-1)*-10)-1,0),Shipments!$D:$D,0)+
MATCH($C32,EL_List,0)-10,
MATCH(Shipments_Scenario_X,Shipments!$F$5:$AQ$5,0))</f>
        <v>1.7050699568583449</v>
      </c>
      <c r="U34" s="530">
        <f ca="1">OFFSET(OFFSET(Shipments!$D$1,0,MATCH(U$7,Dates)),
MATCH(OFFSET($C32,((MATCH($C32,EL_List,0)-1)*-10)-3,0),Shipments!$C:$C,0)+
MATCH(OFFSET($C32,((MATCH($C32,EL_List,0)-1)*-10)-1,0),Shipments!$D:$D,0)+
MATCH($C32,EL_List,0)-10,
MATCH(Shipments_Scenario_X,Shipments!$F$5:$AQ$5,0))</f>
        <v>1.7907252679319301</v>
      </c>
      <c r="V34" s="530">
        <f ca="1">OFFSET(OFFSET(Shipments!$D$1,0,MATCH(V$7,Dates)),
MATCH(OFFSET($C32,((MATCH($C32,EL_List,0)-1)*-10)-3,0),Shipments!$C:$C,0)+
MATCH(OFFSET($C32,((MATCH($C32,EL_List,0)-1)*-10)-1,0),Shipments!$D:$D,0)+
MATCH($C32,EL_List,0)-10,
MATCH(Shipments_Scenario_X,Shipments!$F$5:$AQ$5,0))</f>
        <v>1.8805548442625746</v>
      </c>
      <c r="W34" s="530">
        <f ca="1">OFFSET(OFFSET(Shipments!$D$1,0,MATCH(W$7,Dates)),
MATCH(OFFSET($C32,((MATCH($C32,EL_List,0)-1)*-10)-3,0),Shipments!$C:$C,0)+
MATCH(OFFSET($C32,((MATCH($C32,EL_List,0)-1)*-10)-1,0),Shipments!$D:$D,0)+
MATCH($C32,EL_List,0)-10,
MATCH(Shipments_Scenario_X,Shipments!$F$5:$AQ$5,0))</f>
        <v>1.9748316649914408</v>
      </c>
      <c r="X34" s="530">
        <f ca="1">OFFSET(OFFSET(Shipments!$D$1,0,MATCH(X$7,Dates)),
MATCH(OFFSET($C32,((MATCH($C32,EL_List,0)-1)*-10)-3,0),Shipments!$C:$C,0)+
MATCH(OFFSET($C32,((MATCH($C32,EL_List,0)-1)*-10)-1,0),Shipments!$D:$D,0)+
MATCH($C32,EL_List,0)-10,
MATCH(Shipments_Scenario_X,Shipments!$F$5:$AQ$5,0))</f>
        <v>2.0736695566373271</v>
      </c>
      <c r="Y34" s="530">
        <f ca="1">OFFSET(OFFSET(Shipments!$D$1,0,MATCH(Y$7,Dates)),
MATCH(OFFSET($C32,((MATCH($C32,EL_List,0)-1)*-10)-3,0),Shipments!$C:$C,0)+
MATCH(OFFSET($C32,((MATCH($C32,EL_List,0)-1)*-10)-1,0),Shipments!$D:$D,0)+
MATCH($C32,EL_List,0)-10,
MATCH(Shipments_Scenario_X,Shipments!$F$5:$AQ$5,0))</f>
        <v>2.1772368738286376</v>
      </c>
      <c r="Z34" s="530">
        <f ca="1">OFFSET(OFFSET(Shipments!$D$1,0,MATCH(Z$7,Dates)),
MATCH(OFFSET($C32,((MATCH($C32,EL_List,0)-1)*-10)-3,0),Shipments!$C:$C,0)+
MATCH(OFFSET($C32,((MATCH($C32,EL_List,0)-1)*-10)-1,0),Shipments!$D:$D,0)+
MATCH($C32,EL_List,0)-10,
MATCH(Shipments_Scenario_X,Shipments!$F$5:$AQ$5,0))</f>
        <v>2.2857593314121769</v>
      </c>
      <c r="AA34" s="530">
        <f ca="1">OFFSET(OFFSET(Shipments!$D$1,0,MATCH(AA$7,Dates)),
MATCH(OFFSET($C32,((MATCH($C32,EL_List,0)-1)*-10)-3,0),Shipments!$C:$C,0)+
MATCH(OFFSET($C32,((MATCH($C32,EL_List,0)-1)*-10)-1,0),Shipments!$D:$D,0)+
MATCH($C32,EL_List,0)-10,
MATCH(Shipments_Scenario_X,Shipments!$F$5:$AQ$5,0))</f>
        <v>2.399497293851963</v>
      </c>
      <c r="AB34" s="530">
        <f ca="1">OFFSET(OFFSET(Shipments!$D$1,0,MATCH(AB$7,Dates)),
MATCH(OFFSET($C32,((MATCH($C32,EL_List,0)-1)*-10)-3,0),Shipments!$C:$C,0)+
MATCH(OFFSET($C32,((MATCH($C32,EL_List,0)-1)*-10)-1,0),Shipments!$D:$D,0)+
MATCH($C32,EL_List,0)-10,
MATCH(Shipments_Scenario_X,Shipments!$F$5:$AQ$5,0))</f>
        <v>2.5187492270786818</v>
      </c>
      <c r="AC34" s="530">
        <f ca="1">OFFSET(OFFSET(Shipments!$D$1,0,MATCH(AC$7,Dates)),
MATCH(OFFSET($C32,((MATCH($C32,EL_List,0)-1)*-10)-3,0),Shipments!$C:$C,0)+
MATCH(OFFSET($C32,((MATCH($C32,EL_List,0)-1)*-10)-1,0),Shipments!$D:$D,0)+
MATCH($C32,EL_List,0)-10,
MATCH(Shipments_Scenario_X,Shipments!$F$5:$AQ$5,0))</f>
        <v>2.6438166164051324</v>
      </c>
      <c r="AD34" s="530">
        <f ca="1">OFFSET(OFFSET(Shipments!$D$1,0,MATCH(AD$7,Dates)),
MATCH(OFFSET($C32,((MATCH($C32,EL_List,0)-1)*-10)-3,0),Shipments!$C:$C,0)+
MATCH(OFFSET($C32,((MATCH($C32,EL_List,0)-1)*-10)-1,0),Shipments!$D:$D,0)+
MATCH($C32,EL_List,0)-10,
MATCH(Shipments_Scenario_X,Shipments!$F$5:$AQ$5,0))</f>
        <v>2.7750026317411405</v>
      </c>
      <c r="AE34" s="530">
        <f ca="1">OFFSET(OFFSET(Shipments!$D$1,0,MATCH(AE$7,Dates)),
MATCH(OFFSET($C32,((MATCH($C32,EL_List,0)-1)*-10)-3,0),Shipments!$C:$C,0)+
MATCH(OFFSET($C32,((MATCH($C32,EL_List,0)-1)*-10)-1,0),Shipments!$D:$D,0)+
MATCH($C32,EL_List,0)-10,
MATCH(Shipments_Scenario_X,Shipments!$F$5:$AQ$5,0))</f>
        <v>2.9126105088762779</v>
      </c>
      <c r="AF34" s="530">
        <f ca="1">OFFSET(OFFSET(Shipments!$D$1,0,MATCH(AF$7,Dates)),
MATCH(OFFSET($C32,((MATCH($C32,EL_List,0)-1)*-10)-3,0),Shipments!$C:$C,0)+
MATCH(OFFSET($C32,((MATCH($C32,EL_List,0)-1)*-10)-1,0),Shipments!$D:$D,0)+
MATCH($C32,EL_List,0)-10,
MATCH(Shipments_Scenario_X,Shipments!$F$5:$AQ$5,0))</f>
        <v>3.0569464839223404</v>
      </c>
      <c r="AG34" s="530">
        <f ca="1">OFFSET(OFFSET(Shipments!$D$1,0,MATCH(AG$7,Dates)),
MATCH(OFFSET($C32,((MATCH($C32,EL_List,0)-1)*-10)-3,0),Shipments!$C:$C,0)+
MATCH(OFFSET($C32,((MATCH($C32,EL_List,0)-1)*-10)-1,0),Shipments!$D:$D,0)+
MATCH($C32,EL_List,0)-10,
MATCH(Shipments_Scenario_X,Shipments!$F$5:$AQ$5,0))</f>
        <v>3.2083262963196315</v>
      </c>
      <c r="AH34" s="530">
        <f ca="1">OFFSET(OFFSET(Shipments!$D$1,0,MATCH(AH$7,Dates)),
MATCH(OFFSET($C32,((MATCH($C32,EL_List,0)-1)*-10)-3,0),Shipments!$C:$C,0)+
MATCH(OFFSET($C32,((MATCH($C32,EL_List,0)-1)*-10)-1,0),Shipments!$D:$D,0)+
MATCH($C32,EL_List,0)-10,
MATCH(Shipments_Scenario_X,Shipments!$F$5:$AQ$5,0))</f>
        <v>3.3670810544871133</v>
      </c>
      <c r="AI34" s="530">
        <f ca="1">OFFSET(OFFSET(Shipments!$D$1,0,MATCH(AI$7,Dates)),
MATCH(OFFSET($C32,((MATCH($C32,EL_List,0)-1)*-10)-3,0),Shipments!$C:$C,0)+
MATCH(OFFSET($C32,((MATCH($C32,EL_List,0)-1)*-10)-1,0),Shipments!$D:$D,0)+
MATCH($C32,EL_List,0)-10,
MATCH(Shipments_Scenario_X,Shipments!$F$5:$AQ$5,0))</f>
        <v>3.5335616657785422</v>
      </c>
      <c r="AJ34" s="530">
        <f ca="1">OFFSET(OFFSET(Shipments!$D$1,0,MATCH(AJ$7,Dates)),
MATCH(OFFSET($C32,((MATCH($C32,EL_List,0)-1)*-10)-3,0),Shipments!$C:$C,0)+
MATCH(OFFSET($C32,((MATCH($C32,EL_List,0)-1)*-10)-1,0),Shipments!$D:$D,0)+
MATCH($C32,EL_List,0)-10,
MATCH(Shipments_Scenario_X,Shipments!$F$5:$AQ$5,0))</f>
        <v>3.7081412558339384</v>
      </c>
      <c r="AK34" s="530">
        <f ca="1">OFFSET(OFFSET(Shipments!$D$1,0,MATCH(AK$7,Dates)),
MATCH(OFFSET($C32,((MATCH($C32,EL_List,0)-1)*-10)-3,0),Shipments!$C:$C,0)+
MATCH(OFFSET($C32,((MATCH($C32,EL_List,0)-1)*-10)-1,0),Shipments!$D:$D,0)+
MATCH($C32,EL_List,0)-10,
MATCH(Shipments_Scenario_X,Shipments!$F$5:$AQ$5,0))</f>
        <v>3.8912153824090341</v>
      </c>
      <c r="AL34" s="530">
        <f ca="1">OFFSET(OFFSET(Shipments!$D$1,0,MATCH(AL$7,Dates)),
MATCH(OFFSET($C32,((MATCH($C32,EL_List,0)-1)*-10)-3,0),Shipments!$C:$C,0)+
MATCH(OFFSET($C32,((MATCH($C32,EL_List,0)-1)*-10)-1,0),Shipments!$D:$D,0)+
MATCH($C32,EL_List,0)-10,
MATCH(Shipments_Scenario_X,Shipments!$F$5:$AQ$5,0))</f>
        <v>4.0832013083138978</v>
      </c>
      <c r="AM34" s="530">
        <f ca="1">OFFSET(OFFSET(Shipments!$D$1,0,MATCH(AM$7,Dates)),
MATCH(OFFSET($C32,((MATCH($C32,EL_List,0)-1)*-10)-3,0),Shipments!$C:$C,0)+
MATCH(OFFSET($C32,((MATCH($C32,EL_List,0)-1)*-10)-1,0),Shipments!$D:$D,0)+
MATCH($C32,EL_List,0)-10,
MATCH(Shipments_Scenario_X,Shipments!$F$5:$AQ$5,0))</f>
        <v>4.2845375179309748</v>
      </c>
      <c r="AN34" s="530">
        <f ca="1">OFFSET(OFFSET(Shipments!$D$1,0,MATCH(AN$7,Dates)),
MATCH(OFFSET($C32,((MATCH($C32,EL_List,0)-1)*-10)-3,0),Shipments!$C:$C,0)+
MATCH(OFFSET($C32,((MATCH($C32,EL_List,0)-1)*-10)-1,0),Shipments!$D:$D,0)+
MATCH($C32,EL_List,0)-10,
MATCH(Shipments_Scenario_X,Shipments!$F$5:$AQ$5,0))</f>
        <v>4.4956819786995776</v>
      </c>
      <c r="AO34" s="436"/>
      <c r="AP34" s="21"/>
    </row>
    <row r="35" spans="2:42" ht="15" customHeight="1" x14ac:dyDescent="0.35">
      <c r="B35" s="429"/>
      <c r="C35" s="777" t="s">
        <v>79</v>
      </c>
      <c r="D35" s="776"/>
      <c r="E35" s="531">
        <f t="shared" ref="E35:AN35" ca="1" si="11">E33*E34</f>
        <v>40.432826303620203</v>
      </c>
      <c r="F35" s="531">
        <f t="shared" ca="1" si="11"/>
        <v>41.917238629210004</v>
      </c>
      <c r="G35" s="531">
        <f t="shared" ca="1" si="11"/>
        <v>43.188974744822303</v>
      </c>
      <c r="H35" s="531">
        <f t="shared" ca="1" si="11"/>
        <v>44.909358873283892</v>
      </c>
      <c r="I35" s="531">
        <f t="shared" ca="1" si="11"/>
        <v>46.748228084838388</v>
      </c>
      <c r="J35" s="531">
        <f t="shared" ca="1" si="11"/>
        <v>48.784915967052271</v>
      </c>
      <c r="K35" s="531">
        <f t="shared" ca="1" si="11"/>
        <v>50.987119635887574</v>
      </c>
      <c r="L35" s="531">
        <f t="shared" ca="1" si="11"/>
        <v>53.363286241942347</v>
      </c>
      <c r="M35" s="531">
        <f t="shared" ca="1" si="11"/>
        <v>55.773745076371547</v>
      </c>
      <c r="N35" s="531">
        <f t="shared" ca="1" si="11"/>
        <v>58.305223714395446</v>
      </c>
      <c r="O35" s="531">
        <f t="shared" ca="1" si="11"/>
        <v>60.963410155770077</v>
      </c>
      <c r="P35" s="531">
        <f t="shared" ca="1" si="11"/>
        <v>63.637254615907324</v>
      </c>
      <c r="Q35" s="531">
        <f t="shared" ca="1" si="11"/>
        <v>66.403225123718826</v>
      </c>
      <c r="R35" s="531">
        <f t="shared" ca="1" si="11"/>
        <v>69.353373856874114</v>
      </c>
      <c r="S35" s="531">
        <f t="shared" ca="1" si="11"/>
        <v>72.438272504395485</v>
      </c>
      <c r="T35" s="531">
        <f t="shared" ca="1" si="11"/>
        <v>75.587200496993745</v>
      </c>
      <c r="U35" s="531">
        <f t="shared" ca="1" si="11"/>
        <v>78.965679292191851</v>
      </c>
      <c r="V35" s="531">
        <f t="shared" ca="1" si="11"/>
        <v>82.48720025872926</v>
      </c>
      <c r="W35" s="531">
        <f t="shared" ca="1" si="11"/>
        <v>86.253093395707538</v>
      </c>
      <c r="X35" s="531">
        <f t="shared" ca="1" si="11"/>
        <v>90.085104584653052</v>
      </c>
      <c r="Y35" s="531">
        <f t="shared" ca="1" si="11"/>
        <v>94.075248324668365</v>
      </c>
      <c r="Z35" s="531">
        <f t="shared" ca="1" si="11"/>
        <v>98.336795076348963</v>
      </c>
      <c r="AA35" s="531">
        <f t="shared" ca="1" si="11"/>
        <v>102.66894036643346</v>
      </c>
      <c r="AB35" s="531">
        <f t="shared" ca="1" si="11"/>
        <v>107.3003227761841</v>
      </c>
      <c r="AC35" s="531">
        <f t="shared" ca="1" si="11"/>
        <v>112.01011591932837</v>
      </c>
      <c r="AD35" s="531">
        <f t="shared" ca="1" si="11"/>
        <v>117.04898663124916</v>
      </c>
      <c r="AE35" s="531">
        <f t="shared" ca="1" si="11"/>
        <v>122.3084521313516</v>
      </c>
      <c r="AF35" s="531">
        <f t="shared" ca="1" si="11"/>
        <v>127.79771119925007</v>
      </c>
      <c r="AG35" s="531">
        <f t="shared" ca="1" si="11"/>
        <v>133.37609964573397</v>
      </c>
      <c r="AH35" s="531">
        <f t="shared" ca="1" si="11"/>
        <v>139.34601811225144</v>
      </c>
      <c r="AI35" s="531">
        <f t="shared" ca="1" si="11"/>
        <v>145.57483428584874</v>
      </c>
      <c r="AJ35" s="531">
        <f t="shared" ca="1" si="11"/>
        <v>152.07351495239459</v>
      </c>
      <c r="AK35" s="531">
        <f t="shared" ca="1" si="11"/>
        <v>158.85366348627483</v>
      </c>
      <c r="AL35" s="531">
        <f t="shared" ca="1" si="11"/>
        <v>165.92746932544489</v>
      </c>
      <c r="AM35" s="531">
        <f t="shared" ref="AM35" ca="1" si="12">AM33*AM34</f>
        <v>173.50802380082607</v>
      </c>
      <c r="AN35" s="531">
        <f t="shared" ca="1" si="11"/>
        <v>181.1573706042208</v>
      </c>
      <c r="AO35" s="436"/>
      <c r="AP35" s="21"/>
    </row>
    <row r="36" spans="2:42" ht="15" customHeight="1" x14ac:dyDescent="0.35">
      <c r="B36" s="429"/>
      <c r="C36" s="777"/>
      <c r="D36" s="776"/>
      <c r="E36" s="776"/>
      <c r="F36" s="776"/>
      <c r="G36" s="776"/>
      <c r="H36" s="776"/>
      <c r="I36" s="776"/>
      <c r="J36" s="776"/>
      <c r="K36" s="776"/>
      <c r="L36" s="776"/>
      <c r="M36" s="776"/>
      <c r="N36" s="776"/>
      <c r="O36" s="776"/>
      <c r="P36" s="776"/>
      <c r="Q36" s="776"/>
      <c r="R36" s="776"/>
      <c r="S36" s="776"/>
      <c r="T36" s="776"/>
      <c r="U36" s="776"/>
      <c r="V36" s="776"/>
      <c r="W36" s="776"/>
      <c r="X36" s="776"/>
      <c r="Y36" s="776"/>
      <c r="Z36" s="776"/>
      <c r="AA36" s="776"/>
      <c r="AB36" s="776"/>
      <c r="AC36" s="776"/>
      <c r="AD36" s="776"/>
      <c r="AE36" s="776"/>
      <c r="AF36" s="776"/>
      <c r="AG36" s="776"/>
      <c r="AH36" s="776"/>
      <c r="AI36" s="776"/>
      <c r="AJ36" s="776"/>
      <c r="AK36" s="776"/>
      <c r="AL36" s="776"/>
      <c r="AM36" s="776"/>
      <c r="AN36" s="776"/>
      <c r="AO36" s="436"/>
      <c r="AP36" s="21"/>
    </row>
    <row r="37" spans="2:42" ht="15" customHeight="1" x14ac:dyDescent="0.35">
      <c r="B37" s="429"/>
      <c r="C37" s="777" t="s">
        <v>212</v>
      </c>
      <c r="D37" s="776"/>
      <c r="E37" s="532" cm="1">
        <f t="array" aca="1" ref="E37" ca="1">OFFSET(E37,-3,0)*
OFFSET(MSP!$D$1,
MATCH(OFFSET($C32,((MATCH($C32,EL_List,0)-1)*-10)-1,0),MSP!$C:$C,0)+MATCH($C32,EL_List,0)-1,0)
*INDEX(Learning!$E$6:$S$41,(MATCH(E$21,Dates,0)),(MATCH($C$21,Learning!$E$4:$S$4,0)+MATCH($C$32,Learning!$E$5:$S$5,0)-1))</f>
        <v>24.872382063421263</v>
      </c>
      <c r="F37" s="532" cm="1">
        <f t="array" aca="1" ref="F37" ca="1">OFFSET(F37,-3,0)*
OFFSET(MSP!$D$1,
MATCH(OFFSET($C32,((MATCH($C32,EL_List,0)-1)*-10)-1,0),MSP!$C:$C,0)+MATCH($C32,EL_List,0)-1,0)
*INDEX(Learning!$E$6:$S$41,(MATCH(F$21,Dates,0)),(MATCH($C$21,Learning!$E$4:$S$4,0)+MATCH($C$32,Learning!$E$5:$S$5,0)-1))</f>
        <v>25.78552304012354</v>
      </c>
      <c r="G37" s="532" cm="1">
        <f t="array" aca="1" ref="G37" ca="1">OFFSET(G37,-3,0)*
OFFSET(MSP!$D$1,
MATCH(OFFSET($C32,((MATCH($C32,EL_List,0)-1)*-10)-1,0),MSP!$C:$C,0)+MATCH($C32,EL_List,0)-1,0)
*INDEX(Learning!$E$6:$S$41,(MATCH(G$21,Dates,0)),(MATCH($C$21,Learning!$E$4:$S$4,0)+MATCH($C$32,Learning!$E$5:$S$5,0)-1))</f>
        <v>26.567835567915544</v>
      </c>
      <c r="H37" s="532" cm="1">
        <f t="array" aca="1" ref="H37" ca="1">OFFSET(H37,-3,0)*
OFFSET(MSP!$D$1,
MATCH(OFFSET($C32,((MATCH($C32,EL_List,0)-1)*-10)-1,0),MSP!$C:$C,0)+MATCH($C32,EL_List,0)-1,0)
*INDEX(Learning!$E$6:$S$41,(MATCH(H$21,Dates,0)),(MATCH($C$21,Learning!$E$4:$S$4,0)+MATCH($C$32,Learning!$E$5:$S$5,0)-1))</f>
        <v>27.626135351799601</v>
      </c>
      <c r="I37" s="532" cm="1">
        <f t="array" aca="1" ref="I37" ca="1">OFFSET(I37,-3,0)*
OFFSET(MSP!$D$1,
MATCH(OFFSET($C32,((MATCH($C32,EL_List,0)-1)*-10)-1,0),MSP!$C:$C,0)+MATCH($C32,EL_List,0)-1,0)
*INDEX(Learning!$E$6:$S$41,(MATCH(I$21,Dates,0)),(MATCH($C$21,Learning!$E$4:$S$4,0)+MATCH($C$32,Learning!$E$5:$S$5,0)-1))</f>
        <v>28.75732161246302</v>
      </c>
      <c r="J37" s="532" cm="1">
        <f t="array" aca="1" ref="J37" ca="1">OFFSET(J37,-3,0)*
OFFSET(MSP!$D$1,
MATCH(OFFSET($C32,((MATCH($C32,EL_List,0)-1)*-10)-1,0),MSP!$C:$C,0)+MATCH($C32,EL_List,0)-1,0)
*INDEX(Learning!$E$6:$S$41,(MATCH(J$21,Dates,0)),(MATCH($C$21,Learning!$E$4:$S$4,0)+MATCH($C$32,Learning!$E$5:$S$5,0)-1))</f>
        <v>30.01019665933622</v>
      </c>
      <c r="K37" s="532" cm="1">
        <f t="array" aca="1" ref="K37" ca="1">OFFSET(K37,-3,0)*
OFFSET(MSP!$D$1,
MATCH(OFFSET($C32,((MATCH($C32,EL_List,0)-1)*-10)-1,0),MSP!$C:$C,0)+MATCH($C32,EL_List,0)-1,0)
*INDEX(Learning!$E$6:$S$41,(MATCH(K$21,Dates,0)),(MATCH($C$21,Learning!$E$4:$S$4,0)+MATCH($C$32,Learning!$E$5:$S$5,0)-1))</f>
        <v>31.364889270271391</v>
      </c>
      <c r="L37" s="532" cm="1">
        <f t="array" aca="1" ref="L37" ca="1">OFFSET(L37,-3,0)*
OFFSET(MSP!$D$1,
MATCH(OFFSET($C32,((MATCH($C32,EL_List,0)-1)*-10)-1,0),MSP!$C:$C,0)+MATCH($C32,EL_List,0)-1,0)
*INDEX(Learning!$E$6:$S$41,(MATCH(L$21,Dates,0)),(MATCH($C$21,Learning!$E$4:$S$4,0)+MATCH($C$32,Learning!$E$5:$S$5,0)-1))</f>
        <v>32.826595736901595</v>
      </c>
      <c r="M37" s="532" cm="1">
        <f t="array" aca="1" ref="M37" ca="1">OFFSET(M37,-3,0)*
OFFSET(MSP!$D$1,
MATCH(OFFSET($C32,((MATCH($C32,EL_List,0)-1)*-10)-1,0),MSP!$C:$C,0)+MATCH($C32,EL_List,0)-1,0)
*INDEX(Learning!$E$6:$S$41,(MATCH(M$21,Dates,0)),(MATCH($C$21,Learning!$E$4:$S$4,0)+MATCH($C$32,Learning!$E$5:$S$5,0)-1))</f>
        <v>34.30939717719329</v>
      </c>
      <c r="N37" s="532" cm="1">
        <f t="array" aca="1" ref="N37" ca="1">OFFSET(N37,-3,0)*
OFFSET(MSP!$D$1,
MATCH(OFFSET($C32,((MATCH($C32,EL_List,0)-1)*-10)-1,0),MSP!$C:$C,0)+MATCH($C32,EL_List,0)-1,0)
*INDEX(Learning!$E$6:$S$41,(MATCH(N$21,Dates,0)),(MATCH($C$21,Learning!$E$4:$S$4,0)+MATCH($C$32,Learning!$E$5:$S$5,0)-1))</f>
        <v>35.866644335665669</v>
      </c>
      <c r="O37" s="532" cm="1">
        <f t="array" aca="1" ref="O37" ca="1">OFFSET(O37,-3,0)*
OFFSET(MSP!$D$1,
MATCH(OFFSET($C32,((MATCH($C32,EL_List,0)-1)*-10)-1,0),MSP!$C:$C,0)+MATCH($C32,EL_List,0)-1,0)
*INDEX(Learning!$E$6:$S$41,(MATCH(O$21,Dates,0)),(MATCH($C$21,Learning!$E$4:$S$4,0)+MATCH($C$32,Learning!$E$5:$S$5,0)-1))</f>
        <v>37.501836203510834</v>
      </c>
      <c r="P37" s="532" cm="1">
        <f t="array" aca="1" ref="P37" ca="1">OFFSET(P37,-3,0)*
OFFSET(MSP!$D$1,
MATCH(OFFSET($C32,((MATCH($C32,EL_List,0)-1)*-10)-1,0),MSP!$C:$C,0)+MATCH($C32,EL_List,0)-1,0)
*INDEX(Learning!$E$6:$S$41,(MATCH(P$21,Dates,0)),(MATCH($C$21,Learning!$E$4:$S$4,0)+MATCH($C$32,Learning!$E$5:$S$5,0)-1))</f>
        <v>39.146660151539947</v>
      </c>
      <c r="Q37" s="532" cm="1">
        <f t="array" aca="1" ref="Q37" ca="1">OFFSET(Q37,-3,0)*
OFFSET(MSP!$D$1,
MATCH(OFFSET($C32,((MATCH($C32,EL_List,0)-1)*-10)-1,0),MSP!$C:$C,0)+MATCH($C32,EL_List,0)-1,0)
*INDEX(Learning!$E$6:$S$41,(MATCH(Q$21,Dates,0)),(MATCH($C$21,Learning!$E$4:$S$4,0)+MATCH($C$32,Learning!$E$5:$S$5,0)-1))</f>
        <v>40.848155731637036</v>
      </c>
      <c r="R37" s="532" cm="1">
        <f t="array" aca="1" ref="R37" ca="1">OFFSET(R37,-3,0)*
OFFSET(MSP!$D$1,
MATCH(OFFSET($C32,((MATCH($C32,EL_List,0)-1)*-10)-1,0),MSP!$C:$C,0)+MATCH($C32,EL_List,0)-1,0)
*INDEX(Learning!$E$6:$S$41,(MATCH(R$21,Dates,0)),(MATCH($C$21,Learning!$E$4:$S$4,0)+MATCH($C$32,Learning!$E$5:$S$5,0)-1))</f>
        <v>42.662949134501055</v>
      </c>
      <c r="S37" s="532" cm="1">
        <f t="array" aca="1" ref="S37" ca="1">OFFSET(S37,-3,0)*
OFFSET(MSP!$D$1,
MATCH(OFFSET($C32,((MATCH($C32,EL_List,0)-1)*-10)-1,0),MSP!$C:$C,0)+MATCH($C32,EL_List,0)-1,0)
*INDEX(Learning!$E$6:$S$41,(MATCH(S$21,Dates,0)),(MATCH($C$21,Learning!$E$4:$S$4,0)+MATCH($C$32,Learning!$E$5:$S$5,0)-1))</f>
        <v>44.560634376979714</v>
      </c>
      <c r="T37" s="532" cm="1">
        <f t="array" aca="1" ref="T37" ca="1">OFFSET(T37,-3,0)*
OFFSET(MSP!$D$1,
MATCH(OFFSET($C32,((MATCH($C32,EL_List,0)-1)*-10)-1,0),MSP!$C:$C,0)+MATCH($C32,EL_List,0)-1,0)
*INDEX(Learning!$E$6:$S$41,(MATCH(T$21,Dates,0)),(MATCH($C$21,Learning!$E$4:$S$4,0)+MATCH($C$32,Learning!$E$5:$S$5,0)-1))</f>
        <v>46.497707475307578</v>
      </c>
      <c r="U37" s="532" cm="1">
        <f t="array" aca="1" ref="U37" ca="1">OFFSET(U37,-3,0)*
OFFSET(MSP!$D$1,
MATCH(OFFSET($C32,((MATCH($C32,EL_List,0)-1)*-10)-1,0),MSP!$C:$C,0)+MATCH($C32,EL_List,0)-1,0)
*INDEX(Learning!$E$6:$S$41,(MATCH(U$21,Dates,0)),(MATCH($C$21,Learning!$E$4:$S$4,0)+MATCH($C$32,Learning!$E$5:$S$5,0)-1))</f>
        <v>48.575989482019807</v>
      </c>
      <c r="V37" s="532" cm="1">
        <f t="array" aca="1" ref="V37" ca="1">OFFSET(V37,-3,0)*
OFFSET(MSP!$D$1,
MATCH(OFFSET($C32,((MATCH($C32,EL_List,0)-1)*-10)-1,0),MSP!$C:$C,0)+MATCH($C32,EL_List,0)-1,0)
*INDEX(Learning!$E$6:$S$41,(MATCH(V$21,Dates,0)),(MATCH($C$21,Learning!$E$4:$S$4,0)+MATCH($C$32,Learning!$E$5:$S$5,0)-1))</f>
        <v>50.742264336672356</v>
      </c>
      <c r="W37" s="532" cm="1">
        <f t="array" aca="1" ref="W37" ca="1">OFFSET(W37,-3,0)*
OFFSET(MSP!$D$1,
MATCH(OFFSET($C32,((MATCH($C32,EL_List,0)-1)*-10)-1,0),MSP!$C:$C,0)+MATCH($C32,EL_List,0)-1,0)
*INDEX(Learning!$E$6:$S$41,(MATCH(W$21,Dates,0)),(MATCH($C$21,Learning!$E$4:$S$4,0)+MATCH($C$32,Learning!$E$5:$S$5,0)-1))</f>
        <v>53.058865511410247</v>
      </c>
      <c r="X37" s="532" cm="1">
        <f t="array" aca="1" ref="X37" ca="1">OFFSET(X37,-3,0)*
OFFSET(MSP!$D$1,
MATCH(OFFSET($C32,((MATCH($C32,EL_List,0)-1)*-10)-1,0),MSP!$C:$C,0)+MATCH($C32,EL_List,0)-1,0)
*INDEX(Learning!$E$6:$S$41,(MATCH(X$21,Dates,0)),(MATCH($C$21,Learning!$E$4:$S$4,0)+MATCH($C$32,Learning!$E$5:$S$5,0)-1))</f>
        <v>55.41613941670299</v>
      </c>
      <c r="Y37" s="532" cm="1">
        <f t="array" aca="1" ref="Y37" ca="1">OFFSET(Y37,-3,0)*
OFFSET(MSP!$D$1,
MATCH(OFFSET($C32,((MATCH($C32,EL_List,0)-1)*-10)-1,0),MSP!$C:$C,0)+MATCH($C32,EL_List,0)-1,0)
*INDEX(Learning!$E$6:$S$41,(MATCH(Y$21,Dates,0)),(MATCH($C$21,Learning!$E$4:$S$4,0)+MATCH($C$32,Learning!$E$5:$S$5,0)-1))</f>
        <v>57.870689065158906</v>
      </c>
      <c r="Z37" s="532" cm="1">
        <f t="array" aca="1" ref="Z37" ca="1">OFFSET(Z37,-3,0)*
OFFSET(MSP!$D$1,
MATCH(OFFSET($C32,((MATCH($C32,EL_List,0)-1)*-10)-1,0),MSP!$C:$C,0)+MATCH($C32,EL_List,0)-1,0)
*INDEX(Learning!$E$6:$S$41,(MATCH(Z$21,Dates,0)),(MATCH($C$21,Learning!$E$4:$S$4,0)+MATCH($C$32,Learning!$E$5:$S$5,0)-1))</f>
        <v>60.492193141895712</v>
      </c>
      <c r="AA37" s="532" cm="1">
        <f t="array" aca="1" ref="AA37" ca="1">OFFSET(AA37,-3,0)*
OFFSET(MSP!$D$1,
MATCH(OFFSET($C32,((MATCH($C32,EL_List,0)-1)*-10)-1,0),MSP!$C:$C,0)+MATCH($C32,EL_List,0)-1,0)
*INDEX(Learning!$E$6:$S$41,(MATCH(AA$21,Dates,0)),(MATCH($C$21,Learning!$E$4:$S$4,0)+MATCH($C$32,Learning!$E$5:$S$5,0)-1))</f>
        <v>63.157126134709642</v>
      </c>
      <c r="AB37" s="532" cm="1">
        <f t="array" aca="1" ref="AB37" ca="1">OFFSET(AB37,-3,0)*
OFFSET(MSP!$D$1,
MATCH(OFFSET($C32,((MATCH($C32,EL_List,0)-1)*-10)-1,0),MSP!$C:$C,0)+MATCH($C32,EL_List,0)-1,0)
*INDEX(Learning!$E$6:$S$41,(MATCH(AB$21,Dates,0)),(MATCH($C$21,Learning!$E$4:$S$4,0)+MATCH($C$32,Learning!$E$5:$S$5,0)-1))</f>
        <v>66.006135796119636</v>
      </c>
      <c r="AC37" s="532" cm="1">
        <f t="array" aca="1" ref="AC37" ca="1">OFFSET(AC37,-3,0)*
OFFSET(MSP!$D$1,
MATCH(OFFSET($C32,((MATCH($C32,EL_List,0)-1)*-10)-1,0),MSP!$C:$C,0)+MATCH($C32,EL_List,0)-1,0)
*INDEX(Learning!$E$6:$S$41,(MATCH(AC$21,Dates,0)),(MATCH($C$21,Learning!$E$4:$S$4,0)+MATCH($C$32,Learning!$E$5:$S$5,0)-1))</f>
        <v>68.903380070272135</v>
      </c>
      <c r="AD37" s="532" cm="1">
        <f t="array" aca="1" ref="AD37" ca="1">OFFSET(AD37,-3,0)*
OFFSET(MSP!$D$1,
MATCH(OFFSET($C32,((MATCH($C32,EL_List,0)-1)*-10)-1,0),MSP!$C:$C,0)+MATCH($C32,EL_List,0)-1,0)
*INDEX(Learning!$E$6:$S$41,(MATCH(AD$21,Dates,0)),(MATCH($C$21,Learning!$E$4:$S$4,0)+MATCH($C$32,Learning!$E$5:$S$5,0)-1))</f>
        <v>72.003057460468725</v>
      </c>
      <c r="AE37" s="532" cm="1">
        <f t="array" aca="1" ref="AE37" ca="1">OFFSET(AE37,-3,0)*
OFFSET(MSP!$D$1,
MATCH(OFFSET($C32,((MATCH($C32,EL_List,0)-1)*-10)-1,0),MSP!$C:$C,0)+MATCH($C32,EL_List,0)-1,0)
*INDEX(Learning!$E$6:$S$41,(MATCH(AE$21,Dates,0)),(MATCH($C$21,Learning!$E$4:$S$4,0)+MATCH($C$32,Learning!$E$5:$S$5,0)-1))</f>
        <v>75.238434438214597</v>
      </c>
      <c r="AF37" s="532" cm="1">
        <f t="array" aca="1" ref="AF37" ca="1">OFFSET(AF37,-3,0)*
OFFSET(MSP!$D$1,
MATCH(OFFSET($C32,((MATCH($C32,EL_List,0)-1)*-10)-1,0),MSP!$C:$C,0)+MATCH($C32,EL_List,0)-1,0)
*INDEX(Learning!$E$6:$S$41,(MATCH(AF$21,Dates,0)),(MATCH($C$21,Learning!$E$4:$S$4,0)+MATCH($C$32,Learning!$E$5:$S$5,0)-1))</f>
        <v>78.615169662129588</v>
      </c>
      <c r="AG37" s="532" cm="1">
        <f t="array" aca="1" ref="AG37" ca="1">OFFSET(AG37,-3,0)*
OFFSET(MSP!$D$1,
MATCH(OFFSET($C32,((MATCH($C32,EL_List,0)-1)*-10)-1,0),MSP!$C:$C,0)+MATCH($C32,EL_List,0)-1,0)
*INDEX(Learning!$E$6:$S$41,(MATCH(AG$21,Dates,0)),(MATCH($C$21,Learning!$E$4:$S$4,0)+MATCH($C$32,Learning!$E$5:$S$5,0)-1))</f>
        <v>82.046733107564506</v>
      </c>
      <c r="AH37" s="532" cm="1">
        <f t="array" aca="1" ref="AH37" ca="1">OFFSET(AH37,-3,0)*
OFFSET(MSP!$D$1,
MATCH(OFFSET($C32,((MATCH($C32,EL_List,0)-1)*-10)-1,0),MSP!$C:$C,0)+MATCH($C32,EL_List,0)-1,0)
*INDEX(Learning!$E$6:$S$41,(MATCH(AH$21,Dates,0)),(MATCH($C$21,Learning!$E$4:$S$4,0)+MATCH($C$32,Learning!$E$5:$S$5,0)-1))</f>
        <v>85.719147493629876</v>
      </c>
      <c r="AI37" s="532" cm="1">
        <f t="array" aca="1" ref="AI37" ca="1">OFFSET(AI37,-3,0)*
OFFSET(MSP!$D$1,
MATCH(OFFSET($C32,((MATCH($C32,EL_List,0)-1)*-10)-1,0),MSP!$C:$C,0)+MATCH($C32,EL_List,0)-1,0)
*INDEX(Learning!$E$6:$S$41,(MATCH(AI$21,Dates,0)),(MATCH($C$21,Learning!$E$4:$S$4,0)+MATCH($C$32,Learning!$E$5:$S$5,0)-1))</f>
        <v>89.550823629974019</v>
      </c>
      <c r="AJ37" s="532" cm="1">
        <f t="array" aca="1" ref="AJ37" ca="1">OFFSET(AJ37,-3,0)*
OFFSET(MSP!$D$1,
MATCH(OFFSET($C32,((MATCH($C32,EL_List,0)-1)*-10)-1,0),MSP!$C:$C,0)+MATCH($C32,EL_List,0)-1,0)
*INDEX(Learning!$E$6:$S$41,(MATCH(AJ$21,Dates,0)),(MATCH($C$21,Learning!$E$4:$S$4,0)+MATCH($C$32,Learning!$E$5:$S$5,0)-1))</f>
        <v>93.548507769903281</v>
      </c>
      <c r="AK37" s="532" cm="1">
        <f t="array" aca="1" ref="AK37" ca="1">OFFSET(AK37,-3,0)*
OFFSET(MSP!$D$1,
MATCH(OFFSET($C32,((MATCH($C32,EL_List,0)-1)*-10)-1,0),MSP!$C:$C,0)+MATCH($C32,EL_List,0)-1,0)
*INDEX(Learning!$E$6:$S$41,(MATCH(AK$21,Dates,0)),(MATCH($C$21,Learning!$E$4:$S$4,0)+MATCH($C$32,Learning!$E$5:$S$5,0)-1))</f>
        <v>97.719337766180729</v>
      </c>
      <c r="AL37" s="532" cm="1">
        <f t="array" aca="1" ref="AL37" ca="1">OFFSET(AL37,-3,0)*
OFFSET(MSP!$D$1,
MATCH(OFFSET($C32,((MATCH($C32,EL_List,0)-1)*-10)-1,0),MSP!$C:$C,0)+MATCH($C32,EL_List,0)-1,0)
*INDEX(Learning!$E$6:$S$41,(MATCH(AL$21,Dates,0)),(MATCH($C$21,Learning!$E$4:$S$4,0)+MATCH($C$32,Learning!$E$5:$S$5,0)-1))</f>
        <v>102.07081199044352</v>
      </c>
      <c r="AM37" s="532" cm="1">
        <f t="array" aca="1" ref="AM37" ca="1">OFFSET(AM37,-3,0)*
OFFSET(MSP!$D$1,
MATCH(OFFSET($C32,((MATCH($C32,EL_List,0)-1)*-10)-1,0),MSP!$C:$C,0)+MATCH($C32,EL_List,0)-1,0)
*INDEX(Learning!$E$6:$S$41,(MATCH(AM$21,Dates,0)),(MATCH($C$21,Learning!$E$4:$S$4,0)+MATCH($C$32,Learning!$E$5:$S$5,0)-1))</f>
        <v>106.73401425457456</v>
      </c>
      <c r="AN37" s="532" cm="1">
        <f t="array" aca="1" ref="AN37" ca="1">OFFSET(AN37,-3,0)*
OFFSET(MSP!$D$1,
MATCH(OFFSET($C32,((MATCH($C32,EL_List,0)-1)*-10)-1,0),MSP!$C:$C,0)+MATCH($C32,EL_List,0)-1,0)
*INDEX(Learning!$E$6:$S$41,(MATCH(AN$21,Dates,0)),(MATCH($C$21,Learning!$E$4:$S$4,0)+MATCH($C$32,Learning!$E$5:$S$5,0)-1))</f>
        <v>111.43953433870008</v>
      </c>
      <c r="AO37" s="436"/>
      <c r="AP37" s="21"/>
    </row>
    <row r="38" spans="2:42" ht="15" customHeight="1" x14ac:dyDescent="0.35">
      <c r="B38" s="429"/>
      <c r="C38" s="777" t="s">
        <v>213</v>
      </c>
      <c r="D38" s="776"/>
      <c r="E38" s="533" cm="1">
        <f t="array" aca="1" ref="E38" ca="1">OFFSET(E38,-4,0)*
OFFSET(MSP!$E$1,
MATCH(OFFSET($C32,((MATCH($C32,EL_List,0)-1)*-10)-1,0),MSP!$C:$C,0)+MATCH($C32,EL_List,0)-1,0)
*INDEX(Learning!$E$6:$S$41,(MATCH(E$21,Dates,0)),(MATCH($C$21,Learning!$E$4:$S$4,0)+MATCH($C$32,Learning!$E$5:$S$5,0)-1))</f>
        <v>0.65246569737868731</v>
      </c>
      <c r="F38" s="533" cm="1">
        <f t="array" aca="1" ref="F38" ca="1">OFFSET(F38,-4,0)*
OFFSET(MSP!$E$1,
MATCH(OFFSET($C32,((MATCH($C32,EL_List,0)-1)*-10)-1,0),MSP!$C:$C,0)+MATCH($C32,EL_List,0)-1,0)
*INDEX(Learning!$E$6:$S$41,(MATCH(F$21,Dates,0)),(MATCH($C$21,Learning!$E$4:$S$4,0)+MATCH($C$32,Learning!$E$5:$S$5,0)-1))</f>
        <v>0.67641970237305871</v>
      </c>
      <c r="G38" s="533" cm="1">
        <f t="array" aca="1" ref="G38" ca="1">OFFSET(G38,-4,0)*
OFFSET(MSP!$E$1,
MATCH(OFFSET($C32,((MATCH($C32,EL_List,0)-1)*-10)-1,0),MSP!$C:$C,0)+MATCH($C32,EL_List,0)-1,0)
*INDEX(Learning!$E$6:$S$41,(MATCH(G$21,Dates,0)),(MATCH($C$21,Learning!$E$4:$S$4,0)+MATCH($C$32,Learning!$E$5:$S$5,0)-1))</f>
        <v>0.69694174516382812</v>
      </c>
      <c r="H38" s="533" cm="1">
        <f t="array" aca="1" ref="H38" ca="1">OFFSET(H38,-4,0)*
OFFSET(MSP!$E$1,
MATCH(OFFSET($C32,((MATCH($C32,EL_List,0)-1)*-10)-1,0),MSP!$C:$C,0)+MATCH($C32,EL_List,0)-1,0)
*INDEX(Learning!$E$6:$S$41,(MATCH(H$21,Dates,0)),(MATCH($C$21,Learning!$E$4:$S$4,0)+MATCH($C$32,Learning!$E$5:$S$5,0)-1))</f>
        <v>0.72470363402380644</v>
      </c>
      <c r="I38" s="533" cm="1">
        <f t="array" aca="1" ref="I38" ca="1">OFFSET(I38,-4,0)*
OFFSET(MSP!$E$1,
MATCH(OFFSET($C32,((MATCH($C32,EL_List,0)-1)*-10)-1,0),MSP!$C:$C,0)+MATCH($C32,EL_List,0)-1,0)
*INDEX(Learning!$E$6:$S$41,(MATCH(I$21,Dates,0)),(MATCH($C$21,Learning!$E$4:$S$4,0)+MATCH($C$32,Learning!$E$5:$S$5,0)-1))</f>
        <v>0.75437752012554748</v>
      </c>
      <c r="J38" s="533" cm="1">
        <f t="array" aca="1" ref="J38" ca="1">OFFSET(J38,-4,0)*
OFFSET(MSP!$E$1,
MATCH(OFFSET($C32,((MATCH($C32,EL_List,0)-1)*-10)-1,0),MSP!$C:$C,0)+MATCH($C32,EL_List,0)-1,0)
*INDEX(Learning!$E$6:$S$41,(MATCH(J$21,Dates,0)),(MATCH($C$21,Learning!$E$4:$S$4,0)+MATCH($C$32,Learning!$E$5:$S$5,0)-1))</f>
        <v>0.78724361188555936</v>
      </c>
      <c r="K38" s="533" cm="1">
        <f t="array" aca="1" ref="K38" ca="1">OFFSET(K38,-4,0)*
OFFSET(MSP!$E$1,
MATCH(OFFSET($C32,((MATCH($C32,EL_List,0)-1)*-10)-1,0),MSP!$C:$C,0)+MATCH($C32,EL_List,0)-1,0)
*INDEX(Learning!$E$6:$S$41,(MATCH(K$21,Dates,0)),(MATCH($C$21,Learning!$E$4:$S$4,0)+MATCH($C$32,Learning!$E$5:$S$5,0)-1))</f>
        <v>0.82278063672193291</v>
      </c>
      <c r="L38" s="533" cm="1">
        <f t="array" aca="1" ref="L38" ca="1">OFFSET(L38,-4,0)*
OFFSET(MSP!$E$1,
MATCH(OFFSET($C32,((MATCH($C32,EL_List,0)-1)*-10)-1,0),MSP!$C:$C,0)+MATCH($C32,EL_List,0)-1,0)
*INDEX(Learning!$E$6:$S$41,(MATCH(L$21,Dates,0)),(MATCH($C$21,Learning!$E$4:$S$4,0)+MATCH($C$32,Learning!$E$5:$S$5,0)-1))</f>
        <v>0.86112490655024965</v>
      </c>
      <c r="M38" s="533" cm="1">
        <f t="array" aca="1" ref="M38" ca="1">OFFSET(M38,-4,0)*
OFFSET(MSP!$E$1,
MATCH(OFFSET($C32,((MATCH($C32,EL_List,0)-1)*-10)-1,0),MSP!$C:$C,0)+MATCH($C32,EL_List,0)-1,0)
*INDEX(Learning!$E$6:$S$41,(MATCH(M$21,Dates,0)),(MATCH($C$21,Learning!$E$4:$S$4,0)+MATCH($C$32,Learning!$E$5:$S$5,0)-1))</f>
        <v>0.90002255106805684</v>
      </c>
      <c r="N38" s="533" cm="1">
        <f t="array" aca="1" ref="N38" ca="1">OFFSET(N38,-4,0)*
OFFSET(MSP!$E$1,
MATCH(OFFSET($C32,((MATCH($C32,EL_List,0)-1)*-10)-1,0),MSP!$C:$C,0)+MATCH($C32,EL_List,0)-1,0)
*INDEX(Learning!$E$6:$S$41,(MATCH(N$21,Dates,0)),(MATCH($C$21,Learning!$E$4:$S$4,0)+MATCH($C$32,Learning!$E$5:$S$5,0)-1))</f>
        <v>0.94087309568629518</v>
      </c>
      <c r="O38" s="533" cm="1">
        <f t="array" aca="1" ref="O38" ca="1">OFFSET(O38,-4,0)*
OFFSET(MSP!$E$1,
MATCH(OFFSET($C32,((MATCH($C32,EL_List,0)-1)*-10)-1,0),MSP!$C:$C,0)+MATCH($C32,EL_List,0)-1,0)
*INDEX(Learning!$E$6:$S$41,(MATCH(O$21,Dates,0)),(MATCH($C$21,Learning!$E$4:$S$4,0)+MATCH($C$32,Learning!$E$5:$S$5,0)-1))</f>
        <v>0.98376832782293111</v>
      </c>
      <c r="P38" s="533" cm="1">
        <f t="array" aca="1" ref="P38" ca="1">OFFSET(P38,-4,0)*
OFFSET(MSP!$E$1,
MATCH(OFFSET($C32,((MATCH($C32,EL_List,0)-1)*-10)-1,0),MSP!$C:$C,0)+MATCH($C32,EL_List,0)-1,0)
*INDEX(Learning!$E$6:$S$41,(MATCH(P$21,Dates,0)),(MATCH($C$21,Learning!$E$4:$S$4,0)+MATCH($C$32,Learning!$E$5:$S$5,0)-1))</f>
        <v>1.0269162338650419</v>
      </c>
      <c r="Q38" s="533" cm="1">
        <f t="array" aca="1" ref="Q38" ca="1">OFFSET(Q38,-4,0)*
OFFSET(MSP!$E$1,
MATCH(OFFSET($C32,((MATCH($C32,EL_List,0)-1)*-10)-1,0),MSP!$C:$C,0)+MATCH($C32,EL_List,0)-1,0)
*INDEX(Learning!$E$6:$S$41,(MATCH(Q$21,Dates,0)),(MATCH($C$21,Learning!$E$4:$S$4,0)+MATCH($C$32,Learning!$E$5:$S$5,0)-1))</f>
        <v>1.0715507806255418</v>
      </c>
      <c r="R38" s="533" cm="1">
        <f t="array" aca="1" ref="R38" ca="1">OFFSET(R38,-4,0)*
OFFSET(MSP!$E$1,
MATCH(OFFSET($C32,((MATCH($C32,EL_List,0)-1)*-10)-1,0),MSP!$C:$C,0)+MATCH($C32,EL_List,0)-1,0)
*INDEX(Learning!$E$6:$S$41,(MATCH(R$21,Dates,0)),(MATCH($C$21,Learning!$E$4:$S$4,0)+MATCH($C$32,Learning!$E$5:$S$5,0)-1))</f>
        <v>1.1191574167803999</v>
      </c>
      <c r="S38" s="533" cm="1">
        <f t="array" aca="1" ref="S38" ca="1">OFFSET(S38,-4,0)*
OFFSET(MSP!$E$1,
MATCH(OFFSET($C32,((MATCH($C32,EL_List,0)-1)*-10)-1,0),MSP!$C:$C,0)+MATCH($C32,EL_List,0)-1,0)
*INDEX(Learning!$E$6:$S$41,(MATCH(S$21,Dates,0)),(MATCH($C$21,Learning!$E$4:$S$4,0)+MATCH($C$32,Learning!$E$5:$S$5,0)-1))</f>
        <v>1.1689385162336769</v>
      </c>
      <c r="T38" s="533" cm="1">
        <f t="array" aca="1" ref="T38" ca="1">OFFSET(T38,-4,0)*
OFFSET(MSP!$E$1,
MATCH(OFFSET($C32,((MATCH($C32,EL_List,0)-1)*-10)-1,0),MSP!$C:$C,0)+MATCH($C32,EL_List,0)-1,0)
*INDEX(Learning!$E$6:$S$41,(MATCH(T$21,Dates,0)),(MATCH($C$21,Learning!$E$4:$S$4,0)+MATCH($C$32,Learning!$E$5:$S$5,0)-1))</f>
        <v>1.2197528590960245</v>
      </c>
      <c r="U38" s="533" cm="1">
        <f t="array" aca="1" ref="U38" ca="1">OFFSET(U38,-4,0)*
OFFSET(MSP!$E$1,
MATCH(OFFSET($C32,((MATCH($C32,EL_List,0)-1)*-10)-1,0),MSP!$C:$C,0)+MATCH($C32,EL_List,0)-1,0)
*INDEX(Learning!$E$6:$S$41,(MATCH(U$21,Dates,0)),(MATCH($C$21,Learning!$E$4:$S$4,0)+MATCH($C$32,Learning!$E$5:$S$5,0)-1))</f>
        <v>1.2742714699553073</v>
      </c>
      <c r="V38" s="533" cm="1">
        <f t="array" aca="1" ref="V38" ca="1">OFFSET(V38,-4,0)*
OFFSET(MSP!$E$1,
MATCH(OFFSET($C32,((MATCH($C32,EL_List,0)-1)*-10)-1,0),MSP!$C:$C,0)+MATCH($C32,EL_List,0)-1,0)
*INDEX(Learning!$E$6:$S$41,(MATCH(V$21,Dates,0)),(MATCH($C$21,Learning!$E$4:$S$4,0)+MATCH($C$32,Learning!$E$5:$S$5,0)-1))</f>
        <v>1.3310983565056489</v>
      </c>
      <c r="W38" s="533" cm="1">
        <f t="array" aca="1" ref="W38" ca="1">OFFSET(W38,-4,0)*
OFFSET(MSP!$E$1,
MATCH(OFFSET($C32,((MATCH($C32,EL_List,0)-1)*-10)-1,0),MSP!$C:$C,0)+MATCH($C32,EL_List,0)-1,0)
*INDEX(Learning!$E$6:$S$41,(MATCH(W$21,Dates,0)),(MATCH($C$21,Learning!$E$4:$S$4,0)+MATCH($C$32,Learning!$E$5:$S$5,0)-1))</f>
        <v>1.3918686838980761</v>
      </c>
      <c r="X38" s="533" cm="1">
        <f t="array" aca="1" ref="X38" ca="1">OFFSET(X38,-4,0)*
OFFSET(MSP!$E$1,
MATCH(OFFSET($C32,((MATCH($C32,EL_List,0)-1)*-10)-1,0),MSP!$C:$C,0)+MATCH($C32,EL_List,0)-1,0)
*INDEX(Learning!$E$6:$S$41,(MATCH(X$21,Dates,0)),(MATCH($C$21,Learning!$E$4:$S$4,0)+MATCH($C$32,Learning!$E$5:$S$5,0)-1))</f>
        <v>1.4537059602235849</v>
      </c>
      <c r="Y38" s="533" cm="1">
        <f t="array" aca="1" ref="Y38" ca="1">OFFSET(Y38,-4,0)*
OFFSET(MSP!$E$1,
MATCH(OFFSET($C32,((MATCH($C32,EL_List,0)-1)*-10)-1,0),MSP!$C:$C,0)+MATCH($C32,EL_List,0)-1,0)
*INDEX(Learning!$E$6:$S$41,(MATCH(Y$21,Dates,0)),(MATCH($C$21,Learning!$E$4:$S$4,0)+MATCH($C$32,Learning!$E$5:$S$5,0)-1))</f>
        <v>1.5180950261380102</v>
      </c>
      <c r="Z38" s="533" cm="1">
        <f t="array" aca="1" ref="Z38" ca="1">OFFSET(Z38,-4,0)*
OFFSET(MSP!$E$1,
MATCH(OFFSET($C32,((MATCH($C32,EL_List,0)-1)*-10)-1,0),MSP!$C:$C,0)+MATCH($C32,EL_List,0)-1,0)
*INDEX(Learning!$E$6:$S$41,(MATCH(Z$21,Dates,0)),(MATCH($C$21,Learning!$E$4:$S$4,0)+MATCH($C$32,Learning!$E$5:$S$5,0)-1))</f>
        <v>1.5868637303677759</v>
      </c>
      <c r="AA38" s="533" cm="1">
        <f t="array" aca="1" ref="AA38" ca="1">OFFSET(AA38,-4,0)*
OFFSET(MSP!$E$1,
MATCH(OFFSET($C32,((MATCH($C32,EL_List,0)-1)*-10)-1,0),MSP!$C:$C,0)+MATCH($C32,EL_List,0)-1,0)
*INDEX(Learning!$E$6:$S$41,(MATCH(AA$21,Dates,0)),(MATCH($C$21,Learning!$E$4:$S$4,0)+MATCH($C$32,Learning!$E$5:$S$5,0)-1))</f>
        <v>1.6567716852709358</v>
      </c>
      <c r="AB38" s="533" cm="1">
        <f t="array" aca="1" ref="AB38" ca="1">OFFSET(AB38,-4,0)*
OFFSET(MSP!$E$1,
MATCH(OFFSET($C32,((MATCH($C32,EL_List,0)-1)*-10)-1,0),MSP!$C:$C,0)+MATCH($C32,EL_List,0)-1,0)
*INDEX(Learning!$E$6:$S$41,(MATCH(AB$21,Dates,0)),(MATCH($C$21,Learning!$E$4:$S$4,0)+MATCH($C$32,Learning!$E$5:$S$5,0)-1))</f>
        <v>1.7315084383020929</v>
      </c>
      <c r="AC38" s="533" cm="1">
        <f t="array" aca="1" ref="AC38" ca="1">OFFSET(AC38,-4,0)*
OFFSET(MSP!$E$1,
MATCH(OFFSET($C32,((MATCH($C32,EL_List,0)-1)*-10)-1,0),MSP!$C:$C,0)+MATCH($C32,EL_List,0)-1,0)
*INDEX(Learning!$E$6:$S$41,(MATCH(AC$21,Dates,0)),(MATCH($C$21,Learning!$E$4:$S$4,0)+MATCH($C$32,Learning!$E$5:$S$5,0)-1))</f>
        <v>1.8075105076250539</v>
      </c>
      <c r="AD38" s="533" cm="1">
        <f t="array" aca="1" ref="AD38" ca="1">OFFSET(AD38,-4,0)*
OFFSET(MSP!$E$1,
MATCH(OFFSET($C32,((MATCH($C32,EL_List,0)-1)*-10)-1,0),MSP!$C:$C,0)+MATCH($C32,EL_List,0)-1,0)
*INDEX(Learning!$E$6:$S$41,(MATCH(AD$21,Dates,0)),(MATCH($C$21,Learning!$E$4:$S$4,0)+MATCH($C$32,Learning!$E$5:$S$5,0)-1))</f>
        <v>1.8888229112736723</v>
      </c>
      <c r="AE38" s="533" cm="1">
        <f t="array" aca="1" ref="AE38" ca="1">OFFSET(AE38,-4,0)*
OFFSET(MSP!$E$1,
MATCH(OFFSET($C32,((MATCH($C32,EL_List,0)-1)*-10)-1,0),MSP!$C:$C,0)+MATCH($C32,EL_List,0)-1,0)
*INDEX(Learning!$E$6:$S$41,(MATCH(AE$21,Dates,0)),(MATCH($C$21,Learning!$E$4:$S$4,0)+MATCH($C$32,Learning!$E$5:$S$5,0)-1))</f>
        <v>1.9736950594533365</v>
      </c>
      <c r="AF38" s="533" cm="1">
        <f t="array" aca="1" ref="AF38" ca="1">OFFSET(AF38,-4,0)*
OFFSET(MSP!$E$1,
MATCH(OFFSET($C32,((MATCH($C32,EL_List,0)-1)*-10)-1,0),MSP!$C:$C,0)+MATCH($C32,EL_List,0)-1,0)
*INDEX(Learning!$E$6:$S$41,(MATCH(AF$21,Dates,0)),(MATCH($C$21,Learning!$E$4:$S$4,0)+MATCH($C$32,Learning!$E$5:$S$5,0)-1))</f>
        <v>2.0622753931389881</v>
      </c>
      <c r="AG38" s="533" cm="1">
        <f t="array" aca="1" ref="AG38" ca="1">OFFSET(AG38,-4,0)*
OFFSET(MSP!$E$1,
MATCH(OFFSET($C32,((MATCH($C32,EL_List,0)-1)*-10)-1,0),MSP!$C:$C,0)+MATCH($C32,EL_List,0)-1,0)
*INDEX(Learning!$E$6:$S$41,(MATCH(AG$21,Dates,0)),(MATCH($C$21,Learning!$E$4:$S$4,0)+MATCH($C$32,Learning!$E$5:$S$5,0)-1))</f>
        <v>2.1522940102065373</v>
      </c>
      <c r="AH38" s="533" cm="1">
        <f t="array" aca="1" ref="AH38" ca="1">OFFSET(AH38,-4,0)*
OFFSET(MSP!$E$1,
MATCH(OFFSET($C32,((MATCH($C32,EL_List,0)-1)*-10)-1,0),MSP!$C:$C,0)+MATCH($C32,EL_List,0)-1,0)
*INDEX(Learning!$E$6:$S$41,(MATCH(AH$21,Dates,0)),(MATCH($C$21,Learning!$E$4:$S$4,0)+MATCH($C$32,Learning!$E$5:$S$5,0)-1))</f>
        <v>2.2486307586272503</v>
      </c>
      <c r="AI38" s="533" cm="1">
        <f t="array" aca="1" ref="AI38" ca="1">OFFSET(AI38,-4,0)*
OFFSET(MSP!$E$1,
MATCH(OFFSET($C32,((MATCH($C32,EL_List,0)-1)*-10)-1,0),MSP!$C:$C,0)+MATCH($C32,EL_List,0)-1,0)
*INDEX(Learning!$E$6:$S$41,(MATCH(AI$21,Dates,0)),(MATCH($C$21,Learning!$E$4:$S$4,0)+MATCH($C$32,Learning!$E$5:$S$5,0)-1))</f>
        <v>2.349145346898462</v>
      </c>
      <c r="AJ38" s="533" cm="1">
        <f t="array" aca="1" ref="AJ38" ca="1">OFFSET(AJ38,-4,0)*
OFFSET(MSP!$E$1,
MATCH(OFFSET($C32,((MATCH($C32,EL_List,0)-1)*-10)-1,0),MSP!$C:$C,0)+MATCH($C32,EL_List,0)-1,0)
*INDEX(Learning!$E$6:$S$41,(MATCH(AJ$21,Dates,0)),(MATCH($C$21,Learning!$E$4:$S$4,0)+MATCH($C$32,Learning!$E$5:$S$5,0)-1))</f>
        <v>2.4540147463636082</v>
      </c>
      <c r="AK38" s="533" cm="1">
        <f t="array" aca="1" ref="AK38" ca="1">OFFSET(AK38,-4,0)*
OFFSET(MSP!$E$1,
MATCH(OFFSET($C32,((MATCH($C32,EL_List,0)-1)*-10)-1,0),MSP!$C:$C,0)+MATCH($C32,EL_List,0)-1,0)
*INDEX(Learning!$E$6:$S$41,(MATCH(AK$21,Dates,0)),(MATCH($C$21,Learning!$E$4:$S$4,0)+MATCH($C$32,Learning!$E$5:$S$5,0)-1))</f>
        <v>2.5634262010135935</v>
      </c>
      <c r="AL38" s="533" cm="1">
        <f t="array" aca="1" ref="AL38" ca="1">OFFSET(AL38,-4,0)*
OFFSET(MSP!$E$1,
MATCH(OFFSET($C32,((MATCH($C32,EL_List,0)-1)*-10)-1,0),MSP!$C:$C,0)+MATCH($C32,EL_List,0)-1,0)
*INDEX(Learning!$E$6:$S$41,(MATCH(AL$21,Dates,0)),(MATCH($C$21,Learning!$E$4:$S$4,0)+MATCH($C$32,Learning!$E$5:$S$5,0)-1))</f>
        <v>2.6775764121642363</v>
      </c>
      <c r="AM38" s="533" cm="1">
        <f t="array" aca="1" ref="AM38" ca="1">OFFSET(AM38,-4,0)*
OFFSET(MSP!$E$1,
MATCH(OFFSET($C32,((MATCH($C32,EL_List,0)-1)*-10)-1,0),MSP!$C:$C,0)+MATCH($C32,EL_List,0)-1,0)
*INDEX(Learning!$E$6:$S$41,(MATCH(AM$21,Dates,0)),(MATCH($C$21,Learning!$E$4:$S$4,0)+MATCH($C$32,Learning!$E$5:$S$5,0)-1))</f>
        <v>2.7999040408379177</v>
      </c>
      <c r="AN38" s="533" cm="1">
        <f t="array" aca="1" ref="AN38" ca="1">OFFSET(AN38,-4,0)*
OFFSET(MSP!$E$1,
MATCH(OFFSET($C32,((MATCH($C32,EL_List,0)-1)*-10)-1,0),MSP!$C:$C,0)+MATCH($C32,EL_List,0)-1,0)
*INDEX(Learning!$E$6:$S$41,(MATCH(AN$21,Dates,0)),(MATCH($C$21,Learning!$E$4:$S$4,0)+MATCH($C$32,Learning!$E$5:$S$5,0)-1))</f>
        <v>2.9233417733152414</v>
      </c>
      <c r="AO38" s="436"/>
      <c r="AP38" s="21"/>
    </row>
    <row r="39" spans="2:42" ht="15" customHeight="1" x14ac:dyDescent="0.35">
      <c r="B39" s="429"/>
      <c r="C39" s="777" t="s">
        <v>214</v>
      </c>
      <c r="D39" s="776"/>
      <c r="E39" s="533" cm="1">
        <f t="array" aca="1" ref="E39" ca="1">OFFSET(E39,-5,0)*
OFFSET(MSP!$F$1,
MATCH(OFFSET($C32,((MATCH($C32,EL_List,0)-1)*-10)-1,0),MSP!$C:$C,0)+MATCH($C32,EL_List,0)-1,0)
*INDEX(Learning!$E$6:$S$41,(MATCH(E$21,Dates,0)),(MATCH($C$21,Learning!$E$4:$S$4,0)+MATCH($C$32,Learning!$E$5:$S$5,0)-1))</f>
        <v>1.4151489206267074</v>
      </c>
      <c r="F39" s="533" cm="1">
        <f t="array" aca="1" ref="F39" ca="1">OFFSET(F39,-5,0)*
OFFSET(MSP!$F$1,
MATCH(OFFSET($C32,((MATCH($C32,EL_List,0)-1)*-10)-1,0),MSP!$C:$C,0)+MATCH($C32,EL_List,0)-1,0)
*INDEX(Learning!$E$6:$S$41,(MATCH(F$21,Dates,0)),(MATCH($C$21,Learning!$E$4:$S$4,0)+MATCH($C$32,Learning!$E$5:$S$5,0)-1))</f>
        <v>1.4671033520223504</v>
      </c>
      <c r="G39" s="533" cm="1">
        <f t="array" aca="1" ref="G39" ca="1">OFFSET(G39,-5,0)*
OFFSET(MSP!$F$1,
MATCH(OFFSET($C32,((MATCH($C32,EL_List,0)-1)*-10)-1,0),MSP!$C:$C,0)+MATCH($C32,EL_List,0)-1,0)
*INDEX(Learning!$E$6:$S$41,(MATCH(G$21,Dates,0)),(MATCH($C$21,Learning!$E$4:$S$4,0)+MATCH($C$32,Learning!$E$5:$S$5,0)-1))</f>
        <v>1.5116141160687806</v>
      </c>
      <c r="H39" s="533" cm="1">
        <f t="array" aca="1" ref="H39" ca="1">OFFSET(H39,-5,0)*
OFFSET(MSP!$F$1,
MATCH(OFFSET($C32,((MATCH($C32,EL_List,0)-1)*-10)-1,0),MSP!$C:$C,0)+MATCH($C32,EL_List,0)-1,0)
*INDEX(Learning!$E$6:$S$41,(MATCH(H$21,Dates,0)),(MATCH($C$21,Learning!$E$4:$S$4,0)+MATCH($C$32,Learning!$E$5:$S$5,0)-1))</f>
        <v>1.5718275605649366</v>
      </c>
      <c r="I39" s="533" cm="1">
        <f t="array" aca="1" ref="I39" ca="1">OFFSET(I39,-5,0)*
OFFSET(MSP!$F$1,
MATCH(OFFSET($C32,((MATCH($C32,EL_List,0)-1)*-10)-1,0),MSP!$C:$C,0)+MATCH($C32,EL_List,0)-1,0)
*INDEX(Learning!$E$6:$S$41,(MATCH(I$21,Dates,0)),(MATCH($C$21,Learning!$E$4:$S$4,0)+MATCH($C$32,Learning!$E$5:$S$5,0)-1))</f>
        <v>1.6361879829693438</v>
      </c>
      <c r="J39" s="533" cm="1">
        <f t="array" aca="1" ref="J39" ca="1">OFFSET(J39,-5,0)*
OFFSET(MSP!$F$1,
MATCH(OFFSET($C32,((MATCH($C32,EL_List,0)-1)*-10)-1,0),MSP!$C:$C,0)+MATCH($C32,EL_List,0)-1,0)
*INDEX(Learning!$E$6:$S$41,(MATCH(J$21,Dates,0)),(MATCH($C$21,Learning!$E$4:$S$4,0)+MATCH($C$32,Learning!$E$5:$S$5,0)-1))</f>
        <v>1.70747205884683</v>
      </c>
      <c r="K39" s="533" cm="1">
        <f t="array" aca="1" ref="K39" ca="1">OFFSET(K39,-5,0)*
OFFSET(MSP!$F$1,
MATCH(OFFSET($C32,((MATCH($C32,EL_List,0)-1)*-10)-1,0),MSP!$C:$C,0)+MATCH($C32,EL_List,0)-1,0)
*INDEX(Learning!$E$6:$S$41,(MATCH(K$21,Dates,0)),(MATCH($C$21,Learning!$E$4:$S$4,0)+MATCH($C$32,Learning!$E$5:$S$5,0)-1))</f>
        <v>1.7845491872560653</v>
      </c>
      <c r="L39" s="533" cm="1">
        <f t="array" aca="1" ref="L39" ca="1">OFFSET(L39,-5,0)*
OFFSET(MSP!$F$1,
MATCH(OFFSET($C32,((MATCH($C32,EL_List,0)-1)*-10)-1,0),MSP!$C:$C,0)+MATCH($C32,EL_List,0)-1,0)
*INDEX(Learning!$E$6:$S$41,(MATCH(L$21,Dates,0)),(MATCH($C$21,Learning!$E$4:$S$4,0)+MATCH($C$32,Learning!$E$5:$S$5,0)-1))</f>
        <v>1.8677150184679823</v>
      </c>
      <c r="M39" s="533" cm="1">
        <f t="array" aca="1" ref="M39" ca="1">OFFSET(M39,-5,0)*
OFFSET(MSP!$F$1,
MATCH(OFFSET($C32,((MATCH($C32,EL_List,0)-1)*-10)-1,0),MSP!$C:$C,0)+MATCH($C32,EL_List,0)-1,0)
*INDEX(Learning!$E$6:$S$41,(MATCH(M$21,Dates,0)),(MATCH($C$21,Learning!$E$4:$S$4,0)+MATCH($C$32,Learning!$E$5:$S$5,0)-1))</f>
        <v>1.9520810776730044</v>
      </c>
      <c r="N39" s="533" cm="1">
        <f t="array" aca="1" ref="N39" ca="1">OFFSET(N39,-5,0)*
OFFSET(MSP!$F$1,
MATCH(OFFSET($C32,((MATCH($C32,EL_List,0)-1)*-10)-1,0),MSP!$C:$C,0)+MATCH($C32,EL_List,0)-1,0)
*INDEX(Learning!$E$6:$S$41,(MATCH(N$21,Dates,0)),(MATCH($C$21,Learning!$E$4:$S$4,0)+MATCH($C$32,Learning!$E$5:$S$5,0)-1))</f>
        <v>2.0406828300038411</v>
      </c>
      <c r="O39" s="533" cm="1">
        <f t="array" aca="1" ref="O39" ca="1">OFFSET(O39,-5,0)*
OFFSET(MSP!$F$1,
MATCH(OFFSET($C32,((MATCH($C32,EL_List,0)-1)*-10)-1,0),MSP!$C:$C,0)+MATCH($C32,EL_List,0)-1,0)
*INDEX(Learning!$E$6:$S$41,(MATCH(O$21,Dates,0)),(MATCH($C$21,Learning!$E$4:$S$4,0)+MATCH($C$32,Learning!$E$5:$S$5,0)-1))</f>
        <v>2.1337193554519529</v>
      </c>
      <c r="P39" s="533" cm="1">
        <f t="array" aca="1" ref="P39" ca="1">OFFSET(P39,-5,0)*
OFFSET(MSP!$F$1,
MATCH(OFFSET($C32,((MATCH($C32,EL_List,0)-1)*-10)-1,0),MSP!$C:$C,0)+MATCH($C32,EL_List,0)-1,0)
*INDEX(Learning!$E$6:$S$41,(MATCH(P$21,Dates,0)),(MATCH($C$21,Learning!$E$4:$S$4,0)+MATCH($C$32,Learning!$E$5:$S$5,0)-1))</f>
        <v>2.2273039115567568</v>
      </c>
      <c r="Q39" s="533" cm="1">
        <f t="array" aca="1" ref="Q39" ca="1">OFFSET(Q39,-5,0)*
OFFSET(MSP!$F$1,
MATCH(OFFSET($C32,((MATCH($C32,EL_List,0)-1)*-10)-1,0),MSP!$C:$C,0)+MATCH($C32,EL_List,0)-1,0)
*INDEX(Learning!$E$6:$S$41,(MATCH(Q$21,Dates,0)),(MATCH($C$21,Learning!$E$4:$S$4,0)+MATCH($C$32,Learning!$E$5:$S$5,0)-1))</f>
        <v>2.3241128793301593</v>
      </c>
      <c r="R39" s="533" cm="1">
        <f t="array" aca="1" ref="R39" ca="1">OFFSET(R39,-5,0)*
OFFSET(MSP!$F$1,
MATCH(OFFSET($C32,((MATCH($C32,EL_List,0)-1)*-10)-1,0),MSP!$C:$C,0)+MATCH($C32,EL_List,0)-1,0)
*INDEX(Learning!$E$6:$S$41,(MATCH(R$21,Dates,0)),(MATCH($C$21,Learning!$E$4:$S$4,0)+MATCH($C$32,Learning!$E$5:$S$5,0)-1))</f>
        <v>2.4273680849905945</v>
      </c>
      <c r="S39" s="533" cm="1">
        <f t="array" aca="1" ref="S39" ca="1">OFFSET(S39,-5,0)*
OFFSET(MSP!$F$1,
MATCH(OFFSET($C32,((MATCH($C32,EL_List,0)-1)*-10)-1,0),MSP!$C:$C,0)+MATCH($C32,EL_List,0)-1,0)
*INDEX(Learning!$E$6:$S$41,(MATCH(S$21,Dates,0)),(MATCH($C$21,Learning!$E$4:$S$4,0)+MATCH($C$32,Learning!$E$5:$S$5,0)-1))</f>
        <v>2.5353395376538423</v>
      </c>
      <c r="T39" s="533" cm="1">
        <f t="array" aca="1" ref="T39" ca="1">OFFSET(T39,-5,0)*
OFFSET(MSP!$F$1,
MATCH(OFFSET($C32,((MATCH($C32,EL_List,0)-1)*-10)-1,0),MSP!$C:$C,0)+MATCH($C32,EL_List,0)-1,0)
*INDEX(Learning!$E$6:$S$41,(MATCH(T$21,Dates,0)),(MATCH($C$21,Learning!$E$4:$S$4,0)+MATCH($C$32,Learning!$E$5:$S$5,0)-1))</f>
        <v>2.6455520173947815</v>
      </c>
      <c r="U39" s="533" cm="1">
        <f t="array" aca="1" ref="U39" ca="1">OFFSET(U39,-5,0)*
OFFSET(MSP!$F$1,
MATCH(OFFSET($C32,((MATCH($C32,EL_List,0)-1)*-10)-1,0),MSP!$C:$C,0)+MATCH($C32,EL_List,0)-1,0)
*INDEX(Learning!$E$6:$S$41,(MATCH(U$21,Dates,0)),(MATCH($C$21,Learning!$E$4:$S$4,0)+MATCH($C$32,Learning!$E$5:$S$5,0)-1))</f>
        <v>2.7637987752267157</v>
      </c>
      <c r="V39" s="533" cm="1">
        <f t="array" aca="1" ref="V39" ca="1">OFFSET(V39,-5,0)*
OFFSET(MSP!$F$1,
MATCH(OFFSET($C32,((MATCH($C32,EL_List,0)-1)*-10)-1,0),MSP!$C:$C,0)+MATCH($C32,EL_List,0)-1,0)
*INDEX(Learning!$E$6:$S$41,(MATCH(V$21,Dates,0)),(MATCH($C$21,Learning!$E$4:$S$4,0)+MATCH($C$32,Learning!$E$5:$S$5,0)-1))</f>
        <v>2.8870520090555241</v>
      </c>
      <c r="W39" s="533" cm="1">
        <f t="array" aca="1" ref="W39" ca="1">OFFSET(W39,-5,0)*
OFFSET(MSP!$F$1,
MATCH(OFFSET($C32,((MATCH($C32,EL_List,0)-1)*-10)-1,0),MSP!$C:$C,0)+MATCH($C32,EL_List,0)-1,0)
*INDEX(Learning!$E$6:$S$41,(MATCH(W$21,Dates,0)),(MATCH($C$21,Learning!$E$4:$S$4,0)+MATCH($C$32,Learning!$E$5:$S$5,0)-1))</f>
        <v>3.0188582688497645</v>
      </c>
      <c r="X39" s="533" cm="1">
        <f t="array" aca="1" ref="X39" ca="1">OFFSET(X39,-5,0)*
OFFSET(MSP!$F$1,
MATCH(OFFSET($C32,((MATCH($C32,EL_List,0)-1)*-10)-1,0),MSP!$C:$C,0)+MATCH($C32,EL_List,0)-1,0)
*INDEX(Learning!$E$6:$S$41,(MATCH(X$21,Dates,0)),(MATCH($C$21,Learning!$E$4:$S$4,0)+MATCH($C$32,Learning!$E$5:$S$5,0)-1))</f>
        <v>3.1529786604628569</v>
      </c>
      <c r="Y39" s="533" cm="1">
        <f t="array" aca="1" ref="Y39" ca="1">OFFSET(Y39,-5,0)*
OFFSET(MSP!$F$1,
MATCH(OFFSET($C32,((MATCH($C32,EL_List,0)-1)*-10)-1,0),MSP!$C:$C,0)+MATCH($C32,EL_List,0)-1,0)
*INDEX(Learning!$E$6:$S$41,(MATCH(Y$21,Dates,0)),(MATCH($C$21,Learning!$E$4:$S$4,0)+MATCH($C$32,Learning!$E$5:$S$5,0)-1))</f>
        <v>3.2926336913633936</v>
      </c>
      <c r="Z39" s="533" cm="1">
        <f t="array" aca="1" ref="Z39" ca="1">OFFSET(Z39,-5,0)*
OFFSET(MSP!$F$1,
MATCH(OFFSET($C32,((MATCH($C32,EL_List,0)-1)*-10)-1,0),MSP!$C:$C,0)+MATCH($C32,EL_List,0)-1,0)
*INDEX(Learning!$E$6:$S$41,(MATCH(Z$21,Dates,0)),(MATCH($C$21,Learning!$E$4:$S$4,0)+MATCH($C$32,Learning!$E$5:$S$5,0)-1))</f>
        <v>3.4417878276722145</v>
      </c>
      <c r="AA39" s="533" cm="1">
        <f t="array" aca="1" ref="AA39" ca="1">OFFSET(AA39,-5,0)*
OFFSET(MSP!$F$1,
MATCH(OFFSET($C32,((MATCH($C32,EL_List,0)-1)*-10)-1,0),MSP!$C:$C,0)+MATCH($C32,EL_List,0)-1,0)
*INDEX(Learning!$E$6:$S$41,(MATCH(AA$21,Dates,0)),(MATCH($C$21,Learning!$E$4:$S$4,0)+MATCH($C$32,Learning!$E$5:$S$5,0)-1))</f>
        <v>3.5934129128251717</v>
      </c>
      <c r="AB39" s="533" cm="1">
        <f t="array" aca="1" ref="AB39" ca="1">OFFSET(AB39,-5,0)*
OFFSET(MSP!$F$1,
MATCH(OFFSET($C32,((MATCH($C32,EL_List,0)-1)*-10)-1,0),MSP!$C:$C,0)+MATCH($C32,EL_List,0)-1,0)
*INDEX(Learning!$E$6:$S$41,(MATCH(AB$21,Dates,0)),(MATCH($C$21,Learning!$E$4:$S$4,0)+MATCH($C$32,Learning!$E$5:$S$5,0)-1))</f>
        <v>3.7555112971664442</v>
      </c>
      <c r="AC39" s="533" cm="1">
        <f t="array" aca="1" ref="AC39" ca="1">OFFSET(AC39,-5,0)*
OFFSET(MSP!$F$1,
MATCH(OFFSET($C32,((MATCH($C32,EL_List,0)-1)*-10)-1,0),MSP!$C:$C,0)+MATCH($C32,EL_List,0)-1,0)
*INDEX(Learning!$E$6:$S$41,(MATCH(AC$21,Dates,0)),(MATCH($C$21,Learning!$E$4:$S$4,0)+MATCH($C$32,Learning!$E$5:$S$5,0)-1))</f>
        <v>3.9203540571764934</v>
      </c>
      <c r="AD39" s="533" cm="1">
        <f t="array" aca="1" ref="AD39" ca="1">OFFSET(AD39,-5,0)*
OFFSET(MSP!$F$1,
MATCH(OFFSET($C32,((MATCH($C32,EL_List,0)-1)*-10)-1,0),MSP!$C:$C,0)+MATCH($C32,EL_List,0)-1,0)
*INDEX(Learning!$E$6:$S$41,(MATCH(AD$21,Dates,0)),(MATCH($C$21,Learning!$E$4:$S$4,0)+MATCH($C$32,Learning!$E$5:$S$5,0)-1))</f>
        <v>4.0967145320937206</v>
      </c>
      <c r="AE39" s="533" cm="1">
        <f t="array" aca="1" ref="AE39" ca="1">OFFSET(AE39,-5,0)*
OFFSET(MSP!$F$1,
MATCH(OFFSET($C32,((MATCH($C32,EL_List,0)-1)*-10)-1,0),MSP!$C:$C,0)+MATCH($C32,EL_List,0)-1,0)
*INDEX(Learning!$E$6:$S$41,(MATCH(AE$21,Dates,0)),(MATCH($C$21,Learning!$E$4:$S$4,0)+MATCH($C$32,Learning!$E$5:$S$5,0)-1))</f>
        <v>4.2807958245973063</v>
      </c>
      <c r="AF39" s="533" cm="1">
        <f t="array" aca="1" ref="AF39" ca="1">OFFSET(AF39,-5,0)*
OFFSET(MSP!$F$1,
MATCH(OFFSET($C32,((MATCH($C32,EL_List,0)-1)*-10)-1,0),MSP!$C:$C,0)+MATCH($C32,EL_List,0)-1,0)
*INDEX(Learning!$E$6:$S$41,(MATCH(AF$21,Dates,0)),(MATCH($C$21,Learning!$E$4:$S$4,0)+MATCH($C$32,Learning!$E$5:$S$5,0)-1))</f>
        <v>4.4729198919737527</v>
      </c>
      <c r="AG39" s="533" cm="1">
        <f t="array" aca="1" ref="AG39" ca="1">OFFSET(AG39,-5,0)*
OFFSET(MSP!$F$1,
MATCH(OFFSET($C32,((MATCH($C32,EL_List,0)-1)*-10)-1,0),MSP!$C:$C,0)+MATCH($C32,EL_List,0)-1,0)
*INDEX(Learning!$E$6:$S$41,(MATCH(AG$21,Dates,0)),(MATCH($C$21,Learning!$E$4:$S$4,0)+MATCH($C$32,Learning!$E$5:$S$5,0)-1))</f>
        <v>4.6681634876006894</v>
      </c>
      <c r="AH39" s="533" cm="1">
        <f t="array" aca="1" ref="AH39" ca="1">OFFSET(AH39,-5,0)*
OFFSET(MSP!$F$1,
MATCH(OFFSET($C32,((MATCH($C32,EL_List,0)-1)*-10)-1,0),MSP!$C:$C,0)+MATCH($C32,EL_List,0)-1,0)
*INDEX(Learning!$E$6:$S$41,(MATCH(AH$21,Dates,0)),(MATCH($C$21,Learning!$E$4:$S$4,0)+MATCH($C$32,Learning!$E$5:$S$5,0)-1))</f>
        <v>4.8771106339288011</v>
      </c>
      <c r="AI39" s="533" cm="1">
        <f t="array" aca="1" ref="AI39" ca="1">OFFSET(AI39,-5,0)*
OFFSET(MSP!$F$1,
MATCH(OFFSET($C32,((MATCH($C32,EL_List,0)-1)*-10)-1,0),MSP!$C:$C,0)+MATCH($C32,EL_List,0)-1,0)
*INDEX(Learning!$E$6:$S$41,(MATCH(AI$21,Dates,0)),(MATCH($C$21,Learning!$E$4:$S$4,0)+MATCH($C$32,Learning!$E$5:$S$5,0)-1))</f>
        <v>5.0951192000047065</v>
      </c>
      <c r="AJ39" s="533" cm="1">
        <f t="array" aca="1" ref="AJ39" ca="1">OFFSET(AJ39,-5,0)*
OFFSET(MSP!$F$1,
MATCH(OFFSET($C32,((MATCH($C32,EL_List,0)-1)*-10)-1,0),MSP!$C:$C,0)+MATCH($C32,EL_List,0)-1,0)
*INDEX(Learning!$E$6:$S$41,(MATCH(AJ$21,Dates,0)),(MATCH($C$21,Learning!$E$4:$S$4,0)+MATCH($C$32,Learning!$E$5:$S$5,0)-1))</f>
        <v>5.3225730233338107</v>
      </c>
      <c r="AK39" s="533" cm="1">
        <f t="array" aca="1" ref="AK39" ca="1">OFFSET(AK39,-5,0)*
OFFSET(MSP!$F$1,
MATCH(OFFSET($C32,((MATCH($C32,EL_List,0)-1)*-10)-1,0),MSP!$C:$C,0)+MATCH($C32,EL_List,0)-1,0)
*INDEX(Learning!$E$6:$S$41,(MATCH(AK$21,Dates,0)),(MATCH($C$21,Learning!$E$4:$S$4,0)+MATCH($C$32,Learning!$E$5:$S$5,0)-1))</f>
        <v>5.5598782220196199</v>
      </c>
      <c r="AL39" s="533" cm="1">
        <f t="array" aca="1" ref="AL39" ca="1">OFFSET(AL39,-5,0)*
OFFSET(MSP!$F$1,
MATCH(OFFSET($C32,((MATCH($C32,EL_List,0)-1)*-10)-1,0),MSP!$C:$C,0)+MATCH($C32,EL_List,0)-1,0)
*INDEX(Learning!$E$6:$S$41,(MATCH(AL$21,Dates,0)),(MATCH($C$21,Learning!$E$4:$S$4,0)+MATCH($C$32,Learning!$E$5:$S$5,0)-1))</f>
        <v>5.8074614263905717</v>
      </c>
      <c r="AM39" s="533" cm="1">
        <f t="array" aca="1" ref="AM39" ca="1">OFFSET(AM39,-5,0)*
OFFSET(MSP!$F$1,
MATCH(OFFSET($C32,((MATCH($C32,EL_List,0)-1)*-10)-1,0),MSP!$C:$C,0)+MATCH($C32,EL_List,0)-1,0)
*INDEX(Learning!$E$6:$S$41,(MATCH(AM$21,Dates,0)),(MATCH($C$21,Learning!$E$4:$S$4,0)+MATCH($C$32,Learning!$E$5:$S$5,0)-1))</f>
        <v>6.0727808330289132</v>
      </c>
      <c r="AN39" s="533" cm="1">
        <f t="array" aca="1" ref="AN39" ca="1">OFFSET(AN39,-5,0)*
OFFSET(MSP!$F$1,
MATCH(OFFSET($C32,((MATCH($C32,EL_List,0)-1)*-10)-1,0),MSP!$C:$C,0)+MATCH($C32,EL_List,0)-1,0)
*INDEX(Learning!$E$6:$S$41,(MATCH(AN$21,Dates,0)),(MATCH($C$21,Learning!$E$4:$S$4,0)+MATCH($C$32,Learning!$E$5:$S$5,0)-1))</f>
        <v>6.340507971147729</v>
      </c>
      <c r="AO39" s="436"/>
      <c r="AP39" s="21"/>
    </row>
    <row r="40" spans="2:42" ht="15" customHeight="1" collapsed="1" x14ac:dyDescent="0.35">
      <c r="B40" s="429"/>
      <c r="C40" s="777" t="s">
        <v>215</v>
      </c>
      <c r="D40" s="776"/>
      <c r="E40" s="531" cm="1">
        <f t="array" aca="1" ref="E40" ca="1">OFFSET(E40,-6,0)*
OFFSET(MSP!$G$1,
MATCH(OFFSET($C32,((MATCH($C32,EL_List,0)-1)*-10)-1,0),MSP!$C:$C,0)+MATCH($C32,EL_List,0)-1,0)
*INDEX(Learning!$E$6:$S$41,(MATCH(E$21,Dates,0)),(MATCH($C$21,Learning!$E$4:$S$4,0)+MATCH($C$32,Learning!$E$5:$S$5,0)-1))</f>
        <v>0.9447111141734853</v>
      </c>
      <c r="F40" s="531" cm="1">
        <f t="array" aca="1" ref="F40" ca="1">OFFSET(F40,-6,0)*
OFFSET(MSP!$G$1,
MATCH(OFFSET($C32,((MATCH($C32,EL_List,0)-1)*-10)-1,0),MSP!$C:$C,0)+MATCH($C32,EL_List,0)-1,0)
*INDEX(Learning!$E$6:$S$41,(MATCH(F$21,Dates,0)),(MATCH($C$21,Learning!$E$4:$S$4,0)+MATCH($C$32,Learning!$E$5:$S$5,0)-1))</f>
        <v>0.97939433941898935</v>
      </c>
      <c r="G40" s="531" cm="1">
        <f t="array" aca="1" ref="G40" ca="1">OFFSET(G40,-6,0)*
OFFSET(MSP!$G$1,
MATCH(OFFSET($C32,((MATCH($C32,EL_List,0)-1)*-10)-1,0),MSP!$C:$C,0)+MATCH($C32,EL_List,0)-1,0)
*INDEX(Learning!$E$6:$S$41,(MATCH(G$21,Dates,0)),(MATCH($C$21,Learning!$E$4:$S$4,0)+MATCH($C$32,Learning!$E$5:$S$5,0)-1))</f>
        <v>1.0091083948672275</v>
      </c>
      <c r="H40" s="531" cm="1">
        <f t="array" aca="1" ref="H40" ca="1">OFFSET(H40,-6,0)*
OFFSET(MSP!$G$1,
MATCH(OFFSET($C32,((MATCH($C32,EL_List,0)-1)*-10)-1,0),MSP!$C:$C,0)+MATCH($C32,EL_List,0)-1,0)
*INDEX(Learning!$E$6:$S$41,(MATCH(H$21,Dates,0)),(MATCH($C$21,Learning!$E$4:$S$4,0)+MATCH($C$32,Learning!$E$5:$S$5,0)-1))</f>
        <v>1.0493050903591725</v>
      </c>
      <c r="I40" s="531" cm="1">
        <f t="array" aca="1" ref="I40" ca="1">OFFSET(I40,-6,0)*
OFFSET(MSP!$G$1,
MATCH(OFFSET($C32,((MATCH($C32,EL_List,0)-1)*-10)-1,0),MSP!$C:$C,0)+MATCH($C32,EL_List,0)-1,0)
*INDEX(Learning!$E$6:$S$41,(MATCH(I$21,Dates,0)),(MATCH($C$21,Learning!$E$4:$S$4,0)+MATCH($C$32,Learning!$E$5:$S$5,0)-1))</f>
        <v>1.0922701843306375</v>
      </c>
      <c r="J40" s="531" cm="1">
        <f t="array" aca="1" ref="J40" ca="1">OFFSET(J40,-6,0)*
OFFSET(MSP!$G$1,
MATCH(OFFSET($C32,((MATCH($C32,EL_List,0)-1)*-10)-1,0),MSP!$C:$C,0)+MATCH($C32,EL_List,0)-1,0)
*INDEX(Learning!$E$6:$S$41,(MATCH(J$21,Dates,0)),(MATCH($C$21,Learning!$E$4:$S$4,0)+MATCH($C$32,Learning!$E$5:$S$5,0)-1))</f>
        <v>1.1398573023812413</v>
      </c>
      <c r="K40" s="531" cm="1">
        <f t="array" aca="1" ref="K40" ca="1">OFFSET(K40,-6,0)*
OFFSET(MSP!$G$1,
MATCH(OFFSET($C32,((MATCH($C32,EL_List,0)-1)*-10)-1,0),MSP!$C:$C,0)+MATCH($C32,EL_List,0)-1,0)
*INDEX(Learning!$E$6:$S$41,(MATCH(K$21,Dates,0)),(MATCH($C$21,Learning!$E$4:$S$4,0)+MATCH($C$32,Learning!$E$5:$S$5,0)-1))</f>
        <v>1.1913116891213551</v>
      </c>
      <c r="L40" s="531" cm="1">
        <f t="array" aca="1" ref="L40" ca="1">OFFSET(L40,-6,0)*
OFFSET(MSP!$G$1,
MATCH(OFFSET($C32,((MATCH($C32,EL_List,0)-1)*-10)-1,0),MSP!$C:$C,0)+MATCH($C32,EL_List,0)-1,0)
*INDEX(Learning!$E$6:$S$41,(MATCH(L$21,Dates,0)),(MATCH($C$21,Learning!$E$4:$S$4,0)+MATCH($C$32,Learning!$E$5:$S$5,0)-1))</f>
        <v>1.2468307118335229</v>
      </c>
      <c r="M40" s="531" cm="1">
        <f t="array" aca="1" ref="M40" ca="1">OFFSET(M40,-6,0)*
OFFSET(MSP!$G$1,
MATCH(OFFSET($C32,((MATCH($C32,EL_List,0)-1)*-10)-1,0),MSP!$C:$C,0)+MATCH($C32,EL_List,0)-1,0)
*INDEX(Learning!$E$6:$S$41,(MATCH(M$21,Dates,0)),(MATCH($C$21,Learning!$E$4:$S$4,0)+MATCH($C$32,Learning!$E$5:$S$5,0)-1))</f>
        <v>1.3031509708736151</v>
      </c>
      <c r="N40" s="531" cm="1">
        <f t="array" aca="1" ref="N40" ca="1">OFFSET(N40,-6,0)*
OFFSET(MSP!$G$1,
MATCH(OFFSET($C32,((MATCH($C32,EL_List,0)-1)*-10)-1,0),MSP!$C:$C,0)+MATCH($C32,EL_List,0)-1,0)
*INDEX(Learning!$E$6:$S$41,(MATCH(N$21,Dates,0)),(MATCH($C$21,Learning!$E$4:$S$4,0)+MATCH($C$32,Learning!$E$5:$S$5,0)-1))</f>
        <v>1.3622988520203707</v>
      </c>
      <c r="O40" s="531" cm="1">
        <f t="array" aca="1" ref="O40" ca="1">OFFSET(O40,-6,0)*
OFFSET(MSP!$G$1,
MATCH(OFFSET($C32,((MATCH($C32,EL_List,0)-1)*-10)-1,0),MSP!$C:$C,0)+MATCH($C32,EL_List,0)-1,0)
*INDEX(Learning!$E$6:$S$41,(MATCH(O$21,Dates,0)),(MATCH($C$21,Learning!$E$4:$S$4,0)+MATCH($C$32,Learning!$E$5:$S$5,0)-1))</f>
        <v>1.4244072551246825</v>
      </c>
      <c r="P40" s="531" cm="1">
        <f t="array" aca="1" ref="P40" ca="1">OFFSET(P40,-6,0)*
OFFSET(MSP!$G$1,
MATCH(OFFSET($C32,((MATCH($C32,EL_List,0)-1)*-10)-1,0),MSP!$C:$C,0)+MATCH($C32,EL_List,0)-1,0)
*INDEX(Learning!$E$6:$S$41,(MATCH(P$21,Dates,0)),(MATCH($C$21,Learning!$E$4:$S$4,0)+MATCH($C$32,Learning!$E$5:$S$5,0)-1))</f>
        <v>1.4868815071122736</v>
      </c>
      <c r="Q40" s="531" cm="1">
        <f t="array" aca="1" ref="Q40" ca="1">OFFSET(Q40,-6,0)*
OFFSET(MSP!$G$1,
MATCH(OFFSET($C32,((MATCH($C32,EL_List,0)-1)*-10)-1,0),MSP!$C:$C,0)+MATCH($C32,EL_List,0)-1,0)
*INDEX(Learning!$E$6:$S$41,(MATCH(Q$21,Dates,0)),(MATCH($C$21,Learning!$E$4:$S$4,0)+MATCH($C$32,Learning!$E$5:$S$5,0)-1))</f>
        <v>1.5515082799374926</v>
      </c>
      <c r="R40" s="531" cm="1">
        <f t="array" aca="1" ref="R40" ca="1">OFFSET(R40,-6,0)*
OFFSET(MSP!$G$1,
MATCH(OFFSET($C32,((MATCH($C32,EL_List,0)-1)*-10)-1,0),MSP!$C:$C,0)+MATCH($C32,EL_List,0)-1,0)
*INDEX(Learning!$E$6:$S$41,(MATCH(R$21,Dates,0)),(MATCH($C$21,Learning!$E$4:$S$4,0)+MATCH($C$32,Learning!$E$5:$S$5,0)-1))</f>
        <v>1.6204383684687287</v>
      </c>
      <c r="S40" s="531" cm="1">
        <f t="array" aca="1" ref="S40" ca="1">OFFSET(S40,-6,0)*
OFFSET(MSP!$G$1,
MATCH(OFFSET($C32,((MATCH($C32,EL_List,0)-1)*-10)-1,0),MSP!$C:$C,0)+MATCH($C32,EL_List,0)-1,0)
*INDEX(Learning!$E$6:$S$41,(MATCH(S$21,Dates,0)),(MATCH($C$21,Learning!$E$4:$S$4,0)+MATCH($C$32,Learning!$E$5:$S$5,0)-1))</f>
        <v>1.6925168825089714</v>
      </c>
      <c r="T40" s="531" cm="1">
        <f t="array" aca="1" ref="T40" ca="1">OFFSET(T40,-6,0)*
OFFSET(MSP!$G$1,
MATCH(OFFSET($C32,((MATCH($C32,EL_List,0)-1)*-10)-1,0),MSP!$C:$C,0)+MATCH($C32,EL_List,0)-1,0)
*INDEX(Learning!$E$6:$S$41,(MATCH(T$21,Dates,0)),(MATCH($C$21,Learning!$E$4:$S$4,0)+MATCH($C$32,Learning!$E$5:$S$5,0)-1))</f>
        <v>1.7660914392317903</v>
      </c>
      <c r="U40" s="531" cm="1">
        <f t="array" aca="1" ref="U40" ca="1">OFFSET(U40,-6,0)*
OFFSET(MSP!$G$1,
MATCH(OFFSET($C32,((MATCH($C32,EL_List,0)-1)*-10)-1,0),MSP!$C:$C,0)+MATCH($C32,EL_List,0)-1,0)
*INDEX(Learning!$E$6:$S$41,(MATCH(U$21,Dates,0)),(MATCH($C$21,Learning!$E$4:$S$4,0)+MATCH($C$32,Learning!$E$5:$S$5,0)-1))</f>
        <v>1.8450294398270473</v>
      </c>
      <c r="V40" s="531" cm="1">
        <f t="array" aca="1" ref="V40" ca="1">OFFSET(V40,-6,0)*
OFFSET(MSP!$G$1,
MATCH(OFFSET($C32,((MATCH($C32,EL_List,0)-1)*-10)-1,0),MSP!$C:$C,0)+MATCH($C32,EL_List,0)-1,0)
*INDEX(Learning!$E$6:$S$41,(MATCH(V$21,Dates,0)),(MATCH($C$21,Learning!$E$4:$S$4,0)+MATCH($C$32,Learning!$E$5:$S$5,0)-1))</f>
        <v>1.9273096141314829</v>
      </c>
      <c r="W40" s="531" cm="1">
        <f t="array" aca="1" ref="W40" ca="1">OFFSET(W40,-6,0)*
OFFSET(MSP!$G$1,
MATCH(OFFSET($C32,((MATCH($C32,EL_List,0)-1)*-10)-1,0),MSP!$C:$C,0)+MATCH($C32,EL_List,0)-1,0)
*INDEX(Learning!$E$6:$S$41,(MATCH(W$21,Dates,0)),(MATCH($C$21,Learning!$E$4:$S$4,0)+MATCH($C$32,Learning!$E$5:$S$5,0)-1))</f>
        <v>2.0152995328815977</v>
      </c>
      <c r="X40" s="531" cm="1">
        <f t="array" aca="1" ref="X40" ca="1">OFFSET(X40,-6,0)*
OFFSET(MSP!$G$1,
MATCH(OFFSET($C32,((MATCH($C32,EL_List,0)-1)*-10)-1,0),MSP!$C:$C,0)+MATCH($C32,EL_List,0)-1,0)
*INDEX(Learning!$E$6:$S$41,(MATCH(X$21,Dates,0)),(MATCH($C$21,Learning!$E$4:$S$4,0)+MATCH($C$32,Learning!$E$5:$S$5,0)-1))</f>
        <v>2.1048342968540541</v>
      </c>
      <c r="Y40" s="531" cm="1">
        <f t="array" aca="1" ref="Y40" ca="1">OFFSET(Y40,-6,0)*
OFFSET(MSP!$G$1,
MATCH(OFFSET($C32,((MATCH($C32,EL_List,0)-1)*-10)-1,0),MSP!$C:$C,0)+MATCH($C32,EL_List,0)-1,0)
*INDEX(Learning!$E$6:$S$41,(MATCH(Y$21,Dates,0)),(MATCH($C$21,Learning!$E$4:$S$4,0)+MATCH($C$32,Learning!$E$5:$S$5,0)-1))</f>
        <v>2.1980638205592697</v>
      </c>
      <c r="Z40" s="531" cm="1">
        <f t="array" aca="1" ref="Z40" ca="1">OFFSET(Z40,-6,0)*
OFFSET(MSP!$G$1,
MATCH(OFFSET($C32,((MATCH($C32,EL_List,0)-1)*-10)-1,0),MSP!$C:$C,0)+MATCH($C32,EL_List,0)-1,0)
*INDEX(Learning!$E$6:$S$41,(MATCH(Z$21,Dates,0)),(MATCH($C$21,Learning!$E$4:$S$4,0)+MATCH($C$32,Learning!$E$5:$S$5,0)-1))</f>
        <v>2.2976346630635969</v>
      </c>
      <c r="AA40" s="531" cm="1">
        <f t="array" aca="1" ref="AA40" ca="1">OFFSET(AA40,-6,0)*
OFFSET(MSP!$G$1,
MATCH(OFFSET($C32,((MATCH($C32,EL_List,0)-1)*-10)-1,0),MSP!$C:$C,0)+MATCH($C32,EL_List,0)-1,0)
*INDEX(Learning!$E$6:$S$41,(MATCH(AA$21,Dates,0)),(MATCH($C$21,Learning!$E$4:$S$4,0)+MATCH($C$32,Learning!$E$5:$S$5,0)-1))</f>
        <v>2.3988550371483712</v>
      </c>
      <c r="AB40" s="531" cm="1">
        <f t="array" aca="1" ref="AB40" ca="1">OFFSET(AB40,-6,0)*
OFFSET(MSP!$G$1,
MATCH(OFFSET($C32,((MATCH($C32,EL_List,0)-1)*-10)-1,0),MSP!$C:$C,0)+MATCH($C32,EL_List,0)-1,0)
*INDEX(Learning!$E$6:$S$41,(MATCH(AB$21,Dates,0)),(MATCH($C$21,Learning!$E$4:$S$4,0)+MATCH($C$32,Learning!$E$5:$S$5,0)-1))</f>
        <v>2.5070670726767226</v>
      </c>
      <c r="AC40" s="531" cm="1">
        <f t="array" aca="1" ref="AC40" ca="1">OFFSET(AC40,-6,0)*
OFFSET(MSP!$G$1,
MATCH(OFFSET($C32,((MATCH($C32,EL_List,0)-1)*-10)-1,0),MSP!$C:$C,0)+MATCH($C32,EL_List,0)-1,0)
*INDEX(Learning!$E$6:$S$41,(MATCH(AC$21,Dates,0)),(MATCH($C$21,Learning!$E$4:$S$4,0)+MATCH($C$32,Learning!$E$5:$S$5,0)-1))</f>
        <v>2.6171111713596797</v>
      </c>
      <c r="AD40" s="531" cm="1">
        <f t="array" aca="1" ref="AD40" ca="1">OFFSET(AD40,-6,0)*
OFFSET(MSP!$G$1,
MATCH(OFFSET($C32,((MATCH($C32,EL_List,0)-1)*-10)-1,0),MSP!$C:$C,0)+MATCH($C32,EL_List,0)-1,0)
*INDEX(Learning!$E$6:$S$41,(MATCH(AD$21,Dates,0)),(MATCH($C$21,Learning!$E$4:$S$4,0)+MATCH($C$32,Learning!$E$5:$S$5,0)-1))</f>
        <v>2.7348441521977924</v>
      </c>
      <c r="AE40" s="531" cm="1">
        <f t="array" aca="1" ref="AE40" ca="1">OFFSET(AE40,-6,0)*
OFFSET(MSP!$G$1,
MATCH(OFFSET($C32,((MATCH($C32,EL_List,0)-1)*-10)-1,0),MSP!$C:$C,0)+MATCH($C32,EL_List,0)-1,0)
*INDEX(Learning!$E$6:$S$41,(MATCH(AE$21,Dates,0)),(MATCH($C$21,Learning!$E$4:$S$4,0)+MATCH($C$32,Learning!$E$5:$S$5,0)-1))</f>
        <v>2.8577313200462067</v>
      </c>
      <c r="AF40" s="531" cm="1">
        <f t="array" aca="1" ref="AF40" ca="1">OFFSET(AF40,-6,0)*
OFFSET(MSP!$G$1,
MATCH(OFFSET($C32,((MATCH($C32,EL_List,0)-1)*-10)-1,0),MSP!$C:$C,0)+MATCH($C32,EL_List,0)-1,0)
*INDEX(Learning!$E$6:$S$41,(MATCH(AF$21,Dates,0)),(MATCH($C$21,Learning!$E$4:$S$4,0)+MATCH($C$32,Learning!$E$5:$S$5,0)-1))</f>
        <v>2.9859876039646274</v>
      </c>
      <c r="AG40" s="531" cm="1">
        <f t="array" aca="1" ref="AG40" ca="1">OFFSET(AG40,-6,0)*
OFFSET(MSP!$G$1,
MATCH(OFFSET($C32,((MATCH($C32,EL_List,0)-1)*-10)-1,0),MSP!$C:$C,0)+MATCH($C32,EL_List,0)-1,0)
*INDEX(Learning!$E$6:$S$41,(MATCH(AG$21,Dates,0)),(MATCH($C$21,Learning!$E$4:$S$4,0)+MATCH($C$32,Learning!$E$5:$S$5,0)-1))</f>
        <v>3.1163263916861879</v>
      </c>
      <c r="AH40" s="531" cm="1">
        <f t="array" aca="1" ref="AH40" ca="1">OFFSET(AH40,-6,0)*
OFFSET(MSP!$G$1,
MATCH(OFFSET($C32,((MATCH($C32,EL_List,0)-1)*-10)-1,0),MSP!$C:$C,0)+MATCH($C32,EL_List,0)-1,0)
*INDEX(Learning!$E$6:$S$41,(MATCH(AH$21,Dates,0)),(MATCH($C$21,Learning!$E$4:$S$4,0)+MATCH($C$32,Learning!$E$5:$S$5,0)-1))</f>
        <v>3.2558132601944041</v>
      </c>
      <c r="AI40" s="531" cm="1">
        <f t="array" aca="1" ref="AI40" ca="1">OFFSET(AI40,-6,0)*
OFFSET(MSP!$G$1,
MATCH(OFFSET($C32,((MATCH($C32,EL_List,0)-1)*-10)-1,0),MSP!$C:$C,0)+MATCH($C32,EL_List,0)-1,0)
*INDEX(Learning!$E$6:$S$41,(MATCH(AI$21,Dates,0)),(MATCH($C$21,Learning!$E$4:$S$4,0)+MATCH($C$32,Learning!$E$5:$S$5,0)-1))</f>
        <v>3.4013492616392016</v>
      </c>
      <c r="AJ40" s="531" cm="1">
        <f t="array" aca="1" ref="AJ40" ca="1">OFFSET(AJ40,-6,0)*
OFFSET(MSP!$G$1,
MATCH(OFFSET($C32,((MATCH($C32,EL_List,0)-1)*-10)-1,0),MSP!$C:$C,0)+MATCH($C32,EL_List,0)-1,0)
*INDEX(Learning!$E$6:$S$41,(MATCH(AJ$21,Dates,0)),(MATCH($C$21,Learning!$E$4:$S$4,0)+MATCH($C$32,Learning!$E$5:$S$5,0)-1))</f>
        <v>3.5531906344645412</v>
      </c>
      <c r="AK40" s="531" cm="1">
        <f t="array" aca="1" ref="AK40" ca="1">OFFSET(AK40,-6,0)*
OFFSET(MSP!$G$1,
MATCH(OFFSET($C32,((MATCH($C32,EL_List,0)-1)*-10)-1,0),MSP!$C:$C,0)+MATCH($C32,EL_List,0)-1,0)
*INDEX(Learning!$E$6:$S$41,(MATCH(AK$21,Dates,0)),(MATCH($C$21,Learning!$E$4:$S$4,0)+MATCH($C$32,Learning!$E$5:$S$5,0)-1))</f>
        <v>3.7116084909756069</v>
      </c>
      <c r="AL40" s="531" cm="1">
        <f t="array" aca="1" ref="AL40" ca="1">OFFSET(AL40,-6,0)*
OFFSET(MSP!$G$1,
MATCH(OFFSET($C32,((MATCH($C32,EL_List,0)-1)*-10)-1,0),MSP!$C:$C,0)+MATCH($C32,EL_List,0)-1,0)
*INDEX(Learning!$E$6:$S$41,(MATCH(AL$21,Dates,0)),(MATCH($C$21,Learning!$E$4:$S$4,0)+MATCH($C$32,Learning!$E$5:$S$5,0)-1))</f>
        <v>3.8768876368257419</v>
      </c>
      <c r="AM40" s="531" cm="1">
        <f t="array" aca="1" ref="AM40" ca="1">OFFSET(AM40,-6,0)*
OFFSET(MSP!$G$1,
MATCH(OFFSET($C32,((MATCH($C32,EL_List,0)-1)*-10)-1,0),MSP!$C:$C,0)+MATCH($C32,EL_List,0)-1,0)
*INDEX(Learning!$E$6:$S$41,(MATCH(AM$21,Dates,0)),(MATCH($C$21,Learning!$E$4:$S$4,0)+MATCH($C$32,Learning!$E$5:$S$5,0)-1))</f>
        <v>4.0540069410938431</v>
      </c>
      <c r="AN40" s="531" cm="1">
        <f t="array" aca="1" ref="AN40" ca="1">OFFSET(AN40,-6,0)*
OFFSET(MSP!$G$1,
MATCH(OFFSET($C32,((MATCH($C32,EL_List,0)-1)*-10)-1,0),MSP!$C:$C,0)+MATCH($C32,EL_List,0)-1,0)
*INDEX(Learning!$E$6:$S$41,(MATCH(AN$21,Dates,0)),(MATCH($C$21,Learning!$E$4:$S$4,0)+MATCH($C$32,Learning!$E$5:$S$5,0)-1))</f>
        <v>4.2327335749202639</v>
      </c>
      <c r="AO40" s="436"/>
      <c r="AP40" s="21"/>
    </row>
    <row r="41" spans="2:42" ht="15" customHeight="1" x14ac:dyDescent="0.35">
      <c r="B41" s="429"/>
      <c r="C41" s="776"/>
      <c r="D41" s="776"/>
      <c r="E41" s="776"/>
      <c r="F41" s="776"/>
      <c r="G41" s="776"/>
      <c r="H41" s="776"/>
      <c r="I41" s="776"/>
      <c r="J41" s="776"/>
      <c r="K41" s="776"/>
      <c r="L41" s="776"/>
      <c r="M41" s="776"/>
      <c r="N41" s="776"/>
      <c r="O41" s="776"/>
      <c r="P41" s="776"/>
      <c r="Q41" s="776"/>
      <c r="R41" s="776"/>
      <c r="S41" s="776"/>
      <c r="T41" s="776"/>
      <c r="U41" s="776"/>
      <c r="V41" s="776"/>
      <c r="W41" s="776"/>
      <c r="X41" s="776"/>
      <c r="Y41" s="776"/>
      <c r="Z41" s="776"/>
      <c r="AA41" s="776"/>
      <c r="AB41" s="776"/>
      <c r="AC41" s="776"/>
      <c r="AD41" s="776"/>
      <c r="AE41" s="776"/>
      <c r="AF41" s="776"/>
      <c r="AG41" s="776"/>
      <c r="AH41" s="776"/>
      <c r="AI41" s="776"/>
      <c r="AJ41" s="776"/>
      <c r="AK41" s="776"/>
      <c r="AL41" s="776"/>
      <c r="AM41" s="776"/>
      <c r="AN41" s="776"/>
      <c r="AO41" s="436"/>
      <c r="AP41" s="21"/>
    </row>
    <row r="42" spans="2:42" ht="15" customHeight="1" x14ac:dyDescent="0.35">
      <c r="B42" s="429"/>
      <c r="C42" s="772" t="s">
        <v>344</v>
      </c>
      <c r="D42" s="776"/>
      <c r="E42" s="776"/>
      <c r="F42" s="776"/>
      <c r="G42" s="776"/>
      <c r="H42" s="776"/>
      <c r="I42" s="776"/>
      <c r="J42" s="776"/>
      <c r="K42" s="776"/>
      <c r="L42" s="776"/>
      <c r="M42" s="776"/>
      <c r="N42" s="776"/>
      <c r="O42" s="776"/>
      <c r="P42" s="776"/>
      <c r="Q42" s="776"/>
      <c r="R42" s="776"/>
      <c r="S42" s="776"/>
      <c r="T42" s="776"/>
      <c r="U42" s="776"/>
      <c r="V42" s="776"/>
      <c r="W42" s="776"/>
      <c r="X42" s="776"/>
      <c r="Y42" s="776"/>
      <c r="Z42" s="776"/>
      <c r="AA42" s="776"/>
      <c r="AB42" s="776"/>
      <c r="AC42" s="776"/>
      <c r="AD42" s="776"/>
      <c r="AE42" s="776"/>
      <c r="AF42" s="776"/>
      <c r="AG42" s="776"/>
      <c r="AH42" s="776"/>
      <c r="AI42" s="776"/>
      <c r="AJ42" s="776"/>
      <c r="AK42" s="776"/>
      <c r="AL42" s="776"/>
      <c r="AM42" s="776"/>
      <c r="AN42" s="776"/>
      <c r="AO42" s="436"/>
      <c r="AP42" s="21"/>
    </row>
    <row r="43" spans="2:42" ht="15" customHeight="1" x14ac:dyDescent="0.35">
      <c r="B43" s="429"/>
      <c r="C43" s="777" t="s">
        <v>10</v>
      </c>
      <c r="D43" s="776"/>
      <c r="E43" s="778" cm="1">
        <f t="array" aca="1" ref="E43" ca="1">OFFSET(MSP!$C$1,
MATCH(OFFSET($C42,((MATCH($C42,EL_List,0)-1)*-10)-1,0),MSP!$C:$C,0)+MATCH($C42,EL_List,0)-1,
MATCH(OFFSET($C42,((MATCH($C42,EL_List,0)-1)*-10)-3,0),MSP!$D$5:$N$5,0)+1)
*INDEX(Learning!$E$6:$S$41,(MATCH(E$21,Dates,0)),(MATCH($C$21,Learning!$E$4:$S$4,0)+MATCH($C$42,Learning!$E$5:$S$5,0)-1))</f>
        <v>50.5941975</v>
      </c>
      <c r="F43" s="778" cm="1">
        <f t="array" aca="1" ref="F43" ca="1">OFFSET(MSP!$C$1,
MATCH(OFFSET($C42,((MATCH($C42,EL_List,0)-1)*-10)-1,0),MSP!$C:$C,0)+MATCH($C42,EL_List,0)-1,
MATCH(OFFSET($C42,((MATCH($C42,EL_List,0)-1)*-10)-3,0),MSP!$D$5:$N$5,0)+1)
*INDEX(Learning!$E$6:$S$41,(MATCH(F$21,Dates,0)),(MATCH($C$21,Learning!$E$4:$S$4,0)+MATCH($C$42,Learning!$E$5:$S$5,0)-1))</f>
        <v>50.158458000000003</v>
      </c>
      <c r="G43" s="778" cm="1">
        <f t="array" aca="1" ref="G43" ca="1">OFFSET(MSP!$C$1,
MATCH(OFFSET($C42,((MATCH($C42,EL_List,0)-1)*-10)-1,0),MSP!$C:$C,0)+MATCH($C42,EL_List,0)-1,
MATCH(OFFSET($C42,((MATCH($C42,EL_List,0)-1)*-10)-3,0),MSP!$D$5:$N$5,0)+1)
*INDEX(Learning!$E$6:$S$41,(MATCH(G$21,Dates,0)),(MATCH($C$21,Learning!$E$4:$S$4,0)+MATCH($C$42,Learning!$E$5:$S$5,0)-1))</f>
        <v>49.771134000000004</v>
      </c>
      <c r="H43" s="778" cm="1">
        <f t="array" aca="1" ref="H43" ca="1">OFFSET(MSP!$C$1,
MATCH(OFFSET($C42,((MATCH($C42,EL_List,0)-1)*-10)-1,0),MSP!$C:$C,0)+MATCH($C42,EL_List,0)-1,
MATCH(OFFSET($C42,((MATCH($C42,EL_List,0)-1)*-10)-3,0),MSP!$D$5:$N$5,0)+1)
*INDEX(Learning!$E$6:$S$41,(MATCH(H$21,Dates,0)),(MATCH($C$21,Learning!$E$4:$S$4,0)+MATCH($C$42,Learning!$E$5:$S$5,0)-1))</f>
        <v>49.432225499999994</v>
      </c>
      <c r="I43" s="778" cm="1">
        <f t="array" aca="1" ref="I43" ca="1">OFFSET(MSP!$C$1,
MATCH(OFFSET($C42,((MATCH($C42,EL_List,0)-1)*-10)-1,0),MSP!$C:$C,0)+MATCH($C42,EL_List,0)-1,
MATCH(OFFSET($C42,((MATCH($C42,EL_List,0)-1)*-10)-3,0),MSP!$D$5:$N$5,0)+1)
*INDEX(Learning!$E$6:$S$41,(MATCH(I$21,Dates,0)),(MATCH($C$21,Learning!$E$4:$S$4,0)+MATCH($C$42,Learning!$E$5:$S$5,0)-1))</f>
        <v>49.093316999999999</v>
      </c>
      <c r="J43" s="778" cm="1">
        <f t="array" aca="1" ref="J43" ca="1">OFFSET(MSP!$C$1,
MATCH(OFFSET($C42,((MATCH($C42,EL_List,0)-1)*-10)-1,0),MSP!$C:$C,0)+MATCH($C42,EL_List,0)-1,
MATCH(OFFSET($C42,((MATCH($C42,EL_List,0)-1)*-10)-3,0),MSP!$D$5:$N$5,0)+1)
*INDEX(Learning!$E$6:$S$41,(MATCH(J$21,Dates,0)),(MATCH($C$21,Learning!$E$4:$S$4,0)+MATCH($C$42,Learning!$E$5:$S$5,0)-1))</f>
        <v>48.754408499999997</v>
      </c>
      <c r="K43" s="778" cm="1">
        <f t="array" aca="1" ref="K43" ca="1">OFFSET(MSP!$C$1,
MATCH(OFFSET($C42,((MATCH($C42,EL_List,0)-1)*-10)-1,0),MSP!$C:$C,0)+MATCH($C42,EL_List,0)-1,
MATCH(OFFSET($C42,((MATCH($C42,EL_List,0)-1)*-10)-3,0),MSP!$D$5:$N$5,0)+1)
*INDEX(Learning!$E$6:$S$41,(MATCH(K$21,Dates,0)),(MATCH($C$21,Learning!$E$4:$S$4,0)+MATCH($C$42,Learning!$E$5:$S$5,0)-1))</f>
        <v>48.415500000000002</v>
      </c>
      <c r="L43" s="778" cm="1">
        <f t="array" aca="1" ref="L43" ca="1">OFFSET(MSP!$C$1,
MATCH(OFFSET($C42,((MATCH($C42,EL_List,0)-1)*-10)-1,0),MSP!$C:$C,0)+MATCH($C42,EL_List,0)-1,
MATCH(OFFSET($C42,((MATCH($C42,EL_List,0)-1)*-10)-3,0),MSP!$D$5:$N$5,0)+1)
*INDEX(Learning!$E$6:$S$41,(MATCH(L$21,Dates,0)),(MATCH($C$21,Learning!$E$4:$S$4,0)+MATCH($C$42,Learning!$E$5:$S$5,0)-1))</f>
        <v>48.125007000000004</v>
      </c>
      <c r="M43" s="778" cm="1">
        <f t="array" aca="1" ref="M43" ca="1">OFFSET(MSP!$C$1,
MATCH(OFFSET($C42,((MATCH($C42,EL_List,0)-1)*-10)-1,0),MSP!$C:$C,0)+MATCH($C42,EL_List,0)-1,
MATCH(OFFSET($C42,((MATCH($C42,EL_List,0)-1)*-10)-3,0),MSP!$D$5:$N$5,0)+1)
*INDEX(Learning!$E$6:$S$41,(MATCH(M$21,Dates,0)),(MATCH($C$21,Learning!$E$4:$S$4,0)+MATCH($C$42,Learning!$E$5:$S$5,0)-1))</f>
        <v>47.786098500000001</v>
      </c>
      <c r="N43" s="778" cm="1">
        <f t="array" aca="1" ref="N43" ca="1">OFFSET(MSP!$C$1,
MATCH(OFFSET($C42,((MATCH($C42,EL_List,0)-1)*-10)-1,0),MSP!$C:$C,0)+MATCH($C42,EL_List,0)-1,
MATCH(OFFSET($C42,((MATCH($C42,EL_List,0)-1)*-10)-3,0),MSP!$D$5:$N$5,0)+1)
*INDEX(Learning!$E$6:$S$41,(MATCH(N$21,Dates,0)),(MATCH($C$21,Learning!$E$4:$S$4,0)+MATCH($C$42,Learning!$E$5:$S$5,0)-1))</f>
        <v>47.495605500000003</v>
      </c>
      <c r="O43" s="778" cm="1">
        <f t="array" aca="1" ref="O43" ca="1">OFFSET(MSP!$C$1,
MATCH(OFFSET($C42,((MATCH($C42,EL_List,0)-1)*-10)-1,0),MSP!$C:$C,0)+MATCH($C42,EL_List,0)-1,
MATCH(OFFSET($C42,((MATCH($C42,EL_List,0)-1)*-10)-3,0),MSP!$D$5:$N$5,0)+1)
*INDEX(Learning!$E$6:$S$41,(MATCH(O$21,Dates,0)),(MATCH($C$21,Learning!$E$4:$S$4,0)+MATCH($C$42,Learning!$E$5:$S$5,0)-1))</f>
        <v>47.205112499999998</v>
      </c>
      <c r="P43" s="778" cm="1">
        <f t="array" aca="1" ref="P43" ca="1">OFFSET(MSP!$C$1,
MATCH(OFFSET($C42,((MATCH($C42,EL_List,0)-1)*-10)-1,0),MSP!$C:$C,0)+MATCH($C42,EL_List,0)-1,
MATCH(OFFSET($C42,((MATCH($C42,EL_List,0)-1)*-10)-3,0),MSP!$D$5:$N$5,0)+1)
*INDEX(Learning!$E$6:$S$41,(MATCH(P$21,Dates,0)),(MATCH($C$21,Learning!$E$4:$S$4,0)+MATCH($C$42,Learning!$E$5:$S$5,0)-1))</f>
        <v>46.963034999999998</v>
      </c>
      <c r="Q43" s="778" cm="1">
        <f t="array" aca="1" ref="Q43" ca="1">OFFSET(MSP!$C$1,
MATCH(OFFSET($C42,((MATCH($C42,EL_List,0)-1)*-10)-1,0),MSP!$C:$C,0)+MATCH($C42,EL_List,0)-1,
MATCH(OFFSET($C42,((MATCH($C42,EL_List,0)-1)*-10)-3,0),MSP!$D$5:$N$5,0)+1)
*INDEX(Learning!$E$6:$S$41,(MATCH(Q$21,Dates,0)),(MATCH($C$21,Learning!$E$4:$S$4,0)+MATCH($C$42,Learning!$E$5:$S$5,0)-1))</f>
        <v>46.672542</v>
      </c>
      <c r="R43" s="778" cm="1">
        <f t="array" aca="1" ref="R43" ca="1">OFFSET(MSP!$C$1,
MATCH(OFFSET($C42,((MATCH($C42,EL_List,0)-1)*-10)-1,0),MSP!$C:$C,0)+MATCH($C42,EL_List,0)-1,
MATCH(OFFSET($C42,((MATCH($C42,EL_List,0)-1)*-10)-3,0),MSP!$D$5:$N$5,0)+1)
*INDEX(Learning!$E$6:$S$41,(MATCH(R$21,Dates,0)),(MATCH($C$21,Learning!$E$4:$S$4,0)+MATCH($C$42,Learning!$E$5:$S$5,0)-1))</f>
        <v>46.430464499999999</v>
      </c>
      <c r="S43" s="778" cm="1">
        <f t="array" aca="1" ref="S43" ca="1">OFFSET(MSP!$C$1,
MATCH(OFFSET($C42,((MATCH($C42,EL_List,0)-1)*-10)-1,0),MSP!$C:$C,0)+MATCH($C42,EL_List,0)-1,
MATCH(OFFSET($C42,((MATCH($C42,EL_List,0)-1)*-10)-3,0),MSP!$D$5:$N$5,0)+1)
*INDEX(Learning!$E$6:$S$41,(MATCH(S$21,Dates,0)),(MATCH($C$21,Learning!$E$4:$S$4,0)+MATCH($C$42,Learning!$E$5:$S$5,0)-1))</f>
        <v>46.139971500000001</v>
      </c>
      <c r="T43" s="778" cm="1">
        <f t="array" aca="1" ref="T43" ca="1">OFFSET(MSP!$C$1,
MATCH(OFFSET($C42,((MATCH($C42,EL_List,0)-1)*-10)-1,0),MSP!$C:$C,0)+MATCH($C42,EL_List,0)-1,
MATCH(OFFSET($C42,((MATCH($C42,EL_List,0)-1)*-10)-3,0),MSP!$D$5:$N$5,0)+1)
*INDEX(Learning!$E$6:$S$41,(MATCH(T$21,Dates,0)),(MATCH($C$21,Learning!$E$4:$S$4,0)+MATCH($C$42,Learning!$E$5:$S$5,0)-1))</f>
        <v>45.897894000000001</v>
      </c>
      <c r="U43" s="778" cm="1">
        <f t="array" aca="1" ref="U43" ca="1">OFFSET(MSP!$C$1,
MATCH(OFFSET($C42,((MATCH($C42,EL_List,0)-1)*-10)-1,0),MSP!$C:$C,0)+MATCH($C42,EL_List,0)-1,
MATCH(OFFSET($C42,((MATCH($C42,EL_List,0)-1)*-10)-3,0),MSP!$D$5:$N$5,0)+1)
*INDEX(Learning!$E$6:$S$41,(MATCH(U$21,Dates,0)),(MATCH($C$21,Learning!$E$4:$S$4,0)+MATCH($C$42,Learning!$E$5:$S$5,0)-1))</f>
        <v>45.6558165</v>
      </c>
      <c r="V43" s="778" cm="1">
        <f t="array" aca="1" ref="V43" ca="1">OFFSET(MSP!$C$1,
MATCH(OFFSET($C42,((MATCH($C42,EL_List,0)-1)*-10)-1,0),MSP!$C:$C,0)+MATCH($C42,EL_List,0)-1,
MATCH(OFFSET($C42,((MATCH($C42,EL_List,0)-1)*-10)-3,0),MSP!$D$5:$N$5,0)+1)
*INDEX(Learning!$E$6:$S$41,(MATCH(V$21,Dates,0)),(MATCH($C$21,Learning!$E$4:$S$4,0)+MATCH($C$42,Learning!$E$5:$S$5,0)-1))</f>
        <v>45.413739</v>
      </c>
      <c r="W43" s="778" cm="1">
        <f t="array" aca="1" ref="W43" ca="1">OFFSET(MSP!$C$1,
MATCH(OFFSET($C42,((MATCH($C42,EL_List,0)-1)*-10)-1,0),MSP!$C:$C,0)+MATCH($C42,EL_List,0)-1,
MATCH(OFFSET($C42,((MATCH($C42,EL_List,0)-1)*-10)-3,0),MSP!$D$5:$N$5,0)+1)
*INDEX(Learning!$E$6:$S$41,(MATCH(W$21,Dates,0)),(MATCH($C$21,Learning!$E$4:$S$4,0)+MATCH($C$42,Learning!$E$5:$S$5,0)-1))</f>
        <v>45.171661500000006</v>
      </c>
      <c r="X43" s="778" cm="1">
        <f t="array" aca="1" ref="X43" ca="1">OFFSET(MSP!$C$1,
MATCH(OFFSET($C42,((MATCH($C42,EL_List,0)-1)*-10)-1,0),MSP!$C:$C,0)+MATCH($C42,EL_List,0)-1,
MATCH(OFFSET($C42,((MATCH($C42,EL_List,0)-1)*-10)-3,0),MSP!$D$5:$N$5,0)+1)
*INDEX(Learning!$E$6:$S$41,(MATCH(X$21,Dates,0)),(MATCH($C$21,Learning!$E$4:$S$4,0)+MATCH($C$42,Learning!$E$5:$S$5,0)-1))</f>
        <v>44.977999500000003</v>
      </c>
      <c r="Y43" s="778" cm="1">
        <f t="array" aca="1" ref="Y43" ca="1">OFFSET(MSP!$C$1,
MATCH(OFFSET($C42,((MATCH($C42,EL_List,0)-1)*-10)-1,0),MSP!$C:$C,0)+MATCH($C42,EL_List,0)-1,
MATCH(OFFSET($C42,((MATCH($C42,EL_List,0)-1)*-10)-3,0),MSP!$D$5:$N$5,0)+1)
*INDEX(Learning!$E$6:$S$41,(MATCH(Y$21,Dates,0)),(MATCH($C$21,Learning!$E$4:$S$4,0)+MATCH($C$42,Learning!$E$5:$S$5,0)-1))</f>
        <v>44.735922000000002</v>
      </c>
      <c r="Z43" s="778" cm="1">
        <f t="array" aca="1" ref="Z43" ca="1">OFFSET(MSP!$C$1,
MATCH(OFFSET($C42,((MATCH($C42,EL_List,0)-1)*-10)-1,0),MSP!$C:$C,0)+MATCH($C42,EL_List,0)-1,
MATCH(OFFSET($C42,((MATCH($C42,EL_List,0)-1)*-10)-3,0),MSP!$D$5:$N$5,0)+1)
*INDEX(Learning!$E$6:$S$41,(MATCH(Z$21,Dates,0)),(MATCH($C$21,Learning!$E$4:$S$4,0)+MATCH($C$42,Learning!$E$5:$S$5,0)-1))</f>
        <v>44.493844500000002</v>
      </c>
      <c r="AA43" s="778" cm="1">
        <f t="array" aca="1" ref="AA43" ca="1">OFFSET(MSP!$C$1,
MATCH(OFFSET($C42,((MATCH($C42,EL_List,0)-1)*-10)-1,0),MSP!$C:$C,0)+MATCH($C42,EL_List,0)-1,
MATCH(OFFSET($C42,((MATCH($C42,EL_List,0)-1)*-10)-3,0),MSP!$D$5:$N$5,0)+1)
*INDEX(Learning!$E$6:$S$41,(MATCH(AA$21,Dates,0)),(MATCH($C$21,Learning!$E$4:$S$4,0)+MATCH($C$42,Learning!$E$5:$S$5,0)-1))</f>
        <v>44.300182500000005</v>
      </c>
      <c r="AB43" s="778" cm="1">
        <f t="array" aca="1" ref="AB43" ca="1">OFFSET(MSP!$C$1,
MATCH(OFFSET($C42,((MATCH($C42,EL_List,0)-1)*-10)-1,0),MSP!$C:$C,0)+MATCH($C42,EL_List,0)-1,
MATCH(OFFSET($C42,((MATCH($C42,EL_List,0)-1)*-10)-3,0),MSP!$D$5:$N$5,0)+1)
*INDEX(Learning!$E$6:$S$41,(MATCH(AB$21,Dates,0)),(MATCH($C$21,Learning!$E$4:$S$4,0)+MATCH($C$42,Learning!$E$5:$S$5,0)-1))</f>
        <v>44.058105000000005</v>
      </c>
      <c r="AC43" s="778" cm="1">
        <f t="array" aca="1" ref="AC43" ca="1">OFFSET(MSP!$C$1,
MATCH(OFFSET($C42,((MATCH($C42,EL_List,0)-1)*-10)-1,0),MSP!$C:$C,0)+MATCH($C42,EL_List,0)-1,
MATCH(OFFSET($C42,((MATCH($C42,EL_List,0)-1)*-10)-3,0),MSP!$D$5:$N$5,0)+1)
*INDEX(Learning!$E$6:$S$41,(MATCH(AC$21,Dates,0)),(MATCH($C$21,Learning!$E$4:$S$4,0)+MATCH($C$42,Learning!$E$5:$S$5,0)-1))</f>
        <v>43.864443000000001</v>
      </c>
      <c r="AD43" s="778" cm="1">
        <f t="array" aca="1" ref="AD43" ca="1">OFFSET(MSP!$C$1,
MATCH(OFFSET($C42,((MATCH($C42,EL_List,0)-1)*-10)-1,0),MSP!$C:$C,0)+MATCH($C42,EL_List,0)-1,
MATCH(OFFSET($C42,((MATCH($C42,EL_List,0)-1)*-10)-3,0),MSP!$D$5:$N$5,0)+1)
*INDEX(Learning!$E$6:$S$41,(MATCH(AD$21,Dates,0)),(MATCH($C$21,Learning!$E$4:$S$4,0)+MATCH($C$42,Learning!$E$5:$S$5,0)-1))</f>
        <v>43.622365500000001</v>
      </c>
      <c r="AE43" s="778" cm="1">
        <f t="array" aca="1" ref="AE43" ca="1">OFFSET(MSP!$C$1,
MATCH(OFFSET($C42,((MATCH($C42,EL_List,0)-1)*-10)-1,0),MSP!$C:$C,0)+MATCH($C42,EL_List,0)-1,
MATCH(OFFSET($C42,((MATCH($C42,EL_List,0)-1)*-10)-3,0),MSP!$D$5:$N$5,0)+1)
*INDEX(Learning!$E$6:$S$41,(MATCH(AE$21,Dates,0)),(MATCH($C$21,Learning!$E$4:$S$4,0)+MATCH($C$42,Learning!$E$5:$S$5,0)-1))</f>
        <v>43.428703500000005</v>
      </c>
      <c r="AF43" s="778" cm="1">
        <f t="array" aca="1" ref="AF43" ca="1">OFFSET(MSP!$C$1,
MATCH(OFFSET($C42,((MATCH($C42,EL_List,0)-1)*-10)-1,0),MSP!$C:$C,0)+MATCH($C42,EL_List,0)-1,
MATCH(OFFSET($C42,((MATCH($C42,EL_List,0)-1)*-10)-3,0),MSP!$D$5:$N$5,0)+1)
*INDEX(Learning!$E$6:$S$41,(MATCH(AF$21,Dates,0)),(MATCH($C$21,Learning!$E$4:$S$4,0)+MATCH($C$42,Learning!$E$5:$S$5,0)-1))</f>
        <v>43.235041500000001</v>
      </c>
      <c r="AG43" s="778" cm="1">
        <f t="array" aca="1" ref="AG43" ca="1">OFFSET(MSP!$C$1,
MATCH(OFFSET($C42,((MATCH($C42,EL_List,0)-1)*-10)-1,0),MSP!$C:$C,0)+MATCH($C42,EL_List,0)-1,
MATCH(OFFSET($C42,((MATCH($C42,EL_List,0)-1)*-10)-3,0),MSP!$D$5:$N$5,0)+1)
*INDEX(Learning!$E$6:$S$41,(MATCH(AG$21,Dates,0)),(MATCH($C$21,Learning!$E$4:$S$4,0)+MATCH($C$42,Learning!$E$5:$S$5,0)-1))</f>
        <v>43.041379500000005</v>
      </c>
      <c r="AH43" s="778" cm="1">
        <f t="array" aca="1" ref="AH43" ca="1">OFFSET(MSP!$C$1,
MATCH(OFFSET($C42,((MATCH($C42,EL_List,0)-1)*-10)-1,0),MSP!$C:$C,0)+MATCH($C42,EL_List,0)-1,
MATCH(OFFSET($C42,((MATCH($C42,EL_List,0)-1)*-10)-3,0),MSP!$D$5:$N$5,0)+1)
*INDEX(Learning!$E$6:$S$41,(MATCH(AH$21,Dates,0)),(MATCH($C$21,Learning!$E$4:$S$4,0)+MATCH($C$42,Learning!$E$5:$S$5,0)-1))</f>
        <v>42.847717500000002</v>
      </c>
      <c r="AI43" s="778" cm="1">
        <f t="array" aca="1" ref="AI43" ca="1">OFFSET(MSP!$C$1,
MATCH(OFFSET($C42,((MATCH($C42,EL_List,0)-1)*-10)-1,0),MSP!$C:$C,0)+MATCH($C42,EL_List,0)-1,
MATCH(OFFSET($C42,((MATCH($C42,EL_List,0)-1)*-10)-3,0),MSP!$D$5:$N$5,0)+1)
*INDEX(Learning!$E$6:$S$41,(MATCH(AI$21,Dates,0)),(MATCH($C$21,Learning!$E$4:$S$4,0)+MATCH($C$42,Learning!$E$5:$S$5,0)-1))</f>
        <v>42.654055499999998</v>
      </c>
      <c r="AJ43" s="778" cm="1">
        <f t="array" aca="1" ref="AJ43" ca="1">OFFSET(MSP!$C$1,
MATCH(OFFSET($C42,((MATCH($C42,EL_List,0)-1)*-10)-1,0),MSP!$C:$C,0)+MATCH($C42,EL_List,0)-1,
MATCH(OFFSET($C42,((MATCH($C42,EL_List,0)-1)*-10)-3,0),MSP!$D$5:$N$5,0)+1)
*INDEX(Learning!$E$6:$S$41,(MATCH(AJ$21,Dates,0)),(MATCH($C$21,Learning!$E$4:$S$4,0)+MATCH($C$42,Learning!$E$5:$S$5,0)-1))</f>
        <v>42.460393500000002</v>
      </c>
      <c r="AK43" s="778" cm="1">
        <f t="array" aca="1" ref="AK43" ca="1">OFFSET(MSP!$C$1,
MATCH(OFFSET($C42,((MATCH($C42,EL_List,0)-1)*-10)-1,0),MSP!$C:$C,0)+MATCH($C42,EL_List,0)-1,
MATCH(OFFSET($C42,((MATCH($C42,EL_List,0)-1)*-10)-3,0),MSP!$D$5:$N$5,0)+1)
*INDEX(Learning!$E$6:$S$41,(MATCH(AK$21,Dates,0)),(MATCH($C$21,Learning!$E$4:$S$4,0)+MATCH($C$42,Learning!$E$5:$S$5,0)-1))</f>
        <v>42.266731499999999</v>
      </c>
      <c r="AL43" s="778" cm="1">
        <f t="array" aca="1" ref="AL43" ca="1">OFFSET(MSP!$C$1,
MATCH(OFFSET($C42,((MATCH($C42,EL_List,0)-1)*-10)-1,0),MSP!$C:$C,0)+MATCH($C42,EL_List,0)-1,
MATCH(OFFSET($C42,((MATCH($C42,EL_List,0)-1)*-10)-3,0),MSP!$D$5:$N$5,0)+1)
*INDEX(Learning!$E$6:$S$41,(MATCH(AL$21,Dates,0)),(MATCH($C$21,Learning!$E$4:$S$4,0)+MATCH($C$42,Learning!$E$5:$S$5,0)-1))</f>
        <v>42.073069500000003</v>
      </c>
      <c r="AM43" s="778" cm="1">
        <f t="array" aca="1" ref="AM43" ca="1">OFFSET(MSP!$C$1,
MATCH(OFFSET($C42,((MATCH($C42,EL_List,0)-1)*-10)-1,0),MSP!$C:$C,0)+MATCH($C42,EL_List,0)-1,
MATCH(OFFSET($C42,((MATCH($C42,EL_List,0)-1)*-10)-3,0),MSP!$D$5:$N$5,0)+1)
*INDEX(Learning!$E$6:$S$41,(MATCH(AM$21,Dates,0)),(MATCH($C$21,Learning!$E$4:$S$4,0)+MATCH($C$42,Learning!$E$5:$S$5,0)-1))</f>
        <v>41.879407499999999</v>
      </c>
      <c r="AN43" s="778" cm="1">
        <f t="array" aca="1" ref="AN43" ca="1">OFFSET(MSP!$C$1,
MATCH(OFFSET($C42,((MATCH($C42,EL_List,0)-1)*-10)-1,0),MSP!$C:$C,0)+MATCH($C42,EL_List,0)-1,
MATCH(OFFSET($C42,((MATCH($C42,EL_List,0)-1)*-10)-3,0),MSP!$D$5:$N$5,0)+1)
*INDEX(Learning!$E$6:$S$41,(MATCH(AN$21,Dates,0)),(MATCH($C$21,Learning!$E$4:$S$4,0)+MATCH($C$42,Learning!$E$5:$S$5,0)-1))</f>
        <v>41.684896945739133</v>
      </c>
      <c r="AO43" s="436"/>
      <c r="AP43" s="21"/>
    </row>
    <row r="44" spans="2:42" ht="15" customHeight="1" x14ac:dyDescent="0.35">
      <c r="B44" s="429"/>
      <c r="C44" s="777" t="s">
        <v>78</v>
      </c>
      <c r="D44" s="776"/>
      <c r="E44" s="530">
        <f ca="1">OFFSET(OFFSET(Shipments!$D$1,0,MATCH(E$7,Dates)),
MATCH(OFFSET($C42,((MATCH($C42,EL_List,0)-1)*-10)-3,0),Shipments!$C:$C,0)+
MATCH(OFFSET($C42,((MATCH($C42,EL_List,0)-1)*-10)-1,0),Shipments!$D:$D,0)+
MATCH($C42,EL_List,0)-10,
MATCH(Shipments_Scenario_X,Shipments!$F$5:$AQ$5,0))</f>
        <v>0.37571259739793256</v>
      </c>
      <c r="F44" s="530">
        <f ca="1">OFFSET(OFFSET(Shipments!$D$1,0,MATCH(F$7,Dates)),
MATCH(OFFSET($C42,((MATCH($C42,EL_List,0)-1)*-10)-3,0),Shipments!$C:$C,0)+
MATCH(OFFSET($C42,((MATCH($C42,EL_List,0)-1)*-10)-1,0),Shipments!$D:$D,0)+
MATCH($C42,EL_List,0)-10,
MATCH(Shipments_Scenario_X,Shipments!$F$5:$AQ$5,0))</f>
        <v>0.39251392184055678</v>
      </c>
      <c r="G44" s="530">
        <f ca="1">OFFSET(OFFSET(Shipments!$D$1,0,MATCH(G$7,Dates)),
MATCH(OFFSET($C42,((MATCH($C42,EL_List,0)-1)*-10)-3,0),Shipments!$C:$C,0)+
MATCH(OFFSET($C42,((MATCH($C42,EL_List,0)-1)*-10)-1,0),Shipments!$D:$D,0)+
MATCH($C42,EL_List,0)-10,
MATCH(Shipments_Scenario_X,Shipments!$F$5:$AQ$5,0))</f>
        <v>0.40756974281296954</v>
      </c>
      <c r="H44" s="530">
        <f ca="1">OFFSET(OFFSET(Shipments!$D$1,0,MATCH(H$7,Dates)),
MATCH(OFFSET($C42,((MATCH($C42,EL_List,0)-1)*-10)-3,0),Shipments!$C:$C,0)+
MATCH(OFFSET($C42,((MATCH($C42,EL_List,0)-1)*-10)-1,0),Shipments!$D:$D,0)+
MATCH($C42,EL_List,0)-10,
MATCH(Shipments_Scenario_X,Shipments!$F$5:$AQ$5,0))</f>
        <v>0.42671043996157326</v>
      </c>
      <c r="I44" s="530">
        <f ca="1">OFFSET(OFFSET(Shipments!$D$1,0,MATCH(I$7,Dates)),
MATCH(OFFSET($C42,((MATCH($C42,EL_List,0)-1)*-10)-3,0),Shipments!$C:$C,0)+
MATCH(OFFSET($C42,((MATCH($C42,EL_List,0)-1)*-10)-1,0),Shipments!$D:$D,0)+
MATCH($C42,EL_List,0)-10,
MATCH(Shipments_Scenario_X,Shipments!$F$5:$AQ$5,0))</f>
        <v>0.44724897587464868</v>
      </c>
      <c r="J44" s="530">
        <f ca="1">OFFSET(OFFSET(Shipments!$D$1,0,MATCH(J$7,Dates)),
MATCH(OFFSET($C42,((MATCH($C42,EL_List,0)-1)*-10)-3,0),Shipments!$C:$C,0)+
MATCH(OFFSET($C42,((MATCH($C42,EL_List,0)-1)*-10)-1,0),Shipments!$D:$D,0)+
MATCH($C42,EL_List,0)-10,
MATCH(Shipments_Scenario_X,Shipments!$F$5:$AQ$5,0))</f>
        <v>0.46997877633280433</v>
      </c>
      <c r="K44" s="530">
        <f ca="1">OFFSET(OFFSET(Shipments!$D$1,0,MATCH(K$7,Dates)),
MATCH(OFFSET($C42,((MATCH($C42,EL_List,0)-1)*-10)-3,0),Shipments!$C:$C,0)+
MATCH(OFFSET($C42,((MATCH($C42,EL_List,0)-1)*-10)-1,0),Shipments!$D:$D,0)+
MATCH($C42,EL_List,0)-10,
MATCH(Shipments_Scenario_X,Shipments!$F$5:$AQ$5,0))</f>
        <v>0.49463248353594003</v>
      </c>
      <c r="L44" s="530">
        <f ca="1">OFFSET(OFFSET(Shipments!$D$1,0,MATCH(L$7,Dates)),
MATCH(OFFSET($C42,((MATCH($C42,EL_List,0)-1)*-10)-3,0),Shipments!$C:$C,0)+
MATCH(OFFSET($C42,((MATCH($C42,EL_List,0)-1)*-10)-1,0),Shipments!$D:$D,0)+
MATCH($C42,EL_List,0)-10,
MATCH(Shipments_Scenario_X,Shipments!$F$5:$AQ$5,0))</f>
        <v>0.52080882868965972</v>
      </c>
      <c r="M44" s="530">
        <f ca="1">OFFSET(OFFSET(Shipments!$D$1,0,MATCH(M$7,Dates)),
MATCH(OFFSET($C42,((MATCH($C42,EL_List,0)-1)*-10)-3,0),Shipments!$C:$C,0)+
MATCH(OFFSET($C42,((MATCH($C42,EL_List,0)-1)*-10)-1,0),Shipments!$D:$D,0)+
MATCH($C42,EL_List,0)-10,
MATCH(Shipments_Scenario_X,Shipments!$F$5:$AQ$5,0))</f>
        <v>0.54819467186947024</v>
      </c>
      <c r="N44" s="530">
        <f ca="1">OFFSET(OFFSET(Shipments!$D$1,0,MATCH(N$7,Dates)),
MATCH(OFFSET($C42,((MATCH($C42,EL_List,0)-1)*-10)-3,0),Shipments!$C:$C,0)+
MATCH(OFFSET($C42,((MATCH($C42,EL_List,0)-1)*-10)-1,0),Shipments!$D:$D,0)+
MATCH($C42,EL_List,0)-10,
MATCH(Shipments_Scenario_X,Shipments!$F$5:$AQ$5,0))</f>
        <v>0.5765813811859779</v>
      </c>
      <c r="O44" s="530">
        <f ca="1">OFFSET(OFFSET(Shipments!$D$1,0,MATCH(O$7,Dates)),
MATCH(OFFSET($C42,((MATCH($C42,EL_List,0)-1)*-10)-3,0),Shipments!$C:$C,0)+
MATCH(OFFSET($C42,((MATCH($C42,EL_List,0)-1)*-10)-1,0),Shipments!$D:$D,0)+
MATCH($C42,EL_List,0)-10,
MATCH(Shipments_Scenario_X,Shipments!$F$5:$AQ$5,0))</f>
        <v>0.60595669789545625</v>
      </c>
      <c r="P44" s="530">
        <f ca="1">OFFSET(OFFSET(Shipments!$D$1,0,MATCH(P$7,Dates)),
MATCH(OFFSET($C42,((MATCH($C42,EL_List,0)-1)*-10)-3,0),Shipments!$C:$C,0)+
MATCH(OFFSET($C42,((MATCH($C42,EL_List,0)-1)*-10)-1,0),Shipments!$D:$D,0)+
MATCH($C42,EL_List,0)-10,
MATCH(Shipments_Scenario_X,Shipments!$F$5:$AQ$5,0))</f>
        <v>0.6364464327473881</v>
      </c>
      <c r="Q44" s="530">
        <f ca="1">OFFSET(OFFSET(Shipments!$D$1,0,MATCH(Q$7,Dates)),
MATCH(OFFSET($C42,((MATCH($C42,EL_List,0)-1)*-10)-3,0),Shipments!$C:$C,0)+
MATCH(OFFSET($C42,((MATCH($C42,EL_List,0)-1)*-10)-1,0),Shipments!$D:$D,0)+
MATCH($C42,EL_List,0)-10,
MATCH(Shipments_Scenario_X,Shipments!$F$5:$AQ$5,0))</f>
        <v>0.66824280995979757</v>
      </c>
      <c r="R44" s="530">
        <f ca="1">OFFSET(OFFSET(Shipments!$D$1,0,MATCH(R$7,Dates)),
MATCH(OFFSET($C42,((MATCH($C42,EL_List,0)-1)*-10)-3,0),Shipments!$C:$C,0)+
MATCH(OFFSET($C42,((MATCH($C42,EL_List,0)-1)*-10)-1,0),Shipments!$D:$D,0)+
MATCH($C42,EL_List,0)-10,
MATCH(Shipments_Scenario_X,Shipments!$F$5:$AQ$5,0))</f>
        <v>0.70157021277355314</v>
      </c>
      <c r="S44" s="530">
        <f ca="1">OFFSET(OFFSET(Shipments!$D$1,0,MATCH(S$7,Dates)),
MATCH(OFFSET($C42,((MATCH($C42,EL_List,0)-1)*-10)-3,0),Shipments!$C:$C,0)+
MATCH(OFFSET($C42,((MATCH($C42,EL_List,0)-1)*-10)-1,0),Shipments!$D:$D,0)+
MATCH($C42,EL_List,0)-10,
MATCH(Shipments_Scenario_X,Shipments!$F$5:$AQ$5,0))</f>
        <v>0.73661721721883122</v>
      </c>
      <c r="T44" s="530">
        <f ca="1">OFFSET(OFFSET(Shipments!$D$1,0,MATCH(T$7,Dates)),
MATCH(OFFSET($C42,((MATCH($C42,EL_List,0)-1)*-10)-3,0),Shipments!$C:$C,0)+
MATCH(OFFSET($C42,((MATCH($C42,EL_List,0)-1)*-10)-1,0),Shipments!$D:$D,0)+
MATCH($C42,EL_List,0)-10,
MATCH(Shipments_Scenario_X,Shipments!$F$5:$AQ$5,0))</f>
        <v>0.77350313624737554</v>
      </c>
      <c r="U44" s="530">
        <f ca="1">OFFSET(OFFSET(Shipments!$D$1,0,MATCH(U$7,Dates)),
MATCH(OFFSET($C42,((MATCH($C42,EL_List,0)-1)*-10)-3,0),Shipments!$C:$C,0)+
MATCH(OFFSET($C42,((MATCH($C42,EL_List,0)-1)*-10)-1,0),Shipments!$D:$D,0)+
MATCH($C42,EL_List,0)-10,
MATCH(Shipments_Scenario_X,Shipments!$F$5:$AQ$5,0))</f>
        <v>0.81236057519594473</v>
      </c>
      <c r="V44" s="530">
        <f ca="1">OFFSET(OFFSET(Shipments!$D$1,0,MATCH(V$7,Dates)),
MATCH(OFFSET($C42,((MATCH($C42,EL_List,0)-1)*-10)-3,0),Shipments!$C:$C,0)+
MATCH(OFFSET($C42,((MATCH($C42,EL_List,0)-1)*-10)-1,0),Shipments!$D:$D,0)+
MATCH($C42,EL_List,0)-10,
MATCH(Shipments_Scenario_X,Shipments!$F$5:$AQ$5,0))</f>
        <v>0.85311166505008318</v>
      </c>
      <c r="W44" s="530">
        <f ca="1">OFFSET(OFFSET(Shipments!$D$1,0,MATCH(W$7,Dates)),
MATCH(OFFSET($C42,((MATCH($C42,EL_List,0)-1)*-10)-3,0),Shipments!$C:$C,0)+
MATCH(OFFSET($C42,((MATCH($C42,EL_List,0)-1)*-10)-1,0),Shipments!$D:$D,0)+
MATCH($C42,EL_List,0)-10,
MATCH(Shipments_Scenario_X,Shipments!$F$5:$AQ$5,0))</f>
        <v>0.89588024250104814</v>
      </c>
      <c r="X44" s="530">
        <f ca="1">OFFSET(OFFSET(Shipments!$D$1,0,MATCH(X$7,Dates)),
MATCH(OFFSET($C42,((MATCH($C42,EL_List,0)-1)*-10)-3,0),Shipments!$C:$C,0)+
MATCH(OFFSET($C42,((MATCH($C42,EL_List,0)-1)*-10)-1,0),Shipments!$D:$D,0)+
MATCH($C42,EL_List,0)-10,
MATCH(Shipments_Scenario_X,Shipments!$F$5:$AQ$5,0))</f>
        <v>0.940717944825612</v>
      </c>
      <c r="Y44" s="530">
        <f ca="1">OFFSET(OFFSET(Shipments!$D$1,0,MATCH(Y$7,Dates)),
MATCH(OFFSET($C42,((MATCH($C42,EL_List,0)-1)*-10)-3,0),Shipments!$C:$C,0)+
MATCH(OFFSET($C42,((MATCH($C42,EL_List,0)-1)*-10)-1,0),Shipments!$D:$D,0)+
MATCH($C42,EL_List,0)-10,
MATCH(Shipments_Scenario_X,Shipments!$F$5:$AQ$5,0))</f>
        <v>0.9877011459183167</v>
      </c>
      <c r="Z44" s="530">
        <f ca="1">OFFSET(OFFSET(Shipments!$D$1,0,MATCH(Z$7,Dates)),
MATCH(OFFSET($C42,((MATCH($C42,EL_List,0)-1)*-10)-3,0),Shipments!$C:$C,0)+
MATCH(OFFSET($C42,((MATCH($C42,EL_List,0)-1)*-10)-1,0),Shipments!$D:$D,0)+
MATCH($C42,EL_List,0)-10,
MATCH(Shipments_Scenario_X,Shipments!$F$5:$AQ$5,0))</f>
        <v>1.0369322410745576</v>
      </c>
      <c r="AA44" s="530">
        <f ca="1">OFFSET(OFFSET(Shipments!$D$1,0,MATCH(AA$7,Dates)),
MATCH(OFFSET($C42,((MATCH($C42,EL_List,0)-1)*-10)-3,0),Shipments!$C:$C,0)+
MATCH(OFFSET($C42,((MATCH($C42,EL_List,0)-1)*-10)-1,0),Shipments!$D:$D,0)+
MATCH($C42,EL_List,0)-10,
MATCH(Shipments_Scenario_X,Shipments!$F$5:$AQ$5,0))</f>
        <v>1.0885293443509894</v>
      </c>
      <c r="AB44" s="530">
        <f ca="1">OFFSET(OFFSET(Shipments!$D$1,0,MATCH(AB$7,Dates)),
MATCH(OFFSET($C42,((MATCH($C42,EL_List,0)-1)*-10)-3,0),Shipments!$C:$C,0)+
MATCH(OFFSET($C42,((MATCH($C42,EL_List,0)-1)*-10)-1,0),Shipments!$D:$D,0)+
MATCH($C42,EL_List,0)-10,
MATCH(Shipments_Scenario_X,Shipments!$F$5:$AQ$5,0))</f>
        <v>1.1426278544932875</v>
      </c>
      <c r="AC44" s="530">
        <f ca="1">OFFSET(OFFSET(Shipments!$D$1,0,MATCH(AC$7,Dates)),
MATCH(OFFSET($C42,((MATCH($C42,EL_List,0)-1)*-10)-3,0),Shipments!$C:$C,0)+
MATCH(OFFSET($C42,((MATCH($C42,EL_List,0)-1)*-10)-1,0),Shipments!$D:$D,0)+
MATCH($C42,EL_List,0)-10,
MATCH(Shipments_Scenario_X,Shipments!$F$5:$AQ$5,0))</f>
        <v>1.1993645399865493</v>
      </c>
      <c r="AD44" s="530">
        <f ca="1">OFFSET(OFFSET(Shipments!$D$1,0,MATCH(AD$7,Dates)),
MATCH(OFFSET($C42,((MATCH($C42,EL_List,0)-1)*-10)-3,0),Shipments!$C:$C,0)+
MATCH(OFFSET($C42,((MATCH($C42,EL_List,0)-1)*-10)-1,0),Shipments!$D:$D,0)+
MATCH($C42,EL_List,0)-10,
MATCH(Shipments_Scenario_X,Shipments!$F$5:$AQ$5,0))</f>
        <v>1.258876933531484</v>
      </c>
      <c r="AE44" s="530">
        <f ca="1">OFFSET(OFFSET(Shipments!$D$1,0,MATCH(AE$7,Dates)),
MATCH(OFFSET($C42,((MATCH($C42,EL_List,0)-1)*-10)-3,0),Shipments!$C:$C,0)+
MATCH(OFFSET($C42,((MATCH($C42,EL_List,0)-1)*-10)-1,0),Shipments!$D:$D,0)+
MATCH($C42,EL_List,0)-10,
MATCH(Shipments_Scenario_X,Shipments!$F$5:$AQ$5,0))</f>
        <v>1.3213025977150767</v>
      </c>
      <c r="AF44" s="530">
        <f ca="1">OFFSET(OFFSET(Shipments!$D$1,0,MATCH(AF$7,Dates)),
MATCH(OFFSET($C42,((MATCH($C42,EL_List,0)-1)*-10)-3,0),Shipments!$C:$C,0)+
MATCH(OFFSET($C42,((MATCH($C42,EL_List,0)-1)*-10)-1,0),Shipments!$D:$D,0)+
MATCH($C42,EL_List,0)-10,
MATCH(Shipments_Scenario_X,Shipments!$F$5:$AQ$5,0))</f>
        <v>1.3867804562172354</v>
      </c>
      <c r="AG44" s="530">
        <f ca="1">OFFSET(OFFSET(Shipments!$D$1,0,MATCH(AG$7,Dates)),
MATCH(OFFSET($C42,((MATCH($C42,EL_List,0)-1)*-10)-3,0),Shipments!$C:$C,0)+
MATCH(OFFSET($C42,((MATCH($C42,EL_List,0)-1)*-10)-1,0),Shipments!$D:$D,0)+
MATCH($C42,EL_List,0)-10,
MATCH(Shipments_Scenario_X,Shipments!$F$5:$AQ$5,0))</f>
        <v>1.455453743892535</v>
      </c>
      <c r="AH44" s="530">
        <f ca="1">OFFSET(OFFSET(Shipments!$D$1,0,MATCH(AH$7,Dates)),
MATCH(OFFSET($C42,((MATCH($C42,EL_List,0)-1)*-10)-3,0),Shipments!$C:$C,0)+
MATCH(OFFSET($C42,((MATCH($C42,EL_List,0)-1)*-10)-1,0),Shipments!$D:$D,0)+
MATCH($C42,EL_List,0)-10,
MATCH(Shipments_Scenario_X,Shipments!$F$5:$AQ$5,0))</f>
        <v>1.5274726677160477</v>
      </c>
      <c r="AI44" s="530">
        <f ca="1">OFFSET(OFFSET(Shipments!$D$1,0,MATCH(AI$7,Dates)),
MATCH(OFFSET($C42,((MATCH($C42,EL_List,0)-1)*-10)-3,0),Shipments!$C:$C,0)+
MATCH(OFFSET($C42,((MATCH($C42,EL_List,0)-1)*-10)-1,0),Shipments!$D:$D,0)+
MATCH($C42,EL_List,0)-10,
MATCH(Shipments_Scenario_X,Shipments!$F$5:$AQ$5,0))</f>
        <v>1.6029964164281356</v>
      </c>
      <c r="AJ44" s="530">
        <f ca="1">OFFSET(OFFSET(Shipments!$D$1,0,MATCH(AJ$7,Dates)),
MATCH(OFFSET($C42,((MATCH($C42,EL_List,0)-1)*-10)-3,0),Shipments!$C:$C,0)+
MATCH(OFFSET($C42,((MATCH($C42,EL_List,0)-1)*-10)-1,0),Shipments!$D:$D,0)+
MATCH($C42,EL_List,0)-10,
MATCH(Shipments_Scenario_X,Shipments!$F$5:$AQ$5,0))</f>
        <v>1.6821942580706231</v>
      </c>
      <c r="AK44" s="530">
        <f ca="1">OFFSET(OFFSET(Shipments!$D$1,0,MATCH(AK$7,Dates)),
MATCH(OFFSET($C42,((MATCH($C42,EL_List,0)-1)*-10)-3,0),Shipments!$C:$C,0)+
MATCH(OFFSET($C42,((MATCH($C42,EL_List,0)-1)*-10)-1,0),Shipments!$D:$D,0)+
MATCH($C42,EL_List,0)-10,
MATCH(Shipments_Scenario_X,Shipments!$F$5:$AQ$5,0))</f>
        <v>1.7652456369902918</v>
      </c>
      <c r="AL44" s="530">
        <f ca="1">OFFSET(OFFSET(Shipments!$D$1,0,MATCH(AL$7,Dates)),
MATCH(OFFSET($C42,((MATCH($C42,EL_List,0)-1)*-10)-3,0),Shipments!$C:$C,0)+
MATCH(OFFSET($C42,((MATCH($C42,EL_List,0)-1)*-10)-1,0),Shipments!$D:$D,0)+
MATCH($C42,EL_List,0)-10,
MATCH(Shipments_Scenario_X,Shipments!$F$5:$AQ$5,0))</f>
        <v>1.8523398440082768</v>
      </c>
      <c r="AM44" s="530">
        <f ca="1">OFFSET(OFFSET(Shipments!$D$1,0,MATCH(AM$7,Dates)),
MATCH(OFFSET($C42,((MATCH($C42,EL_List,0)-1)*-10)-3,0),Shipments!$C:$C,0)+
MATCH(OFFSET($C42,((MATCH($C42,EL_List,0)-1)*-10)-1,0),Shipments!$D:$D,0)+
MATCH($C42,EL_List,0)-10,
MATCH(Shipments_Scenario_X,Shipments!$F$5:$AQ$5,0))</f>
        <v>1.9436757970890026</v>
      </c>
      <c r="AN44" s="530">
        <f ca="1">OFFSET(OFFSET(Shipments!$D$1,0,MATCH(AN$7,Dates)),
MATCH(OFFSET($C42,((MATCH($C42,EL_List,0)-1)*-10)-3,0),Shipments!$C:$C,0)+
MATCH(OFFSET($C42,((MATCH($C42,EL_List,0)-1)*-10)-1,0),Shipments!$D:$D,0)+
MATCH($C42,EL_List,0)-10,
MATCH(Shipments_Scenario_X,Shipments!$F$5:$AQ$5,0))</f>
        <v>2.0394612526645028</v>
      </c>
      <c r="AO44" s="436"/>
      <c r="AP44" s="21"/>
    </row>
    <row r="45" spans="2:42" ht="15" customHeight="1" x14ac:dyDescent="0.35">
      <c r="B45" s="429"/>
      <c r="C45" s="777" t="s">
        <v>79</v>
      </c>
      <c r="D45" s="776"/>
      <c r="E45" s="531">
        <f t="shared" ref="E45:AN45" ca="1" si="13">E43*E44</f>
        <v>19.008877355988986</v>
      </c>
      <c r="F45" s="531">
        <f t="shared" ca="1" si="13"/>
        <v>19.687893063054851</v>
      </c>
      <c r="G45" s="531">
        <f t="shared" ca="1" si="13"/>
        <v>20.285208283889844</v>
      </c>
      <c r="H45" s="531">
        <f t="shared" ca="1" si="13"/>
        <v>21.093246691384699</v>
      </c>
      <c r="I45" s="531">
        <f t="shared" ca="1" si="13"/>
        <v>21.956935750539479</v>
      </c>
      <c r="J45" s="531">
        <f t="shared" ca="1" si="13"/>
        <v>22.913537247659672</v>
      </c>
      <c r="K45" s="531">
        <f t="shared" ca="1" si="13"/>
        <v>23.947879006634306</v>
      </c>
      <c r="L45" s="531">
        <f t="shared" ca="1" si="13"/>
        <v>25.063928526351678</v>
      </c>
      <c r="M45" s="531">
        <f t="shared" ca="1" si="13"/>
        <v>26.196084587129686</v>
      </c>
      <c r="N45" s="531">
        <f t="shared" ca="1" si="13"/>
        <v>27.385081819454332</v>
      </c>
      <c r="O45" s="531">
        <f t="shared" ca="1" si="13"/>
        <v>28.604254094283526</v>
      </c>
      <c r="P45" s="531">
        <f t="shared" ca="1" si="13"/>
        <v>29.889456096740734</v>
      </c>
      <c r="Q45" s="531">
        <f t="shared" ca="1" si="13"/>
        <v>31.188590614046671</v>
      </c>
      <c r="R45" s="531">
        <f t="shared" ca="1" si="13"/>
        <v>32.574230858439904</v>
      </c>
      <c r="S45" s="531">
        <f t="shared" ca="1" si="13"/>
        <v>33.987497408886185</v>
      </c>
      <c r="T45" s="531">
        <f t="shared" ca="1" si="13"/>
        <v>35.502164956149599</v>
      </c>
      <c r="U45" s="531">
        <f t="shared" ca="1" si="13"/>
        <v>37.088985352980508</v>
      </c>
      <c r="V45" s="531">
        <f t="shared" ca="1" si="13"/>
        <v>38.742990494439901</v>
      </c>
      <c r="W45" s="531">
        <f t="shared" ca="1" si="13"/>
        <v>40.468399058795264</v>
      </c>
      <c r="X45" s="531">
        <f t="shared" ca="1" si="13"/>
        <v>42.31161125200741</v>
      </c>
      <c r="Y45" s="531">
        <f t="shared" ca="1" si="13"/>
        <v>44.185721423112433</v>
      </c>
      <c r="Z45" s="531">
        <f t="shared" ca="1" si="13"/>
        <v>46.13710189140788</v>
      </c>
      <c r="AA45" s="531">
        <f t="shared" ca="1" si="13"/>
        <v>48.222048611354175</v>
      </c>
      <c r="AB45" s="531">
        <f t="shared" ca="1" si="13"/>
        <v>50.342017989189991</v>
      </c>
      <c r="AC45" s="531">
        <f t="shared" ca="1" si="13"/>
        <v>52.609457500461218</v>
      </c>
      <c r="AD45" s="531">
        <f t="shared" ca="1" si="13"/>
        <v>54.915189714029601</v>
      </c>
      <c r="AE45" s="531">
        <f t="shared" ca="1" si="13"/>
        <v>57.382458749947851</v>
      </c>
      <c r="AF45" s="531">
        <f t="shared" ca="1" si="13"/>
        <v>59.957510575941107</v>
      </c>
      <c r="AG45" s="531">
        <f t="shared" ca="1" si="13"/>
        <v>62.644736935574414</v>
      </c>
      <c r="AH45" s="531">
        <f t="shared" ca="1" si="13"/>
        <v>65.448717355268585</v>
      </c>
      <c r="AI45" s="531">
        <f t="shared" ca="1" si="13"/>
        <v>68.374298112626803</v>
      </c>
      <c r="AJ45" s="531">
        <f t="shared" ca="1" si="13"/>
        <v>71.426630141119205</v>
      </c>
      <c r="AK45" s="531">
        <f t="shared" ca="1" si="13"/>
        <v>74.611163370215124</v>
      </c>
      <c r="AL45" s="531">
        <f t="shared" ca="1" si="13"/>
        <v>77.933622994579395</v>
      </c>
      <c r="AM45" s="531">
        <f t="shared" ref="AM45" ca="1" si="14">AM43*AM44</f>
        <v>81.399990754177651</v>
      </c>
      <c r="AN45" s="531">
        <f t="shared" ca="1" si="13"/>
        <v>85.014732142147835</v>
      </c>
      <c r="AO45" s="436"/>
      <c r="AP45" s="21"/>
    </row>
    <row r="46" spans="2:42" ht="15" customHeight="1" x14ac:dyDescent="0.35">
      <c r="B46" s="429"/>
      <c r="C46" s="777"/>
      <c r="D46" s="776"/>
      <c r="E46" s="776"/>
      <c r="F46" s="776"/>
      <c r="G46" s="776"/>
      <c r="H46" s="776"/>
      <c r="I46" s="776"/>
      <c r="J46" s="776"/>
      <c r="K46" s="776"/>
      <c r="L46" s="776"/>
      <c r="M46" s="776"/>
      <c r="N46" s="776"/>
      <c r="O46" s="776"/>
      <c r="P46" s="776"/>
      <c r="Q46" s="776"/>
      <c r="R46" s="776"/>
      <c r="S46" s="776"/>
      <c r="T46" s="776"/>
      <c r="U46" s="776"/>
      <c r="V46" s="776"/>
      <c r="W46" s="776"/>
      <c r="X46" s="776"/>
      <c r="Y46" s="776"/>
      <c r="Z46" s="776"/>
      <c r="AA46" s="776"/>
      <c r="AB46" s="776"/>
      <c r="AC46" s="776"/>
      <c r="AD46" s="776"/>
      <c r="AE46" s="776"/>
      <c r="AF46" s="776"/>
      <c r="AG46" s="776"/>
      <c r="AH46" s="776"/>
      <c r="AI46" s="776"/>
      <c r="AJ46" s="776"/>
      <c r="AK46" s="776"/>
      <c r="AL46" s="776"/>
      <c r="AM46" s="776"/>
      <c r="AN46" s="776"/>
      <c r="AO46" s="436"/>
      <c r="AP46" s="21"/>
    </row>
    <row r="47" spans="2:42" ht="15" customHeight="1" x14ac:dyDescent="0.35">
      <c r="B47" s="429"/>
      <c r="C47" s="777" t="s">
        <v>212</v>
      </c>
      <c r="D47" s="776"/>
      <c r="E47" s="532" cm="1">
        <f t="array" aca="1" ref="E47" ca="1">OFFSET(E47,-3,0)*
OFFSET(MSP!$D$1,
MATCH(OFFSET($C42,((MATCH($C42,EL_List,0)-1)*-10)-1,0),MSP!$C:$C,0)+MATCH($C42,EL_List,0)-1,0)
*INDEX(Learning!$E$6:$S$41,(MATCH(E$21,Dates,0)),(MATCH($C$21,Learning!$E$4:$S$4,0)+MATCH($C$42,Learning!$E$5:$S$5,0)-1))</f>
        <v>11.989044644467294</v>
      </c>
      <c r="F47" s="532" cm="1">
        <f t="array" aca="1" ref="F47" ca="1">OFFSET(F47,-3,0)*
OFFSET(MSP!$D$1,
MATCH(OFFSET($C42,((MATCH($C42,EL_List,0)-1)*-10)-1,0),MSP!$C:$C,0)+MATCH($C42,EL_List,0)-1,0)
*INDEX(Learning!$E$6:$S$41,(MATCH(F$21,Dates,0)),(MATCH($C$21,Learning!$E$4:$S$4,0)+MATCH($C$42,Learning!$E$5:$S$5,0)-1))</f>
        <v>12.417305055319087</v>
      </c>
      <c r="G47" s="532" cm="1">
        <f t="array" aca="1" ref="G47" ca="1">OFFSET(G47,-3,0)*
OFFSET(MSP!$D$1,
MATCH(OFFSET($C42,((MATCH($C42,EL_List,0)-1)*-10)-1,0),MSP!$C:$C,0)+MATCH($C42,EL_List,0)-1,0)
*INDEX(Learning!$E$6:$S$41,(MATCH(G$21,Dates,0)),(MATCH($C$21,Learning!$E$4:$S$4,0)+MATCH($C$42,Learning!$E$5:$S$5,0)-1))</f>
        <v>12.794036343300929</v>
      </c>
      <c r="H47" s="532" cm="1">
        <f t="array" aca="1" ref="H47" ca="1">OFFSET(H47,-3,0)*
OFFSET(MSP!$D$1,
MATCH(OFFSET($C42,((MATCH($C42,EL_List,0)-1)*-10)-1,0),MSP!$C:$C,0)+MATCH($C42,EL_List,0)-1,0)
*INDEX(Learning!$E$6:$S$41,(MATCH(H$21,Dates,0)),(MATCH($C$21,Learning!$E$4:$S$4,0)+MATCH($C$42,Learning!$E$5:$S$5,0)-1))</f>
        <v>13.303672360224772</v>
      </c>
      <c r="I47" s="532" cm="1">
        <f t="array" aca="1" ref="I47" ca="1">OFFSET(I47,-3,0)*
OFFSET(MSP!$D$1,
MATCH(OFFSET($C42,((MATCH($C42,EL_List,0)-1)*-10)-1,0),MSP!$C:$C,0)+MATCH($C42,EL_List,0)-1,0)
*INDEX(Learning!$E$6:$S$41,(MATCH(I$21,Dates,0)),(MATCH($C$21,Learning!$E$4:$S$4,0)+MATCH($C$42,Learning!$E$5:$S$5,0)-1))</f>
        <v>13.848407669692282</v>
      </c>
      <c r="J47" s="532" cm="1">
        <f t="array" aca="1" ref="J47" ca="1">OFFSET(J47,-3,0)*
OFFSET(MSP!$D$1,
MATCH(OFFSET($C42,((MATCH($C42,EL_List,0)-1)*-10)-1,0),MSP!$C:$C,0)+MATCH($C42,EL_List,0)-1,0)
*INDEX(Learning!$E$6:$S$41,(MATCH(J$21,Dates,0)),(MATCH($C$21,Learning!$E$4:$S$4,0)+MATCH($C$42,Learning!$E$5:$S$5,0)-1))</f>
        <v>14.4517435659242</v>
      </c>
      <c r="K47" s="532" cm="1">
        <f t="array" aca="1" ref="K47" ca="1">OFFSET(K47,-3,0)*
OFFSET(MSP!$D$1,
MATCH(OFFSET($C42,((MATCH($C42,EL_List,0)-1)*-10)-1,0),MSP!$C:$C,0)+MATCH($C42,EL_List,0)-1,0)
*INDEX(Learning!$E$6:$S$41,(MATCH(K$21,Dates,0)),(MATCH($C$21,Learning!$E$4:$S$4,0)+MATCH($C$42,Learning!$E$5:$S$5,0)-1))</f>
        <v>15.104110841158194</v>
      </c>
      <c r="L47" s="532" cm="1">
        <f t="array" aca="1" ref="L47" ca="1">OFFSET(L47,-3,0)*
OFFSET(MSP!$D$1,
MATCH(OFFSET($C42,((MATCH($C42,EL_List,0)-1)*-10)-1,0),MSP!$C:$C,0)+MATCH($C42,EL_List,0)-1,0)
*INDEX(Learning!$E$6:$S$41,(MATCH(L$21,Dates,0)),(MATCH($C$21,Learning!$E$4:$S$4,0)+MATCH($C$42,Learning!$E$5:$S$5,0)-1))</f>
        <v>15.80801182735253</v>
      </c>
      <c r="M47" s="532" cm="1">
        <f t="array" aca="1" ref="M47" ca="1">OFFSET(M47,-3,0)*
OFFSET(MSP!$D$1,
MATCH(OFFSET($C42,((MATCH($C42,EL_List,0)-1)*-10)-1,0),MSP!$C:$C,0)+MATCH($C42,EL_List,0)-1,0)
*INDEX(Learning!$E$6:$S$41,(MATCH(M$21,Dates,0)),(MATCH($C$21,Learning!$E$4:$S$4,0)+MATCH($C$42,Learning!$E$5:$S$5,0)-1))</f>
        <v>16.522071332444519</v>
      </c>
      <c r="N47" s="532" cm="1">
        <f t="array" aca="1" ref="N47" ca="1">OFFSET(N47,-3,0)*
OFFSET(MSP!$D$1,
MATCH(OFFSET($C42,((MATCH($C42,EL_List,0)-1)*-10)-1,0),MSP!$C:$C,0)+MATCH($C42,EL_List,0)-1,0)
*INDEX(Learning!$E$6:$S$41,(MATCH(N$21,Dates,0)),(MATCH($C$21,Learning!$E$4:$S$4,0)+MATCH($C$42,Learning!$E$5:$S$5,0)-1))</f>
        <v>17.271981000097618</v>
      </c>
      <c r="O47" s="532" cm="1">
        <f t="array" aca="1" ref="O47" ca="1">OFFSET(O47,-3,0)*
OFFSET(MSP!$D$1,
MATCH(OFFSET($C42,((MATCH($C42,EL_List,0)-1)*-10)-1,0),MSP!$C:$C,0)+MATCH($C42,EL_List,0)-1,0)
*INDEX(Learning!$E$6:$S$41,(MATCH(O$21,Dates,0)),(MATCH($C$21,Learning!$E$4:$S$4,0)+MATCH($C$42,Learning!$E$5:$S$5,0)-1))</f>
        <v>18.040922298338923</v>
      </c>
      <c r="P47" s="532" cm="1">
        <f t="array" aca="1" ref="P47" ca="1">OFFSET(P47,-3,0)*
OFFSET(MSP!$D$1,
MATCH(OFFSET($C42,((MATCH($C42,EL_List,0)-1)*-10)-1,0),MSP!$C:$C,0)+MATCH($C42,EL_List,0)-1,0)
*INDEX(Learning!$E$6:$S$41,(MATCH(P$21,Dates,0)),(MATCH($C$21,Learning!$E$4:$S$4,0)+MATCH($C$42,Learning!$E$5:$S$5,0)-1))</f>
        <v>18.851509051888769</v>
      </c>
      <c r="Q47" s="532" cm="1">
        <f t="array" aca="1" ref="Q47" ca="1">OFFSET(Q47,-3,0)*
OFFSET(MSP!$D$1,
MATCH(OFFSET($C42,((MATCH($C42,EL_List,0)-1)*-10)-1,0),MSP!$C:$C,0)+MATCH($C42,EL_List,0)-1,0)
*INDEX(Learning!$E$6:$S$41,(MATCH(Q$21,Dates,0)),(MATCH($C$21,Learning!$E$4:$S$4,0)+MATCH($C$42,Learning!$E$5:$S$5,0)-1))</f>
        <v>19.6708831493413</v>
      </c>
      <c r="R47" s="532" cm="1">
        <f t="array" aca="1" ref="R47" ca="1">OFFSET(R47,-3,0)*
OFFSET(MSP!$D$1,
MATCH(OFFSET($C42,((MATCH($C42,EL_List,0)-1)*-10)-1,0),MSP!$C:$C,0)+MATCH($C42,EL_List,0)-1,0)
*INDEX(Learning!$E$6:$S$41,(MATCH(R$21,Dates,0)),(MATCH($C$21,Learning!$E$4:$S$4,0)+MATCH($C$42,Learning!$E$5:$S$5,0)-1))</f>
        <v>20.544817071902337</v>
      </c>
      <c r="S47" s="532" cm="1">
        <f t="array" aca="1" ref="S47" ca="1">OFFSET(S47,-3,0)*
OFFSET(MSP!$D$1,
MATCH(OFFSET($C42,((MATCH($C42,EL_List,0)-1)*-10)-1,0),MSP!$C:$C,0)+MATCH($C42,EL_List,0)-1,0)
*INDEX(Learning!$E$6:$S$41,(MATCH(S$21,Dates,0)),(MATCH($C$21,Learning!$E$4:$S$4,0)+MATCH($C$42,Learning!$E$5:$S$5,0)-1))</f>
        <v>21.436175117436481</v>
      </c>
      <c r="T47" s="532" cm="1">
        <f t="array" aca="1" ref="T47" ca="1">OFFSET(T47,-3,0)*
OFFSET(MSP!$D$1,
MATCH(OFFSET($C42,((MATCH($C42,EL_List,0)-1)*-10)-1,0),MSP!$C:$C,0)+MATCH($C42,EL_List,0)-1,0)
*INDEX(Learning!$E$6:$S$41,(MATCH(T$21,Dates,0)),(MATCH($C$21,Learning!$E$4:$S$4,0)+MATCH($C$42,Learning!$E$5:$S$5,0)-1))</f>
        <v>22.391487548864504</v>
      </c>
      <c r="U47" s="532" cm="1">
        <f t="array" aca="1" ref="U47" ca="1">OFFSET(U47,-3,0)*
OFFSET(MSP!$D$1,
MATCH(OFFSET($C42,((MATCH($C42,EL_List,0)-1)*-10)-1,0),MSP!$C:$C,0)+MATCH($C42,EL_List,0)-1,0)
*INDEX(Learning!$E$6:$S$41,(MATCH(U$21,Dates,0)),(MATCH($C$21,Learning!$E$4:$S$4,0)+MATCH($C$42,Learning!$E$5:$S$5,0)-1))</f>
        <v>23.392307335539758</v>
      </c>
      <c r="V47" s="532" cm="1">
        <f t="array" aca="1" ref="V47" ca="1">OFFSET(V47,-3,0)*
OFFSET(MSP!$D$1,
MATCH(OFFSET($C42,((MATCH($C42,EL_List,0)-1)*-10)-1,0),MSP!$C:$C,0)+MATCH($C42,EL_List,0)-1,0)
*INDEX(Learning!$E$6:$S$41,(MATCH(V$21,Dates,0)),(MATCH($C$21,Learning!$E$4:$S$4,0)+MATCH($C$42,Learning!$E$5:$S$5,0)-1))</f>
        <v>24.435501055598536</v>
      </c>
      <c r="W47" s="532" cm="1">
        <f t="array" aca="1" ref="W47" ca="1">OFFSET(W47,-3,0)*
OFFSET(MSP!$D$1,
MATCH(OFFSET($C42,((MATCH($C42,EL_List,0)-1)*-10)-1,0),MSP!$C:$C,0)+MATCH($C42,EL_List,0)-1,0)
*INDEX(Learning!$E$6:$S$41,(MATCH(W$21,Dates,0)),(MATCH($C$21,Learning!$E$4:$S$4,0)+MATCH($C$42,Learning!$E$5:$S$5,0)-1))</f>
        <v>25.523729461758737</v>
      </c>
      <c r="X47" s="532" cm="1">
        <f t="array" aca="1" ref="X47" ca="1">OFFSET(X47,-3,0)*
OFFSET(MSP!$D$1,
MATCH(OFFSET($C42,((MATCH($C42,EL_List,0)-1)*-10)-1,0),MSP!$C:$C,0)+MATCH($C42,EL_List,0)-1,0)
*INDEX(Learning!$E$6:$S$41,(MATCH(X$21,Dates,0)),(MATCH($C$21,Learning!$E$4:$S$4,0)+MATCH($C$42,Learning!$E$5:$S$5,0)-1))</f>
        <v>26.686257519560346</v>
      </c>
      <c r="Y47" s="532" cm="1">
        <f t="array" aca="1" ref="Y47" ca="1">OFFSET(Y47,-3,0)*
OFFSET(MSP!$D$1,
MATCH(OFFSET($C42,((MATCH($C42,EL_List,0)-1)*-10)-1,0),MSP!$C:$C,0)+MATCH($C42,EL_List,0)-1,0)
*INDEX(Learning!$E$6:$S$41,(MATCH(Y$21,Dates,0)),(MATCH($C$21,Learning!$E$4:$S$4,0)+MATCH($C$42,Learning!$E$5:$S$5,0)-1))</f>
        <v>27.868273168840624</v>
      </c>
      <c r="Z47" s="532" cm="1">
        <f t="array" aca="1" ref="Z47" ca="1">OFFSET(Z47,-3,0)*
OFFSET(MSP!$D$1,
MATCH(OFFSET($C42,((MATCH($C42,EL_List,0)-1)*-10)-1,0),MSP!$C:$C,0)+MATCH($C42,EL_List,0)-1,0)
*INDEX(Learning!$E$6:$S$41,(MATCH(Z$21,Dates,0)),(MATCH($C$21,Learning!$E$4:$S$4,0)+MATCH($C$42,Learning!$E$5:$S$5,0)-1))</f>
        <v>29.099023786807269</v>
      </c>
      <c r="AA47" s="532" cm="1">
        <f t="array" aca="1" ref="AA47" ca="1">OFFSET(AA47,-3,0)*
OFFSET(MSP!$D$1,
MATCH(OFFSET($C42,((MATCH($C42,EL_List,0)-1)*-10)-1,0),MSP!$C:$C,0)+MATCH($C42,EL_List,0)-1,0)
*INDEX(Learning!$E$6:$S$41,(MATCH(AA$21,Dates,0)),(MATCH($C$21,Learning!$E$4:$S$4,0)+MATCH($C$42,Learning!$E$5:$S$5,0)-1))</f>
        <v>30.414015663426234</v>
      </c>
      <c r="AB47" s="532" cm="1">
        <f t="array" aca="1" ref="AB47" ca="1">OFFSET(AB47,-3,0)*
OFFSET(MSP!$D$1,
MATCH(OFFSET($C42,((MATCH($C42,EL_List,0)-1)*-10)-1,0),MSP!$C:$C,0)+MATCH($C42,EL_List,0)-1,0)
*INDEX(Learning!$E$6:$S$41,(MATCH(AB$21,Dates,0)),(MATCH($C$21,Learning!$E$4:$S$4,0)+MATCH($C$42,Learning!$E$5:$S$5,0)-1))</f>
        <v>31.751096598811898</v>
      </c>
      <c r="AC47" s="532" cm="1">
        <f t="array" aca="1" ref="AC47" ca="1">OFFSET(AC47,-3,0)*
OFFSET(MSP!$D$1,
MATCH(OFFSET($C42,((MATCH($C42,EL_List,0)-1)*-10)-1,0),MSP!$C:$C,0)+MATCH($C42,EL_List,0)-1,0)
*INDEX(Learning!$E$6:$S$41,(MATCH(AC$21,Dates,0)),(MATCH($C$21,Learning!$E$4:$S$4,0)+MATCH($C$42,Learning!$E$5:$S$5,0)-1))</f>
        <v>33.181188077659549</v>
      </c>
      <c r="AD47" s="532" cm="1">
        <f t="array" aca="1" ref="AD47" ca="1">OFFSET(AD47,-3,0)*
OFFSET(MSP!$D$1,
MATCH(OFFSET($C42,((MATCH($C42,EL_List,0)-1)*-10)-1,0),MSP!$C:$C,0)+MATCH($C42,EL_List,0)-1,0)
*INDEX(Learning!$E$6:$S$41,(MATCH(AD$21,Dates,0)),(MATCH($C$21,Learning!$E$4:$S$4,0)+MATCH($C$42,Learning!$E$5:$S$5,0)-1))</f>
        <v>34.635431057345471</v>
      </c>
      <c r="AE47" s="532" cm="1">
        <f t="array" aca="1" ref="AE47" ca="1">OFFSET(AE47,-3,0)*
OFFSET(MSP!$D$1,
MATCH(OFFSET($C42,((MATCH($C42,EL_List,0)-1)*-10)-1,0),MSP!$C:$C,0)+MATCH($C42,EL_List,0)-1,0)
*INDEX(Learning!$E$6:$S$41,(MATCH(AE$21,Dates,0)),(MATCH($C$21,Learning!$E$4:$S$4,0)+MATCH($C$42,Learning!$E$5:$S$5,0)-1))</f>
        <v>36.191556549007714</v>
      </c>
      <c r="AF47" s="532" cm="1">
        <f t="array" aca="1" ref="AF47" ca="1">OFFSET(AF47,-3,0)*
OFFSET(MSP!$D$1,
MATCH(OFFSET($C42,((MATCH($C42,EL_List,0)-1)*-10)-1,0),MSP!$C:$C,0)+MATCH($C42,EL_List,0)-1,0)
*INDEX(Learning!$E$6:$S$41,(MATCH(AF$21,Dates,0)),(MATCH($C$21,Learning!$E$4:$S$4,0)+MATCH($C$42,Learning!$E$5:$S$5,0)-1))</f>
        <v>37.815661472485665</v>
      </c>
      <c r="AG47" s="532" cm="1">
        <f t="array" aca="1" ref="AG47" ca="1">OFFSET(AG47,-3,0)*
OFFSET(MSP!$D$1,
MATCH(OFFSET($C42,((MATCH($C42,EL_List,0)-1)*-10)-1,0),MSP!$C:$C,0)+MATCH($C42,EL_List,0)-1,0)
*INDEX(Learning!$E$6:$S$41,(MATCH(AG$21,Dates,0)),(MATCH($C$21,Learning!$E$4:$S$4,0)+MATCH($C$42,Learning!$E$5:$S$5,0)-1))</f>
        <v>39.510515734106882</v>
      </c>
      <c r="AH47" s="532" cm="1">
        <f t="array" aca="1" ref="AH47" ca="1">OFFSET(AH47,-3,0)*
OFFSET(MSP!$D$1,
MATCH(OFFSET($C42,((MATCH($C42,EL_List,0)-1)*-10)-1,0),MSP!$C:$C,0)+MATCH($C42,EL_List,0)-1,0)
*INDEX(Learning!$E$6:$S$41,(MATCH(AH$21,Dates,0)),(MATCH($C$21,Learning!$E$4:$S$4,0)+MATCH($C$42,Learning!$E$5:$S$5,0)-1))</f>
        <v>41.279007676285367</v>
      </c>
      <c r="AI47" s="532" cm="1">
        <f t="array" aca="1" ref="AI47" ca="1">OFFSET(AI47,-3,0)*
OFFSET(MSP!$D$1,
MATCH(OFFSET($C42,((MATCH($C42,EL_List,0)-1)*-10)-1,0),MSP!$C:$C,0)+MATCH($C42,EL_List,0)-1,0)
*INDEX(Learning!$E$6:$S$41,(MATCH(AI$21,Dates,0)),(MATCH($C$21,Learning!$E$4:$S$4,0)+MATCH($C$42,Learning!$E$5:$S$5,0)-1))</f>
        <v>43.124193883450381</v>
      </c>
      <c r="AJ47" s="532" cm="1">
        <f t="array" aca="1" ref="AJ47" ca="1">OFFSET(AJ47,-3,0)*
OFFSET(MSP!$D$1,
MATCH(OFFSET($C42,((MATCH($C42,EL_List,0)-1)*-10)-1,0),MSP!$C:$C,0)+MATCH($C42,EL_List,0)-1,0)
*INDEX(Learning!$E$6:$S$41,(MATCH(AJ$21,Dates,0)),(MATCH($C$21,Learning!$E$4:$S$4,0)+MATCH($C$42,Learning!$E$5:$S$5,0)-1))</f>
        <v>45.049323088821531</v>
      </c>
      <c r="AK47" s="532" cm="1">
        <f t="array" aca="1" ref="AK47" ca="1">OFFSET(AK47,-3,0)*
OFFSET(MSP!$D$1,
MATCH(OFFSET($C42,((MATCH($C42,EL_List,0)-1)*-10)-1,0),MSP!$C:$C,0)+MATCH($C42,EL_List,0)-1,0)
*INDEX(Learning!$E$6:$S$41,(MATCH(AK$21,Dates,0)),(MATCH($C$21,Learning!$E$4:$S$4,0)+MATCH($C$42,Learning!$E$5:$S$5,0)-1))</f>
        <v>47.057832604686851</v>
      </c>
      <c r="AL47" s="532" cm="1">
        <f t="array" aca="1" ref="AL47" ca="1">OFFSET(AL47,-3,0)*
OFFSET(MSP!$D$1,
MATCH(OFFSET($C42,((MATCH($C42,EL_List,0)-1)*-10)-1,0),MSP!$C:$C,0)+MATCH($C42,EL_List,0)-1,0)
*INDEX(Learning!$E$6:$S$41,(MATCH(AL$21,Dates,0)),(MATCH($C$21,Learning!$E$4:$S$4,0)+MATCH($C$42,Learning!$E$5:$S$5,0)-1))</f>
        <v>49.153333355202932</v>
      </c>
      <c r="AM47" s="532" cm="1">
        <f t="array" aca="1" ref="AM47" ca="1">OFFSET(AM47,-3,0)*
OFFSET(MSP!$D$1,
MATCH(OFFSET($C42,((MATCH($C42,EL_List,0)-1)*-10)-1,0),MSP!$C:$C,0)+MATCH($C42,EL_List,0)-1,0)
*INDEX(Learning!$E$6:$S$41,(MATCH(AM$21,Dates,0)),(MATCH($C$21,Learning!$E$4:$S$4,0)+MATCH($C$42,Learning!$E$5:$S$5,0)-1))</f>
        <v>51.339598069613977</v>
      </c>
      <c r="AN47" s="532" cm="1">
        <f t="array" aca="1" ref="AN47" ca="1">OFFSET(AN47,-3,0)*
OFFSET(MSP!$D$1,
MATCH(OFFSET($C42,((MATCH($C42,EL_List,0)-1)*-10)-1,0),MSP!$C:$C,0)+MATCH($C42,EL_List,0)-1,0)
*INDEX(Learning!$E$6:$S$41,(MATCH(AN$21,Dates,0)),(MATCH($C$21,Learning!$E$4:$S$4,0)+MATCH($C$42,Learning!$E$5:$S$5,0)-1))</f>
        <v>53.619443168668404</v>
      </c>
      <c r="AO47" s="436"/>
      <c r="AP47" s="21"/>
    </row>
    <row r="48" spans="2:42" ht="15" customHeight="1" x14ac:dyDescent="0.35">
      <c r="B48" s="429"/>
      <c r="C48" s="777" t="s">
        <v>213</v>
      </c>
      <c r="D48" s="776"/>
      <c r="E48" s="533" cm="1">
        <f t="array" aca="1" ref="E48" ca="1">OFFSET(E48,-4,0)*
OFFSET(MSP!$E$1,
MATCH(OFFSET($C42,((MATCH($C42,EL_List,0)-1)*-10)-1,0),MSP!$C:$C,0)+MATCH($C42,EL_List,0)-1,0)
*INDEX(Learning!$E$6:$S$41,(MATCH(E$21,Dates,0)),(MATCH($C$21,Learning!$E$4:$S$4,0)+MATCH($C$42,Learning!$E$5:$S$5,0)-1))</f>
        <v>0.20150054344203389</v>
      </c>
      <c r="F48" s="533" cm="1">
        <f t="array" aca="1" ref="F48" ca="1">OFFSET(F48,-4,0)*
OFFSET(MSP!$E$1,
MATCH(OFFSET($C42,((MATCH($C42,EL_List,0)-1)*-10)-1,0),MSP!$C:$C,0)+MATCH($C42,EL_List,0)-1,0)
*INDEX(Learning!$E$6:$S$41,(MATCH(F$21,Dates,0)),(MATCH($C$21,Learning!$E$4:$S$4,0)+MATCH($C$42,Learning!$E$5:$S$5,0)-1))</f>
        <v>0.20869834010393623</v>
      </c>
      <c r="G48" s="533" cm="1">
        <f t="array" aca="1" ref="G48" ca="1">OFFSET(G48,-4,0)*
OFFSET(MSP!$E$1,
MATCH(OFFSET($C42,((MATCH($C42,EL_List,0)-1)*-10)-1,0),MSP!$C:$C,0)+MATCH($C42,EL_List,0)-1,0)
*INDEX(Learning!$E$6:$S$41,(MATCH(G$21,Dates,0)),(MATCH($C$21,Learning!$E$4:$S$4,0)+MATCH($C$42,Learning!$E$5:$S$5,0)-1))</f>
        <v>0.21503008391765119</v>
      </c>
      <c r="H48" s="533" cm="1">
        <f t="array" aca="1" ref="H48" ca="1">OFFSET(H48,-4,0)*
OFFSET(MSP!$E$1,
MATCH(OFFSET($C42,((MATCH($C42,EL_List,0)-1)*-10)-1,0),MSP!$C:$C,0)+MATCH($C42,EL_List,0)-1,0)
*INDEX(Learning!$E$6:$S$41,(MATCH(H$21,Dates,0)),(MATCH($C$21,Learning!$E$4:$S$4,0)+MATCH($C$42,Learning!$E$5:$S$5,0)-1))</f>
        <v>0.22359556493912511</v>
      </c>
      <c r="I48" s="533" cm="1">
        <f t="array" aca="1" ref="I48" ca="1">OFFSET(I48,-4,0)*
OFFSET(MSP!$E$1,
MATCH(OFFSET($C42,((MATCH($C42,EL_List,0)-1)*-10)-1,0),MSP!$C:$C,0)+MATCH($C42,EL_List,0)-1,0)
*INDEX(Learning!$E$6:$S$41,(MATCH(I$21,Dates,0)),(MATCH($C$21,Learning!$E$4:$S$4,0)+MATCH($C$42,Learning!$E$5:$S$5,0)-1))</f>
        <v>0.23275096173218168</v>
      </c>
      <c r="J48" s="533" cm="1">
        <f t="array" aca="1" ref="J48" ca="1">OFFSET(J48,-4,0)*
OFFSET(MSP!$E$1,
MATCH(OFFSET($C42,((MATCH($C42,EL_List,0)-1)*-10)-1,0),MSP!$C:$C,0)+MATCH($C42,EL_List,0)-1,0)
*INDEX(Learning!$E$6:$S$41,(MATCH(J$21,Dates,0)),(MATCH($C$21,Learning!$E$4:$S$4,0)+MATCH($C$42,Learning!$E$5:$S$5,0)-1))</f>
        <v>0.24289126186234439</v>
      </c>
      <c r="K48" s="533" cm="1">
        <f t="array" aca="1" ref="K48" ca="1">OFFSET(K48,-4,0)*
OFFSET(MSP!$E$1,
MATCH(OFFSET($C42,((MATCH($C42,EL_List,0)-1)*-10)-1,0),MSP!$C:$C,0)+MATCH($C42,EL_List,0)-1,0)
*INDEX(Learning!$E$6:$S$41,(MATCH(K$21,Dates,0)),(MATCH($C$21,Learning!$E$4:$S$4,0)+MATCH($C$42,Learning!$E$5:$S$5,0)-1))</f>
        <v>0.25385563511990095</v>
      </c>
      <c r="L48" s="533" cm="1">
        <f t="array" aca="1" ref="L48" ca="1">OFFSET(L48,-4,0)*
OFFSET(MSP!$E$1,
MATCH(OFFSET($C42,((MATCH($C42,EL_List,0)-1)*-10)-1,0),MSP!$C:$C,0)+MATCH($C42,EL_List,0)-1,0)
*INDEX(Learning!$E$6:$S$41,(MATCH(L$21,Dates,0)),(MATCH($C$21,Learning!$E$4:$S$4,0)+MATCH($C$42,Learning!$E$5:$S$5,0)-1))</f>
        <v>0.26568613833793647</v>
      </c>
      <c r="M48" s="533" cm="1">
        <f t="array" aca="1" ref="M48" ca="1">OFFSET(M48,-4,0)*
OFFSET(MSP!$E$1,
MATCH(OFFSET($C42,((MATCH($C42,EL_List,0)-1)*-10)-1,0),MSP!$C:$C,0)+MATCH($C42,EL_List,0)-1,0)
*INDEX(Learning!$E$6:$S$41,(MATCH(M$21,Dates,0)),(MATCH($C$21,Learning!$E$4:$S$4,0)+MATCH($C$42,Learning!$E$5:$S$5,0)-1))</f>
        <v>0.27768737635087398</v>
      </c>
      <c r="N48" s="533" cm="1">
        <f t="array" aca="1" ref="N48" ca="1">OFFSET(N48,-4,0)*
OFFSET(MSP!$E$1,
MATCH(OFFSET($C42,((MATCH($C42,EL_List,0)-1)*-10)-1,0),MSP!$C:$C,0)+MATCH($C42,EL_List,0)-1,0)
*INDEX(Learning!$E$6:$S$41,(MATCH(N$21,Dates,0)),(MATCH($C$21,Learning!$E$4:$S$4,0)+MATCH($C$42,Learning!$E$5:$S$5,0)-1))</f>
        <v>0.29029115004974554</v>
      </c>
      <c r="O48" s="533" cm="1">
        <f t="array" aca="1" ref="O48" ca="1">OFFSET(O48,-4,0)*
OFFSET(MSP!$E$1,
MATCH(OFFSET($C42,((MATCH($C42,EL_List,0)-1)*-10)-1,0),MSP!$C:$C,0)+MATCH($C42,EL_List,0)-1,0)
*INDEX(Learning!$E$6:$S$41,(MATCH(O$21,Dates,0)),(MATCH($C$21,Learning!$E$4:$S$4,0)+MATCH($C$42,Learning!$E$5:$S$5,0)-1))</f>
        <v>0.30321478942764624</v>
      </c>
      <c r="P48" s="533" cm="1">
        <f t="array" aca="1" ref="P48" ca="1">OFFSET(P48,-4,0)*
OFFSET(MSP!$E$1,
MATCH(OFFSET($C42,((MATCH($C42,EL_List,0)-1)*-10)-1,0),MSP!$C:$C,0)+MATCH($C42,EL_List,0)-1,0)
*INDEX(Learning!$E$6:$S$41,(MATCH(P$21,Dates,0)),(MATCH($C$21,Learning!$E$4:$S$4,0)+MATCH($C$42,Learning!$E$5:$S$5,0)-1))</f>
        <v>0.31683836630060275</v>
      </c>
      <c r="Q48" s="533" cm="1">
        <f t="array" aca="1" ref="Q48" ca="1">OFFSET(Q48,-4,0)*
OFFSET(MSP!$E$1,
MATCH(OFFSET($C42,((MATCH($C42,EL_List,0)-1)*-10)-1,0),MSP!$C:$C,0)+MATCH($C42,EL_List,0)-1,0)
*INDEX(Learning!$E$6:$S$41,(MATCH(Q$21,Dates,0)),(MATCH($C$21,Learning!$E$4:$S$4,0)+MATCH($C$42,Learning!$E$5:$S$5,0)-1))</f>
        <v>0.33060963255368181</v>
      </c>
      <c r="R48" s="533" cm="1">
        <f t="array" aca="1" ref="R48" ca="1">OFFSET(R48,-4,0)*
OFFSET(MSP!$E$1,
MATCH(OFFSET($C42,((MATCH($C42,EL_List,0)-1)*-10)-1,0),MSP!$C:$C,0)+MATCH($C42,EL_List,0)-1,0)
*INDEX(Learning!$E$6:$S$41,(MATCH(R$21,Dates,0)),(MATCH($C$21,Learning!$E$4:$S$4,0)+MATCH($C$42,Learning!$E$5:$S$5,0)-1))</f>
        <v>0.34529788883686635</v>
      </c>
      <c r="S48" s="533" cm="1">
        <f t="array" aca="1" ref="S48" ca="1">OFFSET(S48,-4,0)*
OFFSET(MSP!$E$1,
MATCH(OFFSET($C42,((MATCH($C42,EL_List,0)-1)*-10)-1,0),MSP!$C:$C,0)+MATCH($C42,EL_List,0)-1,0)
*INDEX(Learning!$E$6:$S$41,(MATCH(S$21,Dates,0)),(MATCH($C$21,Learning!$E$4:$S$4,0)+MATCH($C$42,Learning!$E$5:$S$5,0)-1))</f>
        <v>0.3602789933287448</v>
      </c>
      <c r="T48" s="533" cm="1">
        <f t="array" aca="1" ref="T48" ca="1">OFFSET(T48,-4,0)*
OFFSET(MSP!$E$1,
MATCH(OFFSET($C42,((MATCH($C42,EL_List,0)-1)*-10)-1,0),MSP!$C:$C,0)+MATCH($C42,EL_List,0)-1,0)
*INDEX(Learning!$E$6:$S$41,(MATCH(T$21,Dates,0)),(MATCH($C$21,Learning!$E$4:$S$4,0)+MATCH($C$42,Learning!$E$5:$S$5,0)-1))</f>
        <v>0.37633498275893768</v>
      </c>
      <c r="U48" s="533" cm="1">
        <f t="array" aca="1" ref="U48" ca="1">OFFSET(U48,-4,0)*
OFFSET(MSP!$E$1,
MATCH(OFFSET($C42,((MATCH($C42,EL_List,0)-1)*-10)-1,0),MSP!$C:$C,0)+MATCH($C42,EL_List,0)-1,0)
*INDEX(Learning!$E$6:$S$41,(MATCH(U$21,Dates,0)),(MATCH($C$21,Learning!$E$4:$S$4,0)+MATCH($C$42,Learning!$E$5:$S$5,0)-1))</f>
        <v>0.39315581685230883</v>
      </c>
      <c r="V48" s="533" cm="1">
        <f t="array" aca="1" ref="V48" ca="1">OFFSET(V48,-4,0)*
OFFSET(MSP!$E$1,
MATCH(OFFSET($C42,((MATCH($C42,EL_List,0)-1)*-10)-1,0),MSP!$C:$C,0)+MATCH($C42,EL_List,0)-1,0)
*INDEX(Learning!$E$6:$S$41,(MATCH(V$21,Dates,0)),(MATCH($C$21,Learning!$E$4:$S$4,0)+MATCH($C$42,Learning!$E$5:$S$5,0)-1))</f>
        <v>0.41068883201245876</v>
      </c>
      <c r="W48" s="533" cm="1">
        <f t="array" aca="1" ref="W48" ca="1">OFFSET(W48,-4,0)*
OFFSET(MSP!$E$1,
MATCH(OFFSET($C42,((MATCH($C42,EL_List,0)-1)*-10)-1,0),MSP!$C:$C,0)+MATCH($C42,EL_List,0)-1,0)
*INDEX(Learning!$E$6:$S$41,(MATCH(W$21,Dates,0)),(MATCH($C$21,Learning!$E$4:$S$4,0)+MATCH($C$42,Learning!$E$5:$S$5,0)-1))</f>
        <v>0.42897874765903471</v>
      </c>
      <c r="X48" s="533" cm="1">
        <f t="array" aca="1" ref="X48" ca="1">OFFSET(X48,-4,0)*
OFFSET(MSP!$E$1,
MATCH(OFFSET($C42,((MATCH($C42,EL_List,0)-1)*-10)-1,0),MSP!$C:$C,0)+MATCH($C42,EL_List,0)-1,0)
*INDEX(Learning!$E$6:$S$41,(MATCH(X$21,Dates,0)),(MATCH($C$21,Learning!$E$4:$S$4,0)+MATCH($C$42,Learning!$E$5:$S$5,0)-1))</f>
        <v>0.44851742170357073</v>
      </c>
      <c r="Y48" s="533" cm="1">
        <f t="array" aca="1" ref="Y48" ca="1">OFFSET(Y48,-4,0)*
OFFSET(MSP!$E$1,
MATCH(OFFSET($C42,((MATCH($C42,EL_List,0)-1)*-10)-1,0),MSP!$C:$C,0)+MATCH($C42,EL_List,0)-1,0)
*INDEX(Learning!$E$6:$S$41,(MATCH(Y$21,Dates,0)),(MATCH($C$21,Learning!$E$4:$S$4,0)+MATCH($C$42,Learning!$E$5:$S$5,0)-1))</f>
        <v>0.46838362478730672</v>
      </c>
      <c r="Z48" s="533" cm="1">
        <f t="array" aca="1" ref="Z48" ca="1">OFFSET(Z48,-4,0)*
OFFSET(MSP!$E$1,
MATCH(OFFSET($C42,((MATCH($C42,EL_List,0)-1)*-10)-1,0),MSP!$C:$C,0)+MATCH($C42,EL_List,0)-1,0)
*INDEX(Learning!$E$6:$S$41,(MATCH(Z$21,Dates,0)),(MATCH($C$21,Learning!$E$4:$S$4,0)+MATCH($C$42,Learning!$E$5:$S$5,0)-1))</f>
        <v>0.48906891921369311</v>
      </c>
      <c r="AA48" s="533" cm="1">
        <f t="array" aca="1" ref="AA48" ca="1">OFFSET(AA48,-4,0)*
OFFSET(MSP!$E$1,
MATCH(OFFSET($C42,((MATCH($C42,EL_List,0)-1)*-10)-1,0),MSP!$C:$C,0)+MATCH($C42,EL_List,0)-1,0)
*INDEX(Learning!$E$6:$S$41,(MATCH(AA$21,Dates,0)),(MATCH($C$21,Learning!$E$4:$S$4,0)+MATCH($C$42,Learning!$E$5:$S$5,0)-1))</f>
        <v>0.51117006118273745</v>
      </c>
      <c r="AB48" s="533" cm="1">
        <f t="array" aca="1" ref="AB48" ca="1">OFFSET(AB48,-4,0)*
OFFSET(MSP!$E$1,
MATCH(OFFSET($C42,((MATCH($C42,EL_List,0)-1)*-10)-1,0),MSP!$C:$C,0)+MATCH($C42,EL_List,0)-1,0)
*INDEX(Learning!$E$6:$S$41,(MATCH(AB$21,Dates,0)),(MATCH($C$21,Learning!$E$4:$S$4,0)+MATCH($C$42,Learning!$E$5:$S$5,0)-1))</f>
        <v>0.53364245519709519</v>
      </c>
      <c r="AC48" s="533" cm="1">
        <f t="array" aca="1" ref="AC48" ca="1">OFFSET(AC48,-4,0)*
OFFSET(MSP!$E$1,
MATCH(OFFSET($C42,((MATCH($C42,EL_List,0)-1)*-10)-1,0),MSP!$C:$C,0)+MATCH($C42,EL_List,0)-1,0)
*INDEX(Learning!$E$6:$S$41,(MATCH(AC$21,Dates,0)),(MATCH($C$21,Learning!$E$4:$S$4,0)+MATCH($C$42,Learning!$E$5:$S$5,0)-1))</f>
        <v>0.5576780826140475</v>
      </c>
      <c r="AD48" s="533" cm="1">
        <f t="array" aca="1" ref="AD48" ca="1">OFFSET(AD48,-4,0)*
OFFSET(MSP!$E$1,
MATCH(OFFSET($C42,((MATCH($C42,EL_List,0)-1)*-10)-1,0),MSP!$C:$C,0)+MATCH($C42,EL_List,0)-1,0)
*INDEX(Learning!$E$6:$S$41,(MATCH(AD$21,Dates,0)),(MATCH($C$21,Learning!$E$4:$S$4,0)+MATCH($C$42,Learning!$E$5:$S$5,0)-1))</f>
        <v>0.58211962565548603</v>
      </c>
      <c r="AE48" s="533" cm="1">
        <f t="array" aca="1" ref="AE48" ca="1">OFFSET(AE48,-4,0)*
OFFSET(MSP!$E$1,
MATCH(OFFSET($C42,((MATCH($C42,EL_List,0)-1)*-10)-1,0),MSP!$C:$C,0)+MATCH($C42,EL_List,0)-1,0)
*INDEX(Learning!$E$6:$S$41,(MATCH(AE$21,Dates,0)),(MATCH($C$21,Learning!$E$4:$S$4,0)+MATCH($C$42,Learning!$E$5:$S$5,0)-1))</f>
        <v>0.60827351377021976</v>
      </c>
      <c r="AF48" s="533" cm="1">
        <f t="array" aca="1" ref="AF48" ca="1">OFFSET(AF48,-4,0)*
OFFSET(MSP!$E$1,
MATCH(OFFSET($C42,((MATCH($C42,EL_List,0)-1)*-10)-1,0),MSP!$C:$C,0)+MATCH($C42,EL_List,0)-1,0)
*INDEX(Learning!$E$6:$S$41,(MATCH(AF$21,Dates,0)),(MATCH($C$21,Learning!$E$4:$S$4,0)+MATCH($C$42,Learning!$E$5:$S$5,0)-1))</f>
        <v>0.63556993599504752</v>
      </c>
      <c r="AG48" s="533" cm="1">
        <f t="array" aca="1" ref="AG48" ca="1">OFFSET(AG48,-4,0)*
OFFSET(MSP!$E$1,
MATCH(OFFSET($C42,((MATCH($C42,EL_List,0)-1)*-10)-1,0),MSP!$C:$C,0)+MATCH($C42,EL_List,0)-1,0)
*INDEX(Learning!$E$6:$S$41,(MATCH(AG$21,Dates,0)),(MATCH($C$21,Learning!$E$4:$S$4,0)+MATCH($C$42,Learning!$E$5:$S$5,0)-1))</f>
        <v>0.66405544630043489</v>
      </c>
      <c r="AH48" s="533" cm="1">
        <f t="array" aca="1" ref="AH48" ca="1">OFFSET(AH48,-4,0)*
OFFSET(MSP!$E$1,
MATCH(OFFSET($C42,((MATCH($C42,EL_List,0)-1)*-10)-1,0),MSP!$C:$C,0)+MATCH($C42,EL_List,0)-1,0)
*INDEX(Learning!$E$6:$S$41,(MATCH(AH$21,Dates,0)),(MATCH($C$21,Learning!$E$4:$S$4,0)+MATCH($C$42,Learning!$E$5:$S$5,0)-1))</f>
        <v>0.69377858921877178</v>
      </c>
      <c r="AI48" s="533" cm="1">
        <f t="array" aca="1" ref="AI48" ca="1">OFFSET(AI48,-4,0)*
OFFSET(MSP!$E$1,
MATCH(OFFSET($C42,((MATCH($C42,EL_List,0)-1)*-10)-1,0),MSP!$C:$C,0)+MATCH($C42,EL_List,0)-1,0)
*INDEX(Learning!$E$6:$S$41,(MATCH(AI$21,Dates,0)),(MATCH($C$21,Learning!$E$4:$S$4,0)+MATCH($C$42,Learning!$E$5:$S$5,0)-1))</f>
        <v>0.72479073693540208</v>
      </c>
      <c r="AJ48" s="533" cm="1">
        <f t="array" aca="1" ref="AJ48" ca="1">OFFSET(AJ48,-4,0)*
OFFSET(MSP!$E$1,
MATCH(OFFSET($C42,((MATCH($C42,EL_List,0)-1)*-10)-1,0),MSP!$C:$C,0)+MATCH($C42,EL_List,0)-1,0)
*INDEX(Learning!$E$6:$S$41,(MATCH(AJ$21,Dates,0)),(MATCH($C$21,Learning!$E$4:$S$4,0)+MATCH($C$42,Learning!$E$5:$S$5,0)-1))</f>
        <v>0.75714649109112897</v>
      </c>
      <c r="AK48" s="533" cm="1">
        <f t="array" aca="1" ref="AK48" ca="1">OFFSET(AK48,-4,0)*
OFFSET(MSP!$E$1,
MATCH(OFFSET($C42,((MATCH($C42,EL_List,0)-1)*-10)-1,0),MSP!$C:$C,0)+MATCH($C42,EL_List,0)-1,0)
*INDEX(Learning!$E$6:$S$41,(MATCH(AK$21,Dates,0)),(MATCH($C$21,Learning!$E$4:$S$4,0)+MATCH($C$42,Learning!$E$5:$S$5,0)-1))</f>
        <v>0.7909036227856987</v>
      </c>
      <c r="AL48" s="533" cm="1">
        <f t="array" aca="1" ref="AL48" ca="1">OFFSET(AL48,-4,0)*
OFFSET(MSP!$E$1,
MATCH(OFFSET($C42,((MATCH($C42,EL_List,0)-1)*-10)-1,0),MSP!$C:$C,0)+MATCH($C42,EL_List,0)-1,0)
*INDEX(Learning!$E$6:$S$41,(MATCH(AL$21,Dates,0)),(MATCH($C$21,Learning!$E$4:$S$4,0)+MATCH($C$42,Learning!$E$5:$S$5,0)-1))</f>
        <v>0.82612282102323609</v>
      </c>
      <c r="AM48" s="533" cm="1">
        <f t="array" aca="1" ref="AM48" ca="1">OFFSET(AM48,-4,0)*
OFFSET(MSP!$E$1,
MATCH(OFFSET($C42,((MATCH($C42,EL_List,0)-1)*-10)-1,0),MSP!$C:$C,0)+MATCH($C42,EL_List,0)-1,0)
*INDEX(Learning!$E$6:$S$41,(MATCH(AM$21,Dates,0)),(MATCH($C$21,Learning!$E$4:$S$4,0)+MATCH($C$42,Learning!$E$5:$S$5,0)-1))</f>
        <v>0.86286749427501719</v>
      </c>
      <c r="AN48" s="533" cm="1">
        <f t="array" aca="1" ref="AN48" ca="1">OFFSET(AN48,-4,0)*
OFFSET(MSP!$E$1,
MATCH(OFFSET($C42,((MATCH($C42,EL_List,0)-1)*-10)-1,0),MSP!$C:$C,0)+MATCH($C42,EL_List,0)-1,0)
*INDEX(Learning!$E$6:$S$41,(MATCH(AN$21,Dates,0)),(MATCH($C$21,Learning!$E$4:$S$4,0)+MATCH($C$42,Learning!$E$5:$S$5,0)-1))</f>
        <v>0.90118497828197908</v>
      </c>
      <c r="AO48" s="436"/>
      <c r="AP48" s="21"/>
    </row>
    <row r="49" spans="2:42" ht="15" customHeight="1" x14ac:dyDescent="0.35">
      <c r="B49" s="429"/>
      <c r="C49" s="777" t="s">
        <v>214</v>
      </c>
      <c r="D49" s="776"/>
      <c r="E49" s="533" cm="1">
        <f t="array" aca="1" ref="E49" ca="1">OFFSET(E49,-5,0)*
OFFSET(MSP!$F$1,
MATCH(OFFSET($C42,((MATCH($C42,EL_List,0)-1)*-10)-1,0),MSP!$C:$C,0)+MATCH($C42,EL_List,0)-1,0)
*INDEX(Learning!$E$6:$S$41,(MATCH(E$21,Dates,0)),(MATCH($C$21,Learning!$E$4:$S$4,0)+MATCH($C$42,Learning!$E$5:$S$5,0)-1))</f>
        <v>0.6653107074596144</v>
      </c>
      <c r="F49" s="533" cm="1">
        <f t="array" aca="1" ref="F49" ca="1">OFFSET(F49,-5,0)*
OFFSET(MSP!$F$1,
MATCH(OFFSET($C42,((MATCH($C42,EL_List,0)-1)*-10)-1,0),MSP!$C:$C,0)+MATCH($C42,EL_List,0)-1,0)
*INDEX(Learning!$E$6:$S$41,(MATCH(F$21,Dates,0)),(MATCH($C$21,Learning!$E$4:$S$4,0)+MATCH($C$42,Learning!$E$5:$S$5,0)-1))</f>
        <v>0.68907625720691978</v>
      </c>
      <c r="G49" s="533" cm="1">
        <f t="array" aca="1" ref="G49" ca="1">OFFSET(G49,-5,0)*
OFFSET(MSP!$F$1,
MATCH(OFFSET($C42,((MATCH($C42,EL_List,0)-1)*-10)-1,0),MSP!$C:$C,0)+MATCH($C42,EL_List,0)-1,0)
*INDEX(Learning!$E$6:$S$41,(MATCH(G$21,Dates,0)),(MATCH($C$21,Learning!$E$4:$S$4,0)+MATCH($C$42,Learning!$E$5:$S$5,0)-1))</f>
        <v>0.70998228993614454</v>
      </c>
      <c r="H49" s="533" cm="1">
        <f t="array" aca="1" ref="H49" ca="1">OFFSET(H49,-5,0)*
OFFSET(MSP!$F$1,
MATCH(OFFSET($C42,((MATCH($C42,EL_List,0)-1)*-10)-1,0),MSP!$C:$C,0)+MATCH($C42,EL_List,0)-1,0)
*INDEX(Learning!$E$6:$S$41,(MATCH(H$21,Dates,0)),(MATCH($C$21,Learning!$E$4:$S$4,0)+MATCH($C$42,Learning!$E$5:$S$5,0)-1))</f>
        <v>0.73826363419846441</v>
      </c>
      <c r="I49" s="533" cm="1">
        <f t="array" aca="1" ref="I49" ca="1">OFFSET(I49,-5,0)*
OFFSET(MSP!$F$1,
MATCH(OFFSET($C42,((MATCH($C42,EL_List,0)-1)*-10)-1,0),MSP!$C:$C,0)+MATCH($C42,EL_List,0)-1,0)
*INDEX(Learning!$E$6:$S$41,(MATCH(I$21,Dates,0)),(MATCH($C$21,Learning!$E$4:$S$4,0)+MATCH($C$42,Learning!$E$5:$S$5,0)-1))</f>
        <v>0.76849275126888184</v>
      </c>
      <c r="J49" s="533" cm="1">
        <f t="array" aca="1" ref="J49" ca="1">OFFSET(J49,-5,0)*
OFFSET(MSP!$F$1,
MATCH(OFFSET($C42,((MATCH($C42,EL_List,0)-1)*-10)-1,0),MSP!$C:$C,0)+MATCH($C42,EL_List,0)-1,0)
*INDEX(Learning!$E$6:$S$41,(MATCH(J$21,Dates,0)),(MATCH($C$21,Learning!$E$4:$S$4,0)+MATCH($C$42,Learning!$E$5:$S$5,0)-1))</f>
        <v>0.80197380366808857</v>
      </c>
      <c r="K49" s="533" cm="1">
        <f t="array" aca="1" ref="K49" ca="1">OFFSET(K49,-5,0)*
OFFSET(MSP!$F$1,
MATCH(OFFSET($C42,((MATCH($C42,EL_List,0)-1)*-10)-1,0),MSP!$C:$C,0)+MATCH($C42,EL_List,0)-1,0)
*INDEX(Learning!$E$6:$S$41,(MATCH(K$21,Dates,0)),(MATCH($C$21,Learning!$E$4:$S$4,0)+MATCH($C$42,Learning!$E$5:$S$5,0)-1))</f>
        <v>0.83817576523220072</v>
      </c>
      <c r="L49" s="533" cm="1">
        <f t="array" aca="1" ref="L49" ca="1">OFFSET(L49,-5,0)*
OFFSET(MSP!$F$1,
MATCH(OFFSET($C42,((MATCH($C42,EL_List,0)-1)*-10)-1,0),MSP!$C:$C,0)+MATCH($C42,EL_List,0)-1,0)
*INDEX(Learning!$E$6:$S$41,(MATCH(L$21,Dates,0)),(MATCH($C$21,Learning!$E$4:$S$4,0)+MATCH($C$42,Learning!$E$5:$S$5,0)-1))</f>
        <v>0.87723749842230869</v>
      </c>
      <c r="M49" s="533" cm="1">
        <f t="array" aca="1" ref="M49" ca="1">OFFSET(M49,-5,0)*
OFFSET(MSP!$F$1,
MATCH(OFFSET($C42,((MATCH($C42,EL_List,0)-1)*-10)-1,0),MSP!$C:$C,0)+MATCH($C42,EL_List,0)-1,0)
*INDEX(Learning!$E$6:$S$41,(MATCH(M$21,Dates,0)),(MATCH($C$21,Learning!$E$4:$S$4,0)+MATCH($C$42,Learning!$E$5:$S$5,0)-1))</f>
        <v>0.91686296054953897</v>
      </c>
      <c r="N49" s="533" cm="1">
        <f t="array" aca="1" ref="N49" ca="1">OFFSET(N49,-5,0)*
OFFSET(MSP!$F$1,
MATCH(OFFSET($C42,((MATCH($C42,EL_List,0)-1)*-10)-1,0),MSP!$C:$C,0)+MATCH($C42,EL_List,0)-1,0)
*INDEX(Learning!$E$6:$S$41,(MATCH(N$21,Dates,0)),(MATCH($C$21,Learning!$E$4:$S$4,0)+MATCH($C$42,Learning!$E$5:$S$5,0)-1))</f>
        <v>0.95847786368090149</v>
      </c>
      <c r="O49" s="533" cm="1">
        <f t="array" aca="1" ref="O49" ca="1">OFFSET(O49,-5,0)*
OFFSET(MSP!$F$1,
MATCH(OFFSET($C42,((MATCH($C42,EL_List,0)-1)*-10)-1,0),MSP!$C:$C,0)+MATCH($C42,EL_List,0)-1,0)
*INDEX(Learning!$E$6:$S$41,(MATCH(O$21,Dates,0)),(MATCH($C$21,Learning!$E$4:$S$4,0)+MATCH($C$42,Learning!$E$5:$S$5,0)-1))</f>
        <v>1.0011488932999235</v>
      </c>
      <c r="P49" s="533" cm="1">
        <f t="array" aca="1" ref="P49" ca="1">OFFSET(P49,-5,0)*
OFFSET(MSP!$F$1,
MATCH(OFFSET($C42,((MATCH($C42,EL_List,0)-1)*-10)-1,0),MSP!$C:$C,0)+MATCH($C42,EL_List,0)-1,0)
*INDEX(Learning!$E$6:$S$41,(MATCH(P$21,Dates,0)),(MATCH($C$21,Learning!$E$4:$S$4,0)+MATCH($C$42,Learning!$E$5:$S$5,0)-1))</f>
        <v>1.0461309633859257</v>
      </c>
      <c r="Q49" s="533" cm="1">
        <f t="array" aca="1" ref="Q49" ca="1">OFFSET(Q49,-5,0)*
OFFSET(MSP!$F$1,
MATCH(OFFSET($C42,((MATCH($C42,EL_List,0)-1)*-10)-1,0),MSP!$C:$C,0)+MATCH($C42,EL_List,0)-1,0)
*INDEX(Learning!$E$6:$S$41,(MATCH(Q$21,Dates,0)),(MATCH($C$21,Learning!$E$4:$S$4,0)+MATCH($C$42,Learning!$E$5:$S$5,0)-1))</f>
        <v>1.0916006714916335</v>
      </c>
      <c r="R49" s="533" cm="1">
        <f t="array" aca="1" ref="R49" ca="1">OFFSET(R49,-5,0)*
OFFSET(MSP!$F$1,
MATCH(OFFSET($C42,((MATCH($C42,EL_List,0)-1)*-10)-1,0),MSP!$C:$C,0)+MATCH($C42,EL_List,0)-1,0)
*INDEX(Learning!$E$6:$S$41,(MATCH(R$21,Dates,0)),(MATCH($C$21,Learning!$E$4:$S$4,0)+MATCH($C$42,Learning!$E$5:$S$5,0)-1))</f>
        <v>1.1400980800453966</v>
      </c>
      <c r="S49" s="533" cm="1">
        <f t="array" aca="1" ref="S49" ca="1">OFFSET(S49,-5,0)*
OFFSET(MSP!$F$1,
MATCH(OFFSET($C42,((MATCH($C42,EL_List,0)-1)*-10)-1,0),MSP!$C:$C,0)+MATCH($C42,EL_List,0)-1,0)
*INDEX(Learning!$E$6:$S$41,(MATCH(S$21,Dates,0)),(MATCH($C$21,Learning!$E$4:$S$4,0)+MATCH($C$42,Learning!$E$5:$S$5,0)-1))</f>
        <v>1.1895624093110164</v>
      </c>
      <c r="T49" s="533" cm="1">
        <f t="array" aca="1" ref="T49" ca="1">OFFSET(T49,-5,0)*
OFFSET(MSP!$F$1,
MATCH(OFFSET($C42,((MATCH($C42,EL_List,0)-1)*-10)-1,0),MSP!$C:$C,0)+MATCH($C42,EL_List,0)-1,0)
*INDEX(Learning!$E$6:$S$41,(MATCH(T$21,Dates,0)),(MATCH($C$21,Learning!$E$4:$S$4,0)+MATCH($C$42,Learning!$E$5:$S$5,0)-1))</f>
        <v>1.2425757734652361</v>
      </c>
      <c r="U49" s="533" cm="1">
        <f t="array" aca="1" ref="U49" ca="1">OFFSET(U49,-5,0)*
OFFSET(MSP!$F$1,
MATCH(OFFSET($C42,((MATCH($C42,EL_List,0)-1)*-10)-1,0),MSP!$C:$C,0)+MATCH($C42,EL_List,0)-1,0)
*INDEX(Learning!$E$6:$S$41,(MATCH(U$21,Dates,0)),(MATCH($C$21,Learning!$E$4:$S$4,0)+MATCH($C$42,Learning!$E$5:$S$5,0)-1))</f>
        <v>1.2981144873543178</v>
      </c>
      <c r="V49" s="533" cm="1">
        <f t="array" aca="1" ref="V49" ca="1">OFFSET(V49,-5,0)*
OFFSET(MSP!$F$1,
MATCH(OFFSET($C42,((MATCH($C42,EL_List,0)-1)*-10)-1,0),MSP!$C:$C,0)+MATCH($C42,EL_List,0)-1,0)
*INDEX(Learning!$E$6:$S$41,(MATCH(V$21,Dates,0)),(MATCH($C$21,Learning!$E$4:$S$4,0)+MATCH($C$42,Learning!$E$5:$S$5,0)-1))</f>
        <v>1.3560046673053965</v>
      </c>
      <c r="W49" s="533" cm="1">
        <f t="array" aca="1" ref="W49" ca="1">OFFSET(W49,-5,0)*
OFFSET(MSP!$F$1,
MATCH(OFFSET($C42,((MATCH($C42,EL_List,0)-1)*-10)-1,0),MSP!$C:$C,0)+MATCH($C42,EL_List,0)-1,0)
*INDEX(Learning!$E$6:$S$41,(MATCH(W$21,Dates,0)),(MATCH($C$21,Learning!$E$4:$S$4,0)+MATCH($C$42,Learning!$E$5:$S$5,0)-1))</f>
        <v>1.4163939670578343</v>
      </c>
      <c r="X49" s="533" cm="1">
        <f t="array" aca="1" ref="X49" ca="1">OFFSET(X49,-5,0)*
OFFSET(MSP!$F$1,
MATCH(OFFSET($C42,((MATCH($C42,EL_List,0)-1)*-10)-1,0),MSP!$C:$C,0)+MATCH($C42,EL_List,0)-1,0)
*INDEX(Learning!$E$6:$S$41,(MATCH(X$21,Dates,0)),(MATCH($C$21,Learning!$E$4:$S$4,0)+MATCH($C$42,Learning!$E$5:$S$5,0)-1))</f>
        <v>1.4809063938202593</v>
      </c>
      <c r="Y49" s="533" cm="1">
        <f t="array" aca="1" ref="Y49" ca="1">OFFSET(Y49,-5,0)*
OFFSET(MSP!$F$1,
MATCH(OFFSET($C42,((MATCH($C42,EL_List,0)-1)*-10)-1,0),MSP!$C:$C,0)+MATCH($C42,EL_List,0)-1,0)
*INDEX(Learning!$E$6:$S$41,(MATCH(Y$21,Dates,0)),(MATCH($C$21,Learning!$E$4:$S$4,0)+MATCH($C$42,Learning!$E$5:$S$5,0)-1))</f>
        <v>1.5465002498089353</v>
      </c>
      <c r="Z49" s="533" cm="1">
        <f t="array" aca="1" ref="Z49" ca="1">OFFSET(Z49,-5,0)*
OFFSET(MSP!$F$1,
MATCH(OFFSET($C42,((MATCH($C42,EL_List,0)-1)*-10)-1,0),MSP!$C:$C,0)+MATCH($C42,EL_List,0)-1,0)
*INDEX(Learning!$E$6:$S$41,(MATCH(Z$21,Dates,0)),(MATCH($C$21,Learning!$E$4:$S$4,0)+MATCH($C$42,Learning!$E$5:$S$5,0)-1))</f>
        <v>1.6147985661992759</v>
      </c>
      <c r="AA49" s="533" cm="1">
        <f t="array" aca="1" ref="AA49" ca="1">OFFSET(AA49,-5,0)*
OFFSET(MSP!$F$1,
MATCH(OFFSET($C42,((MATCH($C42,EL_List,0)-1)*-10)-1,0),MSP!$C:$C,0)+MATCH($C42,EL_List,0)-1,0)
*INDEX(Learning!$E$6:$S$41,(MATCH(AA$21,Dates,0)),(MATCH($C$21,Learning!$E$4:$S$4,0)+MATCH($C$42,Learning!$E$5:$S$5,0)-1))</f>
        <v>1.6877717013973961</v>
      </c>
      <c r="AB49" s="533" cm="1">
        <f t="array" aca="1" ref="AB49" ca="1">OFFSET(AB49,-5,0)*
OFFSET(MSP!$F$1,
MATCH(OFFSET($C42,((MATCH($C42,EL_List,0)-1)*-10)-1,0),MSP!$C:$C,0)+MATCH($C42,EL_List,0)-1,0)
*INDEX(Learning!$E$6:$S$41,(MATCH(AB$21,Dates,0)),(MATCH($C$21,Learning!$E$4:$S$4,0)+MATCH($C$42,Learning!$E$5:$S$5,0)-1))</f>
        <v>1.7619706296216497</v>
      </c>
      <c r="AC49" s="533" cm="1">
        <f t="array" aca="1" ref="AC49" ca="1">OFFSET(AC49,-5,0)*
OFFSET(MSP!$F$1,
MATCH(OFFSET($C42,((MATCH($C42,EL_List,0)-1)*-10)-1,0),MSP!$C:$C,0)+MATCH($C42,EL_List,0)-1,0)
*INDEX(Learning!$E$6:$S$41,(MATCH(AC$21,Dates,0)),(MATCH($C$21,Learning!$E$4:$S$4,0)+MATCH($C$42,Learning!$E$5:$S$5,0)-1))</f>
        <v>1.8413310125161426</v>
      </c>
      <c r="AD49" s="533" cm="1">
        <f t="array" aca="1" ref="AD49" ca="1">OFFSET(AD49,-5,0)*
OFFSET(MSP!$F$1,
MATCH(OFFSET($C42,((MATCH($C42,EL_List,0)-1)*-10)-1,0),MSP!$C:$C,0)+MATCH($C42,EL_List,0)-1,0)
*INDEX(Learning!$E$6:$S$41,(MATCH(AD$21,Dates,0)),(MATCH($C$21,Learning!$E$4:$S$4,0)+MATCH($C$42,Learning!$E$5:$S$5,0)-1))</f>
        <v>1.9220316399910362</v>
      </c>
      <c r="AE49" s="533" cm="1">
        <f t="array" aca="1" ref="AE49" ca="1">OFFSET(AE49,-5,0)*
OFFSET(MSP!$F$1,
MATCH(OFFSET($C42,((MATCH($C42,EL_List,0)-1)*-10)-1,0),MSP!$C:$C,0)+MATCH($C42,EL_List,0)-1,0)
*INDEX(Learning!$E$6:$S$41,(MATCH(AE$21,Dates,0)),(MATCH($C$21,Learning!$E$4:$S$4,0)+MATCH($C$42,Learning!$E$5:$S$5,0)-1))</f>
        <v>2.0083860562481748</v>
      </c>
      <c r="AF49" s="533" cm="1">
        <f t="array" aca="1" ref="AF49" ca="1">OFFSET(AF49,-5,0)*
OFFSET(MSP!$F$1,
MATCH(OFFSET($C42,((MATCH($C42,EL_List,0)-1)*-10)-1,0),MSP!$C:$C,0)+MATCH($C42,EL_List,0)-1,0)
*INDEX(Learning!$E$6:$S$41,(MATCH(AF$21,Dates,0)),(MATCH($C$21,Learning!$E$4:$S$4,0)+MATCH($C$42,Learning!$E$5:$S$5,0)-1))</f>
        <v>2.098512870157939</v>
      </c>
      <c r="AG49" s="533" cm="1">
        <f t="array" aca="1" ref="AG49" ca="1">OFFSET(AG49,-5,0)*
OFFSET(MSP!$F$1,
MATCH(OFFSET($C42,((MATCH($C42,EL_List,0)-1)*-10)-1,0),MSP!$C:$C,0)+MATCH($C42,EL_List,0)-1,0)
*INDEX(Learning!$E$6:$S$41,(MATCH(AG$21,Dates,0)),(MATCH($C$21,Learning!$E$4:$S$4,0)+MATCH($C$42,Learning!$E$5:$S$5,0)-1))</f>
        <v>2.1925657927451043</v>
      </c>
      <c r="AH49" s="533" cm="1">
        <f t="array" aca="1" ref="AH49" ca="1">OFFSET(AH49,-5,0)*
OFFSET(MSP!$F$1,
MATCH(OFFSET($C42,((MATCH($C42,EL_List,0)-1)*-10)-1,0),MSP!$C:$C,0)+MATCH($C42,EL_List,0)-1,0)
*INDEX(Learning!$E$6:$S$41,(MATCH(AH$21,Dates,0)),(MATCH($C$21,Learning!$E$4:$S$4,0)+MATCH($C$42,Learning!$E$5:$S$5,0)-1))</f>
        <v>2.2907051074344005</v>
      </c>
      <c r="AI49" s="533" cm="1">
        <f t="array" aca="1" ref="AI49" ca="1">OFFSET(AI49,-5,0)*
OFFSET(MSP!$F$1,
MATCH(OFFSET($C42,((MATCH($C42,EL_List,0)-1)*-10)-1,0),MSP!$C:$C,0)+MATCH($C42,EL_List,0)-1,0)
*INDEX(Learning!$E$6:$S$41,(MATCH(AI$21,Dates,0)),(MATCH($C$21,Learning!$E$4:$S$4,0)+MATCH($C$42,Learning!$E$5:$S$5,0)-1))</f>
        <v>2.3931004339419384</v>
      </c>
      <c r="AJ49" s="533" cm="1">
        <f t="array" aca="1" ref="AJ49" ca="1">OFFSET(AJ49,-5,0)*
OFFSET(MSP!$F$1,
MATCH(OFFSET($C42,((MATCH($C42,EL_List,0)-1)*-10)-1,0),MSP!$C:$C,0)+MATCH($C42,EL_List,0)-1,0)
*INDEX(Learning!$E$6:$S$41,(MATCH(AJ$21,Dates,0)),(MATCH($C$21,Learning!$E$4:$S$4,0)+MATCH($C$42,Learning!$E$5:$S$5,0)-1))</f>
        <v>2.4999320549391726</v>
      </c>
      <c r="AK49" s="533" cm="1">
        <f t="array" aca="1" ref="AK49" ca="1">OFFSET(AK49,-5,0)*
OFFSET(MSP!$F$1,
MATCH(OFFSET($C42,((MATCH($C42,EL_List,0)-1)*-10)-1,0),MSP!$C:$C,0)+MATCH($C42,EL_List,0)-1,0)
*INDEX(Learning!$E$6:$S$41,(MATCH(AK$21,Dates,0)),(MATCH($C$21,Learning!$E$4:$S$4,0)+MATCH($C$42,Learning!$E$5:$S$5,0)-1))</f>
        <v>2.6113907179575295</v>
      </c>
      <c r="AL49" s="533" cm="1">
        <f t="array" aca="1" ref="AL49" ca="1">OFFSET(AL49,-5,0)*
OFFSET(MSP!$F$1,
MATCH(OFFSET($C42,((MATCH($C42,EL_List,0)-1)*-10)-1,0),MSP!$C:$C,0)+MATCH($C42,EL_List,0)-1,0)
*INDEX(Learning!$E$6:$S$41,(MATCH(AL$21,Dates,0)),(MATCH($C$21,Learning!$E$4:$S$4,0)+MATCH($C$42,Learning!$E$5:$S$5,0)-1))</f>
        <v>2.7276768048102786</v>
      </c>
      <c r="AM49" s="533" cm="1">
        <f t="array" aca="1" ref="AM49" ca="1">OFFSET(AM49,-5,0)*
OFFSET(MSP!$F$1,
MATCH(OFFSET($C42,((MATCH($C42,EL_List,0)-1)*-10)-1,0),MSP!$C:$C,0)+MATCH($C42,EL_List,0)-1,0)
*INDEX(Learning!$E$6:$S$41,(MATCH(AM$21,Dates,0)),(MATCH($C$21,Learning!$E$4:$S$4,0)+MATCH($C$42,Learning!$E$5:$S$5,0)-1))</f>
        <v>2.8489996763962182</v>
      </c>
      <c r="AN49" s="533" cm="1">
        <f t="array" aca="1" ref="AN49" ca="1">OFFSET(AN49,-5,0)*
OFFSET(MSP!$F$1,
MATCH(OFFSET($C42,((MATCH($C42,EL_List,0)-1)*-10)-1,0),MSP!$C:$C,0)+MATCH($C42,EL_List,0)-1,0)
*INDEX(Learning!$E$6:$S$41,(MATCH(AN$21,Dates,0)),(MATCH($C$21,Learning!$E$4:$S$4,0)+MATCH($C$42,Learning!$E$5:$S$5,0)-1))</f>
        <v>2.9755156249751744</v>
      </c>
      <c r="AO49" s="436"/>
      <c r="AP49" s="21"/>
    </row>
    <row r="50" spans="2:42" ht="15" customHeight="1" collapsed="1" x14ac:dyDescent="0.35">
      <c r="B50" s="429"/>
      <c r="C50" s="777" t="s">
        <v>215</v>
      </c>
      <c r="D50" s="776"/>
      <c r="E50" s="531" cm="1">
        <f t="array" aca="1" ref="E50" ca="1">OFFSET(E50,-6,0)*
OFFSET(MSP!$G$1,
MATCH(OFFSET($C42,((MATCH($C42,EL_List,0)-1)*-10)-1,0),MSP!$C:$C,0)+MATCH($C42,EL_List,0)-1,0)
*INDEX(Learning!$E$6:$S$41,(MATCH(E$21,Dates,0)),(MATCH($C$21,Learning!$E$4:$S$4,0)+MATCH($C$42,Learning!$E$5:$S$5,0)-1))</f>
        <v>0.25371469496828986</v>
      </c>
      <c r="F50" s="531" cm="1">
        <f t="array" aca="1" ref="F50" ca="1">OFFSET(F50,-6,0)*
OFFSET(MSP!$G$1,
MATCH(OFFSET($C42,((MATCH($C42,EL_List,0)-1)*-10)-1,0),MSP!$C:$C,0)+MATCH($C42,EL_List,0)-1,0)
*INDEX(Learning!$E$6:$S$41,(MATCH(F$21,Dates,0)),(MATCH($C$21,Learning!$E$4:$S$4,0)+MATCH($C$42,Learning!$E$5:$S$5,0)-1))</f>
        <v>0.26277763223547229</v>
      </c>
      <c r="G50" s="531" cm="1">
        <f t="array" aca="1" ref="G50" ca="1">OFFSET(G50,-6,0)*
OFFSET(MSP!$G$1,
MATCH(OFFSET($C42,((MATCH($C42,EL_List,0)-1)*-10)-1,0),MSP!$C:$C,0)+MATCH($C42,EL_List,0)-1,0)
*INDEX(Learning!$E$6:$S$41,(MATCH(G$21,Dates,0)),(MATCH($C$21,Learning!$E$4:$S$4,0)+MATCH($C$42,Learning!$E$5:$S$5,0)-1))</f>
        <v>0.27075009932103222</v>
      </c>
      <c r="H50" s="531" cm="1">
        <f t="array" aca="1" ref="H50" ca="1">OFFSET(H50,-6,0)*
OFFSET(MSP!$G$1,
MATCH(OFFSET($C42,((MATCH($C42,EL_List,0)-1)*-10)-1,0),MSP!$C:$C,0)+MATCH($C42,EL_List,0)-1,0)
*INDEX(Learning!$E$6:$S$41,(MATCH(H$21,Dates,0)),(MATCH($C$21,Learning!$E$4:$S$4,0)+MATCH($C$42,Learning!$E$5:$S$5,0)-1))</f>
        <v>0.28153512435122569</v>
      </c>
      <c r="I50" s="531" cm="1">
        <f t="array" aca="1" ref="I50" ca="1">OFFSET(I50,-6,0)*
OFFSET(MSP!$G$1,
MATCH(OFFSET($C42,((MATCH($C42,EL_List,0)-1)*-10)-1,0),MSP!$C:$C,0)+MATCH($C42,EL_List,0)-1,0)
*INDEX(Learning!$E$6:$S$41,(MATCH(I$21,Dates,0)),(MATCH($C$21,Learning!$E$4:$S$4,0)+MATCH($C$42,Learning!$E$5:$S$5,0)-1))</f>
        <v>0.29306292802353806</v>
      </c>
      <c r="J50" s="531" cm="1">
        <f t="array" aca="1" ref="J50" ca="1">OFFSET(J50,-6,0)*
OFFSET(MSP!$G$1,
MATCH(OFFSET($C42,((MATCH($C42,EL_List,0)-1)*-10)-1,0),MSP!$C:$C,0)+MATCH($C42,EL_List,0)-1,0)
*INDEX(Learning!$E$6:$S$41,(MATCH(J$21,Dates,0)),(MATCH($C$21,Learning!$E$4:$S$4,0)+MATCH($C$42,Learning!$E$5:$S$5,0)-1))</f>
        <v>0.30583084968996893</v>
      </c>
      <c r="K50" s="531" cm="1">
        <f t="array" aca="1" ref="K50" ca="1">OFFSET(K50,-6,0)*
OFFSET(MSP!$G$1,
MATCH(OFFSET($C42,((MATCH($C42,EL_List,0)-1)*-10)-1,0),MSP!$C:$C,0)+MATCH($C42,EL_List,0)-1,0)
*INDEX(Learning!$E$6:$S$41,(MATCH(K$21,Dates,0)),(MATCH($C$21,Learning!$E$4:$S$4,0)+MATCH($C$42,Learning!$E$5:$S$5,0)-1))</f>
        <v>0.31963638375474274</v>
      </c>
      <c r="L50" s="531" cm="1">
        <f t="array" aca="1" ref="L50" ca="1">OFFSET(L50,-6,0)*
OFFSET(MSP!$G$1,
MATCH(OFFSET($C42,((MATCH($C42,EL_List,0)-1)*-10)-1,0),MSP!$C:$C,0)+MATCH($C42,EL_List,0)-1,0)
*INDEX(Learning!$E$6:$S$41,(MATCH(L$21,Dates,0)),(MATCH($C$21,Learning!$E$4:$S$4,0)+MATCH($C$42,Learning!$E$5:$S$5,0)-1))</f>
        <v>0.334532485095277</v>
      </c>
      <c r="M50" s="531" cm="1">
        <f t="array" aca="1" ref="M50" ca="1">OFFSET(M50,-6,0)*
OFFSET(MSP!$G$1,
MATCH(OFFSET($C42,((MATCH($C42,EL_List,0)-1)*-10)-1,0),MSP!$C:$C,0)+MATCH($C42,EL_List,0)-1,0)
*INDEX(Learning!$E$6:$S$41,(MATCH(M$21,Dates,0)),(MATCH($C$21,Learning!$E$4:$S$4,0)+MATCH($C$42,Learning!$E$5:$S$5,0)-1))</f>
        <v>0.3496435631583007</v>
      </c>
      <c r="N50" s="531" cm="1">
        <f t="array" aca="1" ref="N50" ca="1">OFFSET(N50,-6,0)*
OFFSET(MSP!$G$1,
MATCH(OFFSET($C42,((MATCH($C42,EL_List,0)-1)*-10)-1,0),MSP!$C:$C,0)+MATCH($C42,EL_List,0)-1,0)
*INDEX(Learning!$E$6:$S$41,(MATCH(N$21,Dates,0)),(MATCH($C$21,Learning!$E$4:$S$4,0)+MATCH($C$42,Learning!$E$5:$S$5,0)-1))</f>
        <v>0.36551330993334341</v>
      </c>
      <c r="O50" s="531" cm="1">
        <f t="array" aca="1" ref="O50" ca="1">OFFSET(O50,-6,0)*
OFFSET(MSP!$G$1,
MATCH(OFFSET($C42,((MATCH($C42,EL_List,0)-1)*-10)-1,0),MSP!$C:$C,0)+MATCH($C42,EL_List,0)-1,0)
*INDEX(Learning!$E$6:$S$41,(MATCH(O$21,Dates,0)),(MATCH($C$21,Learning!$E$4:$S$4,0)+MATCH($C$42,Learning!$E$5:$S$5,0)-1))</f>
        <v>0.38178580809455803</v>
      </c>
      <c r="P50" s="531" cm="1">
        <f t="array" aca="1" ref="P50" ca="1">OFFSET(P50,-6,0)*
OFFSET(MSP!$G$1,
MATCH(OFFSET($C42,((MATCH($C42,EL_List,0)-1)*-10)-1,0),MSP!$C:$C,0)+MATCH($C42,EL_List,0)-1,0)
*INDEX(Learning!$E$6:$S$41,(MATCH(P$21,Dates,0)),(MATCH($C$21,Learning!$E$4:$S$4,0)+MATCH($C$42,Learning!$E$5:$S$5,0)-1))</f>
        <v>0.39893961617693446</v>
      </c>
      <c r="Q50" s="531" cm="1">
        <f t="array" aca="1" ref="Q50" ca="1">OFFSET(Q50,-6,0)*
OFFSET(MSP!$G$1,
MATCH(OFFSET($C42,((MATCH($C42,EL_List,0)-1)*-10)-1,0),MSP!$C:$C,0)+MATCH($C42,EL_List,0)-1,0)
*INDEX(Learning!$E$6:$S$41,(MATCH(Q$21,Dates,0)),(MATCH($C$21,Learning!$E$4:$S$4,0)+MATCH($C$42,Learning!$E$5:$S$5,0)-1))</f>
        <v>0.41627938388695146</v>
      </c>
      <c r="R50" s="531" cm="1">
        <f t="array" aca="1" ref="R50" ca="1">OFFSET(R50,-6,0)*
OFFSET(MSP!$G$1,
MATCH(OFFSET($C42,((MATCH($C42,EL_List,0)-1)*-10)-1,0),MSP!$C:$C,0)+MATCH($C42,EL_List,0)-1,0)
*INDEX(Learning!$E$6:$S$41,(MATCH(R$21,Dates,0)),(MATCH($C$21,Learning!$E$4:$S$4,0)+MATCH($C$42,Learning!$E$5:$S$5,0)-1))</f>
        <v>0.43477375813947694</v>
      </c>
      <c r="S50" s="531" cm="1">
        <f t="array" aca="1" ref="S50" ca="1">OFFSET(S50,-6,0)*
OFFSET(MSP!$G$1,
MATCH(OFFSET($C42,((MATCH($C42,EL_List,0)-1)*-10)-1,0),MSP!$C:$C,0)+MATCH($C42,EL_List,0)-1,0)
*INDEX(Learning!$E$6:$S$41,(MATCH(S$21,Dates,0)),(MATCH($C$21,Learning!$E$4:$S$4,0)+MATCH($C$42,Learning!$E$5:$S$5,0)-1))</f>
        <v>0.45363686536250253</v>
      </c>
      <c r="T50" s="531" cm="1">
        <f t="array" aca="1" ref="T50" ca="1">OFFSET(T50,-6,0)*
OFFSET(MSP!$G$1,
MATCH(OFFSET($C42,((MATCH($C42,EL_List,0)-1)*-10)-1,0),MSP!$C:$C,0)+MATCH($C42,EL_List,0)-1,0)
*INDEX(Learning!$E$6:$S$41,(MATCH(T$21,Dates,0)),(MATCH($C$21,Learning!$E$4:$S$4,0)+MATCH($C$42,Learning!$E$5:$S$5,0)-1))</f>
        <v>0.47385338880759859</v>
      </c>
      <c r="U50" s="531" cm="1">
        <f t="array" aca="1" ref="U50" ca="1">OFFSET(U50,-6,0)*
OFFSET(MSP!$G$1,
MATCH(OFFSET($C42,((MATCH($C42,EL_List,0)-1)*-10)-1,0),MSP!$C:$C,0)+MATCH($C42,EL_List,0)-1,0)
*INDEX(Learning!$E$6:$S$41,(MATCH(U$21,Dates,0)),(MATCH($C$21,Learning!$E$4:$S$4,0)+MATCH($C$42,Learning!$E$5:$S$5,0)-1))</f>
        <v>0.49503294851602969</v>
      </c>
      <c r="V50" s="531" cm="1">
        <f t="array" aca="1" ref="V50" ca="1">OFFSET(V50,-6,0)*
OFFSET(MSP!$G$1,
MATCH(OFFSET($C42,((MATCH($C42,EL_List,0)-1)*-10)-1,0),MSP!$C:$C,0)+MATCH($C42,EL_List,0)-1,0)
*INDEX(Learning!$E$6:$S$41,(MATCH(V$21,Dates,0)),(MATCH($C$21,Learning!$E$4:$S$4,0)+MATCH($C$42,Learning!$E$5:$S$5,0)-1))</f>
        <v>0.517109234352507</v>
      </c>
      <c r="W50" s="531" cm="1">
        <f t="array" aca="1" ref="W50" ca="1">OFFSET(W50,-6,0)*
OFFSET(MSP!$G$1,
MATCH(OFFSET($C42,((MATCH($C42,EL_List,0)-1)*-10)-1,0),MSP!$C:$C,0)+MATCH($C42,EL_List,0)-1,0)
*INDEX(Learning!$E$6:$S$41,(MATCH(W$21,Dates,0)),(MATCH($C$21,Learning!$E$4:$S$4,0)+MATCH($C$42,Learning!$E$5:$S$5,0)-1))</f>
        <v>0.54013855372802355</v>
      </c>
      <c r="X50" s="531" cm="1">
        <f t="array" aca="1" ref="X50" ca="1">OFFSET(X50,-6,0)*
OFFSET(MSP!$G$1,
MATCH(OFFSET($C42,((MATCH($C42,EL_List,0)-1)*-10)-1,0),MSP!$C:$C,0)+MATCH($C42,EL_List,0)-1,0)
*INDEX(Learning!$E$6:$S$41,(MATCH(X$21,Dates,0)),(MATCH($C$21,Learning!$E$4:$S$4,0)+MATCH($C$42,Learning!$E$5:$S$5,0)-1))</f>
        <v>0.5647402180243799</v>
      </c>
      <c r="Y50" s="531" cm="1">
        <f t="array" aca="1" ref="Y50" ca="1">OFFSET(Y50,-6,0)*
OFFSET(MSP!$G$1,
MATCH(OFFSET($C42,((MATCH($C42,EL_List,0)-1)*-10)-1,0),MSP!$C:$C,0)+MATCH($C42,EL_List,0)-1,0)
*INDEX(Learning!$E$6:$S$41,(MATCH(Y$21,Dates,0)),(MATCH($C$21,Learning!$E$4:$S$4,0)+MATCH($C$42,Learning!$E$5:$S$5,0)-1))</f>
        <v>0.58975428284757558</v>
      </c>
      <c r="Z50" s="531" cm="1">
        <f t="array" aca="1" ref="Z50" ca="1">OFFSET(Z50,-6,0)*
OFFSET(MSP!$G$1,
MATCH(OFFSET($C42,((MATCH($C42,EL_List,0)-1)*-10)-1,0),MSP!$C:$C,0)+MATCH($C42,EL_List,0)-1,0)
*INDEX(Learning!$E$6:$S$41,(MATCH(Z$21,Dates,0)),(MATCH($C$21,Learning!$E$4:$S$4,0)+MATCH($C$42,Learning!$E$5:$S$5,0)-1))</f>
        <v>0.61579968737140822</v>
      </c>
      <c r="AA50" s="531" cm="1">
        <f t="array" aca="1" ref="AA50" ca="1">OFFSET(AA50,-6,0)*
OFFSET(MSP!$G$1,
MATCH(OFFSET($C42,((MATCH($C42,EL_List,0)-1)*-10)-1,0),MSP!$C:$C,0)+MATCH($C42,EL_List,0)-1,0)
*INDEX(Learning!$E$6:$S$41,(MATCH(AA$21,Dates,0)),(MATCH($C$21,Learning!$E$4:$S$4,0)+MATCH($C$42,Learning!$E$5:$S$5,0)-1))</f>
        <v>0.64362782320340939</v>
      </c>
      <c r="AB50" s="531" cm="1">
        <f t="array" aca="1" ref="AB50" ca="1">OFFSET(AB50,-6,0)*
OFFSET(MSP!$G$1,
MATCH(OFFSET($C42,((MATCH($C42,EL_List,0)-1)*-10)-1,0),MSP!$C:$C,0)+MATCH($C42,EL_List,0)-1,0)
*INDEX(Learning!$E$6:$S$41,(MATCH(AB$21,Dates,0)),(MATCH($C$21,Learning!$E$4:$S$4,0)+MATCH($C$42,Learning!$E$5:$S$5,0)-1))</f>
        <v>0.67192341236245379</v>
      </c>
      <c r="AC50" s="531" cm="1">
        <f t="array" aca="1" ref="AC50" ca="1">OFFSET(AC50,-6,0)*
OFFSET(MSP!$G$1,
MATCH(OFFSET($C42,((MATCH($C42,EL_List,0)-1)*-10)-1,0),MSP!$C:$C,0)+MATCH($C42,EL_List,0)-1,0)
*INDEX(Learning!$E$6:$S$41,(MATCH(AC$21,Dates,0)),(MATCH($C$21,Learning!$E$4:$S$4,0)+MATCH($C$42,Learning!$E$5:$S$5,0)-1))</f>
        <v>0.70218731028696624</v>
      </c>
      <c r="AD50" s="531" cm="1">
        <f t="array" aca="1" ref="AD50" ca="1">OFFSET(AD50,-6,0)*
OFFSET(MSP!$G$1,
MATCH(OFFSET($C42,((MATCH($C42,EL_List,0)-1)*-10)-1,0),MSP!$C:$C,0)+MATCH($C42,EL_List,0)-1,0)
*INDEX(Learning!$E$6:$S$41,(MATCH(AD$21,Dates,0)),(MATCH($C$21,Learning!$E$4:$S$4,0)+MATCH($C$42,Learning!$E$5:$S$5,0)-1))</f>
        <v>0.73296230737324886</v>
      </c>
      <c r="AE50" s="531" cm="1">
        <f t="array" aca="1" ref="AE50" ca="1">OFFSET(AE50,-6,0)*
OFFSET(MSP!$G$1,
MATCH(OFFSET($C42,((MATCH($C42,EL_List,0)-1)*-10)-1,0),MSP!$C:$C,0)+MATCH($C42,EL_List,0)-1,0)
*INDEX(Learning!$E$6:$S$41,(MATCH(AE$21,Dates,0)),(MATCH($C$21,Learning!$E$4:$S$4,0)+MATCH($C$42,Learning!$E$5:$S$5,0)-1))</f>
        <v>0.76589336369654515</v>
      </c>
      <c r="AF50" s="531" cm="1">
        <f t="array" aca="1" ref="AF50" ca="1">OFFSET(AF50,-6,0)*
OFFSET(MSP!$G$1,
MATCH(OFFSET($C42,((MATCH($C42,EL_List,0)-1)*-10)-1,0),MSP!$C:$C,0)+MATCH($C42,EL_List,0)-1,0)
*INDEX(Learning!$E$6:$S$41,(MATCH(AF$21,Dates,0)),(MATCH($C$21,Learning!$E$4:$S$4,0)+MATCH($C$42,Learning!$E$5:$S$5,0)-1))</f>
        <v>0.80026301511383824</v>
      </c>
      <c r="AG50" s="531" cm="1">
        <f t="array" aca="1" ref="AG50" ca="1">OFFSET(AG50,-6,0)*
OFFSET(MSP!$G$1,
MATCH(OFFSET($C42,((MATCH($C42,EL_List,0)-1)*-10)-1,0),MSP!$C:$C,0)+MATCH($C42,EL_List,0)-1,0)
*INDEX(Learning!$E$6:$S$41,(MATCH(AG$21,Dates,0)),(MATCH($C$21,Learning!$E$4:$S$4,0)+MATCH($C$42,Learning!$E$5:$S$5,0)-1))</f>
        <v>0.83612987896786295</v>
      </c>
      <c r="AH50" s="531" cm="1">
        <f t="array" aca="1" ref="AH50" ca="1">OFFSET(AH50,-6,0)*
OFFSET(MSP!$G$1,
MATCH(OFFSET($C42,((MATCH($C42,EL_List,0)-1)*-10)-1,0),MSP!$C:$C,0)+MATCH($C42,EL_List,0)-1,0)
*INDEX(Learning!$E$6:$S$41,(MATCH(AH$21,Dates,0)),(MATCH($C$21,Learning!$E$4:$S$4,0)+MATCH($C$42,Learning!$E$5:$S$5,0)-1))</f>
        <v>0.87355507897083029</v>
      </c>
      <c r="AI50" s="531" cm="1">
        <f t="array" aca="1" ref="AI50" ca="1">OFFSET(AI50,-6,0)*
OFFSET(MSP!$G$1,
MATCH(OFFSET($C42,((MATCH($C42,EL_List,0)-1)*-10)-1,0),MSP!$C:$C,0)+MATCH($C42,EL_List,0)-1,0)
*INDEX(Learning!$E$6:$S$41,(MATCH(AI$21,Dates,0)),(MATCH($C$21,Learning!$E$4:$S$4,0)+MATCH($C$42,Learning!$E$5:$S$5,0)-1))</f>
        <v>0.91260329920801242</v>
      </c>
      <c r="AJ50" s="531" cm="1">
        <f t="array" aca="1" ref="AJ50" ca="1">OFFSET(AJ50,-6,0)*
OFFSET(MSP!$G$1,
MATCH(OFFSET($C42,((MATCH($C42,EL_List,0)-1)*-10)-1,0),MSP!$C:$C,0)+MATCH($C42,EL_List,0)-1,0)
*INDEX(Learning!$E$6:$S$41,(MATCH(AJ$21,Dates,0)),(MATCH($C$21,Learning!$E$4:$S$4,0)+MATCH($C$42,Learning!$E$5:$S$5,0)-1))</f>
        <v>0.95334329005796636</v>
      </c>
      <c r="AK50" s="531" cm="1">
        <f t="array" aca="1" ref="AK50" ca="1">OFFSET(AK50,-6,0)*
OFFSET(MSP!$G$1,
MATCH(OFFSET($C42,((MATCH($C42,EL_List,0)-1)*-10)-1,0),MSP!$C:$C,0)+MATCH($C42,EL_List,0)-1,0)
*INDEX(Learning!$E$6:$S$41,(MATCH(AK$21,Dates,0)),(MATCH($C$21,Learning!$E$4:$S$4,0)+MATCH($C$42,Learning!$E$5:$S$5,0)-1))</f>
        <v>0.99584779264932533</v>
      </c>
      <c r="AL50" s="531" cm="1">
        <f t="array" aca="1" ref="AL50" ca="1">OFFSET(AL50,-6,0)*
OFFSET(MSP!$G$1,
MATCH(OFFSET($C42,((MATCH($C42,EL_List,0)-1)*-10)-1,0),MSP!$C:$C,0)+MATCH($C42,EL_List,0)-1,0)
*INDEX(Learning!$E$6:$S$41,(MATCH(AL$21,Dates,0)),(MATCH($C$21,Learning!$E$4:$S$4,0)+MATCH($C$42,Learning!$E$5:$S$5,0)-1))</f>
        <v>1.0401932221217529</v>
      </c>
      <c r="AM50" s="531" cm="1">
        <f t="array" aca="1" ref="AM50" ca="1">OFFSET(AM50,-6,0)*
OFFSET(MSP!$G$1,
MATCH(OFFSET($C42,((MATCH($C42,EL_List,0)-1)*-10)-1,0),MSP!$C:$C,0)+MATCH($C42,EL_List,0)-1,0)
*INDEX(Learning!$E$6:$S$41,(MATCH(AM$21,Dates,0)),(MATCH($C$21,Learning!$E$4:$S$4,0)+MATCH($C$42,Learning!$E$5:$S$5,0)-1))</f>
        <v>1.0864594177683518</v>
      </c>
      <c r="AN50" s="531" cm="1">
        <f t="array" aca="1" ref="AN50" ca="1">OFFSET(AN50,-6,0)*
OFFSET(MSP!$G$1,
MATCH(OFFSET($C42,((MATCH($C42,EL_List,0)-1)*-10)-1,0),MSP!$C:$C,0)+MATCH($C42,EL_List,0)-1,0)
*INDEX(Learning!$E$6:$S$41,(MATCH(AN$21,Dates,0)),(MATCH($C$21,Learning!$E$4:$S$4,0)+MATCH($C$42,Learning!$E$5:$S$5,0)-1))</f>
        <v>1.1347059812798554</v>
      </c>
      <c r="AO50" s="436"/>
      <c r="AP50" s="21"/>
    </row>
    <row r="51" spans="2:42" ht="15" customHeight="1" x14ac:dyDescent="0.35">
      <c r="B51" s="429"/>
      <c r="C51" s="776"/>
      <c r="D51" s="776"/>
      <c r="E51" s="776"/>
      <c r="F51" s="776"/>
      <c r="G51" s="776"/>
      <c r="H51" s="776"/>
      <c r="I51" s="776"/>
      <c r="J51" s="776"/>
      <c r="K51" s="776"/>
      <c r="L51" s="776"/>
      <c r="M51" s="776"/>
      <c r="N51" s="776"/>
      <c r="O51" s="776"/>
      <c r="P51" s="776"/>
      <c r="Q51" s="776"/>
      <c r="R51" s="776"/>
      <c r="S51" s="776"/>
      <c r="T51" s="776"/>
      <c r="U51" s="776"/>
      <c r="V51" s="776"/>
      <c r="W51" s="776"/>
      <c r="X51" s="776"/>
      <c r="Y51" s="776"/>
      <c r="Z51" s="776"/>
      <c r="AA51" s="776"/>
      <c r="AB51" s="776"/>
      <c r="AC51" s="776"/>
      <c r="AD51" s="776"/>
      <c r="AE51" s="776"/>
      <c r="AF51" s="776"/>
      <c r="AG51" s="776"/>
      <c r="AH51" s="776"/>
      <c r="AI51" s="776"/>
      <c r="AJ51" s="776"/>
      <c r="AK51" s="776"/>
      <c r="AL51" s="776"/>
      <c r="AM51" s="776"/>
      <c r="AN51" s="776"/>
      <c r="AO51" s="436"/>
      <c r="AP51" s="21"/>
    </row>
    <row r="52" spans="2:42" ht="15" customHeight="1" x14ac:dyDescent="0.35">
      <c r="B52" s="429"/>
      <c r="C52" s="772" t="s">
        <v>343</v>
      </c>
      <c r="D52" s="776"/>
      <c r="E52" s="776"/>
      <c r="F52" s="776"/>
      <c r="G52" s="776"/>
      <c r="H52" s="776"/>
      <c r="I52" s="776"/>
      <c r="J52" s="776"/>
      <c r="K52" s="776"/>
      <c r="L52" s="776"/>
      <c r="M52" s="776"/>
      <c r="N52" s="776"/>
      <c r="O52" s="776"/>
      <c r="P52" s="776"/>
      <c r="Q52" s="776"/>
      <c r="R52" s="776"/>
      <c r="S52" s="776"/>
      <c r="T52" s="776"/>
      <c r="U52" s="776"/>
      <c r="V52" s="776"/>
      <c r="W52" s="776"/>
      <c r="X52" s="776"/>
      <c r="Y52" s="776"/>
      <c r="Z52" s="776"/>
      <c r="AA52" s="776"/>
      <c r="AB52" s="776"/>
      <c r="AC52" s="776"/>
      <c r="AD52" s="776"/>
      <c r="AE52" s="776"/>
      <c r="AF52" s="776"/>
      <c r="AG52" s="776"/>
      <c r="AH52" s="776"/>
      <c r="AI52" s="776"/>
      <c r="AJ52" s="776"/>
      <c r="AK52" s="776"/>
      <c r="AL52" s="776"/>
      <c r="AM52" s="776"/>
      <c r="AN52" s="776"/>
      <c r="AO52" s="436"/>
      <c r="AP52" s="21"/>
    </row>
    <row r="53" spans="2:42" ht="15" customHeight="1" x14ac:dyDescent="0.35">
      <c r="B53" s="429"/>
      <c r="C53" s="777" t="s">
        <v>10</v>
      </c>
      <c r="D53" s="776"/>
      <c r="E53" s="778" cm="1">
        <f t="array" aca="1" ref="E53" ca="1">OFFSET(MSP!$C$1,
MATCH(OFFSET($C52,((MATCH($C52,EL_List,0)-1)*-10)-1,0),MSP!$C:$C,0)+MATCH($C52,EL_List,0)-1,
MATCH(OFFSET($C52,((MATCH($C52,EL_List,0)-1)*-10)-3,0),MSP!$D$5:$N$5,0)+1)
*INDEX(Learning!$E$6:$S$41,(MATCH(E$21,Dates,0)),(MATCH($C$21,Learning!$E$4:$S$4,0)+MATCH($C$52,Learning!$E$5:$S$5,0)-1))</f>
        <v>59.219160000000009</v>
      </c>
      <c r="F53" s="778" cm="1">
        <f t="array" aca="1" ref="F53" ca="1">OFFSET(MSP!$C$1,
MATCH(OFFSET($C52,((MATCH($C52,EL_List,0)-1)*-10)-1,0),MSP!$C:$C,0)+MATCH($C52,EL_List,0)-1,
MATCH(OFFSET($C52,((MATCH($C52,EL_List,0)-1)*-10)-3,0),MSP!$D$5:$N$5,0)+1)
*INDEX(Learning!$E$6:$S$41,(MATCH(F$21,Dates,0)),(MATCH($C$21,Learning!$E$4:$S$4,0)+MATCH($C$52,Learning!$E$5:$S$5,0)-1))</f>
        <v>58.763628000000004</v>
      </c>
      <c r="G53" s="778" cm="1">
        <f t="array" aca="1" ref="G53" ca="1">OFFSET(MSP!$C$1,
MATCH(OFFSET($C52,((MATCH($C52,EL_List,0)-1)*-10)-1,0),MSP!$C:$C,0)+MATCH($C52,EL_List,0)-1,
MATCH(OFFSET($C52,((MATCH($C52,EL_List,0)-1)*-10)-3,0),MSP!$D$5:$N$5,0)+1)
*INDEX(Learning!$E$6:$S$41,(MATCH(G$21,Dates,0)),(MATCH($C$21,Learning!$E$4:$S$4,0)+MATCH($C$52,Learning!$E$5:$S$5,0)-1))</f>
        <v>58.3650375</v>
      </c>
      <c r="H53" s="778" cm="1">
        <f t="array" aca="1" ref="H53" ca="1">OFFSET(MSP!$C$1,
MATCH(OFFSET($C52,((MATCH($C52,EL_List,0)-1)*-10)-1,0),MSP!$C:$C,0)+MATCH($C52,EL_List,0)-1,
MATCH(OFFSET($C52,((MATCH($C52,EL_List,0)-1)*-10)-3,0),MSP!$D$5:$N$5,0)+1)
*INDEX(Learning!$E$6:$S$41,(MATCH(H$21,Dates,0)),(MATCH($C$21,Learning!$E$4:$S$4,0)+MATCH($C$52,Learning!$E$5:$S$5,0)-1))</f>
        <v>58.023388500000003</v>
      </c>
      <c r="I53" s="778" cm="1">
        <f t="array" aca="1" ref="I53" ca="1">OFFSET(MSP!$C$1,
MATCH(OFFSET($C52,((MATCH($C52,EL_List,0)-1)*-10)-1,0),MSP!$C:$C,0)+MATCH($C52,EL_List,0)-1,
MATCH(OFFSET($C52,((MATCH($C52,EL_List,0)-1)*-10)-3,0),MSP!$D$5:$N$5,0)+1)
*INDEX(Learning!$E$6:$S$41,(MATCH(I$21,Dates,0)),(MATCH($C$21,Learning!$E$4:$S$4,0)+MATCH($C$52,Learning!$E$5:$S$5,0)-1))</f>
        <v>57.624798000000006</v>
      </c>
      <c r="J53" s="778" cm="1">
        <f t="array" aca="1" ref="J53" ca="1">OFFSET(MSP!$C$1,
MATCH(OFFSET($C52,((MATCH($C52,EL_List,0)-1)*-10)-1,0),MSP!$C:$C,0)+MATCH($C52,EL_List,0)-1,
MATCH(OFFSET($C52,((MATCH($C52,EL_List,0)-1)*-10)-3,0),MSP!$D$5:$N$5,0)+1)
*INDEX(Learning!$E$6:$S$41,(MATCH(J$21,Dates,0)),(MATCH($C$21,Learning!$E$4:$S$4,0)+MATCH($C$52,Learning!$E$5:$S$5,0)-1))</f>
        <v>57.283149000000009</v>
      </c>
      <c r="K53" s="778" cm="1">
        <f t="array" aca="1" ref="K53" ca="1">OFFSET(MSP!$C$1,
MATCH(OFFSET($C52,((MATCH($C52,EL_List,0)-1)*-10)-1,0),MSP!$C:$C,0)+MATCH($C52,EL_List,0)-1,
MATCH(OFFSET($C52,((MATCH($C52,EL_List,0)-1)*-10)-3,0),MSP!$D$5:$N$5,0)+1)
*INDEX(Learning!$E$6:$S$41,(MATCH(K$21,Dates,0)),(MATCH($C$21,Learning!$E$4:$S$4,0)+MATCH($C$52,Learning!$E$5:$S$5,0)-1))</f>
        <v>56.941500000000005</v>
      </c>
      <c r="L53" s="778" cm="1">
        <f t="array" aca="1" ref="L53" ca="1">OFFSET(MSP!$C$1,
MATCH(OFFSET($C52,((MATCH($C52,EL_List,0)-1)*-10)-1,0),MSP!$C:$C,0)+MATCH($C52,EL_List,0)-1,
MATCH(OFFSET($C52,((MATCH($C52,EL_List,0)-1)*-10)-3,0),MSP!$D$5:$N$5,0)+1)
*INDEX(Learning!$E$6:$S$41,(MATCH(L$21,Dates,0)),(MATCH($C$21,Learning!$E$4:$S$4,0)+MATCH($C$52,Learning!$E$5:$S$5,0)-1))</f>
        <v>56.599851000000001</v>
      </c>
      <c r="M53" s="778" cm="1">
        <f t="array" aca="1" ref="M53" ca="1">OFFSET(MSP!$C$1,
MATCH(OFFSET($C52,((MATCH($C52,EL_List,0)-1)*-10)-1,0),MSP!$C:$C,0)+MATCH($C52,EL_List,0)-1,
MATCH(OFFSET($C52,((MATCH($C52,EL_List,0)-1)*-10)-3,0),MSP!$D$5:$N$5,0)+1)
*INDEX(Learning!$E$6:$S$41,(MATCH(M$21,Dates,0)),(MATCH($C$21,Learning!$E$4:$S$4,0)+MATCH($C$52,Learning!$E$5:$S$5,0)-1))</f>
        <v>56.315143500000005</v>
      </c>
      <c r="N53" s="778" cm="1">
        <f t="array" aca="1" ref="N53" ca="1">OFFSET(MSP!$C$1,
MATCH(OFFSET($C52,((MATCH($C52,EL_List,0)-1)*-10)-1,0),MSP!$C:$C,0)+MATCH($C52,EL_List,0)-1,
MATCH(OFFSET($C52,((MATCH($C52,EL_List,0)-1)*-10)-3,0),MSP!$D$5:$N$5,0)+1)
*INDEX(Learning!$E$6:$S$41,(MATCH(N$21,Dates,0)),(MATCH($C$21,Learning!$E$4:$S$4,0)+MATCH($C$52,Learning!$E$5:$S$5,0)-1))</f>
        <v>55.973494500000001</v>
      </c>
      <c r="O53" s="778" cm="1">
        <f t="array" aca="1" ref="O53" ca="1">OFFSET(MSP!$C$1,
MATCH(OFFSET($C52,((MATCH($C52,EL_List,0)-1)*-10)-1,0),MSP!$C:$C,0)+MATCH($C52,EL_List,0)-1,
MATCH(OFFSET($C52,((MATCH($C52,EL_List,0)-1)*-10)-3,0),MSP!$D$5:$N$5,0)+1)
*INDEX(Learning!$E$6:$S$41,(MATCH(O$21,Dates,0)),(MATCH($C$21,Learning!$E$4:$S$4,0)+MATCH($C$52,Learning!$E$5:$S$5,0)-1))</f>
        <v>55.688787000000005</v>
      </c>
      <c r="P53" s="778" cm="1">
        <f t="array" aca="1" ref="P53" ca="1">OFFSET(MSP!$C$1,
MATCH(OFFSET($C52,((MATCH($C52,EL_List,0)-1)*-10)-1,0),MSP!$C:$C,0)+MATCH($C52,EL_List,0)-1,
MATCH(OFFSET($C52,((MATCH($C52,EL_List,0)-1)*-10)-3,0),MSP!$D$5:$N$5,0)+1)
*INDEX(Learning!$E$6:$S$41,(MATCH(P$21,Dates,0)),(MATCH($C$21,Learning!$E$4:$S$4,0)+MATCH($C$52,Learning!$E$5:$S$5,0)-1))</f>
        <v>55.404079500000002</v>
      </c>
      <c r="Q53" s="778" cm="1">
        <f t="array" aca="1" ref="Q53" ca="1">OFFSET(MSP!$C$1,
MATCH(OFFSET($C52,((MATCH($C52,EL_List,0)-1)*-10)-1,0),MSP!$C:$C,0)+MATCH($C52,EL_List,0)-1,
MATCH(OFFSET($C52,((MATCH($C52,EL_List,0)-1)*-10)-3,0),MSP!$D$5:$N$5,0)+1)
*INDEX(Learning!$E$6:$S$41,(MATCH(Q$21,Dates,0)),(MATCH($C$21,Learning!$E$4:$S$4,0)+MATCH($C$52,Learning!$E$5:$S$5,0)-1))</f>
        <v>55.119372000000006</v>
      </c>
      <c r="R53" s="778" cm="1">
        <f t="array" aca="1" ref="R53" ca="1">OFFSET(MSP!$C$1,
MATCH(OFFSET($C52,((MATCH($C52,EL_List,0)-1)*-10)-1,0),MSP!$C:$C,0)+MATCH($C52,EL_List,0)-1,
MATCH(OFFSET($C52,((MATCH($C52,EL_List,0)-1)*-10)-3,0),MSP!$D$5:$N$5,0)+1)
*INDEX(Learning!$E$6:$S$41,(MATCH(R$21,Dates,0)),(MATCH($C$21,Learning!$E$4:$S$4,0)+MATCH($C$52,Learning!$E$5:$S$5,0)-1))</f>
        <v>54.834664500000002</v>
      </c>
      <c r="S53" s="778" cm="1">
        <f t="array" aca="1" ref="S53" ca="1">OFFSET(MSP!$C$1,
MATCH(OFFSET($C52,((MATCH($C52,EL_List,0)-1)*-10)-1,0),MSP!$C:$C,0)+MATCH($C52,EL_List,0)-1,
MATCH(OFFSET($C52,((MATCH($C52,EL_List,0)-1)*-10)-3,0),MSP!$D$5:$N$5,0)+1)
*INDEX(Learning!$E$6:$S$41,(MATCH(S$21,Dates,0)),(MATCH($C$21,Learning!$E$4:$S$4,0)+MATCH($C$52,Learning!$E$5:$S$5,0)-1))</f>
        <v>54.549956999999999</v>
      </c>
      <c r="T53" s="778" cm="1">
        <f t="array" aca="1" ref="T53" ca="1">OFFSET(MSP!$C$1,
MATCH(OFFSET($C52,((MATCH($C52,EL_List,0)-1)*-10)-1,0),MSP!$C:$C,0)+MATCH($C52,EL_List,0)-1,
MATCH(OFFSET($C52,((MATCH($C52,EL_List,0)-1)*-10)-3,0),MSP!$D$5:$N$5,0)+1)
*INDEX(Learning!$E$6:$S$41,(MATCH(T$21,Dates,0)),(MATCH($C$21,Learning!$E$4:$S$4,0)+MATCH($C$52,Learning!$E$5:$S$5,0)-1))</f>
        <v>54.322191000000004</v>
      </c>
      <c r="U53" s="778" cm="1">
        <f t="array" aca="1" ref="U53" ca="1">OFFSET(MSP!$C$1,
MATCH(OFFSET($C52,((MATCH($C52,EL_List,0)-1)*-10)-1,0),MSP!$C:$C,0)+MATCH($C52,EL_List,0)-1,
MATCH(OFFSET($C52,((MATCH($C52,EL_List,0)-1)*-10)-3,0),MSP!$D$5:$N$5,0)+1)
*INDEX(Learning!$E$6:$S$41,(MATCH(U$21,Dates,0)),(MATCH($C$21,Learning!$E$4:$S$4,0)+MATCH($C$52,Learning!$E$5:$S$5,0)-1))</f>
        <v>54.0374835</v>
      </c>
      <c r="V53" s="778" cm="1">
        <f t="array" aca="1" ref="V53" ca="1">OFFSET(MSP!$C$1,
MATCH(OFFSET($C52,((MATCH($C52,EL_List,0)-1)*-10)-1,0),MSP!$C:$C,0)+MATCH($C52,EL_List,0)-1,
MATCH(OFFSET($C52,((MATCH($C52,EL_List,0)-1)*-10)-3,0),MSP!$D$5:$N$5,0)+1)
*INDEX(Learning!$E$6:$S$41,(MATCH(V$21,Dates,0)),(MATCH($C$21,Learning!$E$4:$S$4,0)+MATCH($C$52,Learning!$E$5:$S$5,0)-1))</f>
        <v>53.809717500000005</v>
      </c>
      <c r="W53" s="778" cm="1">
        <f t="array" aca="1" ref="W53" ca="1">OFFSET(MSP!$C$1,
MATCH(OFFSET($C52,((MATCH($C52,EL_List,0)-1)*-10)-1,0),MSP!$C:$C,0)+MATCH($C52,EL_List,0)-1,
MATCH(OFFSET($C52,((MATCH($C52,EL_List,0)-1)*-10)-3,0),MSP!$D$5:$N$5,0)+1)
*INDEX(Learning!$E$6:$S$41,(MATCH(W$21,Dates,0)),(MATCH($C$21,Learning!$E$4:$S$4,0)+MATCH($C$52,Learning!$E$5:$S$5,0)-1))</f>
        <v>53.525010000000002</v>
      </c>
      <c r="X53" s="778" cm="1">
        <f t="array" aca="1" ref="X53" ca="1">OFFSET(MSP!$C$1,
MATCH(OFFSET($C52,((MATCH($C52,EL_List,0)-1)*-10)-1,0),MSP!$C:$C,0)+MATCH($C52,EL_List,0)-1,
MATCH(OFFSET($C52,((MATCH($C52,EL_List,0)-1)*-10)-3,0),MSP!$D$5:$N$5,0)+1)
*INDEX(Learning!$E$6:$S$41,(MATCH(X$21,Dates,0)),(MATCH($C$21,Learning!$E$4:$S$4,0)+MATCH($C$52,Learning!$E$5:$S$5,0)-1))</f>
        <v>53.297244000000006</v>
      </c>
      <c r="Y53" s="778" cm="1">
        <f t="array" aca="1" ref="Y53" ca="1">OFFSET(MSP!$C$1,
MATCH(OFFSET($C52,((MATCH($C52,EL_List,0)-1)*-10)-1,0),MSP!$C:$C,0)+MATCH($C52,EL_List,0)-1,
MATCH(OFFSET($C52,((MATCH($C52,EL_List,0)-1)*-10)-3,0),MSP!$D$5:$N$5,0)+1)
*INDEX(Learning!$E$6:$S$41,(MATCH(Y$21,Dates,0)),(MATCH($C$21,Learning!$E$4:$S$4,0)+MATCH($C$52,Learning!$E$5:$S$5,0)-1))</f>
        <v>53.069478000000011</v>
      </c>
      <c r="Z53" s="778" cm="1">
        <f t="array" aca="1" ref="Z53" ca="1">OFFSET(MSP!$C$1,
MATCH(OFFSET($C52,((MATCH($C52,EL_List,0)-1)*-10)-1,0),MSP!$C:$C,0)+MATCH($C52,EL_List,0)-1,
MATCH(OFFSET($C52,((MATCH($C52,EL_List,0)-1)*-10)-3,0),MSP!$D$5:$N$5,0)+1)
*INDEX(Learning!$E$6:$S$41,(MATCH(Z$21,Dates,0)),(MATCH($C$21,Learning!$E$4:$S$4,0)+MATCH($C$52,Learning!$E$5:$S$5,0)-1))</f>
        <v>52.841712000000008</v>
      </c>
      <c r="AA53" s="778" cm="1">
        <f t="array" aca="1" ref="AA53" ca="1">OFFSET(MSP!$C$1,
MATCH(OFFSET($C52,((MATCH($C52,EL_List,0)-1)*-10)-1,0),MSP!$C:$C,0)+MATCH($C52,EL_List,0)-1,
MATCH(OFFSET($C52,((MATCH($C52,EL_List,0)-1)*-10)-3,0),MSP!$D$5:$N$5,0)+1)
*INDEX(Learning!$E$6:$S$41,(MATCH(AA$21,Dates,0)),(MATCH($C$21,Learning!$E$4:$S$4,0)+MATCH($C$52,Learning!$E$5:$S$5,0)-1))</f>
        <v>52.613946000000006</v>
      </c>
      <c r="AB53" s="778" cm="1">
        <f t="array" aca="1" ref="AB53" ca="1">OFFSET(MSP!$C$1,
MATCH(OFFSET($C52,((MATCH($C52,EL_List,0)-1)*-10)-1,0),MSP!$C:$C,0)+MATCH($C52,EL_List,0)-1,
MATCH(OFFSET($C52,((MATCH($C52,EL_List,0)-1)*-10)-3,0),MSP!$D$5:$N$5,0)+1)
*INDEX(Learning!$E$6:$S$41,(MATCH(AB$21,Dates,0)),(MATCH($C$21,Learning!$E$4:$S$4,0)+MATCH($C$52,Learning!$E$5:$S$5,0)-1))</f>
        <v>52.38618000000001</v>
      </c>
      <c r="AC53" s="778" cm="1">
        <f t="array" aca="1" ref="AC53" ca="1">OFFSET(MSP!$C$1,
MATCH(OFFSET($C52,((MATCH($C52,EL_List,0)-1)*-10)-1,0),MSP!$C:$C,0)+MATCH($C52,EL_List,0)-1,
MATCH(OFFSET($C52,((MATCH($C52,EL_List,0)-1)*-10)-3,0),MSP!$D$5:$N$5,0)+1)
*INDEX(Learning!$E$6:$S$41,(MATCH(AC$21,Dates,0)),(MATCH($C$21,Learning!$E$4:$S$4,0)+MATCH($C$52,Learning!$E$5:$S$5,0)-1))</f>
        <v>52.158414000000008</v>
      </c>
      <c r="AD53" s="778" cm="1">
        <f t="array" aca="1" ref="AD53" ca="1">OFFSET(MSP!$C$1,
MATCH(OFFSET($C52,((MATCH($C52,EL_List,0)-1)*-10)-1,0),MSP!$C:$C,0)+MATCH($C52,EL_List,0)-1,
MATCH(OFFSET($C52,((MATCH($C52,EL_List,0)-1)*-10)-3,0),MSP!$D$5:$N$5,0)+1)
*INDEX(Learning!$E$6:$S$41,(MATCH(AD$21,Dates,0)),(MATCH($C$21,Learning!$E$4:$S$4,0)+MATCH($C$52,Learning!$E$5:$S$5,0)-1))</f>
        <v>51.930648000000005</v>
      </c>
      <c r="AE53" s="778" cm="1">
        <f t="array" aca="1" ref="AE53" ca="1">OFFSET(MSP!$C$1,
MATCH(OFFSET($C52,((MATCH($C52,EL_List,0)-1)*-10)-1,0),MSP!$C:$C,0)+MATCH($C52,EL_List,0)-1,
MATCH(OFFSET($C52,((MATCH($C52,EL_List,0)-1)*-10)-3,0),MSP!$D$5:$N$5,0)+1)
*INDEX(Learning!$E$6:$S$41,(MATCH(AE$21,Dates,0)),(MATCH($C$21,Learning!$E$4:$S$4,0)+MATCH($C$52,Learning!$E$5:$S$5,0)-1))</f>
        <v>51.70288200000001</v>
      </c>
      <c r="AF53" s="778" cm="1">
        <f t="array" aca="1" ref="AF53" ca="1">OFFSET(MSP!$C$1,
MATCH(OFFSET($C52,((MATCH($C52,EL_List,0)-1)*-10)-1,0),MSP!$C:$C,0)+MATCH($C52,EL_List,0)-1,
MATCH(OFFSET($C52,((MATCH($C52,EL_List,0)-1)*-10)-3,0),MSP!$D$5:$N$5,0)+1)
*INDEX(Learning!$E$6:$S$41,(MATCH(AF$21,Dates,0)),(MATCH($C$21,Learning!$E$4:$S$4,0)+MATCH($C$52,Learning!$E$5:$S$5,0)-1))</f>
        <v>51.475116000000007</v>
      </c>
      <c r="AG53" s="778" cm="1">
        <f t="array" aca="1" ref="AG53" ca="1">OFFSET(MSP!$C$1,
MATCH(OFFSET($C52,((MATCH($C52,EL_List,0)-1)*-10)-1,0),MSP!$C:$C,0)+MATCH($C52,EL_List,0)-1,
MATCH(OFFSET($C52,((MATCH($C52,EL_List,0)-1)*-10)-3,0),MSP!$D$5:$N$5,0)+1)
*INDEX(Learning!$E$6:$S$41,(MATCH(AG$21,Dates,0)),(MATCH($C$21,Learning!$E$4:$S$4,0)+MATCH($C$52,Learning!$E$5:$S$5,0)-1))</f>
        <v>51.304291500000005</v>
      </c>
      <c r="AH53" s="778" cm="1">
        <f t="array" aca="1" ref="AH53" ca="1">OFFSET(MSP!$C$1,
MATCH(OFFSET($C52,((MATCH($C52,EL_List,0)-1)*-10)-1,0),MSP!$C:$C,0)+MATCH($C52,EL_List,0)-1,
MATCH(OFFSET($C52,((MATCH($C52,EL_List,0)-1)*-10)-3,0),MSP!$D$5:$N$5,0)+1)
*INDEX(Learning!$E$6:$S$41,(MATCH(AH$21,Dates,0)),(MATCH($C$21,Learning!$E$4:$S$4,0)+MATCH($C$52,Learning!$E$5:$S$5,0)-1))</f>
        <v>51.076525500000002</v>
      </c>
      <c r="AI53" s="778" cm="1">
        <f t="array" aca="1" ref="AI53" ca="1">OFFSET(MSP!$C$1,
MATCH(OFFSET($C52,((MATCH($C52,EL_List,0)-1)*-10)-1,0),MSP!$C:$C,0)+MATCH($C52,EL_List,0)-1,
MATCH(OFFSET($C52,((MATCH($C52,EL_List,0)-1)*-10)-3,0),MSP!$D$5:$N$5,0)+1)
*INDEX(Learning!$E$6:$S$41,(MATCH(AI$21,Dates,0)),(MATCH($C$21,Learning!$E$4:$S$4,0)+MATCH($C$52,Learning!$E$5:$S$5,0)-1))</f>
        <v>50.848759500000007</v>
      </c>
      <c r="AJ53" s="778" cm="1">
        <f t="array" aca="1" ref="AJ53" ca="1">OFFSET(MSP!$C$1,
MATCH(OFFSET($C52,((MATCH($C52,EL_List,0)-1)*-10)-1,0),MSP!$C:$C,0)+MATCH($C52,EL_List,0)-1,
MATCH(OFFSET($C52,((MATCH($C52,EL_List,0)-1)*-10)-3,0),MSP!$D$5:$N$5,0)+1)
*INDEX(Learning!$E$6:$S$41,(MATCH(AJ$21,Dates,0)),(MATCH($C$21,Learning!$E$4:$S$4,0)+MATCH($C$52,Learning!$E$5:$S$5,0)-1))</f>
        <v>50.677935000000005</v>
      </c>
      <c r="AK53" s="778" cm="1">
        <f t="array" aca="1" ref="AK53" ca="1">OFFSET(MSP!$C$1,
MATCH(OFFSET($C52,((MATCH($C52,EL_List,0)-1)*-10)-1,0),MSP!$C:$C,0)+MATCH($C52,EL_List,0)-1,
MATCH(OFFSET($C52,((MATCH($C52,EL_List,0)-1)*-10)-3,0),MSP!$D$5:$N$5,0)+1)
*INDEX(Learning!$E$6:$S$41,(MATCH(AK$21,Dates,0)),(MATCH($C$21,Learning!$E$4:$S$4,0)+MATCH($C$52,Learning!$E$5:$S$5,0)-1))</f>
        <v>50.450169000000002</v>
      </c>
      <c r="AL53" s="778" cm="1">
        <f t="array" aca="1" ref="AL53" ca="1">OFFSET(MSP!$C$1,
MATCH(OFFSET($C52,((MATCH($C52,EL_List,0)-1)*-10)-1,0),MSP!$C:$C,0)+MATCH($C52,EL_List,0)-1,
MATCH(OFFSET($C52,((MATCH($C52,EL_List,0)-1)*-10)-3,0),MSP!$D$5:$N$5,0)+1)
*INDEX(Learning!$E$6:$S$41,(MATCH(AL$21,Dates,0)),(MATCH($C$21,Learning!$E$4:$S$4,0)+MATCH($C$52,Learning!$E$5:$S$5,0)-1))</f>
        <v>50.279344500000008</v>
      </c>
      <c r="AM53" s="778" cm="1">
        <f t="array" aca="1" ref="AM53" ca="1">OFFSET(MSP!$C$1,
MATCH(OFFSET($C52,((MATCH($C52,EL_List,0)-1)*-10)-1,0),MSP!$C:$C,0)+MATCH($C52,EL_List,0)-1,
MATCH(OFFSET($C52,((MATCH($C52,EL_List,0)-1)*-10)-3,0),MSP!$D$5:$N$5,0)+1)
*INDEX(Learning!$E$6:$S$41,(MATCH(AM$21,Dates,0)),(MATCH($C$21,Learning!$E$4:$S$4,0)+MATCH($C$52,Learning!$E$5:$S$5,0)-1))</f>
        <v>50.051578500000005</v>
      </c>
      <c r="AN53" s="778" cm="1">
        <f t="array" aca="1" ref="AN53" ca="1">OFFSET(MSP!$C$1,
MATCH(OFFSET($C52,((MATCH($C52,EL_List,0)-1)*-10)-1,0),MSP!$C:$C,0)+MATCH($C52,EL_List,0)-1,
MATCH(OFFSET($C52,((MATCH($C52,EL_List,0)-1)*-10)-3,0),MSP!$D$5:$N$5,0)+1)
*INDEX(Learning!$E$6:$S$41,(MATCH(AN$21,Dates,0)),(MATCH($C$21,Learning!$E$4:$S$4,0)+MATCH($C$52,Learning!$E$5:$S$5,0)-1))</f>
        <v>49.878072965985339</v>
      </c>
      <c r="AO53" s="436"/>
      <c r="AP53" s="21"/>
    </row>
    <row r="54" spans="2:42" ht="15" customHeight="1" x14ac:dyDescent="0.35">
      <c r="B54" s="429"/>
      <c r="C54" s="777" t="s">
        <v>78</v>
      </c>
      <c r="D54" s="776"/>
      <c r="E54" s="530">
        <f ca="1">OFFSET(OFFSET(Shipments!$D$1,0,MATCH(E$7,Dates)),
MATCH(OFFSET($C52,((MATCH($C52,EL_List,0)-1)*-10)-3,0),Shipments!$C:$C,0)+
MATCH(OFFSET($C52,((MATCH($C52,EL_List,0)-1)*-10)-1,0),Shipments!$D:$D,0)+
MATCH($C52,EL_List,0)-10,
MATCH(Shipments_Scenario_X,Shipments!$F$5:$AQ$5,0))</f>
        <v>0.1470179728948432</v>
      </c>
      <c r="F54" s="530">
        <f ca="1">OFFSET(OFFSET(Shipments!$D$1,0,MATCH(F$7,Dates)),
MATCH(OFFSET($C52,((MATCH($C52,EL_List,0)-1)*-10)-3,0),Shipments!$C:$C,0)+
MATCH(OFFSET($C52,((MATCH($C52,EL_List,0)-1)*-10)-1,0),Shipments!$D:$D,0)+
MATCH($C52,EL_List,0)-10,
MATCH(Shipments_Scenario_X,Shipments!$F$5:$AQ$5,0))</f>
        <v>0.15359240419847875</v>
      </c>
      <c r="G54" s="530">
        <f ca="1">OFFSET(OFFSET(Shipments!$D$1,0,MATCH(G$7,Dates)),
MATCH(OFFSET($C52,((MATCH($C52,EL_List,0)-1)*-10)-3,0),Shipments!$C:$C,0)+
MATCH(OFFSET($C52,((MATCH($C52,EL_List,0)-1)*-10)-1,0),Shipments!$D:$D,0)+
MATCH($C52,EL_List,0)-10,
MATCH(Shipments_Scenario_X,Shipments!$F$5:$AQ$5,0))</f>
        <v>0.15948381240507503</v>
      </c>
      <c r="H54" s="530">
        <f ca="1">OFFSET(OFFSET(Shipments!$D$1,0,MATCH(H$7,Dates)),
MATCH(OFFSET($C52,((MATCH($C52,EL_List,0)-1)*-10)-3,0),Shipments!$C:$C,0)+
MATCH(OFFSET($C52,((MATCH($C52,EL_List,0)-1)*-10)-1,0),Shipments!$D:$D,0)+
MATCH($C52,EL_List,0)-10,
MATCH(Shipments_Scenario_X,Shipments!$F$5:$AQ$5,0))</f>
        <v>0.16697365041974607</v>
      </c>
      <c r="I54" s="530">
        <f ca="1">OFFSET(OFFSET(Shipments!$D$1,0,MATCH(I$7,Dates)),
MATCH(OFFSET($C52,((MATCH($C52,EL_List,0)-1)*-10)-3,0),Shipments!$C:$C,0)+
MATCH(OFFSET($C52,((MATCH($C52,EL_List,0)-1)*-10)-1,0),Shipments!$D:$D,0)+
MATCH($C52,EL_List,0)-10,
MATCH(Shipments_Scenario_X,Shipments!$F$5:$AQ$5,0))</f>
        <v>0.17501046882051471</v>
      </c>
      <c r="J54" s="530">
        <f ca="1">OFFSET(OFFSET(Shipments!$D$1,0,MATCH(J$7,Dates)),
MATCH(OFFSET($C52,((MATCH($C52,EL_List,0)-1)*-10)-3,0),Shipments!$C:$C,0)+
MATCH(OFFSET($C52,((MATCH($C52,EL_List,0)-1)*-10)-1,0),Shipments!$D:$D,0)+
MATCH($C52,EL_List,0)-10,
MATCH(Shipments_Scenario_X,Shipments!$F$5:$AQ$5,0))</f>
        <v>0.18390473856501038</v>
      </c>
      <c r="K54" s="530">
        <f ca="1">OFFSET(OFFSET(Shipments!$D$1,0,MATCH(K$7,Dates)),
MATCH(OFFSET($C52,((MATCH($C52,EL_List,0)-1)*-10)-3,0),Shipments!$C:$C,0)+
MATCH(OFFSET($C52,((MATCH($C52,EL_List,0)-1)*-10)-1,0),Shipments!$D:$D,0)+
MATCH($C52,EL_List,0)-10,
MATCH(Shipments_Scenario_X,Shipments!$F$5:$AQ$5,0))</f>
        <v>0.19355184138362869</v>
      </c>
      <c r="L54" s="530">
        <f ca="1">OFFSET(OFFSET(Shipments!$D$1,0,MATCH(L$7,Dates)),
MATCH(OFFSET($C52,((MATCH($C52,EL_List,0)-1)*-10)-3,0),Shipments!$C:$C,0)+
MATCH(OFFSET($C52,((MATCH($C52,EL_List,0)-1)*-10)-1,0),Shipments!$D:$D,0)+
MATCH($C52,EL_List,0)-10,
MATCH(Shipments_Scenario_X,Shipments!$F$5:$AQ$5,0))</f>
        <v>0.20379475905247554</v>
      </c>
      <c r="M54" s="530">
        <f ca="1">OFFSET(OFFSET(Shipments!$D$1,0,MATCH(M$7,Dates)),
MATCH(OFFSET($C52,((MATCH($C52,EL_List,0)-1)*-10)-3,0),Shipments!$C:$C,0)+
MATCH(OFFSET($C52,((MATCH($C52,EL_List,0)-1)*-10)-1,0),Shipments!$D:$D,0)+
MATCH($C52,EL_List,0)-10,
MATCH(Shipments_Scenario_X,Shipments!$F$5:$AQ$5,0))</f>
        <v>0.21451095855761876</v>
      </c>
      <c r="N54" s="530">
        <f ca="1">OFFSET(OFFSET(Shipments!$D$1,0,MATCH(N$7,Dates)),
MATCH(OFFSET($C52,((MATCH($C52,EL_List,0)-1)*-10)-3,0),Shipments!$C:$C,0)+
MATCH(OFFSET($C52,((MATCH($C52,EL_List,0)-1)*-10)-1,0),Shipments!$D:$D,0)+
MATCH($C52,EL_List,0)-10,
MATCH(Shipments_Scenario_X,Shipments!$F$5:$AQ$5,0))</f>
        <v>0.22561880133364354</v>
      </c>
      <c r="O54" s="530">
        <f ca="1">OFFSET(OFFSET(Shipments!$D$1,0,MATCH(O$7,Dates)),
MATCH(OFFSET($C52,((MATCH($C52,EL_List,0)-1)*-10)-3,0),Shipments!$C:$C,0)+
MATCH(OFFSET($C52,((MATCH($C52,EL_List,0)-1)*-10)-1,0),Shipments!$D:$D,0)+
MATCH($C52,EL_List,0)-10,
MATCH(Shipments_Scenario_X,Shipments!$F$5:$AQ$5,0))</f>
        <v>0.23711349048083075</v>
      </c>
      <c r="P54" s="530">
        <f ca="1">OFFSET(OFFSET(Shipments!$D$1,0,MATCH(P$7,Dates)),
MATCH(OFFSET($C52,((MATCH($C52,EL_List,0)-1)*-10)-3,0),Shipments!$C:$C,0)+
MATCH(OFFSET($C52,((MATCH($C52,EL_List,0)-1)*-10)-1,0),Shipments!$D:$D,0)+
MATCH($C52,EL_List,0)-10,
MATCH(Shipments_Scenario_X,Shipments!$F$5:$AQ$5,0))</f>
        <v>0.24904425629245625</v>
      </c>
      <c r="Q54" s="530">
        <f ca="1">OFFSET(OFFSET(Shipments!$D$1,0,MATCH(Q$7,Dates)),
MATCH(OFFSET($C52,((MATCH($C52,EL_List,0)-1)*-10)-3,0),Shipments!$C:$C,0)+
MATCH(OFFSET($C52,((MATCH($C52,EL_List,0)-1)*-10)-1,0),Shipments!$D:$D,0)+
MATCH($C52,EL_List,0)-10,
MATCH(Shipments_Scenario_X,Shipments!$F$5:$AQ$5,0))</f>
        <v>0.26148631694079033</v>
      </c>
      <c r="R54" s="530">
        <f ca="1">OFFSET(OFFSET(Shipments!$D$1,0,MATCH(R$7,Dates)),
MATCH(OFFSET($C52,((MATCH($C52,EL_List,0)-1)*-10)-3,0),Shipments!$C:$C,0)+
MATCH(OFFSET($C52,((MATCH($C52,EL_List,0)-1)*-10)-1,0),Shipments!$D:$D,0)+
MATCH($C52,EL_List,0)-10,
MATCH(Shipments_Scenario_X,Shipments!$F$5:$AQ$5,0))</f>
        <v>0.27452747456356424</v>
      </c>
      <c r="S54" s="530">
        <f ca="1">OFFSET(OFFSET(Shipments!$D$1,0,MATCH(S$7,Dates)),
MATCH(OFFSET($C52,((MATCH($C52,EL_List,0)-1)*-10)-3,0),Shipments!$C:$C,0)+
MATCH(OFFSET($C52,((MATCH($C52,EL_List,0)-1)*-10)-1,0),Shipments!$D:$D,0)+
MATCH($C52,EL_List,0)-10,
MATCH(Shipments_Scenario_X,Shipments!$F$5:$AQ$5,0))</f>
        <v>0.28824151978128176</v>
      </c>
      <c r="T54" s="530">
        <f ca="1">OFFSET(OFFSET(Shipments!$D$1,0,MATCH(T$7,Dates)),
MATCH(OFFSET($C52,((MATCH($C52,EL_List,0)-1)*-10)-3,0),Shipments!$C:$C,0)+
MATCH(OFFSET($C52,((MATCH($C52,EL_List,0)-1)*-10)-1,0),Shipments!$D:$D,0)+
MATCH($C52,EL_List,0)-10,
MATCH(Shipments_Scenario_X,Shipments!$F$5:$AQ$5,0))</f>
        <v>0.30267514027071218</v>
      </c>
      <c r="U54" s="530">
        <f ca="1">OFFSET(OFFSET(Shipments!$D$1,0,MATCH(U$7,Dates)),
MATCH(OFFSET($C52,((MATCH($C52,EL_List,0)-1)*-10)-3,0),Shipments!$C:$C,0)+
MATCH(OFFSET($C52,((MATCH($C52,EL_List,0)-1)*-10)-1,0),Shipments!$D:$D,0)+
MATCH($C52,EL_List,0)-10,
MATCH(Shipments_Scenario_X,Shipments!$F$5:$AQ$5,0))</f>
        <v>0.31788022507667402</v>
      </c>
      <c r="V54" s="530">
        <f ca="1">OFFSET(OFFSET(Shipments!$D$1,0,MATCH(V$7,Dates)),
MATCH(OFFSET($C52,((MATCH($C52,EL_List,0)-1)*-10)-3,0),Shipments!$C:$C,0)+
MATCH(OFFSET($C52,((MATCH($C52,EL_List,0)-1)*-10)-1,0),Shipments!$D:$D,0)+
MATCH($C52,EL_List,0)-10,
MATCH(Shipments_Scenario_X,Shipments!$F$5:$AQ$5,0))</f>
        <v>0.33382630371524991</v>
      </c>
      <c r="W54" s="530">
        <f ca="1">OFFSET(OFFSET(Shipments!$D$1,0,MATCH(W$7,Dates)),
MATCH(OFFSET($C52,((MATCH($C52,EL_List,0)-1)*-10)-3,0),Shipments!$C:$C,0)+
MATCH(OFFSET($C52,((MATCH($C52,EL_List,0)-1)*-10)-1,0),Shipments!$D:$D,0)+
MATCH($C52,EL_List,0)-10,
MATCH(Shipments_Scenario_X,Shipments!$F$5:$AQ$5,0))</f>
        <v>0.3505618340221493</v>
      </c>
      <c r="X54" s="530">
        <f ca="1">OFFSET(OFFSET(Shipments!$D$1,0,MATCH(X$7,Dates)),
MATCH(OFFSET($C52,((MATCH($C52,EL_List,0)-1)*-10)-3,0),Shipments!$C:$C,0)+
MATCH(OFFSET($C52,((MATCH($C52,EL_List,0)-1)*-10)-1,0),Shipments!$D:$D,0)+
MATCH($C52,EL_List,0)-10,
MATCH(Shipments_Scenario_X,Shipments!$F$5:$AQ$5,0))</f>
        <v>0.36810702188828293</v>
      </c>
      <c r="Y54" s="530">
        <f ca="1">OFFSET(OFFSET(Shipments!$D$1,0,MATCH(Y$7,Dates)),
MATCH(OFFSET($C52,((MATCH($C52,EL_List,0)-1)*-10)-3,0),Shipments!$C:$C,0)+
MATCH(OFFSET($C52,((MATCH($C52,EL_List,0)-1)*-10)-1,0),Shipments!$D:$D,0)+
MATCH($C52,EL_List,0)-10,
MATCH(Shipments_Scenario_X,Shipments!$F$5:$AQ$5,0))</f>
        <v>0.38649175275064573</v>
      </c>
      <c r="Z54" s="530">
        <f ca="1">OFFSET(OFFSET(Shipments!$D$1,0,MATCH(Z$7,Dates)),
MATCH(OFFSET($C52,((MATCH($C52,EL_List,0)-1)*-10)-3,0),Shipments!$C:$C,0)+
MATCH(OFFSET($C52,((MATCH($C52,EL_List,0)-1)*-10)-1,0),Shipments!$D:$D,0)+
MATCH($C52,EL_List,0)-10,
MATCH(Shipments_Scenario_X,Shipments!$F$5:$AQ$5,0))</f>
        <v>0.40575609433352255</v>
      </c>
      <c r="AA54" s="530">
        <f ca="1">OFFSET(OFFSET(Shipments!$D$1,0,MATCH(AA$7,Dates)),
MATCH(OFFSET($C52,((MATCH($C52,EL_List,0)-1)*-10)-3,0),Shipments!$C:$C,0)+
MATCH(OFFSET($C52,((MATCH($C52,EL_List,0)-1)*-10)-1,0),Shipments!$D:$D,0)+
MATCH($C52,EL_List,0)-10,
MATCH(Shipments_Scenario_X,Shipments!$F$5:$AQ$5,0))</f>
        <v>0.4259462651808219</v>
      </c>
      <c r="AB54" s="530">
        <f ca="1">OFFSET(OFFSET(Shipments!$D$1,0,MATCH(AB$7,Dates)),
MATCH(OFFSET($C52,((MATCH($C52,EL_List,0)-1)*-10)-3,0),Shipments!$C:$C,0)+
MATCH(OFFSET($C52,((MATCH($C52,EL_List,0)-1)*-10)-1,0),Shipments!$D:$D,0)+
MATCH($C52,EL_List,0)-10,
MATCH(Shipments_Scenario_X,Shipments!$F$5:$AQ$5,0))</f>
        <v>0.44711524741041686</v>
      </c>
      <c r="AC54" s="530">
        <f ca="1">OFFSET(OFFSET(Shipments!$D$1,0,MATCH(AC$7,Dates)),
MATCH(OFFSET($C52,((MATCH($C52,EL_List,0)-1)*-10)-3,0),Shipments!$C:$C,0)+
MATCH(OFFSET($C52,((MATCH($C52,EL_List,0)-1)*-10)-1,0),Shipments!$D:$D,0)+
MATCH($C52,EL_List,0)-10,
MATCH(Shipments_Scenario_X,Shipments!$F$5:$AQ$5,0))</f>
        <v>0.46931655912517156</v>
      </c>
      <c r="AD54" s="530">
        <f ca="1">OFFSET(OFFSET(Shipments!$D$1,0,MATCH(AD$7,Dates)),
MATCH(OFFSET($C52,((MATCH($C52,EL_List,0)-1)*-10)-3,0),Shipments!$C:$C,0)+
MATCH(OFFSET($C52,((MATCH($C52,EL_List,0)-1)*-10)-1,0),Shipments!$D:$D,0)+
MATCH($C52,EL_List,0)-10,
MATCH(Shipments_Scenario_X,Shipments!$F$5:$AQ$5,0))</f>
        <v>0.49260401746884153</v>
      </c>
      <c r="AE54" s="530">
        <f ca="1">OFFSET(OFFSET(Shipments!$D$1,0,MATCH(AE$7,Dates)),
MATCH(OFFSET($C52,((MATCH($C52,EL_List,0)-1)*-10)-3,0),Shipments!$C:$C,0)+
MATCH(OFFSET($C52,((MATCH($C52,EL_List,0)-1)*-10)-1,0),Shipments!$D:$D,0)+
MATCH($C52,EL_List,0)-10,
MATCH(Shipments_Scenario_X,Shipments!$F$5:$AQ$5,0))</f>
        <v>0.51703145127981276</v>
      </c>
      <c r="AF54" s="530">
        <f ca="1">OFFSET(OFFSET(Shipments!$D$1,0,MATCH(AF$7,Dates)),
MATCH(OFFSET($C52,((MATCH($C52,EL_List,0)-1)*-10)-3,0),Shipments!$C:$C,0)+
MATCH(OFFSET($C52,((MATCH($C52,EL_List,0)-1)*-10)-1,0),Shipments!$D:$D,0)+
MATCH($C52,EL_List,0)-10,
MATCH(Shipments_Scenario_X,Shipments!$F$5:$AQ$5,0))</f>
        <v>0.54265322199804866</v>
      </c>
      <c r="AG54" s="530">
        <f ca="1">OFFSET(OFFSET(Shipments!$D$1,0,MATCH(AG$7,Dates)),
MATCH(OFFSET($C52,((MATCH($C52,EL_List,0)-1)*-10)-3,0),Shipments!$C:$C,0)+
MATCH(OFFSET($C52,((MATCH($C52,EL_List,0)-1)*-10)-1,0),Shipments!$D:$D,0)+
MATCH($C52,EL_List,0)-10,
MATCH(Shipments_Scenario_X,Shipments!$F$5:$AQ$5,0))</f>
        <v>0.569525378044905</v>
      </c>
      <c r="AH54" s="530">
        <f ca="1">OFFSET(OFFSET(Shipments!$D$1,0,MATCH(AH$7,Dates)),
MATCH(OFFSET($C52,((MATCH($C52,EL_List,0)-1)*-10)-3,0),Shipments!$C:$C,0)+
MATCH(OFFSET($C52,((MATCH($C52,EL_List,0)-1)*-10)-1,0),Shipments!$D:$D,0)+
MATCH($C52,EL_List,0)-10,
MATCH(Shipments_Scenario_X,Shipments!$F$5:$AQ$5,0))</f>
        <v>0.59770669606280125</v>
      </c>
      <c r="AI54" s="530">
        <f ca="1">OFFSET(OFFSET(Shipments!$D$1,0,MATCH(AI$7,Dates)),
MATCH(OFFSET($C52,((MATCH($C52,EL_List,0)-1)*-10)-3,0),Shipments!$C:$C,0)+
MATCH(OFFSET($C52,((MATCH($C52,EL_List,0)-1)*-10)-1,0),Shipments!$D:$D,0)+
MATCH($C52,EL_List,0)-10,
MATCH(Shipments_Scenario_X,Shipments!$F$5:$AQ$5,0))</f>
        <v>0.62725946729796611</v>
      </c>
      <c r="AJ54" s="530">
        <f ca="1">OFFSET(OFFSET(Shipments!$D$1,0,MATCH(AJ$7,Dates)),
MATCH(OFFSET($C52,((MATCH($C52,EL_List,0)-1)*-10)-3,0),Shipments!$C:$C,0)+
MATCH(OFFSET($C52,((MATCH($C52,EL_List,0)-1)*-10)-1,0),Shipments!$D:$D,0)+
MATCH($C52,EL_List,0)-10,
MATCH(Shipments_Scenario_X,Shipments!$F$5:$AQ$5,0))</f>
        <v>0.65824992707111341</v>
      </c>
      <c r="AK54" s="530">
        <f ca="1">OFFSET(OFFSET(Shipments!$D$1,0,MATCH(AK$7,Dates)),
MATCH(OFFSET($C52,((MATCH($C52,EL_List,0)-1)*-10)-3,0),Shipments!$C:$C,0)+
MATCH(OFFSET($C52,((MATCH($C52,EL_List,0)-1)*-10)-1,0),Shipments!$D:$D,0)+
MATCH($C52,EL_List,0)-10,
MATCH(Shipments_Scenario_X,Shipments!$F$5:$AQ$5,0))</f>
        <v>0.69074829273533167</v>
      </c>
      <c r="AL54" s="530">
        <f ca="1">OFFSET(OFFSET(Shipments!$D$1,0,MATCH(AL$7,Dates)),
MATCH(OFFSET($C52,((MATCH($C52,EL_List,0)-1)*-10)-3,0),Shipments!$C:$C,0)+
MATCH(OFFSET($C52,((MATCH($C52,EL_List,0)-1)*-10)-1,0),Shipments!$D:$D,0)+
MATCH($C52,EL_List,0)-10,
MATCH(Shipments_Scenario_X,Shipments!$F$5:$AQ$5,0))</f>
        <v>0.72482863461193447</v>
      </c>
      <c r="AM54" s="530">
        <f ca="1">OFFSET(OFFSET(Shipments!$D$1,0,MATCH(AM$7,Dates)),
MATCH(OFFSET($C52,((MATCH($C52,EL_List,0)-1)*-10)-3,0),Shipments!$C:$C,0)+
MATCH(OFFSET($C52,((MATCH($C52,EL_List,0)-1)*-10)-1,0),Shipments!$D:$D,0)+
MATCH($C52,EL_List,0)-10,
MATCH(Shipments_Scenario_X,Shipments!$F$5:$AQ$5,0))</f>
        <v>0.76056879016526191</v>
      </c>
      <c r="AN54" s="530">
        <f ca="1">OFFSET(OFFSET(Shipments!$D$1,0,MATCH(AN$7,Dates)),
MATCH(OFFSET($C52,((MATCH($C52,EL_List,0)-1)*-10)-3,0),Shipments!$C:$C,0)+
MATCH(OFFSET($C52,((MATCH($C52,EL_List,0)-1)*-10)-1,0),Shipments!$D:$D,0)+
MATCH($C52,EL_List,0)-10,
MATCH(Shipments_Scenario_X,Shipments!$F$5:$AQ$5,0))</f>
        <v>0.7980500553904577</v>
      </c>
      <c r="AO54" s="436"/>
      <c r="AP54" s="21"/>
    </row>
    <row r="55" spans="2:42" ht="15" customHeight="1" x14ac:dyDescent="0.35">
      <c r="B55" s="429"/>
      <c r="C55" s="777" t="s">
        <v>79</v>
      </c>
      <c r="D55" s="776"/>
      <c r="E55" s="531">
        <f t="shared" ref="E55:AN55" ca="1" si="15">E53*E54</f>
        <v>8.7062808597353829</v>
      </c>
      <c r="F55" s="531">
        <f t="shared" ca="1" si="15"/>
        <v>9.0256469039450433</v>
      </c>
      <c r="G55" s="531">
        <f t="shared" ca="1" si="15"/>
        <v>9.3082786916651692</v>
      </c>
      <c r="H55" s="531">
        <f t="shared" ca="1" si="15"/>
        <v>9.6883769875681143</v>
      </c>
      <c r="I55" s="531">
        <f t="shared" ca="1" si="15"/>
        <v>10.08494291366746</v>
      </c>
      <c r="J55" s="531">
        <f t="shared" ca="1" si="15"/>
        <v>10.534642541025537</v>
      </c>
      <c r="K55" s="531">
        <f t="shared" ca="1" si="15"/>
        <v>11.021132176145894</v>
      </c>
      <c r="L55" s="531">
        <f t="shared" ca="1" si="15"/>
        <v>11.534752996951017</v>
      </c>
      <c r="M55" s="531">
        <f t="shared" ca="1" si="15"/>
        <v>12.080215413494855</v>
      </c>
      <c r="N55" s="531">
        <f t="shared" ca="1" si="15"/>
        <v>12.628672735545289</v>
      </c>
      <c r="O55" s="531">
        <f t="shared" ca="1" si="15"/>
        <v>13.204562666213512</v>
      </c>
      <c r="P55" s="531">
        <f t="shared" ca="1" si="15"/>
        <v>13.798067774645622</v>
      </c>
      <c r="Q55" s="531">
        <f t="shared" ca="1" si="15"/>
        <v>14.412961576369325</v>
      </c>
      <c r="R55" s="531">
        <f t="shared" ca="1" si="15"/>
        <v>15.05362196372533</v>
      </c>
      <c r="S55" s="531">
        <f t="shared" ca="1" si="15"/>
        <v>15.723562509683569</v>
      </c>
      <c r="T55" s="531">
        <f t="shared" ca="1" si="15"/>
        <v>16.44197678073742</v>
      </c>
      <c r="U55" s="531">
        <f t="shared" ca="1" si="15"/>
        <v>17.177447417557058</v>
      </c>
      <c r="V55" s="531">
        <f t="shared" ca="1" si="15"/>
        <v>17.963099096986799</v>
      </c>
      <c r="W55" s="531">
        <f t="shared" ca="1" si="15"/>
        <v>18.763825671653883</v>
      </c>
      <c r="X55" s="531">
        <f t="shared" ca="1" si="15"/>
        <v>19.619089763693157</v>
      </c>
      <c r="Y55" s="531">
        <f t="shared" ca="1" si="15"/>
        <v>20.510915569781837</v>
      </c>
      <c r="Z55" s="531">
        <f t="shared" ca="1" si="15"/>
        <v>21.440846679016833</v>
      </c>
      <c r="AA55" s="531">
        <f t="shared" ca="1" si="15"/>
        <v>22.410713795125446</v>
      </c>
      <c r="AB55" s="531">
        <f t="shared" ca="1" si="15"/>
        <v>23.422659831586635</v>
      </c>
      <c r="AC55" s="531">
        <f t="shared" ca="1" si="15"/>
        <v>24.47880738790618</v>
      </c>
      <c r="AD55" s="531">
        <f t="shared" ca="1" si="15"/>
        <v>25.581245834560264</v>
      </c>
      <c r="AE55" s="531">
        <f t="shared" ca="1" si="15"/>
        <v>26.732016115808914</v>
      </c>
      <c r="AF55" s="531">
        <f t="shared" ca="1" si="15"/>
        <v>27.933137550123309</v>
      </c>
      <c r="AG55" s="531">
        <f t="shared" ca="1" si="15"/>
        <v>29.21909601186351</v>
      </c>
      <c r="AH55" s="531">
        <f t="shared" ca="1" si="15"/>
        <v>30.528781302972419</v>
      </c>
      <c r="AI55" s="531">
        <f t="shared" ca="1" si="15"/>
        <v>31.895365796732399</v>
      </c>
      <c r="AJ55" s="531">
        <f t="shared" ca="1" si="15"/>
        <v>33.35874701786463</v>
      </c>
      <c r="AK55" s="531">
        <f t="shared" ca="1" si="15"/>
        <v>34.848368104958958</v>
      </c>
      <c r="AL55" s="531">
        <f t="shared" ca="1" si="15"/>
        <v>36.443908623118084</v>
      </c>
      <c r="AM55" s="531">
        <f t="shared" ref="AM55" ca="1" si="16">AM53*AM54</f>
        <v>38.06766850560664</v>
      </c>
      <c r="AN55" s="531">
        <f t="shared" ca="1" si="15"/>
        <v>39.805198893273889</v>
      </c>
      <c r="AO55" s="436"/>
      <c r="AP55" s="21"/>
    </row>
    <row r="56" spans="2:42" ht="15" customHeight="1" x14ac:dyDescent="0.35">
      <c r="B56" s="429"/>
      <c r="C56" s="777"/>
      <c r="D56" s="776"/>
      <c r="E56" s="776"/>
      <c r="F56" s="776"/>
      <c r="G56" s="776"/>
      <c r="H56" s="776"/>
      <c r="I56" s="776"/>
      <c r="J56" s="776"/>
      <c r="K56" s="776"/>
      <c r="L56" s="776"/>
      <c r="M56" s="776"/>
      <c r="N56" s="776"/>
      <c r="O56" s="776"/>
      <c r="P56" s="776"/>
      <c r="Q56" s="776"/>
      <c r="R56" s="776"/>
      <c r="S56" s="776"/>
      <c r="T56" s="776"/>
      <c r="U56" s="776"/>
      <c r="V56" s="776"/>
      <c r="W56" s="776"/>
      <c r="X56" s="776"/>
      <c r="Y56" s="776"/>
      <c r="Z56" s="776"/>
      <c r="AA56" s="776"/>
      <c r="AB56" s="776"/>
      <c r="AC56" s="776"/>
      <c r="AD56" s="776"/>
      <c r="AE56" s="776"/>
      <c r="AF56" s="776"/>
      <c r="AG56" s="776"/>
      <c r="AH56" s="776"/>
      <c r="AI56" s="776"/>
      <c r="AJ56" s="776"/>
      <c r="AK56" s="776"/>
      <c r="AL56" s="776"/>
      <c r="AM56" s="776"/>
      <c r="AN56" s="776"/>
      <c r="AO56" s="436"/>
      <c r="AP56" s="21"/>
    </row>
    <row r="57" spans="2:42" ht="15" customHeight="1" x14ac:dyDescent="0.35">
      <c r="B57" s="429"/>
      <c r="C57" s="777" t="s">
        <v>212</v>
      </c>
      <c r="D57" s="776"/>
      <c r="E57" s="532" cm="1">
        <f t="array" aca="1" ref="E57" ca="1">OFFSET(E57,-3,0)*
OFFSET(MSP!$D$1,
MATCH(OFFSET($C52,((MATCH($C52,EL_List,0)-1)*-10)-1,0),MSP!$C:$C,0)+MATCH($C52,EL_List,0)-1,0)
*INDEX(Learning!$E$6:$S$41,(MATCH(E$21,Dates,0)),(MATCH($C$21,Learning!$E$4:$S$4,0)+MATCH($C$52,Learning!$E$5:$S$5,0)-1))</f>
        <v>5.4585318825547828</v>
      </c>
      <c r="F57" s="532" cm="1">
        <f t="array" aca="1" ref="F57" ca="1">OFFSET(F57,-3,0)*
OFFSET(MSP!$D$1,
MATCH(OFFSET($C52,((MATCH($C52,EL_List,0)-1)*-10)-1,0),MSP!$C:$C,0)+MATCH($C52,EL_List,0)-1,0)
*INDEX(Learning!$E$6:$S$41,(MATCH(F$21,Dates,0)),(MATCH($C$21,Learning!$E$4:$S$4,0)+MATCH($C$52,Learning!$E$5:$S$5,0)-1))</f>
        <v>5.6587631595614862</v>
      </c>
      <c r="G57" s="532" cm="1">
        <f t="array" aca="1" ref="G57" ca="1">OFFSET(G57,-3,0)*
OFFSET(MSP!$D$1,
MATCH(OFFSET($C52,((MATCH($C52,EL_List,0)-1)*-10)-1,0),MSP!$C:$C,0)+MATCH($C52,EL_List,0)-1,0)
*INDEX(Learning!$E$6:$S$41,(MATCH(G$21,Dates,0)),(MATCH($C$21,Learning!$E$4:$S$4,0)+MATCH($C$52,Learning!$E$5:$S$5,0)-1))</f>
        <v>5.8359633497630972</v>
      </c>
      <c r="H57" s="532" cm="1">
        <f t="array" aca="1" ref="H57" ca="1">OFFSET(H57,-3,0)*
OFFSET(MSP!$D$1,
MATCH(OFFSET($C52,((MATCH($C52,EL_List,0)-1)*-10)-1,0),MSP!$C:$C,0)+MATCH($C52,EL_List,0)-1,0)
*INDEX(Learning!$E$6:$S$41,(MATCH(H$21,Dates,0)),(MATCH($C$21,Learning!$E$4:$S$4,0)+MATCH($C$52,Learning!$E$5:$S$5,0)-1))</f>
        <v>6.0742716125123914</v>
      </c>
      <c r="I57" s="532" cm="1">
        <f t="array" aca="1" ref="I57" ca="1">OFFSET(I57,-3,0)*
OFFSET(MSP!$D$1,
MATCH(OFFSET($C52,((MATCH($C52,EL_List,0)-1)*-10)-1,0),MSP!$C:$C,0)+MATCH($C52,EL_List,0)-1,0)
*INDEX(Learning!$E$6:$S$41,(MATCH(I$21,Dates,0)),(MATCH($C$21,Learning!$E$4:$S$4,0)+MATCH($C$52,Learning!$E$5:$S$5,0)-1))</f>
        <v>6.3229045001968727</v>
      </c>
      <c r="J57" s="532" cm="1">
        <f t="array" aca="1" ref="J57" ca="1">OFFSET(J57,-3,0)*
OFFSET(MSP!$D$1,
MATCH(OFFSET($C52,((MATCH($C52,EL_List,0)-1)*-10)-1,0),MSP!$C:$C,0)+MATCH($C52,EL_List,0)-1,0)
*INDEX(Learning!$E$6:$S$41,(MATCH(J$21,Dates,0)),(MATCH($C$21,Learning!$E$4:$S$4,0)+MATCH($C$52,Learning!$E$5:$S$5,0)-1))</f>
        <v>6.6048503497569886</v>
      </c>
      <c r="K57" s="532" cm="1">
        <f t="array" aca="1" ref="K57" ca="1">OFFSET(K57,-3,0)*
OFFSET(MSP!$D$1,
MATCH(OFFSET($C52,((MATCH($C52,EL_List,0)-1)*-10)-1,0),MSP!$C:$C,0)+MATCH($C52,EL_List,0)-1,0)
*INDEX(Learning!$E$6:$S$41,(MATCH(K$21,Dates,0)),(MATCH($C$21,Learning!$E$4:$S$4,0)+MATCH($C$52,Learning!$E$5:$S$5,0)-1))</f>
        <v>6.9098622402093284</v>
      </c>
      <c r="L57" s="532" cm="1">
        <f t="array" aca="1" ref="L57" ca="1">OFFSET(L57,-3,0)*
OFFSET(MSP!$D$1,
MATCH(OFFSET($C52,((MATCH($C52,EL_List,0)-1)*-10)-1,0),MSP!$C:$C,0)+MATCH($C52,EL_List,0)-1,0)
*INDEX(Learning!$E$6:$S$41,(MATCH(L$21,Dates,0)),(MATCH($C$21,Learning!$E$4:$S$4,0)+MATCH($C$52,Learning!$E$5:$S$5,0)-1))</f>
        <v>7.2318844298304823</v>
      </c>
      <c r="M57" s="532" cm="1">
        <f t="array" aca="1" ref="M57" ca="1">OFFSET(M57,-3,0)*
OFFSET(MSP!$D$1,
MATCH(OFFSET($C52,((MATCH($C52,EL_List,0)-1)*-10)-1,0),MSP!$C:$C,0)+MATCH($C52,EL_List,0)-1,0)
*INDEX(Learning!$E$6:$S$41,(MATCH(M$21,Dates,0)),(MATCH($C$21,Learning!$E$4:$S$4,0)+MATCH($C$52,Learning!$E$5:$S$5,0)-1))</f>
        <v>7.5738701800501689</v>
      </c>
      <c r="N57" s="532" cm="1">
        <f t="array" aca="1" ref="N57" ca="1">OFFSET(N57,-3,0)*
OFFSET(MSP!$D$1,
MATCH(OFFSET($C52,((MATCH($C52,EL_List,0)-1)*-10)-1,0),MSP!$C:$C,0)+MATCH($C52,EL_List,0)-1,0)
*INDEX(Learning!$E$6:$S$41,(MATCH(N$21,Dates,0)),(MATCH($C$21,Learning!$E$4:$S$4,0)+MATCH($C$52,Learning!$E$5:$S$5,0)-1))</f>
        <v>7.917733630685956</v>
      </c>
      <c r="O57" s="532" cm="1">
        <f t="array" aca="1" ref="O57" ca="1">OFFSET(O57,-3,0)*
OFFSET(MSP!$D$1,
MATCH(OFFSET($C52,((MATCH($C52,EL_List,0)-1)*-10)-1,0),MSP!$C:$C,0)+MATCH($C52,EL_List,0)-1,0)
*INDEX(Learning!$E$6:$S$41,(MATCH(O$21,Dates,0)),(MATCH($C$21,Learning!$E$4:$S$4,0)+MATCH($C$52,Learning!$E$5:$S$5,0)-1))</f>
        <v>8.2787963620679417</v>
      </c>
      <c r="P57" s="532" cm="1">
        <f t="array" aca="1" ref="P57" ca="1">OFFSET(P57,-3,0)*
OFFSET(MSP!$D$1,
MATCH(OFFSET($C52,((MATCH($C52,EL_List,0)-1)*-10)-1,0),MSP!$C:$C,0)+MATCH($C52,EL_List,0)-1,0)
*INDEX(Learning!$E$6:$S$41,(MATCH(P$21,Dates,0)),(MATCH($C$21,Learning!$E$4:$S$4,0)+MATCH($C$52,Learning!$E$5:$S$5,0)-1))</f>
        <v>8.6509031903484921</v>
      </c>
      <c r="Q57" s="532" cm="1">
        <f t="array" aca="1" ref="Q57" ca="1">OFFSET(Q57,-3,0)*
OFFSET(MSP!$D$1,
MATCH(OFFSET($C52,((MATCH($C52,EL_List,0)-1)*-10)-1,0),MSP!$C:$C,0)+MATCH($C52,EL_List,0)-1,0)
*INDEX(Learning!$E$6:$S$41,(MATCH(Q$21,Dates,0)),(MATCH($C$21,Learning!$E$4:$S$4,0)+MATCH($C$52,Learning!$E$5:$S$5,0)-1))</f>
        <v>9.0364199770417457</v>
      </c>
      <c r="R57" s="532" cm="1">
        <f t="array" aca="1" ref="R57" ca="1">OFFSET(R57,-3,0)*
OFFSET(MSP!$D$1,
MATCH(OFFSET($C52,((MATCH($C52,EL_List,0)-1)*-10)-1,0),MSP!$C:$C,0)+MATCH($C52,EL_List,0)-1,0)
*INDEX(Learning!$E$6:$S$41,(MATCH(R$21,Dates,0)),(MATCH($C$21,Learning!$E$4:$S$4,0)+MATCH($C$52,Learning!$E$5:$S$5,0)-1))</f>
        <v>9.4380915066665008</v>
      </c>
      <c r="S57" s="532" cm="1">
        <f t="array" aca="1" ref="S57" ca="1">OFFSET(S57,-3,0)*
OFFSET(MSP!$D$1,
MATCH(OFFSET($C52,((MATCH($C52,EL_List,0)-1)*-10)-1,0),MSP!$C:$C,0)+MATCH($C52,EL_List,0)-1,0)
*INDEX(Learning!$E$6:$S$41,(MATCH(S$21,Dates,0)),(MATCH($C$21,Learning!$E$4:$S$4,0)+MATCH($C$52,Learning!$E$5:$S$5,0)-1))</f>
        <v>9.85812066589585</v>
      </c>
      <c r="T57" s="532" cm="1">
        <f t="array" aca="1" ref="T57" ca="1">OFFSET(T57,-3,0)*
OFFSET(MSP!$D$1,
MATCH(OFFSET($C52,((MATCH($C52,EL_List,0)-1)*-10)-1,0),MSP!$C:$C,0)+MATCH($C52,EL_List,0)-1,0)
*INDEX(Learning!$E$6:$S$41,(MATCH(T$21,Dates,0)),(MATCH($C$21,Learning!$E$4:$S$4,0)+MATCH($C$52,Learning!$E$5:$S$5,0)-1))</f>
        <v>10.308541145846799</v>
      </c>
      <c r="U57" s="532" cm="1">
        <f t="array" aca="1" ref="U57" ca="1">OFFSET(U57,-3,0)*
OFFSET(MSP!$D$1,
MATCH(OFFSET($C52,((MATCH($C52,EL_List,0)-1)*-10)-1,0),MSP!$C:$C,0)+MATCH($C52,EL_List,0)-1,0)
*INDEX(Learning!$E$6:$S$41,(MATCH(U$21,Dates,0)),(MATCH($C$21,Learning!$E$4:$S$4,0)+MATCH($C$52,Learning!$E$5:$S$5,0)-1))</f>
        <v>10.769655367227994</v>
      </c>
      <c r="V57" s="532" cm="1">
        <f t="array" aca="1" ref="V57" ca="1">OFFSET(V57,-3,0)*
OFFSET(MSP!$D$1,
MATCH(OFFSET($C52,((MATCH($C52,EL_List,0)-1)*-10)-1,0),MSP!$C:$C,0)+MATCH($C52,EL_List,0)-1,0)
*INDEX(Learning!$E$6:$S$41,(MATCH(V$21,Dates,0)),(MATCH($C$21,Learning!$E$4:$S$4,0)+MATCH($C$52,Learning!$E$5:$S$5,0)-1))</f>
        <v>11.262231337362765</v>
      </c>
      <c r="W57" s="532" cm="1">
        <f t="array" aca="1" ref="W57" ca="1">OFFSET(W57,-3,0)*
OFFSET(MSP!$D$1,
MATCH(OFFSET($C52,((MATCH($C52,EL_List,0)-1)*-10)-1,0),MSP!$C:$C,0)+MATCH($C52,EL_List,0)-1,0)
*INDEX(Learning!$E$6:$S$41,(MATCH(W$21,Dates,0)),(MATCH($C$21,Learning!$E$4:$S$4,0)+MATCH($C$52,Learning!$E$5:$S$5,0)-1))</f>
        <v>11.764258736598538</v>
      </c>
      <c r="X57" s="532" cm="1">
        <f t="array" aca="1" ref="X57" ca="1">OFFSET(X57,-3,0)*
OFFSET(MSP!$D$1,
MATCH(OFFSET($C52,((MATCH($C52,EL_List,0)-1)*-10)-1,0),MSP!$C:$C,0)+MATCH($C52,EL_List,0)-1,0)
*INDEX(Learning!$E$6:$S$41,(MATCH(X$21,Dates,0)),(MATCH($C$21,Learning!$E$4:$S$4,0)+MATCH($C$52,Learning!$E$5:$S$5,0)-1))</f>
        <v>12.300479241038198</v>
      </c>
      <c r="Y57" s="532" cm="1">
        <f t="array" aca="1" ref="Y57" ca="1">OFFSET(Y57,-3,0)*
OFFSET(MSP!$D$1,
MATCH(OFFSET($C52,((MATCH($C52,EL_List,0)-1)*-10)-1,0),MSP!$C:$C,0)+MATCH($C52,EL_List,0)-1,0)
*INDEX(Learning!$E$6:$S$41,(MATCH(Y$21,Dates,0)),(MATCH($C$21,Learning!$E$4:$S$4,0)+MATCH($C$52,Learning!$E$5:$S$5,0)-1))</f>
        <v>12.859622654241631</v>
      </c>
      <c r="Z57" s="532" cm="1">
        <f t="array" aca="1" ref="Z57" ca="1">OFFSET(Z57,-3,0)*
OFFSET(MSP!$D$1,
MATCH(OFFSET($C52,((MATCH($C52,EL_List,0)-1)*-10)-1,0),MSP!$C:$C,0)+MATCH($C52,EL_List,0)-1,0)
*INDEX(Learning!$E$6:$S$41,(MATCH(Z$21,Dates,0)),(MATCH($C$21,Learning!$E$4:$S$4,0)+MATCH($C$52,Learning!$E$5:$S$5,0)-1))</f>
        <v>13.442656752281636</v>
      </c>
      <c r="AA57" s="532" cm="1">
        <f t="array" aca="1" ref="AA57" ca="1">OFFSET(AA57,-3,0)*
OFFSET(MSP!$D$1,
MATCH(OFFSET($C52,((MATCH($C52,EL_List,0)-1)*-10)-1,0),MSP!$C:$C,0)+MATCH($C52,EL_List,0)-1,0)
*INDEX(Learning!$E$6:$S$41,(MATCH(AA$21,Dates,0)),(MATCH($C$21,Learning!$E$4:$S$4,0)+MATCH($C$52,Learning!$E$5:$S$5,0)-1))</f>
        <v>14.050729322005884</v>
      </c>
      <c r="AB57" s="532" cm="1">
        <f t="array" aca="1" ref="AB57" ca="1">OFFSET(AB57,-3,0)*
OFFSET(MSP!$D$1,
MATCH(OFFSET($C52,((MATCH($C52,EL_List,0)-1)*-10)-1,0),MSP!$C:$C,0)+MATCH($C52,EL_List,0)-1,0)
*INDEX(Learning!$E$6:$S$41,(MATCH(AB$21,Dates,0)),(MATCH($C$21,Learning!$E$4:$S$4,0)+MATCH($C$52,Learning!$E$5:$S$5,0)-1))</f>
        <v>14.68518389479533</v>
      </c>
      <c r="AC57" s="532" cm="1">
        <f t="array" aca="1" ref="AC57" ca="1">OFFSET(AC57,-3,0)*
OFFSET(MSP!$D$1,
MATCH(OFFSET($C52,((MATCH($C52,EL_List,0)-1)*-10)-1,0),MSP!$C:$C,0)+MATCH($C52,EL_List,0)-1,0)
*INDEX(Learning!$E$6:$S$41,(MATCH(AC$21,Dates,0)),(MATCH($C$21,Learning!$E$4:$S$4,0)+MATCH($C$52,Learning!$E$5:$S$5,0)-1))</f>
        <v>15.347351265884225</v>
      </c>
      <c r="AD57" s="532" cm="1">
        <f t="array" aca="1" ref="AD57" ca="1">OFFSET(AD57,-3,0)*
OFFSET(MSP!$D$1,
MATCH(OFFSET($C52,((MATCH($C52,EL_List,0)-1)*-10)-1,0),MSP!$C:$C,0)+MATCH($C52,EL_List,0)-1,0)
*INDEX(Learning!$E$6:$S$41,(MATCH(AD$21,Dates,0)),(MATCH($C$21,Learning!$E$4:$S$4,0)+MATCH($C$52,Learning!$E$5:$S$5,0)-1))</f>
        <v>16.038541397073995</v>
      </c>
      <c r="AE57" s="532" cm="1">
        <f t="array" aca="1" ref="AE57" ca="1">OFFSET(AE57,-3,0)*
OFFSET(MSP!$D$1,
MATCH(OFFSET($C52,((MATCH($C52,EL_List,0)-1)*-10)-1,0),MSP!$C:$C,0)+MATCH($C52,EL_List,0)-1,0)
*INDEX(Learning!$E$6:$S$41,(MATCH(AE$21,Dates,0)),(MATCH($C$21,Learning!$E$4:$S$4,0)+MATCH($C$52,Learning!$E$5:$S$5,0)-1))</f>
        <v>16.760033888631774</v>
      </c>
      <c r="AF57" s="532" cm="1">
        <f t="array" aca="1" ref="AF57" ca="1">OFFSET(AF57,-3,0)*
OFFSET(MSP!$D$1,
MATCH(OFFSET($C52,((MATCH($C52,EL_List,0)-1)*-10)-1,0),MSP!$C:$C,0)+MATCH($C52,EL_List,0)-1,0)
*INDEX(Learning!$E$6:$S$41,(MATCH(AF$21,Dates,0)),(MATCH($C$21,Learning!$E$4:$S$4,0)+MATCH($C$52,Learning!$E$5:$S$5,0)-1))</f>
        <v>17.513094782215713</v>
      </c>
      <c r="AG57" s="532" cm="1">
        <f t="array" aca="1" ref="AG57" ca="1">OFFSET(AG57,-3,0)*
OFFSET(MSP!$D$1,
MATCH(OFFSET($C52,((MATCH($C52,EL_List,0)-1)*-10)-1,0),MSP!$C:$C,0)+MATCH($C52,EL_List,0)-1,0)
*INDEX(Learning!$E$6:$S$41,(MATCH(AG$21,Dates,0)),(MATCH($C$21,Learning!$E$4:$S$4,0)+MATCH($C$52,Learning!$E$5:$S$5,0)-1))</f>
        <v>18.319345508115603</v>
      </c>
      <c r="AH57" s="532" cm="1">
        <f t="array" aca="1" ref="AH57" ca="1">OFFSET(AH57,-3,0)*
OFFSET(MSP!$D$1,
MATCH(OFFSET($C52,((MATCH($C52,EL_List,0)-1)*-10)-1,0),MSP!$C:$C,0)+MATCH($C52,EL_List,0)-1,0)
*INDEX(Learning!$E$6:$S$41,(MATCH(AH$21,Dates,0)),(MATCH($C$21,Learning!$E$4:$S$4,0)+MATCH($C$52,Learning!$E$5:$S$5,0)-1))</f>
        <v>19.140472121511845</v>
      </c>
      <c r="AI57" s="532" cm="1">
        <f t="array" aca="1" ref="AI57" ca="1">OFFSET(AI57,-3,0)*
OFFSET(MSP!$D$1,
MATCH(OFFSET($C52,((MATCH($C52,EL_List,0)-1)*-10)-1,0),MSP!$C:$C,0)+MATCH($C52,EL_List,0)-1,0)
*INDEX(Learning!$E$6:$S$41,(MATCH(AI$21,Dates,0)),(MATCH($C$21,Learning!$E$4:$S$4,0)+MATCH($C$52,Learning!$E$5:$S$5,0)-1))</f>
        <v>19.997272533716849</v>
      </c>
      <c r="AJ57" s="532" cm="1">
        <f t="array" aca="1" ref="AJ57" ca="1">OFFSET(AJ57,-3,0)*
OFFSET(MSP!$D$1,
MATCH(OFFSET($C52,((MATCH($C52,EL_List,0)-1)*-10)-1,0),MSP!$C:$C,0)+MATCH($C52,EL_List,0)-1,0)
*INDEX(Learning!$E$6:$S$41,(MATCH(AJ$21,Dates,0)),(MATCH($C$21,Learning!$E$4:$S$4,0)+MATCH($C$52,Learning!$E$5:$S$5,0)-1))</f>
        <v>20.914761089458782</v>
      </c>
      <c r="AK57" s="532" cm="1">
        <f t="array" aca="1" ref="AK57" ca="1">OFFSET(AK57,-3,0)*
OFFSET(MSP!$D$1,
MATCH(OFFSET($C52,((MATCH($C52,EL_List,0)-1)*-10)-1,0),MSP!$C:$C,0)+MATCH($C52,EL_List,0)-1,0)
*INDEX(Learning!$E$6:$S$41,(MATCH(AK$21,Dates,0)),(MATCH($C$21,Learning!$E$4:$S$4,0)+MATCH($C$52,Learning!$E$5:$S$5,0)-1))</f>
        <v>21.848701118252826</v>
      </c>
      <c r="AL57" s="532" cm="1">
        <f t="array" aca="1" ref="AL57" ca="1">OFFSET(AL57,-3,0)*
OFFSET(MSP!$D$1,
MATCH(OFFSET($C52,((MATCH($C52,EL_List,0)-1)*-10)-1,0),MSP!$C:$C,0)+MATCH($C52,EL_List,0)-1,0)
*INDEX(Learning!$E$6:$S$41,(MATCH(AL$21,Dates,0)),(MATCH($C$21,Learning!$E$4:$S$4,0)+MATCH($C$52,Learning!$E$5:$S$5,0)-1))</f>
        <v>22.849048904936136</v>
      </c>
      <c r="AM57" s="532" cm="1">
        <f t="array" aca="1" ref="AM57" ca="1">OFFSET(AM57,-3,0)*
OFFSET(MSP!$D$1,
MATCH(OFFSET($C52,((MATCH($C52,EL_List,0)-1)*-10)-1,0),MSP!$C:$C,0)+MATCH($C52,EL_List,0)-1,0)
*INDEX(Learning!$E$6:$S$41,(MATCH(AM$21,Dates,0)),(MATCH($C$21,Learning!$E$4:$S$4,0)+MATCH($C$52,Learning!$E$5:$S$5,0)-1))</f>
        <v>23.86708924052515</v>
      </c>
      <c r="AN57" s="532" cm="1">
        <f t="array" aca="1" ref="AN57" ca="1">OFFSET(AN57,-3,0)*
OFFSET(MSP!$D$1,
MATCH(OFFSET($C52,((MATCH($C52,EL_List,0)-1)*-10)-1,0),MSP!$C:$C,0)+MATCH($C52,EL_List,0)-1,0)
*INDEX(Learning!$E$6:$S$41,(MATCH(AN$21,Dates,0)),(MATCH($C$21,Learning!$E$4:$S$4,0)+MATCH($C$52,Learning!$E$5:$S$5,0)-1))</f>
        <v>24.956459681335591</v>
      </c>
      <c r="AO57" s="436"/>
      <c r="AP57" s="21"/>
    </row>
    <row r="58" spans="2:42" ht="15" customHeight="1" x14ac:dyDescent="0.35">
      <c r="B58" s="429"/>
      <c r="C58" s="777" t="s">
        <v>213</v>
      </c>
      <c r="D58" s="776"/>
      <c r="E58" s="533" cm="1">
        <f t="array" aca="1" ref="E58" ca="1">OFFSET(E58,-4,0)*
OFFSET(MSP!$E$1,
MATCH(OFFSET($C52,((MATCH($C52,EL_List,0)-1)*-10)-1,0),MSP!$C:$C,0)+MATCH($C52,EL_List,0)-1,0)
*INDEX(Learning!$E$6:$S$41,(MATCH(E$21,Dates,0)),(MATCH($C$21,Learning!$E$4:$S$4,0)+MATCH($C$52,Learning!$E$5:$S$5,0)-1))</f>
        <v>0.12434376771006389</v>
      </c>
      <c r="F58" s="533" cm="1">
        <f t="array" aca="1" ref="F58" ca="1">OFFSET(F58,-4,0)*
OFFSET(MSP!$E$1,
MATCH(OFFSET($C52,((MATCH($C52,EL_List,0)-1)*-10)-1,0),MSP!$C:$C,0)+MATCH($C52,EL_List,0)-1,0)
*INDEX(Learning!$E$6:$S$41,(MATCH(F$21,Dates,0)),(MATCH($C$21,Learning!$E$4:$S$4,0)+MATCH($C$52,Learning!$E$5:$S$5,0)-1))</f>
        <v>0.12890497792777506</v>
      </c>
      <c r="G58" s="533" cm="1">
        <f t="array" aca="1" ref="G58" ca="1">OFFSET(G58,-4,0)*
OFFSET(MSP!$E$1,
MATCH(OFFSET($C52,((MATCH($C52,EL_List,0)-1)*-10)-1,0),MSP!$C:$C,0)+MATCH($C52,EL_List,0)-1,0)
*INDEX(Learning!$E$6:$S$41,(MATCH(G$21,Dates,0)),(MATCH($C$21,Learning!$E$4:$S$4,0)+MATCH($C$52,Learning!$E$5:$S$5,0)-1))</f>
        <v>0.13294154669071059</v>
      </c>
      <c r="H58" s="533" cm="1">
        <f t="array" aca="1" ref="H58" ca="1">OFFSET(H58,-4,0)*
OFFSET(MSP!$E$1,
MATCH(OFFSET($C52,((MATCH($C52,EL_List,0)-1)*-10)-1,0),MSP!$C:$C,0)+MATCH($C52,EL_List,0)-1,0)
*INDEX(Learning!$E$6:$S$41,(MATCH(H$21,Dates,0)),(MATCH($C$21,Learning!$E$4:$S$4,0)+MATCH($C$52,Learning!$E$5:$S$5,0)-1))</f>
        <v>0.13837013956224625</v>
      </c>
      <c r="I58" s="533" cm="1">
        <f t="array" aca="1" ref="I58" ca="1">OFFSET(I58,-4,0)*
OFFSET(MSP!$E$1,
MATCH(OFFSET($C52,((MATCH($C52,EL_List,0)-1)*-10)-1,0),MSP!$C:$C,0)+MATCH($C52,EL_List,0)-1,0)
*INDEX(Learning!$E$6:$S$41,(MATCH(I$21,Dates,0)),(MATCH($C$21,Learning!$E$4:$S$4,0)+MATCH($C$52,Learning!$E$5:$S$5,0)-1))</f>
        <v>0.14403392438507151</v>
      </c>
      <c r="J58" s="533" cm="1">
        <f t="array" aca="1" ref="J58" ca="1">OFFSET(J58,-4,0)*
OFFSET(MSP!$E$1,
MATCH(OFFSET($C52,((MATCH($C52,EL_List,0)-1)*-10)-1,0),MSP!$C:$C,0)+MATCH($C52,EL_List,0)-1,0)
*INDEX(Learning!$E$6:$S$41,(MATCH(J$21,Dates,0)),(MATCH($C$21,Learning!$E$4:$S$4,0)+MATCH($C$52,Learning!$E$5:$S$5,0)-1))</f>
        <v>0.15045656878448671</v>
      </c>
      <c r="K58" s="533" cm="1">
        <f t="array" aca="1" ref="K58" ca="1">OFFSET(K58,-4,0)*
OFFSET(MSP!$E$1,
MATCH(OFFSET($C52,((MATCH($C52,EL_List,0)-1)*-10)-1,0),MSP!$C:$C,0)+MATCH($C52,EL_List,0)-1,0)
*INDEX(Learning!$E$6:$S$41,(MATCH(K$21,Dates,0)),(MATCH($C$21,Learning!$E$4:$S$4,0)+MATCH($C$52,Learning!$E$5:$S$5,0)-1))</f>
        <v>0.15740465088260983</v>
      </c>
      <c r="L58" s="533" cm="1">
        <f t="array" aca="1" ref="L58" ca="1">OFFSET(L58,-4,0)*
OFFSET(MSP!$E$1,
MATCH(OFFSET($C52,((MATCH($C52,EL_List,0)-1)*-10)-1,0),MSP!$C:$C,0)+MATCH($C52,EL_List,0)-1,0)
*INDEX(Learning!$E$6:$S$41,(MATCH(L$21,Dates,0)),(MATCH($C$21,Learning!$E$4:$S$4,0)+MATCH($C$52,Learning!$E$5:$S$5,0)-1))</f>
        <v>0.1647402226453597</v>
      </c>
      <c r="M58" s="533" cm="1">
        <f t="array" aca="1" ref="M58" ca="1">OFFSET(M58,-4,0)*
OFFSET(MSP!$E$1,
MATCH(OFFSET($C52,((MATCH($C52,EL_List,0)-1)*-10)-1,0),MSP!$C:$C,0)+MATCH($C52,EL_List,0)-1,0)
*INDEX(Learning!$E$6:$S$41,(MATCH(M$21,Dates,0)),(MATCH($C$21,Learning!$E$4:$S$4,0)+MATCH($C$52,Learning!$E$5:$S$5,0)-1))</f>
        <v>0.17253055850862961</v>
      </c>
      <c r="N58" s="533" cm="1">
        <f t="array" aca="1" ref="N58" ca="1">OFFSET(N58,-4,0)*
OFFSET(MSP!$E$1,
MATCH(OFFSET($C52,((MATCH($C52,EL_List,0)-1)*-10)-1,0),MSP!$C:$C,0)+MATCH($C52,EL_List,0)-1,0)
*INDEX(Learning!$E$6:$S$41,(MATCH(N$21,Dates,0)),(MATCH($C$21,Learning!$E$4:$S$4,0)+MATCH($C$52,Learning!$E$5:$S$5,0)-1))</f>
        <v>0.1803636678409187</v>
      </c>
      <c r="O58" s="533" cm="1">
        <f t="array" aca="1" ref="O58" ca="1">OFFSET(O58,-4,0)*
OFFSET(MSP!$E$1,
MATCH(OFFSET($C52,((MATCH($C52,EL_List,0)-1)*-10)-1,0),MSP!$C:$C,0)+MATCH($C52,EL_List,0)-1,0)
*INDEX(Learning!$E$6:$S$41,(MATCH(O$21,Dates,0)),(MATCH($C$21,Learning!$E$4:$S$4,0)+MATCH($C$52,Learning!$E$5:$S$5,0)-1))</f>
        <v>0.18858857178316882</v>
      </c>
      <c r="P58" s="533" cm="1">
        <f t="array" aca="1" ref="P58" ca="1">OFFSET(P58,-4,0)*
OFFSET(MSP!$E$1,
MATCH(OFFSET($C52,((MATCH($C52,EL_List,0)-1)*-10)-1,0),MSP!$C:$C,0)+MATCH($C52,EL_List,0)-1,0)
*INDEX(Learning!$E$6:$S$41,(MATCH(P$21,Dates,0)),(MATCH($C$21,Learning!$E$4:$S$4,0)+MATCH($C$52,Learning!$E$5:$S$5,0)-1))</f>
        <v>0.19706505703864924</v>
      </c>
      <c r="Q58" s="533" cm="1">
        <f t="array" aca="1" ref="Q58" ca="1">OFFSET(Q58,-4,0)*
OFFSET(MSP!$E$1,
MATCH(OFFSET($C52,((MATCH($C52,EL_List,0)-1)*-10)-1,0),MSP!$C:$C,0)+MATCH($C52,EL_List,0)-1,0)
*INDEX(Learning!$E$6:$S$41,(MATCH(Q$21,Dates,0)),(MATCH($C$21,Learning!$E$4:$S$4,0)+MATCH($C$52,Learning!$E$5:$S$5,0)-1))</f>
        <v>0.20584701724412485</v>
      </c>
      <c r="R58" s="533" cm="1">
        <f t="array" aca="1" ref="R58" ca="1">OFFSET(R58,-4,0)*
OFFSET(MSP!$E$1,
MATCH(OFFSET($C52,((MATCH($C52,EL_List,0)-1)*-10)-1,0),MSP!$C:$C,0)+MATCH($C52,EL_List,0)-1,0)
*INDEX(Learning!$E$6:$S$41,(MATCH(R$21,Dates,0)),(MATCH($C$21,Learning!$E$4:$S$4,0)+MATCH($C$52,Learning!$E$5:$S$5,0)-1))</f>
        <v>0.21499697779213042</v>
      </c>
      <c r="S58" s="533" cm="1">
        <f t="array" aca="1" ref="S58" ca="1">OFFSET(S58,-4,0)*
OFFSET(MSP!$E$1,
MATCH(OFFSET($C52,((MATCH($C52,EL_List,0)-1)*-10)-1,0),MSP!$C:$C,0)+MATCH($C52,EL_List,0)-1,0)
*INDEX(Learning!$E$6:$S$41,(MATCH(S$21,Dates,0)),(MATCH($C$21,Learning!$E$4:$S$4,0)+MATCH($C$52,Learning!$E$5:$S$5,0)-1))</f>
        <v>0.22456511979998159</v>
      </c>
      <c r="T58" s="533" cm="1">
        <f t="array" aca="1" ref="T58" ca="1">OFFSET(T58,-4,0)*
OFFSET(MSP!$E$1,
MATCH(OFFSET($C52,((MATCH($C52,EL_List,0)-1)*-10)-1,0),MSP!$C:$C,0)+MATCH($C52,EL_List,0)-1,0)
*INDEX(Learning!$E$6:$S$41,(MATCH(T$21,Dates,0)),(MATCH($C$21,Learning!$E$4:$S$4,0)+MATCH($C$52,Learning!$E$5:$S$5,0)-1))</f>
        <v>0.23482556724920733</v>
      </c>
      <c r="U58" s="533" cm="1">
        <f t="array" aca="1" ref="U58" ca="1">OFFSET(U58,-4,0)*
OFFSET(MSP!$E$1,
MATCH(OFFSET($C52,((MATCH($C52,EL_List,0)-1)*-10)-1,0),MSP!$C:$C,0)+MATCH($C52,EL_List,0)-1,0)
*INDEX(Learning!$E$6:$S$41,(MATCH(U$21,Dates,0)),(MATCH($C$21,Learning!$E$4:$S$4,0)+MATCH($C$52,Learning!$E$5:$S$5,0)-1))</f>
        <v>0.24532961501605752</v>
      </c>
      <c r="V58" s="533" cm="1">
        <f t="array" aca="1" ref="V58" ca="1">OFFSET(V58,-4,0)*
OFFSET(MSP!$E$1,
MATCH(OFFSET($C52,((MATCH($C52,EL_List,0)-1)*-10)-1,0),MSP!$C:$C,0)+MATCH($C52,EL_List,0)-1,0)
*INDEX(Learning!$E$6:$S$41,(MATCH(V$21,Dates,0)),(MATCH($C$21,Learning!$E$4:$S$4,0)+MATCH($C$52,Learning!$E$5:$S$5,0)-1))</f>
        <v>0.25655035226332829</v>
      </c>
      <c r="W58" s="533" cm="1">
        <f t="array" aca="1" ref="W58" ca="1">OFFSET(W58,-4,0)*
OFFSET(MSP!$E$1,
MATCH(OFFSET($C52,((MATCH($C52,EL_List,0)-1)*-10)-1,0),MSP!$C:$C,0)+MATCH($C52,EL_List,0)-1,0)
*INDEX(Learning!$E$6:$S$41,(MATCH(W$21,Dates,0)),(MATCH($C$21,Learning!$E$4:$S$4,0)+MATCH($C$52,Learning!$E$5:$S$5,0)-1))</f>
        <v>0.26798639031490851</v>
      </c>
      <c r="X58" s="533" cm="1">
        <f t="array" aca="1" ref="X58" ca="1">OFFSET(X58,-4,0)*
OFFSET(MSP!$E$1,
MATCH(OFFSET($C52,((MATCH($C52,EL_List,0)-1)*-10)-1,0),MSP!$C:$C,0)+MATCH($C52,EL_List,0)-1,0)
*INDEX(Learning!$E$6:$S$41,(MATCH(X$21,Dates,0)),(MATCH($C$21,Learning!$E$4:$S$4,0)+MATCH($C$52,Learning!$E$5:$S$5,0)-1))</f>
        <v>0.28020133735195174</v>
      </c>
      <c r="Y58" s="533" cm="1">
        <f t="array" aca="1" ref="Y58" ca="1">OFFSET(Y58,-4,0)*
OFFSET(MSP!$E$1,
MATCH(OFFSET($C52,((MATCH($C52,EL_List,0)-1)*-10)-1,0),MSP!$C:$C,0)+MATCH($C52,EL_List,0)-1,0)
*INDEX(Learning!$E$6:$S$41,(MATCH(Y$21,Dates,0)),(MATCH($C$21,Learning!$E$4:$S$4,0)+MATCH($C$52,Learning!$E$5:$S$5,0)-1))</f>
        <v>0.29293846157947195</v>
      </c>
      <c r="Z58" s="533" cm="1">
        <f t="array" aca="1" ref="Z58" ca="1">OFFSET(Z58,-4,0)*
OFFSET(MSP!$E$1,
MATCH(OFFSET($C52,((MATCH($C52,EL_List,0)-1)*-10)-1,0),MSP!$C:$C,0)+MATCH($C52,EL_List,0)-1,0)
*INDEX(Learning!$E$6:$S$41,(MATCH(Z$21,Dates,0)),(MATCH($C$21,Learning!$E$4:$S$4,0)+MATCH($C$52,Learning!$E$5:$S$5,0)-1))</f>
        <v>0.30621980865475951</v>
      </c>
      <c r="AA58" s="533" cm="1">
        <f t="array" aca="1" ref="AA58" ca="1">OFFSET(AA58,-4,0)*
OFFSET(MSP!$E$1,
MATCH(OFFSET($C52,((MATCH($C52,EL_List,0)-1)*-10)-1,0),MSP!$C:$C,0)+MATCH($C52,EL_List,0)-1,0)
*INDEX(Learning!$E$6:$S$41,(MATCH(AA$21,Dates,0)),(MATCH($C$21,Learning!$E$4:$S$4,0)+MATCH($C$52,Learning!$E$5:$S$5,0)-1))</f>
        <v>0.32007152482816864</v>
      </c>
      <c r="AB58" s="533" cm="1">
        <f t="array" aca="1" ref="AB58" ca="1">OFFSET(AB58,-4,0)*
OFFSET(MSP!$E$1,
MATCH(OFFSET($C52,((MATCH($C52,EL_List,0)-1)*-10)-1,0),MSP!$C:$C,0)+MATCH($C52,EL_List,0)-1,0)
*INDEX(Learning!$E$6:$S$41,(MATCH(AB$21,Dates,0)),(MATCH($C$21,Learning!$E$4:$S$4,0)+MATCH($C$52,Learning!$E$5:$S$5,0)-1))</f>
        <v>0.33452421535355492</v>
      </c>
      <c r="AC58" s="533" cm="1">
        <f t="array" aca="1" ref="AC58" ca="1">OFFSET(AC58,-4,0)*
OFFSET(MSP!$E$1,
MATCH(OFFSET($C52,((MATCH($C52,EL_List,0)-1)*-10)-1,0),MSP!$C:$C,0)+MATCH($C52,EL_List,0)-1,0)
*INDEX(Learning!$E$6:$S$41,(MATCH(AC$21,Dates,0)),(MATCH($C$21,Learning!$E$4:$S$4,0)+MATCH($C$52,Learning!$E$5:$S$5,0)-1))</f>
        <v>0.34960819535905879</v>
      </c>
      <c r="AD58" s="533" cm="1">
        <f t="array" aca="1" ref="AD58" ca="1">OFFSET(AD58,-4,0)*
OFFSET(MSP!$E$1,
MATCH(OFFSET($C52,((MATCH($C52,EL_List,0)-1)*-10)-1,0),MSP!$C:$C,0)+MATCH($C52,EL_List,0)-1,0)
*INDEX(Learning!$E$6:$S$41,(MATCH(AD$21,Dates,0)),(MATCH($C$21,Learning!$E$4:$S$4,0)+MATCH($C$52,Learning!$E$5:$S$5,0)-1))</f>
        <v>0.36535330539328359</v>
      </c>
      <c r="AE58" s="533" cm="1">
        <f t="array" aca="1" ref="AE58" ca="1">OFFSET(AE58,-4,0)*
OFFSET(MSP!$E$1,
MATCH(OFFSET($C52,((MATCH($C52,EL_List,0)-1)*-10)-1,0),MSP!$C:$C,0)+MATCH($C52,EL_List,0)-1,0)
*INDEX(Learning!$E$6:$S$41,(MATCH(AE$21,Dates,0)),(MATCH($C$21,Learning!$E$4:$S$4,0)+MATCH($C$52,Learning!$E$5:$S$5,0)-1))</f>
        <v>0.38178869437791785</v>
      </c>
      <c r="AF58" s="533" cm="1">
        <f t="array" aca="1" ref="AF58" ca="1">OFFSET(AF58,-4,0)*
OFFSET(MSP!$E$1,
MATCH(OFFSET($C52,((MATCH($C52,EL_List,0)-1)*-10)-1,0),MSP!$C:$C,0)+MATCH($C52,EL_List,0)-1,0)
*INDEX(Learning!$E$6:$S$41,(MATCH(AF$21,Dates,0)),(MATCH($C$21,Learning!$E$4:$S$4,0)+MATCH($C$52,Learning!$E$5:$S$5,0)-1))</f>
        <v>0.39894320237348319</v>
      </c>
      <c r="AG58" s="533" cm="1">
        <f t="array" aca="1" ref="AG58" ca="1">OFFSET(AG58,-4,0)*
OFFSET(MSP!$E$1,
MATCH(OFFSET($C52,((MATCH($C52,EL_List,0)-1)*-10)-1,0),MSP!$C:$C,0)+MATCH($C52,EL_List,0)-1,0)
*INDEX(Learning!$E$6:$S$41,(MATCH(AG$21,Dates,0)),(MATCH($C$21,Learning!$E$4:$S$4,0)+MATCH($C$52,Learning!$E$5:$S$5,0)-1))</f>
        <v>0.41730935926958346</v>
      </c>
      <c r="AH58" s="533" cm="1">
        <f t="array" aca="1" ref="AH58" ca="1">OFFSET(AH58,-4,0)*
OFFSET(MSP!$E$1,
MATCH(OFFSET($C52,((MATCH($C52,EL_List,0)-1)*-10)-1,0),MSP!$C:$C,0)+MATCH($C52,EL_List,0)-1,0)
*INDEX(Learning!$E$6:$S$41,(MATCH(AH$21,Dates,0)),(MATCH($C$21,Learning!$E$4:$S$4,0)+MATCH($C$52,Learning!$E$5:$S$5,0)-1))</f>
        <v>0.43601438455358094</v>
      </c>
      <c r="AI58" s="533" cm="1">
        <f t="array" aca="1" ref="AI58" ca="1">OFFSET(AI58,-4,0)*
OFFSET(MSP!$E$1,
MATCH(OFFSET($C52,((MATCH($C52,EL_List,0)-1)*-10)-1,0),MSP!$C:$C,0)+MATCH($C52,EL_List,0)-1,0)
*INDEX(Learning!$E$6:$S$41,(MATCH(AI$21,Dates,0)),(MATCH($C$21,Learning!$E$4:$S$4,0)+MATCH($C$52,Learning!$E$5:$S$5,0)-1))</f>
        <v>0.45553204859244018</v>
      </c>
      <c r="AJ58" s="533" cm="1">
        <f t="array" aca="1" ref="AJ58" ca="1">OFFSET(AJ58,-4,0)*
OFFSET(MSP!$E$1,
MATCH(OFFSET($C52,((MATCH($C52,EL_List,0)-1)*-10)-1,0),MSP!$C:$C,0)+MATCH($C52,EL_List,0)-1,0)
*INDEX(Learning!$E$6:$S$41,(MATCH(AJ$21,Dates,0)),(MATCH($C$21,Learning!$E$4:$S$4,0)+MATCH($C$52,Learning!$E$5:$S$5,0)-1))</f>
        <v>0.47643217087924478</v>
      </c>
      <c r="AK58" s="533" cm="1">
        <f t="array" aca="1" ref="AK58" ca="1">OFFSET(AK58,-4,0)*
OFFSET(MSP!$E$1,
MATCH(OFFSET($C52,((MATCH($C52,EL_List,0)-1)*-10)-1,0),MSP!$C:$C,0)+MATCH($C52,EL_List,0)-1,0)
*INDEX(Learning!$E$6:$S$41,(MATCH(AK$21,Dates,0)),(MATCH($C$21,Learning!$E$4:$S$4,0)+MATCH($C$52,Learning!$E$5:$S$5,0)-1))</f>
        <v>0.49770705293437062</v>
      </c>
      <c r="AL58" s="533" cm="1">
        <f t="array" aca="1" ref="AL58" ca="1">OFFSET(AL58,-4,0)*
OFFSET(MSP!$E$1,
MATCH(OFFSET($C52,((MATCH($C52,EL_List,0)-1)*-10)-1,0),MSP!$C:$C,0)+MATCH($C52,EL_List,0)-1,0)
*INDEX(Learning!$E$6:$S$41,(MATCH(AL$21,Dates,0)),(MATCH($C$21,Learning!$E$4:$S$4,0)+MATCH($C$52,Learning!$E$5:$S$5,0)-1))</f>
        <v>0.52049468438783186</v>
      </c>
      <c r="AM58" s="533" cm="1">
        <f t="array" aca="1" ref="AM58" ca="1">OFFSET(AM58,-4,0)*
OFFSET(MSP!$E$1,
MATCH(OFFSET($C52,((MATCH($C52,EL_List,0)-1)*-10)-1,0),MSP!$C:$C,0)+MATCH($C52,EL_List,0)-1,0)
*INDEX(Learning!$E$6:$S$41,(MATCH(AM$21,Dates,0)),(MATCH($C$21,Learning!$E$4:$S$4,0)+MATCH($C$52,Learning!$E$5:$S$5,0)-1))</f>
        <v>0.54368534695637372</v>
      </c>
      <c r="AN58" s="533" cm="1">
        <f t="array" aca="1" ref="AN58" ca="1">OFFSET(AN58,-4,0)*
OFFSET(MSP!$E$1,
MATCH(OFFSET($C52,((MATCH($C52,EL_List,0)-1)*-10)-1,0),MSP!$C:$C,0)+MATCH($C52,EL_List,0)-1,0)
*INDEX(Learning!$E$6:$S$41,(MATCH(AN$21,Dates,0)),(MATCH($C$21,Learning!$E$4:$S$4,0)+MATCH($C$52,Learning!$E$5:$S$5,0)-1))</f>
        <v>0.56850088856294678</v>
      </c>
      <c r="AO58" s="436"/>
      <c r="AP58" s="21"/>
    </row>
    <row r="59" spans="2:42" ht="15" customHeight="1" x14ac:dyDescent="0.35">
      <c r="B59" s="429"/>
      <c r="C59" s="777" t="s">
        <v>214</v>
      </c>
      <c r="D59" s="776"/>
      <c r="E59" s="533" cm="1">
        <f t="array" aca="1" ref="E59" ca="1">OFFSET(E59,-5,0)*
OFFSET(MSP!$F$1,
MATCH(OFFSET($C52,((MATCH($C52,EL_List,0)-1)*-10)-1,0),MSP!$C:$C,0)+MATCH($C52,EL_List,0)-1,0)
*INDEX(Learning!$E$6:$S$41,(MATCH(E$21,Dates,0)),(MATCH($C$21,Learning!$E$4:$S$4,0)+MATCH($C$52,Learning!$E$5:$S$5,0)-1))</f>
        <v>0.30471983009073844</v>
      </c>
      <c r="F59" s="533" cm="1">
        <f t="array" aca="1" ref="F59" ca="1">OFFSET(F59,-5,0)*
OFFSET(MSP!$F$1,
MATCH(OFFSET($C52,((MATCH($C52,EL_List,0)-1)*-10)-1,0),MSP!$C:$C,0)+MATCH($C52,EL_List,0)-1,0)
*INDEX(Learning!$E$6:$S$41,(MATCH(F$21,Dates,0)),(MATCH($C$21,Learning!$E$4:$S$4,0)+MATCH($C$52,Learning!$E$5:$S$5,0)-1))</f>
        <v>0.31589764163807654</v>
      </c>
      <c r="G59" s="533" cm="1">
        <f t="array" aca="1" ref="G59" ca="1">OFFSET(G59,-5,0)*
OFFSET(MSP!$F$1,
MATCH(OFFSET($C52,((MATCH($C52,EL_List,0)-1)*-10)-1,0),MSP!$C:$C,0)+MATCH($C52,EL_List,0)-1,0)
*INDEX(Learning!$E$6:$S$41,(MATCH(G$21,Dates,0)),(MATCH($C$21,Learning!$E$4:$S$4,0)+MATCH($C$52,Learning!$E$5:$S$5,0)-1))</f>
        <v>0.32578975420828094</v>
      </c>
      <c r="H59" s="533" cm="1">
        <f t="array" aca="1" ref="H59" ca="1">OFFSET(H59,-5,0)*
OFFSET(MSP!$F$1,
MATCH(OFFSET($C52,((MATCH($C52,EL_List,0)-1)*-10)-1,0),MSP!$C:$C,0)+MATCH($C52,EL_List,0)-1,0)
*INDEX(Learning!$E$6:$S$41,(MATCH(H$21,Dates,0)),(MATCH($C$21,Learning!$E$4:$S$4,0)+MATCH($C$52,Learning!$E$5:$S$5,0)-1))</f>
        <v>0.33909319456488402</v>
      </c>
      <c r="I59" s="533" cm="1">
        <f t="array" aca="1" ref="I59" ca="1">OFFSET(I59,-5,0)*
OFFSET(MSP!$F$1,
MATCH(OFFSET($C52,((MATCH($C52,EL_List,0)-1)*-10)-1,0),MSP!$C:$C,0)+MATCH($C52,EL_List,0)-1,0)
*INDEX(Learning!$E$6:$S$41,(MATCH(I$21,Dates,0)),(MATCH($C$21,Learning!$E$4:$S$4,0)+MATCH($C$52,Learning!$E$5:$S$5,0)-1))</f>
        <v>0.35297300197836112</v>
      </c>
      <c r="J59" s="533" cm="1">
        <f t="array" aca="1" ref="J59" ca="1">OFFSET(J59,-5,0)*
OFFSET(MSP!$F$1,
MATCH(OFFSET($C52,((MATCH($C52,EL_List,0)-1)*-10)-1,0),MSP!$C:$C,0)+MATCH($C52,EL_List,0)-1,0)
*INDEX(Learning!$E$6:$S$41,(MATCH(J$21,Dates,0)),(MATCH($C$21,Learning!$E$4:$S$4,0)+MATCH($C$52,Learning!$E$5:$S$5,0)-1))</f>
        <v>0.36871248893589381</v>
      </c>
      <c r="K59" s="533" cm="1">
        <f t="array" aca="1" ref="K59" ca="1">OFFSET(K59,-5,0)*
OFFSET(MSP!$F$1,
MATCH(OFFSET($C52,((MATCH($C52,EL_List,0)-1)*-10)-1,0),MSP!$C:$C,0)+MATCH($C52,EL_List,0)-1,0)
*INDEX(Learning!$E$6:$S$41,(MATCH(K$21,Dates,0)),(MATCH($C$21,Learning!$E$4:$S$4,0)+MATCH($C$52,Learning!$E$5:$S$5,0)-1))</f>
        <v>0.38573962616510632</v>
      </c>
      <c r="L59" s="533" cm="1">
        <f t="array" aca="1" ref="L59" ca="1">OFFSET(L59,-5,0)*
OFFSET(MSP!$F$1,
MATCH(OFFSET($C52,((MATCH($C52,EL_List,0)-1)*-10)-1,0),MSP!$C:$C,0)+MATCH($C52,EL_List,0)-1,0)
*INDEX(Learning!$E$6:$S$41,(MATCH(L$21,Dates,0)),(MATCH($C$21,Learning!$E$4:$S$4,0)+MATCH($C$52,Learning!$E$5:$S$5,0)-1))</f>
        <v>0.40371635489328567</v>
      </c>
      <c r="M59" s="533" cm="1">
        <f t="array" aca="1" ref="M59" ca="1">OFFSET(M59,-5,0)*
OFFSET(MSP!$F$1,
MATCH(OFFSET($C52,((MATCH($C52,EL_List,0)-1)*-10)-1,0),MSP!$C:$C,0)+MATCH($C52,EL_List,0)-1,0)
*INDEX(Learning!$E$6:$S$41,(MATCH(M$21,Dates,0)),(MATCH($C$21,Learning!$E$4:$S$4,0)+MATCH($C$52,Learning!$E$5:$S$5,0)-1))</f>
        <v>0.42280753947231997</v>
      </c>
      <c r="N59" s="533" cm="1">
        <f t="array" aca="1" ref="N59" ca="1">OFFSET(N59,-5,0)*
OFFSET(MSP!$F$1,
MATCH(OFFSET($C52,((MATCH($C52,EL_List,0)-1)*-10)-1,0),MSP!$C:$C,0)+MATCH($C52,EL_List,0)-1,0)
*INDEX(Learning!$E$6:$S$41,(MATCH(N$21,Dates,0)),(MATCH($C$21,Learning!$E$4:$S$4,0)+MATCH($C$52,Learning!$E$5:$S$5,0)-1))</f>
        <v>0.44200354574408518</v>
      </c>
      <c r="O59" s="533" cm="1">
        <f t="array" aca="1" ref="O59" ca="1">OFFSET(O59,-5,0)*
OFFSET(MSP!$F$1,
MATCH(OFFSET($C52,((MATCH($C52,EL_List,0)-1)*-10)-1,0),MSP!$C:$C,0)+MATCH($C52,EL_List,0)-1,0)
*INDEX(Learning!$E$6:$S$41,(MATCH(O$21,Dates,0)),(MATCH($C$21,Learning!$E$4:$S$4,0)+MATCH($C$52,Learning!$E$5:$S$5,0)-1))</f>
        <v>0.46215969331747297</v>
      </c>
      <c r="P59" s="533" cm="1">
        <f t="array" aca="1" ref="P59" ca="1">OFFSET(P59,-5,0)*
OFFSET(MSP!$F$1,
MATCH(OFFSET($C52,((MATCH($C52,EL_List,0)-1)*-10)-1,0),MSP!$C:$C,0)+MATCH($C52,EL_List,0)-1,0)
*INDEX(Learning!$E$6:$S$41,(MATCH(P$21,Dates,0)),(MATCH($C$21,Learning!$E$4:$S$4,0)+MATCH($C$52,Learning!$E$5:$S$5,0)-1))</f>
        <v>0.48293237211259682</v>
      </c>
      <c r="Q59" s="533" cm="1">
        <f t="array" aca="1" ref="Q59" ca="1">OFFSET(Q59,-5,0)*
OFFSET(MSP!$F$1,
MATCH(OFFSET($C52,((MATCH($C52,EL_List,0)-1)*-10)-1,0),MSP!$C:$C,0)+MATCH($C52,EL_List,0)-1,0)
*INDEX(Learning!$E$6:$S$41,(MATCH(Q$21,Dates,0)),(MATCH($C$21,Learning!$E$4:$S$4,0)+MATCH($C$52,Learning!$E$5:$S$5,0)-1))</f>
        <v>0.5044536551729264</v>
      </c>
      <c r="R59" s="533" cm="1">
        <f t="array" aca="1" ref="R59" ca="1">OFFSET(R59,-5,0)*
OFFSET(MSP!$F$1,
MATCH(OFFSET($C52,((MATCH($C52,EL_List,0)-1)*-10)-1,0),MSP!$C:$C,0)+MATCH($C52,EL_List,0)-1,0)
*INDEX(Learning!$E$6:$S$41,(MATCH(R$21,Dates,0)),(MATCH($C$21,Learning!$E$4:$S$4,0)+MATCH($C$52,Learning!$E$5:$S$5,0)-1))</f>
        <v>0.52687676873038658</v>
      </c>
      <c r="S59" s="533" cm="1">
        <f t="array" aca="1" ref="S59" ca="1">OFFSET(S59,-5,0)*
OFFSET(MSP!$F$1,
MATCH(OFFSET($C52,((MATCH($C52,EL_List,0)-1)*-10)-1,0),MSP!$C:$C,0)+MATCH($C52,EL_List,0)-1,0)
*INDEX(Learning!$E$6:$S$41,(MATCH(S$21,Dates,0)),(MATCH($C$21,Learning!$E$4:$S$4,0)+MATCH($C$52,Learning!$E$5:$S$5,0)-1))</f>
        <v>0.55032468783892508</v>
      </c>
      <c r="T59" s="533" cm="1">
        <f t="array" aca="1" ref="T59" ca="1">OFFSET(T59,-5,0)*
OFFSET(MSP!$F$1,
MATCH(OFFSET($C52,((MATCH($C52,EL_List,0)-1)*-10)-1,0),MSP!$C:$C,0)+MATCH($C52,EL_List,0)-1,0)
*INDEX(Learning!$E$6:$S$41,(MATCH(T$21,Dates,0)),(MATCH($C$21,Learning!$E$4:$S$4,0)+MATCH($C$52,Learning!$E$5:$S$5,0)-1))</f>
        <v>0.57546918732580976</v>
      </c>
      <c r="U59" s="533" cm="1">
        <f t="array" aca="1" ref="U59" ca="1">OFFSET(U59,-5,0)*
OFFSET(MSP!$F$1,
MATCH(OFFSET($C52,((MATCH($C52,EL_List,0)-1)*-10)-1,0),MSP!$C:$C,0)+MATCH($C52,EL_List,0)-1,0)
*INDEX(Learning!$E$6:$S$41,(MATCH(U$21,Dates,0)),(MATCH($C$21,Learning!$E$4:$S$4,0)+MATCH($C$52,Learning!$E$5:$S$5,0)-1))</f>
        <v>0.60121065961449716</v>
      </c>
      <c r="V59" s="533" cm="1">
        <f t="array" aca="1" ref="V59" ca="1">OFFSET(V59,-5,0)*
OFFSET(MSP!$F$1,
MATCH(OFFSET($C52,((MATCH($C52,EL_List,0)-1)*-10)-1,0),MSP!$C:$C,0)+MATCH($C52,EL_List,0)-1,0)
*INDEX(Learning!$E$6:$S$41,(MATCH(V$21,Dates,0)),(MATCH($C$21,Learning!$E$4:$S$4,0)+MATCH($C$52,Learning!$E$5:$S$5,0)-1))</f>
        <v>0.62870846839453798</v>
      </c>
      <c r="W59" s="533" cm="1">
        <f t="array" aca="1" ref="W59" ca="1">OFFSET(W59,-5,0)*
OFFSET(MSP!$F$1,
MATCH(OFFSET($C52,((MATCH($C52,EL_List,0)-1)*-10)-1,0),MSP!$C:$C,0)+MATCH($C52,EL_List,0)-1,0)
*INDEX(Learning!$E$6:$S$41,(MATCH(W$21,Dates,0)),(MATCH($C$21,Learning!$E$4:$S$4,0)+MATCH($C$52,Learning!$E$5:$S$5,0)-1))</f>
        <v>0.65673389850788599</v>
      </c>
      <c r="X59" s="533" cm="1">
        <f t="array" aca="1" ref="X59" ca="1">OFFSET(X59,-5,0)*
OFFSET(MSP!$F$1,
MATCH(OFFSET($C52,((MATCH($C52,EL_List,0)-1)*-10)-1,0),MSP!$C:$C,0)+MATCH($C52,EL_List,0)-1,0)
*INDEX(Learning!$E$6:$S$41,(MATCH(X$21,Dates,0)),(MATCH($C$21,Learning!$E$4:$S$4,0)+MATCH($C$52,Learning!$E$5:$S$5,0)-1))</f>
        <v>0.68666814172926061</v>
      </c>
      <c r="Y59" s="533" cm="1">
        <f t="array" aca="1" ref="Y59" ca="1">OFFSET(Y59,-5,0)*
OFFSET(MSP!$F$1,
MATCH(OFFSET($C52,((MATCH($C52,EL_List,0)-1)*-10)-1,0),MSP!$C:$C,0)+MATCH($C52,EL_List,0)-1,0)
*INDEX(Learning!$E$6:$S$41,(MATCH(Y$21,Dates,0)),(MATCH($C$21,Learning!$E$4:$S$4,0)+MATCH($C$52,Learning!$E$5:$S$5,0)-1))</f>
        <v>0.71788204494236441</v>
      </c>
      <c r="Z59" s="533" cm="1">
        <f t="array" aca="1" ref="Z59" ca="1">OFFSET(Z59,-5,0)*
OFFSET(MSP!$F$1,
MATCH(OFFSET($C52,((MATCH($C52,EL_List,0)-1)*-10)-1,0),MSP!$C:$C,0)+MATCH($C52,EL_List,0)-1,0)
*INDEX(Learning!$E$6:$S$41,(MATCH(Z$21,Dates,0)),(MATCH($C$21,Learning!$E$4:$S$4,0)+MATCH($C$52,Learning!$E$5:$S$5,0)-1))</f>
        <v>0.75042963376558924</v>
      </c>
      <c r="AA59" s="533" cm="1">
        <f t="array" aca="1" ref="AA59" ca="1">OFFSET(AA59,-5,0)*
OFFSET(MSP!$F$1,
MATCH(OFFSET($C52,((MATCH($C52,EL_List,0)-1)*-10)-1,0),MSP!$C:$C,0)+MATCH($C52,EL_List,0)-1,0)
*INDEX(Learning!$E$6:$S$41,(MATCH(AA$21,Dates,0)),(MATCH($C$21,Learning!$E$4:$S$4,0)+MATCH($C$52,Learning!$E$5:$S$5,0)-1))</f>
        <v>0.78437498282939067</v>
      </c>
      <c r="AB59" s="533" cm="1">
        <f t="array" aca="1" ref="AB59" ca="1">OFFSET(AB59,-5,0)*
OFFSET(MSP!$F$1,
MATCH(OFFSET($C52,((MATCH($C52,EL_List,0)-1)*-10)-1,0),MSP!$C:$C,0)+MATCH($C52,EL_List,0)-1,0)
*INDEX(Learning!$E$6:$S$41,(MATCH(AB$21,Dates,0)),(MATCH($C$21,Learning!$E$4:$S$4,0)+MATCH($C$52,Learning!$E$5:$S$5,0)-1))</f>
        <v>0.81979309410553236</v>
      </c>
      <c r="AC59" s="533" cm="1">
        <f t="array" aca="1" ref="AC59" ca="1">OFFSET(AC59,-5,0)*
OFFSET(MSP!$F$1,
MATCH(OFFSET($C52,((MATCH($C52,EL_List,0)-1)*-10)-1,0),MSP!$C:$C,0)+MATCH($C52,EL_List,0)-1,0)
*INDEX(Learning!$E$6:$S$41,(MATCH(AC$21,Dates,0)),(MATCH($C$21,Learning!$E$4:$S$4,0)+MATCH($C$52,Learning!$E$5:$S$5,0)-1))</f>
        <v>0.85675825857671639</v>
      </c>
      <c r="AD59" s="533" cm="1">
        <f t="array" aca="1" ref="AD59" ca="1">OFFSET(AD59,-5,0)*
OFFSET(MSP!$F$1,
MATCH(OFFSET($C52,((MATCH($C52,EL_List,0)-1)*-10)-1,0),MSP!$C:$C,0)+MATCH($C52,EL_List,0)-1,0)
*INDEX(Learning!$E$6:$S$41,(MATCH(AD$21,Dates,0)),(MATCH($C$21,Learning!$E$4:$S$4,0)+MATCH($C$52,Learning!$E$5:$S$5,0)-1))</f>
        <v>0.89534360420960923</v>
      </c>
      <c r="AE59" s="533" cm="1">
        <f t="array" aca="1" ref="AE59" ca="1">OFFSET(AE59,-5,0)*
OFFSET(MSP!$F$1,
MATCH(OFFSET($C52,((MATCH($C52,EL_List,0)-1)*-10)-1,0),MSP!$C:$C,0)+MATCH($C52,EL_List,0)-1,0)
*INDEX(Learning!$E$6:$S$41,(MATCH(AE$21,Dates,0)),(MATCH($C$21,Learning!$E$4:$S$4,0)+MATCH($C$52,Learning!$E$5:$S$5,0)-1))</f>
        <v>0.93562056405331195</v>
      </c>
      <c r="AF59" s="533" cm="1">
        <f t="array" aca="1" ref="AF59" ca="1">OFFSET(AF59,-5,0)*
OFFSET(MSP!$F$1,
MATCH(OFFSET($C52,((MATCH($C52,EL_List,0)-1)*-10)-1,0),MSP!$C:$C,0)+MATCH($C52,EL_List,0)-1,0)
*INDEX(Learning!$E$6:$S$41,(MATCH(AF$21,Dates,0)),(MATCH($C$21,Learning!$E$4:$S$4,0)+MATCH($C$52,Learning!$E$5:$S$5,0)-1))</f>
        <v>0.97765981425431592</v>
      </c>
      <c r="AG59" s="533" cm="1">
        <f t="array" aca="1" ref="AG59" ca="1">OFFSET(AG59,-5,0)*
OFFSET(MSP!$F$1,
MATCH(OFFSET($C52,((MATCH($C52,EL_List,0)-1)*-10)-1,0),MSP!$C:$C,0)+MATCH($C52,EL_List,0)-1,0)
*INDEX(Learning!$E$6:$S$41,(MATCH(AG$21,Dates,0)),(MATCH($C$21,Learning!$E$4:$S$4,0)+MATCH($C$52,Learning!$E$5:$S$5,0)-1))</f>
        <v>1.0226683604152229</v>
      </c>
      <c r="AH59" s="533" cm="1">
        <f t="array" aca="1" ref="AH59" ca="1">OFFSET(AH59,-5,0)*
OFFSET(MSP!$F$1,
MATCH(OFFSET($C52,((MATCH($C52,EL_List,0)-1)*-10)-1,0),MSP!$C:$C,0)+MATCH($C52,EL_List,0)-1,0)
*INDEX(Learning!$E$6:$S$41,(MATCH(AH$21,Dates,0)),(MATCH($C$21,Learning!$E$4:$S$4,0)+MATCH($C$52,Learning!$E$5:$S$5,0)-1))</f>
        <v>1.0685073456040348</v>
      </c>
      <c r="AI59" s="533" cm="1">
        <f t="array" aca="1" ref="AI59" ca="1">OFFSET(AI59,-5,0)*
OFFSET(MSP!$F$1,
MATCH(OFFSET($C52,((MATCH($C52,EL_List,0)-1)*-10)-1,0),MSP!$C:$C,0)+MATCH($C52,EL_List,0)-1,0)
*INDEX(Learning!$E$6:$S$41,(MATCH(AI$21,Dates,0)),(MATCH($C$21,Learning!$E$4:$S$4,0)+MATCH($C$52,Learning!$E$5:$S$5,0)-1))</f>
        <v>1.1163378028856339</v>
      </c>
      <c r="AJ59" s="533" cm="1">
        <f t="array" aca="1" ref="AJ59" ca="1">OFFSET(AJ59,-5,0)*
OFFSET(MSP!$F$1,
MATCH(OFFSET($C52,((MATCH($C52,EL_List,0)-1)*-10)-1,0),MSP!$C:$C,0)+MATCH($C52,EL_List,0)-1,0)
*INDEX(Learning!$E$6:$S$41,(MATCH(AJ$21,Dates,0)),(MATCH($C$21,Learning!$E$4:$S$4,0)+MATCH($C$52,Learning!$E$5:$S$5,0)-1))</f>
        <v>1.1675561456252621</v>
      </c>
      <c r="AK59" s="533" cm="1">
        <f t="array" aca="1" ref="AK59" ca="1">OFFSET(AK59,-5,0)*
OFFSET(MSP!$F$1,
MATCH(OFFSET($C52,((MATCH($C52,EL_List,0)-1)*-10)-1,0),MSP!$C:$C,0)+MATCH($C52,EL_List,0)-1,0)
*INDEX(Learning!$E$6:$S$41,(MATCH(AK$21,Dates,0)),(MATCH($C$21,Learning!$E$4:$S$4,0)+MATCH($C$52,Learning!$E$5:$S$5,0)-1))</f>
        <v>1.2196928836735637</v>
      </c>
      <c r="AL59" s="533" cm="1">
        <f t="array" aca="1" ref="AL59" ca="1">OFFSET(AL59,-5,0)*
OFFSET(MSP!$F$1,
MATCH(OFFSET($C52,((MATCH($C52,EL_List,0)-1)*-10)-1,0),MSP!$C:$C,0)+MATCH($C52,EL_List,0)-1,0)
*INDEX(Learning!$E$6:$S$41,(MATCH(AL$21,Dates,0)),(MATCH($C$21,Learning!$E$4:$S$4,0)+MATCH($C$52,Learning!$E$5:$S$5,0)-1))</f>
        <v>1.2755368018091329</v>
      </c>
      <c r="AM59" s="533" cm="1">
        <f t="array" aca="1" ref="AM59" ca="1">OFFSET(AM59,-5,0)*
OFFSET(MSP!$F$1,
MATCH(OFFSET($C52,((MATCH($C52,EL_List,0)-1)*-10)-1,0),MSP!$C:$C,0)+MATCH($C52,EL_List,0)-1,0)
*INDEX(Learning!$E$6:$S$41,(MATCH(AM$21,Dates,0)),(MATCH($C$21,Learning!$E$4:$S$4,0)+MATCH($C$52,Learning!$E$5:$S$5,0)-1))</f>
        <v>1.3323683976962324</v>
      </c>
      <c r="AN59" s="533" cm="1">
        <f t="array" aca="1" ref="AN59" ca="1">OFFSET(AN59,-5,0)*
OFFSET(MSP!$F$1,
MATCH(OFFSET($C52,((MATCH($C52,EL_List,0)-1)*-10)-1,0),MSP!$C:$C,0)+MATCH($C52,EL_List,0)-1,0)
*INDEX(Learning!$E$6:$S$41,(MATCH(AN$21,Dates,0)),(MATCH($C$21,Learning!$E$4:$S$4,0)+MATCH($C$52,Learning!$E$5:$S$5,0)-1))</f>
        <v>1.3931819612645862</v>
      </c>
      <c r="AO59" s="436"/>
      <c r="AP59" s="21"/>
    </row>
    <row r="60" spans="2:42" ht="15" customHeight="1" collapsed="1" x14ac:dyDescent="0.35">
      <c r="B60" s="429"/>
      <c r="C60" s="777" t="s">
        <v>215</v>
      </c>
      <c r="D60" s="776"/>
      <c r="E60" s="531" cm="1">
        <f t="array" aca="1" ref="E60" ca="1">OFFSET(E60,-6,0)*
OFFSET(MSP!$G$1,
MATCH(OFFSET($C52,((MATCH($C52,EL_List,0)-1)*-10)-1,0),MSP!$C:$C,0)+MATCH($C52,EL_List,0)-1,0)
*INDEX(Learning!$E$6:$S$41,(MATCH(E$21,Dates,0)),(MATCH($C$21,Learning!$E$4:$S$4,0)+MATCH($C$52,Learning!$E$5:$S$5,0)-1))</f>
        <v>0.11673614704812806</v>
      </c>
      <c r="F60" s="531" cm="1">
        <f t="array" aca="1" ref="F60" ca="1">OFFSET(F60,-6,0)*
OFFSET(MSP!$G$1,
MATCH(OFFSET($C52,((MATCH($C52,EL_List,0)-1)*-10)-1,0),MSP!$C:$C,0)+MATCH($C52,EL_List,0)-1,0)
*INDEX(Learning!$E$6:$S$41,(MATCH(F$21,Dates,0)),(MATCH($C$21,Learning!$E$4:$S$4,0)+MATCH($C$52,Learning!$E$5:$S$5,0)-1))</f>
        <v>0.12101829255890026</v>
      </c>
      <c r="G60" s="531" cm="1">
        <f t="array" aca="1" ref="G60" ca="1">OFFSET(G60,-6,0)*
OFFSET(MSP!$G$1,
MATCH(OFFSET($C52,((MATCH($C52,EL_List,0)-1)*-10)-1,0),MSP!$C:$C,0)+MATCH($C52,EL_List,0)-1,0)
*INDEX(Learning!$E$6:$S$41,(MATCH(G$21,Dates,0)),(MATCH($C$21,Learning!$E$4:$S$4,0)+MATCH($C$52,Learning!$E$5:$S$5,0)-1))</f>
        <v>0.12480789531389049</v>
      </c>
      <c r="H60" s="531" cm="1">
        <f t="array" aca="1" ref="H60" ca="1">OFFSET(H60,-6,0)*
OFFSET(MSP!$G$1,
MATCH(OFFSET($C52,((MATCH($C52,EL_List,0)-1)*-10)-1,0),MSP!$C:$C,0)+MATCH($C52,EL_List,0)-1,0)
*INDEX(Learning!$E$6:$S$41,(MATCH(H$21,Dates,0)),(MATCH($C$21,Learning!$E$4:$S$4,0)+MATCH($C$52,Learning!$E$5:$S$5,0)-1))</f>
        <v>0.12990435513159243</v>
      </c>
      <c r="I60" s="531" cm="1">
        <f t="array" aca="1" ref="I60" ca="1">OFFSET(I60,-6,0)*
OFFSET(MSP!$G$1,
MATCH(OFFSET($C52,((MATCH($C52,EL_List,0)-1)*-10)-1,0),MSP!$C:$C,0)+MATCH($C52,EL_List,0)-1,0)
*INDEX(Learning!$E$6:$S$41,(MATCH(I$21,Dates,0)),(MATCH($C$21,Learning!$E$4:$S$4,0)+MATCH($C$52,Learning!$E$5:$S$5,0)-1))</f>
        <v>0.13522161734828797</v>
      </c>
      <c r="J60" s="531" cm="1">
        <f t="array" aca="1" ref="J60" ca="1">OFFSET(J60,-6,0)*
OFFSET(MSP!$G$1,
MATCH(OFFSET($C52,((MATCH($C52,EL_List,0)-1)*-10)-1,0),MSP!$C:$C,0)+MATCH($C52,EL_List,0)-1,0)
*INDEX(Learning!$E$6:$S$41,(MATCH(J$21,Dates,0)),(MATCH($C$21,Learning!$E$4:$S$4,0)+MATCH($C$52,Learning!$E$5:$S$5,0)-1))</f>
        <v>0.1412513104712774</v>
      </c>
      <c r="K60" s="531" cm="1">
        <f t="array" aca="1" ref="K60" ca="1">OFFSET(K60,-6,0)*
OFFSET(MSP!$G$1,
MATCH(OFFSET($C52,((MATCH($C52,EL_List,0)-1)*-10)-1,0),MSP!$C:$C,0)+MATCH($C52,EL_List,0)-1,0)
*INDEX(Learning!$E$6:$S$41,(MATCH(K$21,Dates,0)),(MATCH($C$21,Learning!$E$4:$S$4,0)+MATCH($C$52,Learning!$E$5:$S$5,0)-1))</f>
        <v>0.14777429387805507</v>
      </c>
      <c r="L60" s="531" cm="1">
        <f t="array" aca="1" ref="L60" ca="1">OFFSET(L60,-6,0)*
OFFSET(MSP!$G$1,
MATCH(OFFSET($C52,((MATCH($C52,EL_List,0)-1)*-10)-1,0),MSP!$C:$C,0)+MATCH($C52,EL_List,0)-1,0)
*INDEX(Learning!$E$6:$S$41,(MATCH(L$21,Dates,0)),(MATCH($C$21,Learning!$E$4:$S$4,0)+MATCH($C$52,Learning!$E$5:$S$5,0)-1))</f>
        <v>0.1546610594936442</v>
      </c>
      <c r="M60" s="531" cm="1">
        <f t="array" aca="1" ref="M60" ca="1">OFFSET(M60,-6,0)*
OFFSET(MSP!$G$1,
MATCH(OFFSET($C52,((MATCH($C52,EL_List,0)-1)*-10)-1,0),MSP!$C:$C,0)+MATCH($C52,EL_List,0)-1,0)
*INDEX(Learning!$E$6:$S$41,(MATCH(M$21,Dates,0)),(MATCH($C$21,Learning!$E$4:$S$4,0)+MATCH($C$52,Learning!$E$5:$S$5,0)-1))</f>
        <v>0.16197476575843656</v>
      </c>
      <c r="N60" s="531" cm="1">
        <f t="array" aca="1" ref="N60" ca="1">OFFSET(N60,-6,0)*
OFFSET(MSP!$G$1,
MATCH(OFFSET($C52,((MATCH($C52,EL_List,0)-1)*-10)-1,0),MSP!$C:$C,0)+MATCH($C52,EL_List,0)-1,0)
*INDEX(Learning!$E$6:$S$41,(MATCH(N$21,Dates,0)),(MATCH($C$21,Learning!$E$4:$S$4,0)+MATCH($C$52,Learning!$E$5:$S$5,0)-1))</f>
        <v>0.16932862851889521</v>
      </c>
      <c r="O60" s="531" cm="1">
        <f t="array" aca="1" ref="O60" ca="1">OFFSET(O60,-6,0)*
OFFSET(MSP!$G$1,
MATCH(OFFSET($C52,((MATCH($C52,EL_List,0)-1)*-10)-1,0),MSP!$C:$C,0)+MATCH($C52,EL_List,0)-1,0)
*INDEX(Learning!$E$6:$S$41,(MATCH(O$21,Dates,0)),(MATCH($C$21,Learning!$E$4:$S$4,0)+MATCH($C$52,Learning!$E$5:$S$5,0)-1))</f>
        <v>0.17705031504763249</v>
      </c>
      <c r="P60" s="531" cm="1">
        <f t="array" aca="1" ref="P60" ca="1">OFFSET(P60,-6,0)*
OFFSET(MSP!$G$1,
MATCH(OFFSET($C52,((MATCH($C52,EL_List,0)-1)*-10)-1,0),MSP!$C:$C,0)+MATCH($C52,EL_List,0)-1,0)
*INDEX(Learning!$E$6:$S$41,(MATCH(P$21,Dates,0)),(MATCH($C$21,Learning!$E$4:$S$4,0)+MATCH($C$52,Learning!$E$5:$S$5,0)-1))</f>
        <v>0.1850081906006906</v>
      </c>
      <c r="Q60" s="531" cm="1">
        <f t="array" aca="1" ref="Q60" ca="1">OFFSET(Q60,-6,0)*
OFFSET(MSP!$G$1,
MATCH(OFFSET($C52,((MATCH($C52,EL_List,0)-1)*-10)-1,0),MSP!$C:$C,0)+MATCH($C52,EL_List,0)-1,0)
*INDEX(Learning!$E$6:$S$41,(MATCH(Q$21,Dates,0)),(MATCH($C$21,Learning!$E$4:$S$4,0)+MATCH($C$52,Learning!$E$5:$S$5,0)-1))</f>
        <v>0.19325285148556612</v>
      </c>
      <c r="R60" s="531" cm="1">
        <f t="array" aca="1" ref="R60" ca="1">OFFSET(R60,-6,0)*
OFFSET(MSP!$G$1,
MATCH(OFFSET($C52,((MATCH($C52,EL_List,0)-1)*-10)-1,0),MSP!$C:$C,0)+MATCH($C52,EL_List,0)-1,0)
*INDEX(Learning!$E$6:$S$41,(MATCH(R$21,Dates,0)),(MATCH($C$21,Learning!$E$4:$S$4,0)+MATCH($C$52,Learning!$E$5:$S$5,0)-1))</f>
        <v>0.20184299765603717</v>
      </c>
      <c r="S60" s="531" cm="1">
        <f t="array" aca="1" ref="S60" ca="1">OFFSET(S60,-6,0)*
OFFSET(MSP!$G$1,
MATCH(OFFSET($C52,((MATCH($C52,EL_List,0)-1)*-10)-1,0),MSP!$C:$C,0)+MATCH($C52,EL_List,0)-1,0)
*INDEX(Learning!$E$6:$S$41,(MATCH(S$21,Dates,0)),(MATCH($C$21,Learning!$E$4:$S$4,0)+MATCH($C$52,Learning!$E$5:$S$5,0)-1))</f>
        <v>0.21082574004012114</v>
      </c>
      <c r="T60" s="531" cm="1">
        <f t="array" aca="1" ref="T60" ca="1">OFFSET(T60,-6,0)*
OFFSET(MSP!$G$1,
MATCH(OFFSET($C52,((MATCH($C52,EL_List,0)-1)*-10)-1,0),MSP!$C:$C,0)+MATCH($C52,EL_List,0)-1,0)
*INDEX(Learning!$E$6:$S$41,(MATCH(T$21,Dates,0)),(MATCH($C$21,Learning!$E$4:$S$4,0)+MATCH($C$52,Learning!$E$5:$S$5,0)-1))</f>
        <v>0.22045843112123165</v>
      </c>
      <c r="U60" s="531" cm="1">
        <f t="array" aca="1" ref="U60" ca="1">OFFSET(U60,-6,0)*
OFFSET(MSP!$G$1,
MATCH(OFFSET($C52,((MATCH($C52,EL_List,0)-1)*-10)-1,0),MSP!$C:$C,0)+MATCH($C52,EL_List,0)-1,0)
*INDEX(Learning!$E$6:$S$41,(MATCH(U$21,Dates,0)),(MATCH($C$21,Learning!$E$4:$S$4,0)+MATCH($C$52,Learning!$E$5:$S$5,0)-1))</f>
        <v>0.23031981852563099</v>
      </c>
      <c r="V60" s="531" cm="1">
        <f t="array" aca="1" ref="V60" ca="1">OFFSET(V60,-6,0)*
OFFSET(MSP!$G$1,
MATCH(OFFSET($C52,((MATCH($C52,EL_List,0)-1)*-10)-1,0),MSP!$C:$C,0)+MATCH($C52,EL_List,0)-1,0)
*INDEX(Learning!$E$6:$S$41,(MATCH(V$21,Dates,0)),(MATCH($C$21,Learning!$E$4:$S$4,0)+MATCH($C$52,Learning!$E$5:$S$5,0)-1))</f>
        <v>0.24085404679785177</v>
      </c>
      <c r="W60" s="531" cm="1">
        <f t="array" aca="1" ref="W60" ca="1">OFFSET(W60,-6,0)*
OFFSET(MSP!$G$1,
MATCH(OFFSET($C52,((MATCH($C52,EL_List,0)-1)*-10)-1,0),MSP!$C:$C,0)+MATCH($C52,EL_List,0)-1,0)
*INDEX(Learning!$E$6:$S$41,(MATCH(W$21,Dates,0)),(MATCH($C$21,Learning!$E$4:$S$4,0)+MATCH($C$52,Learning!$E$5:$S$5,0)-1))</f>
        <v>0.25159040330548244</v>
      </c>
      <c r="X60" s="531" cm="1">
        <f t="array" aca="1" ref="X60" ca="1">OFFSET(X60,-6,0)*
OFFSET(MSP!$G$1,
MATCH(OFFSET($C52,((MATCH($C52,EL_List,0)-1)*-10)-1,0),MSP!$C:$C,0)+MATCH($C52,EL_List,0)-1,0)
*INDEX(Learning!$E$6:$S$41,(MATCH(X$21,Dates,0)),(MATCH($C$21,Learning!$E$4:$S$4,0)+MATCH($C$52,Learning!$E$5:$S$5,0)-1))</f>
        <v>0.26305801346207863</v>
      </c>
      <c r="Y60" s="531" cm="1">
        <f t="array" aca="1" ref="Y60" ca="1">OFFSET(Y60,-6,0)*
OFFSET(MSP!$G$1,
MATCH(OFFSET($C52,((MATCH($C52,EL_List,0)-1)*-10)-1,0),MSP!$C:$C,0)+MATCH($C52,EL_List,0)-1,0)
*INDEX(Learning!$E$6:$S$41,(MATCH(Y$21,Dates,0)),(MATCH($C$21,Learning!$E$4:$S$4,0)+MATCH($C$52,Learning!$E$5:$S$5,0)-1))</f>
        <v>0.27501585287917824</v>
      </c>
      <c r="Z60" s="531" cm="1">
        <f t="array" aca="1" ref="Z60" ca="1">OFFSET(Z60,-6,0)*
OFFSET(MSP!$G$1,
MATCH(OFFSET($C52,((MATCH($C52,EL_List,0)-1)*-10)-1,0),MSP!$C:$C,0)+MATCH($C52,EL_List,0)-1,0)
*INDEX(Learning!$E$6:$S$41,(MATCH(Z$21,Dates,0)),(MATCH($C$21,Learning!$E$4:$S$4,0)+MATCH($C$52,Learning!$E$5:$S$5,0)-1))</f>
        <v>0.28748461841307404</v>
      </c>
      <c r="AA60" s="531" cm="1">
        <f t="array" aca="1" ref="AA60" ca="1">OFFSET(AA60,-6,0)*
OFFSET(MSP!$G$1,
MATCH(OFFSET($C52,((MATCH($C52,EL_List,0)-1)*-10)-1,0),MSP!$C:$C,0)+MATCH($C52,EL_List,0)-1,0)
*INDEX(Learning!$E$6:$S$41,(MATCH(AA$21,Dates,0)),(MATCH($C$21,Learning!$E$4:$S$4,0)+MATCH($C$52,Learning!$E$5:$S$5,0)-1))</f>
        <v>0.30048885662996977</v>
      </c>
      <c r="AB60" s="531" cm="1">
        <f t="array" aca="1" ref="AB60" ca="1">OFFSET(AB60,-6,0)*
OFFSET(MSP!$G$1,
MATCH(OFFSET($C52,((MATCH($C52,EL_List,0)-1)*-10)-1,0),MSP!$C:$C,0)+MATCH($C52,EL_List,0)-1,0)
*INDEX(Learning!$E$6:$S$41,(MATCH(AB$21,Dates,0)),(MATCH($C$21,Learning!$E$4:$S$4,0)+MATCH($C$52,Learning!$E$5:$S$5,0)-1))</f>
        <v>0.31405730028809159</v>
      </c>
      <c r="AC60" s="531" cm="1">
        <f t="array" aca="1" ref="AC60" ca="1">OFFSET(AC60,-6,0)*
OFFSET(MSP!$G$1,
MATCH(OFFSET($C52,((MATCH($C52,EL_List,0)-1)*-10)-1,0),MSP!$C:$C,0)+MATCH($C52,EL_List,0)-1,0)
*INDEX(Learning!$E$6:$S$41,(MATCH(AC$21,Dates,0)),(MATCH($C$21,Learning!$E$4:$S$4,0)+MATCH($C$52,Learning!$E$5:$S$5,0)-1))</f>
        <v>0.32821840977046901</v>
      </c>
      <c r="AD60" s="531" cm="1">
        <f t="array" aca="1" ref="AD60" ca="1">OFFSET(AD60,-6,0)*
OFFSET(MSP!$G$1,
MATCH(OFFSET($C52,((MATCH($C52,EL_List,0)-1)*-10)-1,0),MSP!$C:$C,0)+MATCH($C52,EL_List,0)-1,0)
*INDEX(Learning!$E$6:$S$41,(MATCH(AD$21,Dates,0)),(MATCH($C$21,Learning!$E$4:$S$4,0)+MATCH($C$52,Learning!$E$5:$S$5,0)-1))</f>
        <v>0.3430001999163973</v>
      </c>
      <c r="AE60" s="531" cm="1">
        <f t="array" aca="1" ref="AE60" ca="1">OFFSET(AE60,-6,0)*
OFFSET(MSP!$G$1,
MATCH(OFFSET($C52,((MATCH($C52,EL_List,0)-1)*-10)-1,0),MSP!$C:$C,0)+MATCH($C52,EL_List,0)-1,0)
*INDEX(Learning!$E$6:$S$41,(MATCH(AE$21,Dates,0)),(MATCH($C$21,Learning!$E$4:$S$4,0)+MATCH($C$52,Learning!$E$5:$S$5,0)-1))</f>
        <v>0.35843003625348752</v>
      </c>
      <c r="AF60" s="531" cm="1">
        <f t="array" aca="1" ref="AF60" ca="1">OFFSET(AF60,-6,0)*
OFFSET(MSP!$G$1,
MATCH(OFFSET($C52,((MATCH($C52,EL_List,0)-1)*-10)-1,0),MSP!$C:$C,0)+MATCH($C52,EL_List,0)-1,0)
*INDEX(Learning!$E$6:$S$41,(MATCH(AF$21,Dates,0)),(MATCH($C$21,Learning!$E$4:$S$4,0)+MATCH($C$52,Learning!$E$5:$S$5,0)-1))</f>
        <v>0.37453499434497795</v>
      </c>
      <c r="AG60" s="531" cm="1">
        <f t="array" aca="1" ref="AG60" ca="1">OFFSET(AG60,-6,0)*
OFFSET(MSP!$G$1,
MATCH(OFFSET($C52,((MATCH($C52,EL_List,0)-1)*-10)-1,0),MSP!$C:$C,0)+MATCH($C52,EL_List,0)-1,0)
*INDEX(Learning!$E$6:$S$41,(MATCH(AG$21,Dates,0)),(MATCH($C$21,Learning!$E$4:$S$4,0)+MATCH($C$52,Learning!$E$5:$S$5,0)-1))</f>
        <v>0.39177747003649288</v>
      </c>
      <c r="AH60" s="531" cm="1">
        <f t="array" aca="1" ref="AH60" ca="1">OFFSET(AH60,-6,0)*
OFFSET(MSP!$G$1,
MATCH(OFFSET($C52,((MATCH($C52,EL_List,0)-1)*-10)-1,0),MSP!$C:$C,0)+MATCH($C52,EL_List,0)-1,0)
*INDEX(Learning!$E$6:$S$41,(MATCH(AH$21,Dates,0)),(MATCH($C$21,Learning!$E$4:$S$4,0)+MATCH($C$52,Learning!$E$5:$S$5,0)-1))</f>
        <v>0.40933808141496691</v>
      </c>
      <c r="AI60" s="531" cm="1">
        <f t="array" aca="1" ref="AI60" ca="1">OFFSET(AI60,-6,0)*
OFFSET(MSP!$G$1,
MATCH(OFFSET($C52,((MATCH($C52,EL_List,0)-1)*-10)-1,0),MSP!$C:$C,0)+MATCH($C52,EL_List,0)-1,0)
*INDEX(Learning!$E$6:$S$41,(MATCH(AI$21,Dates,0)),(MATCH($C$21,Learning!$E$4:$S$4,0)+MATCH($C$52,Learning!$E$5:$S$5,0)-1))</f>
        <v>0.4276616125515566</v>
      </c>
      <c r="AJ60" s="531" cm="1">
        <f t="array" aca="1" ref="AJ60" ca="1">OFFSET(AJ60,-6,0)*
OFFSET(MSP!$G$1,
MATCH(OFFSET($C52,((MATCH($C52,EL_List,0)-1)*-10)-1,0),MSP!$C:$C,0)+MATCH($C52,EL_List,0)-1,0)
*INDEX(Learning!$E$6:$S$41,(MATCH(AJ$21,Dates,0)),(MATCH($C$21,Learning!$E$4:$S$4,0)+MATCH($C$52,Learning!$E$5:$S$5,0)-1))</f>
        <v>0.4472830201502489</v>
      </c>
      <c r="AK60" s="531" cm="1">
        <f t="array" aca="1" ref="AK60" ca="1">OFFSET(AK60,-6,0)*
OFFSET(MSP!$G$1,
MATCH(OFFSET($C52,((MATCH($C52,EL_List,0)-1)*-10)-1,0),MSP!$C:$C,0)+MATCH($C52,EL_List,0)-1,0)
*INDEX(Learning!$E$6:$S$41,(MATCH(AK$21,Dates,0)),(MATCH($C$21,Learning!$E$4:$S$4,0)+MATCH($C$52,Learning!$E$5:$S$5,0)-1))</f>
        <v>0.46725625890403771</v>
      </c>
      <c r="AL60" s="531" cm="1">
        <f t="array" aca="1" ref="AL60" ca="1">OFFSET(AL60,-6,0)*
OFFSET(MSP!$G$1,
MATCH(OFFSET($C52,((MATCH($C52,EL_List,0)-1)*-10)-1,0),MSP!$C:$C,0)+MATCH($C52,EL_List,0)-1,0)
*INDEX(Learning!$E$6:$S$41,(MATCH(AL$21,Dates,0)),(MATCH($C$21,Learning!$E$4:$S$4,0)+MATCH($C$52,Learning!$E$5:$S$5,0)-1))</f>
        <v>0.4886496937759206</v>
      </c>
      <c r="AM60" s="531" cm="1">
        <f t="array" aca="1" ref="AM60" ca="1">OFFSET(AM60,-6,0)*
OFFSET(MSP!$G$1,
MATCH(OFFSET($C52,((MATCH($C52,EL_List,0)-1)*-10)-1,0),MSP!$C:$C,0)+MATCH($C52,EL_List,0)-1,0)
*INDEX(Learning!$E$6:$S$41,(MATCH(AM$21,Dates,0)),(MATCH($C$21,Learning!$E$4:$S$4,0)+MATCH($C$52,Learning!$E$5:$S$5,0)-1))</f>
        <v>0.51042150144751419</v>
      </c>
      <c r="AN60" s="531" cm="1">
        <f t="array" aca="1" ref="AN60" ca="1">OFFSET(AN60,-6,0)*
OFFSET(MSP!$G$1,
MATCH(OFFSET($C52,((MATCH($C52,EL_List,0)-1)*-10)-1,0),MSP!$C:$C,0)+MATCH($C52,EL_List,0)-1,0)
*INDEX(Learning!$E$6:$S$41,(MATCH(AN$21,Dates,0)),(MATCH($C$21,Learning!$E$4:$S$4,0)+MATCH($C$52,Learning!$E$5:$S$5,0)-1))</f>
        <v>0.53371877454300687</v>
      </c>
      <c r="AO60" s="436"/>
      <c r="AP60" s="21"/>
    </row>
    <row r="61" spans="2:42" ht="15" customHeight="1" x14ac:dyDescent="0.35">
      <c r="B61" s="429"/>
      <c r="C61" s="776"/>
      <c r="D61" s="776"/>
      <c r="E61" s="776"/>
      <c r="F61" s="776"/>
      <c r="G61" s="776"/>
      <c r="H61" s="776"/>
      <c r="I61" s="776"/>
      <c r="J61" s="776"/>
      <c r="K61" s="776"/>
      <c r="L61" s="776"/>
      <c r="M61" s="776"/>
      <c r="N61" s="776"/>
      <c r="O61" s="776"/>
      <c r="P61" s="776"/>
      <c r="Q61" s="776"/>
      <c r="R61" s="776"/>
      <c r="S61" s="776"/>
      <c r="T61" s="776"/>
      <c r="U61" s="776"/>
      <c r="V61" s="776"/>
      <c r="W61" s="776"/>
      <c r="X61" s="776"/>
      <c r="Y61" s="776"/>
      <c r="Z61" s="776"/>
      <c r="AA61" s="776"/>
      <c r="AB61" s="776"/>
      <c r="AC61" s="776"/>
      <c r="AD61" s="776"/>
      <c r="AE61" s="776"/>
      <c r="AF61" s="776"/>
      <c r="AG61" s="776"/>
      <c r="AH61" s="776"/>
      <c r="AI61" s="776"/>
      <c r="AJ61" s="776"/>
      <c r="AK61" s="776"/>
      <c r="AL61" s="776"/>
      <c r="AM61" s="776"/>
      <c r="AN61" s="776"/>
      <c r="AO61" s="436"/>
      <c r="AP61" s="21"/>
    </row>
    <row r="62" spans="2:42" ht="15" customHeight="1" x14ac:dyDescent="0.35">
      <c r="B62" s="429"/>
      <c r="C62" s="772" t="s">
        <v>342</v>
      </c>
      <c r="D62" s="776"/>
      <c r="E62" s="776"/>
      <c r="F62" s="776"/>
      <c r="G62" s="776"/>
      <c r="H62" s="776"/>
      <c r="I62" s="776"/>
      <c r="J62" s="776"/>
      <c r="K62" s="776"/>
      <c r="L62" s="776"/>
      <c r="M62" s="776"/>
      <c r="N62" s="776"/>
      <c r="O62" s="776"/>
      <c r="P62" s="776"/>
      <c r="Q62" s="776"/>
      <c r="R62" s="776"/>
      <c r="S62" s="776"/>
      <c r="T62" s="776"/>
      <c r="U62" s="776"/>
      <c r="V62" s="776"/>
      <c r="W62" s="776"/>
      <c r="X62" s="776"/>
      <c r="Y62" s="776"/>
      <c r="Z62" s="776"/>
      <c r="AA62" s="776"/>
      <c r="AB62" s="776"/>
      <c r="AC62" s="776"/>
      <c r="AD62" s="776"/>
      <c r="AE62" s="776"/>
      <c r="AF62" s="776"/>
      <c r="AG62" s="776"/>
      <c r="AH62" s="776"/>
      <c r="AI62" s="776"/>
      <c r="AJ62" s="776"/>
      <c r="AK62" s="776"/>
      <c r="AL62" s="776"/>
      <c r="AM62" s="776"/>
      <c r="AN62" s="776"/>
      <c r="AO62" s="436"/>
      <c r="AP62" s="21"/>
    </row>
    <row r="63" spans="2:42" ht="15" customHeight="1" x14ac:dyDescent="0.35">
      <c r="B63" s="429"/>
      <c r="C63" s="777" t="s">
        <v>10</v>
      </c>
      <c r="D63" s="776"/>
      <c r="E63" s="778" cm="1">
        <f t="array" aca="1" ref="E63" ca="1">OFFSET(MSP!$C$1,
MATCH(OFFSET($C62,((MATCH($C62,EL_List,0)-1)*-10)-1,0),MSP!$C:$C,0)+MATCH($C62,EL_List,0)-1,
MATCH(OFFSET($C62,((MATCH($C62,EL_List,0)-1)*-10)-3,0),MSP!$D$5:$N$5,0)+1)
*INDEX(Learning!$E$6:$S$41,(MATCH(E$21,Dates,0)),(MATCH($C$21,Learning!$E$4:$S$4,0)+MATCH($C$62,Learning!$E$5:$S$5,0)-1))</f>
        <v>66.442480000000003</v>
      </c>
      <c r="F63" s="778" cm="1">
        <f t="array" aca="1" ref="F63" ca="1">OFFSET(MSP!$C$1,
MATCH(OFFSET($C62,((MATCH($C62,EL_List,0)-1)*-10)-1,0),MSP!$C:$C,0)+MATCH($C62,EL_List,0)-1,
MATCH(OFFSET($C62,((MATCH($C62,EL_List,0)-1)*-10)-3,0),MSP!$D$5:$N$5,0)+1)
*INDEX(Learning!$E$6:$S$41,(MATCH(F$21,Dates,0)),(MATCH($C$21,Learning!$E$4:$S$4,0)+MATCH($C$62,Learning!$E$5:$S$5,0)-1))</f>
        <v>65.995270999999988</v>
      </c>
      <c r="G63" s="778" cm="1">
        <f t="array" aca="1" ref="G63" ca="1">OFFSET(MSP!$C$1,
MATCH(OFFSET($C62,((MATCH($C62,EL_List,0)-1)*-10)-1,0),MSP!$C:$C,0)+MATCH($C62,EL_List,0)-1,
MATCH(OFFSET($C62,((MATCH($C62,EL_List,0)-1)*-10)-3,0),MSP!$D$5:$N$5,0)+1)
*INDEX(Learning!$E$6:$S$41,(MATCH(G$21,Dates,0)),(MATCH($C$21,Learning!$E$4:$S$4,0)+MATCH($C$62,Learning!$E$5:$S$5,0)-1))</f>
        <v>65.548062000000002</v>
      </c>
      <c r="H63" s="778" cm="1">
        <f t="array" aca="1" ref="H63" ca="1">OFFSET(MSP!$C$1,
MATCH(OFFSET($C62,((MATCH($C62,EL_List,0)-1)*-10)-1,0),MSP!$C:$C,0)+MATCH($C62,EL_List,0)-1,
MATCH(OFFSET($C62,((MATCH($C62,EL_List,0)-1)*-10)-3,0),MSP!$D$5:$N$5,0)+1)
*INDEX(Learning!$E$6:$S$41,(MATCH(H$21,Dates,0)),(MATCH($C$21,Learning!$E$4:$S$4,0)+MATCH($C$62,Learning!$E$5:$S$5,0)-1))</f>
        <v>65.100853000000001</v>
      </c>
      <c r="I63" s="778" cm="1">
        <f t="array" aca="1" ref="I63" ca="1">OFFSET(MSP!$C$1,
MATCH(OFFSET($C62,((MATCH($C62,EL_List,0)-1)*-10)-1,0),MSP!$C:$C,0)+MATCH($C62,EL_List,0)-1,
MATCH(OFFSET($C62,((MATCH($C62,EL_List,0)-1)*-10)-3,0),MSP!$D$5:$N$5,0)+1)
*INDEX(Learning!$E$6:$S$41,(MATCH(I$21,Dates,0)),(MATCH($C$21,Learning!$E$4:$S$4,0)+MATCH($C$62,Learning!$E$5:$S$5,0)-1))</f>
        <v>64.653644</v>
      </c>
      <c r="J63" s="778" cm="1">
        <f t="array" aca="1" ref="J63" ca="1">OFFSET(MSP!$C$1,
MATCH(OFFSET($C62,((MATCH($C62,EL_List,0)-1)*-10)-1,0),MSP!$C:$C,0)+MATCH($C62,EL_List,0)-1,
MATCH(OFFSET($C62,((MATCH($C62,EL_List,0)-1)*-10)-3,0),MSP!$D$5:$N$5,0)+1)
*INDEX(Learning!$E$6:$S$41,(MATCH(J$21,Dates,0)),(MATCH($C$21,Learning!$E$4:$S$4,0)+MATCH($C$62,Learning!$E$5:$S$5,0)-1))</f>
        <v>64.270322000000007</v>
      </c>
      <c r="K63" s="778" cm="1">
        <f t="array" aca="1" ref="K63" ca="1">OFFSET(MSP!$C$1,
MATCH(OFFSET($C62,((MATCH($C62,EL_List,0)-1)*-10)-1,0),MSP!$C:$C,0)+MATCH($C62,EL_List,0)-1,
MATCH(OFFSET($C62,((MATCH($C62,EL_List,0)-1)*-10)-3,0),MSP!$D$5:$N$5,0)+1)
*INDEX(Learning!$E$6:$S$41,(MATCH(K$21,Dates,0)),(MATCH($C$21,Learning!$E$4:$S$4,0)+MATCH($C$62,Learning!$E$5:$S$5,0)-1))</f>
        <v>63.887</v>
      </c>
      <c r="L63" s="778" cm="1">
        <f t="array" aca="1" ref="L63" ca="1">OFFSET(MSP!$C$1,
MATCH(OFFSET($C62,((MATCH($C62,EL_List,0)-1)*-10)-1,0),MSP!$C:$C,0)+MATCH($C62,EL_List,0)-1,
MATCH(OFFSET($C62,((MATCH($C62,EL_List,0)-1)*-10)-3,0),MSP!$D$5:$N$5,0)+1)
*INDEX(Learning!$E$6:$S$41,(MATCH(L$21,Dates,0)),(MATCH($C$21,Learning!$E$4:$S$4,0)+MATCH($C$62,Learning!$E$5:$S$5,0)-1))</f>
        <v>63.503678000000001</v>
      </c>
      <c r="M63" s="778" cm="1">
        <f t="array" aca="1" ref="M63" ca="1">OFFSET(MSP!$C$1,
MATCH(OFFSET($C62,((MATCH($C62,EL_List,0)-1)*-10)-1,0),MSP!$C:$C,0)+MATCH($C62,EL_List,0)-1,
MATCH(OFFSET($C62,((MATCH($C62,EL_List,0)-1)*-10)-3,0),MSP!$D$5:$N$5,0)+1)
*INDEX(Learning!$E$6:$S$41,(MATCH(M$21,Dates,0)),(MATCH($C$21,Learning!$E$4:$S$4,0)+MATCH($C$62,Learning!$E$5:$S$5,0)-1))</f>
        <v>63.184243000000002</v>
      </c>
      <c r="N63" s="778" cm="1">
        <f t="array" aca="1" ref="N63" ca="1">OFFSET(MSP!$C$1,
MATCH(OFFSET($C62,((MATCH($C62,EL_List,0)-1)*-10)-1,0),MSP!$C:$C,0)+MATCH($C62,EL_List,0)-1,
MATCH(OFFSET($C62,((MATCH($C62,EL_List,0)-1)*-10)-3,0),MSP!$D$5:$N$5,0)+1)
*INDEX(Learning!$E$6:$S$41,(MATCH(N$21,Dates,0)),(MATCH($C$21,Learning!$E$4:$S$4,0)+MATCH($C$62,Learning!$E$5:$S$5,0)-1))</f>
        <v>62.800921000000002</v>
      </c>
      <c r="O63" s="778" cm="1">
        <f t="array" aca="1" ref="O63" ca="1">OFFSET(MSP!$C$1,
MATCH(OFFSET($C62,((MATCH($C62,EL_List,0)-1)*-10)-1,0),MSP!$C:$C,0)+MATCH($C62,EL_List,0)-1,
MATCH(OFFSET($C62,((MATCH($C62,EL_List,0)-1)*-10)-3,0),MSP!$D$5:$N$5,0)+1)
*INDEX(Learning!$E$6:$S$41,(MATCH(O$21,Dates,0)),(MATCH($C$21,Learning!$E$4:$S$4,0)+MATCH($C$62,Learning!$E$5:$S$5,0)-1))</f>
        <v>62.481485999999997</v>
      </c>
      <c r="P63" s="778" cm="1">
        <f t="array" aca="1" ref="P63" ca="1">OFFSET(MSP!$C$1,
MATCH(OFFSET($C62,((MATCH($C62,EL_List,0)-1)*-10)-1,0),MSP!$C:$C,0)+MATCH($C62,EL_List,0)-1,
MATCH(OFFSET($C62,((MATCH($C62,EL_List,0)-1)*-10)-3,0),MSP!$D$5:$N$5,0)+1)
*INDEX(Learning!$E$6:$S$41,(MATCH(P$21,Dates,0)),(MATCH($C$21,Learning!$E$4:$S$4,0)+MATCH($C$62,Learning!$E$5:$S$5,0)-1))</f>
        <v>62.162050999999998</v>
      </c>
      <c r="Q63" s="778" cm="1">
        <f t="array" aca="1" ref="Q63" ca="1">OFFSET(MSP!$C$1,
MATCH(OFFSET($C62,((MATCH($C62,EL_List,0)-1)*-10)-1,0),MSP!$C:$C,0)+MATCH($C62,EL_List,0)-1,
MATCH(OFFSET($C62,((MATCH($C62,EL_List,0)-1)*-10)-3,0),MSP!$D$5:$N$5,0)+1)
*INDEX(Learning!$E$6:$S$41,(MATCH(Q$21,Dates,0)),(MATCH($C$21,Learning!$E$4:$S$4,0)+MATCH($C$62,Learning!$E$5:$S$5,0)-1))</f>
        <v>61.842616</v>
      </c>
      <c r="R63" s="778" cm="1">
        <f t="array" aca="1" ref="R63" ca="1">OFFSET(MSP!$C$1,
MATCH(OFFSET($C62,((MATCH($C62,EL_List,0)-1)*-10)-1,0),MSP!$C:$C,0)+MATCH($C62,EL_List,0)-1,
MATCH(OFFSET($C62,((MATCH($C62,EL_List,0)-1)*-10)-3,0),MSP!$D$5:$N$5,0)+1)
*INDEX(Learning!$E$6:$S$41,(MATCH(R$21,Dates,0)),(MATCH($C$21,Learning!$E$4:$S$4,0)+MATCH($C$62,Learning!$E$5:$S$5,0)-1))</f>
        <v>61.523181000000001</v>
      </c>
      <c r="S63" s="778" cm="1">
        <f t="array" aca="1" ref="S63" ca="1">OFFSET(MSP!$C$1,
MATCH(OFFSET($C62,((MATCH($C62,EL_List,0)-1)*-10)-1,0),MSP!$C:$C,0)+MATCH($C62,EL_List,0)-1,
MATCH(OFFSET($C62,((MATCH($C62,EL_List,0)-1)*-10)-3,0),MSP!$D$5:$N$5,0)+1)
*INDEX(Learning!$E$6:$S$41,(MATCH(S$21,Dates,0)),(MATCH($C$21,Learning!$E$4:$S$4,0)+MATCH($C$62,Learning!$E$5:$S$5,0)-1))</f>
        <v>61.203745999999995</v>
      </c>
      <c r="T63" s="778" cm="1">
        <f t="array" aca="1" ref="T63" ca="1">OFFSET(MSP!$C$1,
MATCH(OFFSET($C62,((MATCH($C62,EL_List,0)-1)*-10)-1,0),MSP!$C:$C,0)+MATCH($C62,EL_List,0)-1,
MATCH(OFFSET($C62,((MATCH($C62,EL_List,0)-1)*-10)-3,0),MSP!$D$5:$N$5,0)+1)
*INDEX(Learning!$E$6:$S$41,(MATCH(T$21,Dates,0)),(MATCH($C$21,Learning!$E$4:$S$4,0)+MATCH($C$62,Learning!$E$5:$S$5,0)-1))</f>
        <v>60.884310999999997</v>
      </c>
      <c r="U63" s="778" cm="1">
        <f t="array" aca="1" ref="U63" ca="1">OFFSET(MSP!$C$1,
MATCH(OFFSET($C62,((MATCH($C62,EL_List,0)-1)*-10)-1,0),MSP!$C:$C,0)+MATCH($C62,EL_List,0)-1,
MATCH(OFFSET($C62,((MATCH($C62,EL_List,0)-1)*-10)-3,0),MSP!$D$5:$N$5,0)+1)
*INDEX(Learning!$E$6:$S$41,(MATCH(U$21,Dates,0)),(MATCH($C$21,Learning!$E$4:$S$4,0)+MATCH($C$62,Learning!$E$5:$S$5,0)-1))</f>
        <v>60.628762999999999</v>
      </c>
      <c r="V63" s="778" cm="1">
        <f t="array" aca="1" ref="V63" ca="1">OFFSET(MSP!$C$1,
MATCH(OFFSET($C62,((MATCH($C62,EL_List,0)-1)*-10)-1,0),MSP!$C:$C,0)+MATCH($C62,EL_List,0)-1,
MATCH(OFFSET($C62,((MATCH($C62,EL_List,0)-1)*-10)-3,0),MSP!$D$5:$N$5,0)+1)
*INDEX(Learning!$E$6:$S$41,(MATCH(V$21,Dates,0)),(MATCH($C$21,Learning!$E$4:$S$4,0)+MATCH($C$62,Learning!$E$5:$S$5,0)-1))</f>
        <v>60.309328000000001</v>
      </c>
      <c r="W63" s="778" cm="1">
        <f t="array" aca="1" ref="W63" ca="1">OFFSET(MSP!$C$1,
MATCH(OFFSET($C62,((MATCH($C62,EL_List,0)-1)*-10)-1,0),MSP!$C:$C,0)+MATCH($C62,EL_List,0)-1,
MATCH(OFFSET($C62,((MATCH($C62,EL_List,0)-1)*-10)-3,0),MSP!$D$5:$N$5,0)+1)
*INDEX(Learning!$E$6:$S$41,(MATCH(W$21,Dates,0)),(MATCH($C$21,Learning!$E$4:$S$4,0)+MATCH($C$62,Learning!$E$5:$S$5,0)-1))</f>
        <v>60.053779999999996</v>
      </c>
      <c r="X63" s="778" cm="1">
        <f t="array" aca="1" ref="X63" ca="1">OFFSET(MSP!$C$1,
MATCH(OFFSET($C62,((MATCH($C62,EL_List,0)-1)*-10)-1,0),MSP!$C:$C,0)+MATCH($C62,EL_List,0)-1,
MATCH(OFFSET($C62,((MATCH($C62,EL_List,0)-1)*-10)-3,0),MSP!$D$5:$N$5,0)+1)
*INDEX(Learning!$E$6:$S$41,(MATCH(X$21,Dates,0)),(MATCH($C$21,Learning!$E$4:$S$4,0)+MATCH($C$62,Learning!$E$5:$S$5,0)-1))</f>
        <v>59.798232000000006</v>
      </c>
      <c r="Y63" s="778" cm="1">
        <f t="array" aca="1" ref="Y63" ca="1">OFFSET(MSP!$C$1,
MATCH(OFFSET($C62,((MATCH($C62,EL_List,0)-1)*-10)-1,0),MSP!$C:$C,0)+MATCH($C62,EL_List,0)-1,
MATCH(OFFSET($C62,((MATCH($C62,EL_List,0)-1)*-10)-3,0),MSP!$D$5:$N$5,0)+1)
*INDEX(Learning!$E$6:$S$41,(MATCH(Y$21,Dates,0)),(MATCH($C$21,Learning!$E$4:$S$4,0)+MATCH($C$62,Learning!$E$5:$S$5,0)-1))</f>
        <v>59.478797</v>
      </c>
      <c r="Z63" s="778" cm="1">
        <f t="array" aca="1" ref="Z63" ca="1">OFFSET(MSP!$C$1,
MATCH(OFFSET($C62,((MATCH($C62,EL_List,0)-1)*-10)-1,0),MSP!$C:$C,0)+MATCH($C62,EL_List,0)-1,
MATCH(OFFSET($C62,((MATCH($C62,EL_List,0)-1)*-10)-3,0),MSP!$D$5:$N$5,0)+1)
*INDEX(Learning!$E$6:$S$41,(MATCH(Z$21,Dates,0)),(MATCH($C$21,Learning!$E$4:$S$4,0)+MATCH($C$62,Learning!$E$5:$S$5,0)-1))</f>
        <v>59.223249000000003</v>
      </c>
      <c r="AA63" s="778" cm="1">
        <f t="array" aca="1" ref="AA63" ca="1">OFFSET(MSP!$C$1,
MATCH(OFFSET($C62,((MATCH($C62,EL_List,0)-1)*-10)-1,0),MSP!$C:$C,0)+MATCH($C62,EL_List,0)-1,
MATCH(OFFSET($C62,((MATCH($C62,EL_List,0)-1)*-10)-3,0),MSP!$D$5:$N$5,0)+1)
*INDEX(Learning!$E$6:$S$41,(MATCH(AA$21,Dates,0)),(MATCH($C$21,Learning!$E$4:$S$4,0)+MATCH($C$62,Learning!$E$5:$S$5,0)-1))</f>
        <v>58.967701000000005</v>
      </c>
      <c r="AB63" s="778" cm="1">
        <f t="array" aca="1" ref="AB63" ca="1">OFFSET(MSP!$C$1,
MATCH(OFFSET($C62,((MATCH($C62,EL_List,0)-1)*-10)-1,0),MSP!$C:$C,0)+MATCH($C62,EL_List,0)-1,
MATCH(OFFSET($C62,((MATCH($C62,EL_List,0)-1)*-10)-3,0),MSP!$D$5:$N$5,0)+1)
*INDEX(Learning!$E$6:$S$41,(MATCH(AB$21,Dates,0)),(MATCH($C$21,Learning!$E$4:$S$4,0)+MATCH($C$62,Learning!$E$5:$S$5,0)-1))</f>
        <v>58.712153000000001</v>
      </c>
      <c r="AC63" s="778" cm="1">
        <f t="array" aca="1" ref="AC63" ca="1">OFFSET(MSP!$C$1,
MATCH(OFFSET($C62,((MATCH($C62,EL_List,0)-1)*-10)-1,0),MSP!$C:$C,0)+MATCH($C62,EL_List,0)-1,
MATCH(OFFSET($C62,((MATCH($C62,EL_List,0)-1)*-10)-3,0),MSP!$D$5:$N$5,0)+1)
*INDEX(Learning!$E$6:$S$41,(MATCH(AC$21,Dates,0)),(MATCH($C$21,Learning!$E$4:$S$4,0)+MATCH($C$62,Learning!$E$5:$S$5,0)-1))</f>
        <v>58.456605000000003</v>
      </c>
      <c r="AD63" s="778" cm="1">
        <f t="array" aca="1" ref="AD63" ca="1">OFFSET(MSP!$C$1,
MATCH(OFFSET($C62,((MATCH($C62,EL_List,0)-1)*-10)-1,0),MSP!$C:$C,0)+MATCH($C62,EL_List,0)-1,
MATCH(OFFSET($C62,((MATCH($C62,EL_List,0)-1)*-10)-3,0),MSP!$D$5:$N$5,0)+1)
*INDEX(Learning!$E$6:$S$41,(MATCH(AD$21,Dates,0)),(MATCH($C$21,Learning!$E$4:$S$4,0)+MATCH($C$62,Learning!$E$5:$S$5,0)-1))</f>
        <v>58.201057000000006</v>
      </c>
      <c r="AE63" s="778" cm="1">
        <f t="array" aca="1" ref="AE63" ca="1">OFFSET(MSP!$C$1,
MATCH(OFFSET($C62,((MATCH($C62,EL_List,0)-1)*-10)-1,0),MSP!$C:$C,0)+MATCH($C62,EL_List,0)-1,
MATCH(OFFSET($C62,((MATCH($C62,EL_List,0)-1)*-10)-3,0),MSP!$D$5:$N$5,0)+1)
*INDEX(Learning!$E$6:$S$41,(MATCH(AE$21,Dates,0)),(MATCH($C$21,Learning!$E$4:$S$4,0)+MATCH($C$62,Learning!$E$5:$S$5,0)-1))</f>
        <v>57.945509000000001</v>
      </c>
      <c r="AF63" s="778" cm="1">
        <f t="array" aca="1" ref="AF63" ca="1">OFFSET(MSP!$C$1,
MATCH(OFFSET($C62,((MATCH($C62,EL_List,0)-1)*-10)-1,0),MSP!$C:$C,0)+MATCH($C62,EL_List,0)-1,
MATCH(OFFSET($C62,((MATCH($C62,EL_List,0)-1)*-10)-3,0),MSP!$D$5:$N$5,0)+1)
*INDEX(Learning!$E$6:$S$41,(MATCH(AF$21,Dates,0)),(MATCH($C$21,Learning!$E$4:$S$4,0)+MATCH($C$62,Learning!$E$5:$S$5,0)-1))</f>
        <v>57.689961000000004</v>
      </c>
      <c r="AG63" s="778" cm="1">
        <f t="array" aca="1" ref="AG63" ca="1">OFFSET(MSP!$C$1,
MATCH(OFFSET($C62,((MATCH($C62,EL_List,0)-1)*-10)-1,0),MSP!$C:$C,0)+MATCH($C62,EL_List,0)-1,
MATCH(OFFSET($C62,((MATCH($C62,EL_List,0)-1)*-10)-3,0),MSP!$D$5:$N$5,0)+1)
*INDEX(Learning!$E$6:$S$41,(MATCH(AG$21,Dates,0)),(MATCH($C$21,Learning!$E$4:$S$4,0)+MATCH($C$62,Learning!$E$5:$S$5,0)-1))</f>
        <v>57.4983</v>
      </c>
      <c r="AH63" s="778" cm="1">
        <f t="array" aca="1" ref="AH63" ca="1">OFFSET(MSP!$C$1,
MATCH(OFFSET($C62,((MATCH($C62,EL_List,0)-1)*-10)-1,0),MSP!$C:$C,0)+MATCH($C62,EL_List,0)-1,
MATCH(OFFSET($C62,((MATCH($C62,EL_List,0)-1)*-10)-3,0),MSP!$D$5:$N$5,0)+1)
*INDEX(Learning!$E$6:$S$41,(MATCH(AH$21,Dates,0)),(MATCH($C$21,Learning!$E$4:$S$4,0)+MATCH($C$62,Learning!$E$5:$S$5,0)-1))</f>
        <v>57.242752000000003</v>
      </c>
      <c r="AI63" s="778" cm="1">
        <f t="array" aca="1" ref="AI63" ca="1">OFFSET(MSP!$C$1,
MATCH(OFFSET($C62,((MATCH($C62,EL_List,0)-1)*-10)-1,0),MSP!$C:$C,0)+MATCH($C62,EL_List,0)-1,
MATCH(OFFSET($C62,((MATCH($C62,EL_List,0)-1)*-10)-3,0),MSP!$D$5:$N$5,0)+1)
*INDEX(Learning!$E$6:$S$41,(MATCH(AI$21,Dates,0)),(MATCH($C$21,Learning!$E$4:$S$4,0)+MATCH($C$62,Learning!$E$5:$S$5,0)-1))</f>
        <v>56.987203999999998</v>
      </c>
      <c r="AJ63" s="778" cm="1">
        <f t="array" aca="1" ref="AJ63" ca="1">OFFSET(MSP!$C$1,
MATCH(OFFSET($C62,((MATCH($C62,EL_List,0)-1)*-10)-1,0),MSP!$C:$C,0)+MATCH($C62,EL_List,0)-1,
MATCH(OFFSET($C62,((MATCH($C62,EL_List,0)-1)*-10)-3,0),MSP!$D$5:$N$5,0)+1)
*INDEX(Learning!$E$6:$S$41,(MATCH(AJ$21,Dates,0)),(MATCH($C$21,Learning!$E$4:$S$4,0)+MATCH($C$62,Learning!$E$5:$S$5,0)-1))</f>
        <v>56.795543000000002</v>
      </c>
      <c r="AK63" s="778" cm="1">
        <f t="array" aca="1" ref="AK63" ca="1">OFFSET(MSP!$C$1,
MATCH(OFFSET($C62,((MATCH($C62,EL_List,0)-1)*-10)-1,0),MSP!$C:$C,0)+MATCH($C62,EL_List,0)-1,
MATCH(OFFSET($C62,((MATCH($C62,EL_List,0)-1)*-10)-3,0),MSP!$D$5:$N$5,0)+1)
*INDEX(Learning!$E$6:$S$41,(MATCH(AK$21,Dates,0)),(MATCH($C$21,Learning!$E$4:$S$4,0)+MATCH($C$62,Learning!$E$5:$S$5,0)-1))</f>
        <v>56.539994999999998</v>
      </c>
      <c r="AL63" s="778" cm="1">
        <f t="array" aca="1" ref="AL63" ca="1">OFFSET(MSP!$C$1,
MATCH(OFFSET($C62,((MATCH($C62,EL_List,0)-1)*-10)-1,0),MSP!$C:$C,0)+MATCH($C62,EL_List,0)-1,
MATCH(OFFSET($C62,((MATCH($C62,EL_List,0)-1)*-10)-3,0),MSP!$D$5:$N$5,0)+1)
*INDEX(Learning!$E$6:$S$41,(MATCH(AL$21,Dates,0)),(MATCH($C$21,Learning!$E$4:$S$4,0)+MATCH($C$62,Learning!$E$5:$S$5,0)-1))</f>
        <v>56.348334000000001</v>
      </c>
      <c r="AM63" s="778" cm="1">
        <f t="array" aca="1" ref="AM63" ca="1">OFFSET(MSP!$C$1,
MATCH(OFFSET($C62,((MATCH($C62,EL_List,0)-1)*-10)-1,0),MSP!$C:$C,0)+MATCH($C62,EL_List,0)-1,
MATCH(OFFSET($C62,((MATCH($C62,EL_List,0)-1)*-10)-3,0),MSP!$D$5:$N$5,0)+1)
*INDEX(Learning!$E$6:$S$41,(MATCH(AM$21,Dates,0)),(MATCH($C$21,Learning!$E$4:$S$4,0)+MATCH($C$62,Learning!$E$5:$S$5,0)-1))</f>
        <v>56.092786000000004</v>
      </c>
      <c r="AN63" s="778" cm="1">
        <f t="array" aca="1" ref="AN63" ca="1">OFFSET(MSP!$C$1,
MATCH(OFFSET($C62,((MATCH($C62,EL_List,0)-1)*-10)-1,0),MSP!$C:$C,0)+MATCH($C62,EL_List,0)-1,
MATCH(OFFSET($C62,((MATCH($C62,EL_List,0)-1)*-10)-3,0),MSP!$D$5:$N$5,0)+1)
*INDEX(Learning!$E$6:$S$41,(MATCH(AN$21,Dates,0)),(MATCH($C$21,Learning!$E$4:$S$4,0)+MATCH($C$62,Learning!$E$5:$S$5,0)-1))</f>
        <v>55.880298995563471</v>
      </c>
      <c r="AO63" s="436"/>
      <c r="AP63" s="21"/>
    </row>
    <row r="64" spans="2:42" ht="15" customHeight="1" x14ac:dyDescent="0.35">
      <c r="B64" s="429"/>
      <c r="C64" s="777" t="s">
        <v>78</v>
      </c>
      <c r="D64" s="776"/>
      <c r="E64" s="530">
        <f ca="1">OFFSET(OFFSET(Shipments!$D$1,0,MATCH(E$7,Dates)),
MATCH(OFFSET($C62,((MATCH($C62,EL_List,0)-1)*-10)-3,0),Shipments!$C:$C,0)+
MATCH(OFFSET($C62,((MATCH($C62,EL_List,0)-1)*-10)-1,0),Shipments!$D:$D,0)+
MATCH($C62,EL_List,0)-10,
MATCH(Shipments_Scenario_X,Shipments!$F$5:$AQ$5,0))</f>
        <v>6.5341321286596976E-2</v>
      </c>
      <c r="F64" s="530">
        <f ca="1">OFFSET(OFFSET(Shipments!$D$1,0,MATCH(F$7,Dates)),
MATCH(OFFSET($C62,((MATCH($C62,EL_List,0)-1)*-10)-3,0),Shipments!$C:$C,0)+
MATCH(OFFSET($C62,((MATCH($C62,EL_List,0)-1)*-10)-1,0),Shipments!$D:$D,0)+
MATCH($C62,EL_List,0)-10,
MATCH(Shipments_Scenario_X,Shipments!$F$5:$AQ$5,0))</f>
        <v>6.8263290754879441E-2</v>
      </c>
      <c r="G64" s="530">
        <f ca="1">OFFSET(OFFSET(Shipments!$D$1,0,MATCH(G$7,Dates)),
MATCH(OFFSET($C62,((MATCH($C62,EL_List,0)-1)*-10)-3,0),Shipments!$C:$C,0)+
MATCH(OFFSET($C62,((MATCH($C62,EL_List,0)-1)*-10)-1,0),Shipments!$D:$D,0)+
MATCH($C62,EL_List,0)-10,
MATCH(Shipments_Scenario_X,Shipments!$F$5:$AQ$5,0))</f>
        <v>7.0881694402255571E-2</v>
      </c>
      <c r="H64" s="530">
        <f ca="1">OFFSET(OFFSET(Shipments!$D$1,0,MATCH(H$7,Dates)),
MATCH(OFFSET($C62,((MATCH($C62,EL_List,0)-1)*-10)-3,0),Shipments!$C:$C,0)+
MATCH(OFFSET($C62,((MATCH($C62,EL_List,0)-1)*-10)-1,0),Shipments!$D:$D,0)+
MATCH($C62,EL_List,0)-10,
MATCH(Shipments_Scenario_X,Shipments!$F$5:$AQ$5,0))</f>
        <v>7.4210511297664927E-2</v>
      </c>
      <c r="I64" s="530">
        <f ca="1">OFFSET(OFFSET(Shipments!$D$1,0,MATCH(I$7,Dates)),
MATCH(OFFSET($C62,((MATCH($C62,EL_List,0)-1)*-10)-3,0),Shipments!$C:$C,0)+
MATCH(OFFSET($C62,((MATCH($C62,EL_List,0)-1)*-10)-1,0),Shipments!$D:$D,0)+
MATCH($C62,EL_List,0)-10,
MATCH(Shipments_Scenario_X,Shipments!$F$5:$AQ$5,0))</f>
        <v>7.7782430586895435E-2</v>
      </c>
      <c r="J64" s="530">
        <f ca="1">OFFSET(OFFSET(Shipments!$D$1,0,MATCH(J$7,Dates)),
MATCH(OFFSET($C62,((MATCH($C62,EL_List,0)-1)*-10)-3,0),Shipments!$C:$C,0)+
MATCH(OFFSET($C62,((MATCH($C62,EL_List,0)-1)*-10)-1,0),Shipments!$D:$D,0)+
MATCH($C62,EL_List,0)-10,
MATCH(Shipments_Scenario_X,Shipments!$F$5:$AQ$5,0))</f>
        <v>8.1735439362226853E-2</v>
      </c>
      <c r="K64" s="530">
        <f ca="1">OFFSET(OFFSET(Shipments!$D$1,0,MATCH(K$7,Dates)),
MATCH(OFFSET($C62,((MATCH($C62,EL_List,0)-1)*-10)-3,0),Shipments!$C:$C,0)+
MATCH(OFFSET($C62,((MATCH($C62,EL_List,0)-1)*-10)-1,0),Shipments!$D:$D,0)+
MATCH($C62,EL_List,0)-10,
MATCH(Shipments_Scenario_X,Shipments!$F$5:$AQ$5,0))</f>
        <v>8.6023040614946089E-2</v>
      </c>
      <c r="L64" s="530">
        <f ca="1">OFFSET(OFFSET(Shipments!$D$1,0,MATCH(L$7,Dates)),
MATCH(OFFSET($C62,((MATCH($C62,EL_List,0)-1)*-10)-3,0),Shipments!$C:$C,0)+
MATCH(OFFSET($C62,((MATCH($C62,EL_List,0)-1)*-10)-1,0),Shipments!$D:$D,0)+
MATCH($C62,EL_List,0)-10,
MATCH(Shipments_Scenario_X,Shipments!$F$5:$AQ$5,0))</f>
        <v>9.0575448467766911E-2</v>
      </c>
      <c r="M64" s="530">
        <f ca="1">OFFSET(OFFSET(Shipments!$D$1,0,MATCH(M$7,Dates)),
MATCH(OFFSET($C62,((MATCH($C62,EL_List,0)-1)*-10)-3,0),Shipments!$C:$C,0)+
MATCH(OFFSET($C62,((MATCH($C62,EL_List,0)-1)*-10)-1,0),Shipments!$D:$D,0)+
MATCH($C62,EL_List,0)-10,
MATCH(Shipments_Scenario_X,Shipments!$F$5:$AQ$5,0))</f>
        <v>9.5338203803386132E-2</v>
      </c>
      <c r="N64" s="530">
        <f ca="1">OFFSET(OFFSET(Shipments!$D$1,0,MATCH(N$7,Dates)),
MATCH(OFFSET($C62,((MATCH($C62,EL_List,0)-1)*-10)-3,0),Shipments!$C:$C,0)+
MATCH(OFFSET($C62,((MATCH($C62,EL_List,0)-1)*-10)-1,0),Shipments!$D:$D,0)+
MATCH($C62,EL_List,0)-10,
MATCH(Shipments_Scenario_X,Shipments!$F$5:$AQ$5,0))</f>
        <v>0.10027502281495268</v>
      </c>
      <c r="O64" s="530">
        <f ca="1">OFFSET(OFFSET(Shipments!$D$1,0,MATCH(O$7,Dates)),
MATCH(OFFSET($C62,((MATCH($C62,EL_List,0)-1)*-10)-3,0),Shipments!$C:$C,0)+
MATCH(OFFSET($C62,((MATCH($C62,EL_List,0)-1)*-10)-1,0),Shipments!$D:$D,0)+
MATCH($C62,EL_List,0)-10,
MATCH(Shipments_Scenario_X,Shipments!$F$5:$AQ$5,0))</f>
        <v>0.10538377354703587</v>
      </c>
      <c r="P64" s="530">
        <f ca="1">OFFSET(OFFSET(Shipments!$D$1,0,MATCH(P$7,Dates)),
MATCH(OFFSET($C62,((MATCH($C62,EL_List,0)-1)*-10)-3,0),Shipments!$C:$C,0)+
MATCH(OFFSET($C62,((MATCH($C62,EL_List,0)-1)*-10)-1,0),Shipments!$D:$D,0)+
MATCH($C62,EL_List,0)-10,
MATCH(Shipments_Scenario_X,Shipments!$F$5:$AQ$5,0))</f>
        <v>0.11068633612998055</v>
      </c>
      <c r="Q64" s="530">
        <f ca="1">OFFSET(OFFSET(Shipments!$D$1,0,MATCH(Q$7,Dates)),
MATCH(OFFSET($C62,((MATCH($C62,EL_List,0)-1)*-10)-3,0),Shipments!$C:$C,0)+
MATCH(OFFSET($C62,((MATCH($C62,EL_List,0)-1)*-10)-1,0),Shipments!$D:$D,0)+
MATCH($C62,EL_List,0)-10,
MATCH(Shipments_Scenario_X,Shipments!$F$5:$AQ$5,0))</f>
        <v>0.11621614086257349</v>
      </c>
      <c r="R64" s="530">
        <f ca="1">OFFSET(OFFSET(Shipments!$D$1,0,MATCH(R$7,Dates)),
MATCH(OFFSET($C62,((MATCH($C62,EL_List,0)-1)*-10)-3,0),Shipments!$C:$C,0)+
MATCH(OFFSET($C62,((MATCH($C62,EL_List,0)-1)*-10)-1,0),Shipments!$D:$D,0)+
MATCH($C62,EL_List,0)-10,
MATCH(Shipments_Scenario_X,Shipments!$F$5:$AQ$5,0))</f>
        <v>0.12201221091713968</v>
      </c>
      <c r="S64" s="530">
        <f ca="1">OFFSET(OFFSET(Shipments!$D$1,0,MATCH(S$7,Dates)),
MATCH(OFFSET($C62,((MATCH($C62,EL_List,0)-1)*-10)-3,0),Shipments!$C:$C,0)+
MATCH(OFFSET($C62,((MATCH($C62,EL_List,0)-1)*-10)-1,0),Shipments!$D:$D,0)+
MATCH($C62,EL_List,0)-10,
MATCH(Shipments_Scenario_X,Shipments!$F$5:$AQ$5,0))</f>
        <v>0.12810734212501415</v>
      </c>
      <c r="T64" s="530">
        <f ca="1">OFFSET(OFFSET(Shipments!$D$1,0,MATCH(T$7,Dates)),
MATCH(OFFSET($C62,((MATCH($C62,EL_List,0)-1)*-10)-3,0),Shipments!$C:$C,0)+
MATCH(OFFSET($C62,((MATCH($C62,EL_List,0)-1)*-10)-1,0),Shipments!$D:$D,0)+
MATCH($C62,EL_List,0)-10,
MATCH(Shipments_Scenario_X,Shipments!$F$5:$AQ$5,0))</f>
        <v>0.13452228456476095</v>
      </c>
      <c r="U64" s="530">
        <f ca="1">OFFSET(OFFSET(Shipments!$D$1,0,MATCH(U$7,Dates)),
MATCH(OFFSET($C62,((MATCH($C62,EL_List,0)-1)*-10)-3,0),Shipments!$C:$C,0)+
MATCH(OFFSET($C62,((MATCH($C62,EL_List,0)-1)*-10)-1,0),Shipments!$D:$D,0)+
MATCH($C62,EL_List,0)-10,
MATCH(Shipments_Scenario_X,Shipments!$F$5:$AQ$5,0))</f>
        <v>0.14128010003407737</v>
      </c>
      <c r="V64" s="530">
        <f ca="1">OFFSET(OFFSET(Shipments!$D$1,0,MATCH(V$7,Dates)),
MATCH(OFFSET($C62,((MATCH($C62,EL_List,0)-1)*-10)-3,0),Shipments!$C:$C,0)+
MATCH(OFFSET($C62,((MATCH($C62,EL_List,0)-1)*-10)-1,0),Shipments!$D:$D,0)+
MATCH($C62,EL_List,0)-10,
MATCH(Shipments_Scenario_X,Shipments!$F$5:$AQ$5,0))</f>
        <v>0.14836724609566665</v>
      </c>
      <c r="W64" s="530">
        <f ca="1">OFFSET(OFFSET(Shipments!$D$1,0,MATCH(W$7,Dates)),
MATCH(OFFSET($C62,((MATCH($C62,EL_List,0)-1)*-10)-3,0),Shipments!$C:$C,0)+
MATCH(OFFSET($C62,((MATCH($C62,EL_List,0)-1)*-10)-1,0),Shipments!$D:$D,0)+
MATCH($C62,EL_List,0)-10,
MATCH(Shipments_Scenario_X,Shipments!$F$5:$AQ$5,0))</f>
        <v>0.1558052595653997</v>
      </c>
      <c r="X64" s="530">
        <f ca="1">OFFSET(OFFSET(Shipments!$D$1,0,MATCH(X$7,Dates)),
MATCH(OFFSET($C62,((MATCH($C62,EL_List,0)-1)*-10)-3,0),Shipments!$C:$C,0)+
MATCH(OFFSET($C62,((MATCH($C62,EL_List,0)-1)*-10)-1,0),Shipments!$D:$D,0)+
MATCH($C62,EL_List,0)-10,
MATCH(Shipments_Scenario_X,Shipments!$F$5:$AQ$5,0))</f>
        <v>0.16360312083923689</v>
      </c>
      <c r="Y64" s="530">
        <f ca="1">OFFSET(OFFSET(Shipments!$D$1,0,MATCH(Y$7,Dates)),
MATCH(OFFSET($C62,((MATCH($C62,EL_List,0)-1)*-10)-3,0),Shipments!$C:$C,0)+
MATCH(OFFSET($C62,((MATCH($C62,EL_List,0)-1)*-10)-1,0),Shipments!$D:$D,0)+
MATCH($C62,EL_List,0)-10,
MATCH(Shipments_Scenario_X,Shipments!$F$5:$AQ$5,0))</f>
        <v>0.17177411233362033</v>
      </c>
      <c r="Z64" s="530">
        <f ca="1">OFFSET(OFFSET(Shipments!$D$1,0,MATCH(Z$7,Dates)),
MATCH(OFFSET($C62,((MATCH($C62,EL_List,0)-1)*-10)-3,0),Shipments!$C:$C,0)+
MATCH(OFFSET($C62,((MATCH($C62,EL_List,0)-1)*-10)-1,0),Shipments!$D:$D,0)+
MATCH($C62,EL_List,0)-10,
MATCH(Shipments_Scenario_X,Shipments!$F$5:$AQ$5,0))</f>
        <v>0.18033604192601005</v>
      </c>
      <c r="AA64" s="530">
        <f ca="1">OFFSET(OFFSET(Shipments!$D$1,0,MATCH(AA$7,Dates)),
MATCH(OFFSET($C62,((MATCH($C62,EL_List,0)-1)*-10)-3,0),Shipments!$C:$C,0)+
MATCH(OFFSET($C62,((MATCH($C62,EL_List,0)-1)*-10)-1,0),Shipments!$D:$D,0)+
MATCH($C62,EL_List,0)-10,
MATCH(Shipments_Scenario_X,Shipments!$F$5:$AQ$5,0))</f>
        <v>0.18930945119147641</v>
      </c>
      <c r="AB64" s="530">
        <f ca="1">OFFSET(OFFSET(Shipments!$D$1,0,MATCH(AB$7,Dates)),
MATCH(OFFSET($C62,((MATCH($C62,EL_List,0)-1)*-10)-3,0),Shipments!$C:$C,0)+
MATCH(OFFSET($C62,((MATCH($C62,EL_List,0)-1)*-10)-1,0),Shipments!$D:$D,0)+
MATCH($C62,EL_List,0)-10,
MATCH(Shipments_Scenario_X,Shipments!$F$5:$AQ$5,0))</f>
        <v>0.19871788773796306</v>
      </c>
      <c r="AC64" s="530">
        <f ca="1">OFFSET(OFFSET(Shipments!$D$1,0,MATCH(AC$7,Dates)),
MATCH(OFFSET($C62,((MATCH($C62,EL_List,0)-1)*-10)-3,0),Shipments!$C:$C,0)+
MATCH(OFFSET($C62,((MATCH($C62,EL_List,0)-1)*-10)-1,0),Shipments!$D:$D,0)+
MATCH($C62,EL_List,0)-10,
MATCH(Shipments_Scenario_X,Shipments!$F$5:$AQ$5,0))</f>
        <v>0.20858513738896514</v>
      </c>
      <c r="AD64" s="530">
        <f ca="1">OFFSET(OFFSET(Shipments!$D$1,0,MATCH(AD$7,Dates)),
MATCH(OFFSET($C62,((MATCH($C62,EL_List,0)-1)*-10)-3,0),Shipments!$C:$C,0)+
MATCH(OFFSET($C62,((MATCH($C62,EL_List,0)-1)*-10)-1,0),Shipments!$D:$D,0)+
MATCH($C62,EL_List,0)-10,
MATCH(Shipments_Scenario_X,Shipments!$F$5:$AQ$5,0))</f>
        <v>0.21893511887504069</v>
      </c>
      <c r="AE64" s="530">
        <f ca="1">OFFSET(OFFSET(Shipments!$D$1,0,MATCH(AE$7,Dates)),
MATCH(OFFSET($C62,((MATCH($C62,EL_List,0)-1)*-10)-3,0),Shipments!$C:$C,0)+
MATCH(OFFSET($C62,((MATCH($C62,EL_List,0)-1)*-10)-1,0),Shipments!$D:$D,0)+
MATCH($C62,EL_List,0)-10,
MATCH(Shipments_Scenario_X,Shipments!$F$5:$AQ$5,0))</f>
        <v>0.2297917561243612</v>
      </c>
      <c r="AF64" s="530">
        <f ca="1">OFFSET(OFFSET(Shipments!$D$1,0,MATCH(AF$7,Dates)),
MATCH(OFFSET($C62,((MATCH($C62,EL_List,0)-1)*-10)-3,0),Shipments!$C:$C,0)+
MATCH(OFFSET($C62,((MATCH($C62,EL_List,0)-1)*-10)-1,0),Shipments!$D:$D,0)+
MATCH($C62,EL_List,0)-10,
MATCH(Shipments_Scenario_X,Shipments!$F$5:$AQ$5,0))</f>
        <v>0.24117920977691049</v>
      </c>
      <c r="AG64" s="530">
        <f ca="1">OFFSET(OFFSET(Shipments!$D$1,0,MATCH(AG$7,Dates)),
MATCH(OFFSET($C62,((MATCH($C62,EL_List,0)-1)*-10)-3,0),Shipments!$C:$C,0)+
MATCH(OFFSET($C62,((MATCH($C62,EL_List,0)-1)*-10)-1,0),Shipments!$D:$D,0)+
MATCH($C62,EL_List,0)-10,
MATCH(Shipments_Scenario_X,Shipments!$F$5:$AQ$5,0))</f>
        <v>0.25312239024218003</v>
      </c>
      <c r="AH64" s="530">
        <f ca="1">OFFSET(OFFSET(Shipments!$D$1,0,MATCH(AH$7,Dates)),
MATCH(OFFSET($C62,((MATCH($C62,EL_List,0)-1)*-10)-3,0),Shipments!$C:$C,0)+
MATCH(OFFSET($C62,((MATCH($C62,EL_List,0)-1)*-10)-1,0),Shipments!$D:$D,0)+
MATCH($C62,EL_List,0)-10,
MATCH(Shipments_Scenario_X,Shipments!$F$5:$AQ$5,0))</f>
        <v>0.26564742047235612</v>
      </c>
      <c r="AI64" s="530">
        <f ca="1">OFFSET(OFFSET(Shipments!$D$1,0,MATCH(AI$7,Dates)),
MATCH(OFFSET($C62,((MATCH($C62,EL_List,0)-1)*-10)-3,0),Shipments!$C:$C,0)+
MATCH(OFFSET($C62,((MATCH($C62,EL_List,0)-1)*-10)-1,0),Shipments!$D:$D,0)+
MATCH($C62,EL_List,0)-10,
MATCH(Shipments_Scenario_X,Shipments!$F$5:$AQ$5,0))</f>
        <v>0.27878198546576272</v>
      </c>
      <c r="AJ64" s="530">
        <f ca="1">OFFSET(OFFSET(Shipments!$D$1,0,MATCH(AJ$7,Dates)),
MATCH(OFFSET($C62,((MATCH($C62,EL_List,0)-1)*-10)-3,0),Shipments!$C:$C,0)+
MATCH(OFFSET($C62,((MATCH($C62,EL_List,0)-1)*-10)-1,0),Shipments!$D:$D,0)+
MATCH($C62,EL_List,0)-10,
MATCH(Shipments_Scenario_X,Shipments!$F$5:$AQ$5,0))</f>
        <v>0.29255552314271704</v>
      </c>
      <c r="AK64" s="530">
        <f ca="1">OFFSET(OFFSET(Shipments!$D$1,0,MATCH(AK$7,Dates)),
MATCH(OFFSET($C62,((MATCH($C62,EL_List,0)-1)*-10)-3,0),Shipments!$C:$C,0)+
MATCH(OFFSET($C62,((MATCH($C62,EL_List,0)-1)*-10)-1,0),Shipments!$D:$D,0)+
MATCH($C62,EL_List,0)-10,
MATCH(Shipments_Scenario_X,Shipments!$F$5:$AQ$5,0))</f>
        <v>0.30699924121570293</v>
      </c>
      <c r="AL64" s="530">
        <f ca="1">OFFSET(OFFSET(Shipments!$D$1,0,MATCH(AL$7,Dates)),
MATCH(OFFSET($C62,((MATCH($C62,EL_List,0)-1)*-10)-3,0),Shipments!$C:$C,0)+
MATCH(OFFSET($C62,((MATCH($C62,EL_List,0)-1)*-10)-1,0),Shipments!$D:$D,0)+
MATCH($C62,EL_List,0)-10,
MATCH(Shipments_Scenario_X,Shipments!$F$5:$AQ$5,0))</f>
        <v>0.32214605982752642</v>
      </c>
      <c r="AM64" s="530">
        <f ca="1">OFFSET(OFFSET(Shipments!$D$1,0,MATCH(AM$7,Dates)),
MATCH(OFFSET($C62,((MATCH($C62,EL_List,0)-1)*-10)-3,0),Shipments!$C:$C,0)+
MATCH(OFFSET($C62,((MATCH($C62,EL_List,0)-1)*-10)-1,0),Shipments!$D:$D,0)+
MATCH($C62,EL_List,0)-10,
MATCH(Shipments_Scenario_X,Shipments!$F$5:$AQ$5,0))</f>
        <v>0.33803057340678311</v>
      </c>
      <c r="AN64" s="530">
        <f ca="1">OFFSET(OFFSET(Shipments!$D$1,0,MATCH(AN$7,Dates)),
MATCH(OFFSET($C62,((MATCH($C62,EL_List,0)-1)*-10)-3,0),Shipments!$C:$C,0)+
MATCH(OFFSET($C62,((MATCH($C62,EL_List,0)-1)*-10)-1,0),Shipments!$D:$D,0)+
MATCH($C62,EL_List,0)-10,
MATCH(Shipments_Scenario_X,Shipments!$F$5:$AQ$5,0))</f>
        <v>0.35468891350687004</v>
      </c>
      <c r="AO64" s="436"/>
      <c r="AP64" s="21"/>
    </row>
    <row r="65" spans="2:42" ht="15" customHeight="1" x14ac:dyDescent="0.35">
      <c r="B65" s="429"/>
      <c r="C65" s="777" t="s">
        <v>79</v>
      </c>
      <c r="D65" s="776"/>
      <c r="E65" s="531">
        <f t="shared" ref="E65:AN65" ca="1" si="17">E63*E64</f>
        <v>4.3414394327582944</v>
      </c>
      <c r="F65" s="531">
        <f t="shared" ca="1" si="17"/>
        <v>4.5050543727200623</v>
      </c>
      <c r="G65" s="531">
        <f t="shared" ca="1" si="17"/>
        <v>4.6461576993441014</v>
      </c>
      <c r="H65" s="531">
        <f t="shared" ca="1" si="17"/>
        <v>4.8311675870441233</v>
      </c>
      <c r="I65" s="531">
        <f t="shared" ca="1" si="17"/>
        <v>5.0289175766198486</v>
      </c>
      <c r="J65" s="531">
        <f t="shared" ca="1" si="17"/>
        <v>5.2531630066217954</v>
      </c>
      <c r="K65" s="531">
        <f t="shared" ca="1" si="17"/>
        <v>5.4957539957670605</v>
      </c>
      <c r="L65" s="531">
        <f t="shared" ca="1" si="17"/>
        <v>5.7518741142026633</v>
      </c>
      <c r="M65" s="531">
        <f t="shared" ca="1" si="17"/>
        <v>6.0238722362966737</v>
      </c>
      <c r="N65" s="531">
        <f t="shared" ca="1" si="17"/>
        <v>6.2973637860750413</v>
      </c>
      <c r="O65" s="531">
        <f t="shared" ca="1" si="17"/>
        <v>6.5845347715062923</v>
      </c>
      <c r="P65" s="531">
        <f t="shared" ca="1" si="17"/>
        <v>6.8804896715149937</v>
      </c>
      <c r="Q65" s="531">
        <f t="shared" ca="1" si="17"/>
        <v>7.1871101723660411</v>
      </c>
      <c r="R65" s="531">
        <f t="shared" ca="1" si="17"/>
        <v>7.5065793364653608</v>
      </c>
      <c r="S65" s="531">
        <f t="shared" ca="1" si="17"/>
        <v>7.840649228154466</v>
      </c>
      <c r="T65" s="531">
        <f t="shared" ca="1" si="17"/>
        <v>8.190296609871405</v>
      </c>
      <c r="U65" s="531">
        <f t="shared" ca="1" si="17"/>
        <v>8.5656377015823679</v>
      </c>
      <c r="V65" s="531">
        <f t="shared" ca="1" si="17"/>
        <v>8.9479289092402787</v>
      </c>
      <c r="W65" s="531">
        <f t="shared" ca="1" si="17"/>
        <v>9.3566947807834087</v>
      </c>
      <c r="X65" s="531">
        <f t="shared" ca="1" si="17"/>
        <v>9.783177375868723</v>
      </c>
      <c r="Y65" s="531">
        <f t="shared" ca="1" si="17"/>
        <v>10.2169175573466</v>
      </c>
      <c r="Z65" s="531">
        <f t="shared" ca="1" si="17"/>
        <v>10.680086314658533</v>
      </c>
      <c r="AA65" s="531">
        <f t="shared" ca="1" si="17"/>
        <v>11.163143114333076</v>
      </c>
      <c r="AB65" s="531">
        <f t="shared" ca="1" si="17"/>
        <v>11.667155028708111</v>
      </c>
      <c r="AC65" s="531">
        <f t="shared" ca="1" si="17"/>
        <v>12.193178985217468</v>
      </c>
      <c r="AD65" s="531">
        <f t="shared" ca="1" si="17"/>
        <v>12.742255332948021</v>
      </c>
      <c r="AE65" s="531">
        <f t="shared" ca="1" si="17"/>
        <v>13.315400272629978</v>
      </c>
      <c r="AF65" s="531">
        <f t="shared" ca="1" si="17"/>
        <v>13.913619206040785</v>
      </c>
      <c r="AG65" s="531">
        <f t="shared" ca="1" si="17"/>
        <v>14.55410713086194</v>
      </c>
      <c r="AH65" s="531">
        <f t="shared" ca="1" si="17"/>
        <v>15.206389409538804</v>
      </c>
      <c r="AI65" s="531">
        <f t="shared" ca="1" si="17"/>
        <v>15.887005877262455</v>
      </c>
      <c r="AJ65" s="531">
        <f t="shared" ca="1" si="17"/>
        <v>16.615849794539681</v>
      </c>
      <c r="AK65" s="531">
        <f t="shared" ca="1" si="17"/>
        <v>17.357735563339638</v>
      </c>
      <c r="AL65" s="531">
        <f t="shared" ca="1" si="17"/>
        <v>18.152393775945441</v>
      </c>
      <c r="AM65" s="531">
        <f t="shared" ref="AM65" ca="1" si="18">AM63*AM64</f>
        <v>18.961076615563979</v>
      </c>
      <c r="AN65" s="531">
        <f t="shared" ca="1" si="17"/>
        <v>19.82012253717545</v>
      </c>
      <c r="AO65" s="436"/>
      <c r="AP65" s="21"/>
    </row>
    <row r="66" spans="2:42" ht="15" customHeight="1" x14ac:dyDescent="0.35">
      <c r="B66" s="429"/>
      <c r="C66" s="777"/>
      <c r="D66" s="776"/>
      <c r="E66" s="776"/>
      <c r="F66" s="776"/>
      <c r="G66" s="776"/>
      <c r="H66" s="776"/>
      <c r="I66" s="776"/>
      <c r="J66" s="776"/>
      <c r="K66" s="776"/>
      <c r="L66" s="776"/>
      <c r="M66" s="776"/>
      <c r="N66" s="776"/>
      <c r="O66" s="776"/>
      <c r="P66" s="776"/>
      <c r="Q66" s="776"/>
      <c r="R66" s="776"/>
      <c r="S66" s="776"/>
      <c r="T66" s="776"/>
      <c r="U66" s="776"/>
      <c r="V66" s="776"/>
      <c r="W66" s="776"/>
      <c r="X66" s="776"/>
      <c r="Y66" s="776"/>
      <c r="Z66" s="776"/>
      <c r="AA66" s="776"/>
      <c r="AB66" s="776"/>
      <c r="AC66" s="776"/>
      <c r="AD66" s="776"/>
      <c r="AE66" s="776"/>
      <c r="AF66" s="776"/>
      <c r="AG66" s="776"/>
      <c r="AH66" s="776"/>
      <c r="AI66" s="776"/>
      <c r="AJ66" s="776"/>
      <c r="AK66" s="776"/>
      <c r="AL66" s="776"/>
      <c r="AM66" s="776"/>
      <c r="AN66" s="776"/>
      <c r="AO66" s="436"/>
      <c r="AP66" s="21"/>
    </row>
    <row r="67" spans="2:42" ht="15" customHeight="1" x14ac:dyDescent="0.35">
      <c r="B67" s="429"/>
      <c r="C67" s="777" t="s">
        <v>212</v>
      </c>
      <c r="D67" s="776"/>
      <c r="E67" s="532" cm="1">
        <f t="array" aca="1" ref="E67" ca="1">OFFSET(E67,-3,0)*
OFFSET(MSP!$D$1,
MATCH(OFFSET($C62,((MATCH($C62,EL_List,0)-1)*-10)-1,0),MSP!$C:$C,0)+MATCH($C62,EL_List,0)-1,0)
*INDEX(Learning!$E$6:$S$41,(MATCH(E$21,Dates,0)),(MATCH($C$21,Learning!$E$4:$S$4,0)+MATCH($C$62,Learning!$E$5:$S$5,0)-1))</f>
        <v>2.7261622971897199</v>
      </c>
      <c r="F67" s="532" cm="1">
        <f t="array" aca="1" ref="F67" ca="1">OFFSET(F67,-3,0)*
OFFSET(MSP!$D$1,
MATCH(OFFSET($C62,((MATCH($C62,EL_List,0)-1)*-10)-1,0),MSP!$C:$C,0)+MATCH($C62,EL_List,0)-1,0)
*INDEX(Learning!$E$6:$S$41,(MATCH(F$21,Dates,0)),(MATCH($C$21,Learning!$E$4:$S$4,0)+MATCH($C$62,Learning!$E$5:$S$5,0)-1))</f>
        <v>2.8289026181107344</v>
      </c>
      <c r="G67" s="532" cm="1">
        <f t="array" aca="1" ref="G67" ca="1">OFFSET(G67,-3,0)*
OFFSET(MSP!$D$1,
MATCH(OFFSET($C62,((MATCH($C62,EL_List,0)-1)*-10)-1,0),MSP!$C:$C,0)+MATCH($C62,EL_List,0)-1,0)
*INDEX(Learning!$E$6:$S$41,(MATCH(G$21,Dates,0)),(MATCH($C$21,Learning!$E$4:$S$4,0)+MATCH($C$62,Learning!$E$5:$S$5,0)-1))</f>
        <v>2.9175070026722172</v>
      </c>
      <c r="H67" s="532" cm="1">
        <f t="array" aca="1" ref="H67" ca="1">OFFSET(H67,-3,0)*
OFFSET(MSP!$D$1,
MATCH(OFFSET($C62,((MATCH($C62,EL_List,0)-1)*-10)-1,0),MSP!$C:$C,0)+MATCH($C62,EL_List,0)-1,0)
*INDEX(Learning!$E$6:$S$41,(MATCH(H$21,Dates,0)),(MATCH($C$21,Learning!$E$4:$S$4,0)+MATCH($C$62,Learning!$E$5:$S$5,0)-1))</f>
        <v>3.0336820612597921</v>
      </c>
      <c r="I67" s="532" cm="1">
        <f t="array" aca="1" ref="I67" ca="1">OFFSET(I67,-3,0)*
OFFSET(MSP!$D$1,
MATCH(OFFSET($C62,((MATCH($C62,EL_List,0)-1)*-10)-1,0),MSP!$C:$C,0)+MATCH($C62,EL_List,0)-1,0)
*INDEX(Learning!$E$6:$S$41,(MATCH(I$21,Dates,0)),(MATCH($C$21,Learning!$E$4:$S$4,0)+MATCH($C$62,Learning!$E$5:$S$5,0)-1))</f>
        <v>3.157857135955811</v>
      </c>
      <c r="J67" s="532" cm="1">
        <f t="array" aca="1" ref="J67" ca="1">OFFSET(J67,-3,0)*
OFFSET(MSP!$D$1,
MATCH(OFFSET($C62,((MATCH($C62,EL_List,0)-1)*-10)-1,0),MSP!$C:$C,0)+MATCH($C62,EL_List,0)-1,0)
*INDEX(Learning!$E$6:$S$41,(MATCH(J$21,Dates,0)),(MATCH($C$21,Learning!$E$4:$S$4,0)+MATCH($C$62,Learning!$E$5:$S$5,0)-1))</f>
        <v>3.298669750310308</v>
      </c>
      <c r="K67" s="532" cm="1">
        <f t="array" aca="1" ref="K67" ca="1">OFFSET(K67,-3,0)*
OFFSET(MSP!$D$1,
MATCH(OFFSET($C62,((MATCH($C62,EL_List,0)-1)*-10)-1,0),MSP!$C:$C,0)+MATCH($C62,EL_List,0)-1,0)
*INDEX(Learning!$E$6:$S$41,(MATCH(K$21,Dates,0)),(MATCH($C$21,Learning!$E$4:$S$4,0)+MATCH($C$62,Learning!$E$5:$S$5,0)-1))</f>
        <v>3.4510022700860379</v>
      </c>
      <c r="L67" s="532" cm="1">
        <f t="array" aca="1" ref="L67" ca="1">OFFSET(L67,-3,0)*
OFFSET(MSP!$D$1,
MATCH(OFFSET($C62,((MATCH($C62,EL_List,0)-1)*-10)-1,0),MSP!$C:$C,0)+MATCH($C62,EL_List,0)-1,0)
*INDEX(Learning!$E$6:$S$41,(MATCH(L$21,Dates,0)),(MATCH($C$21,Learning!$E$4:$S$4,0)+MATCH($C$62,Learning!$E$5:$S$5,0)-1))</f>
        <v>3.6118302676304594</v>
      </c>
      <c r="M67" s="532" cm="1">
        <f t="array" aca="1" ref="M67" ca="1">OFFSET(M67,-3,0)*
OFFSET(MSP!$D$1,
MATCH(OFFSET($C62,((MATCH($C62,EL_List,0)-1)*-10)-1,0),MSP!$C:$C,0)+MATCH($C62,EL_List,0)-1,0)
*INDEX(Learning!$E$6:$S$41,(MATCH(M$21,Dates,0)),(MATCH($C$21,Learning!$E$4:$S$4,0)+MATCH($C$62,Learning!$E$5:$S$5,0)-1))</f>
        <v>3.7826286944757199</v>
      </c>
      <c r="N67" s="532" cm="1">
        <f t="array" aca="1" ref="N67" ca="1">OFFSET(N67,-3,0)*
OFFSET(MSP!$D$1,
MATCH(OFFSET($C62,((MATCH($C62,EL_List,0)-1)*-10)-1,0),MSP!$C:$C,0)+MATCH($C62,EL_List,0)-1,0)
*INDEX(Learning!$E$6:$S$41,(MATCH(N$21,Dates,0)),(MATCH($C$21,Learning!$E$4:$S$4,0)+MATCH($C$62,Learning!$E$5:$S$5,0)-1))</f>
        <v>3.9543649038951085</v>
      </c>
      <c r="O67" s="532" cm="1">
        <f t="array" aca="1" ref="O67" ca="1">OFFSET(O67,-3,0)*
OFFSET(MSP!$D$1,
MATCH(OFFSET($C62,((MATCH($C62,EL_List,0)-1)*-10)-1,0),MSP!$C:$C,0)+MATCH($C62,EL_List,0)-1,0)
*INDEX(Learning!$E$6:$S$41,(MATCH(O$21,Dates,0)),(MATCH($C$21,Learning!$E$4:$S$4,0)+MATCH($C$62,Learning!$E$5:$S$5,0)-1))</f>
        <v>4.1346909744196267</v>
      </c>
      <c r="P67" s="532" cm="1">
        <f t="array" aca="1" ref="P67" ca="1">OFFSET(P67,-3,0)*
OFFSET(MSP!$D$1,
MATCH(OFFSET($C62,((MATCH($C62,EL_List,0)-1)*-10)-1,0),MSP!$C:$C,0)+MATCH($C62,EL_List,0)-1,0)
*INDEX(Learning!$E$6:$S$41,(MATCH(P$21,Dates,0)),(MATCH($C$21,Learning!$E$4:$S$4,0)+MATCH($C$62,Learning!$E$5:$S$5,0)-1))</f>
        <v>4.3205328138760093</v>
      </c>
      <c r="Q67" s="532" cm="1">
        <f t="array" aca="1" ref="Q67" ca="1">OFFSET(Q67,-3,0)*
OFFSET(MSP!$D$1,
MATCH(OFFSET($C62,((MATCH($C62,EL_List,0)-1)*-10)-1,0),MSP!$C:$C,0)+MATCH($C62,EL_List,0)-1,0)
*INDEX(Learning!$E$6:$S$41,(MATCH(Q$21,Dates,0)),(MATCH($C$21,Learning!$E$4:$S$4,0)+MATCH($C$62,Learning!$E$5:$S$5,0)-1))</f>
        <v>4.513072007825901</v>
      </c>
      <c r="R67" s="532" cm="1">
        <f t="array" aca="1" ref="R67" ca="1">OFFSET(R67,-3,0)*
OFFSET(MSP!$D$1,
MATCH(OFFSET($C62,((MATCH($C62,EL_List,0)-1)*-10)-1,0),MSP!$C:$C,0)+MATCH($C62,EL_List,0)-1,0)
*INDEX(Learning!$E$6:$S$41,(MATCH(R$21,Dates,0)),(MATCH($C$21,Learning!$E$4:$S$4,0)+MATCH($C$62,Learning!$E$5:$S$5,0)-1))</f>
        <v>4.7136793878830137</v>
      </c>
      <c r="S67" s="532" cm="1">
        <f t="array" aca="1" ref="S67" ca="1">OFFSET(S67,-3,0)*
OFFSET(MSP!$D$1,
MATCH(OFFSET($C62,((MATCH($C62,EL_List,0)-1)*-10)-1,0),MSP!$C:$C,0)+MATCH($C62,EL_List,0)-1,0)
*INDEX(Learning!$E$6:$S$41,(MATCH(S$21,Dates,0)),(MATCH($C$21,Learning!$E$4:$S$4,0)+MATCH($C$62,Learning!$E$5:$S$5,0)-1))</f>
        <v>4.9234551448536612</v>
      </c>
      <c r="T67" s="532" cm="1">
        <f t="array" aca="1" ref="T67" ca="1">OFFSET(T67,-3,0)*
OFFSET(MSP!$D$1,
MATCH(OFFSET($C62,((MATCH($C62,EL_List,0)-1)*-10)-1,0),MSP!$C:$C,0)+MATCH($C62,EL_List,0)-1,0)
*INDEX(Learning!$E$6:$S$41,(MATCH(T$21,Dates,0)),(MATCH($C$21,Learning!$E$4:$S$4,0)+MATCH($C$62,Learning!$E$5:$S$5,0)-1))</f>
        <v>5.1430126266776606</v>
      </c>
      <c r="U67" s="532" cm="1">
        <f t="array" aca="1" ref="U67" ca="1">OFFSET(U67,-3,0)*
OFFSET(MSP!$D$1,
MATCH(OFFSET($C62,((MATCH($C62,EL_List,0)-1)*-10)-1,0),MSP!$C:$C,0)+MATCH($C62,EL_List,0)-1,0)
*INDEX(Learning!$E$6:$S$41,(MATCH(U$21,Dates,0)),(MATCH($C$21,Learning!$E$4:$S$4,0)+MATCH($C$62,Learning!$E$5:$S$5,0)-1))</f>
        <v>5.3787042097704951</v>
      </c>
      <c r="V67" s="532" cm="1">
        <f t="array" aca="1" ref="V67" ca="1">OFFSET(V67,-3,0)*
OFFSET(MSP!$D$1,
MATCH(OFFSET($C62,((MATCH($C62,EL_List,0)-1)*-10)-1,0),MSP!$C:$C,0)+MATCH($C62,EL_List,0)-1,0)
*INDEX(Learning!$E$6:$S$41,(MATCH(V$21,Dates,0)),(MATCH($C$21,Learning!$E$4:$S$4,0)+MATCH($C$62,Learning!$E$5:$S$5,0)-1))</f>
        <v>5.618760046781671</v>
      </c>
      <c r="W67" s="532" cm="1">
        <f t="array" aca="1" ref="W67" ca="1">OFFSET(W67,-3,0)*
OFFSET(MSP!$D$1,
MATCH(OFFSET($C62,((MATCH($C62,EL_List,0)-1)*-10)-1,0),MSP!$C:$C,0)+MATCH($C62,EL_List,0)-1,0)
*INDEX(Learning!$E$6:$S$41,(MATCH(W$21,Dates,0)),(MATCH($C$21,Learning!$E$4:$S$4,0)+MATCH($C$62,Learning!$E$5:$S$5,0)-1))</f>
        <v>5.8754403770358188</v>
      </c>
      <c r="X67" s="532" cm="1">
        <f t="array" aca="1" ref="X67" ca="1">OFFSET(X67,-3,0)*
OFFSET(MSP!$D$1,
MATCH(OFFSET($C62,((MATCH($C62,EL_List,0)-1)*-10)-1,0),MSP!$C:$C,0)+MATCH($C62,EL_List,0)-1,0)
*INDEX(Learning!$E$6:$S$41,(MATCH(X$21,Dates,0)),(MATCH($C$21,Learning!$E$4:$S$4,0)+MATCH($C$62,Learning!$E$5:$S$5,0)-1))</f>
        <v>6.1432457418547699</v>
      </c>
      <c r="Y67" s="532" cm="1">
        <f t="array" aca="1" ref="Y67" ca="1">OFFSET(Y67,-3,0)*
OFFSET(MSP!$D$1,
MATCH(OFFSET($C62,((MATCH($C62,EL_List,0)-1)*-10)-1,0),MSP!$C:$C,0)+MATCH($C62,EL_List,0)-1,0)
*INDEX(Learning!$E$6:$S$41,(MATCH(Y$21,Dates,0)),(MATCH($C$21,Learning!$E$4:$S$4,0)+MATCH($C$62,Learning!$E$5:$S$5,0)-1))</f>
        <v>6.4156084335000978</v>
      </c>
      <c r="Z67" s="532" cm="1">
        <f t="array" aca="1" ref="Z67" ca="1">OFFSET(Z67,-3,0)*
OFFSET(MSP!$D$1,
MATCH(OFFSET($C62,((MATCH($C62,EL_List,0)-1)*-10)-1,0),MSP!$C:$C,0)+MATCH($C62,EL_List,0)-1,0)
*INDEX(Learning!$E$6:$S$41,(MATCH(Z$21,Dates,0)),(MATCH($C$21,Learning!$E$4:$S$4,0)+MATCH($C$62,Learning!$E$5:$S$5,0)-1))</f>
        <v>6.7064504970545302</v>
      </c>
      <c r="AA67" s="532" cm="1">
        <f t="array" aca="1" ref="AA67" ca="1">OFFSET(AA67,-3,0)*
OFFSET(MSP!$D$1,
MATCH(OFFSET($C62,((MATCH($C62,EL_List,0)-1)*-10)-1,0),MSP!$C:$C,0)+MATCH($C62,EL_List,0)-1,0)
*INDEX(Learning!$E$6:$S$41,(MATCH(AA$21,Dates,0)),(MATCH($C$21,Learning!$E$4:$S$4,0)+MATCH($C$62,Learning!$E$5:$S$5,0)-1))</f>
        <v>7.009781052523592</v>
      </c>
      <c r="AB67" s="532" cm="1">
        <f t="array" aca="1" ref="AB67" ca="1">OFFSET(AB67,-3,0)*
OFFSET(MSP!$D$1,
MATCH(OFFSET($C62,((MATCH($C62,EL_List,0)-1)*-10)-1,0),MSP!$C:$C,0)+MATCH($C62,EL_List,0)-1,0)
*INDEX(Learning!$E$6:$S$41,(MATCH(AB$21,Dates,0)),(MATCH($C$21,Learning!$E$4:$S$4,0)+MATCH($C$62,Learning!$E$5:$S$5,0)-1))</f>
        <v>7.3262701570210531</v>
      </c>
      <c r="AC67" s="532" cm="1">
        <f t="array" aca="1" ref="AC67" ca="1">OFFSET(AC67,-3,0)*
OFFSET(MSP!$D$1,
MATCH(OFFSET($C62,((MATCH($C62,EL_List,0)-1)*-10)-1,0),MSP!$C:$C,0)+MATCH($C62,EL_List,0)-1,0)
*INDEX(Learning!$E$6:$S$41,(MATCH(AC$21,Dates,0)),(MATCH($C$21,Learning!$E$4:$S$4,0)+MATCH($C$62,Learning!$E$5:$S$5,0)-1))</f>
        <v>7.6565814972723842</v>
      </c>
      <c r="AD67" s="532" cm="1">
        <f t="array" aca="1" ref="AD67" ca="1">OFFSET(AD67,-3,0)*
OFFSET(MSP!$D$1,
MATCH(OFFSET($C62,((MATCH($C62,EL_List,0)-1)*-10)-1,0),MSP!$C:$C,0)+MATCH($C62,EL_List,0)-1,0)
*INDEX(Learning!$E$6:$S$41,(MATCH(AD$21,Dates,0)),(MATCH($C$21,Learning!$E$4:$S$4,0)+MATCH($C$62,Learning!$E$5:$S$5,0)-1))</f>
        <v>8.0013683498003818</v>
      </c>
      <c r="AE67" s="532" cm="1">
        <f t="array" aca="1" ref="AE67" ca="1">OFFSET(AE67,-3,0)*
OFFSET(MSP!$D$1,
MATCH(OFFSET($C62,((MATCH($C62,EL_List,0)-1)*-10)-1,0),MSP!$C:$C,0)+MATCH($C62,EL_List,0)-1,0)
*INDEX(Learning!$E$6:$S$41,(MATCH(AE$21,Dates,0)),(MATCH($C$21,Learning!$E$4:$S$4,0)+MATCH($C$62,Learning!$E$5:$S$5,0)-1))</f>
        <v>8.3612688274153175</v>
      </c>
      <c r="AF67" s="532" cm="1">
        <f t="array" aca="1" ref="AF67" ca="1">OFFSET(AF67,-3,0)*
OFFSET(MSP!$D$1,
MATCH(OFFSET($C62,((MATCH($C62,EL_List,0)-1)*-10)-1,0),MSP!$C:$C,0)+MATCH($C62,EL_List,0)-1,0)
*INDEX(Learning!$E$6:$S$41,(MATCH(AF$21,Dates,0)),(MATCH($C$21,Learning!$E$4:$S$4,0)+MATCH($C$62,Learning!$E$5:$S$5,0)-1))</f>
        <v>8.7369142618360041</v>
      </c>
      <c r="AG67" s="532" cm="1">
        <f t="array" aca="1" ref="AG67" ca="1">OFFSET(AG67,-3,0)*
OFFSET(MSP!$D$1,
MATCH(OFFSET($C62,((MATCH($C62,EL_List,0)-1)*-10)-1,0),MSP!$C:$C,0)+MATCH($C62,EL_List,0)-1,0)
*INDEX(Learning!$E$6:$S$41,(MATCH(AG$21,Dates,0)),(MATCH($C$21,Learning!$E$4:$S$4,0)+MATCH($C$62,Learning!$E$5:$S$5,0)-1))</f>
        <v>9.1391020752321168</v>
      </c>
      <c r="AH67" s="532" cm="1">
        <f t="array" aca="1" ref="AH67" ca="1">OFFSET(AH67,-3,0)*
OFFSET(MSP!$D$1,
MATCH(OFFSET($C62,((MATCH($C62,EL_List,0)-1)*-10)-1,0),MSP!$C:$C,0)+MATCH($C62,EL_List,0)-1,0)
*INDEX(Learning!$E$6:$S$41,(MATCH(AH$21,Dates,0)),(MATCH($C$21,Learning!$E$4:$S$4,0)+MATCH($C$62,Learning!$E$5:$S$5,0)-1))</f>
        <v>9.5486960319821002</v>
      </c>
      <c r="AI67" s="532" cm="1">
        <f t="array" aca="1" ref="AI67" ca="1">OFFSET(AI67,-3,0)*
OFFSET(MSP!$D$1,
MATCH(OFFSET($C62,((MATCH($C62,EL_List,0)-1)*-10)-1,0),MSP!$C:$C,0)+MATCH($C62,EL_List,0)-1,0)
*INDEX(Learning!$E$6:$S$41,(MATCH(AI$21,Dates,0)),(MATCH($C$21,Learning!$E$4:$S$4,0)+MATCH($C$62,Learning!$E$5:$S$5,0)-1))</f>
        <v>9.9760821516994955</v>
      </c>
      <c r="AJ67" s="532" cm="1">
        <f t="array" aca="1" ref="AJ67" ca="1">OFFSET(AJ67,-3,0)*
OFFSET(MSP!$D$1,
MATCH(OFFSET($C62,((MATCH($C62,EL_List,0)-1)*-10)-1,0),MSP!$C:$C,0)+MATCH($C62,EL_List,0)-1,0)
*INDEX(Learning!$E$6:$S$41,(MATCH(AJ$21,Dates,0)),(MATCH($C$21,Learning!$E$4:$S$4,0)+MATCH($C$62,Learning!$E$5:$S$5,0)-1))</f>
        <v>10.433752202978974</v>
      </c>
      <c r="AK67" s="532" cm="1">
        <f t="array" aca="1" ref="AK67" ca="1">OFFSET(AK67,-3,0)*
OFFSET(MSP!$D$1,
MATCH(OFFSET($C62,((MATCH($C62,EL_List,0)-1)*-10)-1,0),MSP!$C:$C,0)+MATCH($C62,EL_List,0)-1,0)
*INDEX(Learning!$E$6:$S$41,(MATCH(AK$21,Dates,0)),(MATCH($C$21,Learning!$E$4:$S$4,0)+MATCH($C$62,Learning!$E$5:$S$5,0)-1))</f>
        <v>10.899611750958218</v>
      </c>
      <c r="AL67" s="532" cm="1">
        <f t="array" aca="1" ref="AL67" ca="1">OFFSET(AL67,-3,0)*
OFFSET(MSP!$D$1,
MATCH(OFFSET($C62,((MATCH($C62,EL_List,0)-1)*-10)-1,0),MSP!$C:$C,0)+MATCH($C62,EL_List,0)-1,0)
*INDEX(Learning!$E$6:$S$41,(MATCH(AL$21,Dates,0)),(MATCH($C$21,Learning!$E$4:$S$4,0)+MATCH($C$62,Learning!$E$5:$S$5,0)-1))</f>
        <v>11.398609212954765</v>
      </c>
      <c r="AM67" s="532" cm="1">
        <f t="array" aca="1" ref="AM67" ca="1">OFFSET(AM67,-3,0)*
OFFSET(MSP!$D$1,
MATCH(OFFSET($C62,((MATCH($C62,EL_List,0)-1)*-10)-1,0),MSP!$C:$C,0)+MATCH($C62,EL_List,0)-1,0)
*INDEX(Learning!$E$6:$S$41,(MATCH(AM$21,Dates,0)),(MATCH($C$21,Learning!$E$4:$S$4,0)+MATCH($C$62,Learning!$E$5:$S$5,0)-1))</f>
        <v>11.906413295425102</v>
      </c>
      <c r="AN67" s="532" cm="1">
        <f t="array" aca="1" ref="AN67" ca="1">OFFSET(AN67,-3,0)*
OFFSET(MSP!$D$1,
MATCH(OFFSET($C62,((MATCH($C62,EL_List,0)-1)*-10)-1,0),MSP!$C:$C,0)+MATCH($C62,EL_List,0)-1,0)
*INDEX(Learning!$E$6:$S$41,(MATCH(AN$21,Dates,0)),(MATCH($C$21,Learning!$E$4:$S$4,0)+MATCH($C$62,Learning!$E$5:$S$5,0)-1))</f>
        <v>12.445842357910927</v>
      </c>
      <c r="AO67" s="436"/>
      <c r="AP67" s="21"/>
    </row>
    <row r="68" spans="2:42" ht="15" customHeight="1" x14ac:dyDescent="0.35">
      <c r="B68" s="429"/>
      <c r="C68" s="777" t="s">
        <v>213</v>
      </c>
      <c r="D68" s="776"/>
      <c r="E68" s="533" cm="1">
        <f t="array" aca="1" ref="E68" ca="1">OFFSET(E68,-4,0)*
OFFSET(MSP!$E$1,
MATCH(OFFSET($C62,((MATCH($C62,EL_List,0)-1)*-10)-1,0),MSP!$C:$C,0)+MATCH($C62,EL_List,0)-1,0)
*INDEX(Learning!$E$6:$S$41,(MATCH(E$21,Dates,0)),(MATCH($C$21,Learning!$E$4:$S$4,0)+MATCH($C$62,Learning!$E$5:$S$5,0)-1))</f>
        <v>5.8056093518620233E-2</v>
      </c>
      <c r="F68" s="533" cm="1">
        <f t="array" aca="1" ref="F68" ca="1">OFFSET(F68,-4,0)*
OFFSET(MSP!$E$1,
MATCH(OFFSET($C62,((MATCH($C62,EL_List,0)-1)*-10)-1,0),MSP!$C:$C,0)+MATCH($C62,EL_List,0)-1,0)
*INDEX(Learning!$E$6:$S$41,(MATCH(F$21,Dates,0)),(MATCH($C$21,Learning!$E$4:$S$4,0)+MATCH($C$62,Learning!$E$5:$S$5,0)-1))</f>
        <v>6.0244041641031074E-2</v>
      </c>
      <c r="G68" s="533" cm="1">
        <f t="array" aca="1" ref="G68" ca="1">OFFSET(G68,-4,0)*
OFFSET(MSP!$E$1,
MATCH(OFFSET($C62,((MATCH($C62,EL_List,0)-1)*-10)-1,0),MSP!$C:$C,0)+MATCH($C62,EL_List,0)-1,0)
*INDEX(Learning!$E$6:$S$41,(MATCH(G$21,Dates,0)),(MATCH($C$21,Learning!$E$4:$S$4,0)+MATCH($C$62,Learning!$E$5:$S$5,0)-1))</f>
        <v>6.2130952204486507E-2</v>
      </c>
      <c r="H68" s="533" cm="1">
        <f t="array" aca="1" ref="H68" ca="1">OFFSET(H68,-4,0)*
OFFSET(MSP!$E$1,
MATCH(OFFSET($C62,((MATCH($C62,EL_List,0)-1)*-10)-1,0),MSP!$C:$C,0)+MATCH($C62,EL_List,0)-1,0)
*INDEX(Learning!$E$6:$S$41,(MATCH(H$21,Dates,0)),(MATCH($C$21,Learning!$E$4:$S$4,0)+MATCH($C$62,Learning!$E$5:$S$5,0)-1))</f>
        <v>6.4605005225043741E-2</v>
      </c>
      <c r="I68" s="533" cm="1">
        <f t="array" aca="1" ref="I68" ca="1">OFFSET(I68,-4,0)*
OFFSET(MSP!$E$1,
MATCH(OFFSET($C62,((MATCH($C62,EL_List,0)-1)*-10)-1,0),MSP!$C:$C,0)+MATCH($C62,EL_List,0)-1,0)
*INDEX(Learning!$E$6:$S$41,(MATCH(I$21,Dates,0)),(MATCH($C$21,Learning!$E$4:$S$4,0)+MATCH($C$62,Learning!$E$5:$S$5,0)-1))</f>
        <v>6.7249425829299492E-2</v>
      </c>
      <c r="J68" s="533" cm="1">
        <f t="array" aca="1" ref="J68" ca="1">OFFSET(J68,-4,0)*
OFFSET(MSP!$E$1,
MATCH(OFFSET($C62,((MATCH($C62,EL_List,0)-1)*-10)-1,0),MSP!$C:$C,0)+MATCH($C62,EL_List,0)-1,0)
*INDEX(Learning!$E$6:$S$41,(MATCH(J$21,Dates,0)),(MATCH($C$21,Learning!$E$4:$S$4,0)+MATCH($C$62,Learning!$E$5:$S$5,0)-1))</f>
        <v>7.0248157898917432E-2</v>
      </c>
      <c r="K68" s="533" cm="1">
        <f t="array" aca="1" ref="K68" ca="1">OFFSET(K68,-4,0)*
OFFSET(MSP!$E$1,
MATCH(OFFSET($C62,((MATCH($C62,EL_List,0)-1)*-10)-1,0),MSP!$C:$C,0)+MATCH($C62,EL_List,0)-1,0)
*INDEX(Learning!$E$6:$S$41,(MATCH(K$21,Dates,0)),(MATCH($C$21,Learning!$E$4:$S$4,0)+MATCH($C$62,Learning!$E$5:$S$5,0)-1))</f>
        <v>7.3492216780937605E-2</v>
      </c>
      <c r="L68" s="533" cm="1">
        <f t="array" aca="1" ref="L68" ca="1">OFFSET(L68,-4,0)*
OFFSET(MSP!$E$1,
MATCH(OFFSET($C62,((MATCH($C62,EL_List,0)-1)*-10)-1,0),MSP!$C:$C,0)+MATCH($C62,EL_List,0)-1,0)
*INDEX(Learning!$E$6:$S$41,(MATCH(L$21,Dates,0)),(MATCH($C$21,Learning!$E$4:$S$4,0)+MATCH($C$62,Learning!$E$5:$S$5,0)-1))</f>
        <v>7.6917194551144638E-2</v>
      </c>
      <c r="M68" s="533" cm="1">
        <f t="array" aca="1" ref="M68" ca="1">OFFSET(M68,-4,0)*
OFFSET(MSP!$E$1,
MATCH(OFFSET($C62,((MATCH($C62,EL_List,0)-1)*-10)-1,0),MSP!$C:$C,0)+MATCH($C62,EL_List,0)-1,0)
*INDEX(Learning!$E$6:$S$41,(MATCH(M$21,Dates,0)),(MATCH($C$21,Learning!$E$4:$S$4,0)+MATCH($C$62,Learning!$E$5:$S$5,0)-1))</f>
        <v>8.0554501637367465E-2</v>
      </c>
      <c r="N68" s="533" cm="1">
        <f t="array" aca="1" ref="N68" ca="1">OFFSET(N68,-4,0)*
OFFSET(MSP!$E$1,
MATCH(OFFSET($C62,((MATCH($C62,EL_List,0)-1)*-10)-1,0),MSP!$C:$C,0)+MATCH($C62,EL_List,0)-1,0)
*INDEX(Learning!$E$6:$S$41,(MATCH(N$21,Dates,0)),(MATCH($C$21,Learning!$E$4:$S$4,0)+MATCH($C$62,Learning!$E$5:$S$5,0)-1))</f>
        <v>8.4211779652276331E-2</v>
      </c>
      <c r="O68" s="533" cm="1">
        <f t="array" aca="1" ref="O68" ca="1">OFFSET(O68,-4,0)*
OFFSET(MSP!$E$1,
MATCH(OFFSET($C62,((MATCH($C62,EL_List,0)-1)*-10)-1,0),MSP!$C:$C,0)+MATCH($C62,EL_List,0)-1,0)
*INDEX(Learning!$E$6:$S$41,(MATCH(O$21,Dates,0)),(MATCH($C$21,Learning!$E$4:$S$4,0)+MATCH($C$62,Learning!$E$5:$S$5,0)-1))</f>
        <v>8.8051986533946122E-2</v>
      </c>
      <c r="P68" s="533" cm="1">
        <f t="array" aca="1" ref="P68" ca="1">OFFSET(P68,-4,0)*
OFFSET(MSP!$E$1,
MATCH(OFFSET($C62,((MATCH($C62,EL_List,0)-1)*-10)-1,0),MSP!$C:$C,0)+MATCH($C62,EL_List,0)-1,0)
*INDEX(Learning!$E$6:$S$41,(MATCH(P$21,Dates,0)),(MATCH($C$21,Learning!$E$4:$S$4,0)+MATCH($C$62,Learning!$E$5:$S$5,0)-1))</f>
        <v>9.2009656707242232E-2</v>
      </c>
      <c r="Q68" s="533" cm="1">
        <f t="array" aca="1" ref="Q68" ca="1">OFFSET(Q68,-4,0)*
OFFSET(MSP!$E$1,
MATCH(OFFSET($C62,((MATCH($C62,EL_List,0)-1)*-10)-1,0),MSP!$C:$C,0)+MATCH($C62,EL_List,0)-1,0)
*INDEX(Learning!$E$6:$S$41,(MATCH(Q$21,Dates,0)),(MATCH($C$21,Learning!$E$4:$S$4,0)+MATCH($C$62,Learning!$E$5:$S$5,0)-1))</f>
        <v>9.6109953106131477E-2</v>
      </c>
      <c r="R68" s="533" cm="1">
        <f t="array" aca="1" ref="R68" ca="1">OFFSET(R68,-4,0)*
OFFSET(MSP!$E$1,
MATCH(OFFSET($C62,((MATCH($C62,EL_List,0)-1)*-10)-1,0),MSP!$C:$C,0)+MATCH($C62,EL_List,0)-1,0)
*INDEX(Learning!$E$6:$S$41,(MATCH(R$21,Dates,0)),(MATCH($C$21,Learning!$E$4:$S$4,0)+MATCH($C$62,Learning!$E$5:$S$5,0)-1))</f>
        <v>0.10038206883054267</v>
      </c>
      <c r="S68" s="533" cm="1">
        <f t="array" aca="1" ref="S68" ca="1">OFFSET(S68,-4,0)*
OFFSET(MSP!$E$1,
MATCH(OFFSET($C62,((MATCH($C62,EL_List,0)-1)*-10)-1,0),MSP!$C:$C,0)+MATCH($C62,EL_List,0)-1,0)
*INDEX(Learning!$E$6:$S$41,(MATCH(S$21,Dates,0)),(MATCH($C$21,Learning!$E$4:$S$4,0)+MATCH($C$62,Learning!$E$5:$S$5,0)-1))</f>
        <v>0.10484943343945897</v>
      </c>
      <c r="T68" s="533" cm="1">
        <f t="array" aca="1" ref="T68" ca="1">OFFSET(T68,-4,0)*
OFFSET(MSP!$E$1,
MATCH(OFFSET($C62,((MATCH($C62,EL_List,0)-1)*-10)-1,0),MSP!$C:$C,0)+MATCH($C62,EL_List,0)-1,0)
*INDEX(Learning!$E$6:$S$41,(MATCH(T$21,Dates,0)),(MATCH($C$21,Learning!$E$4:$S$4,0)+MATCH($C$62,Learning!$E$5:$S$5,0)-1))</f>
        <v>0.10952510873238881</v>
      </c>
      <c r="U68" s="533" cm="1">
        <f t="array" aca="1" ref="U68" ca="1">OFFSET(U68,-4,0)*
OFFSET(MSP!$E$1,
MATCH(OFFSET($C62,((MATCH($C62,EL_List,0)-1)*-10)-1,0),MSP!$C:$C,0)+MATCH($C62,EL_List,0)-1,0)
*INDEX(Learning!$E$6:$S$41,(MATCH(U$21,Dates,0)),(MATCH($C$21,Learning!$E$4:$S$4,0)+MATCH($C$62,Learning!$E$5:$S$5,0)-1))</f>
        <v>0.11454437431452043</v>
      </c>
      <c r="V68" s="533" cm="1">
        <f t="array" aca="1" ref="V68" ca="1">OFFSET(V68,-4,0)*
OFFSET(MSP!$E$1,
MATCH(OFFSET($C62,((MATCH($C62,EL_List,0)-1)*-10)-1,0),MSP!$C:$C,0)+MATCH($C62,EL_List,0)-1,0)
*INDEX(Learning!$E$6:$S$41,(MATCH(V$21,Dates,0)),(MATCH($C$21,Learning!$E$4:$S$4,0)+MATCH($C$62,Learning!$E$5:$S$5,0)-1))</f>
        <v>0.1196565806338501</v>
      </c>
      <c r="W68" s="533" cm="1">
        <f t="array" aca="1" ref="W68" ca="1">OFFSET(W68,-4,0)*
OFFSET(MSP!$E$1,
MATCH(OFFSET($C62,((MATCH($C62,EL_List,0)-1)*-10)-1,0),MSP!$C:$C,0)+MATCH($C62,EL_List,0)-1,0)
*INDEX(Learning!$E$6:$S$41,(MATCH(W$21,Dates,0)),(MATCH($C$21,Learning!$E$4:$S$4,0)+MATCH($C$62,Learning!$E$5:$S$5,0)-1))</f>
        <v>0.12512282058331559</v>
      </c>
      <c r="X68" s="533" cm="1">
        <f t="array" aca="1" ref="X68" ca="1">OFFSET(X68,-4,0)*
OFFSET(MSP!$E$1,
MATCH(OFFSET($C62,((MATCH($C62,EL_List,0)-1)*-10)-1,0),MSP!$C:$C,0)+MATCH($C62,EL_List,0)-1,0)
*INDEX(Learning!$E$6:$S$41,(MATCH(X$21,Dates,0)),(MATCH($C$21,Learning!$E$4:$S$4,0)+MATCH($C$62,Learning!$E$5:$S$5,0)-1))</f>
        <v>0.13082597821290523</v>
      </c>
      <c r="Y68" s="533" cm="1">
        <f t="array" aca="1" ref="Y68" ca="1">OFFSET(Y68,-4,0)*
OFFSET(MSP!$E$1,
MATCH(OFFSET($C62,((MATCH($C62,EL_List,0)-1)*-10)-1,0),MSP!$C:$C,0)+MATCH($C62,EL_List,0)-1,0)
*INDEX(Learning!$E$6:$S$41,(MATCH(Y$21,Dates,0)),(MATCH($C$21,Learning!$E$4:$S$4,0)+MATCH($C$62,Learning!$E$5:$S$5,0)-1))</f>
        <v>0.13662618824201631</v>
      </c>
      <c r="Z68" s="533" cm="1">
        <f t="array" aca="1" ref="Z68" ca="1">OFFSET(Z68,-4,0)*
OFFSET(MSP!$E$1,
MATCH(OFFSET($C62,((MATCH($C62,EL_List,0)-1)*-10)-1,0),MSP!$C:$C,0)+MATCH($C62,EL_List,0)-1,0)
*INDEX(Learning!$E$6:$S$41,(MATCH(Z$21,Dates,0)),(MATCH($C$21,Learning!$E$4:$S$4,0)+MATCH($C$62,Learning!$E$5:$S$5,0)-1))</f>
        <v>0.14281993322127556</v>
      </c>
      <c r="AA68" s="533" cm="1">
        <f t="array" aca="1" ref="AA68" ca="1">OFFSET(AA68,-4,0)*
OFFSET(MSP!$E$1,
MATCH(OFFSET($C62,((MATCH($C62,EL_List,0)-1)*-10)-1,0),MSP!$C:$C,0)+MATCH($C62,EL_List,0)-1,0)
*INDEX(Learning!$E$6:$S$41,(MATCH(AA$21,Dates,0)),(MATCH($C$21,Learning!$E$4:$S$4,0)+MATCH($C$62,Learning!$E$5:$S$5,0)-1))</f>
        <v>0.14927963193896393</v>
      </c>
      <c r="AB68" s="533" cm="1">
        <f t="array" aca="1" ref="AB68" ca="1">OFFSET(AB68,-4,0)*
OFFSET(MSP!$E$1,
MATCH(OFFSET($C62,((MATCH($C62,EL_List,0)-1)*-10)-1,0),MSP!$C:$C,0)+MATCH($C62,EL_List,0)-1,0)
*INDEX(Learning!$E$6:$S$41,(MATCH(AB$21,Dates,0)),(MATCH($C$21,Learning!$E$4:$S$4,0)+MATCH($C$62,Learning!$E$5:$S$5,0)-1))</f>
        <v>0.15601955386777577</v>
      </c>
      <c r="AC68" s="533" cm="1">
        <f t="array" aca="1" ref="AC68" ca="1">OFFSET(AC68,-4,0)*
OFFSET(MSP!$E$1,
MATCH(OFFSET($C62,((MATCH($C62,EL_List,0)-1)*-10)-1,0),MSP!$C:$C,0)+MATCH($C62,EL_List,0)-1,0)
*INDEX(Learning!$E$6:$S$41,(MATCH(AC$21,Dates,0)),(MATCH($C$21,Learning!$E$4:$S$4,0)+MATCH($C$62,Learning!$E$5:$S$5,0)-1))</f>
        <v>0.16305383281722066</v>
      </c>
      <c r="AD68" s="533" cm="1">
        <f t="array" aca="1" ref="AD68" ca="1">OFFSET(AD68,-4,0)*
OFFSET(MSP!$E$1,
MATCH(OFFSET($C62,((MATCH($C62,EL_List,0)-1)*-10)-1,0),MSP!$C:$C,0)+MATCH($C62,EL_List,0)-1,0)
*INDEX(Learning!$E$6:$S$41,(MATCH(AD$21,Dates,0)),(MATCH($C$21,Learning!$E$4:$S$4,0)+MATCH($C$62,Learning!$E$5:$S$5,0)-1))</f>
        <v>0.17039638090212036</v>
      </c>
      <c r="AE68" s="533" cm="1">
        <f t="array" aca="1" ref="AE68" ca="1">OFFSET(AE68,-4,0)*
OFFSET(MSP!$E$1,
MATCH(OFFSET($C62,((MATCH($C62,EL_List,0)-1)*-10)-1,0),MSP!$C:$C,0)+MATCH($C62,EL_List,0)-1,0)
*INDEX(Learning!$E$6:$S$41,(MATCH(AE$21,Dates,0)),(MATCH($C$21,Learning!$E$4:$S$4,0)+MATCH($C$62,Learning!$E$5:$S$5,0)-1))</f>
        <v>0.17806078731231392</v>
      </c>
      <c r="AF68" s="533" cm="1">
        <f t="array" aca="1" ref="AF68" ca="1">OFFSET(AF68,-4,0)*
OFFSET(MSP!$E$1,
MATCH(OFFSET($C62,((MATCH($C62,EL_List,0)-1)*-10)-1,0),MSP!$C:$C,0)+MATCH($C62,EL_List,0)-1,0)
*INDEX(Learning!$E$6:$S$41,(MATCH(AF$21,Dates,0)),(MATCH($C$21,Learning!$E$4:$S$4,0)+MATCH($C$62,Learning!$E$5:$S$5,0)-1))</f>
        <v>0.18606049682816025</v>
      </c>
      <c r="AG68" s="533" cm="1">
        <f t="array" aca="1" ref="AG68" ca="1">OFFSET(AG68,-4,0)*
OFFSET(MSP!$E$1,
MATCH(OFFSET($C62,((MATCH($C62,EL_List,0)-1)*-10)-1,0),MSP!$C:$C,0)+MATCH($C62,EL_List,0)-1,0)
*INDEX(Learning!$E$6:$S$41,(MATCH(AG$21,Dates,0)),(MATCH($C$21,Learning!$E$4:$S$4,0)+MATCH($C$62,Learning!$E$5:$S$5,0)-1))</f>
        <v>0.19462545032731327</v>
      </c>
      <c r="AH68" s="533" cm="1">
        <f t="array" aca="1" ref="AH68" ca="1">OFFSET(AH68,-4,0)*
OFFSET(MSP!$E$1,
MATCH(OFFSET($C62,((MATCH($C62,EL_List,0)-1)*-10)-1,0),MSP!$C:$C,0)+MATCH($C62,EL_List,0)-1,0)
*INDEX(Learning!$E$6:$S$41,(MATCH(AH$21,Dates,0)),(MATCH($C$21,Learning!$E$4:$S$4,0)+MATCH($C$62,Learning!$E$5:$S$5,0)-1))</f>
        <v>0.20334812435235269</v>
      </c>
      <c r="AI68" s="533" cm="1">
        <f t="array" aca="1" ref="AI68" ca="1">OFFSET(AI68,-4,0)*
OFFSET(MSP!$E$1,
MATCH(OFFSET($C62,((MATCH($C62,EL_List,0)-1)*-10)-1,0),MSP!$C:$C,0)+MATCH($C62,EL_List,0)-1,0)
*INDEX(Learning!$E$6:$S$41,(MATCH(AI$21,Dates,0)),(MATCH($C$21,Learning!$E$4:$S$4,0)+MATCH($C$62,Learning!$E$5:$S$5,0)-1))</f>
        <v>0.21244969859114668</v>
      </c>
      <c r="AJ68" s="533" cm="1">
        <f t="array" aca="1" ref="AJ68" ca="1">OFFSET(AJ68,-4,0)*
OFFSET(MSP!$E$1,
MATCH(OFFSET($C62,((MATCH($C62,EL_List,0)-1)*-10)-1,0),MSP!$C:$C,0)+MATCH($C62,EL_List,0)-1,0)
*INDEX(Learning!$E$6:$S$41,(MATCH(AJ$21,Dates,0)),(MATCH($C$21,Learning!$E$4:$S$4,0)+MATCH($C$62,Learning!$E$5:$S$5,0)-1))</f>
        <v>0.22219619656199144</v>
      </c>
      <c r="AK68" s="533" cm="1">
        <f t="array" aca="1" ref="AK68" ca="1">OFFSET(AK68,-4,0)*
OFFSET(MSP!$E$1,
MATCH(OFFSET($C62,((MATCH($C62,EL_List,0)-1)*-10)-1,0),MSP!$C:$C,0)+MATCH($C62,EL_List,0)-1,0)
*INDEX(Learning!$E$6:$S$41,(MATCH(AK$21,Dates,0)),(MATCH($C$21,Learning!$E$4:$S$4,0)+MATCH($C$62,Learning!$E$5:$S$5,0)-1))</f>
        <v>0.23211709727722241</v>
      </c>
      <c r="AL68" s="533" cm="1">
        <f t="array" aca="1" ref="AL68" ca="1">OFFSET(AL68,-4,0)*
OFFSET(MSP!$E$1,
MATCH(OFFSET($C62,((MATCH($C62,EL_List,0)-1)*-10)-1,0),MSP!$C:$C,0)+MATCH($C62,EL_List,0)-1,0)
*INDEX(Learning!$E$6:$S$41,(MATCH(AL$21,Dates,0)),(MATCH($C$21,Learning!$E$4:$S$4,0)+MATCH($C$62,Learning!$E$5:$S$5,0)-1))</f>
        <v>0.24274369986397576</v>
      </c>
      <c r="AM68" s="533" cm="1">
        <f t="array" aca="1" ref="AM68" ca="1">OFFSET(AM68,-4,0)*
OFFSET(MSP!$E$1,
MATCH(OFFSET($C62,((MATCH($C62,EL_List,0)-1)*-10)-1,0),MSP!$C:$C,0)+MATCH($C62,EL_List,0)-1,0)
*INDEX(Learning!$E$6:$S$41,(MATCH(AM$21,Dates,0)),(MATCH($C$21,Learning!$E$4:$S$4,0)+MATCH($C$62,Learning!$E$5:$S$5,0)-1))</f>
        <v>0.25355784740443066</v>
      </c>
      <c r="AN68" s="533" cm="1">
        <f t="array" aca="1" ref="AN68" ca="1">OFFSET(AN68,-4,0)*
OFFSET(MSP!$E$1,
MATCH(OFFSET($C62,((MATCH($C62,EL_List,0)-1)*-10)-1,0),MSP!$C:$C,0)+MATCH($C62,EL_List,0)-1,0)
*INDEX(Learning!$E$6:$S$41,(MATCH(AN$21,Dates,0)),(MATCH($C$21,Learning!$E$4:$S$4,0)+MATCH($C$62,Learning!$E$5:$S$5,0)-1))</f>
        <v>0.26504547751751012</v>
      </c>
      <c r="AO68" s="436"/>
      <c r="AP68" s="21"/>
    </row>
    <row r="69" spans="2:42" ht="15" customHeight="1" x14ac:dyDescent="0.35">
      <c r="B69" s="429"/>
      <c r="C69" s="777" t="s">
        <v>214</v>
      </c>
      <c r="D69" s="776"/>
      <c r="E69" s="533" cm="1">
        <f t="array" aca="1" ref="E69" ca="1">OFFSET(E69,-5,0)*
OFFSET(MSP!$F$1,
MATCH(OFFSET($C62,((MATCH($C62,EL_List,0)-1)*-10)-1,0),MSP!$C:$C,0)+MATCH($C62,EL_List,0)-1,0)
*INDEX(Learning!$E$6:$S$41,(MATCH(E$21,Dates,0)),(MATCH($C$21,Learning!$E$4:$S$4,0)+MATCH($C$62,Learning!$E$5:$S$5,0)-1))</f>
        <v>0.1519503801465403</v>
      </c>
      <c r="F69" s="533" cm="1">
        <f t="array" aca="1" ref="F69" ca="1">OFFSET(F69,-5,0)*
OFFSET(MSP!$F$1,
MATCH(OFFSET($C62,((MATCH($C62,EL_List,0)-1)*-10)-1,0),MSP!$C:$C,0)+MATCH($C62,EL_List,0)-1,0)
*INDEX(Learning!$E$6:$S$41,(MATCH(F$21,Dates,0)),(MATCH($C$21,Learning!$E$4:$S$4,0)+MATCH($C$62,Learning!$E$5:$S$5,0)-1))</f>
        <v>0.15767690304520224</v>
      </c>
      <c r="G69" s="533" cm="1">
        <f t="array" aca="1" ref="G69" ca="1">OFFSET(G69,-5,0)*
OFFSET(MSP!$F$1,
MATCH(OFFSET($C62,((MATCH($C62,EL_List,0)-1)*-10)-1,0),MSP!$C:$C,0)+MATCH($C62,EL_List,0)-1,0)
*INDEX(Learning!$E$6:$S$41,(MATCH(G$21,Dates,0)),(MATCH($C$21,Learning!$E$4:$S$4,0)+MATCH($C$62,Learning!$E$5:$S$5,0)-1))</f>
        <v>0.16261551947704356</v>
      </c>
      <c r="H69" s="533" cm="1">
        <f t="array" aca="1" ref="H69" ca="1">OFFSET(H69,-5,0)*
OFFSET(MSP!$F$1,
MATCH(OFFSET($C62,((MATCH($C62,EL_List,0)-1)*-10)-1,0),MSP!$C:$C,0)+MATCH($C62,EL_List,0)-1,0)
*INDEX(Learning!$E$6:$S$41,(MATCH(H$21,Dates,0)),(MATCH($C$21,Learning!$E$4:$S$4,0)+MATCH($C$62,Learning!$E$5:$S$5,0)-1))</f>
        <v>0.16909086554654434</v>
      </c>
      <c r="I69" s="533" cm="1">
        <f t="array" aca="1" ref="I69" ca="1">OFFSET(I69,-5,0)*
OFFSET(MSP!$F$1,
MATCH(OFFSET($C62,((MATCH($C62,EL_List,0)-1)*-10)-1,0),MSP!$C:$C,0)+MATCH($C62,EL_List,0)-1,0)
*INDEX(Learning!$E$6:$S$41,(MATCH(I$21,Dates,0)),(MATCH($C$21,Learning!$E$4:$S$4,0)+MATCH($C$62,Learning!$E$5:$S$5,0)-1))</f>
        <v>0.17601211518169471</v>
      </c>
      <c r="J69" s="533" cm="1">
        <f t="array" aca="1" ref="J69" ca="1">OFFSET(J69,-5,0)*
OFFSET(MSP!$F$1,
MATCH(OFFSET($C62,((MATCH($C62,EL_List,0)-1)*-10)-1,0),MSP!$C:$C,0)+MATCH($C62,EL_List,0)-1,0)
*INDEX(Learning!$E$6:$S$41,(MATCH(J$21,Dates,0)),(MATCH($C$21,Learning!$E$4:$S$4,0)+MATCH($C$62,Learning!$E$5:$S$5,0)-1))</f>
        <v>0.18386070523176284</v>
      </c>
      <c r="K69" s="533" cm="1">
        <f t="array" aca="1" ref="K69" ca="1">OFFSET(K69,-5,0)*
OFFSET(MSP!$F$1,
MATCH(OFFSET($C62,((MATCH($C62,EL_List,0)-1)*-10)-1,0),MSP!$C:$C,0)+MATCH($C62,EL_List,0)-1,0)
*INDEX(Learning!$E$6:$S$41,(MATCH(K$21,Dates,0)),(MATCH($C$21,Learning!$E$4:$S$4,0)+MATCH($C$62,Learning!$E$5:$S$5,0)-1))</f>
        <v>0.19235138985184716</v>
      </c>
      <c r="L69" s="533" cm="1">
        <f t="array" aca="1" ref="L69" ca="1">OFFSET(L69,-5,0)*
OFFSET(MSP!$F$1,
MATCH(OFFSET($C62,((MATCH($C62,EL_List,0)-1)*-10)-1,0),MSP!$C:$C,0)+MATCH($C62,EL_List,0)-1,0)
*INDEX(Learning!$E$6:$S$41,(MATCH(L$21,Dates,0)),(MATCH($C$21,Learning!$E$4:$S$4,0)+MATCH($C$62,Learning!$E$5:$S$5,0)-1))</f>
        <v>0.20131559399709326</v>
      </c>
      <c r="M69" s="533" cm="1">
        <f t="array" aca="1" ref="M69" ca="1">OFFSET(M69,-5,0)*
OFFSET(MSP!$F$1,
MATCH(OFFSET($C62,((MATCH($C62,EL_List,0)-1)*-10)-1,0),MSP!$C:$C,0)+MATCH($C62,EL_List,0)-1,0)
*INDEX(Learning!$E$6:$S$41,(MATCH(M$21,Dates,0)),(MATCH($C$21,Learning!$E$4:$S$4,0)+MATCH($C$62,Learning!$E$5:$S$5,0)-1))</f>
        <v>0.2108355282703836</v>
      </c>
      <c r="N69" s="533" cm="1">
        <f t="array" aca="1" ref="N69" ca="1">OFFSET(N69,-5,0)*
OFFSET(MSP!$F$1,
MATCH(OFFSET($C62,((MATCH($C62,EL_List,0)-1)*-10)-1,0),MSP!$C:$C,0)+MATCH($C62,EL_List,0)-1,0)
*INDEX(Learning!$E$6:$S$41,(MATCH(N$21,Dates,0)),(MATCH($C$21,Learning!$E$4:$S$4,0)+MATCH($C$62,Learning!$E$5:$S$5,0)-1))</f>
        <v>0.22040773251262644</v>
      </c>
      <c r="O69" s="533" cm="1">
        <f t="array" aca="1" ref="O69" ca="1">OFFSET(O69,-5,0)*
OFFSET(MSP!$F$1,
MATCH(OFFSET($C62,((MATCH($C62,EL_List,0)-1)*-10)-1,0),MSP!$C:$C,0)+MATCH($C62,EL_List,0)-1,0)
*INDEX(Learning!$E$6:$S$41,(MATCH(O$21,Dates,0)),(MATCH($C$21,Learning!$E$4:$S$4,0)+MATCH($C$62,Learning!$E$5:$S$5,0)-1))</f>
        <v>0.23045871700272025</v>
      </c>
      <c r="P69" s="533" cm="1">
        <f t="array" aca="1" ref="P69" ca="1">OFFSET(P69,-5,0)*
OFFSET(MSP!$F$1,
MATCH(OFFSET($C62,((MATCH($C62,EL_List,0)-1)*-10)-1,0),MSP!$C:$C,0)+MATCH($C62,EL_List,0)-1,0)
*INDEX(Learning!$E$6:$S$41,(MATCH(P$21,Dates,0)),(MATCH($C$21,Learning!$E$4:$S$4,0)+MATCH($C$62,Learning!$E$5:$S$5,0)-1))</f>
        <v>0.24081713850302477</v>
      </c>
      <c r="Q69" s="533" cm="1">
        <f t="array" aca="1" ref="Q69" ca="1">OFFSET(Q69,-5,0)*
OFFSET(MSP!$F$1,
MATCH(OFFSET($C62,((MATCH($C62,EL_List,0)-1)*-10)-1,0),MSP!$C:$C,0)+MATCH($C62,EL_List,0)-1,0)
*INDEX(Learning!$E$6:$S$41,(MATCH(Q$21,Dates,0)),(MATCH($C$21,Learning!$E$4:$S$4,0)+MATCH($C$62,Learning!$E$5:$S$5,0)-1))</f>
        <v>0.25154885603281146</v>
      </c>
      <c r="R69" s="533" cm="1">
        <f t="array" aca="1" ref="R69" ca="1">OFFSET(R69,-5,0)*
OFFSET(MSP!$F$1,
MATCH(OFFSET($C62,((MATCH($C62,EL_List,0)-1)*-10)-1,0),MSP!$C:$C,0)+MATCH($C62,EL_List,0)-1,0)
*INDEX(Learning!$E$6:$S$41,(MATCH(R$21,Dates,0)),(MATCH($C$21,Learning!$E$4:$S$4,0)+MATCH($C$62,Learning!$E$5:$S$5,0)-1))</f>
        <v>0.26273027677628769</v>
      </c>
      <c r="S69" s="533" cm="1">
        <f t="array" aca="1" ref="S69" ca="1">OFFSET(S69,-5,0)*
OFFSET(MSP!$F$1,
MATCH(OFFSET($C62,((MATCH($C62,EL_List,0)-1)*-10)-1,0),MSP!$C:$C,0)+MATCH($C62,EL_List,0)-1,0)
*INDEX(Learning!$E$6:$S$41,(MATCH(S$21,Dates,0)),(MATCH($C$21,Learning!$E$4:$S$4,0)+MATCH($C$62,Learning!$E$5:$S$5,0)-1))</f>
        <v>0.27442272298540638</v>
      </c>
      <c r="T69" s="533" cm="1">
        <f t="array" aca="1" ref="T69" ca="1">OFFSET(T69,-5,0)*
OFFSET(MSP!$F$1,
MATCH(OFFSET($C62,((MATCH($C62,EL_List,0)-1)*-10)-1,0),MSP!$C:$C,0)+MATCH($C62,EL_List,0)-1,0)
*INDEX(Learning!$E$6:$S$41,(MATCH(T$21,Dates,0)),(MATCH($C$21,Learning!$E$4:$S$4,0)+MATCH($C$62,Learning!$E$5:$S$5,0)-1))</f>
        <v>0.2866603813454992</v>
      </c>
      <c r="U69" s="533" cm="1">
        <f t="array" aca="1" ref="U69" ca="1">OFFSET(U69,-5,0)*
OFFSET(MSP!$F$1,
MATCH(OFFSET($C62,((MATCH($C62,EL_List,0)-1)*-10)-1,0),MSP!$C:$C,0)+MATCH($C62,EL_List,0)-1,0)
*INDEX(Learning!$E$6:$S$41,(MATCH(U$21,Dates,0)),(MATCH($C$21,Learning!$E$4:$S$4,0)+MATCH($C$62,Learning!$E$5:$S$5,0)-1))</f>
        <v>0.29979731955538291</v>
      </c>
      <c r="V69" s="533" cm="1">
        <f t="array" aca="1" ref="V69" ca="1">OFFSET(V69,-5,0)*
OFFSET(MSP!$F$1,
MATCH(OFFSET($C62,((MATCH($C62,EL_List,0)-1)*-10)-1,0),MSP!$C:$C,0)+MATCH($C62,EL_List,0)-1,0)
*INDEX(Learning!$E$6:$S$41,(MATCH(V$21,Dates,0)),(MATCH($C$21,Learning!$E$4:$S$4,0)+MATCH($C$62,Learning!$E$5:$S$5,0)-1))</f>
        <v>0.3131775118234098</v>
      </c>
      <c r="W69" s="533" cm="1">
        <f t="array" aca="1" ref="W69" ca="1">OFFSET(W69,-5,0)*
OFFSET(MSP!$F$1,
MATCH(OFFSET($C62,((MATCH($C62,EL_List,0)-1)*-10)-1,0),MSP!$C:$C,0)+MATCH($C62,EL_List,0)-1,0)
*INDEX(Learning!$E$6:$S$41,(MATCH(W$21,Dates,0)),(MATCH($C$21,Learning!$E$4:$S$4,0)+MATCH($C$62,Learning!$E$5:$S$5,0)-1))</f>
        <v>0.32748431732741934</v>
      </c>
      <c r="X69" s="533" cm="1">
        <f t="array" aca="1" ref="X69" ca="1">OFFSET(X69,-5,0)*
OFFSET(MSP!$F$1,
MATCH(OFFSET($C62,((MATCH($C62,EL_List,0)-1)*-10)-1,0),MSP!$C:$C,0)+MATCH($C62,EL_List,0)-1,0)
*INDEX(Learning!$E$6:$S$41,(MATCH(X$21,Dates,0)),(MATCH($C$21,Learning!$E$4:$S$4,0)+MATCH($C$62,Learning!$E$5:$S$5,0)-1))</f>
        <v>0.34241120815540538</v>
      </c>
      <c r="Y69" s="533" cm="1">
        <f t="array" aca="1" ref="Y69" ca="1">OFFSET(Y69,-5,0)*
OFFSET(MSP!$F$1,
MATCH(OFFSET($C62,((MATCH($C62,EL_List,0)-1)*-10)-1,0),MSP!$C:$C,0)+MATCH($C62,EL_List,0)-1,0)
*INDEX(Learning!$E$6:$S$41,(MATCH(Y$21,Dates,0)),(MATCH($C$21,Learning!$E$4:$S$4,0)+MATCH($C$62,Learning!$E$5:$S$5,0)-1))</f>
        <v>0.35759211450713108</v>
      </c>
      <c r="Z69" s="533" cm="1">
        <f t="array" aca="1" ref="Z69" ca="1">OFFSET(Z69,-5,0)*
OFFSET(MSP!$F$1,
MATCH(OFFSET($C62,((MATCH($C62,EL_List,0)-1)*-10)-1,0),MSP!$C:$C,0)+MATCH($C62,EL_List,0)-1,0)
*INDEX(Learning!$E$6:$S$41,(MATCH(Z$21,Dates,0)),(MATCH($C$21,Learning!$E$4:$S$4,0)+MATCH($C$62,Learning!$E$5:$S$5,0)-1))</f>
        <v>0.37380302101304869</v>
      </c>
      <c r="AA69" s="533" cm="1">
        <f t="array" aca="1" ref="AA69" ca="1">OFFSET(AA69,-5,0)*
OFFSET(MSP!$F$1,
MATCH(OFFSET($C62,((MATCH($C62,EL_List,0)-1)*-10)-1,0),MSP!$C:$C,0)+MATCH($C62,EL_List,0)-1,0)
*INDEX(Learning!$E$6:$S$41,(MATCH(AA$21,Dates,0)),(MATCH($C$21,Learning!$E$4:$S$4,0)+MATCH($C$62,Learning!$E$5:$S$5,0)-1))</f>
        <v>0.3907100090016577</v>
      </c>
      <c r="AB69" s="533" cm="1">
        <f t="array" aca="1" ref="AB69" ca="1">OFFSET(AB69,-5,0)*
OFFSET(MSP!$F$1,
MATCH(OFFSET($C62,((MATCH($C62,EL_List,0)-1)*-10)-1,0),MSP!$C:$C,0)+MATCH($C62,EL_List,0)-1,0)
*INDEX(Learning!$E$6:$S$41,(MATCH(AB$21,Dates,0)),(MATCH($C$21,Learning!$E$4:$S$4,0)+MATCH($C$62,Learning!$E$5:$S$5,0)-1))</f>
        <v>0.40835042600478394</v>
      </c>
      <c r="AC69" s="533" cm="1">
        <f t="array" aca="1" ref="AC69" ca="1">OFFSET(AC69,-5,0)*
OFFSET(MSP!$F$1,
MATCH(OFFSET($C62,((MATCH($C62,EL_List,0)-1)*-10)-1,0),MSP!$C:$C,0)+MATCH($C62,EL_List,0)-1,0)
*INDEX(Learning!$E$6:$S$41,(MATCH(AC$21,Dates,0)),(MATCH($C$21,Learning!$E$4:$S$4,0)+MATCH($C$62,Learning!$E$5:$S$5,0)-1))</f>
        <v>0.42676126448261142</v>
      </c>
      <c r="AD69" s="533" cm="1">
        <f t="array" aca="1" ref="AD69" ca="1">OFFSET(AD69,-5,0)*
OFFSET(MSP!$F$1,
MATCH(OFFSET($C62,((MATCH($C62,EL_List,0)-1)*-10)-1,0),MSP!$C:$C,0)+MATCH($C62,EL_List,0)-1,0)
*INDEX(Learning!$E$6:$S$41,(MATCH(AD$21,Dates,0)),(MATCH($C$21,Learning!$E$4:$S$4,0)+MATCH($C$62,Learning!$E$5:$S$5,0)-1))</f>
        <v>0.44597893665318078</v>
      </c>
      <c r="AE69" s="533" cm="1">
        <f t="array" aca="1" ref="AE69" ca="1">OFFSET(AE69,-5,0)*
OFFSET(MSP!$F$1,
MATCH(OFFSET($C62,((MATCH($C62,EL_List,0)-1)*-10)-1,0),MSP!$C:$C,0)+MATCH($C62,EL_List,0)-1,0)
*INDEX(Learning!$E$6:$S$41,(MATCH(AE$21,Dates,0)),(MATCH($C$21,Learning!$E$4:$S$4,0)+MATCH($C$62,Learning!$E$5:$S$5,0)-1))</f>
        <v>0.46603900954204924</v>
      </c>
      <c r="AF69" s="533" cm="1">
        <f t="array" aca="1" ref="AF69" ca="1">OFFSET(AF69,-5,0)*
OFFSET(MSP!$F$1,
MATCH(OFFSET($C62,((MATCH($C62,EL_List,0)-1)*-10)-1,0),MSP!$C:$C,0)+MATCH($C62,EL_List,0)-1,0)
*INDEX(Learning!$E$6:$S$41,(MATCH(AF$21,Dates,0)),(MATCH($C$21,Learning!$E$4:$S$4,0)+MATCH($C$62,Learning!$E$5:$S$5,0)-1))</f>
        <v>0.48697667221142754</v>
      </c>
      <c r="AG69" s="533" cm="1">
        <f t="array" aca="1" ref="AG69" ca="1">OFFSET(AG69,-5,0)*
OFFSET(MSP!$F$1,
MATCH(OFFSET($C62,((MATCH($C62,EL_List,0)-1)*-10)-1,0),MSP!$C:$C,0)+MATCH($C62,EL_List,0)-1,0)
*INDEX(Learning!$E$6:$S$41,(MATCH(AG$21,Dates,0)),(MATCH($C$21,Learning!$E$4:$S$4,0)+MATCH($C$62,Learning!$E$5:$S$5,0)-1))</f>
        <v>0.50939374958016792</v>
      </c>
      <c r="AH69" s="533" cm="1">
        <f t="array" aca="1" ref="AH69" ca="1">OFFSET(AH69,-5,0)*
OFFSET(MSP!$F$1,
MATCH(OFFSET($C62,((MATCH($C62,EL_List,0)-1)*-10)-1,0),MSP!$C:$C,0)+MATCH($C62,EL_List,0)-1,0)
*INDEX(Learning!$E$6:$S$41,(MATCH(AH$21,Dates,0)),(MATCH($C$21,Learning!$E$4:$S$4,0)+MATCH($C$62,Learning!$E$5:$S$5,0)-1))</f>
        <v>0.53222362933385825</v>
      </c>
      <c r="AI69" s="533" cm="1">
        <f t="array" aca="1" ref="AI69" ca="1">OFFSET(AI69,-5,0)*
OFFSET(MSP!$F$1,
MATCH(OFFSET($C62,((MATCH($C62,EL_List,0)-1)*-10)-1,0),MSP!$C:$C,0)+MATCH($C62,EL_List,0)-1,0)
*INDEX(Learning!$E$6:$S$41,(MATCH(AI$21,Dates,0)),(MATCH($C$21,Learning!$E$4:$S$4,0)+MATCH($C$62,Learning!$E$5:$S$5,0)-1))</f>
        <v>0.55604520570418603</v>
      </c>
      <c r="AJ69" s="533" cm="1">
        <f t="array" aca="1" ref="AJ69" ca="1">OFFSET(AJ69,-5,0)*
OFFSET(MSP!$F$1,
MATCH(OFFSET($C62,((MATCH($C62,EL_List,0)-1)*-10)-1,0),MSP!$C:$C,0)+MATCH($C62,EL_List,0)-1,0)
*INDEX(Learning!$E$6:$S$41,(MATCH(AJ$21,Dates,0)),(MATCH($C$21,Learning!$E$4:$S$4,0)+MATCH($C$62,Learning!$E$5:$S$5,0)-1))</f>
        <v>0.58155474280888897</v>
      </c>
      <c r="AK69" s="533" cm="1">
        <f t="array" aca="1" ref="AK69" ca="1">OFFSET(AK69,-5,0)*
OFFSET(MSP!$F$1,
MATCH(OFFSET($C62,((MATCH($C62,EL_List,0)-1)*-10)-1,0),MSP!$C:$C,0)+MATCH($C62,EL_List,0)-1,0)
*INDEX(Learning!$E$6:$S$41,(MATCH(AK$21,Dates,0)),(MATCH($C$21,Learning!$E$4:$S$4,0)+MATCH($C$62,Learning!$E$5:$S$5,0)-1))</f>
        <v>0.60752074471688744</v>
      </c>
      <c r="AL69" s="533" cm="1">
        <f t="array" aca="1" ref="AL69" ca="1">OFFSET(AL69,-5,0)*
OFFSET(MSP!$F$1,
MATCH(OFFSET($C62,((MATCH($C62,EL_List,0)-1)*-10)-1,0),MSP!$C:$C,0)+MATCH($C62,EL_List,0)-1,0)
*INDEX(Learning!$E$6:$S$41,(MATCH(AL$21,Dates,0)),(MATCH($C$21,Learning!$E$4:$S$4,0)+MATCH($C$62,Learning!$E$5:$S$5,0)-1))</f>
        <v>0.63533378215809055</v>
      </c>
      <c r="AM69" s="533" cm="1">
        <f t="array" aca="1" ref="AM69" ca="1">OFFSET(AM69,-5,0)*
OFFSET(MSP!$F$1,
MATCH(OFFSET($C62,((MATCH($C62,EL_List,0)-1)*-10)-1,0),MSP!$C:$C,0)+MATCH($C62,EL_List,0)-1,0)
*INDEX(Learning!$E$6:$S$41,(MATCH(AM$21,Dates,0)),(MATCH($C$21,Learning!$E$4:$S$4,0)+MATCH($C$62,Learning!$E$5:$S$5,0)-1))</f>
        <v>0.66363768154473923</v>
      </c>
      <c r="AN69" s="533" cm="1">
        <f t="array" aca="1" ref="AN69" ca="1">OFFSET(AN69,-5,0)*
OFFSET(MSP!$F$1,
MATCH(OFFSET($C62,((MATCH($C62,EL_List,0)-1)*-10)-1,0),MSP!$C:$C,0)+MATCH($C62,EL_List,0)-1,0)
*INDEX(Learning!$E$6:$S$41,(MATCH(AN$21,Dates,0)),(MATCH($C$21,Learning!$E$4:$S$4,0)+MATCH($C$62,Learning!$E$5:$S$5,0)-1))</f>
        <v>0.69370428880114077</v>
      </c>
      <c r="AO69" s="436"/>
      <c r="AP69" s="21"/>
    </row>
    <row r="70" spans="2:42" ht="15" customHeight="1" collapsed="1" x14ac:dyDescent="0.35">
      <c r="B70" s="429"/>
      <c r="C70" s="777" t="s">
        <v>215</v>
      </c>
      <c r="D70" s="776"/>
      <c r="E70" s="531" cm="1">
        <f t="array" aca="1" ref="E70" ca="1">OFFSET(E70,-6,0)*
OFFSET(MSP!$G$1,
MATCH(OFFSET($C62,((MATCH($C62,EL_List,0)-1)*-10)-1,0),MSP!$C:$C,0)+MATCH($C62,EL_List,0)-1,0)
*INDEX(Learning!$E$6:$S$41,(MATCH(E$21,Dates,0)),(MATCH($C$21,Learning!$E$4:$S$4,0)+MATCH($C$62,Learning!$E$5:$S$5,0)-1))</f>
        <v>5.7927389668081128E-2</v>
      </c>
      <c r="F70" s="531" cm="1">
        <f t="array" aca="1" ref="F70" ca="1">OFFSET(F70,-6,0)*
OFFSET(MSP!$G$1,
MATCH(OFFSET($C62,((MATCH($C62,EL_List,0)-1)*-10)-1,0),MSP!$C:$C,0)+MATCH($C62,EL_List,0)-1,0)
*INDEX(Learning!$E$6:$S$41,(MATCH(F$21,Dates,0)),(MATCH($C$21,Learning!$E$4:$S$4,0)+MATCH($C$62,Learning!$E$5:$S$5,0)-1))</f>
        <v>6.0110487354800082E-2</v>
      </c>
      <c r="G70" s="531" cm="1">
        <f t="array" aca="1" ref="G70" ca="1">OFFSET(G70,-6,0)*
OFFSET(MSP!$G$1,
MATCH(OFFSET($C62,((MATCH($C62,EL_List,0)-1)*-10)-1,0),MSP!$C:$C,0)+MATCH($C62,EL_List,0)-1,0)
*INDEX(Learning!$E$6:$S$41,(MATCH(G$21,Dates,0)),(MATCH($C$21,Learning!$E$4:$S$4,0)+MATCH($C$62,Learning!$E$5:$S$5,0)-1))</f>
        <v>6.1993214849081872E-2</v>
      </c>
      <c r="H70" s="531" cm="1">
        <f t="array" aca="1" ref="H70" ca="1">OFFSET(H70,-6,0)*
OFFSET(MSP!$G$1,
MATCH(OFFSET($C62,((MATCH($C62,EL_List,0)-1)*-10)-1,0),MSP!$C:$C,0)+MATCH($C62,EL_List,0)-1,0)
*INDEX(Learning!$E$6:$S$41,(MATCH(H$21,Dates,0)),(MATCH($C$21,Learning!$E$4:$S$4,0)+MATCH($C$62,Learning!$E$5:$S$5,0)-1))</f>
        <v>6.4461783171463852E-2</v>
      </c>
      <c r="I70" s="531" cm="1">
        <f t="array" aca="1" ref="I70" ca="1">OFFSET(I70,-6,0)*
OFFSET(MSP!$G$1,
MATCH(OFFSET($C62,((MATCH($C62,EL_List,0)-1)*-10)-1,0),MSP!$C:$C,0)+MATCH($C62,EL_List,0)-1,0)
*INDEX(Learning!$E$6:$S$41,(MATCH(I$21,Dates,0)),(MATCH($C$21,Learning!$E$4:$S$4,0)+MATCH($C$62,Learning!$E$5:$S$5,0)-1))</f>
        <v>6.7100341391711574E-2</v>
      </c>
      <c r="J70" s="531" cm="1">
        <f t="array" aca="1" ref="J70" ca="1">OFFSET(J70,-6,0)*
OFFSET(MSP!$G$1,
MATCH(OFFSET($C62,((MATCH($C62,EL_List,0)-1)*-10)-1,0),MSP!$C:$C,0)+MATCH($C62,EL_List,0)-1,0)
*INDEX(Learning!$E$6:$S$41,(MATCH(J$21,Dates,0)),(MATCH($C$21,Learning!$E$4:$S$4,0)+MATCH($C$62,Learning!$E$5:$S$5,0)-1))</f>
        <v>7.0092425608525369E-2</v>
      </c>
      <c r="K70" s="531" cm="1">
        <f t="array" aca="1" ref="K70" ca="1">OFFSET(K70,-6,0)*
OFFSET(MSP!$G$1,
MATCH(OFFSET($C62,((MATCH($C62,EL_List,0)-1)*-10)-1,0),MSP!$C:$C,0)+MATCH($C62,EL_List,0)-1,0)
*INDEX(Learning!$E$6:$S$41,(MATCH(K$21,Dates,0)),(MATCH($C$21,Learning!$E$4:$S$4,0)+MATCH($C$62,Learning!$E$5:$S$5,0)-1))</f>
        <v>7.3329292775702423E-2</v>
      </c>
      <c r="L70" s="531" cm="1">
        <f t="array" aca="1" ref="L70" ca="1">OFFSET(L70,-6,0)*
OFFSET(MSP!$G$1,
MATCH(OFFSET($C62,((MATCH($C62,EL_List,0)-1)*-10)-1,0),MSP!$C:$C,0)+MATCH($C62,EL_List,0)-1,0)
*INDEX(Learning!$E$6:$S$41,(MATCH(L$21,Dates,0)),(MATCH($C$21,Learning!$E$4:$S$4,0)+MATCH($C$62,Learning!$E$5:$S$5,0)-1))</f>
        <v>7.674667775417443E-2</v>
      </c>
      <c r="M70" s="531" cm="1">
        <f t="array" aca="1" ref="M70" ca="1">OFFSET(M70,-6,0)*
OFFSET(MSP!$G$1,
MATCH(OFFSET($C62,((MATCH($C62,EL_List,0)-1)*-10)-1,0),MSP!$C:$C,0)+MATCH($C62,EL_List,0)-1,0)
*INDEX(Learning!$E$6:$S$41,(MATCH(M$21,Dates,0)),(MATCH($C$21,Learning!$E$4:$S$4,0)+MATCH($C$62,Learning!$E$5:$S$5,0)-1))</f>
        <v>8.0375921338373318E-2</v>
      </c>
      <c r="N70" s="531" cm="1">
        <f t="array" aca="1" ref="N70" ca="1">OFFSET(N70,-6,0)*
OFFSET(MSP!$G$1,
MATCH(OFFSET($C62,((MATCH($C62,EL_List,0)-1)*-10)-1,0),MSP!$C:$C,0)+MATCH($C62,EL_List,0)-1,0)
*INDEX(Learning!$E$6:$S$41,(MATCH(N$21,Dates,0)),(MATCH($C$21,Learning!$E$4:$S$4,0)+MATCH($C$62,Learning!$E$5:$S$5,0)-1))</f>
        <v>8.402509157794831E-2</v>
      </c>
      <c r="O70" s="531" cm="1">
        <f t="array" aca="1" ref="O70" ca="1">OFFSET(O70,-6,0)*
OFFSET(MSP!$G$1,
MATCH(OFFSET($C62,((MATCH($C62,EL_List,0)-1)*-10)-1,0),MSP!$C:$C,0)+MATCH($C62,EL_List,0)-1,0)
*INDEX(Learning!$E$6:$S$41,(MATCH(O$21,Dates,0)),(MATCH($C$21,Learning!$E$4:$S$4,0)+MATCH($C$62,Learning!$E$5:$S$5,0)-1))</f>
        <v>8.7856785151495184E-2</v>
      </c>
      <c r="P70" s="531" cm="1">
        <f t="array" aca="1" ref="P70" ca="1">OFFSET(P70,-6,0)*
OFFSET(MSP!$G$1,
MATCH(OFFSET($C62,((MATCH($C62,EL_List,0)-1)*-10)-1,0),MSP!$C:$C,0)+MATCH($C62,EL_List,0)-1,0)
*INDEX(Learning!$E$6:$S$41,(MATCH(P$21,Dates,0)),(MATCH($C$21,Learning!$E$4:$S$4,0)+MATCH($C$62,Learning!$E$5:$S$5,0)-1))</f>
        <v>9.1805681613719881E-2</v>
      </c>
      <c r="Q70" s="531" cm="1">
        <f t="array" aca="1" ref="Q70" ca="1">OFFSET(Q70,-6,0)*
OFFSET(MSP!$G$1,
MATCH(OFFSET($C62,((MATCH($C62,EL_List,0)-1)*-10)-1,0),MSP!$C:$C,0)+MATCH($C62,EL_List,0)-1,0)
*INDEX(Learning!$E$6:$S$41,(MATCH(Q$21,Dates,0)),(MATCH($C$21,Learning!$E$4:$S$4,0)+MATCH($C$62,Learning!$E$5:$S$5,0)-1))</f>
        <v>9.5896888115185694E-2</v>
      </c>
      <c r="R70" s="531" cm="1">
        <f t="array" aca="1" ref="R70" ca="1">OFFSET(R70,-6,0)*
OFFSET(MSP!$G$1,
MATCH(OFFSET($C62,((MATCH($C62,EL_List,0)-1)*-10)-1,0),MSP!$C:$C,0)+MATCH($C62,EL_List,0)-1,0)
*INDEX(Learning!$E$6:$S$41,(MATCH(R$21,Dates,0)),(MATCH($C$21,Learning!$E$4:$S$4,0)+MATCH($C$62,Learning!$E$5:$S$5,0)-1))</f>
        <v>0.10015953303799181</v>
      </c>
      <c r="S70" s="531" cm="1">
        <f t="array" aca="1" ref="S70" ca="1">OFFSET(S70,-6,0)*
OFFSET(MSP!$G$1,
MATCH(OFFSET($C62,((MATCH($C62,EL_List,0)-1)*-10)-1,0),MSP!$C:$C,0)+MATCH($C62,EL_List,0)-1,0)
*INDEX(Learning!$E$6:$S$41,(MATCH(S$21,Dates,0)),(MATCH($C$21,Learning!$E$4:$S$4,0)+MATCH($C$62,Learning!$E$5:$S$5,0)-1))</f>
        <v>0.10461699400041585</v>
      </c>
      <c r="T70" s="531" cm="1">
        <f t="array" aca="1" ref="T70" ca="1">OFFSET(T70,-6,0)*
OFFSET(MSP!$G$1,
MATCH(OFFSET($C62,((MATCH($C62,EL_List,0)-1)*-10)-1,0),MSP!$C:$C,0)+MATCH($C62,EL_List,0)-1,0)
*INDEX(Learning!$E$6:$S$41,(MATCH(T$21,Dates,0)),(MATCH($C$21,Learning!$E$4:$S$4,0)+MATCH($C$62,Learning!$E$5:$S$5,0)-1))</f>
        <v>0.10928230384542115</v>
      </c>
      <c r="U70" s="531" cm="1">
        <f t="array" aca="1" ref="U70" ca="1">OFFSET(U70,-6,0)*
OFFSET(MSP!$G$1,
MATCH(OFFSET($C62,((MATCH($C62,EL_List,0)-1)*-10)-1,0),MSP!$C:$C,0)+MATCH($C62,EL_List,0)-1,0)
*INDEX(Learning!$E$6:$S$41,(MATCH(U$21,Dates,0)),(MATCH($C$21,Learning!$E$4:$S$4,0)+MATCH($C$62,Learning!$E$5:$S$5,0)-1))</f>
        <v>0.11429044227847768</v>
      </c>
      <c r="V70" s="531" cm="1">
        <f t="array" aca="1" ref="V70" ca="1">OFFSET(V70,-6,0)*
OFFSET(MSP!$G$1,
MATCH(OFFSET($C62,((MATCH($C62,EL_List,0)-1)*-10)-1,0),MSP!$C:$C,0)+MATCH($C62,EL_List,0)-1,0)
*INDEX(Learning!$E$6:$S$41,(MATCH(V$21,Dates,0)),(MATCH($C$21,Learning!$E$4:$S$4,0)+MATCH($C$62,Learning!$E$5:$S$5,0)-1))</f>
        <v>0.11939131540953765</v>
      </c>
      <c r="W70" s="531" cm="1">
        <f t="array" aca="1" ref="W70" ca="1">OFFSET(W70,-6,0)*
OFFSET(MSP!$G$1,
MATCH(OFFSET($C62,((MATCH($C62,EL_List,0)-1)*-10)-1,0),MSP!$C:$C,0)+MATCH($C62,EL_List,0)-1,0)
*INDEX(Learning!$E$6:$S$41,(MATCH(W$21,Dates,0)),(MATCH($C$21,Learning!$E$4:$S$4,0)+MATCH($C$62,Learning!$E$5:$S$5,0)-1))</f>
        <v>0.12484543731786696</v>
      </c>
      <c r="X70" s="531" cm="1">
        <f t="array" aca="1" ref="X70" ca="1">OFFSET(X70,-6,0)*
OFFSET(MSP!$G$1,
MATCH(OFFSET($C62,((MATCH($C62,EL_List,0)-1)*-10)-1,0),MSP!$C:$C,0)+MATCH($C62,EL_List,0)-1,0)
*INDEX(Learning!$E$6:$S$41,(MATCH(X$21,Dates,0)),(MATCH($C$21,Learning!$E$4:$S$4,0)+MATCH($C$62,Learning!$E$5:$S$5,0)-1))</f>
        <v>0.1305359516863849</v>
      </c>
      <c r="Y70" s="531" cm="1">
        <f t="array" aca="1" ref="Y70" ca="1">OFFSET(Y70,-6,0)*
OFFSET(MSP!$G$1,
MATCH(OFFSET($C62,((MATCH($C62,EL_List,0)-1)*-10)-1,0),MSP!$C:$C,0)+MATCH($C62,EL_List,0)-1,0)
*INDEX(Learning!$E$6:$S$41,(MATCH(Y$21,Dates,0)),(MATCH($C$21,Learning!$E$4:$S$4,0)+MATCH($C$62,Learning!$E$5:$S$5,0)-1))</f>
        <v>0.13632330330013526</v>
      </c>
      <c r="Z70" s="531" cm="1">
        <f t="array" aca="1" ref="Z70" ca="1">OFFSET(Z70,-6,0)*
OFFSET(MSP!$G$1,
MATCH(OFFSET($C62,((MATCH($C62,EL_List,0)-1)*-10)-1,0),MSP!$C:$C,0)+MATCH($C62,EL_List,0)-1,0)
*INDEX(Learning!$E$6:$S$41,(MATCH(Z$21,Dates,0)),(MATCH($C$21,Learning!$E$4:$S$4,0)+MATCH($C$62,Learning!$E$5:$S$5,0)-1))</f>
        <v>0.14250331744116937</v>
      </c>
      <c r="AA70" s="531" cm="1">
        <f t="array" aca="1" ref="AA70" ca="1">OFFSET(AA70,-6,0)*
OFFSET(MSP!$G$1,
MATCH(OFFSET($C62,((MATCH($C62,EL_List,0)-1)*-10)-1,0),MSP!$C:$C,0)+MATCH($C62,EL_List,0)-1,0)
*INDEX(Learning!$E$6:$S$41,(MATCH(AA$21,Dates,0)),(MATCH($C$21,Learning!$E$4:$S$4,0)+MATCH($C$62,Learning!$E$5:$S$5,0)-1))</f>
        <v>0.14894869573101113</v>
      </c>
      <c r="AB70" s="531" cm="1">
        <f t="array" aca="1" ref="AB70" ca="1">OFFSET(AB70,-6,0)*
OFFSET(MSP!$G$1,
MATCH(OFFSET($C62,((MATCH($C62,EL_List,0)-1)*-10)-1,0),MSP!$C:$C,0)+MATCH($C62,EL_List,0)-1,0)
*INDEX(Learning!$E$6:$S$41,(MATCH(AB$21,Dates,0)),(MATCH($C$21,Learning!$E$4:$S$4,0)+MATCH($C$62,Learning!$E$5:$S$5,0)-1))</f>
        <v>0.15567367600853371</v>
      </c>
      <c r="AC70" s="531" cm="1">
        <f t="array" aca="1" ref="AC70" ca="1">OFFSET(AC70,-6,0)*
OFFSET(MSP!$G$1,
MATCH(OFFSET($C62,((MATCH($C62,EL_List,0)-1)*-10)-1,0),MSP!$C:$C,0)+MATCH($C62,EL_List,0)-1,0)
*INDEX(Learning!$E$6:$S$41,(MATCH(AC$21,Dates,0)),(MATCH($C$21,Learning!$E$4:$S$4,0)+MATCH($C$62,Learning!$E$5:$S$5,0)-1))</f>
        <v>0.16269236075017562</v>
      </c>
      <c r="AD70" s="531" cm="1">
        <f t="array" aca="1" ref="AD70" ca="1">OFFSET(AD70,-6,0)*
OFFSET(MSP!$G$1,
MATCH(OFFSET($C62,((MATCH($C62,EL_List,0)-1)*-10)-1,0),MSP!$C:$C,0)+MATCH($C62,EL_List,0)-1,0)
*INDEX(Learning!$E$6:$S$41,(MATCH(AD$21,Dates,0)),(MATCH($C$21,Learning!$E$4:$S$4,0)+MATCH($C$62,Learning!$E$5:$S$5,0)-1))</f>
        <v>0.17001863122915972</v>
      </c>
      <c r="AE70" s="531" cm="1">
        <f t="array" aca="1" ref="AE70" ca="1">OFFSET(AE70,-6,0)*
OFFSET(MSP!$G$1,
MATCH(OFFSET($C62,((MATCH($C62,EL_List,0)-1)*-10)-1,0),MSP!$C:$C,0)+MATCH($C62,EL_List,0)-1,0)
*INDEX(Learning!$E$6:$S$41,(MATCH(AE$21,Dates,0)),(MATCH($C$21,Learning!$E$4:$S$4,0)+MATCH($C$62,Learning!$E$5:$S$5,0)-1))</f>
        <v>0.17766604650961473</v>
      </c>
      <c r="AF70" s="531" cm="1">
        <f t="array" aca="1" ref="AF70" ca="1">OFFSET(AF70,-6,0)*
OFFSET(MSP!$G$1,
MATCH(OFFSET($C62,((MATCH($C62,EL_List,0)-1)*-10)-1,0),MSP!$C:$C,0)+MATCH($C62,EL_List,0)-1,0)
*INDEX(Learning!$E$6:$S$41,(MATCH(AF$21,Dates,0)),(MATCH($C$21,Learning!$E$4:$S$4,0)+MATCH($C$62,Learning!$E$5:$S$5,0)-1))</f>
        <v>0.18564802156632881</v>
      </c>
      <c r="AG70" s="531" cm="1">
        <f t="array" aca="1" ref="AG70" ca="1">OFFSET(AG70,-6,0)*
OFFSET(MSP!$G$1,
MATCH(OFFSET($C62,((MATCH($C62,EL_List,0)-1)*-10)-1,0),MSP!$C:$C,0)+MATCH($C62,EL_List,0)-1,0)
*INDEX(Learning!$E$6:$S$41,(MATCH(AG$21,Dates,0)),(MATCH($C$21,Learning!$E$4:$S$4,0)+MATCH($C$62,Learning!$E$5:$S$5,0)-1))</f>
        <v>0.19419398752380929</v>
      </c>
      <c r="AH70" s="531" cm="1">
        <f t="array" aca="1" ref="AH70" ca="1">OFFSET(AH70,-6,0)*
OFFSET(MSP!$G$1,
MATCH(OFFSET($C62,((MATCH($C62,EL_List,0)-1)*-10)-1,0),MSP!$C:$C,0)+MATCH($C62,EL_List,0)-1,0)
*INDEX(Learning!$E$6:$S$41,(MATCH(AH$21,Dates,0)),(MATCH($C$21,Learning!$E$4:$S$4,0)+MATCH($C$62,Learning!$E$5:$S$5,0)-1))</f>
        <v>0.20289732435845267</v>
      </c>
      <c r="AI70" s="531" cm="1">
        <f t="array" aca="1" ref="AI70" ca="1">OFFSET(AI70,-6,0)*
OFFSET(MSP!$G$1,
MATCH(OFFSET($C62,((MATCH($C62,EL_List,0)-1)*-10)-1,0),MSP!$C:$C,0)+MATCH($C62,EL_List,0)-1,0)
*INDEX(Learning!$E$6:$S$41,(MATCH(AI$21,Dates,0)),(MATCH($C$21,Learning!$E$4:$S$4,0)+MATCH($C$62,Learning!$E$5:$S$5,0)-1))</f>
        <v>0.21197872142755603</v>
      </c>
      <c r="AJ70" s="531" cm="1">
        <f t="array" aca="1" ref="AJ70" ca="1">OFFSET(AJ70,-6,0)*
OFFSET(MSP!$G$1,
MATCH(OFFSET($C62,((MATCH($C62,EL_List,0)-1)*-10)-1,0),MSP!$C:$C,0)+MATCH($C62,EL_List,0)-1,0)
*INDEX(Learning!$E$6:$S$41,(MATCH(AJ$21,Dates,0)),(MATCH($C$21,Learning!$E$4:$S$4,0)+MATCH($C$62,Learning!$E$5:$S$5,0)-1))</f>
        <v>0.22170361250509998</v>
      </c>
      <c r="AK70" s="531" cm="1">
        <f t="array" aca="1" ref="AK70" ca="1">OFFSET(AK70,-6,0)*
OFFSET(MSP!$G$1,
MATCH(OFFSET($C62,((MATCH($C62,EL_List,0)-1)*-10)-1,0),MSP!$C:$C,0)+MATCH($C62,EL_List,0)-1,0)
*INDEX(Learning!$E$6:$S$41,(MATCH(AK$21,Dates,0)),(MATCH($C$21,Learning!$E$4:$S$4,0)+MATCH($C$62,Learning!$E$5:$S$5,0)-1))</f>
        <v>0.23160251969569851</v>
      </c>
      <c r="AL70" s="531" cm="1">
        <f t="array" aca="1" ref="AL70" ca="1">OFFSET(AL70,-6,0)*
OFFSET(MSP!$G$1,
MATCH(OFFSET($C62,((MATCH($C62,EL_List,0)-1)*-10)-1,0),MSP!$C:$C,0)+MATCH($C62,EL_List,0)-1,0)
*INDEX(Learning!$E$6:$S$41,(MATCH(AL$21,Dates,0)),(MATCH($C$21,Learning!$E$4:$S$4,0)+MATCH($C$62,Learning!$E$5:$S$5,0)-1))</f>
        <v>0.24220556429588788</v>
      </c>
      <c r="AM70" s="531" cm="1">
        <f t="array" aca="1" ref="AM70" ca="1">OFFSET(AM70,-6,0)*
OFFSET(MSP!$G$1,
MATCH(OFFSET($C62,((MATCH($C62,EL_List,0)-1)*-10)-1,0),MSP!$C:$C,0)+MATCH($C62,EL_List,0)-1,0)
*INDEX(Learning!$E$6:$S$41,(MATCH(AM$21,Dates,0)),(MATCH($C$21,Learning!$E$4:$S$4,0)+MATCH($C$62,Learning!$E$5:$S$5,0)-1))</f>
        <v>0.25299573808364262</v>
      </c>
      <c r="AN70" s="531" cm="1">
        <f t="array" aca="1" ref="AN70" ca="1">OFFSET(AN70,-6,0)*
OFFSET(MSP!$G$1,
MATCH(OFFSET($C62,((MATCH($C62,EL_List,0)-1)*-10)-1,0),MSP!$C:$C,0)+MATCH($C62,EL_List,0)-1,0)
*INDEX(Learning!$E$6:$S$41,(MATCH(AN$21,Dates,0)),(MATCH($C$21,Learning!$E$4:$S$4,0)+MATCH($C$62,Learning!$E$5:$S$5,0)-1))</f>
        <v>0.26445790140866393</v>
      </c>
      <c r="AO70" s="436"/>
      <c r="AP70" s="21"/>
    </row>
    <row r="71" spans="2:42" ht="15" customHeight="1" x14ac:dyDescent="0.35">
      <c r="B71" s="429"/>
      <c r="C71" s="776"/>
      <c r="D71" s="776"/>
      <c r="E71" s="776"/>
      <c r="F71" s="776"/>
      <c r="G71" s="776"/>
      <c r="H71" s="776"/>
      <c r="I71" s="776"/>
      <c r="J71" s="776"/>
      <c r="K71" s="776"/>
      <c r="L71" s="776"/>
      <c r="M71" s="776"/>
      <c r="N71" s="776"/>
      <c r="O71" s="776"/>
      <c r="P71" s="776"/>
      <c r="Q71" s="776"/>
      <c r="R71" s="776"/>
      <c r="S71" s="776"/>
      <c r="T71" s="776"/>
      <c r="U71" s="776"/>
      <c r="V71" s="776"/>
      <c r="W71" s="776"/>
      <c r="X71" s="776"/>
      <c r="Y71" s="776"/>
      <c r="Z71" s="776"/>
      <c r="AA71" s="776"/>
      <c r="AB71" s="776"/>
      <c r="AC71" s="776"/>
      <c r="AD71" s="776"/>
      <c r="AE71" s="776"/>
      <c r="AF71" s="776"/>
      <c r="AG71" s="776"/>
      <c r="AH71" s="776"/>
      <c r="AI71" s="776"/>
      <c r="AJ71" s="776"/>
      <c r="AK71" s="776"/>
      <c r="AL71" s="776"/>
      <c r="AM71" s="776"/>
      <c r="AN71" s="776"/>
      <c r="AO71" s="436"/>
      <c r="AP71" s="21"/>
    </row>
    <row r="72" spans="2:42" ht="15" customHeight="1" x14ac:dyDescent="0.35">
      <c r="B72" s="429"/>
      <c r="C72" s="776"/>
      <c r="D72" s="776"/>
      <c r="E72" s="776"/>
      <c r="F72" s="776"/>
      <c r="G72" s="776"/>
      <c r="H72" s="776"/>
      <c r="I72" s="776"/>
      <c r="J72" s="776"/>
      <c r="K72" s="776"/>
      <c r="L72" s="776"/>
      <c r="M72" s="776"/>
      <c r="N72" s="776"/>
      <c r="O72" s="776"/>
      <c r="P72" s="776"/>
      <c r="Q72" s="776"/>
      <c r="R72" s="776"/>
      <c r="S72" s="776"/>
      <c r="T72" s="776"/>
      <c r="U72" s="776"/>
      <c r="V72" s="776"/>
      <c r="W72" s="776"/>
      <c r="X72" s="776"/>
      <c r="Y72" s="776"/>
      <c r="Z72" s="776"/>
      <c r="AA72" s="776"/>
      <c r="AB72" s="776"/>
      <c r="AC72" s="776"/>
      <c r="AD72" s="776"/>
      <c r="AE72" s="776"/>
      <c r="AF72" s="776"/>
      <c r="AG72" s="776"/>
      <c r="AH72" s="776"/>
      <c r="AI72" s="776"/>
      <c r="AJ72" s="776"/>
      <c r="AK72" s="776"/>
      <c r="AL72" s="776"/>
      <c r="AM72" s="776"/>
      <c r="AN72" s="776"/>
      <c r="AO72" s="436"/>
      <c r="AP72" s="21"/>
    </row>
    <row r="73" spans="2:42" ht="15" customHeight="1" collapsed="1" x14ac:dyDescent="0.35">
      <c r="B73" s="429"/>
      <c r="C73" s="772" t="s">
        <v>57</v>
      </c>
      <c r="D73" s="779"/>
      <c r="E73" s="772">
        <f>Reference_Year -1</f>
        <v>2022</v>
      </c>
      <c r="F73" s="772">
        <f ca="1">OFFSET(F73,0,-1)+1</f>
        <v>2023</v>
      </c>
      <c r="G73" s="772">
        <f t="shared" ref="G73:AN73" ca="1" si="19">OFFSET(G73,0,-1)+1</f>
        <v>2024</v>
      </c>
      <c r="H73" s="772">
        <f t="shared" ca="1" si="19"/>
        <v>2025</v>
      </c>
      <c r="I73" s="772">
        <f t="shared" ca="1" si="19"/>
        <v>2026</v>
      </c>
      <c r="J73" s="772">
        <f t="shared" ca="1" si="19"/>
        <v>2027</v>
      </c>
      <c r="K73" s="772">
        <f t="shared" ca="1" si="19"/>
        <v>2028</v>
      </c>
      <c r="L73" s="772">
        <f t="shared" ca="1" si="19"/>
        <v>2029</v>
      </c>
      <c r="M73" s="772">
        <f t="shared" ca="1" si="19"/>
        <v>2030</v>
      </c>
      <c r="N73" s="772">
        <f t="shared" ca="1" si="19"/>
        <v>2031</v>
      </c>
      <c r="O73" s="772">
        <f t="shared" ca="1" si="19"/>
        <v>2032</v>
      </c>
      <c r="P73" s="772">
        <f t="shared" ca="1" si="19"/>
        <v>2033</v>
      </c>
      <c r="Q73" s="772">
        <f t="shared" ca="1" si="19"/>
        <v>2034</v>
      </c>
      <c r="R73" s="772">
        <f t="shared" ca="1" si="19"/>
        <v>2035</v>
      </c>
      <c r="S73" s="772">
        <f t="shared" ca="1" si="19"/>
        <v>2036</v>
      </c>
      <c r="T73" s="772">
        <f t="shared" ca="1" si="19"/>
        <v>2037</v>
      </c>
      <c r="U73" s="772">
        <f t="shared" ca="1" si="19"/>
        <v>2038</v>
      </c>
      <c r="V73" s="772">
        <f t="shared" ca="1" si="19"/>
        <v>2039</v>
      </c>
      <c r="W73" s="772">
        <f t="shared" ca="1" si="19"/>
        <v>2040</v>
      </c>
      <c r="X73" s="772">
        <f t="shared" ca="1" si="19"/>
        <v>2041</v>
      </c>
      <c r="Y73" s="772">
        <f t="shared" ca="1" si="19"/>
        <v>2042</v>
      </c>
      <c r="Z73" s="772">
        <f t="shared" ca="1" si="19"/>
        <v>2043</v>
      </c>
      <c r="AA73" s="772">
        <f t="shared" ca="1" si="19"/>
        <v>2044</v>
      </c>
      <c r="AB73" s="772">
        <f t="shared" ca="1" si="19"/>
        <v>2045</v>
      </c>
      <c r="AC73" s="772">
        <f t="shared" ca="1" si="19"/>
        <v>2046</v>
      </c>
      <c r="AD73" s="772">
        <f t="shared" ca="1" si="19"/>
        <v>2047</v>
      </c>
      <c r="AE73" s="772">
        <f t="shared" ca="1" si="19"/>
        <v>2048</v>
      </c>
      <c r="AF73" s="772">
        <f t="shared" ca="1" si="19"/>
        <v>2049</v>
      </c>
      <c r="AG73" s="772">
        <f t="shared" ca="1" si="19"/>
        <v>2050</v>
      </c>
      <c r="AH73" s="772">
        <f t="shared" ca="1" si="19"/>
        <v>2051</v>
      </c>
      <c r="AI73" s="772">
        <f t="shared" ca="1" si="19"/>
        <v>2052</v>
      </c>
      <c r="AJ73" s="772">
        <f t="shared" ca="1" si="19"/>
        <v>2053</v>
      </c>
      <c r="AK73" s="772">
        <f t="shared" ca="1" si="19"/>
        <v>2054</v>
      </c>
      <c r="AL73" s="772">
        <f t="shared" ca="1" si="19"/>
        <v>2055</v>
      </c>
      <c r="AM73" s="772">
        <f t="shared" ca="1" si="19"/>
        <v>2056</v>
      </c>
      <c r="AN73" s="772">
        <f t="shared" ca="1" si="19"/>
        <v>2057</v>
      </c>
      <c r="AO73" s="436"/>
      <c r="AP73" s="21"/>
    </row>
    <row r="74" spans="2:42" ht="15" customHeight="1" x14ac:dyDescent="0.35">
      <c r="B74" s="429"/>
      <c r="C74" s="777" t="s">
        <v>141</v>
      </c>
      <c r="D74" s="777"/>
      <c r="E74" s="534">
        <f ca="1">IF(OFFSET(NAMES!$G$1,MATCH($C21,NAMES!$D:$D,0)-1,0)=TRUE,
(SUMIF($C22:$C71,"Unit Sales (MM)",E22:E71)),
0)</f>
        <v>1.9684073037587337</v>
      </c>
      <c r="F74" s="534">
        <f ca="1">IF(OFFSET(NAMES!$G$1,MATCH($C21,NAMES!$D:$D,0)-1,0)=TRUE,
(SUMIF($C22:$C71,"Unit Sales (MM)",F22:F71)),
0)</f>
        <v>2.0564316339907434</v>
      </c>
      <c r="G74" s="534">
        <f ca="1">IF(OFFSET(NAMES!$G$1,MATCH($C21,NAMES!$D:$D,0)-1,0)=TRUE,
(SUMIF($C22:$C71,"Unit Sales (MM)",G22:G71)),
0)</f>
        <v>2.135311043867949</v>
      </c>
      <c r="H74" s="534">
        <f ca="1">IF(OFFSET(NAMES!$G$1,MATCH($C21,NAMES!$D:$D,0)-1,0)=TRUE,
(SUMIF($C22:$C71,"Unit Sales (MM)",H22:H71)),
0)</f>
        <v>2.2355916528421558</v>
      </c>
      <c r="I74" s="534">
        <f ca="1">IF(OFFSET(NAMES!$G$1,MATCH($C21,NAMES!$D:$D,0)-1,0)=TRUE,
(SUMIF($C22:$C71,"Unit Sales (MM)",I22:I71)),
0)</f>
        <v>2.343195721430225</v>
      </c>
      <c r="J74" s="534">
        <f ca="1">IF(OFFSET(NAMES!$G$1,MATCH($C21,NAMES!$D:$D,0)-1,0)=TRUE,
(SUMIF($C22:$C71,"Unit Sales (MM)",J22:J71)),
0)</f>
        <v>2.4622801107870838</v>
      </c>
      <c r="K74" s="534">
        <f ca="1">IF(OFFSET(NAMES!$G$1,MATCH($C21,NAMES!$D:$D,0)-1,0)=TRUE,
(SUMIF($C22:$C71,"Unit Sales (MM)",K22:K71)),
0)</f>
        <v>2.5914440985252511</v>
      </c>
      <c r="L74" s="534">
        <f ca="1">IF(OFFSET(NAMES!$G$1,MATCH($C21,NAMES!$D:$D,0)-1,0)=TRUE,
(SUMIF($C22:$C71,"Unit Sales (MM)",L22:L71)),
0)</f>
        <v>2.7285853850914781</v>
      </c>
      <c r="M74" s="534">
        <f ca="1">IF(OFFSET(NAMES!$G$1,MATCH($C21,NAMES!$D:$D,0)-1,0)=TRUE,
(SUMIF($C22:$C71,"Unit Sales (MM)",M22:M71)),
0)</f>
        <v>2.8720633895770069</v>
      </c>
      <c r="N74" s="534">
        <f ca="1">IF(OFFSET(NAMES!$G$1,MATCH($C21,NAMES!$D:$D,0)-1,0)=TRUE,
(SUMIF($C22:$C71,"Unit Sales (MM)",N22:N71)),
0)</f>
        <v>3.0207850623004493</v>
      </c>
      <c r="O74" s="534">
        <f ca="1">IF(OFFSET(NAMES!$G$1,MATCH($C21,NAMES!$D:$D,0)-1,0)=TRUE,
(SUMIF($C22:$C71,"Unit Sales (MM)",O22:O71)),
0)</f>
        <v>3.174686178104456</v>
      </c>
      <c r="P74" s="534">
        <f ca="1">IF(OFFSET(NAMES!$G$1,MATCH($C21,NAMES!$D:$D,0)-1,0)=TRUE,
(SUMIF($C22:$C71,"Unit Sales (MM)",P22:P71)),
0)</f>
        <v>3.334425875915664</v>
      </c>
      <c r="Q74" s="534">
        <f ca="1">IF(OFFSET(NAMES!$G$1,MATCH($C21,NAMES!$D:$D,0)-1,0)=TRUE,
(SUMIF($C22:$C71,"Unit Sales (MM)",Q22:Q71)),
0)</f>
        <v>3.5010112434850269</v>
      </c>
      <c r="R74" s="534">
        <f ca="1">IF(OFFSET(NAMES!$G$1,MATCH($C21,NAMES!$D:$D,0)-1,0)=TRUE,
(SUMIF($C22:$C71,"Unit Sales (MM)",R22:R71)),
0)</f>
        <v>3.6756178538788329</v>
      </c>
      <c r="S74" s="534">
        <f ca="1">IF(OFFSET(NAMES!$G$1,MATCH($C21,NAMES!$D:$D,0)-1,0)=TRUE,
(SUMIF($C22:$C71,"Unit Sales (MM)",S22:S71)),
0)</f>
        <v>3.8592336815160504</v>
      </c>
      <c r="T74" s="534">
        <f ca="1">IF(OFFSET(NAMES!$G$1,MATCH($C21,NAMES!$D:$D,0)-1,0)=TRUE,
(SUMIF($C22:$C71,"Unit Sales (MM)",T22:T71)),
0)</f>
        <v>4.0524838225134241</v>
      </c>
      <c r="U74" s="534">
        <f ca="1">IF(OFFSET(NAMES!$G$1,MATCH($C21,NAMES!$D:$D,0)-1,0)=TRUE,
(SUMIF($C22:$C71,"Unit Sales (MM)",U22:U71)),
0)</f>
        <v>4.25606301352658</v>
      </c>
      <c r="V74" s="534">
        <f ca="1">IF(OFFSET(NAMES!$G$1,MATCH($C21,NAMES!$D:$D,0)-1,0)=TRUE,
(SUMIF($C22:$C71,"Unit Sales (MM)",V22:V71)),
0)</f>
        <v>4.4695632886319583</v>
      </c>
      <c r="W74" s="534">
        <f ca="1">IF(OFFSET(NAMES!$G$1,MATCH($C21,NAMES!$D:$D,0)-1,0)=TRUE,
(SUMIF($C22:$C71,"Unit Sales (MM)",W22:W71)),
0)</f>
        <v>4.6936334444076655</v>
      </c>
      <c r="X74" s="534">
        <f ca="1">IF(OFFSET(NAMES!$G$1,MATCH($C21,NAMES!$D:$D,0)-1,0)=TRUE,
(SUMIF($C22:$C71,"Unit Sales (MM)",X22:X71)),
0)</f>
        <v>4.9285440152820099</v>
      </c>
      <c r="Y74" s="534">
        <f ca="1">IF(OFFSET(NAMES!$G$1,MATCH($C21,NAMES!$D:$D,0)-1,0)=TRUE,
(SUMIF($C22:$C71,"Unit Sales (MM)",Y22:Y71)),
0)</f>
        <v>5.1746951340503138</v>
      </c>
      <c r="Z74" s="534">
        <f ca="1">IF(OFFSET(NAMES!$G$1,MATCH($C21,NAMES!$D:$D,0)-1,0)=TRUE,
(SUMIF($C22:$C71,"Unit Sales (MM)",Z22:Z71)),
0)</f>
        <v>5.4326232630210525</v>
      </c>
      <c r="AA74" s="534">
        <f ca="1">IF(OFFSET(NAMES!$G$1,MATCH($C21,NAMES!$D:$D,0)-1,0)=TRUE,
(SUMIF($C22:$C71,"Unit Sales (MM)",AA22:AA71)),
0)</f>
        <v>5.7029472171432269</v>
      </c>
      <c r="AB74" s="534">
        <f ca="1">IF(OFFSET(NAMES!$G$1,MATCH($C21,NAMES!$D:$D,0)-1,0)=TRUE,
(SUMIF($C22:$C71,"Unit Sales (MM)",AB22:AB71)),
0)</f>
        <v>5.9863763681061384</v>
      </c>
      <c r="AC74" s="534">
        <f ca="1">IF(OFFSET(NAMES!$G$1,MATCH($C21,NAMES!$D:$D,0)-1,0)=TRUE,
(SUMIF($C22:$C71,"Unit Sales (MM)",AC22:AC71)),
0)</f>
        <v>6.2836272638425754</v>
      </c>
      <c r="AD74" s="534">
        <f ca="1">IF(OFFSET(NAMES!$G$1,MATCH($C21,NAMES!$D:$D,0)-1,0)=TRUE,
(SUMIF($C22:$C71,"Unit Sales (MM)",AD22:AD71)),
0)</f>
        <v>6.5954204561106007</v>
      </c>
      <c r="AE74" s="534">
        <f ca="1">IF(OFFSET(NAMES!$G$1,MATCH($C21,NAMES!$D:$D,0)-1,0)=TRUE,
(SUMIF($C22:$C71,"Unit Sales (MM)",AE22:AE71)),
0)</f>
        <v>6.9224766532463811</v>
      </c>
      <c r="AF74" s="534">
        <f ca="1">IF(OFFSET(NAMES!$G$1,MATCH($C21,NAMES!$D:$D,0)-1,0)=TRUE,
(SUMIF($C22:$C71,"Unit Sales (MM)",AF22:AF71)),
0)</f>
        <v>7.2655236945294295</v>
      </c>
      <c r="AG74" s="534">
        <f ca="1">IF(OFFSET(NAMES!$G$1,MATCH($C21,NAMES!$D:$D,0)-1,0)=TRUE,
(SUMIF($C22:$C71,"Unit Sales (MM)",AG22:AG71)),
0)</f>
        <v>7.6253120060456734</v>
      </c>
      <c r="AH74" s="534">
        <f ca="1">IF(OFFSET(NAMES!$G$1,MATCH($C21,NAMES!$D:$D,0)-1,0)=TRUE,
(SUMIF($C22:$C71,"Unit Sales (MM)",AH22:AH71)),
0)</f>
        <v>8.0026285417297274</v>
      </c>
      <c r="AI74" s="534">
        <f ca="1">IF(OFFSET(NAMES!$G$1,MATCH($C21,NAMES!$D:$D,0)-1,0)=TRUE,
(SUMIF($C22:$C71,"Unit Sales (MM)",AI22:AI71)),
0)</f>
        <v>8.3983073121561027</v>
      </c>
      <c r="AJ74" s="534">
        <f ca="1">IF(OFFSET(NAMES!$G$1,MATCH($C21,NAMES!$D:$D,0)-1,0)=TRUE,
(SUMIF($C22:$C71,"Unit Sales (MM)",AJ22:AJ71)),
0)</f>
        <v>8.8132351346743505</v>
      </c>
      <c r="AK74" s="534">
        <f ca="1">IF(OFFSET(NAMES!$G$1,MATCH($C21,NAMES!$D:$D,0)-1,0)=TRUE,
(SUMIF($C22:$C71,"Unit Sales (MM)",AK22:AK71)),
0)</f>
        <v>9.2483521416230516</v>
      </c>
      <c r="AL74" s="534">
        <f ca="1">IF(OFFSET(NAMES!$G$1,MATCH($C21,NAMES!$D:$D,0)-1,0)=TRUE,
(SUMIF($C22:$C71,"Unit Sales (MM)",AL22:AL71)),
0)</f>
        <v>9.7046500523042347</v>
      </c>
      <c r="AM74" s="534">
        <f ca="1">IF(OFFSET(NAMES!$G$1,MATCH($C21,NAMES!$D:$D,0)-1,0)=TRUE,
(SUMIF($C22:$C71,"Unit Sales (MM)",AM22:AM71)),
0)</f>
        <v>10.183171023879339</v>
      </c>
      <c r="AN74" s="534">
        <f ca="1">IF(OFFSET(NAMES!$G$1,MATCH($C21,NAMES!$D:$D,0)-1,0)=TRUE,
(SUMIF($C22:$C71,"Unit Sales (MM)",AN22:AN71)),
0)</f>
        <v>10.68500351939446</v>
      </c>
      <c r="AO74" s="436"/>
      <c r="AP74" s="21"/>
    </row>
    <row r="75" spans="2:42" ht="15" customHeight="1" x14ac:dyDescent="0.35">
      <c r="B75" s="429"/>
      <c r="C75" s="777" t="s">
        <v>142</v>
      </c>
      <c r="D75" s="777"/>
      <c r="E75" s="535">
        <f ca="1">IF(OFFSET(NAMES!$G$1,MATCH($C21,NAMES!$D:$D,0)-1,0)=TRUE,
(SUMIF($C22:$C71,"Revenues (MM)",E22:E71)),
0)</f>
        <v>98.575452008678639</v>
      </c>
      <c r="F75" s="535">
        <f ca="1">IF(OFFSET(NAMES!$G$1,MATCH($C21,NAMES!$D:$D,0)-1,0)=TRUE,
(SUMIF($C22:$C71,"Revenues (MM)",F22:F71)),
0)</f>
        <v>102.17935842449249</v>
      </c>
      <c r="G75" s="535">
        <f ca="1">IF(OFFSET(NAMES!$G$1,MATCH($C21,NAMES!$D:$D,0)-1,0)=TRUE,
(SUMIF($C22:$C71,"Revenues (MM)",G22:G71)),
0)</f>
        <v>105.31954595260511</v>
      </c>
      <c r="H75" s="535">
        <f ca="1">IF(OFFSET(NAMES!$G$1,MATCH($C21,NAMES!$D:$D,0)-1,0)=TRUE,
(SUMIF($C22:$C71,"Revenues (MM)",H22:H71)),
0)</f>
        <v>109.4956748769053</v>
      </c>
      <c r="I75" s="535">
        <f ca="1">IF(OFFSET(NAMES!$G$1,MATCH($C21,NAMES!$D:$D,0)-1,0)=TRUE,
(SUMIF($C22:$C71,"Revenues (MM)",I22:I71)),
0)</f>
        <v>113.97870172599168</v>
      </c>
      <c r="J75" s="535">
        <f ca="1">IF(OFFSET(NAMES!$G$1,MATCH($C21,NAMES!$D:$D,0)-1,0)=TRUE,
(SUMIF($C22:$C71,"Revenues (MM)",J22:J71)),
0)</f>
        <v>118.95969190266813</v>
      </c>
      <c r="K75" s="535">
        <f ca="1">IF(OFFSET(NAMES!$G$1,MATCH($C21,NAMES!$D:$D,0)-1,0)=TRUE,
(SUMIF($C22:$C71,"Revenues (MM)",K22:K71)),
0)</f>
        <v>124.37876062684059</v>
      </c>
      <c r="L75" s="535">
        <f ca="1">IF(OFFSET(NAMES!$G$1,MATCH($C21,NAMES!$D:$D,0)-1,0)=TRUE,
(SUMIF($C22:$C71,"Revenues (MM)",L22:L71)),
0)</f>
        <v>130.17521784220281</v>
      </c>
      <c r="M75" s="535">
        <f ca="1">IF(OFFSET(NAMES!$G$1,MATCH($C21,NAMES!$D:$D,0)-1,0)=TRUE,
(SUMIF($C22:$C71,"Revenues (MM)",M22:M71)),
0)</f>
        <v>136.12843136300083</v>
      </c>
      <c r="N75" s="535">
        <f ca="1">IF(OFFSET(NAMES!$G$1,MATCH($C21,NAMES!$D:$D,0)-1,0)=TRUE,
(SUMIF($C22:$C71,"Revenues (MM)",N22:N71)),
0)</f>
        <v>142.30754457652014</v>
      </c>
      <c r="O75" s="535">
        <f ca="1">IF(OFFSET(NAMES!$G$1,MATCH($C21,NAMES!$D:$D,0)-1,0)=TRUE,
(SUMIF($C22:$C71,"Revenues (MM)",O22:O71)),
0)</f>
        <v>148.7262073366883</v>
      </c>
      <c r="P75" s="535">
        <f ca="1">IF(OFFSET(NAMES!$G$1,MATCH($C21,NAMES!$D:$D,0)-1,0)=TRUE,
(SUMIF($C22:$C71,"Revenues (MM)",P22:P71)),
0)</f>
        <v>155.30145077794967</v>
      </c>
      <c r="Q75" s="535">
        <f ca="1">IF(OFFSET(NAMES!$G$1,MATCH($C21,NAMES!$D:$D,0)-1,0)=TRUE,
(SUMIF($C22:$C71,"Revenues (MM)",Q22:Q71)),
0)</f>
        <v>162.118784813845</v>
      </c>
      <c r="R75" s="535">
        <f ca="1">IF(OFFSET(NAMES!$G$1,MATCH($C21,NAMES!$D:$D,0)-1,0)=TRUE,
(SUMIF($C22:$C71,"Revenues (MM)",R22:R71)),
0)</f>
        <v>169.32209287907543</v>
      </c>
      <c r="S75" s="535">
        <f ca="1">IF(OFFSET(NAMES!$G$1,MATCH($C21,NAMES!$D:$D,0)-1,0)=TRUE,
(SUMIF($C22:$C71,"Revenues (MM)",S22:S71)),
0)</f>
        <v>176.81879241500545</v>
      </c>
      <c r="T75" s="535">
        <f ca="1">IF(OFFSET(NAMES!$G$1,MATCH($C21,NAMES!$D:$D,0)-1,0)=TRUE,
(SUMIF($C22:$C71,"Revenues (MM)",T22:T71)),
0)</f>
        <v>184.63793615073942</v>
      </c>
      <c r="U75" s="535">
        <f ca="1">IF(OFFSET(NAMES!$G$1,MATCH($C21,NAMES!$D:$D,0)-1,0)=TRUE,
(SUMIF($C22:$C71,"Revenues (MM)",U22:U71)),
0)</f>
        <v>192.90100187198357</v>
      </c>
      <c r="V75" s="535">
        <f ca="1">IF(OFFSET(NAMES!$G$1,MATCH($C21,NAMES!$D:$D,0)-1,0)=TRUE,
(SUMIF($C22:$C71,"Revenues (MM)",V22:V71)),
0)</f>
        <v>201.52405271625076</v>
      </c>
      <c r="W75" s="535">
        <f ca="1">IF(OFFSET(NAMES!$G$1,MATCH($C21,NAMES!$D:$D,0)-1,0)=TRUE,
(SUMIF($C22:$C71,"Revenues (MM)",W22:W71)),
0)</f>
        <v>210.60287267449439</v>
      </c>
      <c r="X75" s="535">
        <f ca="1">IF(OFFSET(NAMES!$G$1,MATCH($C21,NAMES!$D:$D,0)-1,0)=TRUE,
(SUMIF($C22:$C71,"Revenues (MM)",X22:X71)),
0)</f>
        <v>220.03749479368807</v>
      </c>
      <c r="Y75" s="535">
        <f ca="1">IF(OFFSET(NAMES!$G$1,MATCH($C21,NAMES!$D:$D,0)-1,0)=TRUE,
(SUMIF($C22:$C71,"Revenues (MM)",Y22:Y71)),
0)</f>
        <v>229.87297933710829</v>
      </c>
      <c r="Z75" s="535">
        <f ca="1">IF(OFFSET(NAMES!$G$1,MATCH($C21,NAMES!$D:$D,0)-1,0)=TRUE,
(SUMIF($C22:$C71,"Revenues (MM)",Z22:Z71)),
0)</f>
        <v>240.1685902447378</v>
      </c>
      <c r="AA75" s="535">
        <f ca="1">IF(OFFSET(NAMES!$G$1,MATCH($C21,NAMES!$D:$D,0)-1,0)=TRUE,
(SUMIF($C22:$C71,"Revenues (MM)",AA22:AA71)),
0)</f>
        <v>250.91215045944818</v>
      </c>
      <c r="AB75" s="535">
        <f ca="1">IF(OFFSET(NAMES!$G$1,MATCH($C21,NAMES!$D:$D,0)-1,0)=TRUE,
(SUMIF($C22:$C71,"Revenues (MM)",AB22:AB71)),
0)</f>
        <v>262.17755440682606</v>
      </c>
      <c r="AC75" s="535">
        <f ca="1">IF(OFFSET(NAMES!$G$1,MATCH($C21,NAMES!$D:$D,0)-1,0)=TRUE,
(SUMIF($C22:$C71,"Revenues (MM)",AC22:AC71)),
0)</f>
        <v>273.786040740678</v>
      </c>
      <c r="AD75" s="535">
        <f ca="1">IF(OFFSET(NAMES!$G$1,MATCH($C21,NAMES!$D:$D,0)-1,0)=TRUE,
(SUMIF($C22:$C71,"Revenues (MM)",AD22:AD71)),
0)</f>
        <v>286.04412455825349</v>
      </c>
      <c r="AE75" s="535">
        <f ca="1">IF(OFFSET(NAMES!$G$1,MATCH($C21,NAMES!$D:$D,0)-1,0)=TRUE,
(SUMIF($C22:$C71,"Revenues (MM)",AE22:AE71)),
0)</f>
        <v>298.8995857683849</v>
      </c>
      <c r="AF75" s="535">
        <f ca="1">IF(OFFSET(NAMES!$G$1,MATCH($C21,NAMES!$D:$D,0)-1,0)=TRUE,
(SUMIF($C22:$C71,"Revenues (MM)",AF22:AF71)),
0)</f>
        <v>312.31685279704055</v>
      </c>
      <c r="AG75" s="535">
        <f ca="1">IF(OFFSET(NAMES!$G$1,MATCH($C21,NAMES!$D:$D,0)-1,0)=TRUE,
(SUMIF($C22:$C71,"Revenues (MM)",AG22:AG71)),
0)</f>
        <v>326.21740105540221</v>
      </c>
      <c r="AH75" s="535">
        <f ca="1">IF(OFFSET(NAMES!$G$1,MATCH($C21,NAMES!$D:$D,0)-1,0)=TRUE,
(SUMIF($C22:$C71,"Revenues (MM)",AH22:AH71)),
0)</f>
        <v>340.82295244287639</v>
      </c>
      <c r="AI75" s="535">
        <f ca="1">IF(OFFSET(NAMES!$G$1,MATCH($C21,NAMES!$D:$D,0)-1,0)=TRUE,
(SUMIF($C22:$C71,"Revenues (MM)",AI22:AI71)),
0)</f>
        <v>356.06212826007692</v>
      </c>
      <c r="AJ75" s="535">
        <f ca="1">IF(OFFSET(NAMES!$G$1,MATCH($C21,NAMES!$D:$D,0)-1,0)=TRUE,
(SUMIF($C22:$C71,"Revenues (MM)",AJ22:AJ71)),
0)</f>
        <v>372.01795303522067</v>
      </c>
      <c r="AK75" s="535">
        <f ca="1">IF(OFFSET(NAMES!$G$1,MATCH($C21,NAMES!$D:$D,0)-1,0)=TRUE,
(SUMIF($C22:$C71,"Revenues (MM)",AK22:AK71)),
0)</f>
        <v>388.60926676992943</v>
      </c>
      <c r="AL75" s="535">
        <f ca="1">IF(OFFSET(NAMES!$G$1,MATCH($C21,NAMES!$D:$D,0)-1,0)=TRUE,
(SUMIF($C22:$C71,"Revenues (MM)",AL22:AL71)),
0)</f>
        <v>405.98130385069481</v>
      </c>
      <c r="AM75" s="535">
        <f ca="1">IF(OFFSET(NAMES!$G$1,MATCH($C21,NAMES!$D:$D,0)-1,0)=TRUE,
(SUMIF($C22:$C71,"Revenues (MM)",AM22:AM71)),
0)</f>
        <v>424.3743410384472</v>
      </c>
      <c r="AN75" s="535">
        <f ca="1">IF(OFFSET(NAMES!$G$1,MATCH($C21,NAMES!$D:$D,0)-1,0)=TRUE,
(SUMIF($C22:$C71,"Revenues (MM)",AN22:AN71)),
0)</f>
        <v>443.2036599970059</v>
      </c>
      <c r="AO75" s="436"/>
      <c r="AP75" s="21"/>
    </row>
    <row r="76" spans="2:42" ht="15" customHeight="1" x14ac:dyDescent="0.35">
      <c r="B76" s="429"/>
      <c r="C76" s="777"/>
      <c r="D76" s="776"/>
      <c r="E76" s="468"/>
      <c r="F76" s="468"/>
      <c r="G76" s="468"/>
      <c r="H76" s="468"/>
      <c r="I76" s="468"/>
      <c r="J76" s="468"/>
      <c r="K76" s="468"/>
      <c r="L76" s="468"/>
      <c r="M76" s="468"/>
      <c r="N76" s="468"/>
      <c r="O76" s="468"/>
      <c r="P76" s="468"/>
      <c r="Q76" s="468"/>
      <c r="R76" s="468"/>
      <c r="S76" s="468"/>
      <c r="T76" s="468"/>
      <c r="U76" s="468"/>
      <c r="V76" s="468"/>
      <c r="W76" s="468"/>
      <c r="X76" s="468"/>
      <c r="Y76" s="468"/>
      <c r="Z76" s="468"/>
      <c r="AA76" s="468"/>
      <c r="AB76" s="468"/>
      <c r="AC76" s="468"/>
      <c r="AD76" s="468"/>
      <c r="AE76" s="468"/>
      <c r="AF76" s="468"/>
      <c r="AG76" s="468"/>
      <c r="AH76" s="468"/>
      <c r="AI76" s="468"/>
      <c r="AJ76" s="468"/>
      <c r="AK76" s="468"/>
      <c r="AL76" s="468"/>
      <c r="AM76" s="468"/>
      <c r="AN76" s="468"/>
      <c r="AO76" s="436"/>
      <c r="AP76" s="21"/>
    </row>
    <row r="77" spans="2:42" ht="15" customHeight="1" x14ac:dyDescent="0.35">
      <c r="B77" s="429"/>
      <c r="C77" s="777" t="s">
        <v>216</v>
      </c>
      <c r="D77" s="776"/>
      <c r="E77" s="536">
        <f ca="1">IF(OFFSET(NAMES!$G$1,MATCH($C21,NAMES!$D:$D,0)-1,0)=TRUE,
(SUMIF($C22:$C72,"Materials (MM)",E22:E72)),
0)</f>
        <v>61.083676823561099</v>
      </c>
      <c r="F77" s="536">
        <f ca="1">IF(OFFSET(NAMES!$G$1,MATCH($C21,NAMES!$D:$D,0)-1,0)=TRUE,
(SUMIF($C22:$C72,"Materials (MM)",F22:F72)),
0)</f>
        <v>63.316714287262855</v>
      </c>
      <c r="G77" s="536">
        <f ca="1">IF(OFFSET(NAMES!$G$1,MATCH($C21,NAMES!$D:$D,0)-1,0)=TRUE,
(SUMIF($C22:$C72,"Materials (MM)",G22:G72)),
0)</f>
        <v>65.262540503486008</v>
      </c>
      <c r="H77" s="536">
        <f ca="1">IF(OFFSET(NAMES!$G$1,MATCH($C21,NAMES!$D:$D,0)-1,0)=TRUE,
(SUMIF($C22:$C72,"Materials (MM)",H22:H72)),
0)</f>
        <v>67.850535436061165</v>
      </c>
      <c r="I77" s="536">
        <f ca="1">IF(OFFSET(NAMES!$G$1,MATCH($C21,NAMES!$D:$D,0)-1,0)=TRUE,
(SUMIF($C22:$C72,"Materials (MM)",I22:I72)),
0)</f>
        <v>70.628505527364311</v>
      </c>
      <c r="J77" s="536">
        <f ca="1">IF(OFFSET(NAMES!$G$1,MATCH($C21,NAMES!$D:$D,0)-1,0)=TRUE,
(SUMIF($C22:$C72,"Materials (MM)",J22:J72)),
0)</f>
        <v>73.715165209055911</v>
      </c>
      <c r="K77" s="536">
        <f ca="1">IF(OFFSET(NAMES!$G$1,MATCH($C21,NAMES!$D:$D,0)-1,0)=TRUE,
(SUMIF($C22:$C72,"Materials (MM)",K22:K72)),
0)</f>
        <v>77.073138587831806</v>
      </c>
      <c r="L77" s="536">
        <f ca="1">IF(OFFSET(NAMES!$G$1,MATCH($C21,NAMES!$D:$D,0)-1,0)=TRUE,
(SUMIF($C22:$C72,"Materials (MM)",L22:L72)),
0)</f>
        <v>80.664999031098233</v>
      </c>
      <c r="M77" s="536">
        <f ca="1">IF(OFFSET(NAMES!$G$1,MATCH($C21,NAMES!$D:$D,0)-1,0)=TRUE,
(SUMIF($C22:$C72,"Materials (MM)",M22:M72)),
0)</f>
        <v>84.354097258778211</v>
      </c>
      <c r="N77" s="536">
        <f ca="1">IF(OFFSET(NAMES!$G$1,MATCH($C21,NAMES!$D:$D,0)-1,0)=TRUE,
(SUMIF($C22:$C72,"Materials (MM)",N22:N72)),
0)</f>
        <v>88.183081402611762</v>
      </c>
      <c r="O77" s="536">
        <f ca="1">IF(OFFSET(NAMES!$G$1,MATCH($C21,NAMES!$D:$D,0)-1,0)=TRUE,
(SUMIF($C22:$C72,"Materials (MM)",O22:O72)),
0)</f>
        <v>92.160378617447435</v>
      </c>
      <c r="P77" s="536">
        <f ca="1">IF(OFFSET(NAMES!$G$1,MATCH($C21,NAMES!$D:$D,0)-1,0)=TRUE,
(SUMIF($C22:$C72,"Materials (MM)",P22:P72)),
0)</f>
        <v>96.235326998573626</v>
      </c>
      <c r="Q77" s="536">
        <f ca="1">IF(OFFSET(NAMES!$G$1,MATCH($C21,NAMES!$D:$D,0)-1,0)=TRUE,
(SUMIF($C22:$C72,"Materials (MM)",Q22:Q72)),
0)</f>
        <v>100.45976664731555</v>
      </c>
      <c r="R77" s="536">
        <f ca="1">IF(OFFSET(NAMES!$G$1,MATCH($C21,NAMES!$D:$D,0)-1,0)=TRUE,
(SUMIF($C22:$C72,"Materials (MM)",R22:R72)),
0)</f>
        <v>104.92342616304052</v>
      </c>
      <c r="S77" s="536">
        <f ca="1">IF(OFFSET(NAMES!$G$1,MATCH($C21,NAMES!$D:$D,0)-1,0)=TRUE,
(SUMIF($C22:$C72,"Materials (MM)",S22:S72)),
0)</f>
        <v>109.5684974069385</v>
      </c>
      <c r="T77" s="536">
        <f ca="1">IF(OFFSET(NAMES!$G$1,MATCH($C21,NAMES!$D:$D,0)-1,0)=TRUE,
(SUMIF($C22:$C72,"Materials (MM)",T22:T72)),
0)</f>
        <v>114.41423689300095</v>
      </c>
      <c r="U77" s="536">
        <f ca="1">IF(OFFSET(NAMES!$G$1,MATCH($C21,NAMES!$D:$D,0)-1,0)=TRUE,
(SUMIF($C22:$C72,"Materials (MM)",U22:U72)),
0)</f>
        <v>119.53467305877079</v>
      </c>
      <c r="V77" s="536">
        <f ca="1">IF(OFFSET(NAMES!$G$1,MATCH($C21,NAMES!$D:$D,0)-1,0)=TRUE,
(SUMIF($C22:$C72,"Materials (MM)",V22:V72)),
0)</f>
        <v>124.87824864173976</v>
      </c>
      <c r="W77" s="536">
        <f ca="1">IF(OFFSET(NAMES!$G$1,MATCH($C21,NAMES!$D:$D,0)-1,0)=TRUE,
(SUMIF($C22:$C72,"Materials (MM)",W22:W72)),
0)</f>
        <v>130.50378399466092</v>
      </c>
      <c r="X77" s="536">
        <f ca="1">IF(OFFSET(NAMES!$G$1,MATCH($C21,NAMES!$D:$D,0)-1,0)=TRUE,
(SUMIF($C22:$C72,"Materials (MM)",X22:X72)),
0)</f>
        <v>136.35085956921682</v>
      </c>
      <c r="Y77" s="536">
        <f ca="1">IF(OFFSET(NAMES!$G$1,MATCH($C21,NAMES!$D:$D,0)-1,0)=TRUE,
(SUMIF($C22:$C72,"Materials (MM)",Y22:Y72)),
0)</f>
        <v>142.44547199351635</v>
      </c>
      <c r="Z77" s="536">
        <f ca="1">IF(OFFSET(NAMES!$G$1,MATCH($C21,NAMES!$D:$D,0)-1,0)=TRUE,
(SUMIF($C22:$C72,"Materials (MM)",Z22:Z72)),
0)</f>
        <v>148.82514515536619</v>
      </c>
      <c r="AA77" s="536">
        <f ca="1">IF(OFFSET(NAMES!$G$1,MATCH($C21,NAMES!$D:$D,0)-1,0)=TRUE,
(SUMIF($C22:$C72,"Materials (MM)",AA22:AA72)),
0)</f>
        <v>155.48311340536563</v>
      </c>
      <c r="AB77" s="536">
        <f ca="1">IF(OFFSET(NAMES!$G$1,MATCH($C21,NAMES!$D:$D,0)-1,0)=TRUE,
(SUMIF($C22:$C72,"Materials (MM)",AB22:AB72)),
0)</f>
        <v>162.46336058533868</v>
      </c>
      <c r="AC77" s="536">
        <f ca="1">IF(OFFSET(NAMES!$G$1,MATCH($C21,NAMES!$D:$D,0)-1,0)=TRUE,
(SUMIF($C22:$C72,"Materials (MM)",AC22:AC72)),
0)</f>
        <v>169.6577350897953</v>
      </c>
      <c r="AD77" s="536">
        <f ca="1">IF(OFFSET(NAMES!$G$1,MATCH($C21,NAMES!$D:$D,0)-1,0)=TRUE,
(SUMIF($C22:$C72,"Materials (MM)",AD22:AD72)),
0)</f>
        <v>177.25307242987159</v>
      </c>
      <c r="AE77" s="536">
        <f ca="1">IF(OFFSET(NAMES!$G$1,MATCH($C21,NAMES!$D:$D,0)-1,0)=TRUE,
(SUMIF($C22:$C72,"Materials (MM)",AE22:AE72)),
0)</f>
        <v>185.21922844508131</v>
      </c>
      <c r="AF77" s="536">
        <f ca="1">IF(OFFSET(NAMES!$G$1,MATCH($C21,NAMES!$D:$D,0)-1,0)=TRUE,
(SUMIF($C22:$C72,"Materials (MM)",AF22:AF72)),
0)</f>
        <v>193.53351962423659</v>
      </c>
      <c r="AG77" s="536">
        <f ca="1">IF(OFFSET(NAMES!$G$1,MATCH($C21,NAMES!$D:$D,0)-1,0)=TRUE,
(SUMIF($C22:$C72,"Materials (MM)",AG22:AG72)),
0)</f>
        <v>202.14833465253008</v>
      </c>
      <c r="AH77" s="536">
        <f ca="1">IF(OFFSET(NAMES!$G$1,MATCH($C21,NAMES!$D:$D,0)-1,0)=TRUE,
(SUMIF($C22:$C72,"Materials (MM)",AH22:AH72)),
0)</f>
        <v>211.19902395200239</v>
      </c>
      <c r="AI77" s="536">
        <f ca="1">IF(OFFSET(NAMES!$G$1,MATCH($C21,NAMES!$D:$D,0)-1,0)=TRUE,
(SUMIF($C22:$C72,"Materials (MM)",AI22:AI72)),
0)</f>
        <v>220.64235497761769</v>
      </c>
      <c r="AJ77" s="536">
        <f ca="1">IF(OFFSET(NAMES!$G$1,MATCH($C21,NAMES!$D:$D,0)-1,0)=TRUE,
(SUMIF($C22:$C72,"Materials (MM)",AJ22:AJ72)),
0)</f>
        <v>230.53020372397981</v>
      </c>
      <c r="AK77" s="536">
        <f ca="1">IF(OFFSET(NAMES!$G$1,MATCH($C21,NAMES!$D:$D,0)-1,0)=TRUE,
(SUMIF($C22:$C72,"Materials (MM)",AK22:AK72)),
0)</f>
        <v>240.81144313793519</v>
      </c>
      <c r="AL77" s="536">
        <f ca="1">IF(OFFSET(NAMES!$G$1,MATCH($C21,NAMES!$D:$D,0)-1,0)=TRUE,
(SUMIF($C22:$C72,"Materials (MM)",AL22:AL72)),
0)</f>
        <v>251.57694999668692</v>
      </c>
      <c r="AM77" s="536">
        <f ca="1">IF(OFFSET(NAMES!$G$1,MATCH($C21,NAMES!$D:$D,0)-1,0)=TRUE,
(SUMIF($C22:$C72,"Materials (MM)",AM22:AM72)),
0)</f>
        <v>262.97316181857389</v>
      </c>
      <c r="AN77" s="536">
        <f ca="1">IF(OFFSET(NAMES!$G$1,MATCH($C21,NAMES!$D:$D,0)-1,0)=TRUE,
(SUMIF($C22:$C72,"Materials (MM)",AN22:AN72)),
0)</f>
        <v>274.64202972097428</v>
      </c>
      <c r="AO77" s="436"/>
      <c r="AP77" s="21"/>
    </row>
    <row r="78" spans="2:42" ht="15" customHeight="1" x14ac:dyDescent="0.35">
      <c r="B78" s="429"/>
      <c r="C78" s="777" t="s">
        <v>217</v>
      </c>
      <c r="D78" s="776"/>
      <c r="E78" s="537">
        <f ca="1">IF(OFFSET(NAMES!$G$1,MATCH($C21,NAMES!$D:$D,0)-1,0)=TRUE,
(SUMIF($C22:$C72,"Labor (MM)",E22:E72)),
0)</f>
        <v>1.3988886672684662</v>
      </c>
      <c r="F78" s="537">
        <f ca="1">IF(OFFSET(NAMES!$G$1,MATCH($C21,NAMES!$D:$D,0)-1,0)=TRUE,
(SUMIF($C22:$C72,"Labor (MM)",F22:F72)),
0)</f>
        <v>1.4500961533683541</v>
      </c>
      <c r="G78" s="537">
        <f ca="1">IF(OFFSET(NAMES!$G$1,MATCH($C21,NAMES!$D:$D,0)-1,0)=TRUE,
(SUMIF($C22:$C72,"Labor (MM)",G22:G72)),
0)</f>
        <v>1.4946499155773754</v>
      </c>
      <c r="H78" s="537">
        <f ca="1">IF(OFFSET(NAMES!$G$1,MATCH($C21,NAMES!$D:$D,0)-1,0)=TRUE,
(SUMIF($C22:$C72,"Labor (MM)",H22:H72)),
0)</f>
        <v>1.5539250074902613</v>
      </c>
      <c r="I78" s="537">
        <f ca="1">IF(OFFSET(NAMES!$G$1,MATCH($C21,NAMES!$D:$D,0)-1,0)=TRUE,
(SUMIF($C22:$C72,"Labor (MM)",I22:I72)),
0)</f>
        <v>1.6175466882346721</v>
      </c>
      <c r="J78" s="537">
        <f ca="1">IF(OFFSET(NAMES!$G$1,MATCH($C21,NAMES!$D:$D,0)-1,0)=TRUE,
(SUMIF($C22:$C72,"Labor (MM)",J22:J72)),
0)</f>
        <v>1.6882319736024767</v>
      </c>
      <c r="K78" s="537">
        <f ca="1">IF(OFFSET(NAMES!$G$1,MATCH($C21,NAMES!$D:$D,0)-1,0)=TRUE,
(SUMIF($C22:$C72,"Labor (MM)",K22:K72)),
0)</f>
        <v>1.7651242859334315</v>
      </c>
      <c r="L78" s="537">
        <f ca="1">IF(OFFSET(NAMES!$G$1,MATCH($C21,NAMES!$D:$D,0)-1,0)=TRUE,
(SUMIF($C22:$C72,"Labor (MM)",L22:L72)),
0)</f>
        <v>1.8473848531849917</v>
      </c>
      <c r="M78" s="537">
        <f ca="1">IF(OFFSET(NAMES!$G$1,MATCH($C21,NAMES!$D:$D,0)-1,0)=TRUE,
(SUMIF($C22:$C72,"Labor (MM)",M22:M72)),
0)</f>
        <v>1.93185152605669</v>
      </c>
      <c r="N78" s="537">
        <f ca="1">IF(OFFSET(NAMES!$G$1,MATCH($C21,NAMES!$D:$D,0)-1,0)=TRUE,
(SUMIF($C22:$C72,"Labor (MM)",N22:N72)),
0)</f>
        <v>2.0195416072073891</v>
      </c>
      <c r="O78" s="537">
        <f ca="1">IF(OFFSET(NAMES!$G$1,MATCH($C21,NAMES!$D:$D,0)-1,0)=TRUE,
(SUMIF($C22:$C72,"Labor (MM)",O22:O72)),
0)</f>
        <v>2.1107484581119347</v>
      </c>
      <c r="P78" s="537">
        <f ca="1">IF(OFFSET(NAMES!$G$1,MATCH($C21,NAMES!$D:$D,0)-1,0)=TRUE,
(SUMIF($C22:$C72,"Labor (MM)",P22:P72)),
0)</f>
        <v>2.2039508933060818</v>
      </c>
      <c r="Q78" s="537">
        <f ca="1">IF(OFFSET(NAMES!$G$1,MATCH($C21,NAMES!$D:$D,0)-1,0)=TRUE,
(SUMIF($C22:$C72,"Labor (MM)",Q22:Q72)),
0)</f>
        <v>2.3006807584615703</v>
      </c>
      <c r="R78" s="537">
        <f ca="1">IF(OFFSET(NAMES!$G$1,MATCH($C21,NAMES!$D:$D,0)-1,0)=TRUE,
(SUMIF($C22:$C72,"Labor (MM)",R22:R72)),
0)</f>
        <v>2.4029050875890769</v>
      </c>
      <c r="S78" s="537">
        <f ca="1">IF(OFFSET(NAMES!$G$1,MATCH($C21,NAMES!$D:$D,0)-1,0)=TRUE,
(SUMIF($C22:$C72,"Labor (MM)",S22:S72)),
0)</f>
        <v>2.5094210816384193</v>
      </c>
      <c r="T78" s="537">
        <f ca="1">IF(OFFSET(NAMES!$G$1,MATCH($C21,NAMES!$D:$D,0)-1,0)=TRUE,
(SUMIF($C22:$C72,"Labor (MM)",T22:T72)),
0)</f>
        <v>2.6202377399445425</v>
      </c>
      <c r="U78" s="537">
        <f ca="1">IF(OFFSET(NAMES!$G$1,MATCH($C21,NAMES!$D:$D,0)-1,0)=TRUE,
(SUMIF($C22:$C72,"Labor (MM)",U22:U72)),
0)</f>
        <v>2.7374930310857044</v>
      </c>
      <c r="V78" s="537">
        <f ca="1">IF(OFFSET(NAMES!$G$1,MATCH($C21,NAMES!$D:$D,0)-1,0)=TRUE,
(SUMIF($C22:$C72,"Labor (MM)",V22:V72)),
0)</f>
        <v>2.8598656651677548</v>
      </c>
      <c r="W78" s="537">
        <f ca="1">IF(OFFSET(NAMES!$G$1,MATCH($C21,NAMES!$D:$D,0)-1,0)=TRUE,
(SUMIF($C22:$C72,"Labor (MM)",W22:W72)),
0)</f>
        <v>2.9888760697407939</v>
      </c>
      <c r="X78" s="537">
        <f ca="1">IF(OFFSET(NAMES!$G$1,MATCH($C21,NAMES!$D:$D,0)-1,0)=TRUE,
(SUMIF($C22:$C72,"Labor (MM)",X22:X72)),
0)</f>
        <v>3.1226025333797365</v>
      </c>
      <c r="Y78" s="537">
        <f ca="1">IF(OFFSET(NAMES!$G$1,MATCH($C21,NAMES!$D:$D,0)-1,0)=TRUE,
(SUMIF($C22:$C72,"Labor (MM)",Y22:Y72)),
0)</f>
        <v>3.2621624486851779</v>
      </c>
      <c r="Z78" s="537">
        <f ca="1">IF(OFFSET(NAMES!$G$1,MATCH($C21,NAMES!$D:$D,0)-1,0)=TRUE,
(SUMIF($C22:$C72,"Labor (MM)",Z22:Z72)),
0)</f>
        <v>3.4084692047148195</v>
      </c>
      <c r="AA78" s="537">
        <f ca="1">IF(OFFSET(NAMES!$G$1,MATCH($C21,NAMES!$D:$D,0)-1,0)=TRUE,
(SUMIF($C22:$C72,"Labor (MM)",AA22:AA72)),
0)</f>
        <v>3.5607239159132358</v>
      </c>
      <c r="AB78" s="537">
        <f ca="1">IF(OFFSET(NAMES!$G$1,MATCH($C21,NAMES!$D:$D,0)-1,0)=TRUE,
(SUMIF($C22:$C72,"Labor (MM)",AB22:AB72)),
0)</f>
        <v>3.7207907691191133</v>
      </c>
      <c r="AC78" s="537">
        <f ca="1">IF(OFFSET(NAMES!$G$1,MATCH($C21,NAMES!$D:$D,0)-1,0)=TRUE,
(SUMIF($C22:$C72,"Labor (MM)",AC22:AC72)),
0)</f>
        <v>3.8853204080057941</v>
      </c>
      <c r="AD78" s="537">
        <f ca="1">IF(OFFSET(NAMES!$G$1,MATCH($C21,NAMES!$D:$D,0)-1,0)=TRUE,
(SUMIF($C22:$C72,"Labor (MM)",AD22:AD72)),
0)</f>
        <v>4.0594941850733104</v>
      </c>
      <c r="AE78" s="537">
        <f ca="1">IF(OFFSET(NAMES!$G$1,MATCH($C21,NAMES!$D:$D,0)-1,0)=TRUE,
(SUMIF($C22:$C72,"Labor (MM)",AE22:AE72)),
0)</f>
        <v>4.2419373384880625</v>
      </c>
      <c r="AF78" s="537">
        <f ca="1">IF(OFFSET(NAMES!$G$1,MATCH($C21,NAMES!$D:$D,0)-1,0)=TRUE,
(SUMIF($C22:$C72,"Labor (MM)",AF22:AF72)),
0)</f>
        <v>4.432353595897065</v>
      </c>
      <c r="AG78" s="537">
        <f ca="1">IF(OFFSET(NAMES!$G$1,MATCH($C21,NAMES!$D:$D,0)-1,0)=TRUE,
(SUMIF($C22:$C72,"Labor (MM)",AG22:AG72)),
0)</f>
        <v>4.6293263939721507</v>
      </c>
      <c r="AH78" s="537">
        <f ca="1">IF(OFFSET(NAMES!$G$1,MATCH($C21,NAMES!$D:$D,0)-1,0)=TRUE,
(SUMIF($C22:$C72,"Labor (MM)",AH22:AH72)),
0)</f>
        <v>4.8365917427713043</v>
      </c>
      <c r="AI78" s="537">
        <f ca="1">IF(OFFSET(NAMES!$G$1,MATCH($C21,NAMES!$D:$D,0)-1,0)=TRUE,
(SUMIF($C22:$C72,"Labor (MM)",AI22:AI72)),
0)</f>
        <v>5.0528487165106126</v>
      </c>
      <c r="AJ78" s="537">
        <f ca="1">IF(OFFSET(NAMES!$G$1,MATCH($C21,NAMES!$D:$D,0)-1,0)=TRUE,
(SUMIF($C22:$C72,"Labor (MM)",AJ22:AJ72)),
0)</f>
        <v>5.2792636239393964</v>
      </c>
      <c r="AK78" s="537">
        <f ca="1">IF(OFFSET(NAMES!$G$1,MATCH($C21,NAMES!$D:$D,0)-1,0)=TRUE,
(SUMIF($C22:$C72,"Labor (MM)",AK22:AK72)),
0)</f>
        <v>5.5147078948314876</v>
      </c>
      <c r="AL78" s="537">
        <f ca="1">IF(OFFSET(NAMES!$G$1,MATCH($C21,NAMES!$D:$D,0)-1,0)=TRUE,
(SUMIF($C22:$C72,"Labor (MM)",AL22:AL72)),
0)</f>
        <v>5.7612181294525051</v>
      </c>
      <c r="AM78" s="537">
        <f ca="1">IF(OFFSET(NAMES!$G$1,MATCH($C21,NAMES!$D:$D,0)-1,0)=TRUE,
(SUMIF($C22:$C72,"Labor (MM)",AM22:AM72)),
0)</f>
        <v>6.02258149257292</v>
      </c>
      <c r="AN78" s="537">
        <f ca="1">IF(OFFSET(NAMES!$G$1,MATCH($C21,NAMES!$D:$D,0)-1,0)=TRUE,
(SUMIF($C22:$C72,"Labor (MM)",AN22:AN72)),
0)</f>
        <v>6.289690230483755</v>
      </c>
      <c r="AO78" s="436"/>
      <c r="AP78" s="21"/>
    </row>
    <row r="79" spans="2:42" ht="15" customHeight="1" x14ac:dyDescent="0.35">
      <c r="B79" s="429"/>
      <c r="C79" s="777" t="s">
        <v>218</v>
      </c>
      <c r="D79" s="776"/>
      <c r="E79" s="537">
        <f ca="1">IF(OFFSET(NAMES!$G$1,MATCH($C21,NAMES!$D:$D,0)-1,0)=TRUE,
(SUMIF($C22:$C72,"Depreciation (MM)",E22:E72)),
0)</f>
        <v>3.4501408203037527</v>
      </c>
      <c r="F79" s="537">
        <f ca="1">IF(OFFSET(NAMES!$G$1,MATCH($C21,NAMES!$D:$D,0)-1,0)=TRUE,
(SUMIF($C22:$C72,"Depreciation (MM)",F22:F72)),
0)</f>
        <v>3.5762775448572373</v>
      </c>
      <c r="G79" s="537">
        <f ca="1">IF(OFFSET(NAMES!$G$1,MATCH($C21,NAMES!$D:$D,0)-1,0)=TRUE,
(SUMIF($C22:$C72,"Depreciation (MM)",G22:G72)),
0)</f>
        <v>3.6861841083411795</v>
      </c>
      <c r="H79" s="537">
        <f ca="1">IF(OFFSET(NAMES!$G$1,MATCH($C21,NAMES!$D:$D,0)-1,0)=TRUE,
(SUMIF($C22:$C72,"Depreciation (MM)",H22:H72)),
0)</f>
        <v>3.8323486206916848</v>
      </c>
      <c r="I79" s="537">
        <f ca="1">IF(OFFSET(NAMES!$G$1,MATCH($C21,NAMES!$D:$D,0)-1,0)=TRUE,
(SUMIF($C22:$C72,"Depreciation (MM)",I22:I72)),
0)</f>
        <v>3.9892545604097096</v>
      </c>
      <c r="J79" s="537">
        <f ca="1">IF(OFFSET(NAMES!$G$1,MATCH($C21,NAMES!$D:$D,0)-1,0)=TRUE,
(SUMIF($C22:$C72,"Depreciation (MM)",J22:J72)),
0)</f>
        <v>4.163589216593385</v>
      </c>
      <c r="K79" s="537">
        <f ca="1">IF(OFFSET(NAMES!$G$1,MATCH($C21,NAMES!$D:$D,0)-1,0)=TRUE,
(SUMIF($C22:$C72,"Depreciation (MM)",K22:K72)),
0)</f>
        <v>4.3532566219394209</v>
      </c>
      <c r="L79" s="537">
        <f ca="1">IF(OFFSET(NAMES!$G$1,MATCH($C21,NAMES!$D:$D,0)-1,0)=TRUE,
(SUMIF($C22:$C72,"Depreciation (MM)",L22:L72)),
0)</f>
        <v>4.5561326244771001</v>
      </c>
      <c r="M79" s="537">
        <f ca="1">IF(OFFSET(NAMES!$G$1,MATCH($C21,NAMES!$D:$D,0)-1,0)=TRUE,
(SUMIF($C22:$C72,"Depreciation (MM)",M22:M72)),
0)</f>
        <v>4.7644950977050291</v>
      </c>
      <c r="N79" s="537">
        <f ca="1">IF(OFFSET(NAMES!$G$1,MATCH($C21,NAMES!$D:$D,0)-1,0)=TRUE,
(SUMIF($C22:$C72,"Depreciation (MM)",N22:N72)),
0)</f>
        <v>4.9807640601782062</v>
      </c>
      <c r="O79" s="537">
        <f ca="1">IF(OFFSET(NAMES!$G$1,MATCH($C21,NAMES!$D:$D,0)-1,0)=TRUE,
(SUMIF($C22:$C72,"Depreciation (MM)",O22:O72)),
0)</f>
        <v>5.2054172567840906</v>
      </c>
      <c r="P79" s="537">
        <f ca="1">IF(OFFSET(NAMES!$G$1,MATCH($C21,NAMES!$D:$D,0)-1,0)=TRUE,
(SUMIF($C22:$C72,"Depreciation (MM)",P22:P72)),
0)</f>
        <v>5.4355507772282383</v>
      </c>
      <c r="Q79" s="537">
        <f ca="1">IF(OFFSET(NAMES!$G$1,MATCH($C21,NAMES!$D:$D,0)-1,0)=TRUE,
(SUMIF($C22:$C72,"Depreciation (MM)",Q22:Q72)),
0)</f>
        <v>5.6741574684845757</v>
      </c>
      <c r="R79" s="537">
        <f ca="1">IF(OFFSET(NAMES!$G$1,MATCH($C21,NAMES!$D:$D,0)-1,0)=TRUE,
(SUMIF($C22:$C72,"Depreciation (MM)",R22:R72)),
0)</f>
        <v>5.9262732507676397</v>
      </c>
      <c r="S79" s="537">
        <f ca="1">IF(OFFSET(NAMES!$G$1,MATCH($C21,NAMES!$D:$D,0)-1,0)=TRUE,
(SUMIF($C22:$C72,"Depreciation (MM)",S22:S72)),
0)</f>
        <v>6.1886577345251919</v>
      </c>
      <c r="T79" s="537">
        <f ca="1">IF(OFFSET(NAMES!$G$1,MATCH($C21,NAMES!$D:$D,0)-1,0)=TRUE,
(SUMIF($C22:$C72,"Depreciation (MM)",T22:T72)),
0)</f>
        <v>6.462327765275881</v>
      </c>
      <c r="U79" s="537">
        <f ca="1">IF(OFFSET(NAMES!$G$1,MATCH($C21,NAMES!$D:$D,0)-1,0)=TRUE,
(SUMIF($C22:$C72,"Depreciation (MM)",U22:U72)),
0)</f>
        <v>6.7515350655194259</v>
      </c>
      <c r="V79" s="537">
        <f ca="1">IF(OFFSET(NAMES!$G$1,MATCH($C21,NAMES!$D:$D,0)-1,0)=TRUE,
(SUMIF($C22:$C72,"Depreciation (MM)",V22:V72)),
0)</f>
        <v>7.0533418450687764</v>
      </c>
      <c r="W79" s="537">
        <f ca="1">IF(OFFSET(NAMES!$G$1,MATCH($C21,NAMES!$D:$D,0)-1,0)=TRUE,
(SUMIF($C22:$C72,"Depreciation (MM)",W22:W72)),
0)</f>
        <v>7.3711005436073052</v>
      </c>
      <c r="X79" s="537">
        <f ca="1">IF(OFFSET(NAMES!$G$1,MATCH($C21,NAMES!$D:$D,0)-1,0)=TRUE,
(SUMIF($C22:$C72,"Depreciation (MM)",X22:X72)),
0)</f>
        <v>7.7013123177790836</v>
      </c>
      <c r="Y79" s="537">
        <f ca="1">IF(OFFSET(NAMES!$G$1,MATCH($C21,NAMES!$D:$D,0)-1,0)=TRUE,
(SUMIF($C22:$C72,"Depreciation (MM)",Y22:Y72)),
0)</f>
        <v>8.0455542767987929</v>
      </c>
      <c r="Z79" s="537">
        <f ca="1">IF(OFFSET(NAMES!$G$1,MATCH($C21,NAMES!$D:$D,0)-1,0)=TRUE,
(SUMIF($C22:$C72,"Depreciation (MM)",Z22:Z72)),
0)</f>
        <v>8.4059006585658249</v>
      </c>
      <c r="AA79" s="537">
        <f ca="1">IF(OFFSET(NAMES!$G$1,MATCH($C21,NAMES!$D:$D,0)-1,0)=TRUE,
(SUMIF($C22:$C72,"Depreciation (MM)",AA22:AA72)),
0)</f>
        <v>8.7819252660806875</v>
      </c>
      <c r="AB79" s="537">
        <f ca="1">IF(OFFSET(NAMES!$G$1,MATCH($C21,NAMES!$D:$D,0)-1,0)=TRUE,
(SUMIF($C22:$C72,"Depreciation (MM)",AB22:AB72)),
0)</f>
        <v>9.1762144042389142</v>
      </c>
      <c r="AC79" s="537">
        <f ca="1">IF(OFFSET(NAMES!$G$1,MATCH($C21,NAMES!$D:$D,0)-1,0)=TRUE,
(SUMIF($C22:$C72,"Depreciation (MM)",AC22:AC72)),
0)</f>
        <v>9.5825114259237303</v>
      </c>
      <c r="AD79" s="537">
        <f ca="1">IF(OFFSET(NAMES!$G$1,MATCH($C21,NAMES!$D:$D,0)-1,0)=TRUE,
(SUMIF($C22:$C72,"Depreciation (MM)",AD22:AD72)),
0)</f>
        <v>10.011544359538872</v>
      </c>
      <c r="AE79" s="537">
        <f ca="1">IF(OFFSET(NAMES!$G$1,MATCH($C21,NAMES!$D:$D,0)-1,0)=TRUE,
(SUMIF($C22:$C72,"Depreciation (MM)",AE22:AE72)),
0)</f>
        <v>10.461485501893476</v>
      </c>
      <c r="AF79" s="537">
        <f ca="1">IF(OFFSET(NAMES!$G$1,MATCH($C21,NAMES!$D:$D,0)-1,0)=TRUE,
(SUMIF($C22:$C72,"Depreciation (MM)",AF22:AF72)),
0)</f>
        <v>10.931089847896422</v>
      </c>
      <c r="AG79" s="537">
        <f ca="1">IF(OFFSET(NAMES!$G$1,MATCH($C21,NAMES!$D:$D,0)-1,0)=TRUE,
(SUMIF($C22:$C72,"Depreciation (MM)",AG22:AG72)),
0)</f>
        <v>11.417609036939076</v>
      </c>
      <c r="AH79" s="537">
        <f ca="1">IF(OFFSET(NAMES!$G$1,MATCH($C21,NAMES!$D:$D,0)-1,0)=TRUE,
(SUMIF($C22:$C72,"Depreciation (MM)",AH22:AH72)),
0)</f>
        <v>11.928803335500673</v>
      </c>
      <c r="AI79" s="537">
        <f ca="1">IF(OFFSET(NAMES!$G$1,MATCH($C21,NAMES!$D:$D,0)-1,0)=TRUE,
(SUMIF($C22:$C72,"Depreciation (MM)",AI22:AI72)),
0)</f>
        <v>12.462174489102694</v>
      </c>
      <c r="AJ79" s="537">
        <f ca="1">IF(OFFSET(NAMES!$G$1,MATCH($C21,NAMES!$D:$D,0)-1,0)=TRUE,
(SUMIF($C22:$C72,"Depreciation (MM)",AJ22:AJ72)),
0)</f>
        <v>13.020628356232725</v>
      </c>
      <c r="AK79" s="537">
        <f ca="1">IF(OFFSET(NAMES!$G$1,MATCH($C21,NAMES!$D:$D,0)-1,0)=TRUE,
(SUMIF($C22:$C72,"Depreciation (MM)",AK22:AK72)),
0)</f>
        <v>13.601324336947531</v>
      </c>
      <c r="AL79" s="537">
        <f ca="1">IF(OFFSET(NAMES!$G$1,MATCH($C21,NAMES!$D:$D,0)-1,0)=TRUE,
(SUMIF($C22:$C72,"Depreciation (MM)",AL22:AL72)),
0)</f>
        <v>14.209345634774323</v>
      </c>
      <c r="AM79" s="537">
        <f ca="1">IF(OFFSET(NAMES!$G$1,MATCH($C21,NAMES!$D:$D,0)-1,0)=TRUE,
(SUMIF($C22:$C72,"Depreciation (MM)",AM22:AM72)),
0)</f>
        <v>14.853101936345652</v>
      </c>
      <c r="AN79" s="537">
        <f ca="1">IF(OFFSET(NAMES!$G$1,MATCH($C21,NAMES!$D:$D,0)-1,0)=TRUE,
(SUMIF($C22:$C72,"Depreciation (MM)",AN22:AN72)),
0)</f>
        <v>15.512128099895207</v>
      </c>
      <c r="AO79" s="436"/>
      <c r="AP79" s="21"/>
    </row>
    <row r="80" spans="2:42" ht="15" customHeight="1" x14ac:dyDescent="0.35">
      <c r="B80" s="429"/>
      <c r="C80" s="777" t="s">
        <v>219</v>
      </c>
      <c r="D80" s="776"/>
      <c r="E80" s="535">
        <f ca="1">IF(OFFSET(NAMES!$G$1,MATCH($C21,NAMES!$D:$D,0)-1,0)=TRUE,
(SUMIF($C22:$C72,"Overhead (MM)",E22:E72)),
0)</f>
        <v>2.0503640396795335</v>
      </c>
      <c r="F80" s="535">
        <f ca="1">IF(OFFSET(NAMES!$G$1,MATCH($C21,NAMES!$D:$D,0)-1,0)=TRUE,
(SUMIF($C22:$C72,"Overhead (MM)",F22:F72)),
0)</f>
        <v>2.12543506588568</v>
      </c>
      <c r="G80" s="535">
        <f ca="1">IF(OFFSET(NAMES!$G$1,MATCH($C21,NAMES!$D:$D,0)-1,0)=TRUE,
(SUMIF($C22:$C72,"Overhead (MM)",G22:G72)),
0)</f>
        <v>2.1907950950817341</v>
      </c>
      <c r="H80" s="535">
        <f ca="1">IF(OFFSET(NAMES!$G$1,MATCH($C21,NAMES!$D:$D,0)-1,0)=TRUE,
(SUMIF($C22:$C72,"Overhead (MM)",H22:H72)),
0)</f>
        <v>2.2774494715536533</v>
      </c>
      <c r="I80" s="535">
        <f ca="1">IF(OFFSET(NAMES!$G$1,MATCH($C21,NAMES!$D:$D,0)-1,0)=TRUE,
(SUMIF($C22:$C72,"Overhead (MM)",I22:I72)),
0)</f>
        <v>2.3706944143304005</v>
      </c>
      <c r="J80" s="535">
        <f ca="1">IF(OFFSET(NAMES!$G$1,MATCH($C21,NAMES!$D:$D,0)-1,0)=TRUE,
(SUMIF($C22:$C72,"Overhead (MM)",J22:J72)),
0)</f>
        <v>2.4741804301745391</v>
      </c>
      <c r="K80" s="535">
        <f ca="1">IF(OFFSET(NAMES!$G$1,MATCH($C21,NAMES!$D:$D,0)-1,0)=TRUE,
(SUMIF($C22:$C72,"Overhead (MM)",K22:K72)),
0)</f>
        <v>2.5869361090129868</v>
      </c>
      <c r="L80" s="535">
        <f ca="1">IF(OFFSET(NAMES!$G$1,MATCH($C21,NAMES!$D:$D,0)-1,0)=TRUE,
(SUMIF($C22:$C72,"Overhead (MM)",L22:L72)),
0)</f>
        <v>2.7074957962071484</v>
      </c>
      <c r="M80" s="535">
        <f ca="1">IF(OFFSET(NAMES!$G$1,MATCH($C21,NAMES!$D:$D,0)-1,0)=TRUE,
(SUMIF($C22:$C72,"Overhead (MM)",M22:M72)),
0)</f>
        <v>2.8312329195296049</v>
      </c>
      <c r="N80" s="535">
        <f ca="1">IF(OFFSET(NAMES!$G$1,MATCH($C21,NAMES!$D:$D,0)-1,0)=TRUE,
(SUMIF($C22:$C72,"Overhead (MM)",N22:N72)),
0)</f>
        <v>2.9597471207062163</v>
      </c>
      <c r="O80" s="535">
        <f ca="1">IF(OFFSET(NAMES!$G$1,MATCH($C21,NAMES!$D:$D,0)-1,0)=TRUE,
(SUMIF($C22:$C72,"Overhead (MM)",O22:O72)),
0)</f>
        <v>3.0932538308898523</v>
      </c>
      <c r="P80" s="535">
        <f ca="1">IF(OFFSET(NAMES!$G$1,MATCH($C21,NAMES!$D:$D,0)-1,0)=TRUE,
(SUMIF($C22:$C72,"Overhead (MM)",P22:P72)),
0)</f>
        <v>3.2296201432711391</v>
      </c>
      <c r="Q80" s="535">
        <f ca="1">IF(OFFSET(NAMES!$G$1,MATCH($C21,NAMES!$D:$D,0)-1,0)=TRUE,
(SUMIF($C22:$C72,"Overhead (MM)",Q22:Q72)),
0)</f>
        <v>3.3714536180452015</v>
      </c>
      <c r="R80" s="535">
        <f ca="1">IF(OFFSET(NAMES!$G$1,MATCH($C21,NAMES!$D:$D,0)-1,0)=TRUE,
(SUMIF($C22:$C72,"Overhead (MM)",R22:R72)),
0)</f>
        <v>3.521252656585836</v>
      </c>
      <c r="S80" s="535">
        <f ca="1">IF(OFFSET(NAMES!$G$1,MATCH($C21,NAMES!$D:$D,0)-1,0)=TRUE,
(SUMIF($C22:$C72,"Overhead (MM)",S22:S72)),
0)</f>
        <v>3.6774185458671638</v>
      </c>
      <c r="T80" s="535">
        <f ca="1">IF(OFFSET(NAMES!$G$1,MATCH($C21,NAMES!$D:$D,0)-1,0)=TRUE,
(SUMIF($C22:$C72,"Overhead (MM)",T22:T72)),
0)</f>
        <v>3.8397052919437442</v>
      </c>
      <c r="U80" s="535">
        <f ca="1">IF(OFFSET(NAMES!$G$1,MATCH($C21,NAMES!$D:$D,0)-1,0)=TRUE,
(SUMIF($C22:$C72,"Overhead (MM)",U22:U72)),
0)</f>
        <v>4.0114725494403283</v>
      </c>
      <c r="V80" s="535">
        <f ca="1">IF(OFFSET(NAMES!$G$1,MATCH($C21,NAMES!$D:$D,0)-1,0)=TRUE,
(SUMIF($C22:$C72,"Overhead (MM)",V22:V72)),
0)</f>
        <v>4.1906491695759618</v>
      </c>
      <c r="W80" s="535">
        <f ca="1">IF(OFFSET(NAMES!$G$1,MATCH($C21,NAMES!$D:$D,0)-1,0)=TRUE,
(SUMIF($C22:$C72,"Overhead (MM)",W22:W72)),
0)</f>
        <v>4.3795998571595378</v>
      </c>
      <c r="X80" s="535">
        <f ca="1">IF(OFFSET(NAMES!$G$1,MATCH($C21,NAMES!$D:$D,0)-1,0)=TRUE,
(SUMIF($C22:$C72,"Overhead (MM)",X22:X72)),
0)</f>
        <v>4.5752219890644259</v>
      </c>
      <c r="Y80" s="535">
        <f ca="1">IF(OFFSET(NAMES!$G$1,MATCH($C21,NAMES!$D:$D,0)-1,0)=TRUE,
(SUMIF($C22:$C72,"Overhead (MM)",Y22:Y72)),
0)</f>
        <v>4.7799004790054322</v>
      </c>
      <c r="Z80" s="535">
        <f ca="1">IF(OFFSET(NAMES!$G$1,MATCH($C21,NAMES!$D:$D,0)-1,0)=TRUE,
(SUMIF($C22:$C72,"Overhead (MM)",Z22:Z72)),
0)</f>
        <v>4.9939954949654766</v>
      </c>
      <c r="AA80" s="535">
        <f ca="1">IF(OFFSET(NAMES!$G$1,MATCH($C21,NAMES!$D:$D,0)-1,0)=TRUE,
(SUMIF($C22:$C72,"Overhead (MM)",AA22:AA72)),
0)</f>
        <v>5.2170997984667764</v>
      </c>
      <c r="AB80" s="535">
        <f ca="1">IF(OFFSET(NAMES!$G$1,MATCH($C21,NAMES!$D:$D,0)-1,0)=TRUE,
(SUMIF($C22:$C72,"Overhead (MM)",AB22:AB72)),
0)</f>
        <v>5.4517407287695576</v>
      </c>
      <c r="AC80" s="535">
        <f ca="1">IF(OFFSET(NAMES!$G$1,MATCH($C21,NAMES!$D:$D,0)-1,0)=TRUE,
(SUMIF($C22:$C72,"Overhead (MM)",AC22:AC72)),
0)</f>
        <v>5.6923922077772264</v>
      </c>
      <c r="AD80" s="535">
        <f ca="1">IF(OFFSET(NAMES!$G$1,MATCH($C21,NAMES!$D:$D,0)-1,0)=TRUE,
(SUMIF($C22:$C72,"Overhead (MM)",AD22:AD72)),
0)</f>
        <v>5.9476990656910518</v>
      </c>
      <c r="AE80" s="535">
        <f ca="1">IF(OFFSET(NAMES!$G$1,MATCH($C21,NAMES!$D:$D,0)-1,0)=TRUE,
(SUMIF($C22:$C72,"Overhead (MM)",AE22:AE72)),
0)</f>
        <v>6.2149940720440036</v>
      </c>
      <c r="AF80" s="535">
        <f ca="1">IF(OFFSET(NAMES!$G$1,MATCH($C21,NAMES!$D:$D,0)-1,0)=TRUE,
(SUMIF($C22:$C72,"Overhead (MM)",AF22:AF72)),
0)</f>
        <v>6.4939698954461909</v>
      </c>
      <c r="AG80" s="535">
        <f ca="1">IF(OFFSET(NAMES!$G$1,MATCH($C21,NAMES!$D:$D,0)-1,0)=TRUE,
(SUMIF($C22:$C72,"Overhead (MM)",AG22:AG72)),
0)</f>
        <v>6.7822478858016169</v>
      </c>
      <c r="AH80" s="535">
        <f ca="1">IF(OFFSET(NAMES!$G$1,MATCH($C21,NAMES!$D:$D,0)-1,0)=TRUE,
(SUMIF($C22:$C72,"Overhead (MM)",AH22:AH72)),
0)</f>
        <v>7.0858929992955639</v>
      </c>
      <c r="AI80" s="535">
        <f ca="1">IF(OFFSET(NAMES!$G$1,MATCH($C21,NAMES!$D:$D,0)-1,0)=TRUE,
(SUMIF($C22:$C72,"Overhead (MM)",AI22:AI72)),
0)</f>
        <v>7.4027102719945237</v>
      </c>
      <c r="AJ80" s="535">
        <f ca="1">IF(OFFSET(NAMES!$G$1,MATCH($C21,NAMES!$D:$D,0)-1,0)=TRUE,
(SUMIF($C22:$C72,"Overhead (MM)",AJ22:AJ72)),
0)</f>
        <v>7.7340098373795874</v>
      </c>
      <c r="AK80" s="535">
        <f ca="1">IF(OFFSET(NAMES!$G$1,MATCH($C21,NAMES!$D:$D,0)-1,0)=TRUE,
(SUMIF($C22:$C72,"Overhead (MM)",AK22:AK72)),
0)</f>
        <v>8.0789155060991824</v>
      </c>
      <c r="AL80" s="535">
        <f ca="1">IF(OFFSET(NAMES!$G$1,MATCH($C21,NAMES!$D:$D,0)-1,0)=TRUE,
(SUMIF($C22:$C72,"Overhead (MM)",AL22:AL72)),
0)</f>
        <v>8.4395923430137394</v>
      </c>
      <c r="AM80" s="535">
        <f ca="1">IF(OFFSET(NAMES!$G$1,MATCH($C21,NAMES!$D:$D,0)-1,0)=TRUE,
(SUMIF($C22:$C72,"Overhead (MM)",AM22:AM72)),
0)</f>
        <v>8.8231140893677207</v>
      </c>
      <c r="AN80" s="535">
        <f ca="1">IF(OFFSET(NAMES!$G$1,MATCH($C21,NAMES!$D:$D,0)-1,0)=TRUE,
(SUMIF($C22:$C72,"Overhead (MM)",AN22:AN72)),
0)</f>
        <v>9.2138484983060032</v>
      </c>
      <c r="AO80" s="436"/>
      <c r="AP80" s="21"/>
    </row>
    <row r="81" spans="2:42" ht="15" customHeight="1" thickBot="1" x14ac:dyDescent="0.4">
      <c r="B81" s="465"/>
      <c r="C81" s="466"/>
      <c r="D81" s="466"/>
      <c r="E81" s="466"/>
      <c r="F81" s="466"/>
      <c r="G81" s="466"/>
      <c r="H81" s="466"/>
      <c r="I81" s="466"/>
      <c r="J81" s="466"/>
      <c r="K81" s="466"/>
      <c r="L81" s="466"/>
      <c r="M81" s="466"/>
      <c r="N81" s="466"/>
      <c r="O81" s="466"/>
      <c r="P81" s="466"/>
      <c r="Q81" s="466"/>
      <c r="R81" s="466"/>
      <c r="S81" s="466"/>
      <c r="T81" s="466"/>
      <c r="U81" s="466"/>
      <c r="V81" s="466"/>
      <c r="W81" s="466"/>
      <c r="X81" s="466"/>
      <c r="Y81" s="466"/>
      <c r="Z81" s="466"/>
      <c r="AA81" s="466"/>
      <c r="AB81" s="466"/>
      <c r="AC81" s="466"/>
      <c r="AD81" s="466"/>
      <c r="AE81" s="466"/>
      <c r="AF81" s="466"/>
      <c r="AG81" s="466"/>
      <c r="AH81" s="466"/>
      <c r="AI81" s="466"/>
      <c r="AJ81" s="466"/>
      <c r="AK81" s="466"/>
      <c r="AL81" s="466"/>
      <c r="AM81" s="466"/>
      <c r="AN81" s="466"/>
      <c r="AO81" s="467"/>
      <c r="AP81" s="21"/>
    </row>
    <row r="82" spans="2:42" ht="15" customHeight="1" thickBot="1" x14ac:dyDescent="0.4">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row>
    <row r="83" spans="2:42" ht="15" customHeight="1" x14ac:dyDescent="0.35">
      <c r="B83" s="425"/>
      <c r="C83" s="453"/>
      <c r="D83" s="426"/>
      <c r="E83" s="453"/>
      <c r="F83" s="453"/>
      <c r="G83" s="453"/>
      <c r="H83" s="453"/>
      <c r="I83" s="453"/>
      <c r="J83" s="453"/>
      <c r="K83" s="453"/>
      <c r="L83" s="453"/>
      <c r="M83" s="453"/>
      <c r="N83" s="426"/>
      <c r="O83" s="426"/>
      <c r="P83" s="426"/>
      <c r="Q83" s="426"/>
      <c r="R83" s="426"/>
      <c r="S83" s="426"/>
      <c r="T83" s="426"/>
      <c r="U83" s="426"/>
      <c r="V83" s="426"/>
      <c r="W83" s="426"/>
      <c r="X83" s="426"/>
      <c r="Y83" s="426"/>
      <c r="Z83" s="426"/>
      <c r="AA83" s="426"/>
      <c r="AB83" s="426"/>
      <c r="AC83" s="426"/>
      <c r="AD83" s="426"/>
      <c r="AE83" s="426"/>
      <c r="AF83" s="426"/>
      <c r="AG83" s="426"/>
      <c r="AH83" s="426"/>
      <c r="AI83" s="426"/>
      <c r="AJ83" s="426"/>
      <c r="AK83" s="426"/>
      <c r="AL83" s="426"/>
      <c r="AM83" s="426"/>
      <c r="AN83" s="426"/>
      <c r="AO83" s="428"/>
      <c r="AP83" s="21"/>
    </row>
    <row r="84" spans="2:42" ht="15" customHeight="1" x14ac:dyDescent="0.35">
      <c r="B84" s="429"/>
      <c r="C84" s="772" t="s">
        <v>237</v>
      </c>
      <c r="D84" s="773"/>
      <c r="E84" s="773"/>
      <c r="F84" s="773"/>
      <c r="G84" s="773"/>
      <c r="H84" s="773"/>
      <c r="I84" s="773"/>
      <c r="J84" s="773"/>
      <c r="K84" s="773"/>
      <c r="L84" s="773"/>
      <c r="M84" s="773"/>
      <c r="N84" s="773"/>
      <c r="O84" s="773"/>
      <c r="P84" s="773"/>
      <c r="Q84" s="773"/>
      <c r="R84" s="773"/>
      <c r="S84" s="773"/>
      <c r="T84" s="773"/>
      <c r="U84" s="773"/>
      <c r="V84" s="773"/>
      <c r="W84" s="773"/>
      <c r="X84" s="773"/>
      <c r="Y84" s="773"/>
      <c r="Z84" s="773"/>
      <c r="AA84" s="773"/>
      <c r="AB84" s="773"/>
      <c r="AC84" s="773"/>
      <c r="AD84" s="773"/>
      <c r="AE84" s="773"/>
      <c r="AF84" s="773"/>
      <c r="AG84" s="773"/>
      <c r="AH84" s="773"/>
      <c r="AI84" s="773"/>
      <c r="AJ84" s="773"/>
      <c r="AK84" s="773"/>
      <c r="AL84" s="773"/>
      <c r="AM84" s="773"/>
      <c r="AN84" s="773"/>
      <c r="AO84" s="436"/>
      <c r="AP84" s="21"/>
    </row>
    <row r="85" spans="2:42" ht="15" customHeight="1" x14ac:dyDescent="0.35">
      <c r="B85" s="429"/>
      <c r="C85" s="772"/>
      <c r="D85" s="773"/>
      <c r="E85" s="774" t="str">
        <f t="shared" ref="E85:AN85" si="20">IF(E86=Announcement_Year,"Ancmt Yr",
IF(E86=Reference_Year,"Ref Yr",
IF(E86=Standard_Year,"Std Yr",
IF(E86=Terminal_Year,"Term Yr",
" "))))</f>
        <v xml:space="preserve"> </v>
      </c>
      <c r="F85" s="774" t="str">
        <f t="shared" ca="1" si="20"/>
        <v>Ancmt Yr</v>
      </c>
      <c r="G85" s="774" t="str">
        <f t="shared" ca="1" si="20"/>
        <v xml:space="preserve"> </v>
      </c>
      <c r="H85" s="774" t="str">
        <f t="shared" ca="1" si="20"/>
        <v xml:space="preserve"> </v>
      </c>
      <c r="I85" s="774" t="str">
        <f t="shared" ca="1" si="20"/>
        <v>Std Yr</v>
      </c>
      <c r="J85" s="774" t="str">
        <f t="shared" ca="1" si="20"/>
        <v xml:space="preserve"> </v>
      </c>
      <c r="K85" s="774" t="str">
        <f t="shared" ca="1" si="20"/>
        <v xml:space="preserve"> </v>
      </c>
      <c r="L85" s="774" t="str">
        <f t="shared" ca="1" si="20"/>
        <v xml:space="preserve"> </v>
      </c>
      <c r="M85" s="774" t="str">
        <f t="shared" ca="1" si="20"/>
        <v xml:space="preserve"> </v>
      </c>
      <c r="N85" s="774" t="str">
        <f t="shared" ca="1" si="20"/>
        <v xml:space="preserve"> </v>
      </c>
      <c r="O85" s="774" t="str">
        <f t="shared" ca="1" si="20"/>
        <v xml:space="preserve"> </v>
      </c>
      <c r="P85" s="774" t="str">
        <f t="shared" ca="1" si="20"/>
        <v xml:space="preserve"> </v>
      </c>
      <c r="Q85" s="774" t="str">
        <f t="shared" ca="1" si="20"/>
        <v xml:space="preserve"> </v>
      </c>
      <c r="R85" s="774" t="str">
        <f t="shared" ca="1" si="20"/>
        <v xml:space="preserve"> </v>
      </c>
      <c r="S85" s="774" t="str">
        <f t="shared" ca="1" si="20"/>
        <v xml:space="preserve"> </v>
      </c>
      <c r="T85" s="774" t="str">
        <f t="shared" ca="1" si="20"/>
        <v xml:space="preserve"> </v>
      </c>
      <c r="U85" s="774" t="str">
        <f t="shared" ca="1" si="20"/>
        <v xml:space="preserve"> </v>
      </c>
      <c r="V85" s="774" t="str">
        <f t="shared" ca="1" si="20"/>
        <v xml:space="preserve"> </v>
      </c>
      <c r="W85" s="774" t="str">
        <f t="shared" ca="1" si="20"/>
        <v xml:space="preserve"> </v>
      </c>
      <c r="X85" s="774" t="str">
        <f t="shared" ca="1" si="20"/>
        <v xml:space="preserve"> </v>
      </c>
      <c r="Y85" s="774" t="str">
        <f t="shared" ca="1" si="20"/>
        <v xml:space="preserve"> </v>
      </c>
      <c r="Z85" s="774" t="str">
        <f t="shared" ca="1" si="20"/>
        <v xml:space="preserve"> </v>
      </c>
      <c r="AA85" s="774" t="str">
        <f t="shared" ca="1" si="20"/>
        <v xml:space="preserve"> </v>
      </c>
      <c r="AB85" s="774" t="str">
        <f t="shared" ca="1" si="20"/>
        <v xml:space="preserve"> </v>
      </c>
      <c r="AC85" s="774" t="str">
        <f t="shared" ca="1" si="20"/>
        <v xml:space="preserve"> </v>
      </c>
      <c r="AD85" s="774" t="str">
        <f t="shared" ca="1" si="20"/>
        <v xml:space="preserve"> </v>
      </c>
      <c r="AE85" s="774" t="str">
        <f t="shared" ca="1" si="20"/>
        <v xml:space="preserve"> </v>
      </c>
      <c r="AF85" s="774" t="str">
        <f t="shared" ca="1" si="20"/>
        <v xml:space="preserve"> </v>
      </c>
      <c r="AG85" s="774" t="str">
        <f t="shared" ca="1" si="20"/>
        <v xml:space="preserve"> </v>
      </c>
      <c r="AH85" s="774" t="str">
        <f t="shared" ca="1" si="20"/>
        <v xml:space="preserve"> </v>
      </c>
      <c r="AI85" s="774" t="str">
        <f t="shared" ca="1" si="20"/>
        <v xml:space="preserve"> </v>
      </c>
      <c r="AJ85" s="774" t="str">
        <f t="shared" ca="1" si="20"/>
        <v xml:space="preserve"> </v>
      </c>
      <c r="AK85" s="774" t="str">
        <f t="shared" ca="1" si="20"/>
        <v xml:space="preserve"> </v>
      </c>
      <c r="AL85" s="774" t="str">
        <f t="shared" ca="1" si="20"/>
        <v xml:space="preserve"> </v>
      </c>
      <c r="AM85" s="774" t="str">
        <f t="shared" ca="1" si="20"/>
        <v xml:space="preserve"> </v>
      </c>
      <c r="AN85" s="774" t="str">
        <f t="shared" ca="1" si="20"/>
        <v>Term Yr</v>
      </c>
      <c r="AO85" s="436"/>
      <c r="AP85" s="21"/>
    </row>
    <row r="86" spans="2:42" ht="15" customHeight="1" x14ac:dyDescent="0.35">
      <c r="B86" s="429"/>
      <c r="C86" s="775" t="s">
        <v>180</v>
      </c>
      <c r="D86" s="776"/>
      <c r="E86" s="772">
        <f>Reference_Year -1</f>
        <v>2022</v>
      </c>
      <c r="F86" s="772">
        <f ca="1">OFFSET(F86,0,-1)+1</f>
        <v>2023</v>
      </c>
      <c r="G86" s="772">
        <f t="shared" ref="G86:AN86" ca="1" si="21">OFFSET(G86,0,-1)+1</f>
        <v>2024</v>
      </c>
      <c r="H86" s="772">
        <f t="shared" ca="1" si="21"/>
        <v>2025</v>
      </c>
      <c r="I86" s="772">
        <f t="shared" ca="1" si="21"/>
        <v>2026</v>
      </c>
      <c r="J86" s="772">
        <f t="shared" ca="1" si="21"/>
        <v>2027</v>
      </c>
      <c r="K86" s="772">
        <f t="shared" ca="1" si="21"/>
        <v>2028</v>
      </c>
      <c r="L86" s="772">
        <f t="shared" ca="1" si="21"/>
        <v>2029</v>
      </c>
      <c r="M86" s="772">
        <f t="shared" ca="1" si="21"/>
        <v>2030</v>
      </c>
      <c r="N86" s="772">
        <f t="shared" ca="1" si="21"/>
        <v>2031</v>
      </c>
      <c r="O86" s="772">
        <f t="shared" ca="1" si="21"/>
        <v>2032</v>
      </c>
      <c r="P86" s="772">
        <f t="shared" ca="1" si="21"/>
        <v>2033</v>
      </c>
      <c r="Q86" s="772">
        <f t="shared" ca="1" si="21"/>
        <v>2034</v>
      </c>
      <c r="R86" s="772">
        <f t="shared" ca="1" si="21"/>
        <v>2035</v>
      </c>
      <c r="S86" s="772">
        <f t="shared" ca="1" si="21"/>
        <v>2036</v>
      </c>
      <c r="T86" s="772">
        <f t="shared" ca="1" si="21"/>
        <v>2037</v>
      </c>
      <c r="U86" s="772">
        <f t="shared" ca="1" si="21"/>
        <v>2038</v>
      </c>
      <c r="V86" s="772">
        <f t="shared" ca="1" si="21"/>
        <v>2039</v>
      </c>
      <c r="W86" s="772">
        <f t="shared" ca="1" si="21"/>
        <v>2040</v>
      </c>
      <c r="X86" s="772">
        <f t="shared" ca="1" si="21"/>
        <v>2041</v>
      </c>
      <c r="Y86" s="772">
        <f t="shared" ca="1" si="21"/>
        <v>2042</v>
      </c>
      <c r="Z86" s="772">
        <f t="shared" ca="1" si="21"/>
        <v>2043</v>
      </c>
      <c r="AA86" s="772">
        <f t="shared" ca="1" si="21"/>
        <v>2044</v>
      </c>
      <c r="AB86" s="772">
        <f t="shared" ca="1" si="21"/>
        <v>2045</v>
      </c>
      <c r="AC86" s="772">
        <f t="shared" ca="1" si="21"/>
        <v>2046</v>
      </c>
      <c r="AD86" s="772">
        <f t="shared" ca="1" si="21"/>
        <v>2047</v>
      </c>
      <c r="AE86" s="772">
        <f ca="1">OFFSET(AE86,0,-1)+1</f>
        <v>2048</v>
      </c>
      <c r="AF86" s="772">
        <f t="shared" ca="1" si="21"/>
        <v>2049</v>
      </c>
      <c r="AG86" s="772">
        <f t="shared" ca="1" si="21"/>
        <v>2050</v>
      </c>
      <c r="AH86" s="772">
        <f t="shared" ca="1" si="21"/>
        <v>2051</v>
      </c>
      <c r="AI86" s="772">
        <f t="shared" ca="1" si="21"/>
        <v>2052</v>
      </c>
      <c r="AJ86" s="772">
        <f t="shared" ca="1" si="21"/>
        <v>2053</v>
      </c>
      <c r="AK86" s="772">
        <f t="shared" ca="1" si="21"/>
        <v>2054</v>
      </c>
      <c r="AL86" s="772">
        <f t="shared" ca="1" si="21"/>
        <v>2055</v>
      </c>
      <c r="AM86" s="772">
        <f t="shared" ca="1" si="21"/>
        <v>2056</v>
      </c>
      <c r="AN86" s="772">
        <f t="shared" ca="1" si="21"/>
        <v>2057</v>
      </c>
      <c r="AO86" s="436"/>
      <c r="AP86" s="21"/>
    </row>
    <row r="87" spans="2:42" ht="15" customHeight="1" x14ac:dyDescent="0.35">
      <c r="B87" s="429"/>
      <c r="C87" s="772" t="s">
        <v>81</v>
      </c>
      <c r="D87" s="776"/>
      <c r="E87" s="776"/>
      <c r="F87" s="776"/>
      <c r="G87" s="776"/>
      <c r="H87" s="776"/>
      <c r="I87" s="776"/>
      <c r="J87" s="776"/>
      <c r="K87" s="776"/>
      <c r="L87" s="776"/>
      <c r="M87" s="776"/>
      <c r="N87" s="776"/>
      <c r="O87" s="776"/>
      <c r="P87" s="776"/>
      <c r="Q87" s="776"/>
      <c r="R87" s="776"/>
      <c r="S87" s="776"/>
      <c r="T87" s="776"/>
      <c r="U87" s="776"/>
      <c r="V87" s="776"/>
      <c r="W87" s="776"/>
      <c r="X87" s="776"/>
      <c r="Y87" s="776"/>
      <c r="Z87" s="776"/>
      <c r="AA87" s="776"/>
      <c r="AB87" s="776"/>
      <c r="AC87" s="776"/>
      <c r="AD87" s="776"/>
      <c r="AE87" s="776"/>
      <c r="AF87" s="776"/>
      <c r="AG87" s="776"/>
      <c r="AH87" s="776"/>
      <c r="AI87" s="776"/>
      <c r="AJ87" s="776"/>
      <c r="AK87" s="776"/>
      <c r="AL87" s="776"/>
      <c r="AM87" s="776"/>
      <c r="AN87" s="776"/>
      <c r="AO87" s="436"/>
      <c r="AP87" s="21"/>
    </row>
    <row r="88" spans="2:42" ht="15" customHeight="1" x14ac:dyDescent="0.35">
      <c r="B88" s="429"/>
      <c r="C88" s="777" t="s">
        <v>10</v>
      </c>
      <c r="D88" s="776"/>
      <c r="E88" s="778" cm="1">
        <f t="array" aca="1" ref="E88" ca="1">OFFSET(MSP!$C$1,
MATCH(OFFSET($C87,((MATCH($C87,EL_List,0)-1)*-10)-1,0),MSP!$C:$C,0)+MATCH($C87,EL_List,0)-1,
MATCH(OFFSET($C87,((MATCH($C87,EL_List,0)-1)*-10)-3,0),MSP!$D$5:$N$5,0)+1)
*INDEX(Learning!$E$6:$S$41,(MATCH(E$21,Dates,0)),(MATCH($C$86,Learning!$E$4:$S$4,0)+MATCH($C$87,Learning!$E$5:$S$5,0)-1))</f>
        <v>64.861066499999993</v>
      </c>
      <c r="F88" s="778" cm="1">
        <f t="array" aca="1" ref="F88" ca="1">OFFSET(MSP!$C$1,
MATCH(OFFSET($C87,((MATCH($C87,EL_List,0)-1)*-10)-1,0),MSP!$C:$C,0)+MATCH($C87,EL_List,0)-1,
MATCH(OFFSET($C87,((MATCH($C87,EL_List,0)-1)*-10)-3,0),MSP!$D$5:$N$5,0)+1)
*INDEX(Learning!$E$6:$S$41,(MATCH(F$21,Dates,0)),(MATCH($C$86,Learning!$E$4:$S$4,0)+MATCH($C$87,Learning!$E$5:$S$5,0)-1))</f>
        <v>64.362614499999992</v>
      </c>
      <c r="G88" s="778" cm="1">
        <f t="array" aca="1" ref="G88" ca="1">OFFSET(MSP!$C$1,
MATCH(OFFSET($C87,((MATCH($C87,EL_List,0)-1)*-10)-1,0),MSP!$C:$C,0)+MATCH($C87,EL_List,0)-1,
MATCH(OFFSET($C87,((MATCH($C87,EL_List,0)-1)*-10)-3,0),MSP!$D$5:$N$5,0)+1)
*INDEX(Learning!$E$6:$S$41,(MATCH(G$21,Dates,0)),(MATCH($C$86,Learning!$E$4:$S$4,0)+MATCH($C$87,Learning!$E$5:$S$5,0)-1))</f>
        <v>63.926469000000004</v>
      </c>
      <c r="H88" s="778" cm="1">
        <f t="array" aca="1" ref="H88" ca="1">OFFSET(MSP!$C$1,
MATCH(OFFSET($C87,((MATCH($C87,EL_List,0)-1)*-10)-1,0),MSP!$C:$C,0)+MATCH($C87,EL_List,0)-1,
MATCH(OFFSET($C87,((MATCH($C87,EL_List,0)-1)*-10)-3,0),MSP!$D$5:$N$5,0)+1)
*INDEX(Learning!$E$6:$S$41,(MATCH(H$21,Dates,0)),(MATCH($C$86,Learning!$E$4:$S$4,0)+MATCH($C$87,Learning!$E$5:$S$5,0)-1))</f>
        <v>63.490323499999995</v>
      </c>
      <c r="I88" s="778" cm="1">
        <f t="array" aca="1" ref="I88" ca="1">OFFSET(MSP!$C$1,
MATCH(OFFSET($C87,((MATCH($C87,EL_List,0)-1)*-10)-1,0),MSP!$C:$C,0)+MATCH($C87,EL_List,0)-1,
MATCH(OFFSET($C87,((MATCH($C87,EL_List,0)-1)*-10)-3,0),MSP!$D$5:$N$5,0)+1)
*INDEX(Learning!$E$6:$S$41,(MATCH(I$21,Dates,0)),(MATCH($C$86,Learning!$E$4:$S$4,0)+MATCH($C$87,Learning!$E$5:$S$5,0)-1))</f>
        <v>63.054178</v>
      </c>
      <c r="J88" s="778" cm="1">
        <f t="array" aca="1" ref="J88" ca="1">OFFSET(MSP!$C$1,
MATCH(OFFSET($C87,((MATCH($C87,EL_List,0)-1)*-10)-1,0),MSP!$C:$C,0)+MATCH($C87,EL_List,0)-1,
MATCH(OFFSET($C87,((MATCH($C87,EL_List,0)-1)*-10)-3,0),MSP!$D$5:$N$5,0)+1)
*INDEX(Learning!$E$6:$S$41,(MATCH(J$21,Dates,0)),(MATCH($C$86,Learning!$E$4:$S$4,0)+MATCH($C$87,Learning!$E$5:$S$5,0)-1))</f>
        <v>62.680339000000004</v>
      </c>
      <c r="K88" s="778" cm="1">
        <f t="array" aca="1" ref="K88" ca="1">OFFSET(MSP!$C$1,
MATCH(OFFSET($C87,((MATCH($C87,EL_List,0)-1)*-10)-1,0),MSP!$C:$C,0)+MATCH($C87,EL_List,0)-1,
MATCH(OFFSET($C87,((MATCH($C87,EL_List,0)-1)*-10)-3,0),MSP!$D$5:$N$5,0)+1)
*INDEX(Learning!$E$6:$S$41,(MATCH(K$21,Dates,0)),(MATCH($C$86,Learning!$E$4:$S$4,0)+MATCH($C$87,Learning!$E$5:$S$5,0)-1))</f>
        <v>62.3065</v>
      </c>
      <c r="L88" s="778" cm="1">
        <f t="array" aca="1" ref="L88" ca="1">OFFSET(MSP!$C$1,
MATCH(OFFSET($C87,((MATCH($C87,EL_List,0)-1)*-10)-1,0),MSP!$C:$C,0)+MATCH($C87,EL_List,0)-1,
MATCH(OFFSET($C87,((MATCH($C87,EL_List,0)-1)*-10)-3,0),MSP!$D$5:$N$5,0)+1)
*INDEX(Learning!$E$6:$S$41,(MATCH(L$21,Dates,0)),(MATCH($C$86,Learning!$E$4:$S$4,0)+MATCH($C$87,Learning!$E$5:$S$5,0)-1))</f>
        <v>61.932660999999996</v>
      </c>
      <c r="M88" s="778" cm="1">
        <f t="array" aca="1" ref="M88" ca="1">OFFSET(MSP!$C$1,
MATCH(OFFSET($C87,((MATCH($C87,EL_List,0)-1)*-10)-1,0),MSP!$C:$C,0)+MATCH($C87,EL_List,0)-1,
MATCH(OFFSET($C87,((MATCH($C87,EL_List,0)-1)*-10)-3,0),MSP!$D$5:$N$5,0)+1)
*INDEX(Learning!$E$6:$S$41,(MATCH(M$21,Dates,0)),(MATCH($C$86,Learning!$E$4:$S$4,0)+MATCH($C$87,Learning!$E$5:$S$5,0)-1))</f>
        <v>61.558821999999999</v>
      </c>
      <c r="N88" s="778" cm="1">
        <f t="array" aca="1" ref="N88" ca="1">OFFSET(MSP!$C$1,
MATCH(OFFSET($C87,((MATCH($C87,EL_List,0)-1)*-10)-1,0),MSP!$C:$C,0)+MATCH($C87,EL_List,0)-1,
MATCH(OFFSET($C87,((MATCH($C87,EL_List,0)-1)*-10)-3,0),MSP!$D$5:$N$5,0)+1)
*INDEX(Learning!$E$6:$S$41,(MATCH(N$21,Dates,0)),(MATCH($C$86,Learning!$E$4:$S$4,0)+MATCH($C$87,Learning!$E$5:$S$5,0)-1))</f>
        <v>61.247289500000001</v>
      </c>
      <c r="O88" s="778" cm="1">
        <f t="array" aca="1" ref="O88" ca="1">OFFSET(MSP!$C$1,
MATCH(OFFSET($C87,((MATCH($C87,EL_List,0)-1)*-10)-1,0),MSP!$C:$C,0)+MATCH($C87,EL_List,0)-1,
MATCH(OFFSET($C87,((MATCH($C87,EL_List,0)-1)*-10)-3,0),MSP!$D$5:$N$5,0)+1)
*INDEX(Learning!$E$6:$S$41,(MATCH(O$21,Dates,0)),(MATCH($C$86,Learning!$E$4:$S$4,0)+MATCH($C$87,Learning!$E$5:$S$5,0)-1))</f>
        <v>60.873450499999997</v>
      </c>
      <c r="P88" s="778" cm="1">
        <f t="array" aca="1" ref="P88" ca="1">OFFSET(MSP!$C$1,
MATCH(OFFSET($C87,((MATCH($C87,EL_List,0)-1)*-10)-1,0),MSP!$C:$C,0)+MATCH($C87,EL_List,0)-1,
MATCH(OFFSET($C87,((MATCH($C87,EL_List,0)-1)*-10)-3,0),MSP!$D$5:$N$5,0)+1)
*INDEX(Learning!$E$6:$S$41,(MATCH(P$21,Dates,0)),(MATCH($C$86,Learning!$E$4:$S$4,0)+MATCH($C$87,Learning!$E$5:$S$5,0)-1))</f>
        <v>60.561917999999999</v>
      </c>
      <c r="Q88" s="778" cm="1">
        <f t="array" aca="1" ref="Q88" ca="1">OFFSET(MSP!$C$1,
MATCH(OFFSET($C87,((MATCH($C87,EL_List,0)-1)*-10)-1,0),MSP!$C:$C,0)+MATCH($C87,EL_List,0)-1,
MATCH(OFFSET($C87,((MATCH($C87,EL_List,0)-1)*-10)-3,0),MSP!$D$5:$N$5,0)+1)
*INDEX(Learning!$E$6:$S$41,(MATCH(Q$21,Dates,0)),(MATCH($C$86,Learning!$E$4:$S$4,0)+MATCH($C$87,Learning!$E$5:$S$5,0)-1))</f>
        <v>60.2503855</v>
      </c>
      <c r="R88" s="778" cm="1">
        <f t="array" aca="1" ref="R88" ca="1">OFFSET(MSP!$C$1,
MATCH(OFFSET($C87,((MATCH($C87,EL_List,0)-1)*-10)-1,0),MSP!$C:$C,0)+MATCH($C87,EL_List,0)-1,
MATCH(OFFSET($C87,((MATCH($C87,EL_List,0)-1)*-10)-3,0),MSP!$D$5:$N$5,0)+1)
*INDEX(Learning!$E$6:$S$41,(MATCH(R$21,Dates,0)),(MATCH($C$86,Learning!$E$4:$S$4,0)+MATCH($C$87,Learning!$E$5:$S$5,0)-1))</f>
        <v>59.938852999999995</v>
      </c>
      <c r="S88" s="778" cm="1">
        <f t="array" aca="1" ref="S88" ca="1">OFFSET(MSP!$C$1,
MATCH(OFFSET($C87,((MATCH($C87,EL_List,0)-1)*-10)-1,0),MSP!$C:$C,0)+MATCH($C87,EL_List,0)-1,
MATCH(OFFSET($C87,((MATCH($C87,EL_List,0)-1)*-10)-3,0),MSP!$D$5:$N$5,0)+1)
*INDEX(Learning!$E$6:$S$41,(MATCH(S$21,Dates,0)),(MATCH($C$86,Learning!$E$4:$S$4,0)+MATCH($C$87,Learning!$E$5:$S$5,0)-1))</f>
        <v>59.627320499999996</v>
      </c>
      <c r="T88" s="778" cm="1">
        <f t="array" aca="1" ref="T88" ca="1">OFFSET(MSP!$C$1,
MATCH(OFFSET($C87,((MATCH($C87,EL_List,0)-1)*-10)-1,0),MSP!$C:$C,0)+MATCH($C87,EL_List,0)-1,
MATCH(OFFSET($C87,((MATCH($C87,EL_List,0)-1)*-10)-3,0),MSP!$D$5:$N$5,0)+1)
*INDEX(Learning!$E$6:$S$41,(MATCH(T$21,Dates,0)),(MATCH($C$86,Learning!$E$4:$S$4,0)+MATCH($C$87,Learning!$E$5:$S$5,0)-1))</f>
        <v>59.315787999999998</v>
      </c>
      <c r="U88" s="778" cm="1">
        <f t="array" aca="1" ref="U88" ca="1">OFFSET(MSP!$C$1,
MATCH(OFFSET($C87,((MATCH($C87,EL_List,0)-1)*-10)-1,0),MSP!$C:$C,0)+MATCH($C87,EL_List,0)-1,
MATCH(OFFSET($C87,((MATCH($C87,EL_List,0)-1)*-10)-3,0),MSP!$D$5:$N$5,0)+1)
*INDEX(Learning!$E$6:$S$41,(MATCH(U$21,Dates,0)),(MATCH($C$86,Learning!$E$4:$S$4,0)+MATCH($C$87,Learning!$E$5:$S$5,0)-1))</f>
        <v>59.066561999999998</v>
      </c>
      <c r="V88" s="778" cm="1">
        <f t="array" aca="1" ref="V88" ca="1">OFFSET(MSP!$C$1,
MATCH(OFFSET($C87,((MATCH($C87,EL_List,0)-1)*-10)-1,0),MSP!$C:$C,0)+MATCH($C87,EL_List,0)-1,
MATCH(OFFSET($C87,((MATCH($C87,EL_List,0)-1)*-10)-3,0),MSP!$D$5:$N$5,0)+1)
*INDEX(Learning!$E$6:$S$41,(MATCH(V$21,Dates,0)),(MATCH($C$86,Learning!$E$4:$S$4,0)+MATCH($C$87,Learning!$E$5:$S$5,0)-1))</f>
        <v>58.755029499999999</v>
      </c>
      <c r="W88" s="778" cm="1">
        <f t="array" aca="1" ref="W88" ca="1">OFFSET(MSP!$C$1,
MATCH(OFFSET($C87,((MATCH($C87,EL_List,0)-1)*-10)-1,0),MSP!$C:$C,0)+MATCH($C87,EL_List,0)-1,
MATCH(OFFSET($C87,((MATCH($C87,EL_List,0)-1)*-10)-3,0),MSP!$D$5:$N$5,0)+1)
*INDEX(Learning!$E$6:$S$41,(MATCH(W$21,Dates,0)),(MATCH($C$86,Learning!$E$4:$S$4,0)+MATCH($C$87,Learning!$E$5:$S$5,0)-1))</f>
        <v>58.505803499999999</v>
      </c>
      <c r="X88" s="778" cm="1">
        <f t="array" aca="1" ref="X88" ca="1">OFFSET(MSP!$C$1,
MATCH(OFFSET($C87,((MATCH($C87,EL_List,0)-1)*-10)-1,0),MSP!$C:$C,0)+MATCH($C87,EL_List,0)-1,
MATCH(OFFSET($C87,((MATCH($C87,EL_List,0)-1)*-10)-3,0),MSP!$D$5:$N$5,0)+1)
*INDEX(Learning!$E$6:$S$41,(MATCH(X$21,Dates,0)),(MATCH($C$86,Learning!$E$4:$S$4,0)+MATCH($C$87,Learning!$E$5:$S$5,0)-1))</f>
        <v>58.194271000000001</v>
      </c>
      <c r="Y88" s="778" cm="1">
        <f t="array" aca="1" ref="Y88" ca="1">OFFSET(MSP!$C$1,
MATCH(OFFSET($C87,((MATCH($C87,EL_List,0)-1)*-10)-1,0),MSP!$C:$C,0)+MATCH($C87,EL_List,0)-1,
MATCH(OFFSET($C87,((MATCH($C87,EL_List,0)-1)*-10)-3,0),MSP!$D$5:$N$5,0)+1)
*INDEX(Learning!$E$6:$S$41,(MATCH(Y$21,Dates,0)),(MATCH($C$86,Learning!$E$4:$S$4,0)+MATCH($C$87,Learning!$E$5:$S$5,0)-1))</f>
        <v>57.945045</v>
      </c>
      <c r="Z88" s="778" cm="1">
        <f t="array" aca="1" ref="Z88" ca="1">OFFSET(MSP!$C$1,
MATCH(OFFSET($C87,((MATCH($C87,EL_List,0)-1)*-10)-1,0),MSP!$C:$C,0)+MATCH($C87,EL_List,0)-1,
MATCH(OFFSET($C87,((MATCH($C87,EL_List,0)-1)*-10)-3,0),MSP!$D$5:$N$5,0)+1)
*INDEX(Learning!$E$6:$S$41,(MATCH(Z$21,Dates,0)),(MATCH($C$86,Learning!$E$4:$S$4,0)+MATCH($C$87,Learning!$E$5:$S$5,0)-1))</f>
        <v>57.695819</v>
      </c>
      <c r="AA88" s="778" cm="1">
        <f t="array" aca="1" ref="AA88" ca="1">OFFSET(MSP!$C$1,
MATCH(OFFSET($C87,((MATCH($C87,EL_List,0)-1)*-10)-1,0),MSP!$C:$C,0)+MATCH($C87,EL_List,0)-1,
MATCH(OFFSET($C87,((MATCH($C87,EL_List,0)-1)*-10)-3,0),MSP!$D$5:$N$5,0)+1)
*INDEX(Learning!$E$6:$S$41,(MATCH(AA$21,Dates,0)),(MATCH($C$86,Learning!$E$4:$S$4,0)+MATCH($C$87,Learning!$E$5:$S$5,0)-1))</f>
        <v>57.446593</v>
      </c>
      <c r="AB88" s="778" cm="1">
        <f t="array" aca="1" ref="AB88" ca="1">OFFSET(MSP!$C$1,
MATCH(OFFSET($C87,((MATCH($C87,EL_List,0)-1)*-10)-1,0),MSP!$C:$C,0)+MATCH($C87,EL_List,0)-1,
MATCH(OFFSET($C87,((MATCH($C87,EL_List,0)-1)*-10)-3,0),MSP!$D$5:$N$5,0)+1)
*INDEX(Learning!$E$6:$S$41,(MATCH(AB$21,Dates,0)),(MATCH($C$86,Learning!$E$4:$S$4,0)+MATCH($C$87,Learning!$E$5:$S$5,0)-1))</f>
        <v>57.197367</v>
      </c>
      <c r="AC88" s="778" cm="1">
        <f t="array" aca="1" ref="AC88" ca="1">OFFSET(MSP!$C$1,
MATCH(OFFSET($C87,((MATCH($C87,EL_List,0)-1)*-10)-1,0),MSP!$C:$C,0)+MATCH($C87,EL_List,0)-1,
MATCH(OFFSET($C87,((MATCH($C87,EL_List,0)-1)*-10)-3,0),MSP!$D$5:$N$5,0)+1)
*INDEX(Learning!$E$6:$S$41,(MATCH(AC$21,Dates,0)),(MATCH($C$86,Learning!$E$4:$S$4,0)+MATCH($C$87,Learning!$E$5:$S$5,0)-1))</f>
        <v>56.948141</v>
      </c>
      <c r="AD88" s="778" cm="1">
        <f t="array" aca="1" ref="AD88" ca="1">OFFSET(MSP!$C$1,
MATCH(OFFSET($C87,((MATCH($C87,EL_List,0)-1)*-10)-1,0),MSP!$C:$C,0)+MATCH($C87,EL_List,0)-1,
MATCH(OFFSET($C87,((MATCH($C87,EL_List,0)-1)*-10)-3,0),MSP!$D$5:$N$5,0)+1)
*INDEX(Learning!$E$6:$S$41,(MATCH(AD$21,Dates,0)),(MATCH($C$86,Learning!$E$4:$S$4,0)+MATCH($C$87,Learning!$E$5:$S$5,0)-1))</f>
        <v>56.698915</v>
      </c>
      <c r="AE88" s="778" cm="1">
        <f t="array" aca="1" ref="AE88" ca="1">OFFSET(MSP!$C$1,
MATCH(OFFSET($C87,((MATCH($C87,EL_List,0)-1)*-10)-1,0),MSP!$C:$C,0)+MATCH($C87,EL_List,0)-1,
MATCH(OFFSET($C87,((MATCH($C87,EL_List,0)-1)*-10)-3,0),MSP!$D$5:$N$5,0)+1)
*INDEX(Learning!$E$6:$S$41,(MATCH(AE$21,Dates,0)),(MATCH($C$86,Learning!$E$4:$S$4,0)+MATCH($C$87,Learning!$E$5:$S$5,0)-1))</f>
        <v>56.449688999999999</v>
      </c>
      <c r="AF88" s="778" cm="1">
        <f t="array" aca="1" ref="AF88" ca="1">OFFSET(MSP!$C$1,
MATCH(OFFSET($C87,((MATCH($C87,EL_List,0)-1)*-10)-1,0),MSP!$C:$C,0)+MATCH($C87,EL_List,0)-1,
MATCH(OFFSET($C87,((MATCH($C87,EL_List,0)-1)*-10)-3,0),MSP!$D$5:$N$5,0)+1)
*INDEX(Learning!$E$6:$S$41,(MATCH(AF$21,Dates,0)),(MATCH($C$86,Learning!$E$4:$S$4,0)+MATCH($C$87,Learning!$E$5:$S$5,0)-1))</f>
        <v>56.200462999999999</v>
      </c>
      <c r="AG88" s="778" cm="1">
        <f t="array" aca="1" ref="AG88" ca="1">OFFSET(MSP!$C$1,
MATCH(OFFSET($C87,((MATCH($C87,EL_List,0)-1)*-10)-1,0),MSP!$C:$C,0)+MATCH($C87,EL_List,0)-1,
MATCH(OFFSET($C87,((MATCH($C87,EL_List,0)-1)*-10)-3,0),MSP!$D$5:$N$5,0)+1)
*INDEX(Learning!$E$6:$S$41,(MATCH(AG$21,Dates,0)),(MATCH($C$86,Learning!$E$4:$S$4,0)+MATCH($C$87,Learning!$E$5:$S$5,0)-1))</f>
        <v>55.951236999999999</v>
      </c>
      <c r="AH88" s="778" cm="1">
        <f t="array" aca="1" ref="AH88" ca="1">OFFSET(MSP!$C$1,
MATCH(OFFSET($C87,((MATCH($C87,EL_List,0)-1)*-10)-1,0),MSP!$C:$C,0)+MATCH($C87,EL_List,0)-1,
MATCH(OFFSET($C87,((MATCH($C87,EL_List,0)-1)*-10)-3,0),MSP!$D$5:$N$5,0)+1)
*INDEX(Learning!$E$6:$S$41,(MATCH(AH$21,Dates,0)),(MATCH($C$86,Learning!$E$4:$S$4,0)+MATCH($C$87,Learning!$E$5:$S$5,0)-1))</f>
        <v>55.702010999999999</v>
      </c>
      <c r="AI88" s="778" cm="1">
        <f t="array" aca="1" ref="AI88" ca="1">OFFSET(MSP!$C$1,
MATCH(OFFSET($C87,((MATCH($C87,EL_List,0)-1)*-10)-1,0),MSP!$C:$C,0)+MATCH($C87,EL_List,0)-1,
MATCH(OFFSET($C87,((MATCH($C87,EL_List,0)-1)*-10)-3,0),MSP!$D$5:$N$5,0)+1)
*INDEX(Learning!$E$6:$S$41,(MATCH(AI$21,Dates,0)),(MATCH($C$86,Learning!$E$4:$S$4,0)+MATCH($C$87,Learning!$E$5:$S$5,0)-1))</f>
        <v>55.452784999999999</v>
      </c>
      <c r="AJ88" s="778" cm="1">
        <f t="array" aca="1" ref="AJ88" ca="1">OFFSET(MSP!$C$1,
MATCH(OFFSET($C87,((MATCH($C87,EL_List,0)-1)*-10)-1,0),MSP!$C:$C,0)+MATCH($C87,EL_List,0)-1,
MATCH(OFFSET($C87,((MATCH($C87,EL_List,0)-1)*-10)-3,0),MSP!$D$5:$N$5,0)+1)
*INDEX(Learning!$E$6:$S$41,(MATCH(AJ$21,Dates,0)),(MATCH($C$86,Learning!$E$4:$S$4,0)+MATCH($C$87,Learning!$E$5:$S$5,0)-1))</f>
        <v>55.265865500000004</v>
      </c>
      <c r="AK88" s="778" cm="1">
        <f t="array" aca="1" ref="AK88" ca="1">OFFSET(MSP!$C$1,
MATCH(OFFSET($C87,((MATCH($C87,EL_List,0)-1)*-10)-1,0),MSP!$C:$C,0)+MATCH($C87,EL_List,0)-1,
MATCH(OFFSET($C87,((MATCH($C87,EL_List,0)-1)*-10)-3,0),MSP!$D$5:$N$5,0)+1)
*INDEX(Learning!$E$6:$S$41,(MATCH(AK$21,Dates,0)),(MATCH($C$86,Learning!$E$4:$S$4,0)+MATCH($C$87,Learning!$E$5:$S$5,0)-1))</f>
        <v>55.016639500000004</v>
      </c>
      <c r="AL88" s="778" cm="1">
        <f t="array" aca="1" ref="AL88" ca="1">OFFSET(MSP!$C$1,
MATCH(OFFSET($C87,((MATCH($C87,EL_List,0)-1)*-10)-1,0),MSP!$C:$C,0)+MATCH($C87,EL_List,0)-1,
MATCH(OFFSET($C87,((MATCH($C87,EL_List,0)-1)*-10)-3,0),MSP!$D$5:$N$5,0)+1)
*INDEX(Learning!$E$6:$S$41,(MATCH(AL$21,Dates,0)),(MATCH($C$86,Learning!$E$4:$S$4,0)+MATCH($C$87,Learning!$E$5:$S$5,0)-1))</f>
        <v>54.767413500000004</v>
      </c>
      <c r="AM88" s="778" cm="1">
        <f t="array" aca="1" ref="AM88" ca="1">OFFSET(MSP!$C$1,
MATCH(OFFSET($C87,((MATCH($C87,EL_List,0)-1)*-10)-1,0),MSP!$C:$C,0)+MATCH($C87,EL_List,0)-1,
MATCH(OFFSET($C87,((MATCH($C87,EL_List,0)-1)*-10)-3,0),MSP!$D$5:$N$5,0)+1)
*INDEX(Learning!$E$6:$S$41,(MATCH(AM$21,Dates,0)),(MATCH($C$86,Learning!$E$4:$S$4,0)+MATCH($C$87,Learning!$E$5:$S$5,0)-1))</f>
        <v>54.580494000000002</v>
      </c>
      <c r="AN88" s="778" cm="1">
        <f t="array" aca="1" ref="AN88" ca="1">OFFSET(MSP!$C$1,
MATCH(OFFSET($C87,((MATCH($C87,EL_List,0)-1)*-10)-1,0),MSP!$C:$C,0)+MATCH($C87,EL_List,0)-1,
MATCH(OFFSET($C87,((MATCH($C87,EL_List,0)-1)*-10)-3,0),MSP!$D$5:$N$5,0)+1)
*INDEX(Learning!$E$6:$S$41,(MATCH(AN$21,Dates,0)),(MATCH($C$86,Learning!$E$4:$S$4,0)+MATCH($C$87,Learning!$E$5:$S$5,0)-1))</f>
        <v>54.356290025799176</v>
      </c>
      <c r="AO88" s="436"/>
      <c r="AP88" s="21"/>
    </row>
    <row r="89" spans="2:42" ht="15" customHeight="1" x14ac:dyDescent="0.35">
      <c r="B89" s="429"/>
      <c r="C89" s="777" t="s">
        <v>78</v>
      </c>
      <c r="D89" s="776"/>
      <c r="E89" s="530">
        <f ca="1">OFFSET(OFFSET(Shipments!$D$1,0,MATCH(E$7,Dates)),
MATCH(OFFSET($C87,((MATCH($C87,EL_List,0)-1)*-10)-3,0),Shipments!$C:$C,0)+
MATCH(OFFSET($C87,((MATCH($C87,EL_List,0)-1)*-10)-1,0),Shipments!$D:$D,0)+
MATCH($C87,EL_List,0)-10,
MATCH(Shipments_Scenario_X,Shipments!$F$5:$AQ$5,0))</f>
        <v>0.44289164334571512</v>
      </c>
      <c r="F89" s="530">
        <f ca="1">OFFSET(OFFSET(Shipments!$D$1,0,MATCH(F$7,Dates)),
MATCH(OFFSET($C87,((MATCH($C87,EL_List,0)-1)*-10)-3,0),Shipments!$C:$C,0)+
MATCH(OFFSET($C87,((MATCH($C87,EL_List,0)-1)*-10)-1,0),Shipments!$D:$D,0)+
MATCH($C87,EL_List,0)-10,
MATCH(Shipments_Scenario_X,Shipments!$F$5:$AQ$5,0))</f>
        <v>0.46269711764791721</v>
      </c>
      <c r="G89" s="530">
        <f ca="1">OFFSET(OFFSET(Shipments!$D$1,0,MATCH(G$7,Dates)),
MATCH(OFFSET($C87,((MATCH($C87,EL_List,0)-1)*-10)-3,0),Shipments!$C:$C,0)+
MATCH(OFFSET($C87,((MATCH($C87,EL_List,0)-1)*-10)-1,0),Shipments!$D:$D,0)+
MATCH($C87,EL_List,0)-10,
MATCH(Shipments_Scenario_X,Shipments!$F$5:$AQ$5,0))</f>
        <v>0.48044498487028853</v>
      </c>
      <c r="H89" s="530">
        <f ca="1">OFFSET(OFFSET(Shipments!$D$1,0,MATCH(H$7,Dates)),
MATCH(OFFSET($C87,((MATCH($C87,EL_List,0)-1)*-10)-3,0),Shipments!$C:$C,0)+
MATCH(OFFSET($C87,((MATCH($C87,EL_List,0)-1)*-10)-1,0),Shipments!$D:$D,0)+
MATCH($C87,EL_List,0)-10,
MATCH(Shipments_Scenario_X,Shipments!$F$5:$AQ$5,0))</f>
        <v>0.50300812188948507</v>
      </c>
      <c r="I89" s="530">
        <f ca="1">OFFSET(OFFSET(Shipments!$D$1,0,MATCH(I$7,Dates)),
MATCH(OFFSET($C87,((MATCH($C87,EL_List,0)-1)*-10)-3,0),Shipments!$C:$C,0)+
MATCH(OFFSET($C87,((MATCH($C87,EL_List,0)-1)*-10)-1,0),Shipments!$D:$D,0)+
MATCH($C87,EL_List,0)-10,
MATCH(Shipments_Scenario_X,Shipments!$F$5:$AQ$5,0))</f>
        <v>0.52721903732180064</v>
      </c>
      <c r="J89" s="530">
        <f ca="1">OFFSET(OFFSET(Shipments!$D$1,0,MATCH(J$7,Dates)),
MATCH(OFFSET($C87,((MATCH($C87,EL_List,0)-1)*-10)-3,0),Shipments!$C:$C,0)+
MATCH(OFFSET($C87,((MATCH($C87,EL_List,0)-1)*-10)-1,0),Shipments!$D:$D,0)+
MATCH($C87,EL_List,0)-10,
MATCH(Shipments_Scenario_X,Shipments!$F$5:$AQ$5,0))</f>
        <v>0.55401302492709381</v>
      </c>
      <c r="K89" s="530">
        <f ca="1">OFFSET(OFFSET(Shipments!$D$1,0,MATCH(K$7,Dates)),
MATCH(OFFSET($C87,((MATCH($C87,EL_List,0)-1)*-10)-3,0),Shipments!$C:$C,0)+
MATCH(OFFSET($C87,((MATCH($C87,EL_List,0)-1)*-10)-1,0),Shipments!$D:$D,0)+
MATCH($C87,EL_List,0)-10,
MATCH(Shipments_Scenario_X,Shipments!$F$5:$AQ$5,0))</f>
        <v>0.58307492216818158</v>
      </c>
      <c r="L89" s="530">
        <f ca="1">OFFSET(OFFSET(Shipments!$D$1,0,MATCH(L$7,Dates)),
MATCH(OFFSET($C87,((MATCH($C87,EL_List,0)-1)*-10)-3,0),Shipments!$C:$C,0)+
MATCH(OFFSET($C87,((MATCH($C87,EL_List,0)-1)*-10)-1,0),Shipments!$D:$D,0)+
MATCH($C87,EL_List,0)-10,
MATCH(Shipments_Scenario_X,Shipments!$F$5:$AQ$5,0))</f>
        <v>0.61393171164558258</v>
      </c>
      <c r="M89" s="530">
        <f ca="1">OFFSET(OFFSET(Shipments!$D$1,0,MATCH(M$7,Dates)),
MATCH(OFFSET($C87,((MATCH($C87,EL_List,0)-1)*-10)-3,0),Shipments!$C:$C,0)+
MATCH(OFFSET($C87,((MATCH($C87,EL_List,0)-1)*-10)-1,0),Shipments!$D:$D,0)+
MATCH($C87,EL_List,0)-10,
MATCH(Shipments_Scenario_X,Shipments!$F$5:$AQ$5,0))</f>
        <v>0.64621426265482662</v>
      </c>
      <c r="N89" s="530">
        <f ca="1">OFFSET(OFFSET(Shipments!$D$1,0,MATCH(N$7,Dates)),
MATCH(OFFSET($C87,((MATCH($C87,EL_List,0)-1)*-10)-3,0),Shipments!$C:$C,0)+
MATCH(OFFSET($C87,((MATCH($C87,EL_List,0)-1)*-10)-1,0),Shipments!$D:$D,0)+
MATCH($C87,EL_List,0)-10,
MATCH(Shipments_Scenario_X,Shipments!$F$5:$AQ$5,0))</f>
        <v>0.67967663901760111</v>
      </c>
      <c r="O89" s="530">
        <f ca="1">OFFSET(OFFSET(Shipments!$D$1,0,MATCH(O$7,Dates)),
MATCH(OFFSET($C87,((MATCH($C87,EL_List,0)-1)*-10)-3,0),Shipments!$C:$C,0)+
MATCH(OFFSET($C87,((MATCH($C87,EL_List,0)-1)*-10)-1,0),Shipments!$D:$D,0)+
MATCH($C87,EL_List,0)-10,
MATCH(Shipments_Scenario_X,Shipments!$F$5:$AQ$5,0))</f>
        <v>0.71430439007350266</v>
      </c>
      <c r="P89" s="530">
        <f ca="1">OFFSET(OFFSET(Shipments!$D$1,0,MATCH(P$7,Dates)),
MATCH(OFFSET($C87,((MATCH($C87,EL_List,0)-1)*-10)-3,0),Shipments!$C:$C,0)+
MATCH(OFFSET($C87,((MATCH($C87,EL_List,0)-1)*-10)-1,0),Shipments!$D:$D,0)+
MATCH($C87,EL_List,0)-10,
MATCH(Shipments_Scenario_X,Shipments!$F$5:$AQ$5,0))</f>
        <v>0.75024582208102442</v>
      </c>
      <c r="Q89" s="530">
        <f ca="1">OFFSET(OFFSET(Shipments!$D$1,0,MATCH(Q$7,Dates)),
MATCH(OFFSET($C87,((MATCH($C87,EL_List,0)-1)*-10)-3,0),Shipments!$C:$C,0)+
MATCH(OFFSET($C87,((MATCH($C87,EL_List,0)-1)*-10)-1,0),Shipments!$D:$D,0)+
MATCH($C87,EL_List,0)-10,
MATCH(Shipments_Scenario_X,Shipments!$F$5:$AQ$5,0))</f>
        <v>0.78772752978413108</v>
      </c>
      <c r="R89" s="530">
        <f ca="1">OFFSET(OFFSET(Shipments!$D$1,0,MATCH(R$7,Dates)),
MATCH(OFFSET($C87,((MATCH($C87,EL_List,0)-1)*-10)-3,0),Shipments!$C:$C,0)+
MATCH(OFFSET($C87,((MATCH($C87,EL_List,0)-1)*-10)-1,0),Shipments!$D:$D,0)+
MATCH($C87,EL_List,0)-10,
MATCH(Shipments_Scenario_X,Shipments!$F$5:$AQ$5,0))</f>
        <v>0.82701401712273759</v>
      </c>
      <c r="S89" s="530">
        <f ca="1">OFFSET(OFFSET(Shipments!$D$1,0,MATCH(S$7,Dates)),
MATCH(OFFSET($C87,((MATCH($C87,EL_List,0)-1)*-10)-3,0),Shipments!$C:$C,0)+
MATCH(OFFSET($C87,((MATCH($C87,EL_List,0)-1)*-10)-1,0),Shipments!$D:$D,0)+
MATCH($C87,EL_List,0)-10,
MATCH(Shipments_Scenario_X,Shipments!$F$5:$AQ$5,0))</f>
        <v>0.86832757834111174</v>
      </c>
      <c r="T89" s="530">
        <f ca="1">OFFSET(OFFSET(Shipments!$D$1,0,MATCH(T$7,Dates)),
MATCH(OFFSET($C87,((MATCH($C87,EL_List,0)-1)*-10)-3,0),Shipments!$C:$C,0)+
MATCH(OFFSET($C87,((MATCH($C87,EL_List,0)-1)*-10)-1,0),Shipments!$D:$D,0)+
MATCH($C87,EL_List,0)-10,
MATCH(Shipments_Scenario_X,Shipments!$F$5:$AQ$5,0))</f>
        <v>0.91180886006552053</v>
      </c>
      <c r="U89" s="530">
        <f ca="1">OFFSET(OFFSET(Shipments!$D$1,0,MATCH(U$7,Dates)),
MATCH(OFFSET($C87,((MATCH($C87,EL_List,0)-1)*-10)-3,0),Shipments!$C:$C,0)+
MATCH(OFFSET($C87,((MATCH($C87,EL_List,0)-1)*-10)-1,0),Shipments!$D:$D,0)+
MATCH($C87,EL_List,0)-10,
MATCH(Shipments_Scenario_X,Shipments!$F$5:$AQ$5,0))</f>
        <v>0.95761417804348048</v>
      </c>
      <c r="V89" s="530">
        <f ca="1">OFFSET(OFFSET(Shipments!$D$1,0,MATCH(V$7,Dates)),
MATCH(OFFSET($C87,((MATCH($C87,EL_List,0)-1)*-10)-3,0),Shipments!$C:$C,0)+
MATCH(OFFSET($C87,((MATCH($C87,EL_List,0)-1)*-10)-1,0),Shipments!$D:$D,0)+
MATCH($C87,EL_List,0)-10,
MATCH(Shipments_Scenario_X,Shipments!$F$5:$AQ$5,0))</f>
        <v>1.0056517399421905</v>
      </c>
      <c r="W89" s="530">
        <f ca="1">OFFSET(OFFSET(Shipments!$D$1,0,MATCH(W$7,Dates)),
MATCH(OFFSET($C87,((MATCH($C87,EL_List,0)-1)*-10)-3,0),Shipments!$C:$C,0)+
MATCH(OFFSET($C87,((MATCH($C87,EL_List,0)-1)*-10)-1,0),Shipments!$D:$D,0)+
MATCH($C87,EL_List,0)-10,
MATCH(Shipments_Scenario_X,Shipments!$F$5:$AQ$5,0))</f>
        <v>1.0560675249917246</v>
      </c>
      <c r="X89" s="530">
        <f ca="1">OFFSET(OFFSET(Shipments!$D$1,0,MATCH(X$7,Dates)),
MATCH(OFFSET($C87,((MATCH($C87,EL_List,0)-1)*-10)-3,0),Shipments!$C:$C,0)+
MATCH(OFFSET($C87,((MATCH($C87,EL_List,0)-1)*-10)-1,0),Shipments!$D:$D,0)+
MATCH($C87,EL_List,0)-10,
MATCH(Shipments_Scenario_X,Shipments!$F$5:$AQ$5,0))</f>
        <v>1.1089224034384524</v>
      </c>
      <c r="Y89" s="530">
        <f ca="1">OFFSET(OFFSET(Shipments!$D$1,0,MATCH(Y$7,Dates)),
MATCH(OFFSET($C87,((MATCH($C87,EL_List,0)-1)*-10)-3,0),Shipments!$C:$C,0)+
MATCH(OFFSET($C87,((MATCH($C87,EL_List,0)-1)*-10)-1,0),Shipments!$D:$D,0)+
MATCH($C87,EL_List,0)-10,
MATCH(Shipments_Scenario_X,Shipments!$F$5:$AQ$5,0))</f>
        <v>1.1643064051613203</v>
      </c>
      <c r="Z89" s="530">
        <f ca="1">OFFSET(OFFSET(Shipments!$D$1,0,MATCH(Z$7,Dates)),
MATCH(OFFSET($C87,((MATCH($C87,EL_List,0)-1)*-10)-3,0),Shipments!$C:$C,0)+
MATCH(OFFSET($C87,((MATCH($C87,EL_List,0)-1)*-10)-1,0),Shipments!$D:$D,0)+
MATCH($C87,EL_List,0)-10,
MATCH(Shipments_Scenario_X,Shipments!$F$5:$AQ$5,0))</f>
        <v>1.2223402341797369</v>
      </c>
      <c r="AA89" s="530">
        <f ca="1">OFFSET(OFFSET(Shipments!$D$1,0,MATCH(AA$7,Dates)),
MATCH(OFFSET($C87,((MATCH($C87,EL_List,0)-1)*-10)-3,0),Shipments!$C:$C,0)+
MATCH(OFFSET($C87,((MATCH($C87,EL_List,0)-1)*-10)-1,0),Shipments!$D:$D,0)+
MATCH($C87,EL_List,0)-10,
MATCH(Shipments_Scenario_X,Shipments!$F$5:$AQ$5,0))</f>
        <v>1.2831631238572259</v>
      </c>
      <c r="AB89" s="530">
        <f ca="1">OFFSET(OFFSET(Shipments!$D$1,0,MATCH(AB$7,Dates)),
MATCH(OFFSET($C87,((MATCH($C87,EL_List,0)-1)*-10)-3,0),Shipments!$C:$C,0)+
MATCH(OFFSET($C87,((MATCH($C87,EL_List,0)-1)*-10)-1,0),Shipments!$D:$D,0)+
MATCH($C87,EL_List,0)-10,
MATCH(Shipments_Scenario_X,Shipments!$F$5:$AQ$5,0))</f>
        <v>1.3469346828238811</v>
      </c>
      <c r="AC89" s="530">
        <f ca="1">OFFSET(OFFSET(Shipments!$D$1,0,MATCH(AC$7,Dates)),
MATCH(OFFSET($C87,((MATCH($C87,EL_List,0)-1)*-10)-3,0),Shipments!$C:$C,0)+
MATCH(OFFSET($C87,((MATCH($C87,EL_List,0)-1)*-10)-1,0),Shipments!$D:$D,0)+
MATCH($C87,EL_List,0)-10,
MATCH(Shipments_Scenario_X,Shipments!$F$5:$AQ$5,0))</f>
        <v>1.4138161343645794</v>
      </c>
      <c r="AD89" s="530">
        <f ca="1">OFFSET(OFFSET(Shipments!$D$1,0,MATCH(AD$7,Dates)),
MATCH(OFFSET($C87,((MATCH($C87,EL_List,0)-1)*-10)-3,0),Shipments!$C:$C,0)+
MATCH(OFFSET($C87,((MATCH($C87,EL_List,0)-1)*-10)-1,0),Shipments!$D:$D,0)+
MATCH($C87,EL_List,0)-10,
MATCH(Shipments_Scenario_X,Shipments!$F$5:$AQ$5,0))</f>
        <v>1.4839696026248852</v>
      </c>
      <c r="AE89" s="530">
        <f ca="1">OFFSET(OFFSET(Shipments!$D$1,0,MATCH(AE$7,Dates)),
MATCH(OFFSET($C87,((MATCH($C87,EL_List,0)-1)*-10)-3,0),Shipments!$C:$C,0)+
MATCH(OFFSET($C87,((MATCH($C87,EL_List,0)-1)*-10)-1,0),Shipments!$D:$D,0)+
MATCH($C87,EL_List,0)-10,
MATCH(Shipments_Scenario_X,Shipments!$F$5:$AQ$5,0))</f>
        <v>1.557557246980436</v>
      </c>
      <c r="AF89" s="530">
        <f ca="1">OFFSET(OFFSET(Shipments!$D$1,0,MATCH(AF$7,Dates)),
MATCH(OFFSET($C87,((MATCH($C87,EL_List,0)-1)*-10)-3,0),Shipments!$C:$C,0)+
MATCH(OFFSET($C87,((MATCH($C87,EL_List,0)-1)*-10)-1,0),Shipments!$D:$D,0)+
MATCH($C87,EL_List,0)-10,
MATCH(Shipments_Scenario_X,Shipments!$F$5:$AQ$5,0))</f>
        <v>1.6347428312691215</v>
      </c>
      <c r="AG89" s="530">
        <f ca="1">OFFSET(OFFSET(Shipments!$D$1,0,MATCH(AG$7,Dates)),
MATCH(OFFSET($C87,((MATCH($C87,EL_List,0)-1)*-10)-3,0),Shipments!$C:$C,0)+
MATCH(OFFSET($C87,((MATCH($C87,EL_List,0)-1)*-10)-1,0),Shipments!$D:$D,0)+
MATCH($C87,EL_List,0)-10,
MATCH(Shipments_Scenario_X,Shipments!$F$5:$AQ$5,0))</f>
        <v>1.7156952013602766</v>
      </c>
      <c r="AH89" s="530">
        <f ca="1">OFFSET(OFFSET(Shipments!$D$1,0,MATCH(AH$7,Dates)),
MATCH(OFFSET($C87,((MATCH($C87,EL_List,0)-1)*-10)-3,0),Shipments!$C:$C,0)+
MATCH(OFFSET($C87,((MATCH($C87,EL_List,0)-1)*-10)-1,0),Shipments!$D:$D,0)+
MATCH($C87,EL_List,0)-10,
MATCH(Shipments_Scenario_X,Shipments!$F$5:$AQ$5,0))</f>
        <v>1.8005914218891892</v>
      </c>
      <c r="AI89" s="530">
        <f ca="1">OFFSET(OFFSET(Shipments!$D$1,0,MATCH(AI$7,Dates)),
MATCH(OFFSET($C87,((MATCH($C87,EL_List,0)-1)*-10)-3,0),Shipments!$C:$C,0)+
MATCH(OFFSET($C87,((MATCH($C87,EL_List,0)-1)*-10)-1,0),Shipments!$D:$D,0)+
MATCH($C87,EL_List,0)-10,
MATCH(Shipments_Scenario_X,Shipments!$F$5:$AQ$5,0))</f>
        <v>1.8896191452351232</v>
      </c>
      <c r="AJ89" s="530">
        <f ca="1">OFFSET(OFFSET(Shipments!$D$1,0,MATCH(AJ$7,Dates)),
MATCH(OFFSET($C87,((MATCH($C87,EL_List,0)-1)*-10)-3,0),Shipments!$C:$C,0)+
MATCH(OFFSET($C87,((MATCH($C87,EL_List,0)-1)*-10)-1,0),Shipments!$D:$D,0)+
MATCH($C87,EL_List,0)-10,
MATCH(Shipments_Scenario_X,Shipments!$F$5:$AQ$5,0))</f>
        <v>1.9829779053017296</v>
      </c>
      <c r="AK89" s="530">
        <f ca="1">OFFSET(OFFSET(Shipments!$D$1,0,MATCH(AK$7,Dates)),
MATCH(OFFSET($C87,((MATCH($C87,EL_List,0)-1)*-10)-3,0),Shipments!$C:$C,0)+
MATCH(OFFSET($C87,((MATCH($C87,EL_List,0)-1)*-10)-1,0),Shipments!$D:$D,0)+
MATCH($C87,EL_List,0)-10,
MATCH(Shipments_Scenario_X,Shipments!$F$5:$AQ$5,0))</f>
        <v>2.0808792318651861</v>
      </c>
      <c r="AL89" s="530">
        <f ca="1">OFFSET(OFFSET(Shipments!$D$1,0,MATCH(AL$7,Dates)),
MATCH(OFFSET($C87,((MATCH($C87,EL_List,0)-1)*-10)-3,0),Shipments!$C:$C,0)+
MATCH(OFFSET($C87,((MATCH($C87,EL_List,0)-1)*-10)-1,0),Shipments!$D:$D,0)+
MATCH($C87,EL_List,0)-10,
MATCH(Shipments_Scenario_X,Shipments!$F$5:$AQ$5,0))</f>
        <v>2.1835462617684529</v>
      </c>
      <c r="AM89" s="530">
        <f ca="1">OFFSET(OFFSET(Shipments!$D$1,0,MATCH(AM$7,Dates)),
MATCH(OFFSET($C87,((MATCH($C87,EL_List,0)-1)*-10)-3,0),Shipments!$C:$C,0)+
MATCH(OFFSET($C87,((MATCH($C87,EL_List,0)-1)*-10)-1,0),Shipments!$D:$D,0)+
MATCH($C87,EL_List,0)-10,
MATCH(Shipments_Scenario_X,Shipments!$F$5:$AQ$5,0))</f>
        <v>2.2912134803728517</v>
      </c>
      <c r="AN89" s="530">
        <f ca="1">OFFSET(OFFSET(Shipments!$D$1,0,MATCH(AN$7,Dates)),
MATCH(OFFSET($C87,((MATCH($C87,EL_List,0)-1)*-10)-3,0),Shipments!$C:$C,0)+
MATCH(OFFSET($C87,((MATCH($C87,EL_List,0)-1)*-10)-1,0),Shipments!$D:$D,0)+
MATCH($C87,EL_List,0)-10,
MATCH(Shipments_Scenario_X,Shipments!$F$5:$AQ$5,0))</f>
        <v>2.4041257918637537</v>
      </c>
      <c r="AO89" s="436"/>
      <c r="AP89" s="21"/>
    </row>
    <row r="90" spans="2:42" ht="15" customHeight="1" x14ac:dyDescent="0.35">
      <c r="B90" s="429"/>
      <c r="C90" s="777" t="s">
        <v>79</v>
      </c>
      <c r="D90" s="776"/>
      <c r="E90" s="531">
        <f t="shared" ref="E90:AN90" ca="1" si="22">E88*E89</f>
        <v>28.726424331340709</v>
      </c>
      <c r="F90" s="531">
        <f t="shared" ca="1" si="22"/>
        <v>29.780396213434038</v>
      </c>
      <c r="G90" s="531">
        <f t="shared" ca="1" si="22"/>
        <v>30.713151431515971</v>
      </c>
      <c r="H90" s="531">
        <f t="shared" ca="1" si="22"/>
        <v>31.936148381890835</v>
      </c>
      <c r="I90" s="531">
        <f t="shared" ca="1" si="22"/>
        <v>33.243363024277464</v>
      </c>
      <c r="J90" s="531">
        <f t="shared" ca="1" si="22"/>
        <v>34.725724212845691</v>
      </c>
      <c r="K90" s="531">
        <f t="shared" ca="1" si="22"/>
        <v>36.329357638071805</v>
      </c>
      <c r="L90" s="531">
        <f t="shared" ca="1" si="22"/>
        <v>38.022424574495616</v>
      </c>
      <c r="M90" s="531">
        <f t="shared" ca="1" si="22"/>
        <v>39.780188768629721</v>
      </c>
      <c r="N90" s="531">
        <f t="shared" ca="1" si="22"/>
        <v>41.628351876298012</v>
      </c>
      <c r="O90" s="531">
        <f t="shared" ca="1" si="22"/>
        <v>43.48217293107205</v>
      </c>
      <c r="P90" s="531">
        <f t="shared" ca="1" si="22"/>
        <v>45.436325956713588</v>
      </c>
      <c r="Q90" s="531">
        <f t="shared" ca="1" si="22"/>
        <v>47.460887338456629</v>
      </c>
      <c r="R90" s="531">
        <f t="shared" ca="1" si="22"/>
        <v>49.570271601259243</v>
      </c>
      <c r="S90" s="531">
        <f t="shared" ca="1" si="22"/>
        <v>51.776046812734322</v>
      </c>
      <c r="T90" s="531">
        <f t="shared" ca="1" si="22"/>
        <v>54.084661040168079</v>
      </c>
      <c r="U90" s="531">
        <f t="shared" ca="1" si="22"/>
        <v>56.562977219484274</v>
      </c>
      <c r="V90" s="531">
        <f t="shared" ca="1" si="22"/>
        <v>59.087097647029729</v>
      </c>
      <c r="W90" s="531">
        <f t="shared" ca="1" si="22"/>
        <v>61.786079099897179</v>
      </c>
      <c r="X90" s="531">
        <f t="shared" ca="1" si="22"/>
        <v>64.532930863668625</v>
      </c>
      <c r="Y90" s="531">
        <f t="shared" ca="1" si="22"/>
        <v>67.465787040860945</v>
      </c>
      <c r="Z90" s="531">
        <f t="shared" ca="1" si="22"/>
        <v>70.523920907651714</v>
      </c>
      <c r="AA90" s="531">
        <f t="shared" ca="1" si="22"/>
        <v>73.713349728834643</v>
      </c>
      <c r="AB90" s="531">
        <f t="shared" ca="1" si="22"/>
        <v>77.041117378506115</v>
      </c>
      <c r="AC90" s="531">
        <f t="shared" ca="1" si="22"/>
        <v>80.514200567869011</v>
      </c>
      <c r="AD90" s="531">
        <f t="shared" ca="1" si="22"/>
        <v>84.13946636181214</v>
      </c>
      <c r="AE90" s="531">
        <f t="shared" ca="1" si="22"/>
        <v>87.923622191741799</v>
      </c>
      <c r="AF90" s="531">
        <f t="shared" ca="1" si="22"/>
        <v>91.873304003255498</v>
      </c>
      <c r="AG90" s="531">
        <f t="shared" ca="1" si="22"/>
        <v>95.995268831071556</v>
      </c>
      <c r="AH90" s="531">
        <f t="shared" ca="1" si="22"/>
        <v>100.29656318857725</v>
      </c>
      <c r="AI90" s="531">
        <f t="shared" ca="1" si="22"/>
        <v>104.78464419260706</v>
      </c>
      <c r="AJ90" s="531">
        <f t="shared" ca="1" si="22"/>
        <v>109.59099020387713</v>
      </c>
      <c r="AK90" s="531">
        <f t="shared" ca="1" si="22"/>
        <v>114.48298254256386</v>
      </c>
      <c r="AL90" s="531">
        <f t="shared" ca="1" si="22"/>
        <v>119.5871810146521</v>
      </c>
      <c r="AM90" s="531">
        <f t="shared" ref="AM90" ca="1" si="23">AM88*AM89</f>
        <v>125.05556361820955</v>
      </c>
      <c r="AN90" s="531">
        <f t="shared" ca="1" si="22"/>
        <v>130.67935880105031</v>
      </c>
      <c r="AO90" s="436"/>
      <c r="AP90" s="21"/>
    </row>
    <row r="91" spans="2:42" ht="15" customHeight="1" x14ac:dyDescent="0.35">
      <c r="B91" s="429"/>
      <c r="C91" s="777"/>
      <c r="D91" s="776"/>
      <c r="E91" s="776"/>
      <c r="F91" s="776"/>
      <c r="G91" s="776"/>
      <c r="H91" s="776"/>
      <c r="I91" s="776"/>
      <c r="J91" s="776"/>
      <c r="K91" s="776"/>
      <c r="L91" s="776"/>
      <c r="M91" s="776"/>
      <c r="N91" s="776"/>
      <c r="O91" s="776"/>
      <c r="P91" s="776"/>
      <c r="Q91" s="776"/>
      <c r="R91" s="776"/>
      <c r="S91" s="776"/>
      <c r="T91" s="776"/>
      <c r="U91" s="776"/>
      <c r="V91" s="776"/>
      <c r="W91" s="776"/>
      <c r="X91" s="776"/>
      <c r="Y91" s="776"/>
      <c r="Z91" s="776"/>
      <c r="AA91" s="776"/>
      <c r="AB91" s="776"/>
      <c r="AC91" s="776"/>
      <c r="AD91" s="776"/>
      <c r="AE91" s="776"/>
      <c r="AF91" s="776"/>
      <c r="AG91" s="776"/>
      <c r="AH91" s="776"/>
      <c r="AI91" s="776"/>
      <c r="AJ91" s="776"/>
      <c r="AK91" s="776"/>
      <c r="AL91" s="776"/>
      <c r="AM91" s="776"/>
      <c r="AN91" s="776"/>
      <c r="AO91" s="436"/>
      <c r="AP91" s="21"/>
    </row>
    <row r="92" spans="2:42" ht="15" customHeight="1" x14ac:dyDescent="0.35">
      <c r="B92" s="429"/>
      <c r="C92" s="777" t="s">
        <v>212</v>
      </c>
      <c r="D92" s="776"/>
      <c r="E92" s="532" cm="1">
        <f t="array" aca="1" ref="E92" ca="1">OFFSET(E92,-3,0)*
OFFSET(MSP!$D$1,
MATCH(OFFSET($C87,((MATCH($C87,EL_List,0)-1)*-10)-1,0),MSP!$C:$C,0)+MATCH($C87,EL_List,0)-1,0)
*INDEX(Learning!$E$6:$S$41,(MATCH(E$21,Dates,0)),(MATCH($C$86,Learning!$E$4:$S$4,0)+MATCH($C$87,Learning!$E$5:$S$5,0)-1))</f>
        <v>17.601943047353291</v>
      </c>
      <c r="F92" s="532" cm="1">
        <f t="array" aca="1" ref="F92" ca="1">OFFSET(F92,-3,0)*
OFFSET(MSP!$D$1,
MATCH(OFFSET($C87,((MATCH($C87,EL_List,0)-1)*-10)-1,0),MSP!$C:$C,0)+MATCH($C87,EL_List,0)-1,0)
*INDEX(Learning!$E$6:$S$41,(MATCH(F$21,Dates,0)),(MATCH($C$86,Learning!$E$4:$S$4,0)+MATCH($C$87,Learning!$E$5:$S$5,0)-1))</f>
        <v>18.247757953800878</v>
      </c>
      <c r="G92" s="532" cm="1">
        <f t="array" aca="1" ref="G92" ca="1">OFFSET(G92,-3,0)*
OFFSET(MSP!$D$1,
MATCH(OFFSET($C87,((MATCH($C87,EL_List,0)-1)*-10)-1,0),MSP!$C:$C,0)+MATCH($C87,EL_List,0)-1,0)
*INDEX(Learning!$E$6:$S$41,(MATCH(G$21,Dates,0)),(MATCH($C$86,Learning!$E$4:$S$4,0)+MATCH($C$87,Learning!$E$5:$S$5,0)-1))</f>
        <v>18.819298081330338</v>
      </c>
      <c r="H92" s="532" cm="1">
        <f t="array" aca="1" ref="H92" ca="1">OFFSET(H92,-3,0)*
OFFSET(MSP!$D$1,
MATCH(OFFSET($C87,((MATCH($C87,EL_List,0)-1)*-10)-1,0),MSP!$C:$C,0)+MATCH($C87,EL_List,0)-1,0)
*INDEX(Learning!$E$6:$S$41,(MATCH(H$21,Dates,0)),(MATCH($C$86,Learning!$E$4:$S$4,0)+MATCH($C$87,Learning!$E$5:$S$5,0)-1))</f>
        <v>19.568682077726258</v>
      </c>
      <c r="I92" s="532" cm="1">
        <f t="array" aca="1" ref="I92" ca="1">OFFSET(I92,-3,0)*
OFFSET(MSP!$D$1,
MATCH(OFFSET($C87,((MATCH($C87,EL_List,0)-1)*-10)-1,0),MSP!$C:$C,0)+MATCH($C87,EL_List,0)-1,0)
*INDEX(Learning!$E$6:$S$41,(MATCH(I$21,Dates,0)),(MATCH($C$86,Learning!$E$4:$S$4,0)+MATCH($C$87,Learning!$E$5:$S$5,0)-1))</f>
        <v>20.36966995636217</v>
      </c>
      <c r="J92" s="532" cm="1">
        <f t="array" aca="1" ref="J92" ca="1">OFFSET(J92,-3,0)*
OFFSET(MSP!$D$1,
MATCH(OFFSET($C87,((MATCH($C87,EL_List,0)-1)*-10)-1,0),MSP!$C:$C,0)+MATCH($C87,EL_List,0)-1,0)
*INDEX(Learning!$E$6:$S$41,(MATCH(J$21,Dates,0)),(MATCH($C$86,Learning!$E$4:$S$4,0)+MATCH($C$87,Learning!$E$5:$S$5,0)-1))</f>
        <v>21.277977823565745</v>
      </c>
      <c r="K92" s="532" cm="1">
        <f t="array" aca="1" ref="K92" ca="1">OFFSET(K92,-3,0)*
OFFSET(MSP!$D$1,
MATCH(OFFSET($C87,((MATCH($C87,EL_List,0)-1)*-10)-1,0),MSP!$C:$C,0)+MATCH($C87,EL_List,0)-1,0)
*INDEX(Learning!$E$6:$S$41,(MATCH(K$21,Dates,0)),(MATCH($C$86,Learning!$E$4:$S$4,0)+MATCH($C$87,Learning!$E$5:$S$5,0)-1))</f>
        <v>22.260594521491015</v>
      </c>
      <c r="L92" s="532" cm="1">
        <f t="array" aca="1" ref="L92" ca="1">OFFSET(L92,-3,0)*
OFFSET(MSP!$D$1,
MATCH(OFFSET($C87,((MATCH($C87,EL_List,0)-1)*-10)-1,0),MSP!$C:$C,0)+MATCH($C87,EL_List,0)-1,0)
*INDEX(Learning!$E$6:$S$41,(MATCH(L$21,Dates,0)),(MATCH($C$86,Learning!$E$4:$S$4,0)+MATCH($C$87,Learning!$E$5:$S$5,0)-1))</f>
        <v>23.298011063367248</v>
      </c>
      <c r="M92" s="532" cm="1">
        <f t="array" aca="1" ref="M92" ca="1">OFFSET(M92,-3,0)*
OFFSET(MSP!$D$1,
MATCH(OFFSET($C87,((MATCH($C87,EL_List,0)-1)*-10)-1,0),MSP!$C:$C,0)+MATCH($C87,EL_List,0)-1,0)
*INDEX(Learning!$E$6:$S$41,(MATCH(M$21,Dates,0)),(MATCH($C$86,Learning!$E$4:$S$4,0)+MATCH($C$87,Learning!$E$5:$S$5,0)-1))</f>
        <v>24.375070459237467</v>
      </c>
      <c r="N92" s="532" cm="1">
        <f t="array" aca="1" ref="N92" ca="1">OFFSET(N92,-3,0)*
OFFSET(MSP!$D$1,
MATCH(OFFSET($C87,((MATCH($C87,EL_List,0)-1)*-10)-1,0),MSP!$C:$C,0)+MATCH($C87,EL_List,0)-1,0)
*INDEX(Learning!$E$6:$S$41,(MATCH(N$21,Dates,0)),(MATCH($C$86,Learning!$E$4:$S$4,0)+MATCH($C$87,Learning!$E$5:$S$5,0)-1))</f>
        <v>25.507521243510851</v>
      </c>
      <c r="O92" s="532" cm="1">
        <f t="array" aca="1" ref="O92" ca="1">OFFSET(O92,-3,0)*
OFFSET(MSP!$D$1,
MATCH(OFFSET($C87,((MATCH($C87,EL_List,0)-1)*-10)-1,0),MSP!$C:$C,0)+MATCH($C87,EL_List,0)-1,0)
*INDEX(Learning!$E$6:$S$41,(MATCH(O$21,Dates,0)),(MATCH($C$86,Learning!$E$4:$S$4,0)+MATCH($C$87,Learning!$E$5:$S$5,0)-1))</f>
        <v>26.643438900708325</v>
      </c>
      <c r="P92" s="532" cm="1">
        <f t="array" aca="1" ref="P92" ca="1">OFFSET(P92,-3,0)*
OFFSET(MSP!$D$1,
MATCH(OFFSET($C87,((MATCH($C87,EL_List,0)-1)*-10)-1,0),MSP!$C:$C,0)+MATCH($C87,EL_List,0)-1,0)
*INDEX(Learning!$E$6:$S$41,(MATCH(P$21,Dates,0)),(MATCH($C$86,Learning!$E$4:$S$4,0)+MATCH($C$87,Learning!$E$5:$S$5,0)-1))</f>
        <v>27.84083436721016</v>
      </c>
      <c r="Q92" s="532" cm="1">
        <f t="array" aca="1" ref="Q92" ca="1">OFFSET(Q92,-3,0)*
OFFSET(MSP!$D$1,
MATCH(OFFSET($C87,((MATCH($C87,EL_List,0)-1)*-10)-1,0),MSP!$C:$C,0)+MATCH($C87,EL_List,0)-1,0)
*INDEX(Learning!$E$6:$S$41,(MATCH(Q$21,Dates,0)),(MATCH($C$86,Learning!$E$4:$S$4,0)+MATCH($C$87,Learning!$E$5:$S$5,0)-1))</f>
        <v>29.081372128759288</v>
      </c>
      <c r="R92" s="532" cm="1">
        <f t="array" aca="1" ref="R92" ca="1">OFFSET(R92,-3,0)*
OFFSET(MSP!$D$1,
MATCH(OFFSET($C87,((MATCH($C87,EL_List,0)-1)*-10)-1,0),MSP!$C:$C,0)+MATCH($C87,EL_List,0)-1,0)
*INDEX(Learning!$E$6:$S$41,(MATCH(R$21,Dates,0)),(MATCH($C$86,Learning!$E$4:$S$4,0)+MATCH($C$87,Learning!$E$5:$S$5,0)-1))</f>
        <v>30.373884598483091</v>
      </c>
      <c r="S92" s="532" cm="1">
        <f t="array" aca="1" ref="S92" ca="1">OFFSET(S92,-3,0)*
OFFSET(MSP!$D$1,
MATCH(OFFSET($C87,((MATCH($C87,EL_List,0)-1)*-10)-1,0),MSP!$C:$C,0)+MATCH($C87,EL_List,0)-1,0)
*INDEX(Learning!$E$6:$S$41,(MATCH(S$21,Dates,0)),(MATCH($C$86,Learning!$E$4:$S$4,0)+MATCH($C$87,Learning!$E$5:$S$5,0)-1))</f>
        <v>31.725460039958715</v>
      </c>
      <c r="T92" s="532" cm="1">
        <f t="array" aca="1" ref="T92" ca="1">OFFSET(T92,-3,0)*
OFFSET(MSP!$D$1,
MATCH(OFFSET($C87,((MATCH($C87,EL_List,0)-1)*-10)-1,0),MSP!$C:$C,0)+MATCH($C87,EL_List,0)-1,0)
*INDEX(Learning!$E$6:$S$41,(MATCH(T$21,Dates,0)),(MATCH($C$86,Learning!$E$4:$S$4,0)+MATCH($C$87,Learning!$E$5:$S$5,0)-1))</f>
        <v>33.140049467479784</v>
      </c>
      <c r="U92" s="532" cm="1">
        <f t="array" aca="1" ref="U92" ca="1">OFFSET(U92,-3,0)*
OFFSET(MSP!$D$1,
MATCH(OFFSET($C87,((MATCH($C87,EL_List,0)-1)*-10)-1,0),MSP!$C:$C,0)+MATCH($C87,EL_List,0)-1,0)
*INDEX(Learning!$E$6:$S$41,(MATCH(U$21,Dates,0)),(MATCH($C$86,Learning!$E$4:$S$4,0)+MATCH($C$87,Learning!$E$5:$S$5,0)-1))</f>
        <v>34.65862274128834</v>
      </c>
      <c r="V92" s="532" cm="1">
        <f t="array" aca="1" ref="V92" ca="1">OFFSET(V92,-3,0)*
OFFSET(MSP!$D$1,
MATCH(OFFSET($C87,((MATCH($C87,EL_List,0)-1)*-10)-1,0),MSP!$C:$C,0)+MATCH($C87,EL_List,0)-1,0)
*INDEX(Learning!$E$6:$S$41,(MATCH(V$21,Dates,0)),(MATCH($C$86,Learning!$E$4:$S$4,0)+MATCH($C$87,Learning!$E$5:$S$5,0)-1))</f>
        <v>36.205262291614943</v>
      </c>
      <c r="W92" s="532" cm="1">
        <f t="array" aca="1" ref="W92" ca="1">OFFSET(W92,-3,0)*
OFFSET(MSP!$D$1,
MATCH(OFFSET($C87,((MATCH($C87,EL_List,0)-1)*-10)-1,0),MSP!$C:$C,0)+MATCH($C87,EL_List,0)-1,0)
*INDEX(Learning!$E$6:$S$41,(MATCH(W$21,Dates,0)),(MATCH($C$86,Learning!$E$4:$S$4,0)+MATCH($C$87,Learning!$E$5:$S$5,0)-1))</f>
        <v>37.859046879326577</v>
      </c>
      <c r="X92" s="532" cm="1">
        <f t="array" aca="1" ref="X92" ca="1">OFFSET(X92,-3,0)*
OFFSET(MSP!$D$1,
MATCH(OFFSET($C87,((MATCH($C87,EL_List,0)-1)*-10)-1,0),MSP!$C:$C,0)+MATCH($C87,EL_List,0)-1,0)
*INDEX(Learning!$E$6:$S$41,(MATCH(X$21,Dates,0)),(MATCH($C$86,Learning!$E$4:$S$4,0)+MATCH($C$87,Learning!$E$5:$S$5,0)-1))</f>
        <v>39.542163710984497</v>
      </c>
      <c r="Y92" s="532" cm="1">
        <f t="array" aca="1" ref="Y92" ca="1">OFFSET(Y92,-3,0)*
OFFSET(MSP!$D$1,
MATCH(OFFSET($C87,((MATCH($C87,EL_List,0)-1)*-10)-1,0),MSP!$C:$C,0)+MATCH($C87,EL_List,0)-1,0)
*INDEX(Learning!$E$6:$S$41,(MATCH(Y$21,Dates,0)),(MATCH($C$86,Learning!$E$4:$S$4,0)+MATCH($C$87,Learning!$E$5:$S$5,0)-1))</f>
        <v>41.339253623796765</v>
      </c>
      <c r="Z92" s="532" cm="1">
        <f t="array" aca="1" ref="Z92" ca="1">OFFSET(Z92,-3,0)*
OFFSET(MSP!$D$1,
MATCH(OFFSET($C87,((MATCH($C87,EL_List,0)-1)*-10)-1,0),MSP!$C:$C,0)+MATCH($C87,EL_List,0)-1,0)
*INDEX(Learning!$E$6:$S$41,(MATCH(Z$21,Dates,0)),(MATCH($C$86,Learning!$E$4:$S$4,0)+MATCH($C$87,Learning!$E$5:$S$5,0)-1))</f>
        <v>43.213106684433534</v>
      </c>
      <c r="AA92" s="532" cm="1">
        <f t="array" aca="1" ref="AA92" ca="1">OFFSET(AA92,-3,0)*
OFFSET(MSP!$D$1,
MATCH(OFFSET($C87,((MATCH($C87,EL_List,0)-1)*-10)-1,0),MSP!$C:$C,0)+MATCH($C87,EL_List,0)-1,0)
*INDEX(Learning!$E$6:$S$41,(MATCH(AA$21,Dates,0)),(MATCH($C$86,Learning!$E$4:$S$4,0)+MATCH($C$87,Learning!$E$5:$S$5,0)-1))</f>
        <v>45.167409935562496</v>
      </c>
      <c r="AB92" s="532" cm="1">
        <f t="array" aca="1" ref="AB92" ca="1">OFFSET(AB92,-3,0)*
OFFSET(MSP!$D$1,
MATCH(OFFSET($C87,((MATCH($C87,EL_List,0)-1)*-10)-1,0),MSP!$C:$C,0)+MATCH($C87,EL_List,0)-1,0)
*INDEX(Learning!$E$6:$S$41,(MATCH(AB$21,Dates,0)),(MATCH($C$86,Learning!$E$4:$S$4,0)+MATCH($C$87,Learning!$E$5:$S$5,0)-1))</f>
        <v>47.206479468502458</v>
      </c>
      <c r="AC92" s="532" cm="1">
        <f t="array" aca="1" ref="AC92" ca="1">OFFSET(AC92,-3,0)*
OFFSET(MSP!$D$1,
MATCH(OFFSET($C87,((MATCH($C87,EL_List,0)-1)*-10)-1,0),MSP!$C:$C,0)+MATCH($C87,EL_List,0)-1,0)
*INDEX(Learning!$E$6:$S$41,(MATCH(AC$21,Dates,0)),(MATCH($C$86,Learning!$E$4:$S$4,0)+MATCH($C$87,Learning!$E$5:$S$5,0)-1))</f>
        <v>49.334590220914798</v>
      </c>
      <c r="AD92" s="532" cm="1">
        <f t="array" aca="1" ref="AD92" ca="1">OFFSET(AD92,-3,0)*
OFFSET(MSP!$D$1,
MATCH(OFFSET($C87,((MATCH($C87,EL_List,0)-1)*-10)-1,0),MSP!$C:$C,0)+MATCH($C87,EL_List,0)-1,0)
*INDEX(Learning!$E$6:$S$41,(MATCH(AD$21,Dates,0)),(MATCH($C$86,Learning!$E$4:$S$4,0)+MATCH($C$87,Learning!$E$5:$S$5,0)-1))</f>
        <v>51.555949945344061</v>
      </c>
      <c r="AE92" s="532" cm="1">
        <f t="array" aca="1" ref="AE92" ca="1">OFFSET(AE92,-3,0)*
OFFSET(MSP!$D$1,
MATCH(OFFSET($C87,((MATCH($C87,EL_List,0)-1)*-10)-1,0),MSP!$C:$C,0)+MATCH($C87,EL_List,0)-1,0)
*INDEX(Learning!$E$6:$S$41,(MATCH(AE$21,Dates,0)),(MATCH($C$86,Learning!$E$4:$S$4,0)+MATCH($C$87,Learning!$E$5:$S$5,0)-1))</f>
        <v>53.874668579882275</v>
      </c>
      <c r="AF92" s="532" cm="1">
        <f t="array" aca="1" ref="AF92" ca="1">OFFSET(AF92,-3,0)*
OFFSET(MSP!$D$1,
MATCH(OFFSET($C87,((MATCH($C87,EL_List,0)-1)*-10)-1,0),MSP!$C:$C,0)+MATCH($C87,EL_List,0)-1,0)
*INDEX(Learning!$E$6:$S$41,(MATCH(AF$21,Dates,0)),(MATCH($C$86,Learning!$E$4:$S$4,0)+MATCH($C$87,Learning!$E$5:$S$5,0)-1))</f>
        <v>56.294812260123827</v>
      </c>
      <c r="AG92" s="532" cm="1">
        <f t="array" aca="1" ref="AG92" ca="1">OFFSET(AG92,-3,0)*
OFFSET(MSP!$D$1,
MATCH(OFFSET($C87,((MATCH($C87,EL_List,0)-1)*-10)-1,0),MSP!$C:$C,0)+MATCH($C87,EL_List,0)-1,0)
*INDEX(Learning!$E$6:$S$41,(MATCH(AG$21,Dates,0)),(MATCH($C$86,Learning!$E$4:$S$4,0)+MATCH($C$87,Learning!$E$5:$S$5,0)-1))</f>
        <v>58.820521318290666</v>
      </c>
      <c r="AH92" s="532" cm="1">
        <f t="array" aca="1" ref="AH92" ca="1">OFFSET(AH92,-3,0)*
OFFSET(MSP!$D$1,
MATCH(OFFSET($C87,((MATCH($C87,EL_List,0)-1)*-10)-1,0),MSP!$C:$C,0)+MATCH($C87,EL_List,0)-1,0)
*INDEX(Learning!$E$6:$S$41,(MATCH(AH$21,Dates,0)),(MATCH($C$86,Learning!$E$4:$S$4,0)+MATCH($C$87,Learning!$E$5:$S$5,0)-1))</f>
        <v>61.456113462911198</v>
      </c>
      <c r="AI92" s="532" cm="1">
        <f t="array" aca="1" ref="AI92" ca="1">OFFSET(AI92,-3,0)*
OFFSET(MSP!$D$1,
MATCH(OFFSET($C87,((MATCH($C87,EL_List,0)-1)*-10)-1,0),MSP!$C:$C,0)+MATCH($C87,EL_List,0)-1,0)
*INDEX(Learning!$E$6:$S$41,(MATCH(AI$21,Dates,0)),(MATCH($C$86,Learning!$E$4:$S$4,0)+MATCH($C$87,Learning!$E$5:$S$5,0)-1))</f>
        <v>64.206157997296643</v>
      </c>
      <c r="AJ92" s="532" cm="1">
        <f t="array" aca="1" ref="AJ92" ca="1">OFFSET(AJ92,-3,0)*
OFFSET(MSP!$D$1,
MATCH(OFFSET($C87,((MATCH($C87,EL_List,0)-1)*-10)-1,0),MSP!$C:$C,0)+MATCH($C87,EL_List,0)-1,0)
*INDEX(Learning!$E$6:$S$41,(MATCH(AJ$21,Dates,0)),(MATCH($C$86,Learning!$E$4:$S$4,0)+MATCH($C$87,Learning!$E$5:$S$5,0)-1))</f>
        <v>67.151217493056748</v>
      </c>
      <c r="AK92" s="532" cm="1">
        <f t="array" aca="1" ref="AK92" ca="1">OFFSET(AK92,-3,0)*
OFFSET(MSP!$D$1,
MATCH(OFFSET($C87,((MATCH($C87,EL_List,0)-1)*-10)-1,0),MSP!$C:$C,0)+MATCH($C87,EL_List,0)-1,0)
*INDEX(Learning!$E$6:$S$41,(MATCH(AK$21,Dates,0)),(MATCH($C$86,Learning!$E$4:$S$4,0)+MATCH($C$87,Learning!$E$5:$S$5,0)-1))</f>
        <v>70.14875625877454</v>
      </c>
      <c r="AL92" s="532" cm="1">
        <f t="array" aca="1" ref="AL92" ca="1">OFFSET(AL92,-3,0)*
OFFSET(MSP!$D$1,
MATCH(OFFSET($C87,((MATCH($C87,EL_List,0)-1)*-10)-1,0),MSP!$C:$C,0)+MATCH($C87,EL_List,0)-1,0)
*INDEX(Learning!$E$6:$S$41,(MATCH(AL$21,Dates,0)),(MATCH($C$86,Learning!$E$4:$S$4,0)+MATCH($C$87,Learning!$E$5:$S$5,0)-1))</f>
        <v>73.276323051348342</v>
      </c>
      <c r="AM92" s="532" cm="1">
        <f t="array" aca="1" ref="AM92" ca="1">OFFSET(AM92,-3,0)*
OFFSET(MSP!$D$1,
MATCH(OFFSET($C87,((MATCH($C87,EL_List,0)-1)*-10)-1,0),MSP!$C:$C,0)+MATCH($C87,EL_List,0)-1,0)
*INDEX(Learning!$E$6:$S$41,(MATCH(AM$21,Dates,0)),(MATCH($C$86,Learning!$E$4:$S$4,0)+MATCH($C$87,Learning!$E$5:$S$5,0)-1))</f>
        <v>76.627041471389987</v>
      </c>
      <c r="AN92" s="532" cm="1">
        <f t="array" aca="1" ref="AN92" ca="1">OFFSET(AN92,-3,0)*
OFFSET(MSP!$D$1,
MATCH(OFFSET($C87,((MATCH($C87,EL_List,0)-1)*-10)-1,0),MSP!$C:$C,0)+MATCH($C87,EL_List,0)-1,0)
*INDEX(Learning!$E$6:$S$41,(MATCH(AN$21,Dates,0)),(MATCH($C$86,Learning!$E$4:$S$4,0)+MATCH($C$87,Learning!$E$5:$S$5,0)-1))</f>
        <v>80.072988010943959</v>
      </c>
      <c r="AO92" s="436"/>
      <c r="AP92" s="21"/>
    </row>
    <row r="93" spans="2:42" ht="15" customHeight="1" x14ac:dyDescent="0.35">
      <c r="B93" s="429"/>
      <c r="C93" s="777" t="s">
        <v>213</v>
      </c>
      <c r="D93" s="776"/>
      <c r="E93" s="533" cm="1">
        <f t="array" aca="1" ref="E93" ca="1">OFFSET(E93,-4,0)*
OFFSET(MSP!$E$1,
MATCH(OFFSET($C87,((MATCH($C87,EL_List,0)-1)*-10)-1,0),MSP!$C:$C,0)+MATCH($C87,EL_List,0)-1,0)
*INDEX(Learning!$E$6:$S$41,(MATCH(E$21,Dates,0)),(MATCH($C$86,Learning!$E$4:$S$4,0)+MATCH($C$87,Learning!$E$5:$S$5,0)-1))</f>
        <v>0.46892893833402061</v>
      </c>
      <c r="F93" s="533" cm="1">
        <f t="array" aca="1" ref="F93" ca="1">OFFSET(F93,-4,0)*
OFFSET(MSP!$E$1,
MATCH(OFFSET($C87,((MATCH($C87,EL_List,0)-1)*-10)-1,0),MSP!$C:$C,0)+MATCH($C87,EL_List,0)-1,0)
*INDEX(Learning!$E$6:$S$41,(MATCH(F$21,Dates,0)),(MATCH($C$86,Learning!$E$4:$S$4,0)+MATCH($C$87,Learning!$E$5:$S$5,0)-1))</f>
        <v>0.48613393085251927</v>
      </c>
      <c r="G93" s="533" cm="1">
        <f t="array" aca="1" ref="G93" ca="1">OFFSET(G93,-4,0)*
OFFSET(MSP!$E$1,
MATCH(OFFSET($C87,((MATCH($C87,EL_List,0)-1)*-10)-1,0),MSP!$C:$C,0)+MATCH($C87,EL_List,0)-1,0)
*INDEX(Learning!$E$6:$S$41,(MATCH(G$21,Dates,0)),(MATCH($C$86,Learning!$E$4:$S$4,0)+MATCH($C$87,Learning!$E$5:$S$5,0)-1))</f>
        <v>0.5013601876638647</v>
      </c>
      <c r="H93" s="533" cm="1">
        <f t="array" aca="1" ref="H93" ca="1">OFFSET(H93,-4,0)*
OFFSET(MSP!$E$1,
MATCH(OFFSET($C87,((MATCH($C87,EL_List,0)-1)*-10)-1,0),MSP!$C:$C,0)+MATCH($C87,EL_List,0)-1,0)
*INDEX(Learning!$E$6:$S$41,(MATCH(H$21,Dates,0)),(MATCH($C$86,Learning!$E$4:$S$4,0)+MATCH($C$87,Learning!$E$5:$S$5,0)-1))</f>
        <v>0.52132433826298186</v>
      </c>
      <c r="I93" s="533" cm="1">
        <f t="array" aca="1" ref="I93" ca="1">OFFSET(I93,-4,0)*
OFFSET(MSP!$E$1,
MATCH(OFFSET($C87,((MATCH($C87,EL_List,0)-1)*-10)-1,0),MSP!$C:$C,0)+MATCH($C87,EL_List,0)-1,0)
*INDEX(Learning!$E$6:$S$41,(MATCH(I$21,Dates,0)),(MATCH($C$86,Learning!$E$4:$S$4,0)+MATCH($C$87,Learning!$E$5:$S$5,0)-1))</f>
        <v>0.5426632549119389</v>
      </c>
      <c r="J93" s="533" cm="1">
        <f t="array" aca="1" ref="J93" ca="1">OFFSET(J93,-4,0)*
OFFSET(MSP!$E$1,
MATCH(OFFSET($C87,((MATCH($C87,EL_List,0)-1)*-10)-1,0),MSP!$C:$C,0)+MATCH($C87,EL_List,0)-1,0)
*INDEX(Learning!$E$6:$S$41,(MATCH(J$21,Dates,0)),(MATCH($C$86,Learning!$E$4:$S$4,0)+MATCH($C$87,Learning!$E$5:$S$5,0)-1))</f>
        <v>0.56686125638838691</v>
      </c>
      <c r="K93" s="533" cm="1">
        <f t="array" aca="1" ref="K93" ca="1">OFFSET(K93,-4,0)*
OFFSET(MSP!$E$1,
MATCH(OFFSET($C87,((MATCH($C87,EL_List,0)-1)*-10)-1,0),MSP!$C:$C,0)+MATCH($C87,EL_List,0)-1,0)
*INDEX(Learning!$E$6:$S$41,(MATCH(K$21,Dates,0)),(MATCH($C$86,Learning!$E$4:$S$4,0)+MATCH($C$87,Learning!$E$5:$S$5,0)-1))</f>
        <v>0.59303890073752386</v>
      </c>
      <c r="L93" s="533" cm="1">
        <f t="array" aca="1" ref="L93" ca="1">OFFSET(L93,-4,0)*
OFFSET(MSP!$E$1,
MATCH(OFFSET($C87,((MATCH($C87,EL_List,0)-1)*-10)-1,0),MSP!$C:$C,0)+MATCH($C87,EL_List,0)-1,0)
*INDEX(Learning!$E$6:$S$41,(MATCH(L$21,Dates,0)),(MATCH($C$86,Learning!$E$4:$S$4,0)+MATCH($C$87,Learning!$E$5:$S$5,0)-1))</f>
        <v>0.6206764539487486</v>
      </c>
      <c r="M93" s="533" cm="1">
        <f t="array" aca="1" ref="M93" ca="1">OFFSET(M93,-4,0)*
OFFSET(MSP!$E$1,
MATCH(OFFSET($C87,((MATCH($C87,EL_List,0)-1)*-10)-1,0),MSP!$C:$C,0)+MATCH($C87,EL_List,0)-1,0)
*INDEX(Learning!$E$6:$S$41,(MATCH(M$21,Dates,0)),(MATCH($C$86,Learning!$E$4:$S$4,0)+MATCH($C$87,Learning!$E$5:$S$5,0)-1))</f>
        <v>0.64937012246417114</v>
      </c>
      <c r="N93" s="533" cm="1">
        <f t="array" aca="1" ref="N93" ca="1">OFFSET(N93,-4,0)*
OFFSET(MSP!$E$1,
MATCH(OFFSET($C87,((MATCH($C87,EL_List,0)-1)*-10)-1,0),MSP!$C:$C,0)+MATCH($C87,EL_List,0)-1,0)
*INDEX(Learning!$E$6:$S$41,(MATCH(N$21,Dates,0)),(MATCH($C$86,Learning!$E$4:$S$4,0)+MATCH($C$87,Learning!$E$5:$S$5,0)-1))</f>
        <v>0.67953945902867596</v>
      </c>
      <c r="O93" s="533" cm="1">
        <f t="array" aca="1" ref="O93" ca="1">OFFSET(O93,-4,0)*
OFFSET(MSP!$E$1,
MATCH(OFFSET($C87,((MATCH($C87,EL_List,0)-1)*-10)-1,0),MSP!$C:$C,0)+MATCH($C87,EL_List,0)-1,0)
*INDEX(Learning!$E$6:$S$41,(MATCH(O$21,Dates,0)),(MATCH($C$86,Learning!$E$4:$S$4,0)+MATCH($C$87,Learning!$E$5:$S$5,0)-1))</f>
        <v>0.70980115568293112</v>
      </c>
      <c r="P93" s="533" cm="1">
        <f t="array" aca="1" ref="P93" ca="1">OFFSET(P93,-4,0)*
OFFSET(MSP!$E$1,
MATCH(OFFSET($C87,((MATCH($C87,EL_List,0)-1)*-10)-1,0),MSP!$C:$C,0)+MATCH($C87,EL_List,0)-1,0)
*INDEX(Learning!$E$6:$S$41,(MATCH(P$21,Dates,0)),(MATCH($C$86,Learning!$E$4:$S$4,0)+MATCH($C$87,Learning!$E$5:$S$5,0)-1))</f>
        <v>0.74170066719493455</v>
      </c>
      <c r="Q93" s="533" cm="1">
        <f t="array" aca="1" ref="Q93" ca="1">OFFSET(Q93,-4,0)*
OFFSET(MSP!$E$1,
MATCH(OFFSET($C87,((MATCH($C87,EL_List,0)-1)*-10)-1,0),MSP!$C:$C,0)+MATCH($C87,EL_List,0)-1,0)
*INDEX(Learning!$E$6:$S$41,(MATCH(Q$21,Dates,0)),(MATCH($C$86,Learning!$E$4:$S$4,0)+MATCH($C$87,Learning!$E$5:$S$5,0)-1))</f>
        <v>0.77474952174022671</v>
      </c>
      <c r="R93" s="533" cm="1">
        <f t="array" aca="1" ref="R93" ca="1">OFFSET(R93,-4,0)*
OFFSET(MSP!$E$1,
MATCH(OFFSET($C87,((MATCH($C87,EL_List,0)-1)*-10)-1,0),MSP!$C:$C,0)+MATCH($C87,EL_List,0)-1,0)
*INDEX(Learning!$E$6:$S$41,(MATCH(R$21,Dates,0)),(MATCH($C$86,Learning!$E$4:$S$4,0)+MATCH($C$87,Learning!$E$5:$S$5,0)-1))</f>
        <v>0.80918302141583209</v>
      </c>
      <c r="S93" s="533" cm="1">
        <f t="array" aca="1" ref="S93" ca="1">OFFSET(S93,-4,0)*
OFFSET(MSP!$E$1,
MATCH(OFFSET($C87,((MATCH($C87,EL_List,0)-1)*-10)-1,0),MSP!$C:$C,0)+MATCH($C87,EL_List,0)-1,0)
*INDEX(Learning!$E$6:$S$41,(MATCH(S$21,Dates,0)),(MATCH($C$86,Learning!$E$4:$S$4,0)+MATCH($C$87,Learning!$E$5:$S$5,0)-1))</f>
        <v>0.84519000286921209</v>
      </c>
      <c r="T93" s="533" cm="1">
        <f t="array" aca="1" ref="T93" ca="1">OFFSET(T93,-4,0)*
OFFSET(MSP!$E$1,
MATCH(OFFSET($C87,((MATCH($C87,EL_List,0)-1)*-10)-1,0),MSP!$C:$C,0)+MATCH($C87,EL_List,0)-1,0)
*INDEX(Learning!$E$6:$S$41,(MATCH(T$21,Dates,0)),(MATCH($C$86,Learning!$E$4:$S$4,0)+MATCH($C$87,Learning!$E$5:$S$5,0)-1))</f>
        <v>0.88287572407859438</v>
      </c>
      <c r="U93" s="533" cm="1">
        <f t="array" aca="1" ref="U93" ca="1">OFFSET(U93,-4,0)*
OFFSET(MSP!$E$1,
MATCH(OFFSET($C87,((MATCH($C87,EL_List,0)-1)*-10)-1,0),MSP!$C:$C,0)+MATCH($C87,EL_List,0)-1,0)
*INDEX(Learning!$E$6:$S$41,(MATCH(U$21,Dates,0)),(MATCH($C$86,Learning!$E$4:$S$4,0)+MATCH($C$87,Learning!$E$5:$S$5,0)-1))</f>
        <v>0.9233316527879275</v>
      </c>
      <c r="V93" s="533" cm="1">
        <f t="array" aca="1" ref="V93" ca="1">OFFSET(V93,-4,0)*
OFFSET(MSP!$E$1,
MATCH(OFFSET($C87,((MATCH($C87,EL_List,0)-1)*-10)-1,0),MSP!$C:$C,0)+MATCH($C87,EL_List,0)-1,0)
*INDEX(Learning!$E$6:$S$41,(MATCH(V$21,Dates,0)),(MATCH($C$86,Learning!$E$4:$S$4,0)+MATCH($C$87,Learning!$E$5:$S$5,0)-1))</f>
        <v>0.96453528811210365</v>
      </c>
      <c r="W93" s="533" cm="1">
        <f t="array" aca="1" ref="W93" ca="1">OFFSET(W93,-4,0)*
OFFSET(MSP!$E$1,
MATCH(OFFSET($C87,((MATCH($C87,EL_List,0)-1)*-10)-1,0),MSP!$C:$C,0)+MATCH($C87,EL_List,0)-1,0)
*INDEX(Learning!$E$6:$S$41,(MATCH(W$21,Dates,0)),(MATCH($C$86,Learning!$E$4:$S$4,0)+MATCH($C$87,Learning!$E$5:$S$5,0)-1))</f>
        <v>1.0085933474333095</v>
      </c>
      <c r="X93" s="533" cm="1">
        <f t="array" aca="1" ref="X93" ca="1">OFFSET(X93,-4,0)*
OFFSET(MSP!$E$1,
MATCH(OFFSET($C87,((MATCH($C87,EL_List,0)-1)*-10)-1,0),MSP!$C:$C,0)+MATCH($C87,EL_List,0)-1,0)
*INDEX(Learning!$E$6:$S$41,(MATCH(X$21,Dates,0)),(MATCH($C$86,Learning!$E$4:$S$4,0)+MATCH($C$87,Learning!$E$5:$S$5,0)-1))</f>
        <v>1.0534328396892596</v>
      </c>
      <c r="Y93" s="533" cm="1">
        <f t="array" aca="1" ref="Y93" ca="1">OFFSET(Y93,-4,0)*
OFFSET(MSP!$E$1,
MATCH(OFFSET($C87,((MATCH($C87,EL_List,0)-1)*-10)-1,0),MSP!$C:$C,0)+MATCH($C87,EL_List,0)-1,0)
*INDEX(Learning!$E$6:$S$41,(MATCH(Y$21,Dates,0)),(MATCH($C$86,Learning!$E$4:$S$4,0)+MATCH($C$87,Learning!$E$5:$S$5,0)-1))</f>
        <v>1.1013086601392381</v>
      </c>
      <c r="Z93" s="533" cm="1">
        <f t="array" aca="1" ref="Z93" ca="1">OFFSET(Z93,-4,0)*
OFFSET(MSP!$E$1,
MATCH(OFFSET($C87,((MATCH($C87,EL_List,0)-1)*-10)-1,0),MSP!$C:$C,0)+MATCH($C87,EL_List,0)-1,0)
*INDEX(Learning!$E$6:$S$41,(MATCH(Z$21,Dates,0)),(MATCH($C$86,Learning!$E$4:$S$4,0)+MATCH($C$87,Learning!$E$5:$S$5,0)-1))</f>
        <v>1.1512295083066502</v>
      </c>
      <c r="AA93" s="533" cm="1">
        <f t="array" aca="1" ref="AA93" ca="1">OFFSET(AA93,-4,0)*
OFFSET(MSP!$E$1,
MATCH(OFFSET($C87,((MATCH($C87,EL_List,0)-1)*-10)-1,0),MSP!$C:$C,0)+MATCH($C87,EL_List,0)-1,0)
*INDEX(Learning!$E$6:$S$41,(MATCH(AA$21,Dates,0)),(MATCH($C$86,Learning!$E$4:$S$4,0)+MATCH($C$87,Learning!$E$5:$S$5,0)-1))</f>
        <v>1.2032936097680185</v>
      </c>
      <c r="AB93" s="533" cm="1">
        <f t="array" aca="1" ref="AB93" ca="1">OFFSET(AB93,-4,0)*
OFFSET(MSP!$E$1,
MATCH(OFFSET($C87,((MATCH($C87,EL_List,0)-1)*-10)-1,0),MSP!$C:$C,0)+MATCH($C87,EL_List,0)-1,0)
*INDEX(Learning!$E$6:$S$41,(MATCH(AB$21,Dates,0)),(MATCH($C$86,Learning!$E$4:$S$4,0)+MATCH($C$87,Learning!$E$5:$S$5,0)-1))</f>
        <v>1.2576159484267926</v>
      </c>
      <c r="AC93" s="533" cm="1">
        <f t="array" aca="1" ref="AC93" ca="1">OFFSET(AC93,-4,0)*
OFFSET(MSP!$E$1,
MATCH(OFFSET($C87,((MATCH($C87,EL_List,0)-1)*-10)-1,0),MSP!$C:$C,0)+MATCH($C87,EL_List,0)-1,0)
*INDEX(Learning!$E$6:$S$41,(MATCH(AC$21,Dates,0)),(MATCH($C$86,Learning!$E$4:$S$4,0)+MATCH($C$87,Learning!$E$5:$S$5,0)-1))</f>
        <v>1.314310411822184</v>
      </c>
      <c r="AD93" s="533" cm="1">
        <f t="array" aca="1" ref="AD93" ca="1">OFFSET(AD93,-4,0)*
OFFSET(MSP!$E$1,
MATCH(OFFSET($C87,((MATCH($C87,EL_List,0)-1)*-10)-1,0),MSP!$C:$C,0)+MATCH($C87,EL_List,0)-1,0)
*INDEX(Learning!$E$6:$S$41,(MATCH(AD$21,Dates,0)),(MATCH($C$86,Learning!$E$4:$S$4,0)+MATCH($C$87,Learning!$E$5:$S$5,0)-1))</f>
        <v>1.3734890976316005</v>
      </c>
      <c r="AE93" s="533" cm="1">
        <f t="array" aca="1" ref="AE93" ca="1">OFFSET(AE93,-4,0)*
OFFSET(MSP!$E$1,
MATCH(OFFSET($C87,((MATCH($C87,EL_List,0)-1)*-10)-1,0),MSP!$C:$C,0)+MATCH($C87,EL_List,0)-1,0)
*INDEX(Learning!$E$6:$S$41,(MATCH(AE$21,Dates,0)),(MATCH($C$86,Learning!$E$4:$S$4,0)+MATCH($C$87,Learning!$E$5:$S$5,0)-1))</f>
        <v>1.4352614976822196</v>
      </c>
      <c r="AF93" s="533" cm="1">
        <f t="array" aca="1" ref="AF93" ca="1">OFFSET(AF93,-4,0)*
OFFSET(MSP!$E$1,
MATCH(OFFSET($C87,((MATCH($C87,EL_List,0)-1)*-10)-1,0),MSP!$C:$C,0)+MATCH($C87,EL_List,0)-1,0)
*INDEX(Learning!$E$6:$S$41,(MATCH(AF$21,Dates,0)),(MATCH($C$86,Learning!$E$4:$S$4,0)+MATCH($C$87,Learning!$E$5:$S$5,0)-1))</f>
        <v>1.4997359368698924</v>
      </c>
      <c r="AG93" s="533" cm="1">
        <f t="array" aca="1" ref="AG93" ca="1">OFFSET(AG93,-4,0)*
OFFSET(MSP!$E$1,
MATCH(OFFSET($C87,((MATCH($C87,EL_List,0)-1)*-10)-1,0),MSP!$C:$C,0)+MATCH($C87,EL_List,0)-1,0)
*INDEX(Learning!$E$6:$S$41,(MATCH(AG$21,Dates,0)),(MATCH($C$86,Learning!$E$4:$S$4,0)+MATCH($C$87,Learning!$E$5:$S$5,0)-1))</f>
        <v>1.5670227167441677</v>
      </c>
      <c r="AH93" s="533" cm="1">
        <f t="array" aca="1" ref="AH93" ca="1">OFFSET(AH93,-4,0)*
OFFSET(MSP!$E$1,
MATCH(OFFSET($C87,((MATCH($C87,EL_List,0)-1)*-10)-1,0),MSP!$C:$C,0)+MATCH($C87,EL_List,0)-1,0)
*INDEX(Learning!$E$6:$S$41,(MATCH(AH$21,Dates,0)),(MATCH($C$86,Learning!$E$4:$S$4,0)+MATCH($C$87,Learning!$E$5:$S$5,0)-1))</f>
        <v>1.6372368642921695</v>
      </c>
      <c r="AI93" s="533" cm="1">
        <f t="array" aca="1" ref="AI93" ca="1">OFFSET(AI93,-4,0)*
OFFSET(MSP!$E$1,
MATCH(OFFSET($C87,((MATCH($C87,EL_List,0)-1)*-10)-1,0),MSP!$C:$C,0)+MATCH($C87,EL_List,0)-1,0)
*INDEX(Learning!$E$6:$S$41,(MATCH(AI$21,Dates,0)),(MATCH($C$86,Learning!$E$4:$S$4,0)+MATCH($C$87,Learning!$E$5:$S$5,0)-1))</f>
        <v>1.7105001091743617</v>
      </c>
      <c r="AJ93" s="533" cm="1">
        <f t="array" aca="1" ref="AJ93" ca="1">OFFSET(AJ93,-4,0)*
OFFSET(MSP!$E$1,
MATCH(OFFSET($C87,((MATCH($C87,EL_List,0)-1)*-10)-1,0),MSP!$C:$C,0)+MATCH($C87,EL_List,0)-1,0)
*INDEX(Learning!$E$6:$S$41,(MATCH(AJ$21,Dates,0)),(MATCH($C$86,Learning!$E$4:$S$4,0)+MATCH($C$87,Learning!$E$5:$S$5,0)-1))</f>
        <v>1.7889586986017929</v>
      </c>
      <c r="AK93" s="533" cm="1">
        <f t="array" aca="1" ref="AK93" ca="1">OFFSET(AK93,-4,0)*
OFFSET(MSP!$E$1,
MATCH(OFFSET($C87,((MATCH($C87,EL_List,0)-1)*-10)-1,0),MSP!$C:$C,0)+MATCH($C87,EL_List,0)-1,0)
*INDEX(Learning!$E$6:$S$41,(MATCH(AK$21,Dates,0)),(MATCH($C$86,Learning!$E$4:$S$4,0)+MATCH($C$87,Learning!$E$5:$S$5,0)-1))</f>
        <v>1.8688153750631149</v>
      </c>
      <c r="AL93" s="533" cm="1">
        <f t="array" aca="1" ref="AL93" ca="1">OFFSET(AL93,-4,0)*
OFFSET(MSP!$E$1,
MATCH(OFFSET($C87,((MATCH($C87,EL_List,0)-1)*-10)-1,0),MSP!$C:$C,0)+MATCH($C87,EL_List,0)-1,0)
*INDEX(Learning!$E$6:$S$41,(MATCH(AL$21,Dates,0)),(MATCH($C$86,Learning!$E$4:$S$4,0)+MATCH($C$87,Learning!$E$5:$S$5,0)-1))</f>
        <v>1.9521360954895395</v>
      </c>
      <c r="AM93" s="533" cm="1">
        <f t="array" aca="1" ref="AM93" ca="1">OFFSET(AM93,-4,0)*
OFFSET(MSP!$E$1,
MATCH(OFFSET($C87,((MATCH($C87,EL_List,0)-1)*-10)-1,0),MSP!$C:$C,0)+MATCH($C87,EL_List,0)-1,0)
*INDEX(Learning!$E$6:$S$41,(MATCH(AM$21,Dates,0)),(MATCH($C$86,Learning!$E$4:$S$4,0)+MATCH($C$87,Learning!$E$5:$S$5,0)-1))</f>
        <v>2.0414017423070159</v>
      </c>
      <c r="AN93" s="533" cm="1">
        <f t="array" aca="1" ref="AN93" ca="1">OFFSET(AN93,-4,0)*
OFFSET(MSP!$E$1,
MATCH(OFFSET($C87,((MATCH($C87,EL_List,0)-1)*-10)-1,0),MSP!$C:$C,0)+MATCH($C87,EL_List,0)-1,0)
*INDEX(Learning!$E$6:$S$41,(MATCH(AN$21,Dates,0)),(MATCH($C$86,Learning!$E$4:$S$4,0)+MATCH($C$87,Learning!$E$5:$S$5,0)-1))</f>
        <v>2.1332043375092433</v>
      </c>
      <c r="AO93" s="436"/>
      <c r="AP93" s="21"/>
    </row>
    <row r="94" spans="2:42" ht="15" customHeight="1" x14ac:dyDescent="0.35">
      <c r="B94" s="429"/>
      <c r="C94" s="777" t="s">
        <v>214</v>
      </c>
      <c r="D94" s="776"/>
      <c r="E94" s="533" cm="1">
        <f t="array" aca="1" ref="E94" ca="1">OFFSET(E94,-5,0)*
OFFSET(MSP!$F$1,
MATCH(OFFSET($C87,((MATCH($C87,EL_List,0)-1)*-10)-1,0),MSP!$C:$C,0)+MATCH($C87,EL_List,0)-1,0)
*INDEX(Learning!$E$6:$S$41,(MATCH(E$21,Dates,0)),(MATCH($C$86,Learning!$E$4:$S$4,0)+MATCH($C$87,Learning!$E$5:$S$5,0)-1))</f>
        <v>1.0054248515969249</v>
      </c>
      <c r="F94" s="533" cm="1">
        <f t="array" aca="1" ref="F94" ca="1">OFFSET(F94,-5,0)*
OFFSET(MSP!$F$1,
MATCH(OFFSET($C87,((MATCH($C87,EL_List,0)-1)*-10)-1,0),MSP!$C:$C,0)+MATCH($C87,EL_List,0)-1,0)
*INDEX(Learning!$E$6:$S$41,(MATCH(F$21,Dates,0)),(MATCH($C$86,Learning!$E$4:$S$4,0)+MATCH($C$87,Learning!$E$5:$S$5,0)-1))</f>
        <v>1.0423138674701915</v>
      </c>
      <c r="G94" s="533" cm="1">
        <f t="array" aca="1" ref="G94" ca="1">OFFSET(G94,-5,0)*
OFFSET(MSP!$F$1,
MATCH(OFFSET($C87,((MATCH($C87,EL_List,0)-1)*-10)-1,0),MSP!$C:$C,0)+MATCH($C87,EL_List,0)-1,0)
*INDEX(Learning!$E$6:$S$41,(MATCH(G$21,Dates,0)),(MATCH($C$86,Learning!$E$4:$S$4,0)+MATCH($C$87,Learning!$E$5:$S$5,0)-1))</f>
        <v>1.074960300103059</v>
      </c>
      <c r="H94" s="533" cm="1">
        <f t="array" aca="1" ref="H94" ca="1">OFFSET(H94,-5,0)*
OFFSET(MSP!$F$1,
MATCH(OFFSET($C87,((MATCH($C87,EL_List,0)-1)*-10)-1,0),MSP!$C:$C,0)+MATCH($C87,EL_List,0)-1,0)
*INDEX(Learning!$E$6:$S$41,(MATCH(H$21,Dates,0)),(MATCH($C$86,Learning!$E$4:$S$4,0)+MATCH($C$87,Learning!$E$5:$S$5,0)-1))</f>
        <v>1.1177651933661794</v>
      </c>
      <c r="I94" s="533" cm="1">
        <f t="array" aca="1" ref="I94" ca="1">OFFSET(I94,-5,0)*
OFFSET(MSP!$F$1,
MATCH(OFFSET($C87,((MATCH($C87,EL_List,0)-1)*-10)-1,0),MSP!$C:$C,0)+MATCH($C87,EL_List,0)-1,0)
*INDEX(Learning!$E$6:$S$41,(MATCH(I$21,Dates,0)),(MATCH($C$86,Learning!$E$4:$S$4,0)+MATCH($C$87,Learning!$E$5:$S$5,0)-1))</f>
        <v>1.1635177058497113</v>
      </c>
      <c r="J94" s="533" cm="1">
        <f t="array" aca="1" ref="J94" ca="1">OFFSET(J94,-5,0)*
OFFSET(MSP!$F$1,
MATCH(OFFSET($C87,((MATCH($C87,EL_List,0)-1)*-10)-1,0),MSP!$C:$C,0)+MATCH($C87,EL_List,0)-1,0)
*INDEX(Learning!$E$6:$S$41,(MATCH(J$21,Dates,0)),(MATCH($C$86,Learning!$E$4:$S$4,0)+MATCH($C$87,Learning!$E$5:$S$5,0)-1))</f>
        <v>1.2154003474495991</v>
      </c>
      <c r="K94" s="533" cm="1">
        <f t="array" aca="1" ref="K94" ca="1">OFFSET(K94,-5,0)*
OFFSET(MSP!$F$1,
MATCH(OFFSET($C87,((MATCH($C87,EL_List,0)-1)*-10)-1,0),MSP!$C:$C,0)+MATCH($C87,EL_List,0)-1,0)
*INDEX(Learning!$E$6:$S$41,(MATCH(K$21,Dates,0)),(MATCH($C$86,Learning!$E$4:$S$4,0)+MATCH($C$87,Learning!$E$5:$S$5,0)-1))</f>
        <v>1.2715275173325133</v>
      </c>
      <c r="L94" s="533" cm="1">
        <f t="array" aca="1" ref="L94" ca="1">OFFSET(L94,-5,0)*
OFFSET(MSP!$F$1,
MATCH(OFFSET($C87,((MATCH($C87,EL_List,0)-1)*-10)-1,0),MSP!$C:$C,0)+MATCH($C87,EL_List,0)-1,0)
*INDEX(Learning!$E$6:$S$41,(MATCH(L$21,Dates,0)),(MATCH($C$86,Learning!$E$4:$S$4,0)+MATCH($C$87,Learning!$E$5:$S$5,0)-1))</f>
        <v>1.3307848601073466</v>
      </c>
      <c r="M94" s="533" cm="1">
        <f t="array" aca="1" ref="M94" ca="1">OFFSET(M94,-5,0)*
OFFSET(MSP!$F$1,
MATCH(OFFSET($C87,((MATCH($C87,EL_List,0)-1)*-10)-1,0),MSP!$C:$C,0)+MATCH($C87,EL_List,0)-1,0)
*INDEX(Learning!$E$6:$S$41,(MATCH(M$21,Dates,0)),(MATCH($C$86,Learning!$E$4:$S$4,0)+MATCH($C$87,Learning!$E$5:$S$5,0)-1))</f>
        <v>1.3923066069020404</v>
      </c>
      <c r="N94" s="533" cm="1">
        <f t="array" aca="1" ref="N94" ca="1">OFFSET(N94,-5,0)*
OFFSET(MSP!$F$1,
MATCH(OFFSET($C87,((MATCH($C87,EL_List,0)-1)*-10)-1,0),MSP!$C:$C,0)+MATCH($C87,EL_List,0)-1,0)
*INDEX(Learning!$E$6:$S$41,(MATCH(N$21,Dates,0)),(MATCH($C$86,Learning!$E$4:$S$4,0)+MATCH($C$87,Learning!$E$5:$S$5,0)-1))</f>
        <v>1.4569923156704305</v>
      </c>
      <c r="O94" s="533" cm="1">
        <f t="array" aca="1" ref="O94" ca="1">OFFSET(O94,-5,0)*
OFFSET(MSP!$F$1,
MATCH(OFFSET($C87,((MATCH($C87,EL_List,0)-1)*-10)-1,0),MSP!$C:$C,0)+MATCH($C87,EL_List,0)-1,0)
*INDEX(Learning!$E$6:$S$41,(MATCH(O$21,Dates,0)),(MATCH($C$86,Learning!$E$4:$S$4,0)+MATCH($C$87,Learning!$E$5:$S$5,0)-1))</f>
        <v>1.5218760525875219</v>
      </c>
      <c r="P94" s="533" cm="1">
        <f t="array" aca="1" ref="P94" ca="1">OFFSET(P94,-5,0)*
OFFSET(MSP!$F$1,
MATCH(OFFSET($C87,((MATCH($C87,EL_List,0)-1)*-10)-1,0),MSP!$C:$C,0)+MATCH($C87,EL_List,0)-1,0)
*INDEX(Learning!$E$6:$S$41,(MATCH(P$21,Dates,0)),(MATCH($C$86,Learning!$E$4:$S$4,0)+MATCH($C$87,Learning!$E$5:$S$5,0)-1))</f>
        <v>1.5902714084849758</v>
      </c>
      <c r="Q94" s="533" cm="1">
        <f t="array" aca="1" ref="Q94" ca="1">OFFSET(Q94,-5,0)*
OFFSET(MSP!$F$1,
MATCH(OFFSET($C87,((MATCH($C87,EL_List,0)-1)*-10)-1,0),MSP!$C:$C,0)+MATCH($C87,EL_List,0)-1,0)
*INDEX(Learning!$E$6:$S$41,(MATCH(Q$21,Dates,0)),(MATCH($C$86,Learning!$E$4:$S$4,0)+MATCH($C$87,Learning!$E$5:$S$5,0)-1))</f>
        <v>1.6611310568459821</v>
      </c>
      <c r="R94" s="533" cm="1">
        <f t="array" aca="1" ref="R94" ca="1">OFFSET(R94,-5,0)*
OFFSET(MSP!$F$1,
MATCH(OFFSET($C87,((MATCH($C87,EL_List,0)-1)*-10)-1,0),MSP!$C:$C,0)+MATCH($C87,EL_List,0)-1,0)
*INDEX(Learning!$E$6:$S$41,(MATCH(R$21,Dates,0)),(MATCH($C$86,Learning!$E$4:$S$4,0)+MATCH($C$87,Learning!$E$5:$S$5,0)-1))</f>
        <v>1.7349595060440739</v>
      </c>
      <c r="S94" s="533" cm="1">
        <f t="array" aca="1" ref="S94" ca="1">OFFSET(S94,-5,0)*
OFFSET(MSP!$F$1,
MATCH(OFFSET($C87,((MATCH($C87,EL_List,0)-1)*-10)-1,0),MSP!$C:$C,0)+MATCH($C87,EL_List,0)-1,0)
*INDEX(Learning!$E$6:$S$41,(MATCH(S$21,Dates,0)),(MATCH($C$86,Learning!$E$4:$S$4,0)+MATCH($C$87,Learning!$E$5:$S$5,0)-1))</f>
        <v>1.8121616384457016</v>
      </c>
      <c r="T94" s="533" cm="1">
        <f t="array" aca="1" ref="T94" ca="1">OFFSET(T94,-5,0)*
OFFSET(MSP!$F$1,
MATCH(OFFSET($C87,((MATCH($C87,EL_List,0)-1)*-10)-1,0),MSP!$C:$C,0)+MATCH($C87,EL_List,0)-1,0)
*INDEX(Learning!$E$6:$S$41,(MATCH(T$21,Dates,0)),(MATCH($C$86,Learning!$E$4:$S$4,0)+MATCH($C$87,Learning!$E$5:$S$5,0)-1))</f>
        <v>1.8929631364058828</v>
      </c>
      <c r="U94" s="533" cm="1">
        <f t="array" aca="1" ref="U94" ca="1">OFFSET(U94,-5,0)*
OFFSET(MSP!$F$1,
MATCH(OFFSET($C87,((MATCH($C87,EL_List,0)-1)*-10)-1,0),MSP!$C:$C,0)+MATCH($C87,EL_List,0)-1,0)
*INDEX(Learning!$E$6:$S$41,(MATCH(U$21,Dates,0)),(MATCH($C$86,Learning!$E$4:$S$4,0)+MATCH($C$87,Learning!$E$5:$S$5,0)-1))</f>
        <v>1.9797042026819498</v>
      </c>
      <c r="V94" s="533" cm="1">
        <f t="array" aca="1" ref="V94" ca="1">OFFSET(V94,-5,0)*
OFFSET(MSP!$F$1,
MATCH(OFFSET($C87,((MATCH($C87,EL_List,0)-1)*-10)-1,0),MSP!$C:$C,0)+MATCH($C87,EL_List,0)-1,0)
*INDEX(Learning!$E$6:$S$41,(MATCH(V$21,Dates,0)),(MATCH($C$86,Learning!$E$4:$S$4,0)+MATCH($C$87,Learning!$E$5:$S$5,0)-1))</f>
        <v>2.0680484176460405</v>
      </c>
      <c r="W94" s="533" cm="1">
        <f t="array" aca="1" ref="W94" ca="1">OFFSET(W94,-5,0)*
OFFSET(MSP!$F$1,
MATCH(OFFSET($C87,((MATCH($C87,EL_List,0)-1)*-10)-1,0),MSP!$C:$C,0)+MATCH($C87,EL_List,0)-1,0)
*INDEX(Learning!$E$6:$S$41,(MATCH(W$21,Dates,0)),(MATCH($C$86,Learning!$E$4:$S$4,0)+MATCH($C$87,Learning!$E$5:$S$5,0)-1))</f>
        <v>2.1625127684964016</v>
      </c>
      <c r="X94" s="533" cm="1">
        <f t="array" aca="1" ref="X94" ca="1">OFFSET(X94,-5,0)*
OFFSET(MSP!$F$1,
MATCH(OFFSET($C87,((MATCH($C87,EL_List,0)-1)*-10)-1,0),MSP!$C:$C,0)+MATCH($C87,EL_List,0)-1,0)
*INDEX(Learning!$E$6:$S$41,(MATCH(X$21,Dates,0)),(MATCH($C$86,Learning!$E$4:$S$4,0)+MATCH($C$87,Learning!$E$5:$S$5,0)-1))</f>
        <v>2.2586525802284023</v>
      </c>
      <c r="Y94" s="533" cm="1">
        <f t="array" aca="1" ref="Y94" ca="1">OFFSET(Y94,-5,0)*
OFFSET(MSP!$F$1,
MATCH(OFFSET($C87,((MATCH($C87,EL_List,0)-1)*-10)-1,0),MSP!$C:$C,0)+MATCH($C87,EL_List,0)-1,0)
*INDEX(Learning!$E$6:$S$41,(MATCH(Y$21,Dates,0)),(MATCH($C$86,Learning!$E$4:$S$4,0)+MATCH($C$87,Learning!$E$5:$S$5,0)-1))</f>
        <v>2.3613025464301329</v>
      </c>
      <c r="Z94" s="533" cm="1">
        <f t="array" aca="1" ref="Z94" ca="1">OFFSET(Z94,-5,0)*
OFFSET(MSP!$F$1,
MATCH(OFFSET($C87,((MATCH($C87,EL_List,0)-1)*-10)-1,0),MSP!$C:$C,0)+MATCH($C87,EL_List,0)-1,0)
*INDEX(Learning!$E$6:$S$41,(MATCH(Z$21,Dates,0)),(MATCH($C$86,Learning!$E$4:$S$4,0)+MATCH($C$87,Learning!$E$5:$S$5,0)-1))</f>
        <v>2.4683372317678103</v>
      </c>
      <c r="AA94" s="533" cm="1">
        <f t="array" aca="1" ref="AA94" ca="1">OFFSET(AA94,-5,0)*
OFFSET(MSP!$F$1,
MATCH(OFFSET($C87,((MATCH($C87,EL_List,0)-1)*-10)-1,0),MSP!$C:$C,0)+MATCH($C87,EL_List,0)-1,0)
*INDEX(Learning!$E$6:$S$41,(MATCH(AA$21,Dates,0)),(MATCH($C$86,Learning!$E$4:$S$4,0)+MATCH($C$87,Learning!$E$5:$S$5,0)-1))</f>
        <v>2.5799672405092129</v>
      </c>
      <c r="AB94" s="533" cm="1">
        <f t="array" aca="1" ref="AB94" ca="1">OFFSET(AB94,-5,0)*
OFFSET(MSP!$F$1,
MATCH(OFFSET($C87,((MATCH($C87,EL_List,0)-1)*-10)-1,0),MSP!$C:$C,0)+MATCH($C87,EL_List,0)-1,0)
*INDEX(Learning!$E$6:$S$41,(MATCH(AB$21,Dates,0)),(MATCH($C$86,Learning!$E$4:$S$4,0)+MATCH($C$87,Learning!$E$5:$S$5,0)-1))</f>
        <v>2.6964391082477146</v>
      </c>
      <c r="AC94" s="533" cm="1">
        <f t="array" aca="1" ref="AC94" ca="1">OFFSET(AC94,-5,0)*
OFFSET(MSP!$F$1,
MATCH(OFFSET($C87,((MATCH($C87,EL_List,0)-1)*-10)-1,0),MSP!$C:$C,0)+MATCH($C87,EL_List,0)-1,0)
*INDEX(Learning!$E$6:$S$41,(MATCH(AC$21,Dates,0)),(MATCH($C$86,Learning!$E$4:$S$4,0)+MATCH($C$87,Learning!$E$5:$S$5,0)-1))</f>
        <v>2.8179970198754161</v>
      </c>
      <c r="AD94" s="533" cm="1">
        <f t="array" aca="1" ref="AD94" ca="1">OFFSET(AD94,-5,0)*
OFFSET(MSP!$F$1,
MATCH(OFFSET($C87,((MATCH($C87,EL_List,0)-1)*-10)-1,0),MSP!$C:$C,0)+MATCH($C87,EL_List,0)-1,0)
*INDEX(Learning!$E$6:$S$41,(MATCH(AD$21,Dates,0)),(MATCH($C$86,Learning!$E$4:$S$4,0)+MATCH($C$87,Learning!$E$5:$S$5,0)-1))</f>
        <v>2.9448813226634249</v>
      </c>
      <c r="AE94" s="533" cm="1">
        <f t="array" aca="1" ref="AE94" ca="1">OFFSET(AE94,-5,0)*
OFFSET(MSP!$F$1,
MATCH(OFFSET($C87,((MATCH($C87,EL_List,0)-1)*-10)-1,0),MSP!$C:$C,0)+MATCH($C87,EL_List,0)-1,0)
*INDEX(Learning!$E$6:$S$41,(MATCH(AE$21,Dates,0)),(MATCH($C$86,Learning!$E$4:$S$4,0)+MATCH($C$87,Learning!$E$5:$S$5,0)-1))</f>
        <v>3.0773267767109633</v>
      </c>
      <c r="AF94" s="533" cm="1">
        <f t="array" aca="1" ref="AF94" ca="1">OFFSET(AF94,-5,0)*
OFFSET(MSP!$F$1,
MATCH(OFFSET($C87,((MATCH($C87,EL_List,0)-1)*-10)-1,0),MSP!$C:$C,0)+MATCH($C87,EL_List,0)-1,0)
*INDEX(Learning!$E$6:$S$41,(MATCH(AF$21,Dates,0)),(MATCH($C$86,Learning!$E$4:$S$4,0)+MATCH($C$87,Learning!$E$5:$S$5,0)-1))</f>
        <v>3.215565640113943</v>
      </c>
      <c r="AG94" s="533" cm="1">
        <f t="array" aca="1" ref="AG94" ca="1">OFFSET(AG94,-5,0)*
OFFSET(MSP!$F$1,
MATCH(OFFSET($C87,((MATCH($C87,EL_List,0)-1)*-10)-1,0),MSP!$C:$C,0)+MATCH($C87,EL_List,0)-1,0)
*INDEX(Learning!$E$6:$S$41,(MATCH(AG$21,Dates,0)),(MATCH($C$86,Learning!$E$4:$S$4,0)+MATCH($C$87,Learning!$E$5:$S$5,0)-1))</f>
        <v>3.359834409087505</v>
      </c>
      <c r="AH94" s="533" cm="1">
        <f t="array" aca="1" ref="AH94" ca="1">OFFSET(AH94,-5,0)*
OFFSET(MSP!$F$1,
MATCH(OFFSET($C87,((MATCH($C87,EL_List,0)-1)*-10)-1,0),MSP!$C:$C,0)+MATCH($C87,EL_List,0)-1,0)
*INDEX(Learning!$E$6:$S$41,(MATCH(AH$21,Dates,0)),(MATCH($C$86,Learning!$E$4:$S$4,0)+MATCH($C$87,Learning!$E$5:$S$5,0)-1))</f>
        <v>3.5103797116002045</v>
      </c>
      <c r="AI94" s="533" cm="1">
        <f t="array" aca="1" ref="AI94" ca="1">OFFSET(AI94,-5,0)*
OFFSET(MSP!$F$1,
MATCH(OFFSET($C87,((MATCH($C87,EL_List,0)-1)*-10)-1,0),MSP!$C:$C,0)+MATCH($C87,EL_List,0)-1,0)
*INDEX(Learning!$E$6:$S$41,(MATCH(AI$21,Dates,0)),(MATCH($C$86,Learning!$E$4:$S$4,0)+MATCH($C$87,Learning!$E$5:$S$5,0)-1))</f>
        <v>3.6674625467412474</v>
      </c>
      <c r="AJ94" s="533" cm="1">
        <f t="array" aca="1" ref="AJ94" ca="1">OFFSET(AJ94,-5,0)*
OFFSET(MSP!$F$1,
MATCH(OFFSET($C87,((MATCH($C87,EL_List,0)-1)*-10)-1,0),MSP!$C:$C,0)+MATCH($C87,EL_List,0)-1,0)
*INDEX(Learning!$E$6:$S$41,(MATCH(AJ$21,Dates,0)),(MATCH($C$86,Learning!$E$4:$S$4,0)+MATCH($C$87,Learning!$E$5:$S$5,0)-1))</f>
        <v>3.8356846571356997</v>
      </c>
      <c r="AK94" s="533" cm="1">
        <f t="array" aca="1" ref="AK94" ca="1">OFFSET(AK94,-5,0)*
OFFSET(MSP!$F$1,
MATCH(OFFSET($C87,((MATCH($C87,EL_List,0)-1)*-10)-1,0),MSP!$C:$C,0)+MATCH($C87,EL_List,0)-1,0)
*INDEX(Learning!$E$6:$S$41,(MATCH(AK$21,Dates,0)),(MATCH($C$86,Learning!$E$4:$S$4,0)+MATCH($C$87,Learning!$E$5:$S$5,0)-1))</f>
        <v>4.0069043889897351</v>
      </c>
      <c r="AL94" s="533" cm="1">
        <f t="array" aca="1" ref="AL94" ca="1">OFFSET(AL94,-5,0)*
OFFSET(MSP!$F$1,
MATCH(OFFSET($C87,((MATCH($C87,EL_List,0)-1)*-10)-1,0),MSP!$C:$C,0)+MATCH($C87,EL_List,0)-1,0)
*INDEX(Learning!$E$6:$S$41,(MATCH(AL$21,Dates,0)),(MATCH($C$86,Learning!$E$4:$S$4,0)+MATCH($C$87,Learning!$E$5:$S$5,0)-1))</f>
        <v>4.185551335512824</v>
      </c>
      <c r="AM94" s="533" cm="1">
        <f t="array" aca="1" ref="AM94" ca="1">OFFSET(AM94,-5,0)*
OFFSET(MSP!$F$1,
MATCH(OFFSET($C87,((MATCH($C87,EL_List,0)-1)*-10)-1,0),MSP!$C:$C,0)+MATCH($C87,EL_List,0)-1,0)
*INDEX(Learning!$E$6:$S$41,(MATCH(AM$21,Dates,0)),(MATCH($C$86,Learning!$E$4:$S$4,0)+MATCH($C$87,Learning!$E$5:$S$5,0)-1))</f>
        <v>4.3769447266373351</v>
      </c>
      <c r="AN94" s="533" cm="1">
        <f t="array" aca="1" ref="AN94" ca="1">OFFSET(AN94,-5,0)*
OFFSET(MSP!$F$1,
MATCH(OFFSET($C87,((MATCH($C87,EL_List,0)-1)*-10)-1,0),MSP!$C:$C,0)+MATCH($C87,EL_List,0)-1,0)
*INDEX(Learning!$E$6:$S$41,(MATCH(AN$21,Dates,0)),(MATCH($C$86,Learning!$E$4:$S$4,0)+MATCH($C$87,Learning!$E$5:$S$5,0)-1))</f>
        <v>4.5737775580367614</v>
      </c>
      <c r="AO94" s="436"/>
      <c r="AP94" s="21"/>
    </row>
    <row r="95" spans="2:42" ht="15" customHeight="1" collapsed="1" x14ac:dyDescent="0.35">
      <c r="B95" s="429"/>
      <c r="C95" s="777" t="s">
        <v>215</v>
      </c>
      <c r="D95" s="776"/>
      <c r="E95" s="531" cm="1">
        <f t="array" aca="1" ref="E95" ca="1">OFFSET(E95,-6,0)*
OFFSET(MSP!$G$1,
MATCH(OFFSET($C87,((MATCH($C87,EL_List,0)-1)*-10)-1,0),MSP!$C:$C,0)+MATCH($C87,EL_List,0)-1,0)
*INDEX(Learning!$E$6:$S$41,(MATCH(E$21,Dates,0)),(MATCH($C$86,Learning!$E$4:$S$4,0)+MATCH($C$87,Learning!$E$5:$S$5,0)-1))</f>
        <v>0.73503028777832147</v>
      </c>
      <c r="F95" s="531" cm="1">
        <f t="array" aca="1" ref="F95" ca="1">OFFSET(F95,-6,0)*
OFFSET(MSP!$G$1,
MATCH(OFFSET($C87,((MATCH($C87,EL_List,0)-1)*-10)-1,0),MSP!$C:$C,0)+MATCH($C87,EL_List,0)-1,0)
*INDEX(Learning!$E$6:$S$41,(MATCH(F$21,Dates,0)),(MATCH($C$86,Learning!$E$4:$S$4,0)+MATCH($C$87,Learning!$E$5:$S$5,0)-1))</f>
        <v>0.76199853300333265</v>
      </c>
      <c r="G95" s="531" cm="1">
        <f t="array" aca="1" ref="G95" ca="1">OFFSET(G95,-6,0)*
OFFSET(MSP!$G$1,
MATCH(OFFSET($C87,((MATCH($C87,EL_List,0)-1)*-10)-1,0),MSP!$C:$C,0)+MATCH($C87,EL_List,0)-1,0)
*INDEX(Learning!$E$6:$S$41,(MATCH(G$21,Dates,0)),(MATCH($C$86,Learning!$E$4:$S$4,0)+MATCH($C$87,Learning!$E$5:$S$5,0)-1))</f>
        <v>0.78586517677582235</v>
      </c>
      <c r="H95" s="531" cm="1">
        <f t="array" aca="1" ref="H95" ca="1">OFFSET(H95,-6,0)*
OFFSET(MSP!$G$1,
MATCH(OFFSET($C87,((MATCH($C87,EL_List,0)-1)*-10)-1,0),MSP!$C:$C,0)+MATCH($C87,EL_List,0)-1,0)
*INDEX(Learning!$E$6:$S$41,(MATCH(H$21,Dates,0)),(MATCH($C$86,Learning!$E$4:$S$4,0)+MATCH($C$87,Learning!$E$5:$S$5,0)-1))</f>
        <v>0.81715830918998433</v>
      </c>
      <c r="I95" s="531" cm="1">
        <f t="array" aca="1" ref="I95" ca="1">OFFSET(I95,-6,0)*
OFFSET(MSP!$G$1,
MATCH(OFFSET($C87,((MATCH($C87,EL_List,0)-1)*-10)-1,0),MSP!$C:$C,0)+MATCH($C87,EL_List,0)-1,0)
*INDEX(Learning!$E$6:$S$41,(MATCH(I$21,Dates,0)),(MATCH($C$86,Learning!$E$4:$S$4,0)+MATCH($C$87,Learning!$E$5:$S$5,0)-1))</f>
        <v>0.85060634099856525</v>
      </c>
      <c r="J95" s="531" cm="1">
        <f t="array" aca="1" ref="J95" ca="1">OFFSET(J95,-6,0)*
OFFSET(MSP!$G$1,
MATCH(OFFSET($C87,((MATCH($C87,EL_List,0)-1)*-10)-1,0),MSP!$C:$C,0)+MATCH($C87,EL_List,0)-1,0)
*INDEX(Learning!$E$6:$S$41,(MATCH(J$21,Dates,0)),(MATCH($C$86,Learning!$E$4:$S$4,0)+MATCH($C$87,Learning!$E$5:$S$5,0)-1))</f>
        <v>0.88853589180019354</v>
      </c>
      <c r="K95" s="531" cm="1">
        <f t="array" aca="1" ref="K95" ca="1">OFFSET(K95,-6,0)*
OFFSET(MSP!$G$1,
MATCH(OFFSET($C87,((MATCH($C87,EL_List,0)-1)*-10)-1,0),MSP!$C:$C,0)+MATCH($C87,EL_List,0)-1,0)
*INDEX(Learning!$E$6:$S$41,(MATCH(K$21,Dates,0)),(MATCH($C$86,Learning!$E$4:$S$4,0)+MATCH($C$87,Learning!$E$5:$S$5,0)-1))</f>
        <v>0.92956846600570986</v>
      </c>
      <c r="L95" s="531" cm="1">
        <f t="array" aca="1" ref="L95" ca="1">OFFSET(L95,-6,0)*
OFFSET(MSP!$G$1,
MATCH(OFFSET($C87,((MATCH($C87,EL_List,0)-1)*-10)-1,0),MSP!$C:$C,0)+MATCH($C87,EL_List,0)-1,0)
*INDEX(Learning!$E$6:$S$41,(MATCH(L$21,Dates,0)),(MATCH($C$86,Learning!$E$4:$S$4,0)+MATCH($C$87,Learning!$E$5:$S$5,0)-1))</f>
        <v>0.97288939809087194</v>
      </c>
      <c r="M95" s="531" cm="1">
        <f t="array" aca="1" ref="M95" ca="1">OFFSET(M95,-6,0)*
OFFSET(MSP!$G$1,
MATCH(OFFSET($C87,((MATCH($C87,EL_List,0)-1)*-10)-1,0),MSP!$C:$C,0)+MATCH($C87,EL_List,0)-1,0)
*INDEX(Learning!$E$6:$S$41,(MATCH(M$21,Dates,0)),(MATCH($C$86,Learning!$E$4:$S$4,0)+MATCH($C$87,Learning!$E$5:$S$5,0)-1))</f>
        <v>1.0178657552788852</v>
      </c>
      <c r="N95" s="531" cm="1">
        <f t="array" aca="1" ref="N95" ca="1">OFFSET(N95,-6,0)*
OFFSET(MSP!$G$1,
MATCH(OFFSET($C87,((MATCH($C87,EL_List,0)-1)*-10)-1,0),MSP!$C:$C,0)+MATCH($C87,EL_List,0)-1,0)
*INDEX(Learning!$E$6:$S$41,(MATCH(N$21,Dates,0)),(MATCH($C$86,Learning!$E$4:$S$4,0)+MATCH($C$87,Learning!$E$5:$S$5,0)-1))</f>
        <v>1.0651551723403958</v>
      </c>
      <c r="O95" s="531" cm="1">
        <f t="array" aca="1" ref="O95" ca="1">OFFSET(O95,-6,0)*
OFFSET(MSP!$G$1,
MATCH(OFFSET($C87,((MATCH($C87,EL_List,0)-1)*-10)-1,0),MSP!$C:$C,0)+MATCH($C87,EL_List,0)-1,0)
*INDEX(Learning!$E$6:$S$41,(MATCH(O$21,Dates,0)),(MATCH($C$86,Learning!$E$4:$S$4,0)+MATCH($C$87,Learning!$E$5:$S$5,0)-1))</f>
        <v>1.1125893607260857</v>
      </c>
      <c r="P95" s="531" cm="1">
        <f t="array" aca="1" ref="P95" ca="1">OFFSET(P95,-6,0)*
OFFSET(MSP!$G$1,
MATCH(OFFSET($C87,((MATCH($C87,EL_List,0)-1)*-10)-1,0),MSP!$C:$C,0)+MATCH($C87,EL_List,0)-1,0)
*INDEX(Learning!$E$6:$S$41,(MATCH(P$21,Dates,0)),(MATCH($C$86,Learning!$E$4:$S$4,0)+MATCH($C$87,Learning!$E$5:$S$5,0)-1))</f>
        <v>1.1625907686365404</v>
      </c>
      <c r="Q95" s="531" cm="1">
        <f t="array" aca="1" ref="Q95" ca="1">OFFSET(Q95,-6,0)*
OFFSET(MSP!$G$1,
MATCH(OFFSET($C87,((MATCH($C87,EL_List,0)-1)*-10)-1,0),MSP!$C:$C,0)+MATCH($C87,EL_List,0)-1,0)
*INDEX(Learning!$E$6:$S$41,(MATCH(Q$21,Dates,0)),(MATCH($C$86,Learning!$E$4:$S$4,0)+MATCH($C$87,Learning!$E$5:$S$5,0)-1))</f>
        <v>1.2143937329694148</v>
      </c>
      <c r="R95" s="531" cm="1">
        <f t="array" aca="1" ref="R95" ca="1">OFFSET(R95,-6,0)*
OFFSET(MSP!$G$1,
MATCH(OFFSET($C87,((MATCH($C87,EL_List,0)-1)*-10)-1,0),MSP!$C:$C,0)+MATCH($C87,EL_List,0)-1,0)
*INDEX(Learning!$E$6:$S$41,(MATCH(R$21,Dates,0)),(MATCH($C$86,Learning!$E$4:$S$4,0)+MATCH($C$87,Learning!$E$5:$S$5,0)-1))</f>
        <v>1.2683670818220012</v>
      </c>
      <c r="S95" s="531" cm="1">
        <f t="array" aca="1" ref="S95" ca="1">OFFSET(S95,-6,0)*
OFFSET(MSP!$G$1,
MATCH(OFFSET($C87,((MATCH($C87,EL_List,0)-1)*-10)-1,0),MSP!$C:$C,0)+MATCH($C87,EL_List,0)-1,0)
*INDEX(Learning!$E$6:$S$41,(MATCH(S$21,Dates,0)),(MATCH($C$86,Learning!$E$4:$S$4,0)+MATCH($C$87,Learning!$E$5:$S$5,0)-1))</f>
        <v>1.3248068102672832</v>
      </c>
      <c r="T95" s="531" cm="1">
        <f t="array" aca="1" ref="T95" ca="1">OFFSET(T95,-6,0)*
OFFSET(MSP!$G$1,
MATCH(OFFSET($C87,((MATCH($C87,EL_List,0)-1)*-10)-1,0),MSP!$C:$C,0)+MATCH($C87,EL_List,0)-1,0)
*INDEX(Learning!$E$6:$S$41,(MATCH(T$21,Dates,0)),(MATCH($C$86,Learning!$E$4:$S$4,0)+MATCH($C$87,Learning!$E$5:$S$5,0)-1))</f>
        <v>1.3838779066344156</v>
      </c>
      <c r="U95" s="531" cm="1">
        <f t="array" aca="1" ref="U95" ca="1">OFFSET(U95,-6,0)*
OFFSET(MSP!$G$1,
MATCH(OFFSET($C87,((MATCH($C87,EL_List,0)-1)*-10)-1,0),MSP!$C:$C,0)+MATCH($C87,EL_List,0)-1,0)
*INDEX(Learning!$E$6:$S$41,(MATCH(U$21,Dates,0)),(MATCH($C$86,Learning!$E$4:$S$4,0)+MATCH($C$87,Learning!$E$5:$S$5,0)-1))</f>
        <v>1.4472912097826613</v>
      </c>
      <c r="V95" s="531" cm="1">
        <f t="array" aca="1" ref="V95" ca="1">OFFSET(V95,-6,0)*
OFFSET(MSP!$G$1,
MATCH(OFFSET($C87,((MATCH($C87,EL_List,0)-1)*-10)-1,0),MSP!$C:$C,0)+MATCH($C87,EL_List,0)-1,0)
*INDEX(Learning!$E$6:$S$41,(MATCH(V$21,Dates,0)),(MATCH($C$86,Learning!$E$4:$S$4,0)+MATCH($C$87,Learning!$E$5:$S$5,0)-1))</f>
        <v>1.5118765178198237</v>
      </c>
      <c r="W95" s="531" cm="1">
        <f t="array" aca="1" ref="W95" ca="1">OFFSET(W95,-6,0)*
OFFSET(MSP!$G$1,
MATCH(OFFSET($C87,((MATCH($C87,EL_List,0)-1)*-10)-1,0),MSP!$C:$C,0)+MATCH($C87,EL_List,0)-1,0)
*INDEX(Learning!$E$6:$S$41,(MATCH(W$21,Dates,0)),(MATCH($C$86,Learning!$E$4:$S$4,0)+MATCH($C$87,Learning!$E$5:$S$5,0)-1))</f>
        <v>1.5809360391555556</v>
      </c>
      <c r="X95" s="531" cm="1">
        <f t="array" aca="1" ref="X95" ca="1">OFFSET(X95,-6,0)*
OFFSET(MSP!$G$1,
MATCH(OFFSET($C87,((MATCH($C87,EL_List,0)-1)*-10)-1,0),MSP!$C:$C,0)+MATCH($C87,EL_List,0)-1,0)
*INDEX(Learning!$E$6:$S$41,(MATCH(X$21,Dates,0)),(MATCH($C$86,Learning!$E$4:$S$4,0)+MATCH($C$87,Learning!$E$5:$S$5,0)-1))</f>
        <v>1.651220430248622</v>
      </c>
      <c r="Y95" s="531" cm="1">
        <f t="array" aca="1" ref="Y95" ca="1">OFFSET(Y95,-6,0)*
OFFSET(MSP!$G$1,
MATCH(OFFSET($C87,((MATCH($C87,EL_List,0)-1)*-10)-1,0),MSP!$C:$C,0)+MATCH($C87,EL_List,0)-1,0)
*INDEX(Learning!$E$6:$S$41,(MATCH(Y$21,Dates,0)),(MATCH($C$86,Learning!$E$4:$S$4,0)+MATCH($C$87,Learning!$E$5:$S$5,0)-1))</f>
        <v>1.7262641633310636</v>
      </c>
      <c r="Z95" s="531" cm="1">
        <f t="array" aca="1" ref="Z95" ca="1">OFFSET(Z95,-6,0)*
OFFSET(MSP!$G$1,
MATCH(OFFSET($C87,((MATCH($C87,EL_List,0)-1)*-10)-1,0),MSP!$C:$C,0)+MATCH($C87,EL_List,0)-1,0)
*INDEX(Learning!$E$6:$S$41,(MATCH(Z$21,Dates,0)),(MATCH($C$86,Learning!$E$4:$S$4,0)+MATCH($C$87,Learning!$E$5:$S$5,0)-1))</f>
        <v>1.8045134083552508</v>
      </c>
      <c r="AA95" s="531" cm="1">
        <f t="array" aca="1" ref="AA95" ca="1">OFFSET(AA95,-6,0)*
OFFSET(MSP!$G$1,
MATCH(OFFSET($C87,((MATCH($C87,EL_List,0)-1)*-10)-1,0),MSP!$C:$C,0)+MATCH($C87,EL_List,0)-1,0)
*INDEX(Learning!$E$6:$S$41,(MATCH(AA$21,Dates,0)),(MATCH($C$86,Learning!$E$4:$S$4,0)+MATCH($C$87,Learning!$E$5:$S$5,0)-1))</f>
        <v>1.8861221305979592</v>
      </c>
      <c r="AB95" s="531" cm="1">
        <f t="array" aca="1" ref="AB95" ca="1">OFFSET(AB95,-6,0)*
OFFSET(MSP!$G$1,
MATCH(OFFSET($C87,((MATCH($C87,EL_List,0)-1)*-10)-1,0),MSP!$C:$C,0)+MATCH($C87,EL_List,0)-1,0)
*INDEX(Learning!$E$6:$S$41,(MATCH(AB$21,Dates,0)),(MATCH($C$86,Learning!$E$4:$S$4,0)+MATCH($C$87,Learning!$E$5:$S$5,0)-1))</f>
        <v>1.9712705634479468</v>
      </c>
      <c r="AC95" s="531" cm="1">
        <f t="array" aca="1" ref="AC95" ca="1">OFFSET(AC95,-6,0)*
OFFSET(MSP!$G$1,
MATCH(OFFSET($C87,((MATCH($C87,EL_List,0)-1)*-10)-1,0),MSP!$C:$C,0)+MATCH($C87,EL_List,0)-1,0)
*INDEX(Learning!$E$6:$S$41,(MATCH(AC$21,Dates,0)),(MATCH($C$86,Learning!$E$4:$S$4,0)+MATCH($C$87,Learning!$E$5:$S$5,0)-1))</f>
        <v>2.0601372217800216</v>
      </c>
      <c r="AD95" s="531" cm="1">
        <f t="array" aca="1" ref="AD95" ca="1">OFFSET(AD95,-6,0)*
OFFSET(MSP!$G$1,
MATCH(OFFSET($C87,((MATCH($C87,EL_List,0)-1)*-10)-1,0),MSP!$C:$C,0)+MATCH($C87,EL_List,0)-1,0)
*INDEX(Learning!$E$6:$S$41,(MATCH(AD$21,Dates,0)),(MATCH($C$86,Learning!$E$4:$S$4,0)+MATCH($C$87,Learning!$E$5:$S$5,0)-1))</f>
        <v>2.1528978149210114</v>
      </c>
      <c r="AE95" s="531" cm="1">
        <f t="array" aca="1" ref="AE95" ca="1">OFFSET(AE95,-6,0)*
OFFSET(MSP!$G$1,
MATCH(OFFSET($C87,((MATCH($C87,EL_List,0)-1)*-10)-1,0),MSP!$C:$C,0)+MATCH($C87,EL_List,0)-1,0)
*INDEX(Learning!$E$6:$S$41,(MATCH(AE$21,Dates,0)),(MATCH($C$86,Learning!$E$4:$S$4,0)+MATCH($C$87,Learning!$E$5:$S$5,0)-1))</f>
        <v>2.2497239676154352</v>
      </c>
      <c r="AF95" s="531" cm="1">
        <f t="array" aca="1" ref="AF95" ca="1">OFFSET(AF95,-6,0)*
OFFSET(MSP!$G$1,
MATCH(OFFSET($C87,((MATCH($C87,EL_List,0)-1)*-10)-1,0),MSP!$C:$C,0)+MATCH($C87,EL_List,0)-1,0)
*INDEX(Learning!$E$6:$S$41,(MATCH(AF$21,Dates,0)),(MATCH($C$86,Learning!$E$4:$S$4,0)+MATCH($C$87,Learning!$E$5:$S$5,0)-1))</f>
        <v>2.3507854754823363</v>
      </c>
      <c r="AG95" s="531" cm="1">
        <f t="array" aca="1" ref="AG95" ca="1">OFFSET(AG95,-6,0)*
OFFSET(MSP!$G$1,
MATCH(OFFSET($C87,((MATCH($C87,EL_List,0)-1)*-10)-1,0),MSP!$C:$C,0)+MATCH($C87,EL_List,0)-1,0)
*INDEX(Learning!$E$6:$S$41,(MATCH(AG$21,Dates,0)),(MATCH($C$86,Learning!$E$4:$S$4,0)+MATCH($C$87,Learning!$E$5:$S$5,0)-1))</f>
        <v>2.4562552324787283</v>
      </c>
      <c r="AH95" s="531" cm="1">
        <f t="array" aca="1" ref="AH95" ca="1">OFFSET(AH95,-6,0)*
OFFSET(MSP!$G$1,
MATCH(OFFSET($C87,((MATCH($C87,EL_List,0)-1)*-10)-1,0),MSP!$C:$C,0)+MATCH($C87,EL_List,0)-1,0)
*INDEX(Learning!$E$6:$S$41,(MATCH(AH$21,Dates,0)),(MATCH($C$86,Learning!$E$4:$S$4,0)+MATCH($C$87,Learning!$E$5:$S$5,0)-1))</f>
        <v>2.5663135395255745</v>
      </c>
      <c r="AI95" s="531" cm="1">
        <f t="array" aca="1" ref="AI95" ca="1">OFFSET(AI95,-6,0)*
OFFSET(MSP!$G$1,
MATCH(OFFSET($C87,((MATCH($C87,EL_List,0)-1)*-10)-1,0),MSP!$C:$C,0)+MATCH($C87,EL_List,0)-1,0)
*INDEX(Learning!$E$6:$S$41,(MATCH(AI$21,Dates,0)),(MATCH($C$86,Learning!$E$4:$S$4,0)+MATCH($C$87,Learning!$E$5:$S$5,0)-1))</f>
        <v>2.6811512037581307</v>
      </c>
      <c r="AJ95" s="531" cm="1">
        <f t="array" aca="1" ref="AJ95" ca="1">OFFSET(AJ95,-6,0)*
OFFSET(MSP!$G$1,
MATCH(OFFSET($C87,((MATCH($C87,EL_List,0)-1)*-10)-1,0),MSP!$C:$C,0)+MATCH($C87,EL_List,0)-1,0)
*INDEX(Learning!$E$6:$S$41,(MATCH(AJ$21,Dates,0)),(MATCH($C$86,Learning!$E$4:$S$4,0)+MATCH($C$87,Learning!$E$5:$S$5,0)-1))</f>
        <v>2.8041323952589368</v>
      </c>
      <c r="AK95" s="531" cm="1">
        <f t="array" aca="1" ref="AK95" ca="1">OFFSET(AK95,-6,0)*
OFFSET(MSP!$G$1,
MATCH(OFFSET($C87,((MATCH($C87,EL_List,0)-1)*-10)-1,0),MSP!$C:$C,0)+MATCH($C87,EL_List,0)-1,0)
*INDEX(Learning!$E$6:$S$41,(MATCH(AK$21,Dates,0)),(MATCH($C$86,Learning!$E$4:$S$4,0)+MATCH($C$87,Learning!$E$5:$S$5,0)-1))</f>
        <v>2.9293050410097425</v>
      </c>
      <c r="AL95" s="531" cm="1">
        <f t="array" aca="1" ref="AL95" ca="1">OFFSET(AL95,-6,0)*
OFFSET(MSP!$G$1,
MATCH(OFFSET($C87,((MATCH($C87,EL_List,0)-1)*-10)-1,0),MSP!$C:$C,0)+MATCH($C87,EL_List,0)-1,0)
*INDEX(Learning!$E$6:$S$41,(MATCH(AL$21,Dates,0)),(MATCH($C$86,Learning!$E$4:$S$4,0)+MATCH($C$87,Learning!$E$5:$S$5,0)-1))</f>
        <v>3.0599074587886768</v>
      </c>
      <c r="AM95" s="531" cm="1">
        <f t="array" aca="1" ref="AM95" ca="1">OFFSET(AM95,-6,0)*
OFFSET(MSP!$G$1,
MATCH(OFFSET($C87,((MATCH($C87,EL_List,0)-1)*-10)-1,0),MSP!$C:$C,0)+MATCH($C87,EL_List,0)-1,0)
*INDEX(Learning!$E$6:$S$41,(MATCH(AM$21,Dates,0)),(MATCH($C$86,Learning!$E$4:$S$4,0)+MATCH($C$87,Learning!$E$5:$S$5,0)-1))</f>
        <v>3.1998283480860468</v>
      </c>
      <c r="AN95" s="531" cm="1">
        <f t="array" aca="1" ref="AN95" ca="1">OFFSET(AN95,-6,0)*
OFFSET(MSP!$G$1,
MATCH(OFFSET($C87,((MATCH($C87,EL_List,0)-1)*-10)-1,0),MSP!$C:$C,0)+MATCH($C87,EL_List,0)-1,0)
*INDEX(Learning!$E$6:$S$41,(MATCH(AN$21,Dates,0)),(MATCH($C$86,Learning!$E$4:$S$4,0)+MATCH($C$87,Learning!$E$5:$S$5,0)-1))</f>
        <v>3.3437258183723131</v>
      </c>
      <c r="AO95" s="436"/>
      <c r="AP95" s="21"/>
    </row>
    <row r="96" spans="2:42" ht="15" customHeight="1" x14ac:dyDescent="0.35">
      <c r="B96" s="429"/>
      <c r="C96" s="776"/>
      <c r="D96" s="776"/>
      <c r="E96" s="776"/>
      <c r="F96" s="776"/>
      <c r="G96" s="776"/>
      <c r="H96" s="776"/>
      <c r="I96" s="776"/>
      <c r="J96" s="776"/>
      <c r="K96" s="776"/>
      <c r="L96" s="776"/>
      <c r="M96" s="776"/>
      <c r="N96" s="776"/>
      <c r="O96" s="776"/>
      <c r="P96" s="776"/>
      <c r="Q96" s="776"/>
      <c r="R96" s="776"/>
      <c r="S96" s="776"/>
      <c r="T96" s="776"/>
      <c r="U96" s="776"/>
      <c r="V96" s="776"/>
      <c r="W96" s="776"/>
      <c r="X96" s="776"/>
      <c r="Y96" s="776"/>
      <c r="Z96" s="776"/>
      <c r="AA96" s="776"/>
      <c r="AB96" s="776"/>
      <c r="AC96" s="776"/>
      <c r="AD96" s="776"/>
      <c r="AE96" s="776"/>
      <c r="AF96" s="776"/>
      <c r="AG96" s="776"/>
      <c r="AH96" s="776"/>
      <c r="AI96" s="776"/>
      <c r="AJ96" s="776"/>
      <c r="AK96" s="776"/>
      <c r="AL96" s="776"/>
      <c r="AM96" s="776"/>
      <c r="AN96" s="776"/>
      <c r="AO96" s="436"/>
      <c r="AP96" s="21"/>
    </row>
    <row r="97" spans="2:42" ht="15" customHeight="1" x14ac:dyDescent="0.35">
      <c r="B97" s="429"/>
      <c r="C97" s="772" t="s">
        <v>86</v>
      </c>
      <c r="D97" s="776"/>
      <c r="E97" s="776"/>
      <c r="F97" s="776"/>
      <c r="G97" s="776"/>
      <c r="H97" s="776"/>
      <c r="I97" s="776"/>
      <c r="J97" s="776"/>
      <c r="K97" s="776"/>
      <c r="L97" s="776"/>
      <c r="M97" s="776"/>
      <c r="N97" s="776"/>
      <c r="O97" s="776"/>
      <c r="P97" s="776"/>
      <c r="Q97" s="776"/>
      <c r="R97" s="776"/>
      <c r="S97" s="776"/>
      <c r="T97" s="776"/>
      <c r="U97" s="776"/>
      <c r="V97" s="776"/>
      <c r="W97" s="776"/>
      <c r="X97" s="776"/>
      <c r="Y97" s="776"/>
      <c r="Z97" s="776"/>
      <c r="AA97" s="776"/>
      <c r="AB97" s="776"/>
      <c r="AC97" s="776"/>
      <c r="AD97" s="776"/>
      <c r="AE97" s="776"/>
      <c r="AF97" s="776"/>
      <c r="AG97" s="776"/>
      <c r="AH97" s="776"/>
      <c r="AI97" s="776"/>
      <c r="AJ97" s="776"/>
      <c r="AK97" s="776"/>
      <c r="AL97" s="776"/>
      <c r="AM97" s="776"/>
      <c r="AN97" s="776"/>
      <c r="AO97" s="436"/>
      <c r="AP97" s="21"/>
    </row>
    <row r="98" spans="2:42" ht="15" customHeight="1" x14ac:dyDescent="0.35">
      <c r="B98" s="429"/>
      <c r="C98" s="777" t="s">
        <v>10</v>
      </c>
      <c r="D98" s="776"/>
      <c r="E98" s="778" cm="1">
        <f t="array" aca="1" ref="E98" ca="1">OFFSET(MSP!$C$1,
MATCH(OFFSET($C97,((MATCH($C97,EL_List,0)-1)*-10)-1,0),MSP!$C:$C,0)+MATCH($C97,EL_List,0)-1,
MATCH(OFFSET($C97,((MATCH($C97,EL_List,0)-1)*-10)-3,0),MSP!$D$5:$N$5,0)+1)
*INDEX(Learning!$E$6:$S$41,(MATCH(E$21,Dates,0)),(MATCH($C$86,Learning!$E$4:$S$4,0)+MATCH($C$97,Learning!$E$5:$S$5,0)-1))</f>
        <v>66.872433999999998</v>
      </c>
      <c r="F98" s="778" cm="1">
        <f t="array" aca="1" ref="F98" ca="1">OFFSET(MSP!$C$1,
MATCH(OFFSET($C97,((MATCH($C97,EL_List,0)-1)*-10)-1,0),MSP!$C:$C,0)+MATCH($C97,EL_List,0)-1,
MATCH(OFFSET($C97,((MATCH($C97,EL_List,0)-1)*-10)-3,0),MSP!$D$5:$N$5,0)+1)
*INDEX(Learning!$E$6:$S$41,(MATCH(F$21,Dates,0)),(MATCH($C$86,Learning!$E$4:$S$4,0)+MATCH($C$97,Learning!$E$5:$S$5,0)-1))</f>
        <v>66.359017999999992</v>
      </c>
      <c r="G98" s="778" cm="1">
        <f t="array" aca="1" ref="G98" ca="1">OFFSET(MSP!$C$1,
MATCH(OFFSET($C97,((MATCH($C97,EL_List,0)-1)*-10)-1,0),MSP!$C:$C,0)+MATCH($C97,EL_List,0)-1,
MATCH(OFFSET($C97,((MATCH($C97,EL_List,0)-1)*-10)-3,0),MSP!$D$5:$N$5,0)+1)
*INDEX(Learning!$E$6:$S$41,(MATCH(G$21,Dates,0)),(MATCH($C$86,Learning!$E$4:$S$4,0)+MATCH($C$97,Learning!$E$5:$S$5,0)-1))</f>
        <v>65.909778999999986</v>
      </c>
      <c r="H98" s="778" cm="1">
        <f t="array" aca="1" ref="H98" ca="1">OFFSET(MSP!$C$1,
MATCH(OFFSET($C97,((MATCH($C97,EL_List,0)-1)*-10)-1,0),MSP!$C:$C,0)+MATCH($C97,EL_List,0)-1,
MATCH(OFFSET($C97,((MATCH($C97,EL_List,0)-1)*-10)-3,0),MSP!$D$5:$N$5,0)+1)
*INDEX(Learning!$E$6:$S$41,(MATCH(H$21,Dates,0)),(MATCH($C$86,Learning!$E$4:$S$4,0)+MATCH($C$97,Learning!$E$5:$S$5,0)-1))</f>
        <v>65.39636299999998</v>
      </c>
      <c r="I98" s="778" cm="1">
        <f t="array" aca="1" ref="I98" ca="1">OFFSET(MSP!$C$1,
MATCH(OFFSET($C97,((MATCH($C97,EL_List,0)-1)*-10)-1,0),MSP!$C:$C,0)+MATCH($C97,EL_List,0)-1,
MATCH(OFFSET($C97,((MATCH($C97,EL_List,0)-1)*-10)-3,0),MSP!$D$5:$N$5,0)+1)
*INDEX(Learning!$E$6:$S$41,(MATCH(I$21,Dates,0)),(MATCH($C$86,Learning!$E$4:$S$4,0)+MATCH($C$97,Learning!$E$5:$S$5,0)-1))</f>
        <v>65.011300999999989</v>
      </c>
      <c r="J98" s="778" cm="1">
        <f t="array" aca="1" ref="J98" ca="1">OFFSET(MSP!$C$1,
MATCH(OFFSET($C97,((MATCH($C97,EL_List,0)-1)*-10)-1,0),MSP!$C:$C,0)+MATCH($C97,EL_List,0)-1,
MATCH(OFFSET($C97,((MATCH($C97,EL_List,0)-1)*-10)-3,0),MSP!$D$5:$N$5,0)+1)
*INDEX(Learning!$E$6:$S$41,(MATCH(J$21,Dates,0)),(MATCH($C$86,Learning!$E$4:$S$4,0)+MATCH($C$97,Learning!$E$5:$S$5,0)-1))</f>
        <v>64.562061999999997</v>
      </c>
      <c r="K98" s="778" cm="1">
        <f t="array" aca="1" ref="K98" ca="1">OFFSET(MSP!$C$1,
MATCH(OFFSET($C97,((MATCH($C97,EL_List,0)-1)*-10)-1,0),MSP!$C:$C,0)+MATCH($C97,EL_List,0)-1,
MATCH(OFFSET($C97,((MATCH($C97,EL_List,0)-1)*-10)-3,0),MSP!$D$5:$N$5,0)+1)
*INDEX(Learning!$E$6:$S$41,(MATCH(K$21,Dates,0)),(MATCH($C$86,Learning!$E$4:$S$4,0)+MATCH($C$97,Learning!$E$5:$S$5,0)-1))</f>
        <v>64.176999999999992</v>
      </c>
      <c r="L98" s="778" cm="1">
        <f t="array" aca="1" ref="L98" ca="1">OFFSET(MSP!$C$1,
MATCH(OFFSET($C97,((MATCH($C97,EL_List,0)-1)*-10)-1,0),MSP!$C:$C,0)+MATCH($C97,EL_List,0)-1,
MATCH(OFFSET($C97,((MATCH($C97,EL_List,0)-1)*-10)-3,0),MSP!$D$5:$N$5,0)+1)
*INDEX(Learning!$E$6:$S$41,(MATCH(L$21,Dates,0)),(MATCH($C$86,Learning!$E$4:$S$4,0)+MATCH($C$97,Learning!$E$5:$S$5,0)-1))</f>
        <v>63.791937999999995</v>
      </c>
      <c r="M98" s="778" cm="1">
        <f t="array" aca="1" ref="M98" ca="1">OFFSET(MSP!$C$1,
MATCH(OFFSET($C97,((MATCH($C97,EL_List,0)-1)*-10)-1,0),MSP!$C:$C,0)+MATCH($C97,EL_List,0)-1,
MATCH(OFFSET($C97,((MATCH($C97,EL_List,0)-1)*-10)-3,0),MSP!$D$5:$N$5,0)+1)
*INDEX(Learning!$E$6:$S$41,(MATCH(M$21,Dates,0)),(MATCH($C$86,Learning!$E$4:$S$4,0)+MATCH($C$97,Learning!$E$5:$S$5,0)-1))</f>
        <v>63.40687599999999</v>
      </c>
      <c r="N98" s="778" cm="1">
        <f t="array" aca="1" ref="N98" ca="1">OFFSET(MSP!$C$1,
MATCH(OFFSET($C97,((MATCH($C97,EL_List,0)-1)*-10)-1,0),MSP!$C:$C,0)+MATCH($C97,EL_List,0)-1,
MATCH(OFFSET($C97,((MATCH($C97,EL_List,0)-1)*-10)-3,0),MSP!$D$5:$N$5,0)+1)
*INDEX(Learning!$E$6:$S$41,(MATCH(N$21,Dates,0)),(MATCH($C$86,Learning!$E$4:$S$4,0)+MATCH($C$97,Learning!$E$5:$S$5,0)-1))</f>
        <v>63.021813999999992</v>
      </c>
      <c r="O98" s="778" cm="1">
        <f t="array" aca="1" ref="O98" ca="1">OFFSET(MSP!$C$1,
MATCH(OFFSET($C97,((MATCH($C97,EL_List,0)-1)*-10)-1,0),MSP!$C:$C,0)+MATCH($C97,EL_List,0)-1,
MATCH(OFFSET($C97,((MATCH($C97,EL_List,0)-1)*-10)-3,0),MSP!$D$5:$N$5,0)+1)
*INDEX(Learning!$E$6:$S$41,(MATCH(O$21,Dates,0)),(MATCH($C$86,Learning!$E$4:$S$4,0)+MATCH($C$97,Learning!$E$5:$S$5,0)-1))</f>
        <v>62.700928999999988</v>
      </c>
      <c r="P98" s="778" cm="1">
        <f t="array" aca="1" ref="P98" ca="1">OFFSET(MSP!$C$1,
MATCH(OFFSET($C97,((MATCH($C97,EL_List,0)-1)*-10)-1,0),MSP!$C:$C,0)+MATCH($C97,EL_List,0)-1,
MATCH(OFFSET($C97,((MATCH($C97,EL_List,0)-1)*-10)-3,0),MSP!$D$5:$N$5,0)+1)
*INDEX(Learning!$E$6:$S$41,(MATCH(P$21,Dates,0)),(MATCH($C$86,Learning!$E$4:$S$4,0)+MATCH($C$97,Learning!$E$5:$S$5,0)-1))</f>
        <v>62.380043999999991</v>
      </c>
      <c r="Q98" s="778" cm="1">
        <f t="array" aca="1" ref="Q98" ca="1">OFFSET(MSP!$C$1,
MATCH(OFFSET($C97,((MATCH($C97,EL_List,0)-1)*-10)-1,0),MSP!$C:$C,0)+MATCH($C97,EL_List,0)-1,
MATCH(OFFSET($C97,((MATCH($C97,EL_List,0)-1)*-10)-3,0),MSP!$D$5:$N$5,0)+1)
*INDEX(Learning!$E$6:$S$41,(MATCH(Q$21,Dates,0)),(MATCH($C$86,Learning!$E$4:$S$4,0)+MATCH($C$97,Learning!$E$5:$S$5,0)-1))</f>
        <v>61.994981999999993</v>
      </c>
      <c r="R98" s="778" cm="1">
        <f t="array" aca="1" ref="R98" ca="1">OFFSET(MSP!$C$1,
MATCH(OFFSET($C97,((MATCH($C97,EL_List,0)-1)*-10)-1,0),MSP!$C:$C,0)+MATCH($C97,EL_List,0)-1,
MATCH(OFFSET($C97,((MATCH($C97,EL_List,0)-1)*-10)-3,0),MSP!$D$5:$N$5,0)+1)
*INDEX(Learning!$E$6:$S$41,(MATCH(R$21,Dates,0)),(MATCH($C$86,Learning!$E$4:$S$4,0)+MATCH($C$97,Learning!$E$5:$S$5,0)-1))</f>
        <v>61.674096999999989</v>
      </c>
      <c r="S98" s="778" cm="1">
        <f t="array" aca="1" ref="S98" ca="1">OFFSET(MSP!$C$1,
MATCH(OFFSET($C97,((MATCH($C97,EL_List,0)-1)*-10)-1,0),MSP!$C:$C,0)+MATCH($C97,EL_List,0)-1,
MATCH(OFFSET($C97,((MATCH($C97,EL_List,0)-1)*-10)-3,0),MSP!$D$5:$N$5,0)+1)
*INDEX(Learning!$E$6:$S$41,(MATCH(S$21,Dates,0)),(MATCH($C$86,Learning!$E$4:$S$4,0)+MATCH($C$97,Learning!$E$5:$S$5,0)-1))</f>
        <v>61.353211999999992</v>
      </c>
      <c r="T98" s="778" cm="1">
        <f t="array" aca="1" ref="T98" ca="1">OFFSET(MSP!$C$1,
MATCH(OFFSET($C97,((MATCH($C97,EL_List,0)-1)*-10)-1,0),MSP!$C:$C,0)+MATCH($C97,EL_List,0)-1,
MATCH(OFFSET($C97,((MATCH($C97,EL_List,0)-1)*-10)-3,0),MSP!$D$5:$N$5,0)+1)
*INDEX(Learning!$E$6:$S$41,(MATCH(T$21,Dates,0)),(MATCH($C$86,Learning!$E$4:$S$4,0)+MATCH($C$97,Learning!$E$5:$S$5,0)-1))</f>
        <v>61.032326999999988</v>
      </c>
      <c r="U98" s="778" cm="1">
        <f t="array" aca="1" ref="U98" ca="1">OFFSET(MSP!$C$1,
MATCH(OFFSET($C97,((MATCH($C97,EL_List,0)-1)*-10)-1,0),MSP!$C:$C,0)+MATCH($C97,EL_List,0)-1,
MATCH(OFFSET($C97,((MATCH($C97,EL_List,0)-1)*-10)-3,0),MSP!$D$5:$N$5,0)+1)
*INDEX(Learning!$E$6:$S$41,(MATCH(U$21,Dates,0)),(MATCH($C$86,Learning!$E$4:$S$4,0)+MATCH($C$97,Learning!$E$5:$S$5,0)-1))</f>
        <v>60.775618999999992</v>
      </c>
      <c r="V98" s="778" cm="1">
        <f t="array" aca="1" ref="V98" ca="1">OFFSET(MSP!$C$1,
MATCH(OFFSET($C97,((MATCH($C97,EL_List,0)-1)*-10)-1,0),MSP!$C:$C,0)+MATCH($C97,EL_List,0)-1,
MATCH(OFFSET($C97,((MATCH($C97,EL_List,0)-1)*-10)-3,0),MSP!$D$5:$N$5,0)+1)
*INDEX(Learning!$E$6:$S$41,(MATCH(V$21,Dates,0)),(MATCH($C$86,Learning!$E$4:$S$4,0)+MATCH($C$97,Learning!$E$5:$S$5,0)-1))</f>
        <v>60.454733999999988</v>
      </c>
      <c r="W98" s="778" cm="1">
        <f t="array" aca="1" ref="W98" ca="1">OFFSET(MSP!$C$1,
MATCH(OFFSET($C97,((MATCH($C97,EL_List,0)-1)*-10)-1,0),MSP!$C:$C,0)+MATCH($C97,EL_List,0)-1,
MATCH(OFFSET($C97,((MATCH($C97,EL_List,0)-1)*-10)-3,0),MSP!$D$5:$N$5,0)+1)
*INDEX(Learning!$E$6:$S$41,(MATCH(W$21,Dates,0)),(MATCH($C$86,Learning!$E$4:$S$4,0)+MATCH($C$97,Learning!$E$5:$S$5,0)-1))</f>
        <v>60.133848999999998</v>
      </c>
      <c r="X98" s="778" cm="1">
        <f t="array" aca="1" ref="X98" ca="1">OFFSET(MSP!$C$1,
MATCH(OFFSET($C97,((MATCH($C97,EL_List,0)-1)*-10)-1,0),MSP!$C:$C,0)+MATCH($C97,EL_List,0)-1,
MATCH(OFFSET($C97,((MATCH($C97,EL_List,0)-1)*-10)-3,0),MSP!$D$5:$N$5,0)+1)
*INDEX(Learning!$E$6:$S$41,(MATCH(X$21,Dates,0)),(MATCH($C$86,Learning!$E$4:$S$4,0)+MATCH($C$97,Learning!$E$5:$S$5,0)-1))</f>
        <v>59.877140999999995</v>
      </c>
      <c r="Y98" s="778" cm="1">
        <f t="array" aca="1" ref="Y98" ca="1">OFFSET(MSP!$C$1,
MATCH(OFFSET($C97,((MATCH($C97,EL_List,0)-1)*-10)-1,0),MSP!$C:$C,0)+MATCH($C97,EL_List,0)-1,
MATCH(OFFSET($C97,((MATCH($C97,EL_List,0)-1)*-10)-3,0),MSP!$D$5:$N$5,0)+1)
*INDEX(Learning!$E$6:$S$41,(MATCH(Y$21,Dates,0)),(MATCH($C$86,Learning!$E$4:$S$4,0)+MATCH($C$97,Learning!$E$5:$S$5,0)-1))</f>
        <v>59.620432999999998</v>
      </c>
      <c r="Z98" s="778" cm="1">
        <f t="array" aca="1" ref="Z98" ca="1">OFFSET(MSP!$C$1,
MATCH(OFFSET($C97,((MATCH($C97,EL_List,0)-1)*-10)-1,0),MSP!$C:$C,0)+MATCH($C97,EL_List,0)-1,
MATCH(OFFSET($C97,((MATCH($C97,EL_List,0)-1)*-10)-3,0),MSP!$D$5:$N$5,0)+1)
*INDEX(Learning!$E$6:$S$41,(MATCH(Z$21,Dates,0)),(MATCH($C$86,Learning!$E$4:$S$4,0)+MATCH($C$97,Learning!$E$5:$S$5,0)-1))</f>
        <v>59.299547999999994</v>
      </c>
      <c r="AA98" s="778" cm="1">
        <f t="array" aca="1" ref="AA98" ca="1">OFFSET(MSP!$C$1,
MATCH(OFFSET($C97,((MATCH($C97,EL_List,0)-1)*-10)-1,0),MSP!$C:$C,0)+MATCH($C97,EL_List,0)-1,
MATCH(OFFSET($C97,((MATCH($C97,EL_List,0)-1)*-10)-3,0),MSP!$D$5:$N$5,0)+1)
*INDEX(Learning!$E$6:$S$41,(MATCH(AA$21,Dates,0)),(MATCH($C$86,Learning!$E$4:$S$4,0)+MATCH($C$97,Learning!$E$5:$S$5,0)-1))</f>
        <v>59.042839999999998</v>
      </c>
      <c r="AB98" s="778" cm="1">
        <f t="array" aca="1" ref="AB98" ca="1">OFFSET(MSP!$C$1,
MATCH(OFFSET($C97,((MATCH($C97,EL_List,0)-1)*-10)-1,0),MSP!$C:$C,0)+MATCH($C97,EL_List,0)-1,
MATCH(OFFSET($C97,((MATCH($C97,EL_List,0)-1)*-10)-3,0),MSP!$D$5:$N$5,0)+1)
*INDEX(Learning!$E$6:$S$41,(MATCH(AB$21,Dates,0)),(MATCH($C$86,Learning!$E$4:$S$4,0)+MATCH($C$97,Learning!$E$5:$S$5,0)-1))</f>
        <v>58.786131999999995</v>
      </c>
      <c r="AC98" s="778" cm="1">
        <f t="array" aca="1" ref="AC98" ca="1">OFFSET(MSP!$C$1,
MATCH(OFFSET($C97,((MATCH($C97,EL_List,0)-1)*-10)-1,0),MSP!$C:$C,0)+MATCH($C97,EL_List,0)-1,
MATCH(OFFSET($C97,((MATCH($C97,EL_List,0)-1)*-10)-3,0),MSP!$D$5:$N$5,0)+1)
*INDEX(Learning!$E$6:$S$41,(MATCH(AC$21,Dates,0)),(MATCH($C$86,Learning!$E$4:$S$4,0)+MATCH($C$97,Learning!$E$5:$S$5,0)-1))</f>
        <v>58.529423999999999</v>
      </c>
      <c r="AD98" s="778" cm="1">
        <f t="array" aca="1" ref="AD98" ca="1">OFFSET(MSP!$C$1,
MATCH(OFFSET($C97,((MATCH($C97,EL_List,0)-1)*-10)-1,0),MSP!$C:$C,0)+MATCH($C97,EL_List,0)-1,
MATCH(OFFSET($C97,((MATCH($C97,EL_List,0)-1)*-10)-3,0),MSP!$D$5:$N$5,0)+1)
*INDEX(Learning!$E$6:$S$41,(MATCH(AD$21,Dates,0)),(MATCH($C$86,Learning!$E$4:$S$4,0)+MATCH($C$97,Learning!$E$5:$S$5,0)-1))</f>
        <v>58.272715999999996</v>
      </c>
      <c r="AE98" s="778" cm="1">
        <f t="array" aca="1" ref="AE98" ca="1">OFFSET(MSP!$C$1,
MATCH(OFFSET($C97,((MATCH($C97,EL_List,0)-1)*-10)-1,0),MSP!$C:$C,0)+MATCH($C97,EL_List,0)-1,
MATCH(OFFSET($C97,((MATCH($C97,EL_List,0)-1)*-10)-3,0),MSP!$D$5:$N$5,0)+1)
*INDEX(Learning!$E$6:$S$41,(MATCH(AE$21,Dates,0)),(MATCH($C$86,Learning!$E$4:$S$4,0)+MATCH($C$97,Learning!$E$5:$S$5,0)-1))</f>
        <v>58.016007999999992</v>
      </c>
      <c r="AF98" s="778" cm="1">
        <f t="array" aca="1" ref="AF98" ca="1">OFFSET(MSP!$C$1,
MATCH(OFFSET($C97,((MATCH($C97,EL_List,0)-1)*-10)-1,0),MSP!$C:$C,0)+MATCH($C97,EL_List,0)-1,
MATCH(OFFSET($C97,((MATCH($C97,EL_List,0)-1)*-10)-3,0),MSP!$D$5:$N$5,0)+1)
*INDEX(Learning!$E$6:$S$41,(MATCH(AF$21,Dates,0)),(MATCH($C$86,Learning!$E$4:$S$4,0)+MATCH($C$97,Learning!$E$5:$S$5,0)-1))</f>
        <v>57.759299999999996</v>
      </c>
      <c r="AG98" s="778" cm="1">
        <f t="array" aca="1" ref="AG98" ca="1">OFFSET(MSP!$C$1,
MATCH(OFFSET($C97,((MATCH($C97,EL_List,0)-1)*-10)-1,0),MSP!$C:$C,0)+MATCH($C97,EL_List,0)-1,
MATCH(OFFSET($C97,((MATCH($C97,EL_List,0)-1)*-10)-3,0),MSP!$D$5:$N$5,0)+1)
*INDEX(Learning!$E$6:$S$41,(MATCH(AG$21,Dates,0)),(MATCH($C$86,Learning!$E$4:$S$4,0)+MATCH($C$97,Learning!$E$5:$S$5,0)-1))</f>
        <v>57.502591999999993</v>
      </c>
      <c r="AH98" s="778" cm="1">
        <f t="array" aca="1" ref="AH98" ca="1">OFFSET(MSP!$C$1,
MATCH(OFFSET($C97,((MATCH($C97,EL_List,0)-1)*-10)-1,0),MSP!$C:$C,0)+MATCH($C97,EL_List,0)-1,
MATCH(OFFSET($C97,((MATCH($C97,EL_List,0)-1)*-10)-3,0),MSP!$D$5:$N$5,0)+1)
*INDEX(Learning!$E$6:$S$41,(MATCH(AH$21,Dates,0)),(MATCH($C$86,Learning!$E$4:$S$4,0)+MATCH($C$97,Learning!$E$5:$S$5,0)-1))</f>
        <v>57.245883999999997</v>
      </c>
      <c r="AI98" s="778" cm="1">
        <f t="array" aca="1" ref="AI98" ca="1">OFFSET(MSP!$C$1,
MATCH(OFFSET($C97,((MATCH($C97,EL_List,0)-1)*-10)-1,0),MSP!$C:$C,0)+MATCH($C97,EL_List,0)-1,
MATCH(OFFSET($C97,((MATCH($C97,EL_List,0)-1)*-10)-3,0),MSP!$D$5:$N$5,0)+1)
*INDEX(Learning!$E$6:$S$41,(MATCH(AI$21,Dates,0)),(MATCH($C$86,Learning!$E$4:$S$4,0)+MATCH($C$97,Learning!$E$5:$S$5,0)-1))</f>
        <v>56.989175999999993</v>
      </c>
      <c r="AJ98" s="778" cm="1">
        <f t="array" aca="1" ref="AJ98" ca="1">OFFSET(MSP!$C$1,
MATCH(OFFSET($C97,((MATCH($C97,EL_List,0)-1)*-10)-1,0),MSP!$C:$C,0)+MATCH($C97,EL_List,0)-1,
MATCH(OFFSET($C97,((MATCH($C97,EL_List,0)-1)*-10)-3,0),MSP!$D$5:$N$5,0)+1)
*INDEX(Learning!$E$6:$S$41,(MATCH(AJ$21,Dates,0)),(MATCH($C$86,Learning!$E$4:$S$4,0)+MATCH($C$97,Learning!$E$5:$S$5,0)-1))</f>
        <v>56.732467999999997</v>
      </c>
      <c r="AK98" s="778" cm="1">
        <f t="array" aca="1" ref="AK98" ca="1">OFFSET(MSP!$C$1,
MATCH(OFFSET($C97,((MATCH($C97,EL_List,0)-1)*-10)-1,0),MSP!$C:$C,0)+MATCH($C97,EL_List,0)-1,
MATCH(OFFSET($C97,((MATCH($C97,EL_List,0)-1)*-10)-3,0),MSP!$D$5:$N$5,0)+1)
*INDEX(Learning!$E$6:$S$41,(MATCH(AK$21,Dates,0)),(MATCH($C$86,Learning!$E$4:$S$4,0)+MATCH($C$97,Learning!$E$5:$S$5,0)-1))</f>
        <v>56.475759999999994</v>
      </c>
      <c r="AL98" s="778" cm="1">
        <f t="array" aca="1" ref="AL98" ca="1">OFFSET(MSP!$C$1,
MATCH(OFFSET($C97,((MATCH($C97,EL_List,0)-1)*-10)-1,0),MSP!$C:$C,0)+MATCH($C97,EL_List,0)-1,
MATCH(OFFSET($C97,((MATCH($C97,EL_List,0)-1)*-10)-3,0),MSP!$D$5:$N$5,0)+1)
*INDEX(Learning!$E$6:$S$41,(MATCH(AL$21,Dates,0)),(MATCH($C$86,Learning!$E$4:$S$4,0)+MATCH($C$97,Learning!$E$5:$S$5,0)-1))</f>
        <v>56.283228999999992</v>
      </c>
      <c r="AM98" s="778" cm="1">
        <f t="array" aca="1" ref="AM98" ca="1">OFFSET(MSP!$C$1,
MATCH(OFFSET($C97,((MATCH($C97,EL_List,0)-1)*-10)-1,0),MSP!$C:$C,0)+MATCH($C97,EL_List,0)-1,
MATCH(OFFSET($C97,((MATCH($C97,EL_List,0)-1)*-10)-3,0),MSP!$D$5:$N$5,0)+1)
*INDEX(Learning!$E$6:$S$41,(MATCH(AM$21,Dates,0)),(MATCH($C$86,Learning!$E$4:$S$4,0)+MATCH($C$97,Learning!$E$5:$S$5,0)-1))</f>
        <v>56.026520999999995</v>
      </c>
      <c r="AN98" s="778" cm="1">
        <f t="array" aca="1" ref="AN98" ca="1">OFFSET(MSP!$C$1,
MATCH(OFFSET($C97,((MATCH($C97,EL_List,0)-1)*-10)-1,0),MSP!$C:$C,0)+MATCH($C97,EL_List,0)-1,
MATCH(OFFSET($C97,((MATCH($C97,EL_List,0)-1)*-10)-3,0),MSP!$D$5:$N$5,0)+1)
*INDEX(Learning!$E$6:$S$41,(MATCH(AN$21,Dates,0)),(MATCH($C$86,Learning!$E$4:$S$4,0)+MATCH($C$97,Learning!$E$5:$S$5,0)-1))</f>
        <v>55.806170484224751</v>
      </c>
      <c r="AO98" s="436"/>
      <c r="AP98" s="21"/>
    </row>
    <row r="99" spans="2:42" ht="15" customHeight="1" x14ac:dyDescent="0.35">
      <c r="B99" s="429"/>
      <c r="C99" s="777" t="s">
        <v>78</v>
      </c>
      <c r="D99" s="776"/>
      <c r="E99" s="530">
        <f ca="1">OFFSET(OFFSET(Shipments!$D$1,0,MATCH(E$7,Dates)),
MATCH(OFFSET($C97,((MATCH($C97,EL_List,0)-1)*-10)-3,0),Shipments!$C:$C,0)+
MATCH(OFFSET($C97,((MATCH($C97,EL_List,0)-1)*-10)-1,0),Shipments!$D:$D,0)+
MATCH($C97,EL_List,0)-10,
MATCH(Shipments_Scenario_X,Shipments!$F$5:$AQ$5,0))</f>
        <v>0.66433746501857249</v>
      </c>
      <c r="F99" s="530">
        <f ca="1">OFFSET(OFFSET(Shipments!$D$1,0,MATCH(F$7,Dates)),
MATCH(OFFSET($C97,((MATCH($C97,EL_List,0)-1)*-10)-3,0),Shipments!$C:$C,0)+
MATCH(OFFSET($C97,((MATCH($C97,EL_List,0)-1)*-10)-1,0),Shipments!$D:$D,0)+
MATCH($C97,EL_List,0)-10,
MATCH(Shipments_Scenario_X,Shipments!$F$5:$AQ$5,0))</f>
        <v>0.69404567647187565</v>
      </c>
      <c r="G99" s="530">
        <f ca="1">OFFSET(OFFSET(Shipments!$D$1,0,MATCH(G$7,Dates)),
MATCH(OFFSET($C97,((MATCH($C97,EL_List,0)-1)*-10)-3,0),Shipments!$C:$C,0)+
MATCH(OFFSET($C97,((MATCH($C97,EL_List,0)-1)*-10)-1,0),Shipments!$D:$D,0)+
MATCH($C97,EL_List,0)-10,
MATCH(Shipments_Scenario_X,Shipments!$F$5:$AQ$5,0))</f>
        <v>0.72066747730543268</v>
      </c>
      <c r="H99" s="530">
        <f ca="1">OFFSET(OFFSET(Shipments!$D$1,0,MATCH(H$7,Dates)),
MATCH(OFFSET($C97,((MATCH($C97,EL_List,0)-1)*-10)-3,0),Shipments!$C:$C,0)+
MATCH(OFFSET($C97,((MATCH($C97,EL_List,0)-1)*-10)-1,0),Shipments!$D:$D,0)+
MATCH($C97,EL_List,0)-10,
MATCH(Shipments_Scenario_X,Shipments!$F$5:$AQ$5,0))</f>
        <v>0.75451218283422739</v>
      </c>
      <c r="I99" s="530">
        <f ca="1">OFFSET(OFFSET(Shipments!$D$1,0,MATCH(I$7,Dates)),
MATCH(OFFSET($C97,((MATCH($C97,EL_List,0)-1)*-10)-3,0),Shipments!$C:$C,0)+
MATCH(OFFSET($C97,((MATCH($C97,EL_List,0)-1)*-10)-1,0),Shipments!$D:$D,0)+
MATCH($C97,EL_List,0)-10,
MATCH(Shipments_Scenario_X,Shipments!$F$5:$AQ$5,0))</f>
        <v>0.79082855598270085</v>
      </c>
      <c r="J99" s="530">
        <f ca="1">OFFSET(OFFSET(Shipments!$D$1,0,MATCH(J$7,Dates)),
MATCH(OFFSET($C97,((MATCH($C97,EL_List,0)-1)*-10)-3,0),Shipments!$C:$C,0)+
MATCH(OFFSET($C97,((MATCH($C97,EL_List,0)-1)*-10)-1,0),Shipments!$D:$D,0)+
MATCH($C97,EL_List,0)-10,
MATCH(Shipments_Scenario_X,Shipments!$F$5:$AQ$5,0))</f>
        <v>0.83101953739064061</v>
      </c>
      <c r="K99" s="530">
        <f ca="1">OFFSET(OFFSET(Shipments!$D$1,0,MATCH(K$7,Dates)),
MATCH(OFFSET($C97,((MATCH($C97,EL_List,0)-1)*-10)-3,0),Shipments!$C:$C,0)+
MATCH(OFFSET($C97,((MATCH($C97,EL_List,0)-1)*-10)-1,0),Shipments!$D:$D,0)+
MATCH($C97,EL_List,0)-10,
MATCH(Shipments_Scenario_X,Shipments!$F$5:$AQ$5,0))</f>
        <v>0.87461238325227231</v>
      </c>
      <c r="L99" s="530">
        <f ca="1">OFFSET(OFFSET(Shipments!$D$1,0,MATCH(L$7,Dates)),
MATCH(OFFSET($C97,((MATCH($C97,EL_List,0)-1)*-10)-3,0),Shipments!$C:$C,0)+
MATCH(OFFSET($C97,((MATCH($C97,EL_List,0)-1)*-10)-1,0),Shipments!$D:$D,0)+
MATCH($C97,EL_List,0)-10,
MATCH(Shipments_Scenario_X,Shipments!$F$5:$AQ$5,0))</f>
        <v>0.9208975674683737</v>
      </c>
      <c r="M99" s="530">
        <f ca="1">OFFSET(OFFSET(Shipments!$D$1,0,MATCH(M$7,Dates)),
MATCH(OFFSET($C97,((MATCH($C97,EL_List,0)-1)*-10)-3,0),Shipments!$C:$C,0)+
MATCH(OFFSET($C97,((MATCH($C97,EL_List,0)-1)*-10)-1,0),Shipments!$D:$D,0)+
MATCH($C97,EL_List,0)-10,
MATCH(Shipments_Scenario_X,Shipments!$F$5:$AQ$5,0))</f>
        <v>0.96932139398223982</v>
      </c>
      <c r="N99" s="530">
        <f ca="1">OFFSET(OFFSET(Shipments!$D$1,0,MATCH(N$7,Dates)),
MATCH(OFFSET($C97,((MATCH($C97,EL_List,0)-1)*-10)-3,0),Shipments!$C:$C,0)+
MATCH(OFFSET($C97,((MATCH($C97,EL_List,0)-1)*-10)-1,0),Shipments!$D:$D,0)+
MATCH($C97,EL_List,0)-10,
MATCH(Shipments_Scenario_X,Shipments!$F$5:$AQ$5,0))</f>
        <v>1.0195149585264014</v>
      </c>
      <c r="O99" s="530">
        <f ca="1">OFFSET(OFFSET(Shipments!$D$1,0,MATCH(O$7,Dates)),
MATCH(OFFSET($C97,((MATCH($C97,EL_List,0)-1)*-10)-3,0),Shipments!$C:$C,0)+
MATCH(OFFSET($C97,((MATCH($C97,EL_List,0)-1)*-10)-1,0),Shipments!$D:$D,0)+
MATCH($C97,EL_List,0)-10,
MATCH(Shipments_Scenario_X,Shipments!$F$5:$AQ$5,0))</f>
        <v>1.0714565851102538</v>
      </c>
      <c r="P99" s="530">
        <f ca="1">OFFSET(OFFSET(Shipments!$D$1,0,MATCH(P$7,Dates)),
MATCH(OFFSET($C97,((MATCH($C97,EL_List,0)-1)*-10)-3,0),Shipments!$C:$C,0)+
MATCH(OFFSET($C97,((MATCH($C97,EL_List,0)-1)*-10)-1,0),Shipments!$D:$D,0)+
MATCH($C97,EL_List,0)-10,
MATCH(Shipments_Scenario_X,Shipments!$F$5:$AQ$5,0))</f>
        <v>1.1253687331215365</v>
      </c>
      <c r="Q99" s="530">
        <f ca="1">OFFSET(OFFSET(Shipments!$D$1,0,MATCH(Q$7,Dates)),
MATCH(OFFSET($C97,((MATCH($C97,EL_List,0)-1)*-10)-3,0),Shipments!$C:$C,0)+
MATCH(OFFSET($C97,((MATCH($C97,EL_List,0)-1)*-10)-1,0),Shipments!$D:$D,0)+
MATCH($C97,EL_List,0)-10,
MATCH(Shipments_Scenario_X,Shipments!$F$5:$AQ$5,0))</f>
        <v>1.1815912946761964</v>
      </c>
      <c r="R99" s="530">
        <f ca="1">OFFSET(OFFSET(Shipments!$D$1,0,MATCH(R$7,Dates)),
MATCH(OFFSET($C97,((MATCH($C97,EL_List,0)-1)*-10)-3,0),Shipments!$C:$C,0)+
MATCH(OFFSET($C97,((MATCH($C97,EL_List,0)-1)*-10)-1,0),Shipments!$D:$D,0)+
MATCH($C97,EL_List,0)-10,
MATCH(Shipments_Scenario_X,Shipments!$F$5:$AQ$5,0))</f>
        <v>1.2405210256841062</v>
      </c>
      <c r="S99" s="530">
        <f ca="1">OFFSET(OFFSET(Shipments!$D$1,0,MATCH(S$7,Dates)),
MATCH(OFFSET($C97,((MATCH($C97,EL_List,0)-1)*-10)-3,0),Shipments!$C:$C,0)+
MATCH(OFFSET($C97,((MATCH($C97,EL_List,0)-1)*-10)-1,0),Shipments!$D:$D,0)+
MATCH($C97,EL_List,0)-10,
MATCH(Shipments_Scenario_X,Shipments!$F$5:$AQ$5,0))</f>
        <v>1.3024913675116672</v>
      </c>
      <c r="T99" s="530">
        <f ca="1">OFFSET(OFFSET(Shipments!$D$1,0,MATCH(T$7,Dates)),
MATCH(OFFSET($C97,((MATCH($C97,EL_List,0)-1)*-10)-3,0),Shipments!$C:$C,0)+
MATCH(OFFSET($C97,((MATCH($C97,EL_List,0)-1)*-10)-1,0),Shipments!$D:$D,0)+
MATCH($C97,EL_List,0)-10,
MATCH(Shipments_Scenario_X,Shipments!$F$5:$AQ$5,0))</f>
        <v>1.3677132900982807</v>
      </c>
      <c r="U99" s="530">
        <f ca="1">OFFSET(OFFSET(Shipments!$D$1,0,MATCH(U$7,Dates)),
MATCH(OFFSET($C97,((MATCH($C97,EL_List,0)-1)*-10)-3,0),Shipments!$C:$C,0)+
MATCH(OFFSET($C97,((MATCH($C97,EL_List,0)-1)*-10)-1,0),Shipments!$D:$D,0)+
MATCH($C97,EL_List,0)-10,
MATCH(Shipments_Scenario_X,Shipments!$F$5:$AQ$5,0))</f>
        <v>1.4364212670652203</v>
      </c>
      <c r="V99" s="530">
        <f ca="1">OFFSET(OFFSET(Shipments!$D$1,0,MATCH(V$7,Dates)),
MATCH(OFFSET($C97,((MATCH($C97,EL_List,0)-1)*-10)-3,0),Shipments!$C:$C,0)+
MATCH(OFFSET($C97,((MATCH($C97,EL_List,0)-1)*-10)-1,0),Shipments!$D:$D,0)+
MATCH($C97,EL_List,0)-10,
MATCH(Shipments_Scenario_X,Shipments!$F$5:$AQ$5,0))</f>
        <v>1.5084776099132855</v>
      </c>
      <c r="W99" s="530">
        <f ca="1">OFFSET(OFFSET(Shipments!$D$1,0,MATCH(W$7,Dates)),
MATCH(OFFSET($C97,((MATCH($C97,EL_List,0)-1)*-10)-3,0),Shipments!$C:$C,0)+
MATCH(OFFSET($C97,((MATCH($C97,EL_List,0)-1)*-10)-1,0),Shipments!$D:$D,0)+
MATCH($C97,EL_List,0)-10,
MATCH(Shipments_Scenario_X,Shipments!$F$5:$AQ$5,0))</f>
        <v>1.5841012874875866</v>
      </c>
      <c r="X99" s="530">
        <f ca="1">OFFSET(OFFSET(Shipments!$D$1,0,MATCH(X$7,Dates)),
MATCH(OFFSET($C97,((MATCH($C97,EL_List,0)-1)*-10)-3,0),Shipments!$C:$C,0)+
MATCH(OFFSET($C97,((MATCH($C97,EL_List,0)-1)*-10)-1,0),Shipments!$D:$D,0)+
MATCH($C97,EL_List,0)-10,
MATCH(Shipments_Scenario_X,Shipments!$F$5:$AQ$5,0))</f>
        <v>1.6633836051576782</v>
      </c>
      <c r="Y99" s="530">
        <f ca="1">OFFSET(OFFSET(Shipments!$D$1,0,MATCH(Y$7,Dates)),
MATCH(OFFSET($C97,((MATCH($C97,EL_List,0)-1)*-10)-3,0),Shipments!$C:$C,0)+
MATCH(OFFSET($C97,((MATCH($C97,EL_List,0)-1)*-10)-1,0),Shipments!$D:$D,0)+
MATCH($C97,EL_List,0)-10,
MATCH(Shipments_Scenario_X,Shipments!$F$5:$AQ$5,0))</f>
        <v>1.7464596077419801</v>
      </c>
      <c r="Z99" s="530">
        <f ca="1">OFFSET(OFFSET(Shipments!$D$1,0,MATCH(Z$7,Dates)),
MATCH(OFFSET($C97,((MATCH($C97,EL_List,0)-1)*-10)-3,0),Shipments!$C:$C,0)+
MATCH(OFFSET($C97,((MATCH($C97,EL_List,0)-1)*-10)-1,0),Shipments!$D:$D,0)+
MATCH($C97,EL_List,0)-10,
MATCH(Shipments_Scenario_X,Shipments!$F$5:$AQ$5,0))</f>
        <v>1.8335103512696049</v>
      </c>
      <c r="AA99" s="530">
        <f ca="1">OFFSET(OFFSET(Shipments!$D$1,0,MATCH(AA$7,Dates)),
MATCH(OFFSET($C97,((MATCH($C97,EL_List,0)-1)*-10)-3,0),Shipments!$C:$C,0)+
MATCH(OFFSET($C97,((MATCH($C97,EL_List,0)-1)*-10)-1,0),Shipments!$D:$D,0)+
MATCH($C97,EL_List,0)-10,
MATCH(Shipments_Scenario_X,Shipments!$F$5:$AQ$5,0))</f>
        <v>1.9247446857858388</v>
      </c>
      <c r="AB99" s="530">
        <f ca="1">OFFSET(OFFSET(Shipments!$D$1,0,MATCH(AB$7,Dates)),
MATCH(OFFSET($C97,((MATCH($C97,EL_List,0)-1)*-10)-3,0),Shipments!$C:$C,0)+
MATCH(OFFSET($C97,((MATCH($C97,EL_List,0)-1)*-10)-1,0),Shipments!$D:$D,0)+
MATCH($C97,EL_List,0)-10,
MATCH(Shipments_Scenario_X,Shipments!$F$5:$AQ$5,0))</f>
        <v>2.0204020242358212</v>
      </c>
      <c r="AC99" s="530">
        <f ca="1">OFFSET(OFFSET(Shipments!$D$1,0,MATCH(AC$7,Dates)),
MATCH(OFFSET($C97,((MATCH($C97,EL_List,0)-1)*-10)-3,0),Shipments!$C:$C,0)+
MATCH(OFFSET($C97,((MATCH($C97,EL_List,0)-1)*-10)-1,0),Shipments!$D:$D,0)+
MATCH($C97,EL_List,0)-10,
MATCH(Shipments_Scenario_X,Shipments!$F$5:$AQ$5,0))</f>
        <v>2.120724201546869</v>
      </c>
      <c r="AD99" s="530">
        <f ca="1">OFFSET(OFFSET(Shipments!$D$1,0,MATCH(AD$7,Dates)),
MATCH(OFFSET($C97,((MATCH($C97,EL_List,0)-1)*-10)-3,0),Shipments!$C:$C,0)+
MATCH(OFFSET($C97,((MATCH($C97,EL_List,0)-1)*-10)-1,0),Shipments!$D:$D,0)+
MATCH($C97,EL_List,0)-10,
MATCH(Shipments_Scenario_X,Shipments!$F$5:$AQ$5,0))</f>
        <v>2.2259544039373278</v>
      </c>
      <c r="AE99" s="530">
        <f ca="1">OFFSET(OFFSET(Shipments!$D$1,0,MATCH(AE$7,Dates)),
MATCH(OFFSET($C97,((MATCH($C97,EL_List,0)-1)*-10)-3,0),Shipments!$C:$C,0)+
MATCH(OFFSET($C97,((MATCH($C97,EL_List,0)-1)*-10)-1,0),Shipments!$D:$D,0)+
MATCH($C97,EL_List,0)-10,
MATCH(Shipments_Scenario_X,Shipments!$F$5:$AQ$5,0))</f>
        <v>2.3363358704706538</v>
      </c>
      <c r="AF99" s="530">
        <f ca="1">OFFSET(OFFSET(Shipments!$D$1,0,MATCH(AF$7,Dates)),
MATCH(OFFSET($C97,((MATCH($C97,EL_List,0)-1)*-10)-3,0),Shipments!$C:$C,0)+
MATCH(OFFSET($C97,((MATCH($C97,EL_List,0)-1)*-10)-1,0),Shipments!$D:$D,0)+
MATCH($C97,EL_List,0)-10,
MATCH(Shipments_Scenario_X,Shipments!$F$5:$AQ$5,0))</f>
        <v>2.4521142469036814</v>
      </c>
      <c r="AG99" s="530">
        <f ca="1">OFFSET(OFFSET(Shipments!$D$1,0,MATCH(AG$7,Dates)),
MATCH(OFFSET($C97,((MATCH($C97,EL_List,0)-1)*-10)-3,0),Shipments!$C:$C,0)+
MATCH(OFFSET($C97,((MATCH($C97,EL_List,0)-1)*-10)-1,0),Shipments!$D:$D,0)+
MATCH($C97,EL_List,0)-10,
MATCH(Shipments_Scenario_X,Shipments!$F$5:$AQ$5,0))</f>
        <v>2.5735428020404147</v>
      </c>
      <c r="AH99" s="530">
        <f ca="1">OFFSET(OFFSET(Shipments!$D$1,0,MATCH(AH$7,Dates)),
MATCH(OFFSET($C97,((MATCH($C97,EL_List,0)-1)*-10)-3,0),Shipments!$C:$C,0)+
MATCH(OFFSET($C97,((MATCH($C97,EL_List,0)-1)*-10)-1,0),Shipments!$D:$D,0)+
MATCH($C97,EL_List,0)-10,
MATCH(Shipments_Scenario_X,Shipments!$F$5:$AQ$5,0))</f>
        <v>2.7008871328337829</v>
      </c>
      <c r="AI99" s="530">
        <f ca="1">OFFSET(OFFSET(Shipments!$D$1,0,MATCH(AI$7,Dates)),
MATCH(OFFSET($C97,((MATCH($C97,EL_List,0)-1)*-10)-3,0),Shipments!$C:$C,0)+
MATCH(OFFSET($C97,((MATCH($C97,EL_List,0)-1)*-10)-1,0),Shipments!$D:$D,0)+
MATCH($C97,EL_List,0)-10,
MATCH(Shipments_Scenario_X,Shipments!$F$5:$AQ$5,0))</f>
        <v>2.8344287178526844</v>
      </c>
      <c r="AJ99" s="530">
        <f ca="1">OFFSET(OFFSET(Shipments!$D$1,0,MATCH(AJ$7,Dates)),
MATCH(OFFSET($C97,((MATCH($C97,EL_List,0)-1)*-10)-3,0),Shipments!$C:$C,0)+
MATCH(OFFSET($C97,((MATCH($C97,EL_List,0)-1)*-10)-1,0),Shipments!$D:$D,0)+
MATCH($C97,EL_List,0)-10,
MATCH(Shipments_Scenario_X,Shipments!$F$5:$AQ$5,0))</f>
        <v>2.9744668579525939</v>
      </c>
      <c r="AK99" s="530">
        <f ca="1">OFFSET(OFFSET(Shipments!$D$1,0,MATCH(AK$7,Dates)),
MATCH(OFFSET($C97,((MATCH($C97,EL_List,0)-1)*-10)-3,0),Shipments!$C:$C,0)+
MATCH(OFFSET($C97,((MATCH($C97,EL_List,0)-1)*-10)-1,0),Shipments!$D:$D,0)+
MATCH($C97,EL_List,0)-10,
MATCH(Shipments_Scenario_X,Shipments!$F$5:$AQ$5,0))</f>
        <v>3.1213188477977791</v>
      </c>
      <c r="AL99" s="530">
        <f ca="1">OFFSET(OFFSET(Shipments!$D$1,0,MATCH(AL$7,Dates)),
MATCH(OFFSET($C97,((MATCH($C97,EL_List,0)-1)*-10)-3,0),Shipments!$C:$C,0)+
MATCH(OFFSET($C97,((MATCH($C97,EL_List,0)-1)*-10)-1,0),Shipments!$D:$D,0)+
MATCH($C97,EL_List,0)-10,
MATCH(Shipments_Scenario_X,Shipments!$F$5:$AQ$5,0))</f>
        <v>3.2753193926526789</v>
      </c>
      <c r="AM99" s="530">
        <f ca="1">OFFSET(OFFSET(Shipments!$D$1,0,MATCH(AM$7,Dates)),
MATCH(OFFSET($C97,((MATCH($C97,EL_List,0)-1)*-10)-3,0),Shipments!$C:$C,0)+
MATCH(OFFSET($C97,((MATCH($C97,EL_List,0)-1)*-10)-1,0),Shipments!$D:$D,0)+
MATCH($C97,EL_List,0)-10,
MATCH(Shipments_Scenario_X,Shipments!$F$5:$AQ$5,0))</f>
        <v>3.4368202205592766</v>
      </c>
      <c r="AN99" s="530">
        <f ca="1">OFFSET(OFFSET(Shipments!$D$1,0,MATCH(AN$7,Dates)),
MATCH(OFFSET($C97,((MATCH($C97,EL_List,0)-1)*-10)-3,0),Shipments!$C:$C,0)+
MATCH(OFFSET($C97,((MATCH($C97,EL_List,0)-1)*-10)-1,0),Shipments!$D:$D,0)+
MATCH($C97,EL_List,0)-10,
MATCH(Shipments_Scenario_X,Shipments!$F$5:$AQ$5,0))</f>
        <v>3.6061886877956302</v>
      </c>
      <c r="AO99" s="436"/>
      <c r="AP99" s="21"/>
    </row>
    <row r="100" spans="2:42" ht="15" customHeight="1" x14ac:dyDescent="0.35">
      <c r="B100" s="429"/>
      <c r="C100" s="777" t="s">
        <v>79</v>
      </c>
      <c r="D100" s="776"/>
      <c r="E100" s="531">
        <f t="shared" ref="E100:AN100" ca="1" si="24">E98*E99</f>
        <v>44.425863283181798</v>
      </c>
      <c r="F100" s="531">
        <f t="shared" ca="1" si="24"/>
        <v>46.056189537819364</v>
      </c>
      <c r="G100" s="531">
        <f t="shared" ca="1" si="24"/>
        <v>47.49903416168857</v>
      </c>
      <c r="H100" s="531">
        <f t="shared" ca="1" si="24"/>
        <v>49.342352596549489</v>
      </c>
      <c r="I100" s="531">
        <f t="shared" ca="1" si="24"/>
        <v>51.412793292386709</v>
      </c>
      <c r="J100" s="531">
        <f t="shared" ca="1" si="24"/>
        <v>53.652334896225852</v>
      </c>
      <c r="K100" s="531">
        <f t="shared" ca="1" si="24"/>
        <v>56.129998919981077</v>
      </c>
      <c r="L100" s="531">
        <f t="shared" ca="1" si="24"/>
        <v>58.745840528293307</v>
      </c>
      <c r="M100" s="531">
        <f t="shared" ca="1" si="24"/>
        <v>61.461641432379018</v>
      </c>
      <c r="N100" s="531">
        <f t="shared" ca="1" si="24"/>
        <v>64.251682086468577</v>
      </c>
      <c r="O100" s="531">
        <f t="shared" ca="1" si="24"/>
        <v>67.18132326958046</v>
      </c>
      <c r="P100" s="531">
        <f t="shared" ca="1" si="24"/>
        <v>70.200551088345691</v>
      </c>
      <c r="Q100" s="531">
        <f t="shared" ca="1" si="24"/>
        <v>73.25273104480749</v>
      </c>
      <c r="R100" s="531">
        <f t="shared" ca="1" si="24"/>
        <v>76.508014068581048</v>
      </c>
      <c r="S100" s="531">
        <f t="shared" ca="1" si="24"/>
        <v>79.912028999113218</v>
      </c>
      <c r="T100" s="531">
        <f t="shared" ca="1" si="24"/>
        <v>83.474724763524108</v>
      </c>
      <c r="U100" s="531">
        <f t="shared" ca="1" si="24"/>
        <v>87.299391650653064</v>
      </c>
      <c r="V100" s="531">
        <f t="shared" ca="1" si="24"/>
        <v>91.194612652263416</v>
      </c>
      <c r="W100" s="531">
        <f t="shared" ca="1" si="24"/>
        <v>95.258107622484118</v>
      </c>
      <c r="X100" s="531">
        <f t="shared" ca="1" si="24"/>
        <v>99.598654663114615</v>
      </c>
      <c r="Y100" s="531">
        <f t="shared" ca="1" si="24"/>
        <v>104.12467803058701</v>
      </c>
      <c r="Z100" s="531">
        <f t="shared" ca="1" si="24"/>
        <v>108.72633508360879</v>
      </c>
      <c r="AA100" s="531">
        <f t="shared" ca="1" si="24"/>
        <v>113.64239252370355</v>
      </c>
      <c r="AB100" s="531">
        <f t="shared" ca="1" si="24"/>
        <v>118.77162008979417</v>
      </c>
      <c r="AC100" s="531">
        <f t="shared" ca="1" si="24"/>
        <v>124.12476597939815</v>
      </c>
      <c r="AD100" s="531">
        <f t="shared" ca="1" si="24"/>
        <v>129.71240880958916</v>
      </c>
      <c r="AE100" s="531">
        <f t="shared" ca="1" si="24"/>
        <v>135.5448805519124</v>
      </c>
      <c r="AF100" s="531">
        <f t="shared" ca="1" si="24"/>
        <v>141.6324024211838</v>
      </c>
      <c r="AG100" s="531">
        <f t="shared" ca="1" si="24"/>
        <v>147.98538174026672</v>
      </c>
      <c r="AH100" s="531">
        <f t="shared" ca="1" si="24"/>
        <v>154.61467150329531</v>
      </c>
      <c r="AI100" s="531">
        <f t="shared" ca="1" si="24"/>
        <v>161.53175706116096</v>
      </c>
      <c r="AJ100" s="531">
        <f t="shared" ca="1" si="24"/>
        <v>168.74884583585606</v>
      </c>
      <c r="AK100" s="531">
        <f t="shared" ca="1" si="24"/>
        <v>176.27885413170389</v>
      </c>
      <c r="AL100" s="531">
        <f t="shared" ca="1" si="24"/>
        <v>184.34555142481162</v>
      </c>
      <c r="AM100" s="531">
        <f t="shared" ref="AM100" ca="1" si="25">AM98*AM99</f>
        <v>192.55308026038892</v>
      </c>
      <c r="AN100" s="531">
        <f t="shared" ca="1" si="24"/>
        <v>201.24758070940567</v>
      </c>
      <c r="AO100" s="436"/>
      <c r="AP100" s="21"/>
    </row>
    <row r="101" spans="2:42" ht="15" customHeight="1" x14ac:dyDescent="0.35">
      <c r="B101" s="429"/>
      <c r="C101" s="777"/>
      <c r="D101" s="776"/>
      <c r="E101" s="776"/>
      <c r="F101" s="776"/>
      <c r="G101" s="776"/>
      <c r="H101" s="776"/>
      <c r="I101" s="776"/>
      <c r="J101" s="776"/>
      <c r="K101" s="776"/>
      <c r="L101" s="776"/>
      <c r="M101" s="776"/>
      <c r="N101" s="776"/>
      <c r="O101" s="776"/>
      <c r="P101" s="776"/>
      <c r="Q101" s="776"/>
      <c r="R101" s="776"/>
      <c r="S101" s="776"/>
      <c r="T101" s="776"/>
      <c r="U101" s="776"/>
      <c r="V101" s="776"/>
      <c r="W101" s="776"/>
      <c r="X101" s="776"/>
      <c r="Y101" s="776"/>
      <c r="Z101" s="776"/>
      <c r="AA101" s="776"/>
      <c r="AB101" s="776"/>
      <c r="AC101" s="776"/>
      <c r="AD101" s="776"/>
      <c r="AE101" s="776"/>
      <c r="AF101" s="776"/>
      <c r="AG101" s="776"/>
      <c r="AH101" s="776"/>
      <c r="AI101" s="776"/>
      <c r="AJ101" s="776"/>
      <c r="AK101" s="776"/>
      <c r="AL101" s="776"/>
      <c r="AM101" s="776"/>
      <c r="AN101" s="776"/>
      <c r="AO101" s="436"/>
      <c r="AP101" s="21"/>
    </row>
    <row r="102" spans="2:42" ht="15" customHeight="1" x14ac:dyDescent="0.35">
      <c r="B102" s="429"/>
      <c r="C102" s="777" t="s">
        <v>212</v>
      </c>
      <c r="D102" s="776"/>
      <c r="E102" s="532" cm="1">
        <f t="array" aca="1" ref="E102" ca="1">OFFSET(E102,-3,0)*
OFFSET(MSP!$D$1,
MATCH(OFFSET($C97,((MATCH($C97,EL_List,0)-1)*-10)-1,0),MSP!$C:$C,0)+MATCH($C97,EL_List,0)-1,0)
*INDEX(Learning!$E$6:$S$41,(MATCH(E$21,Dates,0)),(MATCH($C$86,Learning!$E$4:$S$4,0)+MATCH($C$97,Learning!$E$5:$S$5,0)-1))</f>
        <v>27.673571307928796</v>
      </c>
      <c r="F102" s="532" cm="1">
        <f t="array" aca="1" ref="F102" ca="1">OFFSET(F102,-3,0)*
OFFSET(MSP!$D$1,
MATCH(OFFSET($C97,((MATCH($C97,EL_List,0)-1)*-10)-1,0),MSP!$C:$C,0)+MATCH($C97,EL_List,0)-1,0)
*INDEX(Learning!$E$6:$S$41,(MATCH(F$21,Dates,0)),(MATCH($C$86,Learning!$E$4:$S$4,0)+MATCH($C$97,Learning!$E$5:$S$5,0)-1))</f>
        <v>28.689127259544509</v>
      </c>
      <c r="G102" s="532" cm="1">
        <f t="array" aca="1" ref="G102" ca="1">OFFSET(G102,-3,0)*
OFFSET(MSP!$D$1,
MATCH(OFFSET($C97,((MATCH($C97,EL_List,0)-1)*-10)-1,0),MSP!$C:$C,0)+MATCH($C97,EL_List,0)-1,0)
*INDEX(Learning!$E$6:$S$41,(MATCH(G$21,Dates,0)),(MATCH($C$86,Learning!$E$4:$S$4,0)+MATCH($C$97,Learning!$E$5:$S$5,0)-1))</f>
        <v>29.58789794477331</v>
      </c>
      <c r="H102" s="532" cm="1">
        <f t="array" aca="1" ref="H102" ca="1">OFFSET(H102,-3,0)*
OFFSET(MSP!$D$1,
MATCH(OFFSET($C97,((MATCH($C97,EL_List,0)-1)*-10)-1,0),MSP!$C:$C,0)+MATCH($C97,EL_List,0)-1,0)
*INDEX(Learning!$E$6:$S$41,(MATCH(H$21,Dates,0)),(MATCH($C$86,Learning!$E$4:$S$4,0)+MATCH($C$97,Learning!$E$5:$S$5,0)-1))</f>
        <v>30.736130086604408</v>
      </c>
      <c r="I102" s="532" cm="1">
        <f t="array" aca="1" ref="I102" ca="1">OFFSET(I102,-3,0)*
OFFSET(MSP!$D$1,
MATCH(OFFSET($C97,((MATCH($C97,EL_List,0)-1)*-10)-1,0),MSP!$C:$C,0)+MATCH($C97,EL_List,0)-1,0)
*INDEX(Learning!$E$6:$S$41,(MATCH(I$21,Dates,0)),(MATCH($C$86,Learning!$E$4:$S$4,0)+MATCH($C$97,Learning!$E$5:$S$5,0)-1))</f>
        <v>32.025840268933699</v>
      </c>
      <c r="J102" s="532" cm="1">
        <f t="array" aca="1" ref="J102" ca="1">OFFSET(J102,-3,0)*
OFFSET(MSP!$D$1,
MATCH(OFFSET($C97,((MATCH($C97,EL_List,0)-1)*-10)-1,0),MSP!$C:$C,0)+MATCH($C97,EL_List,0)-1,0)
*INDEX(Learning!$E$6:$S$41,(MATCH(J$21,Dates,0)),(MATCH($C$86,Learning!$E$4:$S$4,0)+MATCH($C$97,Learning!$E$5:$S$5,0)-1))</f>
        <v>33.420886075379023</v>
      </c>
      <c r="K102" s="532" cm="1">
        <f t="array" aca="1" ref="K102" ca="1">OFFSET(K102,-3,0)*
OFFSET(MSP!$D$1,
MATCH(OFFSET($C97,((MATCH($C97,EL_List,0)-1)*-10)-1,0),MSP!$C:$C,0)+MATCH($C97,EL_List,0)-1,0)
*INDEX(Learning!$E$6:$S$41,(MATCH(K$21,Dates,0)),(MATCH($C$86,Learning!$E$4:$S$4,0)+MATCH($C$97,Learning!$E$5:$S$5,0)-1))</f>
        <v>34.964262094915746</v>
      </c>
      <c r="L102" s="532" cm="1">
        <f t="array" aca="1" ref="L102" ca="1">OFFSET(L102,-3,0)*
OFFSET(MSP!$D$1,
MATCH(OFFSET($C97,((MATCH($C97,EL_List,0)-1)*-10)-1,0),MSP!$C:$C,0)+MATCH($C97,EL_List,0)-1,0)
*INDEX(Learning!$E$6:$S$41,(MATCH(L$21,Dates,0)),(MATCH($C$86,Learning!$E$4:$S$4,0)+MATCH($C$97,Learning!$E$5:$S$5,0)-1))</f>
        <v>36.59371111240462</v>
      </c>
      <c r="M102" s="532" cm="1">
        <f t="array" aca="1" ref="M102" ca="1">OFFSET(M102,-3,0)*
OFFSET(MSP!$D$1,
MATCH(OFFSET($C97,((MATCH($C97,EL_List,0)-1)*-10)-1,0),MSP!$C:$C,0)+MATCH($C97,EL_List,0)-1,0)
*INDEX(Learning!$E$6:$S$41,(MATCH(M$21,Dates,0)),(MATCH($C$86,Learning!$E$4:$S$4,0)+MATCH($C$97,Learning!$E$5:$S$5,0)-1))</f>
        <v>38.28542635265309</v>
      </c>
      <c r="N102" s="532" cm="1">
        <f t="array" aca="1" ref="N102" ca="1">OFFSET(N102,-3,0)*
OFFSET(MSP!$D$1,
MATCH(OFFSET($C97,((MATCH($C97,EL_List,0)-1)*-10)-1,0),MSP!$C:$C,0)+MATCH($C97,EL_List,0)-1,0)
*INDEX(Learning!$E$6:$S$41,(MATCH(N$21,Dates,0)),(MATCH($C$86,Learning!$E$4:$S$4,0)+MATCH($C$97,Learning!$E$5:$S$5,0)-1))</f>
        <v>40.023386704730186</v>
      </c>
      <c r="O102" s="532" cm="1">
        <f t="array" aca="1" ref="O102" ca="1">OFFSET(O102,-3,0)*
OFFSET(MSP!$D$1,
MATCH(OFFSET($C97,((MATCH($C97,EL_List,0)-1)*-10)-1,0),MSP!$C:$C,0)+MATCH($C97,EL_List,0)-1,0)
*INDEX(Learning!$E$6:$S$41,(MATCH(O$21,Dates,0)),(MATCH($C$86,Learning!$E$4:$S$4,0)+MATCH($C$97,Learning!$E$5:$S$5,0)-1))</f>
        <v>41.848306429321873</v>
      </c>
      <c r="P102" s="532" cm="1">
        <f t="array" aca="1" ref="P102" ca="1">OFFSET(P102,-3,0)*
OFFSET(MSP!$D$1,
MATCH(OFFSET($C97,((MATCH($C97,EL_List,0)-1)*-10)-1,0),MSP!$C:$C,0)+MATCH($C97,EL_List,0)-1,0)
*INDEX(Learning!$E$6:$S$41,(MATCH(P$21,Dates,0)),(MATCH($C$86,Learning!$E$4:$S$4,0)+MATCH($C$97,Learning!$E$5:$S$5,0)-1))</f>
        <v>43.729031082997025</v>
      </c>
      <c r="Q102" s="532" cm="1">
        <f t="array" aca="1" ref="Q102" ca="1">OFFSET(Q102,-3,0)*
OFFSET(MSP!$D$1,
MATCH(OFFSET($C97,((MATCH($C97,EL_List,0)-1)*-10)-1,0),MSP!$C:$C,0)+MATCH($C97,EL_List,0)-1,0)
*INDEX(Learning!$E$6:$S$41,(MATCH(Q$21,Dates,0)),(MATCH($C$86,Learning!$E$4:$S$4,0)+MATCH($C$97,Learning!$E$5:$S$5,0)-1))</f>
        <v>45.630282143249396</v>
      </c>
      <c r="R102" s="532" cm="1">
        <f t="array" aca="1" ref="R102" ca="1">OFFSET(R102,-3,0)*
OFFSET(MSP!$D$1,
MATCH(OFFSET($C97,((MATCH($C97,EL_List,0)-1)*-10)-1,0),MSP!$C:$C,0)+MATCH($C97,EL_List,0)-1,0)
*INDEX(Learning!$E$6:$S$41,(MATCH(R$21,Dates,0)),(MATCH($C$86,Learning!$E$4:$S$4,0)+MATCH($C$97,Learning!$E$5:$S$5,0)-1))</f>
        <v>47.658049309227941</v>
      </c>
      <c r="S102" s="532" cm="1">
        <f t="array" aca="1" ref="S102" ca="1">OFFSET(S102,-3,0)*
OFFSET(MSP!$D$1,
MATCH(OFFSET($C97,((MATCH($C97,EL_List,0)-1)*-10)-1,0),MSP!$C:$C,0)+MATCH($C97,EL_List,0)-1,0)
*INDEX(Learning!$E$6:$S$41,(MATCH(S$21,Dates,0)),(MATCH($C$86,Learning!$E$4:$S$4,0)+MATCH($C$97,Learning!$E$5:$S$5,0)-1))</f>
        <v>49.778463927012034</v>
      </c>
      <c r="T102" s="532" cm="1">
        <f t="array" aca="1" ref="T102" ca="1">OFFSET(T102,-3,0)*
OFFSET(MSP!$D$1,
MATCH(OFFSET($C97,((MATCH($C97,EL_List,0)-1)*-10)-1,0),MSP!$C:$C,0)+MATCH($C97,EL_List,0)-1,0)
*INDEX(Learning!$E$6:$S$41,(MATCH(T$21,Dates,0)),(MATCH($C$86,Learning!$E$4:$S$4,0)+MATCH($C$97,Learning!$E$5:$S$5,0)-1))</f>
        <v>51.997723340305299</v>
      </c>
      <c r="U102" s="532" cm="1">
        <f t="array" aca="1" ref="U102" ca="1">OFFSET(U102,-3,0)*
OFFSET(MSP!$D$1,
MATCH(OFFSET($C97,((MATCH($C97,EL_List,0)-1)*-10)-1,0),MSP!$C:$C,0)+MATCH($C97,EL_List,0)-1,0)
*INDEX(Learning!$E$6:$S$41,(MATCH(U$21,Dates,0)),(MATCH($C$86,Learning!$E$4:$S$4,0)+MATCH($C$97,Learning!$E$5:$S$5,0)-1))</f>
        <v>54.380168700013265</v>
      </c>
      <c r="V102" s="532" cm="1">
        <f t="array" aca="1" ref="V102" ca="1">OFFSET(V102,-3,0)*
OFFSET(MSP!$D$1,
MATCH(OFFSET($C97,((MATCH($C97,EL_List,0)-1)*-10)-1,0),MSP!$C:$C,0)+MATCH($C97,EL_List,0)-1,0)
*INDEX(Learning!$E$6:$S$41,(MATCH(V$21,Dates,0)),(MATCH($C$86,Learning!$E$4:$S$4,0)+MATCH($C$97,Learning!$E$5:$S$5,0)-1))</f>
        <v>56.806563331021231</v>
      </c>
      <c r="W102" s="532" cm="1">
        <f t="array" aca="1" ref="W102" ca="1">OFFSET(W102,-3,0)*
OFFSET(MSP!$D$1,
MATCH(OFFSET($C97,((MATCH($C97,EL_List,0)-1)*-10)-1,0),MSP!$C:$C,0)+MATCH($C97,EL_List,0)-1,0)
*INDEX(Learning!$E$6:$S$41,(MATCH(W$21,Dates,0)),(MATCH($C$86,Learning!$E$4:$S$4,0)+MATCH($C$97,Learning!$E$5:$S$5,0)-1))</f>
        <v>59.33777847254855</v>
      </c>
      <c r="X102" s="532" cm="1">
        <f t="array" aca="1" ref="X102" ca="1">OFFSET(X102,-3,0)*
OFFSET(MSP!$D$1,
MATCH(OFFSET($C97,((MATCH($C97,EL_List,0)-1)*-10)-1,0),MSP!$C:$C,0)+MATCH($C97,EL_List,0)-1,0)
*INDEX(Learning!$E$6:$S$41,(MATCH(X$21,Dates,0)),(MATCH($C$86,Learning!$E$4:$S$4,0)+MATCH($C$97,Learning!$E$5:$S$5,0)-1))</f>
        <v>62.041573720794872</v>
      </c>
      <c r="Y102" s="532" cm="1">
        <f t="array" aca="1" ref="Y102" ca="1">OFFSET(Y102,-3,0)*
OFFSET(MSP!$D$1,
MATCH(OFFSET($C97,((MATCH($C97,EL_List,0)-1)*-10)-1,0),MSP!$C:$C,0)+MATCH($C97,EL_List,0)-1,0)
*INDEX(Learning!$E$6:$S$41,(MATCH(Y$21,Dates,0)),(MATCH($C$86,Learning!$E$4:$S$4,0)+MATCH($C$97,Learning!$E$5:$S$5,0)-1))</f>
        <v>64.860905099967297</v>
      </c>
      <c r="Z102" s="532" cm="1">
        <f t="array" aca="1" ref="Z102" ca="1">OFFSET(Z102,-3,0)*
OFFSET(MSP!$D$1,
MATCH(OFFSET($C97,((MATCH($C97,EL_List,0)-1)*-10)-1,0),MSP!$C:$C,0)+MATCH($C97,EL_List,0)-1,0)
*INDEX(Learning!$E$6:$S$41,(MATCH(Z$21,Dates,0)),(MATCH($C$86,Learning!$E$4:$S$4,0)+MATCH($C$97,Learning!$E$5:$S$5,0)-1))</f>
        <v>67.727349895416893</v>
      </c>
      <c r="AA102" s="532" cm="1">
        <f t="array" aca="1" ref="AA102" ca="1">OFFSET(AA102,-3,0)*
OFFSET(MSP!$D$1,
MATCH(OFFSET($C97,((MATCH($C97,EL_List,0)-1)*-10)-1,0),MSP!$C:$C,0)+MATCH($C97,EL_List,0)-1,0)
*INDEX(Learning!$E$6:$S$41,(MATCH(AA$21,Dates,0)),(MATCH($C$86,Learning!$E$4:$S$4,0)+MATCH($C$97,Learning!$E$5:$S$5,0)-1))</f>
        <v>70.789639653415549</v>
      </c>
      <c r="AB102" s="532" cm="1">
        <f t="array" aca="1" ref="AB102" ca="1">OFFSET(AB102,-3,0)*
OFFSET(MSP!$D$1,
MATCH(OFFSET($C97,((MATCH($C97,EL_List,0)-1)*-10)-1,0),MSP!$C:$C,0)+MATCH($C97,EL_List,0)-1,0)
*INDEX(Learning!$E$6:$S$41,(MATCH(AB$21,Dates,0)),(MATCH($C$86,Learning!$E$4:$S$4,0)+MATCH($C$97,Learning!$E$5:$S$5,0)-1))</f>
        <v>73.984716446859395</v>
      </c>
      <c r="AC102" s="532" cm="1">
        <f t="array" aca="1" ref="AC102" ca="1">OFFSET(AC102,-3,0)*
OFFSET(MSP!$D$1,
MATCH(OFFSET($C97,((MATCH($C97,EL_List,0)-1)*-10)-1,0),MSP!$C:$C,0)+MATCH($C97,EL_List,0)-1,0)
*INDEX(Learning!$E$6:$S$41,(MATCH(AC$21,Dates,0)),(MATCH($C$86,Learning!$E$4:$S$4,0)+MATCH($C$97,Learning!$E$5:$S$5,0)-1))</f>
        <v>77.319275497595569</v>
      </c>
      <c r="AD102" s="532" cm="1">
        <f t="array" aca="1" ref="AD102" ca="1">OFFSET(AD102,-3,0)*
OFFSET(MSP!$D$1,
MATCH(OFFSET($C97,((MATCH($C97,EL_List,0)-1)*-10)-1,0),MSP!$C:$C,0)+MATCH($C97,EL_List,0)-1,0)
*INDEX(Learning!$E$6:$S$41,(MATCH(AD$21,Dates,0)),(MATCH($C$86,Learning!$E$4:$S$4,0)+MATCH($C$97,Learning!$E$5:$S$5,0)-1))</f>
        <v>80.799906393136695</v>
      </c>
      <c r="AE102" s="532" cm="1">
        <f t="array" aca="1" ref="AE102" ca="1">OFFSET(AE102,-3,0)*
OFFSET(MSP!$D$1,
MATCH(OFFSET($C97,((MATCH($C97,EL_List,0)-1)*-10)-1,0),MSP!$C:$C,0)+MATCH($C97,EL_List,0)-1,0)
*INDEX(Learning!$E$6:$S$41,(MATCH(AE$21,Dates,0)),(MATCH($C$86,Learning!$E$4:$S$4,0)+MATCH($C$97,Learning!$E$5:$S$5,0)-1))</f>
        <v>84.433045081603424</v>
      </c>
      <c r="AF102" s="532" cm="1">
        <f t="array" aca="1" ref="AF102" ca="1">OFFSET(AF102,-3,0)*
OFFSET(MSP!$D$1,
MATCH(OFFSET($C97,((MATCH($C97,EL_List,0)-1)*-10)-1,0),MSP!$C:$C,0)+MATCH($C97,EL_List,0)-1,0)
*INDEX(Learning!$E$6:$S$41,(MATCH(AF$21,Dates,0)),(MATCH($C$86,Learning!$E$4:$S$4,0)+MATCH($C$97,Learning!$E$5:$S$5,0)-1))</f>
        <v>88.225058519002005</v>
      </c>
      <c r="AG102" s="532" cm="1">
        <f t="array" aca="1" ref="AG102" ca="1">OFFSET(AG102,-3,0)*
OFFSET(MSP!$D$1,
MATCH(OFFSET($C97,((MATCH($C97,EL_List,0)-1)*-10)-1,0),MSP!$C:$C,0)+MATCH($C97,EL_List,0)-1,0)
*INDEX(Learning!$E$6:$S$41,(MATCH(AG$21,Dates,0)),(MATCH($C$86,Learning!$E$4:$S$4,0)+MATCH($C$97,Learning!$E$5:$S$5,0)-1))</f>
        <v>92.182429590978316</v>
      </c>
      <c r="AH102" s="532" cm="1">
        <f t="array" aca="1" ref="AH102" ca="1">OFFSET(AH102,-3,0)*
OFFSET(MSP!$D$1,
MATCH(OFFSET($C97,((MATCH($C97,EL_List,0)-1)*-10)-1,0),MSP!$C:$C,0)+MATCH($C97,EL_List,0)-1,0)
*INDEX(Learning!$E$6:$S$41,(MATCH(AH$21,Dates,0)),(MATCH($C$86,Learning!$E$4:$S$4,0)+MATCH($C$97,Learning!$E$5:$S$5,0)-1))</f>
        <v>96.311918798845767</v>
      </c>
      <c r="AI102" s="532" cm="1">
        <f t="array" aca="1" ref="AI102" ca="1">OFFSET(AI102,-3,0)*
OFFSET(MSP!$D$1,
MATCH(OFFSET($C97,((MATCH($C97,EL_List,0)-1)*-10)-1,0),MSP!$C:$C,0)+MATCH($C97,EL_List,0)-1,0)
*INDEX(Learning!$E$6:$S$41,(MATCH(AI$21,Dates,0)),(MATCH($C$86,Learning!$E$4:$S$4,0)+MATCH($C$97,Learning!$E$5:$S$5,0)-1))</f>
        <v>100.62068054892087</v>
      </c>
      <c r="AJ102" s="532" cm="1">
        <f t="array" aca="1" ref="AJ102" ca="1">OFFSET(AJ102,-3,0)*
OFFSET(MSP!$D$1,
MATCH(OFFSET($C97,((MATCH($C97,EL_List,0)-1)*-10)-1,0),MSP!$C:$C,0)+MATCH($C97,EL_List,0)-1,0)
*INDEX(Learning!$E$6:$S$41,(MATCH(AJ$21,Dates,0)),(MATCH($C$86,Learning!$E$4:$S$4,0)+MATCH($C$97,Learning!$E$5:$S$5,0)-1))</f>
        <v>105.11631903700369</v>
      </c>
      <c r="AK102" s="532" cm="1">
        <f t="array" aca="1" ref="AK102" ca="1">OFFSET(AK102,-3,0)*
OFFSET(MSP!$D$1,
MATCH(OFFSET($C97,((MATCH($C97,EL_List,0)-1)*-10)-1,0),MSP!$C:$C,0)+MATCH($C97,EL_List,0)-1,0)
*INDEX(Learning!$E$6:$S$41,(MATCH(AK$21,Dates,0)),(MATCH($C$86,Learning!$E$4:$S$4,0)+MATCH($C$97,Learning!$E$5:$S$5,0)-1))</f>
        <v>109.80688003288482</v>
      </c>
      <c r="AL102" s="532" cm="1">
        <f t="array" aca="1" ref="AL102" ca="1">OFFSET(AL102,-3,0)*
OFFSET(MSP!$D$1,
MATCH(OFFSET($C97,((MATCH($C97,EL_List,0)-1)*-10)-1,0),MSP!$C:$C,0)+MATCH($C97,EL_List,0)-1,0)
*INDEX(Learning!$E$6:$S$41,(MATCH(AL$21,Dates,0)),(MATCH($C$86,Learning!$E$4:$S$4,0)+MATCH($C$97,Learning!$E$5:$S$5,0)-1))</f>
        <v>114.83175307445839</v>
      </c>
      <c r="AM102" s="532" cm="1">
        <f t="array" aca="1" ref="AM102" ca="1">OFFSET(AM102,-3,0)*
OFFSET(MSP!$D$1,
MATCH(OFFSET($C97,((MATCH($C97,EL_List,0)-1)*-10)-1,0),MSP!$C:$C,0)+MATCH($C97,EL_List,0)-1,0)
*INDEX(Learning!$E$6:$S$41,(MATCH(AM$21,Dates,0)),(MATCH($C$86,Learning!$E$4:$S$4,0)+MATCH($C$97,Learning!$E$5:$S$5,0)-1))</f>
        <v>119.94435230624902</v>
      </c>
      <c r="AN102" s="532" cm="1">
        <f t="array" aca="1" ref="AN102" ca="1">OFFSET(AN102,-3,0)*
OFFSET(MSP!$D$1,
MATCH(OFFSET($C97,((MATCH($C97,EL_List,0)-1)*-10)-1,0),MSP!$C:$C,0)+MATCH($C97,EL_List,0)-1,0)
*INDEX(Learning!$E$6:$S$41,(MATCH(AN$21,Dates,0)),(MATCH($C$86,Learning!$E$4:$S$4,0)+MATCH($C$97,Learning!$E$5:$S$5,0)-1))</f>
        <v>125.36029384077786</v>
      </c>
      <c r="AO102" s="436"/>
      <c r="AP102" s="21"/>
    </row>
    <row r="103" spans="2:42" ht="15" customHeight="1" x14ac:dyDescent="0.35">
      <c r="B103" s="429"/>
      <c r="C103" s="777" t="s">
        <v>213</v>
      </c>
      <c r="D103" s="776"/>
      <c r="E103" s="533" cm="1">
        <f t="array" aca="1" ref="E103" ca="1">OFFSET(E103,-4,0)*
OFFSET(MSP!$E$1,
MATCH(OFFSET($C97,((MATCH($C97,EL_List,0)-1)*-10)-1,0),MSP!$C:$C,0)+MATCH($C97,EL_List,0)-1,0)
*INDEX(Learning!$E$6:$S$41,(MATCH(E$21,Dates,0)),(MATCH($C$86,Learning!$E$4:$S$4,0)+MATCH($C$97,Learning!$E$5:$S$5,0)-1))</f>
        <v>0.62132281516673327</v>
      </c>
      <c r="F103" s="533" cm="1">
        <f t="array" aca="1" ref="F103" ca="1">OFFSET(F103,-4,0)*
OFFSET(MSP!$E$1,
MATCH(OFFSET($C97,((MATCH($C97,EL_List,0)-1)*-10)-1,0),MSP!$C:$C,0)+MATCH($C97,EL_List,0)-1,0)
*INDEX(Learning!$E$6:$S$41,(MATCH(F$21,Dates,0)),(MATCH($C$86,Learning!$E$4:$S$4,0)+MATCH($C$97,Learning!$E$5:$S$5,0)-1))</f>
        <v>0.64412392297447119</v>
      </c>
      <c r="G103" s="533" cm="1">
        <f t="array" aca="1" ref="G103" ca="1">OFFSET(G103,-4,0)*
OFFSET(MSP!$E$1,
MATCH(OFFSET($C97,((MATCH($C97,EL_List,0)-1)*-10)-1,0),MSP!$C:$C,0)+MATCH($C97,EL_List,0)-1,0)
*INDEX(Learning!$E$6:$S$41,(MATCH(G$21,Dates,0)),(MATCH($C$86,Learning!$E$4:$S$4,0)+MATCH($C$97,Learning!$E$5:$S$5,0)-1))</f>
        <v>0.6643029857387952</v>
      </c>
      <c r="H103" s="533" cm="1">
        <f t="array" aca="1" ref="H103" ca="1">OFFSET(H103,-4,0)*
OFFSET(MSP!$E$1,
MATCH(OFFSET($C97,((MATCH($C97,EL_List,0)-1)*-10)-1,0),MSP!$C:$C,0)+MATCH($C97,EL_List,0)-1,0)
*INDEX(Learning!$E$6:$S$41,(MATCH(H$21,Dates,0)),(MATCH($C$86,Learning!$E$4:$S$4,0)+MATCH($C$97,Learning!$E$5:$S$5,0)-1))</f>
        <v>0.69008291919548725</v>
      </c>
      <c r="I103" s="533" cm="1">
        <f t="array" aca="1" ref="I103" ca="1">OFFSET(I103,-4,0)*
OFFSET(MSP!$E$1,
MATCH(OFFSET($C97,((MATCH($C97,EL_List,0)-1)*-10)-1,0),MSP!$C:$C,0)+MATCH($C97,EL_List,0)-1,0)
*INDEX(Learning!$E$6:$S$41,(MATCH(I$21,Dates,0)),(MATCH($C$86,Learning!$E$4:$S$4,0)+MATCH($C$97,Learning!$E$5:$S$5,0)-1))</f>
        <v>0.71903929610533868</v>
      </c>
      <c r="J103" s="533" cm="1">
        <f t="array" aca="1" ref="J103" ca="1">OFFSET(J103,-4,0)*
OFFSET(MSP!$E$1,
MATCH(OFFSET($C97,((MATCH($C97,EL_List,0)-1)*-10)-1,0),MSP!$C:$C,0)+MATCH($C97,EL_List,0)-1,0)
*INDEX(Learning!$E$6:$S$41,(MATCH(J$21,Dates,0)),(MATCH($C$86,Learning!$E$4:$S$4,0)+MATCH($C$97,Learning!$E$5:$S$5,0)-1))</f>
        <v>0.75036065243128613</v>
      </c>
      <c r="K103" s="533" cm="1">
        <f t="array" aca="1" ref="K103" ca="1">OFFSET(K103,-4,0)*
OFFSET(MSP!$E$1,
MATCH(OFFSET($C97,((MATCH($C97,EL_List,0)-1)*-10)-1,0),MSP!$C:$C,0)+MATCH($C97,EL_List,0)-1,0)
*INDEX(Learning!$E$6:$S$41,(MATCH(K$21,Dates,0)),(MATCH($C$86,Learning!$E$4:$S$4,0)+MATCH($C$97,Learning!$E$5:$S$5,0)-1))</f>
        <v>0.78501229614756496</v>
      </c>
      <c r="L103" s="533" cm="1">
        <f t="array" aca="1" ref="L103" ca="1">OFFSET(L103,-4,0)*
OFFSET(MSP!$E$1,
MATCH(OFFSET($C97,((MATCH($C97,EL_List,0)-1)*-10)-1,0),MSP!$C:$C,0)+MATCH($C97,EL_List,0)-1,0)
*INDEX(Learning!$E$6:$S$41,(MATCH(L$21,Dates,0)),(MATCH($C$86,Learning!$E$4:$S$4,0)+MATCH($C$97,Learning!$E$5:$S$5,0)-1))</f>
        <v>0.82159643772624114</v>
      </c>
      <c r="M103" s="533" cm="1">
        <f t="array" aca="1" ref="M103" ca="1">OFFSET(M103,-4,0)*
OFFSET(MSP!$E$1,
MATCH(OFFSET($C97,((MATCH($C97,EL_List,0)-1)*-10)-1,0),MSP!$C:$C,0)+MATCH($C97,EL_List,0)-1,0)
*INDEX(Learning!$E$6:$S$41,(MATCH(M$21,Dates,0)),(MATCH($C$86,Learning!$E$4:$S$4,0)+MATCH($C$97,Learning!$E$5:$S$5,0)-1))</f>
        <v>0.85957857107057356</v>
      </c>
      <c r="N103" s="533" cm="1">
        <f t="array" aca="1" ref="N103" ca="1">OFFSET(N103,-4,0)*
OFFSET(MSP!$E$1,
MATCH(OFFSET($C97,((MATCH($C97,EL_List,0)-1)*-10)-1,0),MSP!$C:$C,0)+MATCH($C97,EL_List,0)-1,0)
*INDEX(Learning!$E$6:$S$41,(MATCH(N$21,Dates,0)),(MATCH($C$86,Learning!$E$4:$S$4,0)+MATCH($C$97,Learning!$E$5:$S$5,0)-1))</f>
        <v>0.89859899263399223</v>
      </c>
      <c r="O103" s="533" cm="1">
        <f t="array" aca="1" ref="O103" ca="1">OFFSET(O103,-4,0)*
OFFSET(MSP!$E$1,
MATCH(OFFSET($C97,((MATCH($C97,EL_List,0)-1)*-10)-1,0),MSP!$C:$C,0)+MATCH($C97,EL_List,0)-1,0)
*INDEX(Learning!$E$6:$S$41,(MATCH(O$21,Dates,0)),(MATCH($C$86,Learning!$E$4:$S$4,0)+MATCH($C$97,Learning!$E$5:$S$5,0)-1))</f>
        <v>0.93957181280670843</v>
      </c>
      <c r="P103" s="533" cm="1">
        <f t="array" aca="1" ref="P103" ca="1">OFFSET(P103,-4,0)*
OFFSET(MSP!$E$1,
MATCH(OFFSET($C97,((MATCH($C97,EL_List,0)-1)*-10)-1,0),MSP!$C:$C,0)+MATCH($C97,EL_List,0)-1,0)
*INDEX(Learning!$E$6:$S$41,(MATCH(P$21,Dates,0)),(MATCH($C$86,Learning!$E$4:$S$4,0)+MATCH($C$97,Learning!$E$5:$S$5,0)-1))</f>
        <v>0.98179755676192126</v>
      </c>
      <c r="Q103" s="533" cm="1">
        <f t="array" aca="1" ref="Q103" ca="1">OFFSET(Q103,-4,0)*
OFFSET(MSP!$E$1,
MATCH(OFFSET($C97,((MATCH($C97,EL_List,0)-1)*-10)-1,0),MSP!$C:$C,0)+MATCH($C97,EL_List,0)-1,0)
*INDEX(Learning!$E$6:$S$41,(MATCH(Q$21,Dates,0)),(MATCH($C$86,Learning!$E$4:$S$4,0)+MATCH($C$97,Learning!$E$5:$S$5,0)-1))</f>
        <v>1.0244841564765119</v>
      </c>
      <c r="R103" s="533" cm="1">
        <f t="array" aca="1" ref="R103" ca="1">OFFSET(R103,-4,0)*
OFFSET(MSP!$E$1,
MATCH(OFFSET($C97,((MATCH($C97,EL_List,0)-1)*-10)-1,0),MSP!$C:$C,0)+MATCH($C97,EL_List,0)-1,0)
*INDEX(Learning!$E$6:$S$41,(MATCH(R$21,Dates,0)),(MATCH($C$86,Learning!$E$4:$S$4,0)+MATCH($C$97,Learning!$E$5:$S$5,0)-1))</f>
        <v>1.070011276559762</v>
      </c>
      <c r="S103" s="533" cm="1">
        <f t="array" aca="1" ref="S103" ca="1">OFFSET(S103,-4,0)*
OFFSET(MSP!$E$1,
MATCH(OFFSET($C97,((MATCH($C97,EL_List,0)-1)*-10)-1,0),MSP!$C:$C,0)+MATCH($C97,EL_List,0)-1,0)
*INDEX(Learning!$E$6:$S$41,(MATCH(S$21,Dates,0)),(MATCH($C$86,Learning!$E$4:$S$4,0)+MATCH($C$97,Learning!$E$5:$S$5,0)-1))</f>
        <v>1.117618503143663</v>
      </c>
      <c r="T103" s="533" cm="1">
        <f t="array" aca="1" ref="T103" ca="1">OFFSET(T103,-4,0)*
OFFSET(MSP!$E$1,
MATCH(OFFSET($C97,((MATCH($C97,EL_List,0)-1)*-10)-1,0),MSP!$C:$C,0)+MATCH($C97,EL_List,0)-1,0)
*INDEX(Learning!$E$6:$S$41,(MATCH(T$21,Dates,0)),(MATCH($C$86,Learning!$E$4:$S$4,0)+MATCH($C$97,Learning!$E$5:$S$5,0)-1))</f>
        <v>1.1674449780467262</v>
      </c>
      <c r="U103" s="533" cm="1">
        <f t="array" aca="1" ref="U103" ca="1">OFFSET(U103,-4,0)*
OFFSET(MSP!$E$1,
MATCH(OFFSET($C97,((MATCH($C97,EL_List,0)-1)*-10)-1,0),MSP!$C:$C,0)+MATCH($C97,EL_List,0)-1,0)
*INDEX(Learning!$E$6:$S$41,(MATCH(U$21,Dates,0)),(MATCH($C$86,Learning!$E$4:$S$4,0)+MATCH($C$97,Learning!$E$5:$S$5,0)-1))</f>
        <v>1.2209352790058423</v>
      </c>
      <c r="V103" s="533" cm="1">
        <f t="array" aca="1" ref="V103" ca="1">OFFSET(V103,-4,0)*
OFFSET(MSP!$E$1,
MATCH(OFFSET($C97,((MATCH($C97,EL_List,0)-1)*-10)-1,0),MSP!$C:$C,0)+MATCH($C97,EL_List,0)-1,0)
*INDEX(Learning!$E$6:$S$41,(MATCH(V$21,Dates,0)),(MATCH($C$86,Learning!$E$4:$S$4,0)+MATCH($C$97,Learning!$E$5:$S$5,0)-1))</f>
        <v>1.2754123223215845</v>
      </c>
      <c r="W103" s="533" cm="1">
        <f t="array" aca="1" ref="W103" ca="1">OFFSET(W103,-4,0)*
OFFSET(MSP!$E$1,
MATCH(OFFSET($C97,((MATCH($C97,EL_List,0)-1)*-10)-1,0),MSP!$C:$C,0)+MATCH($C97,EL_List,0)-1,0)
*INDEX(Learning!$E$6:$S$41,(MATCH(W$21,Dates,0)),(MATCH($C$86,Learning!$E$4:$S$4,0)+MATCH($C$97,Learning!$E$5:$S$5,0)-1))</f>
        <v>1.3322427798012746</v>
      </c>
      <c r="X103" s="533" cm="1">
        <f t="array" aca="1" ref="X103" ca="1">OFFSET(X103,-4,0)*
OFFSET(MSP!$E$1,
MATCH(OFFSET($C97,((MATCH($C97,EL_List,0)-1)*-10)-1,0),MSP!$C:$C,0)+MATCH($C97,EL_List,0)-1,0)
*INDEX(Learning!$E$6:$S$41,(MATCH(X$21,Dates,0)),(MATCH($C$86,Learning!$E$4:$S$4,0)+MATCH($C$97,Learning!$E$5:$S$5,0)-1))</f>
        <v>1.3929479795957629</v>
      </c>
      <c r="Y103" s="533" cm="1">
        <f t="array" aca="1" ref="Y103" ca="1">OFFSET(Y103,-4,0)*
OFFSET(MSP!$E$1,
MATCH(OFFSET($C97,((MATCH($C97,EL_List,0)-1)*-10)-1,0),MSP!$C:$C,0)+MATCH($C97,EL_List,0)-1,0)
*INDEX(Learning!$E$6:$S$41,(MATCH(Y$21,Dates,0)),(MATCH($C$86,Learning!$E$4:$S$4,0)+MATCH($C$97,Learning!$E$5:$S$5,0)-1))</f>
        <v>1.4562471790342335</v>
      </c>
      <c r="Z103" s="533" cm="1">
        <f t="array" aca="1" ref="Z103" ca="1">OFFSET(Z103,-4,0)*
OFFSET(MSP!$E$1,
MATCH(OFFSET($C97,((MATCH($C97,EL_List,0)-1)*-10)-1,0),MSP!$C:$C,0)+MATCH($C97,EL_List,0)-1,0)
*INDEX(Learning!$E$6:$S$41,(MATCH(Z$21,Dates,0)),(MATCH($C$86,Learning!$E$4:$S$4,0)+MATCH($C$97,Learning!$E$5:$S$5,0)-1))</f>
        <v>1.5206041617312411</v>
      </c>
      <c r="AA103" s="533" cm="1">
        <f t="array" aca="1" ref="AA103" ca="1">OFFSET(AA103,-4,0)*
OFFSET(MSP!$E$1,
MATCH(OFFSET($C97,((MATCH($C97,EL_List,0)-1)*-10)-1,0),MSP!$C:$C,0)+MATCH($C97,EL_List,0)-1,0)
*INDEX(Learning!$E$6:$S$41,(MATCH(AA$21,Dates,0)),(MATCH($C$86,Learning!$E$4:$S$4,0)+MATCH($C$97,Learning!$E$5:$S$5,0)-1))</f>
        <v>1.5893582257486614</v>
      </c>
      <c r="AB103" s="533" cm="1">
        <f t="array" aca="1" ref="AB103" ca="1">OFFSET(AB103,-4,0)*
OFFSET(MSP!$E$1,
MATCH(OFFSET($C97,((MATCH($C97,EL_List,0)-1)*-10)-1,0),MSP!$C:$C,0)+MATCH($C97,EL_List,0)-1,0)
*INDEX(Learning!$E$6:$S$41,(MATCH(AB$21,Dates,0)),(MATCH($C$86,Learning!$E$4:$S$4,0)+MATCH($C$97,Learning!$E$5:$S$5,0)-1))</f>
        <v>1.6610936040952808</v>
      </c>
      <c r="AC103" s="533" cm="1">
        <f t="array" aca="1" ref="AC103" ca="1">OFFSET(AC103,-4,0)*
OFFSET(MSP!$E$1,
MATCH(OFFSET($C97,((MATCH($C97,EL_List,0)-1)*-10)-1,0),MSP!$C:$C,0)+MATCH($C97,EL_List,0)-1,0)
*INDEX(Learning!$E$6:$S$41,(MATCH(AC$21,Dates,0)),(MATCH($C$86,Learning!$E$4:$S$4,0)+MATCH($C$97,Learning!$E$5:$S$5,0)-1))</f>
        <v>1.7359606168739856</v>
      </c>
      <c r="AD103" s="533" cm="1">
        <f t="array" aca="1" ref="AD103" ca="1">OFFSET(AD103,-4,0)*
OFFSET(MSP!$E$1,
MATCH(OFFSET($C97,((MATCH($C97,EL_List,0)-1)*-10)-1,0),MSP!$C:$C,0)+MATCH($C97,EL_List,0)-1,0)
*INDEX(Learning!$E$6:$S$41,(MATCH(AD$21,Dates,0)),(MATCH($C$86,Learning!$E$4:$S$4,0)+MATCH($C$97,Learning!$E$5:$S$5,0)-1))</f>
        <v>1.8141072125016455</v>
      </c>
      <c r="AE103" s="533" cm="1">
        <f t="array" aca="1" ref="AE103" ca="1">OFFSET(AE103,-4,0)*
OFFSET(MSP!$E$1,
MATCH(OFFSET($C97,((MATCH($C97,EL_List,0)-1)*-10)-1,0),MSP!$C:$C,0)+MATCH($C97,EL_List,0)-1,0)
*INDEX(Learning!$E$6:$S$41,(MATCH(AE$21,Dates,0)),(MATCH($C$86,Learning!$E$4:$S$4,0)+MATCH($C$97,Learning!$E$5:$S$5,0)-1))</f>
        <v>1.895677889906862</v>
      </c>
      <c r="AF103" s="533" cm="1">
        <f t="array" aca="1" ref="AF103" ca="1">OFFSET(AF103,-4,0)*
OFFSET(MSP!$E$1,
MATCH(OFFSET($C97,((MATCH($C97,EL_List,0)-1)*-10)-1,0),MSP!$C:$C,0)+MATCH($C97,EL_List,0)-1,0)
*INDEX(Learning!$E$6:$S$41,(MATCH(AF$21,Dates,0)),(MATCH($C$86,Learning!$E$4:$S$4,0)+MATCH($C$97,Learning!$E$5:$S$5,0)-1))</f>
        <v>1.980815599017776</v>
      </c>
      <c r="AG103" s="533" cm="1">
        <f t="array" aca="1" ref="AG103" ca="1">OFFSET(AG103,-4,0)*
OFFSET(MSP!$E$1,
MATCH(OFFSET($C97,((MATCH($C97,EL_List,0)-1)*-10)-1,0),MSP!$C:$C,0)+MATCH($C97,EL_List,0)-1,0)
*INDEX(Learning!$E$6:$S$41,(MATCH(AG$21,Dates,0)),(MATCH($C$86,Learning!$E$4:$S$4,0)+MATCH($C$97,Learning!$E$5:$S$5,0)-1))</f>
        <v>2.0696658925971683</v>
      </c>
      <c r="AH103" s="533" cm="1">
        <f t="array" aca="1" ref="AH103" ca="1">OFFSET(AH103,-4,0)*
OFFSET(MSP!$E$1,
MATCH(OFFSET($C97,((MATCH($C97,EL_List,0)-1)*-10)-1,0),MSP!$C:$C,0)+MATCH($C97,EL_List,0)-1,0)
*INDEX(Learning!$E$6:$S$41,(MATCH(AH$21,Dates,0)),(MATCH($C$86,Learning!$E$4:$S$4,0)+MATCH($C$97,Learning!$E$5:$S$5,0)-1))</f>
        <v>2.1623805563925758</v>
      </c>
      <c r="AI103" s="533" cm="1">
        <f t="array" aca="1" ref="AI103" ca="1">OFFSET(AI103,-4,0)*
OFFSET(MSP!$E$1,
MATCH(OFFSET($C97,((MATCH($C97,EL_List,0)-1)*-10)-1,0),MSP!$C:$C,0)+MATCH($C97,EL_List,0)-1,0)
*INDEX(Learning!$E$6:$S$41,(MATCH(AI$21,Dates,0)),(MATCH($C$86,Learning!$E$4:$S$4,0)+MATCH($C$97,Learning!$E$5:$S$5,0)-1))</f>
        <v>2.2591202200467699</v>
      </c>
      <c r="AJ103" s="533" cm="1">
        <f t="array" aca="1" ref="AJ103" ca="1">OFFSET(AJ103,-4,0)*
OFFSET(MSP!$E$1,
MATCH(OFFSET($C97,((MATCH($C97,EL_List,0)-1)*-10)-1,0),MSP!$C:$C,0)+MATCH($C97,EL_List,0)-1,0)
*INDEX(Learning!$E$6:$S$41,(MATCH(AJ$21,Dates,0)),(MATCH($C$86,Learning!$E$4:$S$4,0)+MATCH($C$97,Learning!$E$5:$S$5,0)-1))</f>
        <v>2.360055611807617</v>
      </c>
      <c r="AK103" s="533" cm="1">
        <f t="array" aca="1" ref="AK103" ca="1">OFFSET(AK103,-4,0)*
OFFSET(MSP!$E$1,
MATCH(OFFSET($C97,((MATCH($C97,EL_List,0)-1)*-10)-1,0),MSP!$C:$C,0)+MATCH($C97,EL_List,0)-1,0)
*INDEX(Learning!$E$6:$S$41,(MATCH(AK$21,Dates,0)),(MATCH($C$86,Learning!$E$4:$S$4,0)+MATCH($C$97,Learning!$E$5:$S$5,0)-1))</f>
        <v>2.465367374075075</v>
      </c>
      <c r="AL103" s="533" cm="1">
        <f t="array" aca="1" ref="AL103" ca="1">OFFSET(AL103,-4,0)*
OFFSET(MSP!$E$1,
MATCH(OFFSET($C97,((MATCH($C97,EL_List,0)-1)*-10)-1,0),MSP!$C:$C,0)+MATCH($C97,EL_List,0)-1,0)
*INDEX(Learning!$E$6:$S$41,(MATCH(AL$21,Dates,0)),(MATCH($C$86,Learning!$E$4:$S$4,0)+MATCH($C$97,Learning!$E$5:$S$5,0)-1))</f>
        <v>2.5781850595593987</v>
      </c>
      <c r="AM103" s="533" cm="1">
        <f t="array" aca="1" ref="AM103" ca="1">OFFSET(AM103,-4,0)*
OFFSET(MSP!$E$1,
MATCH(OFFSET($C97,((MATCH($C97,EL_List,0)-1)*-10)-1,0),MSP!$C:$C,0)+MATCH($C97,EL_List,0)-1,0)
*INDEX(Learning!$E$6:$S$41,(MATCH(AM$21,Dates,0)),(MATCH($C$86,Learning!$E$4:$S$4,0)+MATCH($C$97,Learning!$E$5:$S$5,0)-1))</f>
        <v>2.6929723601274791</v>
      </c>
      <c r="AN103" s="533" cm="1">
        <f t="array" aca="1" ref="AN103" ca="1">OFFSET(AN103,-4,0)*
OFFSET(MSP!$E$1,
MATCH(OFFSET($C97,((MATCH($C97,EL_List,0)-1)*-10)-1,0),MSP!$C:$C,0)+MATCH($C97,EL_List,0)-1,0)
*INDEX(Learning!$E$6:$S$41,(MATCH(AN$21,Dates,0)),(MATCH($C$86,Learning!$E$4:$S$4,0)+MATCH($C$97,Learning!$E$5:$S$5,0)-1))</f>
        <v>2.8145702559526478</v>
      </c>
      <c r="AO103" s="436"/>
      <c r="AP103" s="21"/>
    </row>
    <row r="104" spans="2:42" ht="15" customHeight="1" x14ac:dyDescent="0.35">
      <c r="B104" s="429"/>
      <c r="C104" s="777" t="s">
        <v>214</v>
      </c>
      <c r="D104" s="776"/>
      <c r="E104" s="533" cm="1">
        <f t="array" aca="1" ref="E104" ca="1">OFFSET(E104,-5,0)*
OFFSET(MSP!$F$1,
MATCH(OFFSET($C97,((MATCH($C97,EL_List,0)-1)*-10)-1,0),MSP!$C:$C,0)+MATCH($C97,EL_List,0)-1,0)
*INDEX(Learning!$E$6:$S$41,(MATCH(E$21,Dates,0)),(MATCH($C$86,Learning!$E$4:$S$4,0)+MATCH($C$97,Learning!$E$5:$S$5,0)-1))</f>
        <v>1.5549052149113631</v>
      </c>
      <c r="F104" s="533" cm="1">
        <f t="array" aca="1" ref="F104" ca="1">OFFSET(F104,-5,0)*
OFFSET(MSP!$F$1,
MATCH(OFFSET($C97,((MATCH($C97,EL_List,0)-1)*-10)-1,0),MSP!$C:$C,0)+MATCH($C97,EL_List,0)-1,0)
*INDEX(Learning!$E$6:$S$41,(MATCH(F$21,Dates,0)),(MATCH($C$86,Learning!$E$4:$S$4,0)+MATCH($C$97,Learning!$E$5:$S$5,0)-1))</f>
        <v>1.6119666338236782</v>
      </c>
      <c r="G104" s="533" cm="1">
        <f t="array" aca="1" ref="G104" ca="1">OFFSET(G104,-5,0)*
OFFSET(MSP!$F$1,
MATCH(OFFSET($C97,((MATCH($C97,EL_List,0)-1)*-10)-1,0),MSP!$C:$C,0)+MATCH($C97,EL_List,0)-1,0)
*INDEX(Learning!$E$6:$S$41,(MATCH(G$21,Dates,0)),(MATCH($C$86,Learning!$E$4:$S$4,0)+MATCH($C$97,Learning!$E$5:$S$5,0)-1))</f>
        <v>1.6624661956591005</v>
      </c>
      <c r="H104" s="533" cm="1">
        <f t="array" aca="1" ref="H104" ca="1">OFFSET(H104,-5,0)*
OFFSET(MSP!$F$1,
MATCH(OFFSET($C97,((MATCH($C97,EL_List,0)-1)*-10)-1,0),MSP!$C:$C,0)+MATCH($C97,EL_List,0)-1,0)
*INDEX(Learning!$E$6:$S$41,(MATCH(H$21,Dates,0)),(MATCH($C$86,Learning!$E$4:$S$4,0)+MATCH($C$97,Learning!$E$5:$S$5,0)-1))</f>
        <v>1.7269823408792326</v>
      </c>
      <c r="I104" s="533" cm="1">
        <f t="array" aca="1" ref="I104" ca="1">OFFSET(I104,-5,0)*
OFFSET(MSP!$F$1,
MATCH(OFFSET($C97,((MATCH($C97,EL_List,0)-1)*-10)-1,0),MSP!$C:$C,0)+MATCH($C97,EL_List,0)-1,0)
*INDEX(Learning!$E$6:$S$41,(MATCH(I$21,Dates,0)),(MATCH($C$86,Learning!$E$4:$S$4,0)+MATCH($C$97,Learning!$E$5:$S$5,0)-1))</f>
        <v>1.799447765233535</v>
      </c>
      <c r="J104" s="533" cm="1">
        <f t="array" aca="1" ref="J104" ca="1">OFFSET(J104,-5,0)*
OFFSET(MSP!$F$1,
MATCH(OFFSET($C97,((MATCH($C97,EL_List,0)-1)*-10)-1,0),MSP!$C:$C,0)+MATCH($C97,EL_List,0)-1,0)
*INDEX(Learning!$E$6:$S$41,(MATCH(J$21,Dates,0)),(MATCH($C$86,Learning!$E$4:$S$4,0)+MATCH($C$97,Learning!$E$5:$S$5,0)-1))</f>
        <v>1.877831721367905</v>
      </c>
      <c r="K104" s="533" cm="1">
        <f t="array" aca="1" ref="K104" ca="1">OFFSET(K104,-5,0)*
OFFSET(MSP!$F$1,
MATCH(OFFSET($C97,((MATCH($C97,EL_List,0)-1)*-10)-1,0),MSP!$C:$C,0)+MATCH($C97,EL_List,0)-1,0)
*INDEX(Learning!$E$6:$S$41,(MATCH(K$21,Dates,0)),(MATCH($C$86,Learning!$E$4:$S$4,0)+MATCH($C$97,Learning!$E$5:$S$5,0)-1))</f>
        <v>1.9645499621993379</v>
      </c>
      <c r="L104" s="533" cm="1">
        <f t="array" aca="1" ref="L104" ca="1">OFFSET(L104,-5,0)*
OFFSET(MSP!$F$1,
MATCH(OFFSET($C97,((MATCH($C97,EL_List,0)-1)*-10)-1,0),MSP!$C:$C,0)+MATCH($C97,EL_List,0)-1,0)
*INDEX(Learning!$E$6:$S$41,(MATCH(L$21,Dates,0)),(MATCH($C$86,Learning!$E$4:$S$4,0)+MATCH($C$97,Learning!$E$5:$S$5,0)-1))</f>
        <v>2.0561044184902659</v>
      </c>
      <c r="M104" s="533" cm="1">
        <f t="array" aca="1" ref="M104" ca="1">OFFSET(M104,-5,0)*
OFFSET(MSP!$F$1,
MATCH(OFFSET($C97,((MATCH($C97,EL_List,0)-1)*-10)-1,0),MSP!$C:$C,0)+MATCH($C97,EL_List,0)-1,0)
*INDEX(Learning!$E$6:$S$41,(MATCH(M$21,Dates,0)),(MATCH($C$86,Learning!$E$4:$S$4,0)+MATCH($C$97,Learning!$E$5:$S$5,0)-1))</f>
        <v>2.1511574501332658</v>
      </c>
      <c r="N104" s="533" cm="1">
        <f t="array" aca="1" ref="N104" ca="1">OFFSET(N104,-5,0)*
OFFSET(MSP!$F$1,
MATCH(OFFSET($C97,((MATCH($C97,EL_List,0)-1)*-10)-1,0),MSP!$C:$C,0)+MATCH($C97,EL_List,0)-1,0)
*INDEX(Learning!$E$6:$S$41,(MATCH(N$21,Dates,0)),(MATCH($C$86,Learning!$E$4:$S$4,0)+MATCH($C$97,Learning!$E$5:$S$5,0)-1))</f>
        <v>2.2488088730264004</v>
      </c>
      <c r="O104" s="533" cm="1">
        <f t="array" aca="1" ref="O104" ca="1">OFFSET(O104,-5,0)*
OFFSET(MSP!$F$1,
MATCH(OFFSET($C97,((MATCH($C97,EL_List,0)-1)*-10)-1,0),MSP!$C:$C,0)+MATCH($C97,EL_List,0)-1,0)
*INDEX(Learning!$E$6:$S$41,(MATCH(O$21,Dates,0)),(MATCH($C$86,Learning!$E$4:$S$4,0)+MATCH($C$97,Learning!$E$5:$S$5,0)-1))</f>
        <v>2.3513463144353168</v>
      </c>
      <c r="P104" s="533" cm="1">
        <f t="array" aca="1" ref="P104" ca="1">OFFSET(P104,-5,0)*
OFFSET(MSP!$F$1,
MATCH(OFFSET($C97,((MATCH($C97,EL_List,0)-1)*-10)-1,0),MSP!$C:$C,0)+MATCH($C97,EL_List,0)-1,0)
*INDEX(Learning!$E$6:$S$41,(MATCH(P$21,Dates,0)),(MATCH($C$86,Learning!$E$4:$S$4,0)+MATCH($C$97,Learning!$E$5:$S$5,0)-1))</f>
        <v>2.4570192880920998</v>
      </c>
      <c r="Q104" s="533" cm="1">
        <f t="array" aca="1" ref="Q104" ca="1">OFFSET(Q104,-5,0)*
OFFSET(MSP!$F$1,
MATCH(OFFSET($C97,((MATCH($C97,EL_List,0)-1)*-10)-1,0),MSP!$C:$C,0)+MATCH($C97,EL_List,0)-1,0)
*INDEX(Learning!$E$6:$S$41,(MATCH(Q$21,Dates,0)),(MATCH($C$86,Learning!$E$4:$S$4,0)+MATCH($C$97,Learning!$E$5:$S$5,0)-1))</f>
        <v>2.5638455865682626</v>
      </c>
      <c r="R104" s="533" cm="1">
        <f t="array" aca="1" ref="R104" ca="1">OFFSET(R104,-5,0)*
OFFSET(MSP!$F$1,
MATCH(OFFSET($C97,((MATCH($C97,EL_List,0)-1)*-10)-1,0),MSP!$C:$C,0)+MATCH($C97,EL_List,0)-1,0)
*INDEX(Learning!$E$6:$S$41,(MATCH(R$21,Dates,0)),(MATCH($C$86,Learning!$E$4:$S$4,0)+MATCH($C$97,Learning!$E$5:$S$5,0)-1))</f>
        <v>2.6777804924003372</v>
      </c>
      <c r="S104" s="533" cm="1">
        <f t="array" aca="1" ref="S104" ca="1">OFFSET(S104,-5,0)*
OFFSET(MSP!$F$1,
MATCH(OFFSET($C97,((MATCH($C97,EL_List,0)-1)*-10)-1,0),MSP!$C:$C,0)+MATCH($C97,EL_List,0)-1,0)
*INDEX(Learning!$E$6:$S$41,(MATCH(S$21,Dates,0)),(MATCH($C$86,Learning!$E$4:$S$4,0)+MATCH($C$97,Learning!$E$5:$S$5,0)-1))</f>
        <v>2.7969210149689632</v>
      </c>
      <c r="T104" s="533" cm="1">
        <f t="array" aca="1" ref="T104" ca="1">OFFSET(T104,-5,0)*
OFFSET(MSP!$F$1,
MATCH(OFFSET($C97,((MATCH($C97,EL_List,0)-1)*-10)-1,0),MSP!$C:$C,0)+MATCH($C97,EL_List,0)-1,0)
*INDEX(Learning!$E$6:$S$41,(MATCH(T$21,Dates,0)),(MATCH($C$86,Learning!$E$4:$S$4,0)+MATCH($C$97,Learning!$E$5:$S$5,0)-1))</f>
        <v>2.9216153667233447</v>
      </c>
      <c r="U104" s="533" cm="1">
        <f t="array" aca="1" ref="U104" ca="1">OFFSET(U104,-5,0)*
OFFSET(MSP!$F$1,
MATCH(OFFSET($C97,((MATCH($C97,EL_List,0)-1)*-10)-1,0),MSP!$C:$C,0)+MATCH($C97,EL_List,0)-1,0)
*INDEX(Learning!$E$6:$S$41,(MATCH(U$21,Dates,0)),(MATCH($C$86,Learning!$E$4:$S$4,0)+MATCH($C$97,Learning!$E$5:$S$5,0)-1))</f>
        <v>3.055478707772858</v>
      </c>
      <c r="V104" s="533" cm="1">
        <f t="array" aca="1" ref="V104" ca="1">OFFSET(V104,-5,0)*
OFFSET(MSP!$F$1,
MATCH(OFFSET($C97,((MATCH($C97,EL_List,0)-1)*-10)-1,0),MSP!$C:$C,0)+MATCH($C97,EL_List,0)-1,0)
*INDEX(Learning!$E$6:$S$41,(MATCH(V$21,Dates,0)),(MATCH($C$86,Learning!$E$4:$S$4,0)+MATCH($C$97,Learning!$E$5:$S$5,0)-1))</f>
        <v>3.1918114428292204</v>
      </c>
      <c r="W104" s="533" cm="1">
        <f t="array" aca="1" ref="W104" ca="1">OFFSET(W104,-5,0)*
OFFSET(MSP!$F$1,
MATCH(OFFSET($C97,((MATCH($C97,EL_List,0)-1)*-10)-1,0),MSP!$C:$C,0)+MATCH($C97,EL_List,0)-1,0)
*INDEX(Learning!$E$6:$S$41,(MATCH(W$21,Dates,0)),(MATCH($C$86,Learning!$E$4:$S$4,0)+MATCH($C$97,Learning!$E$5:$S$5,0)-1))</f>
        <v>3.3340337667869449</v>
      </c>
      <c r="X104" s="533" cm="1">
        <f t="array" aca="1" ref="X104" ca="1">OFFSET(X104,-5,0)*
OFFSET(MSP!$F$1,
MATCH(OFFSET($C97,((MATCH($C97,EL_List,0)-1)*-10)-1,0),MSP!$C:$C,0)+MATCH($C97,EL_List,0)-1,0)
*INDEX(Learning!$E$6:$S$41,(MATCH(X$21,Dates,0)),(MATCH($C$86,Learning!$E$4:$S$4,0)+MATCH($C$97,Learning!$E$5:$S$5,0)-1))</f>
        <v>3.4859529132090121</v>
      </c>
      <c r="Y104" s="533" cm="1">
        <f t="array" aca="1" ref="Y104" ca="1">OFFSET(Y104,-5,0)*
OFFSET(MSP!$F$1,
MATCH(OFFSET($C97,((MATCH($C97,EL_List,0)-1)*-10)-1,0),MSP!$C:$C,0)+MATCH($C97,EL_List,0)-1,0)
*INDEX(Learning!$E$6:$S$41,(MATCH(Y$21,Dates,0)),(MATCH($C$86,Learning!$E$4:$S$4,0)+MATCH($C$97,Learning!$E$5:$S$5,0)-1))</f>
        <v>3.6443637310705457</v>
      </c>
      <c r="Z104" s="533" cm="1">
        <f t="array" aca="1" ref="Z104" ca="1">OFFSET(Z104,-5,0)*
OFFSET(MSP!$F$1,
MATCH(OFFSET($C97,((MATCH($C97,EL_List,0)-1)*-10)-1,0),MSP!$C:$C,0)+MATCH($C97,EL_List,0)-1,0)
*INDEX(Learning!$E$6:$S$41,(MATCH(Z$21,Dates,0)),(MATCH($C$86,Learning!$E$4:$S$4,0)+MATCH($C$97,Learning!$E$5:$S$5,0)-1))</f>
        <v>3.8054217279263085</v>
      </c>
      <c r="AA104" s="533" cm="1">
        <f t="array" aca="1" ref="AA104" ca="1">OFFSET(AA104,-5,0)*
OFFSET(MSP!$F$1,
MATCH(OFFSET($C97,((MATCH($C97,EL_List,0)-1)*-10)-1,0),MSP!$C:$C,0)+MATCH($C97,EL_List,0)-1,0)
*INDEX(Learning!$E$6:$S$41,(MATCH(AA$21,Dates,0)),(MATCH($C$86,Learning!$E$4:$S$4,0)+MATCH($C$97,Learning!$E$5:$S$5,0)-1))</f>
        <v>3.9774837383296249</v>
      </c>
      <c r="AB104" s="533" cm="1">
        <f t="array" aca="1" ref="AB104" ca="1">OFFSET(AB104,-5,0)*
OFFSET(MSP!$F$1,
MATCH(OFFSET($C97,((MATCH($C97,EL_List,0)-1)*-10)-1,0),MSP!$C:$C,0)+MATCH($C97,EL_List,0)-1,0)
*INDEX(Learning!$E$6:$S$41,(MATCH(AB$21,Dates,0)),(MATCH($C$86,Learning!$E$4:$S$4,0)+MATCH($C$97,Learning!$E$5:$S$5,0)-1))</f>
        <v>4.1570067031427964</v>
      </c>
      <c r="AC104" s="533" cm="1">
        <f t="array" aca="1" ref="AC104" ca="1">OFFSET(AC104,-5,0)*
OFFSET(MSP!$F$1,
MATCH(OFFSET($C97,((MATCH($C97,EL_List,0)-1)*-10)-1,0),MSP!$C:$C,0)+MATCH($C97,EL_List,0)-1,0)
*INDEX(Learning!$E$6:$S$41,(MATCH(AC$21,Dates,0)),(MATCH($C$86,Learning!$E$4:$S$4,0)+MATCH($C$97,Learning!$E$5:$S$5,0)-1))</f>
        <v>4.3443668092789354</v>
      </c>
      <c r="AD104" s="533" cm="1">
        <f t="array" aca="1" ref="AD104" ca="1">OFFSET(AD104,-5,0)*
OFFSET(MSP!$F$1,
MATCH(OFFSET($C97,((MATCH($C97,EL_List,0)-1)*-10)-1,0),MSP!$C:$C,0)+MATCH($C97,EL_List,0)-1,0)
*INDEX(Learning!$E$6:$S$41,(MATCH(AD$21,Dates,0)),(MATCH($C$86,Learning!$E$4:$S$4,0)+MATCH($C$97,Learning!$E$5:$S$5,0)-1))</f>
        <v>4.5399343083356225</v>
      </c>
      <c r="AE104" s="533" cm="1">
        <f t="array" aca="1" ref="AE104" ca="1">OFFSET(AE104,-5,0)*
OFFSET(MSP!$F$1,
MATCH(OFFSET($C97,((MATCH($C97,EL_List,0)-1)*-10)-1,0),MSP!$C:$C,0)+MATCH($C97,EL_List,0)-1,0)
*INDEX(Learning!$E$6:$S$41,(MATCH(AE$21,Dates,0)),(MATCH($C$86,Learning!$E$4:$S$4,0)+MATCH($C$97,Learning!$E$5:$S$5,0)-1))</f>
        <v>4.744070819316935</v>
      </c>
      <c r="AF104" s="533" cm="1">
        <f t="array" aca="1" ref="AF104" ca="1">OFFSET(AF104,-5,0)*
OFFSET(MSP!$F$1,
MATCH(OFFSET($C97,((MATCH($C97,EL_List,0)-1)*-10)-1,0),MSP!$C:$C,0)+MATCH($C97,EL_List,0)-1,0)
*INDEX(Learning!$E$6:$S$41,(MATCH(AF$21,Dates,0)),(MATCH($C$86,Learning!$E$4:$S$4,0)+MATCH($C$97,Learning!$E$5:$S$5,0)-1))</f>
        <v>4.9571340847414334</v>
      </c>
      <c r="AG104" s="533" cm="1">
        <f t="array" aca="1" ref="AG104" ca="1">OFFSET(AG104,-5,0)*
OFFSET(MSP!$F$1,
MATCH(OFFSET($C97,((MATCH($C97,EL_List,0)-1)*-10)-1,0),MSP!$C:$C,0)+MATCH($C97,EL_List,0)-1,0)
*INDEX(Learning!$E$6:$S$41,(MATCH(AG$21,Dates,0)),(MATCH($C$86,Learning!$E$4:$S$4,0)+MATCH($C$97,Learning!$E$5:$S$5,0)-1))</f>
        <v>5.1794883609093363</v>
      </c>
      <c r="AH104" s="533" cm="1">
        <f t="array" aca="1" ref="AH104" ca="1">OFFSET(AH104,-5,0)*
OFFSET(MSP!$F$1,
MATCH(OFFSET($C97,((MATCH($C97,EL_List,0)-1)*-10)-1,0),MSP!$C:$C,0)+MATCH($C97,EL_List,0)-1,0)
*INDEX(Learning!$E$6:$S$41,(MATCH(AH$21,Dates,0)),(MATCH($C$86,Learning!$E$4:$S$4,0)+MATCH($C$97,Learning!$E$5:$S$5,0)-1))</f>
        <v>5.4115135026153371</v>
      </c>
      <c r="AI104" s="533" cm="1">
        <f t="array" aca="1" ref="AI104" ca="1">OFFSET(AI104,-5,0)*
OFFSET(MSP!$F$1,
MATCH(OFFSET($C97,((MATCH($C97,EL_List,0)-1)*-10)-1,0),MSP!$C:$C,0)+MATCH($C97,EL_List,0)-1,0)
*INDEX(Learning!$E$6:$S$41,(MATCH(AI$21,Dates,0)),(MATCH($C$86,Learning!$E$4:$S$4,0)+MATCH($C$97,Learning!$E$5:$S$5,0)-1))</f>
        <v>5.6536114971406342</v>
      </c>
      <c r="AJ104" s="533" cm="1">
        <f t="array" aca="1" ref="AJ104" ca="1">OFFSET(AJ104,-5,0)*
OFFSET(MSP!$F$1,
MATCH(OFFSET($C97,((MATCH($C97,EL_List,0)-1)*-10)-1,0),MSP!$C:$C,0)+MATCH($C97,EL_List,0)-1,0)
*INDEX(Learning!$E$6:$S$41,(MATCH(AJ$21,Dates,0)),(MATCH($C$86,Learning!$E$4:$S$4,0)+MATCH($C$97,Learning!$E$5:$S$5,0)-1))</f>
        <v>5.9062096042549639</v>
      </c>
      <c r="AK104" s="533" cm="1">
        <f t="array" aca="1" ref="AK104" ca="1">OFFSET(AK104,-5,0)*
OFFSET(MSP!$F$1,
MATCH(OFFSET($C97,((MATCH($C97,EL_List,0)-1)*-10)-1,0),MSP!$C:$C,0)+MATCH($C97,EL_List,0)-1,0)
*INDEX(Learning!$E$6:$S$41,(MATCH(AK$21,Dates,0)),(MATCH($C$86,Learning!$E$4:$S$4,0)+MATCH($C$97,Learning!$E$5:$S$5,0)-1))</f>
        <v>6.169759894609637</v>
      </c>
      <c r="AL104" s="533" cm="1">
        <f t="array" aca="1" ref="AL104" ca="1">OFFSET(AL104,-5,0)*
OFFSET(MSP!$F$1,
MATCH(OFFSET($C97,((MATCH($C97,EL_List,0)-1)*-10)-1,0),MSP!$C:$C,0)+MATCH($C97,EL_List,0)-1,0)
*INDEX(Learning!$E$6:$S$41,(MATCH(AL$21,Dates,0)),(MATCH($C$86,Learning!$E$4:$S$4,0)+MATCH($C$97,Learning!$E$5:$S$5,0)-1))</f>
        <v>6.4520942998684081</v>
      </c>
      <c r="AM104" s="533" cm="1">
        <f t="array" aca="1" ref="AM104" ca="1">OFFSET(AM104,-5,0)*
OFFSET(MSP!$F$1,
MATCH(OFFSET($C97,((MATCH($C97,EL_List,0)-1)*-10)-1,0),MSP!$C:$C,0)+MATCH($C97,EL_List,0)-1,0)
*INDEX(Learning!$E$6:$S$41,(MATCH(AM$21,Dates,0)),(MATCH($C$86,Learning!$E$4:$S$4,0)+MATCH($C$97,Learning!$E$5:$S$5,0)-1))</f>
        <v>6.7393578091136135</v>
      </c>
      <c r="AN104" s="533" cm="1">
        <f t="array" aca="1" ref="AN104" ca="1">OFFSET(AN104,-5,0)*
OFFSET(MSP!$F$1,
MATCH(OFFSET($C97,((MATCH($C97,EL_List,0)-1)*-10)-1,0),MSP!$C:$C,0)+MATCH($C97,EL_List,0)-1,0)
*INDEX(Learning!$E$6:$S$41,(MATCH(AN$21,Dates,0)),(MATCH($C$86,Learning!$E$4:$S$4,0)+MATCH($C$97,Learning!$E$5:$S$5,0)-1))</f>
        <v>7.0436653248291998</v>
      </c>
      <c r="AO104" s="436"/>
      <c r="AP104" s="21"/>
    </row>
    <row r="105" spans="2:42" ht="15" customHeight="1" collapsed="1" x14ac:dyDescent="0.35">
      <c r="B105" s="429"/>
      <c r="C105" s="777" t="s">
        <v>215</v>
      </c>
      <c r="D105" s="776"/>
      <c r="E105" s="531" cm="1">
        <f t="array" aca="1" ref="E105" ca="1">OFFSET(E105,-6,0)*
OFFSET(MSP!$G$1,
MATCH(OFFSET($C97,((MATCH($C97,EL_List,0)-1)*-10)-1,0),MSP!$C:$C,0)+MATCH($C97,EL_List,0)-1,0)
*INDEX(Learning!$E$6:$S$41,(MATCH(E$21,Dates,0)),(MATCH($C$86,Learning!$E$4:$S$4,0)+MATCH($C$97,Learning!$E$5:$S$5,0)-1))</f>
        <v>0.78872706418745353</v>
      </c>
      <c r="F105" s="531" cm="1">
        <f t="array" aca="1" ref="F105" ca="1">OFFSET(F105,-6,0)*
OFFSET(MSP!$G$1,
MATCH(OFFSET($C97,((MATCH($C97,EL_List,0)-1)*-10)-1,0),MSP!$C:$C,0)+MATCH($C97,EL_List,0)-1,0)
*INDEX(Learning!$E$6:$S$41,(MATCH(F$21,Dates,0)),(MATCH($C$86,Learning!$E$4:$S$4,0)+MATCH($C$97,Learning!$E$5:$S$5,0)-1))</f>
        <v>0.8176715200844944</v>
      </c>
      <c r="G105" s="531" cm="1">
        <f t="array" aca="1" ref="G105" ca="1">OFFSET(G105,-6,0)*
OFFSET(MSP!$G$1,
MATCH(OFFSET($C97,((MATCH($C97,EL_List,0)-1)*-10)-1,0),MSP!$C:$C,0)+MATCH($C97,EL_List,0)-1,0)
*INDEX(Learning!$E$6:$S$41,(MATCH(G$21,Dates,0)),(MATCH($C$86,Learning!$E$4:$S$4,0)+MATCH($C$97,Learning!$E$5:$S$5,0)-1))</f>
        <v>0.84328746809678268</v>
      </c>
      <c r="H105" s="531" cm="1">
        <f t="array" aca="1" ref="H105" ca="1">OFFSET(H105,-6,0)*
OFFSET(MSP!$G$1,
MATCH(OFFSET($C97,((MATCH($C97,EL_List,0)-1)*-10)-1,0),MSP!$C:$C,0)+MATCH($C97,EL_List,0)-1,0)
*INDEX(Learning!$E$6:$S$41,(MATCH(H$21,Dates,0)),(MATCH($C$86,Learning!$E$4:$S$4,0)+MATCH($C$97,Learning!$E$5:$S$5,0)-1))</f>
        <v>0.87601334059639158</v>
      </c>
      <c r="I105" s="531" cm="1">
        <f t="array" aca="1" ref="I105" ca="1">OFFSET(I105,-6,0)*
OFFSET(MSP!$G$1,
MATCH(OFFSET($C97,((MATCH($C97,EL_List,0)-1)*-10)-1,0),MSP!$C:$C,0)+MATCH($C97,EL_List,0)-1,0)
*INDEX(Learning!$E$6:$S$41,(MATCH(I$21,Dates,0)),(MATCH($C$86,Learning!$E$4:$S$4,0)+MATCH($C$97,Learning!$E$5:$S$5,0)-1))</f>
        <v>0.91277149206308728</v>
      </c>
      <c r="J105" s="531" cm="1">
        <f t="array" aca="1" ref="J105" ca="1">OFFSET(J105,-6,0)*
OFFSET(MSP!$G$1,
MATCH(OFFSET($C97,((MATCH($C97,EL_List,0)-1)*-10)-1,0),MSP!$C:$C,0)+MATCH($C97,EL_List,0)-1,0)
*INDEX(Learning!$E$6:$S$41,(MATCH(J$21,Dates,0)),(MATCH($C$86,Learning!$E$4:$S$4,0)+MATCH($C$97,Learning!$E$5:$S$5,0)-1))</f>
        <v>0.95253182408100012</v>
      </c>
      <c r="K105" s="531" cm="1">
        <f t="array" aca="1" ref="K105" ca="1">OFFSET(K105,-6,0)*
OFFSET(MSP!$G$1,
MATCH(OFFSET($C97,((MATCH($C97,EL_List,0)-1)*-10)-1,0),MSP!$C:$C,0)+MATCH($C97,EL_List,0)-1,0)
*INDEX(Learning!$E$6:$S$41,(MATCH(K$21,Dates,0)),(MATCH($C$86,Learning!$E$4:$S$4,0)+MATCH($C$97,Learning!$E$5:$S$5,0)-1))</f>
        <v>0.99651972948292222</v>
      </c>
      <c r="L105" s="531" cm="1">
        <f t="array" aca="1" ref="L105" ca="1">OFFSET(L105,-6,0)*
OFFSET(MSP!$G$1,
MATCH(OFFSET($C97,((MATCH($C97,EL_List,0)-1)*-10)-1,0),MSP!$C:$C,0)+MATCH($C97,EL_List,0)-1,0)
*INDEX(Learning!$E$6:$S$41,(MATCH(L$21,Dates,0)),(MATCH($C$86,Learning!$E$4:$S$4,0)+MATCH($C$97,Learning!$E$5:$S$5,0)-1))</f>
        <v>1.0429608095121887</v>
      </c>
      <c r="M105" s="531" cm="1">
        <f t="array" aca="1" ref="M105" ca="1">OFFSET(M105,-6,0)*
OFFSET(MSP!$G$1,
MATCH(OFFSET($C97,((MATCH($C97,EL_List,0)-1)*-10)-1,0),MSP!$C:$C,0)+MATCH($C97,EL_List,0)-1,0)
*INDEX(Learning!$E$6:$S$41,(MATCH(M$21,Dates,0)),(MATCH($C$86,Learning!$E$4:$S$4,0)+MATCH($C$97,Learning!$E$5:$S$5,0)-1))</f>
        <v>1.0911765450251565</v>
      </c>
      <c r="N105" s="531" cm="1">
        <f t="array" aca="1" ref="N105" ca="1">OFFSET(N105,-6,0)*
OFFSET(MSP!$G$1,
MATCH(OFFSET($C97,((MATCH($C97,EL_List,0)-1)*-10)-1,0),MSP!$C:$C,0)+MATCH($C97,EL_List,0)-1,0)
*INDEX(Learning!$E$6:$S$41,(MATCH(N$21,Dates,0)),(MATCH($C$86,Learning!$E$4:$S$4,0)+MATCH($C$97,Learning!$E$5:$S$5,0)-1))</f>
        <v>1.1407103168291308</v>
      </c>
      <c r="O105" s="531" cm="1">
        <f t="array" aca="1" ref="O105" ca="1">OFFSET(O105,-6,0)*
OFFSET(MSP!$G$1,
MATCH(OFFSET($C97,((MATCH($C97,EL_List,0)-1)*-10)-1,0),MSP!$C:$C,0)+MATCH($C97,EL_List,0)-1,0)
*INDEX(Learning!$E$6:$S$41,(MATCH(O$21,Dates,0)),(MATCH($C$86,Learning!$E$4:$S$4,0)+MATCH($C$97,Learning!$E$5:$S$5,0)-1))</f>
        <v>1.192722525905398</v>
      </c>
      <c r="P105" s="531" cm="1">
        <f t="array" aca="1" ref="P105" ca="1">OFFSET(P105,-6,0)*
OFFSET(MSP!$G$1,
MATCH(OFFSET($C97,((MATCH($C97,EL_List,0)-1)*-10)-1,0),MSP!$C:$C,0)+MATCH($C97,EL_List,0)-1,0)
*INDEX(Learning!$E$6:$S$41,(MATCH(P$21,Dates,0)),(MATCH($C$86,Learning!$E$4:$S$4,0)+MATCH($C$97,Learning!$E$5:$S$5,0)-1))</f>
        <v>1.2463252365253012</v>
      </c>
      <c r="Q105" s="531" cm="1">
        <f t="array" aca="1" ref="Q105" ca="1">OFFSET(Q105,-6,0)*
OFFSET(MSP!$G$1,
MATCH(OFFSET($C97,((MATCH($C97,EL_List,0)-1)*-10)-1,0),MSP!$C:$C,0)+MATCH($C97,EL_List,0)-1,0)
*INDEX(Learning!$E$6:$S$41,(MATCH(Q$21,Dates,0)),(MATCH($C$86,Learning!$E$4:$S$4,0)+MATCH($C$97,Learning!$E$5:$S$5,0)-1))</f>
        <v>1.3005129721937545</v>
      </c>
      <c r="R105" s="531" cm="1">
        <f t="array" aca="1" ref="R105" ca="1">OFFSET(R105,-6,0)*
OFFSET(MSP!$G$1,
MATCH(OFFSET($C97,((MATCH($C97,EL_List,0)-1)*-10)-1,0),MSP!$C:$C,0)+MATCH($C97,EL_List,0)-1,0)
*INDEX(Learning!$E$6:$S$41,(MATCH(R$21,Dates,0)),(MATCH($C$86,Learning!$E$4:$S$4,0)+MATCH($C$97,Learning!$E$5:$S$5,0)-1))</f>
        <v>1.3583065553161373</v>
      </c>
      <c r="S105" s="531" cm="1">
        <f t="array" aca="1" ref="S105" ca="1">OFFSET(S105,-6,0)*
OFFSET(MSP!$G$1,
MATCH(OFFSET($C97,((MATCH($C97,EL_List,0)-1)*-10)-1,0),MSP!$C:$C,0)+MATCH($C97,EL_List,0)-1,0)
*INDEX(Learning!$E$6:$S$41,(MATCH(S$21,Dates,0)),(MATCH($C$86,Learning!$E$4:$S$4,0)+MATCH($C$97,Learning!$E$5:$S$5,0)-1))</f>
        <v>1.4187406921948074</v>
      </c>
      <c r="T105" s="531" cm="1">
        <f t="array" aca="1" ref="T105" ca="1">OFFSET(T105,-6,0)*
OFFSET(MSP!$G$1,
MATCH(OFFSET($C97,((MATCH($C97,EL_List,0)-1)*-10)-1,0),MSP!$C:$C,0)+MATCH($C97,EL_List,0)-1,0)
*INDEX(Learning!$E$6:$S$41,(MATCH(T$21,Dates,0)),(MATCH($C$86,Learning!$E$4:$S$4,0)+MATCH($C$97,Learning!$E$5:$S$5,0)-1))</f>
        <v>1.4819920139067855</v>
      </c>
      <c r="U105" s="531" cm="1">
        <f t="array" aca="1" ref="U105" ca="1">OFFSET(U105,-6,0)*
OFFSET(MSP!$G$1,
MATCH(OFFSET($C97,((MATCH($C97,EL_List,0)-1)*-10)-1,0),MSP!$C:$C,0)+MATCH($C97,EL_List,0)-1,0)
*INDEX(Learning!$E$6:$S$41,(MATCH(U$21,Dates,0)),(MATCH($C$86,Learning!$E$4:$S$4,0)+MATCH($C$97,Learning!$E$5:$S$5,0)-1))</f>
        <v>1.5498943136584298</v>
      </c>
      <c r="V105" s="531" cm="1">
        <f t="array" aca="1" ref="V105" ca="1">OFFSET(V105,-6,0)*
OFFSET(MSP!$G$1,
MATCH(OFFSET($C97,((MATCH($C97,EL_List,0)-1)*-10)-1,0),MSP!$C:$C,0)+MATCH($C97,EL_List,0)-1,0)
*INDEX(Learning!$E$6:$S$41,(MATCH(V$21,Dates,0)),(MATCH($C$86,Learning!$E$4:$S$4,0)+MATCH($C$97,Learning!$E$5:$S$5,0)-1))</f>
        <v>1.6190492157337826</v>
      </c>
      <c r="W105" s="531" cm="1">
        <f t="array" aca="1" ref="W105" ca="1">OFFSET(W105,-6,0)*
OFFSET(MSP!$G$1,
MATCH(OFFSET($C97,((MATCH($C97,EL_List,0)-1)*-10)-1,0),MSP!$C:$C,0)+MATCH($C97,EL_List,0)-1,0)
*INDEX(Learning!$E$6:$S$41,(MATCH(W$21,Dates,0)),(MATCH($C$86,Learning!$E$4:$S$4,0)+MATCH($C$97,Learning!$E$5:$S$5,0)-1))</f>
        <v>1.6911916170591828</v>
      </c>
      <c r="X105" s="531" cm="1">
        <f t="array" aca="1" ref="X105" ca="1">OFFSET(X105,-6,0)*
OFFSET(MSP!$G$1,
MATCH(OFFSET($C97,((MATCH($C97,EL_List,0)-1)*-10)-1,0),MSP!$C:$C,0)+MATCH($C97,EL_List,0)-1,0)
*INDEX(Learning!$E$6:$S$41,(MATCH(X$21,Dates,0)),(MATCH($C$86,Learning!$E$4:$S$4,0)+MATCH($C$97,Learning!$E$5:$S$5,0)-1))</f>
        <v>1.7682527402725174</v>
      </c>
      <c r="Y105" s="531" cm="1">
        <f t="array" aca="1" ref="Y105" ca="1">OFFSET(Y105,-6,0)*
OFFSET(MSP!$G$1,
MATCH(OFFSET($C97,((MATCH($C97,EL_List,0)-1)*-10)-1,0),MSP!$C:$C,0)+MATCH($C97,EL_List,0)-1,0)
*INDEX(Learning!$E$6:$S$41,(MATCH(Y$21,Dates,0)),(MATCH($C$86,Learning!$E$4:$S$4,0)+MATCH($C$97,Learning!$E$5:$S$5,0)-1))</f>
        <v>1.8486067696431006</v>
      </c>
      <c r="Z105" s="531" cm="1">
        <f t="array" aca="1" ref="Z105" ca="1">OFFSET(Z105,-6,0)*
OFFSET(MSP!$G$1,
MATCH(OFFSET($C97,((MATCH($C97,EL_List,0)-1)*-10)-1,0),MSP!$C:$C,0)+MATCH($C97,EL_List,0)-1,0)
*INDEX(Learning!$E$6:$S$41,(MATCH(Z$21,Dates,0)),(MATCH($C$86,Learning!$E$4:$S$4,0)+MATCH($C$97,Learning!$E$5:$S$5,0)-1))</f>
        <v>1.9303035829316193</v>
      </c>
      <c r="AA105" s="531" cm="1">
        <f t="array" aca="1" ref="AA105" ca="1">OFFSET(AA105,-6,0)*
OFFSET(MSP!$G$1,
MATCH(OFFSET($C97,((MATCH($C97,EL_List,0)-1)*-10)-1,0),MSP!$C:$C,0)+MATCH($C97,EL_List,0)-1,0)
*INDEX(Learning!$E$6:$S$41,(MATCH(AA$21,Dates,0)),(MATCH($C$86,Learning!$E$4:$S$4,0)+MATCH($C$97,Learning!$E$5:$S$5,0)-1))</f>
        <v>2.0175821919568873</v>
      </c>
      <c r="AB105" s="531" cm="1">
        <f t="array" aca="1" ref="AB105" ca="1">OFFSET(AB105,-6,0)*
OFFSET(MSP!$G$1,
MATCH(OFFSET($C97,((MATCH($C97,EL_List,0)-1)*-10)-1,0),MSP!$C:$C,0)+MATCH($C97,EL_List,0)-1,0)
*INDEX(Learning!$E$6:$S$41,(MATCH(AB$21,Dates,0)),(MATCH($C$86,Learning!$E$4:$S$4,0)+MATCH($C$97,Learning!$E$5:$S$5,0)-1))</f>
        <v>2.1086453767950655</v>
      </c>
      <c r="AC105" s="531" cm="1">
        <f t="array" aca="1" ref="AC105" ca="1">OFFSET(AC105,-6,0)*
OFFSET(MSP!$G$1,
MATCH(OFFSET($C97,((MATCH($C97,EL_List,0)-1)*-10)-1,0),MSP!$C:$C,0)+MATCH($C97,EL_List,0)-1,0)
*INDEX(Learning!$E$6:$S$41,(MATCH(AC$21,Dates,0)),(MATCH($C$86,Learning!$E$4:$S$4,0)+MATCH($C$97,Learning!$E$5:$S$5,0)-1))</f>
        <v>2.2036839585950698</v>
      </c>
      <c r="AD105" s="531" cm="1">
        <f t="array" aca="1" ref="AD105" ca="1">OFFSET(AD105,-6,0)*
OFFSET(MSP!$G$1,
MATCH(OFFSET($C97,((MATCH($C97,EL_List,0)-1)*-10)-1,0),MSP!$C:$C,0)+MATCH($C97,EL_List,0)-1,0)
*INDEX(Learning!$E$6:$S$41,(MATCH(AD$21,Dates,0)),(MATCH($C$86,Learning!$E$4:$S$4,0)+MATCH($C$97,Learning!$E$5:$S$5,0)-1))</f>
        <v>2.3028857478116911</v>
      </c>
      <c r="AE105" s="531" cm="1">
        <f t="array" aca="1" ref="AE105" ca="1">OFFSET(AE105,-6,0)*
OFFSET(MSP!$G$1,
MATCH(OFFSET($C97,((MATCH($C97,EL_List,0)-1)*-10)-1,0),MSP!$C:$C,0)+MATCH($C97,EL_List,0)-1,0)
*INDEX(Learning!$E$6:$S$41,(MATCH(AE$21,Dates,0)),(MATCH($C$86,Learning!$E$4:$S$4,0)+MATCH($C$97,Learning!$E$5:$S$5,0)-1))</f>
        <v>2.4064341760089296</v>
      </c>
      <c r="AF105" s="531" cm="1">
        <f t="array" aca="1" ref="AF105" ca="1">OFFSET(AF105,-6,0)*
OFFSET(MSP!$G$1,
MATCH(OFFSET($C97,((MATCH($C97,EL_List,0)-1)*-10)-1,0),MSP!$C:$C,0)+MATCH($C97,EL_List,0)-1,0)
*INDEX(Learning!$E$6:$S$41,(MATCH(AF$21,Dates,0)),(MATCH($C$86,Learning!$E$4:$S$4,0)+MATCH($C$97,Learning!$E$5:$S$5,0)-1))</f>
        <v>2.5145107084000289</v>
      </c>
      <c r="AG105" s="531" cm="1">
        <f t="array" aca="1" ref="AG105" ca="1">OFFSET(AG105,-6,0)*
OFFSET(MSP!$G$1,
MATCH(OFFSET($C97,((MATCH($C97,EL_List,0)-1)*-10)-1,0),MSP!$C:$C,0)+MATCH($C97,EL_List,0)-1,0)
*INDEX(Learning!$E$6:$S$41,(MATCH(AG$21,Dates,0)),(MATCH($C$86,Learning!$E$4:$S$4,0)+MATCH($C$97,Learning!$E$5:$S$5,0)-1))</f>
        <v>2.6273001143198185</v>
      </c>
      <c r="AH105" s="531" cm="1">
        <f t="array" aca="1" ref="AH105" ca="1">OFFSET(AH105,-6,0)*
OFFSET(MSP!$G$1,
MATCH(OFFSET($C97,((MATCH($C97,EL_List,0)-1)*-10)-1,0),MSP!$C:$C,0)+MATCH($C97,EL_List,0)-1,0)
*INDEX(Learning!$E$6:$S$41,(MATCH(AH$21,Dates,0)),(MATCH($C$86,Learning!$E$4:$S$4,0)+MATCH($C$97,Learning!$E$5:$S$5,0)-1))</f>
        <v>2.7449950754534362</v>
      </c>
      <c r="AI105" s="531" cm="1">
        <f t="array" aca="1" ref="AI105" ca="1">OFFSET(AI105,-6,0)*
OFFSET(MSP!$G$1,
MATCH(OFFSET($C97,((MATCH($C97,EL_List,0)-1)*-10)-1,0),MSP!$C:$C,0)+MATCH($C97,EL_List,0)-1,0)
*INDEX(Learning!$E$6:$S$41,(MATCH(AI$21,Dates,0)),(MATCH($C$86,Learning!$E$4:$S$4,0)+MATCH($C$97,Learning!$E$5:$S$5,0)-1))</f>
        <v>2.8677995002096379</v>
      </c>
      <c r="AJ105" s="531" cm="1">
        <f t="array" aca="1" ref="AJ105" ca="1">OFFSET(AJ105,-6,0)*
OFFSET(MSP!$G$1,
MATCH(OFFSET($C97,((MATCH($C97,EL_List,0)-1)*-10)-1,0),MSP!$C:$C,0)+MATCH($C97,EL_List,0)-1,0)
*INDEX(Learning!$E$6:$S$41,(MATCH(AJ$21,Dates,0)),(MATCH($C$86,Learning!$E$4:$S$4,0)+MATCH($C$97,Learning!$E$5:$S$5,0)-1))</f>
        <v>2.9959301164896464</v>
      </c>
      <c r="AK105" s="531" cm="1">
        <f t="array" aca="1" ref="AK105" ca="1">OFFSET(AK105,-6,0)*
OFFSET(MSP!$G$1,
MATCH(OFFSET($C97,((MATCH($C97,EL_List,0)-1)*-10)-1,0),MSP!$C:$C,0)+MATCH($C97,EL_List,0)-1,0)
*INDEX(Learning!$E$6:$S$41,(MATCH(AK$21,Dates,0)),(MATCH($C$86,Learning!$E$4:$S$4,0)+MATCH($C$97,Learning!$E$5:$S$5,0)-1))</f>
        <v>3.1296162375366086</v>
      </c>
      <c r="AL105" s="531" cm="1">
        <f t="array" aca="1" ref="AL105" ca="1">OFFSET(AL105,-6,0)*
OFFSET(MSP!$G$1,
MATCH(OFFSET($C97,((MATCH($C97,EL_List,0)-1)*-10)-1,0),MSP!$C:$C,0)+MATCH($C97,EL_List,0)-1,0)
*INDEX(Learning!$E$6:$S$41,(MATCH(AL$21,Dates,0)),(MATCH($C$86,Learning!$E$4:$S$4,0)+MATCH($C$97,Learning!$E$5:$S$5,0)-1))</f>
        <v>3.2728306177080428</v>
      </c>
      <c r="AM105" s="531" cm="1">
        <f t="array" aca="1" ref="AM105" ca="1">OFFSET(AM105,-6,0)*
OFFSET(MSP!$G$1,
MATCH(OFFSET($C97,((MATCH($C97,EL_List,0)-1)*-10)-1,0),MSP!$C:$C,0)+MATCH($C97,EL_List,0)-1,0)
*INDEX(Learning!$E$6:$S$41,(MATCH(AM$21,Dates,0)),(MATCH($C$86,Learning!$E$4:$S$4,0)+MATCH($C$97,Learning!$E$5:$S$5,0)-1))</f>
        <v>3.4185452902953823</v>
      </c>
      <c r="AN105" s="531" cm="1">
        <f t="array" aca="1" ref="AN105" ca="1">OFFSET(AN105,-6,0)*
OFFSET(MSP!$G$1,
MATCH(OFFSET($C97,((MATCH($C97,EL_List,0)-1)*-10)-1,0),MSP!$C:$C,0)+MATCH($C97,EL_List,0)-1,0)
*INDEX(Learning!$E$6:$S$41,(MATCH(AN$21,Dates,0)),(MATCH($C$86,Learning!$E$4:$S$4,0)+MATCH($C$97,Learning!$E$5:$S$5,0)-1))</f>
        <v>3.5729055504442391</v>
      </c>
      <c r="AO105" s="436"/>
      <c r="AP105" s="21"/>
    </row>
    <row r="106" spans="2:42" ht="15" customHeight="1" x14ac:dyDescent="0.35">
      <c r="B106" s="429"/>
      <c r="C106" s="776"/>
      <c r="D106" s="776"/>
      <c r="E106" s="776"/>
      <c r="F106" s="776"/>
      <c r="G106" s="776"/>
      <c r="H106" s="776"/>
      <c r="I106" s="776"/>
      <c r="J106" s="776"/>
      <c r="K106" s="776"/>
      <c r="L106" s="776"/>
      <c r="M106" s="776"/>
      <c r="N106" s="776"/>
      <c r="O106" s="776"/>
      <c r="P106" s="776"/>
      <c r="Q106" s="776"/>
      <c r="R106" s="776"/>
      <c r="S106" s="776"/>
      <c r="T106" s="776"/>
      <c r="U106" s="776"/>
      <c r="V106" s="776"/>
      <c r="W106" s="776"/>
      <c r="X106" s="776"/>
      <c r="Y106" s="776"/>
      <c r="Z106" s="776"/>
      <c r="AA106" s="776"/>
      <c r="AB106" s="776"/>
      <c r="AC106" s="776"/>
      <c r="AD106" s="776"/>
      <c r="AE106" s="776"/>
      <c r="AF106" s="776"/>
      <c r="AG106" s="776"/>
      <c r="AH106" s="776"/>
      <c r="AI106" s="776"/>
      <c r="AJ106" s="776"/>
      <c r="AK106" s="776"/>
      <c r="AL106" s="776"/>
      <c r="AM106" s="776"/>
      <c r="AN106" s="776"/>
      <c r="AO106" s="436"/>
      <c r="AP106" s="21"/>
    </row>
    <row r="107" spans="2:42" ht="15" customHeight="1" x14ac:dyDescent="0.35">
      <c r="B107" s="429"/>
      <c r="C107" s="772" t="s">
        <v>344</v>
      </c>
      <c r="D107" s="776"/>
      <c r="E107" s="776"/>
      <c r="F107" s="776"/>
      <c r="G107" s="776"/>
      <c r="H107" s="776"/>
      <c r="I107" s="776"/>
      <c r="J107" s="776"/>
      <c r="K107" s="776"/>
      <c r="L107" s="776"/>
      <c r="M107" s="776"/>
      <c r="N107" s="776"/>
      <c r="O107" s="776"/>
      <c r="P107" s="776"/>
      <c r="Q107" s="776"/>
      <c r="R107" s="776"/>
      <c r="S107" s="776"/>
      <c r="T107" s="776"/>
      <c r="U107" s="776"/>
      <c r="V107" s="776"/>
      <c r="W107" s="776"/>
      <c r="X107" s="776"/>
      <c r="Y107" s="776"/>
      <c r="Z107" s="776"/>
      <c r="AA107" s="776"/>
      <c r="AB107" s="776"/>
      <c r="AC107" s="776"/>
      <c r="AD107" s="776"/>
      <c r="AE107" s="776"/>
      <c r="AF107" s="776"/>
      <c r="AG107" s="776"/>
      <c r="AH107" s="776"/>
      <c r="AI107" s="776"/>
      <c r="AJ107" s="776"/>
      <c r="AK107" s="776"/>
      <c r="AL107" s="776"/>
      <c r="AM107" s="776"/>
      <c r="AN107" s="776"/>
      <c r="AO107" s="436"/>
      <c r="AP107" s="21"/>
    </row>
    <row r="108" spans="2:42" ht="15" customHeight="1" x14ac:dyDescent="0.35">
      <c r="B108" s="429"/>
      <c r="C108" s="777" t="s">
        <v>10</v>
      </c>
      <c r="D108" s="776"/>
      <c r="E108" s="778" cm="1">
        <f t="array" aca="1" ref="E108" ca="1">OFFSET(MSP!$C$1,
MATCH(OFFSET($C107,((MATCH($C107,EL_List,0)-1)*-10)-1,0),MSP!$C:$C,0)+MATCH($C107,EL_List,0)-1,
MATCH(OFFSET($C107,((MATCH($C107,EL_List,0)-1)*-10)-3,0),MSP!$D$5:$N$5,0)+1)
*INDEX(Learning!$E$6:$S$41,(MATCH(E$21,Dates,0)),(MATCH($C$86,Learning!$E$4:$S$4,0)+MATCH($C$107,Learning!$E$5:$S$5,0)-1))</f>
        <v>68.993406999999991</v>
      </c>
      <c r="F108" s="778" cm="1">
        <f t="array" aca="1" ref="F108" ca="1">OFFSET(MSP!$C$1,
MATCH(OFFSET($C107,((MATCH($C107,EL_List,0)-1)*-10)-1,0),MSP!$C:$C,0)+MATCH($C107,EL_List,0)-1,
MATCH(OFFSET($C107,((MATCH($C107,EL_List,0)-1)*-10)-3,0),MSP!$D$5:$N$5,0)+1)
*INDEX(Learning!$E$6:$S$41,(MATCH(F$21,Dates,0)),(MATCH($C$86,Learning!$E$4:$S$4,0)+MATCH($C$107,Learning!$E$5:$S$5,0)-1))</f>
        <v>68.464214999999996</v>
      </c>
      <c r="G108" s="778" cm="1">
        <f t="array" aca="1" ref="G108" ca="1">OFFSET(MSP!$C$1,
MATCH(OFFSET($C107,((MATCH($C107,EL_List,0)-1)*-10)-1,0),MSP!$C:$C,0)+MATCH($C107,EL_List,0)-1,
MATCH(OFFSET($C107,((MATCH($C107,EL_List,0)-1)*-10)-3,0),MSP!$D$5:$N$5,0)+1)
*INDEX(Learning!$E$6:$S$41,(MATCH(G$21,Dates,0)),(MATCH($C$86,Learning!$E$4:$S$4,0)+MATCH($C$107,Learning!$E$5:$S$5,0)-1))</f>
        <v>67.935023000000001</v>
      </c>
      <c r="H108" s="778" cm="1">
        <f t="array" aca="1" ref="H108" ca="1">OFFSET(MSP!$C$1,
MATCH(OFFSET($C107,((MATCH($C107,EL_List,0)-1)*-10)-1,0),MSP!$C:$C,0)+MATCH($C107,EL_List,0)-1,
MATCH(OFFSET($C107,((MATCH($C107,EL_List,0)-1)*-10)-3,0),MSP!$D$5:$N$5,0)+1)
*INDEX(Learning!$E$6:$S$41,(MATCH(H$21,Dates,0)),(MATCH($C$86,Learning!$E$4:$S$4,0)+MATCH($C$107,Learning!$E$5:$S$5,0)-1))</f>
        <v>67.471980000000002</v>
      </c>
      <c r="I108" s="778" cm="1">
        <f t="array" aca="1" ref="I108" ca="1">OFFSET(MSP!$C$1,
MATCH(OFFSET($C107,((MATCH($C107,EL_List,0)-1)*-10)-1,0),MSP!$C:$C,0)+MATCH($C107,EL_List,0)-1,
MATCH(OFFSET($C107,((MATCH($C107,EL_List,0)-1)*-10)-3,0),MSP!$D$5:$N$5,0)+1)
*INDEX(Learning!$E$6:$S$41,(MATCH(I$21,Dates,0)),(MATCH($C$86,Learning!$E$4:$S$4,0)+MATCH($C$107,Learning!$E$5:$S$5,0)-1))</f>
        <v>67.008936999999989</v>
      </c>
      <c r="J108" s="778" cm="1">
        <f t="array" aca="1" ref="J108" ca="1">OFFSET(MSP!$C$1,
MATCH(OFFSET($C107,((MATCH($C107,EL_List,0)-1)*-10)-1,0),MSP!$C:$C,0)+MATCH($C107,EL_List,0)-1,
MATCH(OFFSET($C107,((MATCH($C107,EL_List,0)-1)*-10)-3,0),MSP!$D$5:$N$5,0)+1)
*INDEX(Learning!$E$6:$S$41,(MATCH(J$21,Dates,0)),(MATCH($C$86,Learning!$E$4:$S$4,0)+MATCH($C$107,Learning!$E$5:$S$5,0)-1))</f>
        <v>66.545894000000004</v>
      </c>
      <c r="K108" s="778" cm="1">
        <f t="array" aca="1" ref="K108" ca="1">OFFSET(MSP!$C$1,
MATCH(OFFSET($C107,((MATCH($C107,EL_List,0)-1)*-10)-1,0),MSP!$C:$C,0)+MATCH($C107,EL_List,0)-1,
MATCH(OFFSET($C107,((MATCH($C107,EL_List,0)-1)*-10)-3,0),MSP!$D$5:$N$5,0)+1)
*INDEX(Learning!$E$6:$S$41,(MATCH(K$21,Dates,0)),(MATCH($C$86,Learning!$E$4:$S$4,0)+MATCH($C$107,Learning!$E$5:$S$5,0)-1))</f>
        <v>66.149000000000001</v>
      </c>
      <c r="L108" s="778" cm="1">
        <f t="array" aca="1" ref="L108" ca="1">OFFSET(MSP!$C$1,
MATCH(OFFSET($C107,((MATCH($C107,EL_List,0)-1)*-10)-1,0),MSP!$C:$C,0)+MATCH($C107,EL_List,0)-1,
MATCH(OFFSET($C107,((MATCH($C107,EL_List,0)-1)*-10)-3,0),MSP!$D$5:$N$5,0)+1)
*INDEX(Learning!$E$6:$S$41,(MATCH(L$21,Dates,0)),(MATCH($C$86,Learning!$E$4:$S$4,0)+MATCH($C$107,Learning!$E$5:$S$5,0)-1))</f>
        <v>65.752105999999998</v>
      </c>
      <c r="M108" s="778" cm="1">
        <f t="array" aca="1" ref="M108" ca="1">OFFSET(MSP!$C$1,
MATCH(OFFSET($C107,((MATCH($C107,EL_List,0)-1)*-10)-1,0),MSP!$C:$C,0)+MATCH($C107,EL_List,0)-1,
MATCH(OFFSET($C107,((MATCH($C107,EL_List,0)-1)*-10)-3,0),MSP!$D$5:$N$5,0)+1)
*INDEX(Learning!$E$6:$S$41,(MATCH(M$21,Dates,0)),(MATCH($C$86,Learning!$E$4:$S$4,0)+MATCH($C$107,Learning!$E$5:$S$5,0)-1))</f>
        <v>65.355211999999995</v>
      </c>
      <c r="N108" s="778" cm="1">
        <f t="array" aca="1" ref="N108" ca="1">OFFSET(MSP!$C$1,
MATCH(OFFSET($C107,((MATCH($C107,EL_List,0)-1)*-10)-1,0),MSP!$C:$C,0)+MATCH($C107,EL_List,0)-1,
MATCH(OFFSET($C107,((MATCH($C107,EL_List,0)-1)*-10)-3,0),MSP!$D$5:$N$5,0)+1)
*INDEX(Learning!$E$6:$S$41,(MATCH(N$21,Dates,0)),(MATCH($C$86,Learning!$E$4:$S$4,0)+MATCH($C$107,Learning!$E$5:$S$5,0)-1))</f>
        <v>64.958318000000006</v>
      </c>
      <c r="O108" s="778" cm="1">
        <f t="array" aca="1" ref="O108" ca="1">OFFSET(MSP!$C$1,
MATCH(OFFSET($C107,((MATCH($C107,EL_List,0)-1)*-10)-1,0),MSP!$C:$C,0)+MATCH($C107,EL_List,0)-1,
MATCH(OFFSET($C107,((MATCH($C107,EL_List,0)-1)*-10)-3,0),MSP!$D$5:$N$5,0)+1)
*INDEX(Learning!$E$6:$S$41,(MATCH(O$21,Dates,0)),(MATCH($C$86,Learning!$E$4:$S$4,0)+MATCH($C$107,Learning!$E$5:$S$5,0)-1))</f>
        <v>64.561424000000002</v>
      </c>
      <c r="P108" s="778" cm="1">
        <f t="array" aca="1" ref="P108" ca="1">OFFSET(MSP!$C$1,
MATCH(OFFSET($C107,((MATCH($C107,EL_List,0)-1)*-10)-1,0),MSP!$C:$C,0)+MATCH($C107,EL_List,0)-1,
MATCH(OFFSET($C107,((MATCH($C107,EL_List,0)-1)*-10)-3,0),MSP!$D$5:$N$5,0)+1)
*INDEX(Learning!$E$6:$S$41,(MATCH(P$21,Dates,0)),(MATCH($C$86,Learning!$E$4:$S$4,0)+MATCH($C$107,Learning!$E$5:$S$5,0)-1))</f>
        <v>64.230678999999995</v>
      </c>
      <c r="Q108" s="778" cm="1">
        <f t="array" aca="1" ref="Q108" ca="1">OFFSET(MSP!$C$1,
MATCH(OFFSET($C107,((MATCH($C107,EL_List,0)-1)*-10)-1,0),MSP!$C:$C,0)+MATCH($C107,EL_List,0)-1,
MATCH(OFFSET($C107,((MATCH($C107,EL_List,0)-1)*-10)-3,0),MSP!$D$5:$N$5,0)+1)
*INDEX(Learning!$E$6:$S$41,(MATCH(Q$21,Dates,0)),(MATCH($C$86,Learning!$E$4:$S$4,0)+MATCH($C$107,Learning!$E$5:$S$5,0)-1))</f>
        <v>63.899934000000002</v>
      </c>
      <c r="R108" s="778" cm="1">
        <f t="array" aca="1" ref="R108" ca="1">OFFSET(MSP!$C$1,
MATCH(OFFSET($C107,((MATCH($C107,EL_List,0)-1)*-10)-1,0),MSP!$C:$C,0)+MATCH($C107,EL_List,0)-1,
MATCH(OFFSET($C107,((MATCH($C107,EL_List,0)-1)*-10)-3,0),MSP!$D$5:$N$5,0)+1)
*INDEX(Learning!$E$6:$S$41,(MATCH(R$21,Dates,0)),(MATCH($C$86,Learning!$E$4:$S$4,0)+MATCH($C$107,Learning!$E$5:$S$5,0)-1))</f>
        <v>63.503039999999999</v>
      </c>
      <c r="S108" s="778" cm="1">
        <f t="array" aca="1" ref="S108" ca="1">OFFSET(MSP!$C$1,
MATCH(OFFSET($C107,((MATCH($C107,EL_List,0)-1)*-10)-1,0),MSP!$C:$C,0)+MATCH($C107,EL_List,0)-1,
MATCH(OFFSET($C107,((MATCH($C107,EL_List,0)-1)*-10)-3,0),MSP!$D$5:$N$5,0)+1)
*INDEX(Learning!$E$6:$S$41,(MATCH(S$21,Dates,0)),(MATCH($C$86,Learning!$E$4:$S$4,0)+MATCH($C$107,Learning!$E$5:$S$5,0)-1))</f>
        <v>63.172294999999998</v>
      </c>
      <c r="T108" s="778" cm="1">
        <f t="array" aca="1" ref="T108" ca="1">OFFSET(MSP!$C$1,
MATCH(OFFSET($C107,((MATCH($C107,EL_List,0)-1)*-10)-1,0),MSP!$C:$C,0)+MATCH($C107,EL_List,0)-1,
MATCH(OFFSET($C107,((MATCH($C107,EL_List,0)-1)*-10)-3,0),MSP!$D$5:$N$5,0)+1)
*INDEX(Learning!$E$6:$S$41,(MATCH(T$21,Dates,0)),(MATCH($C$86,Learning!$E$4:$S$4,0)+MATCH($C$107,Learning!$E$5:$S$5,0)-1))</f>
        <v>62.841549999999998</v>
      </c>
      <c r="U108" s="778" cm="1">
        <f t="array" aca="1" ref="U108" ca="1">OFFSET(MSP!$C$1,
MATCH(OFFSET($C107,((MATCH($C107,EL_List,0)-1)*-10)-1,0),MSP!$C:$C,0)+MATCH($C107,EL_List,0)-1,
MATCH(OFFSET($C107,((MATCH($C107,EL_List,0)-1)*-10)-3,0),MSP!$D$5:$N$5,0)+1)
*INDEX(Learning!$E$6:$S$41,(MATCH(U$21,Dates,0)),(MATCH($C$86,Learning!$E$4:$S$4,0)+MATCH($C$107,Learning!$E$5:$S$5,0)-1))</f>
        <v>62.576954000000001</v>
      </c>
      <c r="V108" s="778" cm="1">
        <f t="array" aca="1" ref="V108" ca="1">OFFSET(MSP!$C$1,
MATCH(OFFSET($C107,((MATCH($C107,EL_List,0)-1)*-10)-1,0),MSP!$C:$C,0)+MATCH($C107,EL_List,0)-1,
MATCH(OFFSET($C107,((MATCH($C107,EL_List,0)-1)*-10)-3,0),MSP!$D$5:$N$5,0)+1)
*INDEX(Learning!$E$6:$S$41,(MATCH(V$21,Dates,0)),(MATCH($C$86,Learning!$E$4:$S$4,0)+MATCH($C$107,Learning!$E$5:$S$5,0)-1))</f>
        <v>62.246209</v>
      </c>
      <c r="W108" s="778" cm="1">
        <f t="array" aca="1" ref="W108" ca="1">OFFSET(MSP!$C$1,
MATCH(OFFSET($C107,((MATCH($C107,EL_List,0)-1)*-10)-1,0),MSP!$C:$C,0)+MATCH($C107,EL_List,0)-1,
MATCH(OFFSET($C107,((MATCH($C107,EL_List,0)-1)*-10)-3,0),MSP!$D$5:$N$5,0)+1)
*INDEX(Learning!$E$6:$S$41,(MATCH(W$21,Dates,0)),(MATCH($C$86,Learning!$E$4:$S$4,0)+MATCH($C$107,Learning!$E$5:$S$5,0)-1))</f>
        <v>61.915464000000007</v>
      </c>
      <c r="X108" s="778" cm="1">
        <f t="array" aca="1" ref="X108" ca="1">OFFSET(MSP!$C$1,
MATCH(OFFSET($C107,((MATCH($C107,EL_List,0)-1)*-10)-1,0),MSP!$C:$C,0)+MATCH($C107,EL_List,0)-1,
MATCH(OFFSET($C107,((MATCH($C107,EL_List,0)-1)*-10)-3,0),MSP!$D$5:$N$5,0)+1)
*INDEX(Learning!$E$6:$S$41,(MATCH(X$21,Dates,0)),(MATCH($C$86,Learning!$E$4:$S$4,0)+MATCH($C$107,Learning!$E$5:$S$5,0)-1))</f>
        <v>61.650868000000003</v>
      </c>
      <c r="Y108" s="778" cm="1">
        <f t="array" aca="1" ref="Y108" ca="1">OFFSET(MSP!$C$1,
MATCH(OFFSET($C107,((MATCH($C107,EL_List,0)-1)*-10)-1,0),MSP!$C:$C,0)+MATCH($C107,EL_List,0)-1,
MATCH(OFFSET($C107,((MATCH($C107,EL_List,0)-1)*-10)-3,0),MSP!$D$5:$N$5,0)+1)
*INDEX(Learning!$E$6:$S$41,(MATCH(Y$21,Dates,0)),(MATCH($C$86,Learning!$E$4:$S$4,0)+MATCH($C$107,Learning!$E$5:$S$5,0)-1))</f>
        <v>61.320123000000002</v>
      </c>
      <c r="Z108" s="778" cm="1">
        <f t="array" aca="1" ref="Z108" ca="1">OFFSET(MSP!$C$1,
MATCH(OFFSET($C107,((MATCH($C107,EL_List,0)-1)*-10)-1,0),MSP!$C:$C,0)+MATCH($C107,EL_List,0)-1,
MATCH(OFFSET($C107,((MATCH($C107,EL_List,0)-1)*-10)-3,0),MSP!$D$5:$N$5,0)+1)
*INDEX(Learning!$E$6:$S$41,(MATCH(Z$21,Dates,0)),(MATCH($C$86,Learning!$E$4:$S$4,0)+MATCH($C$107,Learning!$E$5:$S$5,0)-1))</f>
        <v>61.055527000000005</v>
      </c>
      <c r="AA108" s="778" cm="1">
        <f t="array" aca="1" ref="AA108" ca="1">OFFSET(MSP!$C$1,
MATCH(OFFSET($C107,((MATCH($C107,EL_List,0)-1)*-10)-1,0),MSP!$C:$C,0)+MATCH($C107,EL_List,0)-1,
MATCH(OFFSET($C107,((MATCH($C107,EL_List,0)-1)*-10)-3,0),MSP!$D$5:$N$5,0)+1)
*INDEX(Learning!$E$6:$S$41,(MATCH(AA$21,Dates,0)),(MATCH($C$86,Learning!$E$4:$S$4,0)+MATCH($C$107,Learning!$E$5:$S$5,0)-1))</f>
        <v>60.724782000000005</v>
      </c>
      <c r="AB108" s="778" cm="1">
        <f t="array" aca="1" ref="AB108" ca="1">OFFSET(MSP!$C$1,
MATCH(OFFSET($C107,((MATCH($C107,EL_List,0)-1)*-10)-1,0),MSP!$C:$C,0)+MATCH($C107,EL_List,0)-1,
MATCH(OFFSET($C107,((MATCH($C107,EL_List,0)-1)*-10)-3,0),MSP!$D$5:$N$5,0)+1)
*INDEX(Learning!$E$6:$S$41,(MATCH(AB$21,Dates,0)),(MATCH($C$86,Learning!$E$4:$S$4,0)+MATCH($C$107,Learning!$E$5:$S$5,0)-1))</f>
        <v>60.460186</v>
      </c>
      <c r="AC108" s="778" cm="1">
        <f t="array" aca="1" ref="AC108" ca="1">OFFSET(MSP!$C$1,
MATCH(OFFSET($C107,((MATCH($C107,EL_List,0)-1)*-10)-1,0),MSP!$C:$C,0)+MATCH($C107,EL_List,0)-1,
MATCH(OFFSET($C107,((MATCH($C107,EL_List,0)-1)*-10)-3,0),MSP!$D$5:$N$5,0)+1)
*INDEX(Learning!$E$6:$S$41,(MATCH(AC$21,Dates,0)),(MATCH($C$86,Learning!$E$4:$S$4,0)+MATCH($C$107,Learning!$E$5:$S$5,0)-1))</f>
        <v>60.195590000000003</v>
      </c>
      <c r="AD108" s="778" cm="1">
        <f t="array" aca="1" ref="AD108" ca="1">OFFSET(MSP!$C$1,
MATCH(OFFSET($C107,((MATCH($C107,EL_List,0)-1)*-10)-1,0),MSP!$C:$C,0)+MATCH($C107,EL_List,0)-1,
MATCH(OFFSET($C107,((MATCH($C107,EL_List,0)-1)*-10)-3,0),MSP!$D$5:$N$5,0)+1)
*INDEX(Learning!$E$6:$S$41,(MATCH(AD$21,Dates,0)),(MATCH($C$86,Learning!$E$4:$S$4,0)+MATCH($C$107,Learning!$E$5:$S$5,0)-1))</f>
        <v>59.930994000000005</v>
      </c>
      <c r="AE108" s="778" cm="1">
        <f t="array" aca="1" ref="AE108" ca="1">OFFSET(MSP!$C$1,
MATCH(OFFSET($C107,((MATCH($C107,EL_List,0)-1)*-10)-1,0),MSP!$C:$C,0)+MATCH($C107,EL_List,0)-1,
MATCH(OFFSET($C107,((MATCH($C107,EL_List,0)-1)*-10)-3,0),MSP!$D$5:$N$5,0)+1)
*INDEX(Learning!$E$6:$S$41,(MATCH(AE$21,Dates,0)),(MATCH($C$86,Learning!$E$4:$S$4,0)+MATCH($C$107,Learning!$E$5:$S$5,0)-1))</f>
        <v>59.666398000000001</v>
      </c>
      <c r="AF108" s="778" cm="1">
        <f t="array" aca="1" ref="AF108" ca="1">OFFSET(MSP!$C$1,
MATCH(OFFSET($C107,((MATCH($C107,EL_List,0)-1)*-10)-1,0),MSP!$C:$C,0)+MATCH($C107,EL_List,0)-1,
MATCH(OFFSET($C107,((MATCH($C107,EL_List,0)-1)*-10)-3,0),MSP!$D$5:$N$5,0)+1)
*INDEX(Learning!$E$6:$S$41,(MATCH(AF$21,Dates,0)),(MATCH($C$86,Learning!$E$4:$S$4,0)+MATCH($C$107,Learning!$E$5:$S$5,0)-1))</f>
        <v>59.335653000000001</v>
      </c>
      <c r="AG108" s="778" cm="1">
        <f t="array" aca="1" ref="AG108" ca="1">OFFSET(MSP!$C$1,
MATCH(OFFSET($C107,((MATCH($C107,EL_List,0)-1)*-10)-1,0),MSP!$C:$C,0)+MATCH($C107,EL_List,0)-1,
MATCH(OFFSET($C107,((MATCH($C107,EL_List,0)-1)*-10)-3,0),MSP!$D$5:$N$5,0)+1)
*INDEX(Learning!$E$6:$S$41,(MATCH(AG$21,Dates,0)),(MATCH($C$86,Learning!$E$4:$S$4,0)+MATCH($C$107,Learning!$E$5:$S$5,0)-1))</f>
        <v>59.071057000000003</v>
      </c>
      <c r="AH108" s="778" cm="1">
        <f t="array" aca="1" ref="AH108" ca="1">OFFSET(MSP!$C$1,
MATCH(OFFSET($C107,((MATCH($C107,EL_List,0)-1)*-10)-1,0),MSP!$C:$C,0)+MATCH($C107,EL_List,0)-1,
MATCH(OFFSET($C107,((MATCH($C107,EL_List,0)-1)*-10)-3,0),MSP!$D$5:$N$5,0)+1)
*INDEX(Learning!$E$6:$S$41,(MATCH(AH$21,Dates,0)),(MATCH($C$86,Learning!$E$4:$S$4,0)+MATCH($C$107,Learning!$E$5:$S$5,0)-1))</f>
        <v>58.872610000000002</v>
      </c>
      <c r="AI108" s="778" cm="1">
        <f t="array" aca="1" ref="AI108" ca="1">OFFSET(MSP!$C$1,
MATCH(OFFSET($C107,((MATCH($C107,EL_List,0)-1)*-10)-1,0),MSP!$C:$C,0)+MATCH($C107,EL_List,0)-1,
MATCH(OFFSET($C107,((MATCH($C107,EL_List,0)-1)*-10)-3,0),MSP!$D$5:$N$5,0)+1)
*INDEX(Learning!$E$6:$S$41,(MATCH(AI$21,Dates,0)),(MATCH($C$86,Learning!$E$4:$S$4,0)+MATCH($C$107,Learning!$E$5:$S$5,0)-1))</f>
        <v>58.608014000000004</v>
      </c>
      <c r="AJ108" s="778" cm="1">
        <f t="array" aca="1" ref="AJ108" ca="1">OFFSET(MSP!$C$1,
MATCH(OFFSET($C107,((MATCH($C107,EL_List,0)-1)*-10)-1,0),MSP!$C:$C,0)+MATCH($C107,EL_List,0)-1,
MATCH(OFFSET($C107,((MATCH($C107,EL_List,0)-1)*-10)-3,0),MSP!$D$5:$N$5,0)+1)
*INDEX(Learning!$E$6:$S$41,(MATCH(AJ$21,Dates,0)),(MATCH($C$86,Learning!$E$4:$S$4,0)+MATCH($C$107,Learning!$E$5:$S$5,0)-1))</f>
        <v>58.343418</v>
      </c>
      <c r="AK108" s="778" cm="1">
        <f t="array" aca="1" ref="AK108" ca="1">OFFSET(MSP!$C$1,
MATCH(OFFSET($C107,((MATCH($C107,EL_List,0)-1)*-10)-1,0),MSP!$C:$C,0)+MATCH($C107,EL_List,0)-1,
MATCH(OFFSET($C107,((MATCH($C107,EL_List,0)-1)*-10)-3,0),MSP!$D$5:$N$5,0)+1)
*INDEX(Learning!$E$6:$S$41,(MATCH(AK$21,Dates,0)),(MATCH($C$86,Learning!$E$4:$S$4,0)+MATCH($C$107,Learning!$E$5:$S$5,0)-1))</f>
        <v>58.078822000000002</v>
      </c>
      <c r="AL108" s="778" cm="1">
        <f t="array" aca="1" ref="AL108" ca="1">OFFSET(MSP!$C$1,
MATCH(OFFSET($C107,((MATCH($C107,EL_List,0)-1)*-10)-1,0),MSP!$C:$C,0)+MATCH($C107,EL_List,0)-1,
MATCH(OFFSET($C107,((MATCH($C107,EL_List,0)-1)*-10)-3,0),MSP!$D$5:$N$5,0)+1)
*INDEX(Learning!$E$6:$S$41,(MATCH(AL$21,Dates,0)),(MATCH($C$86,Learning!$E$4:$S$4,0)+MATCH($C$107,Learning!$E$5:$S$5,0)-1))</f>
        <v>57.814225999999998</v>
      </c>
      <c r="AM108" s="778" cm="1">
        <f t="array" aca="1" ref="AM108" ca="1">OFFSET(MSP!$C$1,
MATCH(OFFSET($C107,((MATCH($C107,EL_List,0)-1)*-10)-1,0),MSP!$C:$C,0)+MATCH($C107,EL_List,0)-1,
MATCH(OFFSET($C107,((MATCH($C107,EL_List,0)-1)*-10)-3,0),MSP!$D$5:$N$5,0)+1)
*INDEX(Learning!$E$6:$S$41,(MATCH(AM$21,Dates,0)),(MATCH($C$86,Learning!$E$4:$S$4,0)+MATCH($C$107,Learning!$E$5:$S$5,0)-1))</f>
        <v>57.615779000000003</v>
      </c>
      <c r="AN108" s="778" cm="1">
        <f t="array" aca="1" ref="AN108" ca="1">OFFSET(MSP!$C$1,
MATCH(OFFSET($C107,((MATCH($C107,EL_List,0)-1)*-10)-1,0),MSP!$C:$C,0)+MATCH($C107,EL_List,0)-1,
MATCH(OFFSET($C107,((MATCH($C107,EL_List,0)-1)*-10)-3,0),MSP!$D$5:$N$5,0)+1)
*INDEX(Learning!$E$6:$S$41,(MATCH(AN$21,Dates,0)),(MATCH($C$86,Learning!$E$4:$S$4,0)+MATCH($C$107,Learning!$E$5:$S$5,0)-1))</f>
        <v>57.340844395248673</v>
      </c>
      <c r="AO108" s="436"/>
      <c r="AP108" s="21"/>
    </row>
    <row r="109" spans="2:42" ht="15" customHeight="1" x14ac:dyDescent="0.35">
      <c r="B109" s="429"/>
      <c r="C109" s="777" t="s">
        <v>78</v>
      </c>
      <c r="D109" s="776"/>
      <c r="E109" s="530">
        <f ca="1">OFFSET(OFFSET(Shipments!$D$1,0,MATCH(E$7,Dates)),
MATCH(OFFSET($C107,((MATCH($C107,EL_List,0)-1)*-10)-3,0),Shipments!$C:$C,0)+
MATCH(OFFSET($C107,((MATCH($C107,EL_List,0)-1)*-10)-1,0),Shipments!$D:$D,0)+
MATCH($C107,EL_List,0)-10,
MATCH(Shipments_Scenario_X,Shipments!$F$5:$AQ$5,0))</f>
        <v>0.51102881924505583</v>
      </c>
      <c r="F109" s="530">
        <f ca="1">OFFSET(OFFSET(Shipments!$D$1,0,MATCH(F$7,Dates)),
MATCH(OFFSET($C107,((MATCH($C107,EL_List,0)-1)*-10)-3,0),Shipments!$C:$C,0)+
MATCH(OFFSET($C107,((MATCH($C107,EL_List,0)-1)*-10)-1,0),Shipments!$D:$D,0)+
MATCH($C107,EL_List,0)-10,
MATCH(Shipments_Scenario_X,Shipments!$F$5:$AQ$5,0))</f>
        <v>0.53388128959375059</v>
      </c>
      <c r="G109" s="530">
        <f ca="1">OFFSET(OFFSET(Shipments!$D$1,0,MATCH(G$7,Dates)),
MATCH(OFFSET($C107,((MATCH($C107,EL_List,0)-1)*-10)-3,0),Shipments!$C:$C,0)+
MATCH(OFFSET($C107,((MATCH($C107,EL_List,0)-1)*-10)-1,0),Shipments!$D:$D,0)+
MATCH($C107,EL_List,0)-10,
MATCH(Shipments_Scenario_X,Shipments!$F$5:$AQ$5,0))</f>
        <v>0.55435959792725598</v>
      </c>
      <c r="H109" s="530">
        <f ca="1">OFFSET(OFFSET(Shipments!$D$1,0,MATCH(H$7,Dates)),
MATCH(OFFSET($C107,((MATCH($C107,EL_List,0)-1)*-10)-3,0),Shipments!$C:$C,0)+
MATCH(OFFSET($C107,((MATCH($C107,EL_List,0)-1)*-10)-1,0),Shipments!$D:$D,0)+
MATCH($C107,EL_List,0)-10,
MATCH(Shipments_Scenario_X,Shipments!$F$5:$AQ$5,0))</f>
        <v>0.58039398679555965</v>
      </c>
      <c r="I109" s="530">
        <f ca="1">OFFSET(OFFSET(Shipments!$D$1,0,MATCH(I$7,Dates)),
MATCH(OFFSET($C107,((MATCH($C107,EL_List,0)-1)*-10)-3,0),Shipments!$C:$C,0)+
MATCH(OFFSET($C107,((MATCH($C107,EL_List,0)-1)*-10)-1,0),Shipments!$D:$D,0)+
MATCH($C107,EL_List,0)-10,
MATCH(Shipments_Scenario_X,Shipments!$F$5:$AQ$5,0))</f>
        <v>0.60832965844823139</v>
      </c>
      <c r="J109" s="530">
        <f ca="1">OFFSET(OFFSET(Shipments!$D$1,0,MATCH(J$7,Dates)),
MATCH(OFFSET($C107,((MATCH($C107,EL_List,0)-1)*-10)-3,0),Shipments!$C:$C,0)+
MATCH(OFFSET($C107,((MATCH($C107,EL_List,0)-1)*-10)-1,0),Shipments!$D:$D,0)+
MATCH($C107,EL_List,0)-10,
MATCH(Shipments_Scenario_X,Shipments!$F$5:$AQ$5,0))</f>
        <v>0.63924579799280057</v>
      </c>
      <c r="K109" s="530">
        <f ca="1">OFFSET(OFFSET(Shipments!$D$1,0,MATCH(K$7,Dates)),
MATCH(OFFSET($C107,((MATCH($C107,EL_List,0)-1)*-10)-3,0),Shipments!$C:$C,0)+
MATCH(OFFSET($C107,((MATCH($C107,EL_List,0)-1)*-10)-1,0),Shipments!$D:$D,0)+
MATCH($C107,EL_List,0)-10,
MATCH(Shipments_Scenario_X,Shipments!$F$5:$AQ$5,0))</f>
        <v>0.67277875634790174</v>
      </c>
      <c r="L109" s="530">
        <f ca="1">OFFSET(OFFSET(Shipments!$D$1,0,MATCH(L$7,Dates)),
MATCH(OFFSET($C107,((MATCH($C107,EL_List,0)-1)*-10)-3,0),Shipments!$C:$C,0)+
MATCH(OFFSET($C107,((MATCH($C107,EL_List,0)-1)*-10)-1,0),Shipments!$D:$D,0)+
MATCH($C107,EL_List,0)-10,
MATCH(Shipments_Scenario_X,Shipments!$F$5:$AQ$5,0))</f>
        <v>0.70838274420644143</v>
      </c>
      <c r="M109" s="530">
        <f ca="1">OFFSET(OFFSET(Shipments!$D$1,0,MATCH(M$7,Dates)),
MATCH(OFFSET($C107,((MATCH($C107,EL_List,0)-1)*-10)-3,0),Shipments!$C:$C,0)+
MATCH(OFFSET($C107,((MATCH($C107,EL_List,0)-1)*-10)-1,0),Shipments!$D:$D,0)+
MATCH($C107,EL_List,0)-10,
MATCH(Shipments_Scenario_X,Shipments!$F$5:$AQ$5,0))</f>
        <v>0.7456318415248</v>
      </c>
      <c r="N109" s="530">
        <f ca="1">OFFSET(OFFSET(Shipments!$D$1,0,MATCH(N$7,Dates)),
MATCH(OFFSET($C107,((MATCH($C107,EL_List,0)-1)*-10)-3,0),Shipments!$C:$C,0)+
MATCH(OFFSET($C107,((MATCH($C107,EL_List,0)-1)*-10)-1,0),Shipments!$D:$D,0)+
MATCH($C107,EL_List,0)-10,
MATCH(Shipments_Scenario_X,Shipments!$F$5:$AQ$5,0))</f>
        <v>0.78424227578953976</v>
      </c>
      <c r="O109" s="530">
        <f ca="1">OFFSET(OFFSET(Shipments!$D$1,0,MATCH(O$7,Dates)),
MATCH(OFFSET($C107,((MATCH($C107,EL_List,0)-1)*-10)-3,0),Shipments!$C:$C,0)+
MATCH(OFFSET($C107,((MATCH($C107,EL_List,0)-1)*-10)-1,0),Shipments!$D:$D,0)+
MATCH($C107,EL_List,0)-10,
MATCH(Shipments_Scenario_X,Shipments!$F$5:$AQ$5,0))</f>
        <v>0.8241973731617338</v>
      </c>
      <c r="P109" s="530">
        <f ca="1">OFFSET(OFFSET(Shipments!$D$1,0,MATCH(P$7,Dates)),
MATCH(OFFSET($C107,((MATCH($C107,EL_List,0)-1)*-10)-3,0),Shipments!$C:$C,0)+
MATCH(OFFSET($C107,((MATCH($C107,EL_List,0)-1)*-10)-1,0),Shipments!$D:$D,0)+
MATCH($C107,EL_List,0)-10,
MATCH(Shipments_Scenario_X,Shipments!$F$5:$AQ$5,0))</f>
        <v>0.86566825624733579</v>
      </c>
      <c r="Q109" s="530">
        <f ca="1">OFFSET(OFFSET(Shipments!$D$1,0,MATCH(Q$7,Dates)),
MATCH(OFFSET($C107,((MATCH($C107,EL_List,0)-1)*-10)-3,0),Shipments!$C:$C,0)+
MATCH(OFFSET($C107,((MATCH($C107,EL_List,0)-1)*-10)-1,0),Shipments!$D:$D,0)+
MATCH($C107,EL_List,0)-10,
MATCH(Shipments_Scenario_X,Shipments!$F$5:$AQ$5,0))</f>
        <v>0.90891638052015122</v>
      </c>
      <c r="R109" s="530">
        <f ca="1">OFFSET(OFFSET(Shipments!$D$1,0,MATCH(R$7,Dates)),
MATCH(OFFSET($C107,((MATCH($C107,EL_List,0)-1)*-10)-3,0),Shipments!$C:$C,0)+
MATCH(OFFSET($C107,((MATCH($C107,EL_List,0)-1)*-10)-1,0),Shipments!$D:$D,0)+
MATCH($C107,EL_List,0)-10,
MATCH(Shipments_Scenario_X,Shipments!$F$5:$AQ$5,0))</f>
        <v>0.95424694283392775</v>
      </c>
      <c r="S109" s="530">
        <f ca="1">OFFSET(OFFSET(Shipments!$D$1,0,MATCH(S$7,Dates)),
MATCH(OFFSET($C107,((MATCH($C107,EL_List,0)-1)*-10)-3,0),Shipments!$C:$C,0)+
MATCH(OFFSET($C107,((MATCH($C107,EL_List,0)-1)*-10)-1,0),Shipments!$D:$D,0)+
MATCH($C107,EL_List,0)-10,
MATCH(Shipments_Scenario_X,Shipments!$F$5:$AQ$5,0))</f>
        <v>1.0019164365474365</v>
      </c>
      <c r="T109" s="530">
        <f ca="1">OFFSET(OFFSET(Shipments!$D$1,0,MATCH(T$7,Dates)),
MATCH(OFFSET($C107,((MATCH($C107,EL_List,0)-1)*-10)-3,0),Shipments!$C:$C,0)+
MATCH(OFFSET($C107,((MATCH($C107,EL_List,0)-1)*-10)-1,0),Shipments!$D:$D,0)+
MATCH($C107,EL_List,0)-10,
MATCH(Shipments_Scenario_X,Shipments!$F$5:$AQ$5,0))</f>
        <v>1.0520871462294468</v>
      </c>
      <c r="U109" s="530">
        <f ca="1">OFFSET(OFFSET(Shipments!$D$1,0,MATCH(U$7,Dates)),
MATCH(OFFSET($C107,((MATCH($C107,EL_List,0)-1)*-10)-3,0),Shipments!$C:$C,0)+
MATCH(OFFSET($C107,((MATCH($C107,EL_List,0)-1)*-10)-1,0),Shipments!$D:$D,0)+
MATCH($C107,EL_List,0)-10,
MATCH(Shipments_Scenario_X,Shipments!$F$5:$AQ$5,0))</f>
        <v>1.1049394362040159</v>
      </c>
      <c r="V109" s="530">
        <f ca="1">OFFSET(OFFSET(Shipments!$D$1,0,MATCH(V$7,Dates)),
MATCH(OFFSET($C107,((MATCH($C107,EL_List,0)-1)*-10)-3,0),Shipments!$C:$C,0)+
MATCH(OFFSET($C107,((MATCH($C107,EL_List,0)-1)*-10)-1,0),Shipments!$D:$D,0)+
MATCH($C107,EL_List,0)-10,
MATCH(Shipments_Scenario_X,Shipments!$F$5:$AQ$5,0))</f>
        <v>1.1603673922409889</v>
      </c>
      <c r="W109" s="530">
        <f ca="1">OFFSET(OFFSET(Shipments!$D$1,0,MATCH(W$7,Dates)),
MATCH(OFFSET($C107,((MATCH($C107,EL_List,0)-1)*-10)-3,0),Shipments!$C:$C,0)+
MATCH(OFFSET($C107,((MATCH($C107,EL_List,0)-1)*-10)-1,0),Shipments!$D:$D,0)+
MATCH($C107,EL_List,0)-10,
MATCH(Shipments_Scenario_X,Shipments!$F$5:$AQ$5,0))</f>
        <v>1.2185394519135284</v>
      </c>
      <c r="X109" s="530">
        <f ca="1">OFFSET(OFFSET(Shipments!$D$1,0,MATCH(X$7,Dates)),
MATCH(OFFSET($C107,((MATCH($C107,EL_List,0)-1)*-10)-3,0),Shipments!$C:$C,0)+
MATCH(OFFSET($C107,((MATCH($C107,EL_List,0)-1)*-10)-1,0),Shipments!$D:$D,0)+
MATCH($C107,EL_List,0)-10,
MATCH(Shipments_Scenario_X,Shipments!$F$5:$AQ$5,0))</f>
        <v>1.2795258501212912</v>
      </c>
      <c r="Y109" s="530">
        <f ca="1">OFFSET(OFFSET(Shipments!$D$1,0,MATCH(Y$7,Dates)),
MATCH(OFFSET($C107,((MATCH($C107,EL_List,0)-1)*-10)-3,0),Shipments!$C:$C,0)+
MATCH(OFFSET($C107,((MATCH($C107,EL_List,0)-1)*-10)-1,0),Shipments!$D:$D,0)+
MATCH($C107,EL_List,0)-10,
MATCH(Shipments_Scenario_X,Shipments!$F$5:$AQ$5,0))</f>
        <v>1.3434304674938311</v>
      </c>
      <c r="Z109" s="530">
        <f ca="1">OFFSET(OFFSET(Shipments!$D$1,0,MATCH(Z$7,Dates)),
MATCH(OFFSET($C107,((MATCH($C107,EL_List,0)-1)*-10)-3,0),Shipments!$C:$C,0)+
MATCH(OFFSET($C107,((MATCH($C107,EL_List,0)-1)*-10)-1,0),Shipments!$D:$D,0)+
MATCH($C107,EL_List,0)-10,
MATCH(Shipments_Scenario_X,Shipments!$F$5:$AQ$5,0))</f>
        <v>1.4103925778996962</v>
      </c>
      <c r="AA109" s="530">
        <f ca="1">OFFSET(OFFSET(Shipments!$D$1,0,MATCH(AA$7,Dates)),
MATCH(OFFSET($C107,((MATCH($C107,EL_List,0)-1)*-10)-3,0),Shipments!$C:$C,0)+
MATCH(OFFSET($C107,((MATCH($C107,EL_List,0)-1)*-10)-1,0),Shipments!$D:$D,0)+
MATCH($C107,EL_List,0)-10,
MATCH(Shipments_Scenario_X,Shipments!$F$5:$AQ$5,0))</f>
        <v>1.4805728352198759</v>
      </c>
      <c r="AB109" s="530">
        <f ca="1">OFFSET(OFFSET(Shipments!$D$1,0,MATCH(AB$7,Dates)),
MATCH(OFFSET($C107,((MATCH($C107,EL_List,0)-1)*-10)-3,0),Shipments!$C:$C,0)+
MATCH(OFFSET($C107,((MATCH($C107,EL_List,0)-1)*-10)-1,0),Shipments!$D:$D,0)+
MATCH($C107,EL_List,0)-10,
MATCH(Shipments_Scenario_X,Shipments!$F$5:$AQ$5,0))</f>
        <v>1.5541554032583242</v>
      </c>
      <c r="AC109" s="530">
        <f ca="1">OFFSET(OFFSET(Shipments!$D$1,0,MATCH(AC$7,Dates)),
MATCH(OFFSET($C107,((MATCH($C107,EL_List,0)-1)*-10)-3,0),Shipments!$C:$C,0)+
MATCH(OFFSET($C107,((MATCH($C107,EL_List,0)-1)*-10)-1,0),Shipments!$D:$D,0)+
MATCH($C107,EL_List,0)-10,
MATCH(Shipments_Scenario_X,Shipments!$F$5:$AQ$5,0))</f>
        <v>1.631326308882207</v>
      </c>
      <c r="AD109" s="530">
        <f ca="1">OFFSET(OFFSET(Shipments!$D$1,0,MATCH(AD$7,Dates)),
MATCH(OFFSET($C107,((MATCH($C107,EL_List,0)-1)*-10)-3,0),Shipments!$C:$C,0)+
MATCH(OFFSET($C107,((MATCH($C107,EL_List,0)-1)*-10)-1,0),Shipments!$D:$D,0)+
MATCH($C107,EL_List,0)-10,
MATCH(Shipments_Scenario_X,Shipments!$F$5:$AQ$5,0))</f>
        <v>1.712272618413329</v>
      </c>
      <c r="AE109" s="530">
        <f ca="1">OFFSET(OFFSET(Shipments!$D$1,0,MATCH(AE$7,Dates)),
MATCH(OFFSET($C107,((MATCH($C107,EL_List,0)-1)*-10)-3,0),Shipments!$C:$C,0)+
MATCH(OFFSET($C107,((MATCH($C107,EL_List,0)-1)*-10)-1,0),Shipments!$D:$D,0)+
MATCH($C107,EL_List,0)-10,
MATCH(Shipments_Scenario_X,Shipments!$F$5:$AQ$5,0))</f>
        <v>1.7971814388235798</v>
      </c>
      <c r="AF109" s="530">
        <f ca="1">OFFSET(OFFSET(Shipments!$D$1,0,MATCH(AF$7,Dates)),
MATCH(OFFSET($C107,((MATCH($C107,EL_List,0)-1)*-10)-3,0),Shipments!$C:$C,0)+
MATCH(OFFSET($C107,((MATCH($C107,EL_List,0)-1)*-10)-1,0),Shipments!$D:$D,0)+
MATCH($C107,EL_List,0)-10,
MATCH(Shipments_Scenario_X,Shipments!$F$5:$AQ$5,0))</f>
        <v>1.8862417283874477</v>
      </c>
      <c r="AG109" s="530">
        <f ca="1">OFFSET(OFFSET(Shipments!$D$1,0,MATCH(AG$7,Dates)),
MATCH(OFFSET($C107,((MATCH($C107,EL_List,0)-1)*-10)-3,0),Shipments!$C:$C,0)+
MATCH(OFFSET($C107,((MATCH($C107,EL_List,0)-1)*-10)-1,0),Shipments!$D:$D,0)+
MATCH($C107,EL_List,0)-10,
MATCH(Shipments_Scenario_X,Shipments!$F$5:$AQ$5,0))</f>
        <v>1.9796483092618575</v>
      </c>
      <c r="AH109" s="530">
        <f ca="1">OFFSET(OFFSET(Shipments!$D$1,0,MATCH(AH$7,Dates)),
MATCH(OFFSET($C107,((MATCH($C107,EL_List,0)-1)*-10)-3,0),Shipments!$C:$C,0)+
MATCH(OFFSET($C107,((MATCH($C107,EL_List,0)-1)*-10)-1,0),Shipments!$D:$D,0)+
MATCH($C107,EL_List,0)-10,
MATCH(Shipments_Scenario_X,Shipments!$F$5:$AQ$5,0))</f>
        <v>2.0776054867952176</v>
      </c>
      <c r="AI109" s="530">
        <f ca="1">OFFSET(OFFSET(Shipments!$D$1,0,MATCH(AI$7,Dates)),
MATCH(OFFSET($C107,((MATCH($C107,EL_List,0)-1)*-10)-3,0),Shipments!$C:$C,0)+
MATCH(OFFSET($C107,((MATCH($C107,EL_List,0)-1)*-10)-1,0),Shipments!$D:$D,0)+
MATCH($C107,EL_List,0)-10,
MATCH(Shipments_Scenario_X,Shipments!$F$5:$AQ$5,0))</f>
        <v>2.1803297829636037</v>
      </c>
      <c r="AJ109" s="530">
        <f ca="1">OFFSET(OFFSET(Shipments!$D$1,0,MATCH(AJ$7,Dates)),
MATCH(OFFSET($C107,((MATCH($C107,EL_List,0)-1)*-10)-3,0),Shipments!$C:$C,0)+
MATCH(OFFSET($C107,((MATCH($C107,EL_List,0)-1)*-10)-1,0),Shipments!$D:$D,0)+
MATCH($C107,EL_List,0)-10,
MATCH(Shipments_Scenario_X,Shipments!$F$5:$AQ$5,0))</f>
        <v>2.288051429194303</v>
      </c>
      <c r="AK109" s="530">
        <f ca="1">OFFSET(OFFSET(Shipments!$D$1,0,MATCH(AK$7,Dates)),
MATCH(OFFSET($C107,((MATCH($C107,EL_List,0)-1)*-10)-3,0),Shipments!$C:$C,0)+
MATCH(OFFSET($C107,((MATCH($C107,EL_List,0)-1)*-10)-1,0),Shipments!$D:$D,0)+
MATCH($C107,EL_List,0)-10,
MATCH(Shipments_Scenario_X,Shipments!$F$5:$AQ$5,0))</f>
        <v>2.401014498305984</v>
      </c>
      <c r="AL109" s="530">
        <f ca="1">OFFSET(OFFSET(Shipments!$D$1,0,MATCH(AL$7,Dates)),
MATCH(OFFSET($C107,((MATCH($C107,EL_List,0)-1)*-10)-3,0),Shipments!$C:$C,0)+
MATCH(OFFSET($C107,((MATCH($C107,EL_List,0)-1)*-10)-1,0),Shipments!$D:$D,0)+
MATCH($C107,EL_List,0)-10,
MATCH(Shipments_Scenario_X,Shipments!$F$5:$AQ$5,0))</f>
        <v>2.519476455886676</v>
      </c>
      <c r="AM109" s="530">
        <f ca="1">OFFSET(OFFSET(Shipments!$D$1,0,MATCH(AM$7,Dates)),
MATCH(OFFSET($C107,((MATCH($C107,EL_List,0)-1)*-10)-3,0),Shipments!$C:$C,0)+
MATCH(OFFSET($C107,((MATCH($C107,EL_List,0)-1)*-10)-1,0),Shipments!$D:$D,0)+
MATCH($C107,EL_List,0)-10,
MATCH(Shipments_Scenario_X,Shipments!$F$5:$AQ$5,0))</f>
        <v>2.6437078619686747</v>
      </c>
      <c r="AN109" s="530">
        <f ca="1">OFFSET(OFFSET(Shipments!$D$1,0,MATCH(AN$7,Dates)),
MATCH(OFFSET($C107,((MATCH($C107,EL_List,0)-1)*-10)-3,0),Shipments!$C:$C,0)+
MATCH(OFFSET($C107,((MATCH($C107,EL_List,0)-1)*-10)-1,0),Shipments!$D:$D,0)+
MATCH($C107,EL_List,0)-10,
MATCH(Shipments_Scenario_X,Shipments!$F$5:$AQ$5,0))</f>
        <v>2.7739912983043311</v>
      </c>
      <c r="AO109" s="436"/>
      <c r="AP109" s="21"/>
    </row>
    <row r="110" spans="2:42" ht="15" customHeight="1" x14ac:dyDescent="0.35">
      <c r="B110" s="429"/>
      <c r="C110" s="777" t="s">
        <v>79</v>
      </c>
      <c r="D110" s="776"/>
      <c r="E110" s="531">
        <f t="shared" ref="E110:AN110" ca="1" si="26">E108*E109</f>
        <v>35.257619314903565</v>
      </c>
      <c r="F110" s="531">
        <f t="shared" ca="1" si="26"/>
        <v>36.551763395223801</v>
      </c>
      <c r="G110" s="531">
        <f t="shared" ca="1" si="26"/>
        <v>37.660432035458889</v>
      </c>
      <c r="H110" s="531">
        <f t="shared" ca="1" si="26"/>
        <v>39.160331469190268</v>
      </c>
      <c r="I110" s="531">
        <f t="shared" ca="1" si="26"/>
        <v>40.763523758189045</v>
      </c>
      <c r="J110" s="531">
        <f t="shared" ca="1" si="26"/>
        <v>42.539183113174325</v>
      </c>
      <c r="K110" s="531">
        <f t="shared" ca="1" si="26"/>
        <v>44.50364195365735</v>
      </c>
      <c r="L110" s="531">
        <f t="shared" ca="1" si="26"/>
        <v>46.577657285632824</v>
      </c>
      <c r="M110" s="531">
        <f t="shared" ca="1" si="26"/>
        <v>48.730927076803702</v>
      </c>
      <c r="N110" s="531">
        <f t="shared" ca="1" si="26"/>
        <v>50.94305913978063</v>
      </c>
      <c r="O110" s="531">
        <f t="shared" ca="1" si="26"/>
        <v>53.211356068380915</v>
      </c>
      <c r="P110" s="531">
        <f t="shared" ca="1" si="26"/>
        <v>55.602459887512367</v>
      </c>
      <c r="Q110" s="531">
        <f t="shared" ca="1" si="26"/>
        <v>58.079696726756552</v>
      </c>
      <c r="R110" s="531">
        <f t="shared" ca="1" si="26"/>
        <v>60.597581780660626</v>
      </c>
      <c r="S110" s="531">
        <f t="shared" ca="1" si="26"/>
        <v>63.293360694923436</v>
      </c>
      <c r="T110" s="531">
        <f t="shared" ca="1" si="26"/>
        <v>66.114787004135081</v>
      </c>
      <c r="U110" s="531">
        <f t="shared" ca="1" si="26"/>
        <v>69.143744272124636</v>
      </c>
      <c r="V110" s="531">
        <f t="shared" ca="1" si="26"/>
        <v>72.228471214217578</v>
      </c>
      <c r="W110" s="531">
        <f t="shared" ca="1" si="26"/>
        <v>75.446435567531807</v>
      </c>
      <c r="X110" s="531">
        <f t="shared" ca="1" si="26"/>
        <v>78.883879288415514</v>
      </c>
      <c r="Y110" s="531">
        <f t="shared" ca="1" si="26"/>
        <v>82.379321508669221</v>
      </c>
      <c r="Z110" s="531">
        <f t="shared" ca="1" si="26"/>
        <v>86.112262120554504</v>
      </c>
      <c r="AA110" s="531">
        <f t="shared" ca="1" si="26"/>
        <v>89.907462653848896</v>
      </c>
      <c r="AB110" s="531">
        <f t="shared" ca="1" si="26"/>
        <v>93.964524753903291</v>
      </c>
      <c r="AC110" s="531">
        <f t="shared" ca="1" si="26"/>
        <v>98.1986496456867</v>
      </c>
      <c r="AD110" s="531">
        <f t="shared" ca="1" si="26"/>
        <v>102.61820002049352</v>
      </c>
      <c r="AE110" s="531">
        <f t="shared" ca="1" si="26"/>
        <v>107.23134300706037</v>
      </c>
      <c r="AF110" s="531">
        <f t="shared" ca="1" si="26"/>
        <v>111.92138466971785</v>
      </c>
      <c r="AG110" s="531">
        <f t="shared" ca="1" si="26"/>
        <v>116.93991811636081</v>
      </c>
      <c r="AH110" s="531">
        <f t="shared" ca="1" si="26"/>
        <v>122.314057557955</v>
      </c>
      <c r="AI110" s="531">
        <f t="shared" ca="1" si="26"/>
        <v>127.78479844454786</v>
      </c>
      <c r="AJ110" s="531">
        <f t="shared" ca="1" si="26"/>
        <v>133.49274093898063</v>
      </c>
      <c r="AK110" s="531">
        <f t="shared" ca="1" si="26"/>
        <v>139.44809366653254</v>
      </c>
      <c r="AL110" s="531">
        <f t="shared" ca="1" si="26"/>
        <v>145.6615812223113</v>
      </c>
      <c r="AM110" s="531">
        <f t="shared" ref="AM110" ca="1" si="27">AM108*AM109</f>
        <v>152.31928791574967</v>
      </c>
      <c r="AN110" s="531">
        <f t="shared" ca="1" si="26"/>
        <v>159.06300338984249</v>
      </c>
      <c r="AO110" s="436"/>
      <c r="AP110" s="21"/>
    </row>
    <row r="111" spans="2:42" ht="15" customHeight="1" x14ac:dyDescent="0.35">
      <c r="B111" s="429"/>
      <c r="C111" s="777"/>
      <c r="D111" s="776"/>
      <c r="E111" s="776"/>
      <c r="F111" s="776"/>
      <c r="G111" s="776"/>
      <c r="H111" s="776"/>
      <c r="I111" s="776"/>
      <c r="J111" s="776"/>
      <c r="K111" s="776"/>
      <c r="L111" s="776"/>
      <c r="M111" s="776"/>
      <c r="N111" s="776"/>
      <c r="O111" s="776"/>
      <c r="P111" s="776"/>
      <c r="Q111" s="776"/>
      <c r="R111" s="776"/>
      <c r="S111" s="776"/>
      <c r="T111" s="776"/>
      <c r="U111" s="776"/>
      <c r="V111" s="776"/>
      <c r="W111" s="776"/>
      <c r="X111" s="776"/>
      <c r="Y111" s="776"/>
      <c r="Z111" s="776"/>
      <c r="AA111" s="776"/>
      <c r="AB111" s="776"/>
      <c r="AC111" s="776"/>
      <c r="AD111" s="776"/>
      <c r="AE111" s="776"/>
      <c r="AF111" s="776"/>
      <c r="AG111" s="776"/>
      <c r="AH111" s="776"/>
      <c r="AI111" s="776"/>
      <c r="AJ111" s="776"/>
      <c r="AK111" s="776"/>
      <c r="AL111" s="776"/>
      <c r="AM111" s="776"/>
      <c r="AN111" s="776"/>
      <c r="AO111" s="436"/>
      <c r="AP111" s="21"/>
    </row>
    <row r="112" spans="2:42" ht="15" customHeight="1" x14ac:dyDescent="0.35">
      <c r="B112" s="429"/>
      <c r="C112" s="777" t="s">
        <v>212</v>
      </c>
      <c r="D112" s="776"/>
      <c r="E112" s="532" cm="1">
        <f t="array" aca="1" ref="E112" ca="1">OFFSET(E112,-3,0)*
OFFSET(MSP!$D$1,
MATCH(OFFSET($C107,((MATCH($C107,EL_List,0)-1)*-10)-1,0),MSP!$C:$C,0)+MATCH($C107,EL_List,0)-1,0)
*INDEX(Learning!$E$6:$S$41,(MATCH(E$21,Dates,0)),(MATCH($C$86,Learning!$E$4:$S$4,0)+MATCH($C$107,Learning!$E$5:$S$5,0)-1))</f>
        <v>21.901392037669325</v>
      </c>
      <c r="F112" s="532" cm="1">
        <f t="array" aca="1" ref="F112" ca="1">OFFSET(F112,-3,0)*
OFFSET(MSP!$D$1,
MATCH(OFFSET($C107,((MATCH($C107,EL_List,0)-1)*-10)-1,0),MSP!$C:$C,0)+MATCH($C107,EL_List,0)-1,0)
*INDEX(Learning!$E$6:$S$41,(MATCH(F$21,Dates,0)),(MATCH($C$86,Learning!$E$4:$S$4,0)+MATCH($C$107,Learning!$E$5:$S$5,0)-1))</f>
        <v>22.70529080925602</v>
      </c>
      <c r="G112" s="532" cm="1">
        <f t="array" aca="1" ref="G112" ca="1">OFFSET(G112,-3,0)*
OFFSET(MSP!$D$1,
MATCH(OFFSET($C107,((MATCH($C107,EL_List,0)-1)*-10)-1,0),MSP!$C:$C,0)+MATCH($C107,EL_List,0)-1,0)
*INDEX(Learning!$E$6:$S$41,(MATCH(G$21,Dates,0)),(MATCH($C$86,Learning!$E$4:$S$4,0)+MATCH($C$107,Learning!$E$5:$S$5,0)-1))</f>
        <v>23.393975609916811</v>
      </c>
      <c r="H112" s="532" cm="1">
        <f t="array" aca="1" ref="H112" ca="1">OFFSET(H112,-3,0)*
OFFSET(MSP!$D$1,
MATCH(OFFSET($C107,((MATCH($C107,EL_List,0)-1)*-10)-1,0),MSP!$C:$C,0)+MATCH($C107,EL_List,0)-1,0)
*INDEX(Learning!$E$6:$S$41,(MATCH(H$21,Dates,0)),(MATCH($C$86,Learning!$E$4:$S$4,0)+MATCH($C$107,Learning!$E$5:$S$5,0)-1))</f>
        <v>24.325685865842779</v>
      </c>
      <c r="I112" s="532" cm="1">
        <f t="array" aca="1" ref="I112" ca="1">OFFSET(I112,-3,0)*
OFFSET(MSP!$D$1,
MATCH(OFFSET($C107,((MATCH($C107,EL_List,0)-1)*-10)-1,0),MSP!$C:$C,0)+MATCH($C107,EL_List,0)-1,0)
*INDEX(Learning!$E$6:$S$41,(MATCH(I$21,Dates,0)),(MATCH($C$86,Learning!$E$4:$S$4,0)+MATCH($C$107,Learning!$E$5:$S$5,0)-1))</f>
        <v>25.321559765311903</v>
      </c>
      <c r="J112" s="532" cm="1">
        <f t="array" aca="1" ref="J112" ca="1">OFFSET(J112,-3,0)*
OFFSET(MSP!$D$1,
MATCH(OFFSET($C107,((MATCH($C107,EL_List,0)-1)*-10)-1,0),MSP!$C:$C,0)+MATCH($C107,EL_List,0)-1,0)
*INDEX(Learning!$E$6:$S$41,(MATCH(J$21,Dates,0)),(MATCH($C$86,Learning!$E$4:$S$4,0)+MATCH($C$107,Learning!$E$5:$S$5,0)-1))</f>
        <v>26.424567070244958</v>
      </c>
      <c r="K112" s="532" cm="1">
        <f t="array" aca="1" ref="K112" ca="1">OFFSET(K112,-3,0)*
OFFSET(MSP!$D$1,
MATCH(OFFSET($C107,((MATCH($C107,EL_List,0)-1)*-10)-1,0),MSP!$C:$C,0)+MATCH($C107,EL_List,0)-1,0)
*INDEX(Learning!$E$6:$S$41,(MATCH(K$21,Dates,0)),(MATCH($C$86,Learning!$E$4:$S$4,0)+MATCH($C$107,Learning!$E$5:$S$5,0)-1))</f>
        <v>27.644853182673927</v>
      </c>
      <c r="L112" s="532" cm="1">
        <f t="array" aca="1" ref="L112" ca="1">OFFSET(L112,-3,0)*
OFFSET(MSP!$D$1,
MATCH(OFFSET($C107,((MATCH($C107,EL_List,0)-1)*-10)-1,0),MSP!$C:$C,0)+MATCH($C107,EL_List,0)-1,0)
*INDEX(Learning!$E$6:$S$41,(MATCH(L$21,Dates,0)),(MATCH($C$86,Learning!$E$4:$S$4,0)+MATCH($C$107,Learning!$E$5:$S$5,0)-1))</f>
        <v>28.933193795578863</v>
      </c>
      <c r="M112" s="532" cm="1">
        <f t="array" aca="1" ref="M112" ca="1">OFFSET(M112,-3,0)*
OFFSET(MSP!$D$1,
MATCH(OFFSET($C107,((MATCH($C107,EL_List,0)-1)*-10)-1,0),MSP!$C:$C,0)+MATCH($C107,EL_List,0)-1,0)
*INDEX(Learning!$E$6:$S$41,(MATCH(M$21,Dates,0)),(MATCH($C$86,Learning!$E$4:$S$4,0)+MATCH($C$107,Learning!$E$5:$S$5,0)-1))</f>
        <v>30.270765837471355</v>
      </c>
      <c r="N112" s="532" cm="1">
        <f t="array" aca="1" ref="N112" ca="1">OFFSET(N112,-3,0)*
OFFSET(MSP!$D$1,
MATCH(OFFSET($C107,((MATCH($C107,EL_List,0)-1)*-10)-1,0),MSP!$C:$C,0)+MATCH($C107,EL_List,0)-1,0)
*INDEX(Learning!$E$6:$S$41,(MATCH(N$21,Dates,0)),(MATCH($C$86,Learning!$E$4:$S$4,0)+MATCH($C$107,Learning!$E$5:$S$5,0)-1))</f>
        <v>31.644902052331336</v>
      </c>
      <c r="O112" s="532" cm="1">
        <f t="array" aca="1" ref="O112" ca="1">OFFSET(O112,-3,0)*
OFFSET(MSP!$D$1,
MATCH(OFFSET($C107,((MATCH($C107,EL_List,0)-1)*-10)-1,0),MSP!$C:$C,0)+MATCH($C107,EL_List,0)-1,0)
*INDEX(Learning!$E$6:$S$41,(MATCH(O$21,Dates,0)),(MATCH($C$86,Learning!$E$4:$S$4,0)+MATCH($C$107,Learning!$E$5:$S$5,0)-1))</f>
        <v>33.05392686048441</v>
      </c>
      <c r="P112" s="532" cm="1">
        <f t="array" aca="1" ref="P112" ca="1">OFFSET(P112,-3,0)*
OFFSET(MSP!$D$1,
MATCH(OFFSET($C107,((MATCH($C107,EL_List,0)-1)*-10)-1,0),MSP!$C:$C,0)+MATCH($C107,EL_List,0)-1,0)
*INDEX(Learning!$E$6:$S$41,(MATCH(P$21,Dates,0)),(MATCH($C$86,Learning!$E$4:$S$4,0)+MATCH($C$107,Learning!$E$5:$S$5,0)-1))</f>
        <v>34.539237076067508</v>
      </c>
      <c r="Q112" s="532" cm="1">
        <f t="array" aca="1" ref="Q112" ca="1">OFFSET(Q112,-3,0)*
OFFSET(MSP!$D$1,
MATCH(OFFSET($C107,((MATCH($C107,EL_List,0)-1)*-10)-1,0),MSP!$C:$C,0)+MATCH($C107,EL_List,0)-1,0)
*INDEX(Learning!$E$6:$S$41,(MATCH(Q$21,Dates,0)),(MATCH($C$86,Learning!$E$4:$S$4,0)+MATCH($C$107,Learning!$E$5:$S$5,0)-1))</f>
        <v>36.078051557608809</v>
      </c>
      <c r="R112" s="532" cm="1">
        <f t="array" aca="1" ref="R112" ca="1">OFFSET(R112,-3,0)*
OFFSET(MSP!$D$1,
MATCH(OFFSET($C107,((MATCH($C107,EL_List,0)-1)*-10)-1,0),MSP!$C:$C,0)+MATCH($C107,EL_List,0)-1,0)
*INDEX(Learning!$E$6:$S$41,(MATCH(R$21,Dates,0)),(MATCH($C$86,Learning!$E$4:$S$4,0)+MATCH($C$107,Learning!$E$5:$S$5,0)-1))</f>
        <v>37.642115971000187</v>
      </c>
      <c r="S112" s="532" cm="1">
        <f t="array" aca="1" ref="S112" ca="1">OFFSET(S112,-3,0)*
OFFSET(MSP!$D$1,
MATCH(OFFSET($C107,((MATCH($C107,EL_List,0)-1)*-10)-1,0),MSP!$C:$C,0)+MATCH($C107,EL_List,0)-1,0)
*INDEX(Learning!$E$6:$S$41,(MATCH(S$21,Dates,0)),(MATCH($C$86,Learning!$E$4:$S$4,0)+MATCH($C$107,Learning!$E$5:$S$5,0)-1))</f>
        <v>39.316684815845463</v>
      </c>
      <c r="T112" s="532" cm="1">
        <f t="array" aca="1" ref="T112" ca="1">OFFSET(T112,-3,0)*
OFFSET(MSP!$D$1,
MATCH(OFFSET($C107,((MATCH($C107,EL_List,0)-1)*-10)-1,0),MSP!$C:$C,0)+MATCH($C107,EL_List,0)-1,0)
*INDEX(Learning!$E$6:$S$41,(MATCH(T$21,Dates,0)),(MATCH($C$86,Learning!$E$4:$S$4,0)+MATCH($C$107,Learning!$E$5:$S$5,0)-1))</f>
        <v>41.069303537816815</v>
      </c>
      <c r="U112" s="532" cm="1">
        <f t="array" aca="1" ref="U112" ca="1">OFFSET(U112,-3,0)*
OFFSET(MSP!$D$1,
MATCH(OFFSET($C107,((MATCH($C107,EL_List,0)-1)*-10)-1,0),MSP!$C:$C,0)+MATCH($C107,EL_List,0)-1,0)
*INDEX(Learning!$E$6:$S$41,(MATCH(U$21,Dates,0)),(MATCH($C$86,Learning!$E$4:$S$4,0)+MATCH($C$107,Learning!$E$5:$S$5,0)-1))</f>
        <v>42.950836717895861</v>
      </c>
      <c r="V112" s="532" cm="1">
        <f t="array" aca="1" ref="V112" ca="1">OFFSET(V112,-3,0)*
OFFSET(MSP!$D$1,
MATCH(OFFSET($C107,((MATCH($C107,EL_List,0)-1)*-10)-1,0),MSP!$C:$C,0)+MATCH($C107,EL_List,0)-1,0)
*INDEX(Learning!$E$6:$S$41,(MATCH(V$21,Dates,0)),(MATCH($C$86,Learning!$E$4:$S$4,0)+MATCH($C$107,Learning!$E$5:$S$5,0)-1))</f>
        <v>44.867013005481461</v>
      </c>
      <c r="W112" s="532" cm="1">
        <f t="array" aca="1" ref="W112" ca="1">OFFSET(W112,-3,0)*
OFFSET(MSP!$D$1,
MATCH(OFFSET($C107,((MATCH($C107,EL_List,0)-1)*-10)-1,0),MSP!$C:$C,0)+MATCH($C107,EL_List,0)-1,0)
*INDEX(Learning!$E$6:$S$41,(MATCH(W$21,Dates,0)),(MATCH($C$86,Learning!$E$4:$S$4,0)+MATCH($C$107,Learning!$E$5:$S$5,0)-1))</f>
        <v>46.86595395029417</v>
      </c>
      <c r="X112" s="532" cm="1">
        <f t="array" aca="1" ref="X112" ca="1">OFFSET(X112,-3,0)*
OFFSET(MSP!$D$1,
MATCH(OFFSET($C107,((MATCH($C107,EL_List,0)-1)*-10)-1,0),MSP!$C:$C,0)+MATCH($C107,EL_List,0)-1,0)
*INDEX(Learning!$E$6:$S$41,(MATCH(X$21,Dates,0)),(MATCH($C$86,Learning!$E$4:$S$4,0)+MATCH($C$107,Learning!$E$5:$S$5,0)-1))</f>
        <v>49.001231487500867</v>
      </c>
      <c r="Y112" s="532" cm="1">
        <f t="array" aca="1" ref="Y112" ca="1">OFFSET(Y112,-3,0)*
OFFSET(MSP!$D$1,
MATCH(OFFSET($C107,((MATCH($C107,EL_List,0)-1)*-10)-1,0),MSP!$C:$C,0)+MATCH($C107,EL_List,0)-1,0)
*INDEX(Learning!$E$6:$S$41,(MATCH(Y$21,Dates,0)),(MATCH($C$86,Learning!$E$4:$S$4,0)+MATCH($C$107,Learning!$E$5:$S$5,0)-1))</f>
        <v>51.172536637943566</v>
      </c>
      <c r="Z112" s="532" cm="1">
        <f t="array" aca="1" ref="Z112" ca="1">OFFSET(Z112,-3,0)*
OFFSET(MSP!$D$1,
MATCH(OFFSET($C107,((MATCH($C107,EL_List,0)-1)*-10)-1,0),MSP!$C:$C,0)+MATCH($C107,EL_List,0)-1,0)
*INDEX(Learning!$E$6:$S$41,(MATCH(Z$21,Dates,0)),(MATCH($C$86,Learning!$E$4:$S$4,0)+MATCH($C$107,Learning!$E$5:$S$5,0)-1))</f>
        <v>53.491371470892076</v>
      </c>
      <c r="AA112" s="532" cm="1">
        <f t="array" aca="1" ref="AA112" ca="1">OFFSET(AA112,-3,0)*
OFFSET(MSP!$D$1,
MATCH(OFFSET($C107,((MATCH($C107,EL_List,0)-1)*-10)-1,0),MSP!$C:$C,0)+MATCH($C107,EL_List,0)-1,0)
*INDEX(Learning!$E$6:$S$41,(MATCH(AA$21,Dates,0)),(MATCH($C$86,Learning!$E$4:$S$4,0)+MATCH($C$107,Learning!$E$5:$S$5,0)-1))</f>
        <v>55.848881034962865</v>
      </c>
      <c r="AB112" s="532" cm="1">
        <f t="array" aca="1" ref="AB112" ca="1">OFFSET(AB112,-3,0)*
OFFSET(MSP!$D$1,
MATCH(OFFSET($C107,((MATCH($C107,EL_List,0)-1)*-10)-1,0),MSP!$C:$C,0)+MATCH($C107,EL_List,0)-1,0)
*INDEX(Learning!$E$6:$S$41,(MATCH(AB$21,Dates,0)),(MATCH($C$86,Learning!$E$4:$S$4,0)+MATCH($C$107,Learning!$E$5:$S$5,0)-1))</f>
        <v>58.369054242939555</v>
      </c>
      <c r="AC112" s="532" cm="1">
        <f t="array" aca="1" ref="AC112" ca="1">OFFSET(AC112,-3,0)*
OFFSET(MSP!$D$1,
MATCH(OFFSET($C107,((MATCH($C107,EL_List,0)-1)*-10)-1,0),MSP!$C:$C,0)+MATCH($C107,EL_List,0)-1,0)
*INDEX(Learning!$E$6:$S$41,(MATCH(AC$21,Dates,0)),(MATCH($C$86,Learning!$E$4:$S$4,0)+MATCH($C$107,Learning!$E$5:$S$5,0)-1))</f>
        <v>60.999215637648454</v>
      </c>
      <c r="AD112" s="532" cm="1">
        <f t="array" aca="1" ref="AD112" ca="1">OFFSET(AD112,-3,0)*
OFFSET(MSP!$D$1,
MATCH(OFFSET($C107,((MATCH($C107,EL_List,0)-1)*-10)-1,0),MSP!$C:$C,0)+MATCH($C107,EL_List,0)-1,0)
*INDEX(Learning!$E$6:$S$41,(MATCH(AD$21,Dates,0)),(MATCH($C$86,Learning!$E$4:$S$4,0)+MATCH($C$107,Learning!$E$5:$S$5,0)-1))</f>
        <v>63.744559970864884</v>
      </c>
      <c r="AE112" s="532" cm="1">
        <f t="array" aca="1" ref="AE112" ca="1">OFFSET(AE112,-3,0)*
OFFSET(MSP!$D$1,
MATCH(OFFSET($C107,((MATCH($C107,EL_List,0)-1)*-10)-1,0),MSP!$C:$C,0)+MATCH($C107,EL_List,0)-1,0)
*INDEX(Learning!$E$6:$S$41,(MATCH(AE$21,Dates,0)),(MATCH($C$86,Learning!$E$4:$S$4,0)+MATCH($C$107,Learning!$E$5:$S$5,0)-1))</f>
        <v>66.61016051445911</v>
      </c>
      <c r="AF112" s="532" cm="1">
        <f t="array" aca="1" ref="AF112" ca="1">OFFSET(AF112,-3,0)*
OFFSET(MSP!$D$1,
MATCH(OFFSET($C107,((MATCH($C107,EL_List,0)-1)*-10)-1,0),MSP!$C:$C,0)+MATCH($C107,EL_List,0)-1,0)
*INDEX(Learning!$E$6:$S$41,(MATCH(AF$21,Dates,0)),(MATCH($C$86,Learning!$E$4:$S$4,0)+MATCH($C$107,Learning!$E$5:$S$5,0)-1))</f>
        <v>69.523529117410817</v>
      </c>
      <c r="AG112" s="532" cm="1">
        <f t="array" aca="1" ref="AG112" ca="1">OFFSET(AG112,-3,0)*
OFFSET(MSP!$D$1,
MATCH(OFFSET($C107,((MATCH($C107,EL_List,0)-1)*-10)-1,0),MSP!$C:$C,0)+MATCH($C107,EL_List,0)-1,0)
*INDEX(Learning!$E$6:$S$41,(MATCH(AG$21,Dates,0)),(MATCH($C$86,Learning!$E$4:$S$4,0)+MATCH($C$107,Learning!$E$5:$S$5,0)-1))</f>
        <v>72.64095084368779</v>
      </c>
      <c r="AH112" s="532" cm="1">
        <f t="array" aca="1" ref="AH112" ca="1">OFFSET(AH112,-3,0)*
OFFSET(MSP!$D$1,
MATCH(OFFSET($C107,((MATCH($C107,EL_List,0)-1)*-10)-1,0),MSP!$C:$C,0)+MATCH($C107,EL_List,0)-1,0)
*INDEX(Learning!$E$6:$S$41,(MATCH(AH$21,Dates,0)),(MATCH($C$86,Learning!$E$4:$S$4,0)+MATCH($C$107,Learning!$E$5:$S$5,0)-1))</f>
        <v>75.979268548130847</v>
      </c>
      <c r="AI112" s="532" cm="1">
        <f t="array" aca="1" ref="AI112" ca="1">OFFSET(AI112,-3,0)*
OFFSET(MSP!$D$1,
MATCH(OFFSET($C107,((MATCH($C107,EL_List,0)-1)*-10)-1,0),MSP!$C:$C,0)+MATCH($C107,EL_List,0)-1,0)
*INDEX(Learning!$E$6:$S$41,(MATCH(AI$21,Dates,0)),(MATCH($C$86,Learning!$E$4:$S$4,0)+MATCH($C$107,Learning!$E$5:$S$5,0)-1))</f>
        <v>79.377593313726393</v>
      </c>
      <c r="AJ112" s="532" cm="1">
        <f t="array" aca="1" ref="AJ112" ca="1">OFFSET(AJ112,-3,0)*
OFFSET(MSP!$D$1,
MATCH(OFFSET($C107,((MATCH($C107,EL_List,0)-1)*-10)-1,0),MSP!$C:$C,0)+MATCH($C107,EL_List,0)-1,0)
*INDEX(Learning!$E$6:$S$41,(MATCH(AJ$21,Dates,0)),(MATCH($C$86,Learning!$E$4:$S$4,0)+MATCH($C$107,Learning!$E$5:$S$5,0)-1))</f>
        <v>82.92326340513273</v>
      </c>
      <c r="AK112" s="532" cm="1">
        <f t="array" aca="1" ref="AK112" ca="1">OFFSET(AK112,-3,0)*
OFFSET(MSP!$D$1,
MATCH(OFFSET($C107,((MATCH($C107,EL_List,0)-1)*-10)-1,0),MSP!$C:$C,0)+MATCH($C107,EL_List,0)-1,0)
*INDEX(Learning!$E$6:$S$41,(MATCH(AK$21,Dates,0)),(MATCH($C$86,Learning!$E$4:$S$4,0)+MATCH($C$107,Learning!$E$5:$S$5,0)-1))</f>
        <v>86.622620234752389</v>
      </c>
      <c r="AL112" s="532" cm="1">
        <f t="array" aca="1" ref="AL112" ca="1">OFFSET(AL112,-3,0)*
OFFSET(MSP!$D$1,
MATCH(OFFSET($C107,((MATCH($C107,EL_List,0)-1)*-10)-1,0),MSP!$C:$C,0)+MATCH($C107,EL_List,0)-1,0)
*INDEX(Learning!$E$6:$S$41,(MATCH(AL$21,Dates,0)),(MATCH($C$86,Learning!$E$4:$S$4,0)+MATCH($C$107,Learning!$E$5:$S$5,0)-1))</f>
        <v>90.482325726063507</v>
      </c>
      <c r="AM112" s="532" cm="1">
        <f t="array" aca="1" ref="AM112" ca="1">OFFSET(AM112,-3,0)*
OFFSET(MSP!$D$1,
MATCH(OFFSET($C107,((MATCH($C107,EL_List,0)-1)*-10)-1,0),MSP!$C:$C,0)+MATCH($C107,EL_List,0)-1,0)
*INDEX(Learning!$E$6:$S$41,(MATCH(AM$21,Dates,0)),(MATCH($C$86,Learning!$E$4:$S$4,0)+MATCH($C$107,Learning!$E$5:$S$5,0)-1))</f>
        <v>94.617972068559823</v>
      </c>
      <c r="AN112" s="532" cm="1">
        <f t="array" aca="1" ref="AN112" ca="1">OFFSET(AN112,-3,0)*
OFFSET(MSP!$D$1,
MATCH(OFFSET($C107,((MATCH($C107,EL_List,0)-1)*-10)-1,0),MSP!$C:$C,0)+MATCH($C107,EL_List,0)-1,0)
*INDEX(Learning!$E$6:$S$41,(MATCH(AN$21,Dates,0)),(MATCH($C$86,Learning!$E$4:$S$4,0)+MATCH($C$107,Learning!$E$5:$S$5,0)-1))</f>
        <v>98.807045501721888</v>
      </c>
      <c r="AO112" s="436"/>
      <c r="AP112" s="21"/>
    </row>
    <row r="113" spans="2:42" ht="15" customHeight="1" x14ac:dyDescent="0.35">
      <c r="B113" s="429"/>
      <c r="C113" s="777" t="s">
        <v>213</v>
      </c>
      <c r="D113" s="776"/>
      <c r="E113" s="533" cm="1">
        <f t="array" aca="1" ref="E113" ca="1">OFFSET(E113,-4,0)*
OFFSET(MSP!$E$1,
MATCH(OFFSET($C107,((MATCH($C107,EL_List,0)-1)*-10)-1,0),MSP!$C:$C,0)+MATCH($C107,EL_List,0)-1,0)
*INDEX(Learning!$E$6:$S$41,(MATCH(E$21,Dates,0)),(MATCH($C$86,Learning!$E$4:$S$4,0)+MATCH($C$107,Learning!$E$5:$S$5,0)-1))</f>
        <v>0.46625577805305907</v>
      </c>
      <c r="F113" s="533" cm="1">
        <f t="array" aca="1" ref="F113" ca="1">OFFSET(F113,-4,0)*
OFFSET(MSP!$E$1,
MATCH(OFFSET($C107,((MATCH($C107,EL_List,0)-1)*-10)-1,0),MSP!$C:$C,0)+MATCH($C107,EL_List,0)-1,0)
*INDEX(Learning!$E$6:$S$41,(MATCH(F$21,Dates,0)),(MATCH($C$86,Learning!$E$4:$S$4,0)+MATCH($C$107,Learning!$E$5:$S$5,0)-1))</f>
        <v>0.48336987046222546</v>
      </c>
      <c r="G113" s="533" cm="1">
        <f t="array" aca="1" ref="G113" ca="1">OFFSET(G113,-4,0)*
OFFSET(MSP!$E$1,
MATCH(OFFSET($C107,((MATCH($C107,EL_List,0)-1)*-10)-1,0),MSP!$C:$C,0)+MATCH($C107,EL_List,0)-1,0)
*INDEX(Learning!$E$6:$S$41,(MATCH(G$21,Dates,0)),(MATCH($C$86,Learning!$E$4:$S$4,0)+MATCH($C$107,Learning!$E$5:$S$5,0)-1))</f>
        <v>0.49803118820007197</v>
      </c>
      <c r="H113" s="533" cm="1">
        <f t="array" aca="1" ref="H113" ca="1">OFFSET(H113,-4,0)*
OFFSET(MSP!$E$1,
MATCH(OFFSET($C107,((MATCH($C107,EL_List,0)-1)*-10)-1,0),MSP!$C:$C,0)+MATCH($C107,EL_List,0)-1,0)
*INDEX(Learning!$E$6:$S$41,(MATCH(H$21,Dates,0)),(MATCH($C$86,Learning!$E$4:$S$4,0)+MATCH($C$107,Learning!$E$5:$S$5,0)-1))</f>
        <v>0.51786624204275034</v>
      </c>
      <c r="I113" s="533" cm="1">
        <f t="array" aca="1" ref="I113" ca="1">OFFSET(I113,-4,0)*
OFFSET(MSP!$E$1,
MATCH(OFFSET($C107,((MATCH($C107,EL_List,0)-1)*-10)-1,0),MSP!$C:$C,0)+MATCH($C107,EL_List,0)-1,0)
*INDEX(Learning!$E$6:$S$41,(MATCH(I$21,Dates,0)),(MATCH($C$86,Learning!$E$4:$S$4,0)+MATCH($C$107,Learning!$E$5:$S$5,0)-1))</f>
        <v>0.53906726702970464</v>
      </c>
      <c r="J113" s="533" cm="1">
        <f t="array" aca="1" ref="J113" ca="1">OFFSET(J113,-4,0)*
OFFSET(MSP!$E$1,
MATCH(OFFSET($C107,((MATCH($C107,EL_List,0)-1)*-10)-1,0),MSP!$C:$C,0)+MATCH($C107,EL_List,0)-1,0)
*INDEX(Learning!$E$6:$S$41,(MATCH(J$21,Dates,0)),(MATCH($C$86,Learning!$E$4:$S$4,0)+MATCH($C$107,Learning!$E$5:$S$5,0)-1))</f>
        <v>0.56254904062086386</v>
      </c>
      <c r="K113" s="533" cm="1">
        <f t="array" aca="1" ref="K113" ca="1">OFFSET(K113,-4,0)*
OFFSET(MSP!$E$1,
MATCH(OFFSET($C107,((MATCH($C107,EL_List,0)-1)*-10)-1,0),MSP!$C:$C,0)+MATCH($C107,EL_List,0)-1,0)
*INDEX(Learning!$E$6:$S$41,(MATCH(K$21,Dates,0)),(MATCH($C$86,Learning!$E$4:$S$4,0)+MATCH($C$107,Learning!$E$5:$S$5,0)-1))</f>
        <v>0.58852754691029607</v>
      </c>
      <c r="L113" s="533" cm="1">
        <f t="array" aca="1" ref="L113" ca="1">OFFSET(L113,-4,0)*
OFFSET(MSP!$E$1,
MATCH(OFFSET($C107,((MATCH($C107,EL_List,0)-1)*-10)-1,0),MSP!$C:$C,0)+MATCH($C107,EL_List,0)-1,0)
*INDEX(Learning!$E$6:$S$41,(MATCH(L$21,Dates,0)),(MATCH($C$86,Learning!$E$4:$S$4,0)+MATCH($C$107,Learning!$E$5:$S$5,0)-1))</f>
        <v>0.61595485627191915</v>
      </c>
      <c r="M113" s="533" cm="1">
        <f t="array" aca="1" ref="M113" ca="1">OFFSET(M113,-4,0)*
OFFSET(MSP!$E$1,
MATCH(OFFSET($C107,((MATCH($C107,EL_List,0)-1)*-10)-1,0),MSP!$C:$C,0)+MATCH($C107,EL_List,0)-1,0)
*INDEX(Learning!$E$6:$S$41,(MATCH(M$21,Dates,0)),(MATCH($C$86,Learning!$E$4:$S$4,0)+MATCH($C$107,Learning!$E$5:$S$5,0)-1))</f>
        <v>0.64443024687823103</v>
      </c>
      <c r="N113" s="533" cm="1">
        <f t="array" aca="1" ref="N113" ca="1">OFFSET(N113,-4,0)*
OFFSET(MSP!$E$1,
MATCH(OFFSET($C107,((MATCH($C107,EL_List,0)-1)*-10)-1,0),MSP!$C:$C,0)+MATCH($C107,EL_List,0)-1,0)
*INDEX(Learning!$E$6:$S$41,(MATCH(N$21,Dates,0)),(MATCH($C$86,Learning!$E$4:$S$4,0)+MATCH($C$107,Learning!$E$5:$S$5,0)-1))</f>
        <v>0.67368404722610187</v>
      </c>
      <c r="O113" s="533" cm="1">
        <f t="array" aca="1" ref="O113" ca="1">OFFSET(O113,-4,0)*
OFFSET(MSP!$E$1,
MATCH(OFFSET($C107,((MATCH($C107,EL_List,0)-1)*-10)-1,0),MSP!$C:$C,0)+MATCH($C107,EL_List,0)-1,0)
*INDEX(Learning!$E$6:$S$41,(MATCH(O$21,Dates,0)),(MATCH($C$86,Learning!$E$4:$S$4,0)+MATCH($C$107,Learning!$E$5:$S$5,0)-1))</f>
        <v>0.70368058612607332</v>
      </c>
      <c r="P113" s="533" cm="1">
        <f t="array" aca="1" ref="P113" ca="1">OFFSET(P113,-4,0)*
OFFSET(MSP!$E$1,
MATCH(OFFSET($C107,((MATCH($C107,EL_List,0)-1)*-10)-1,0),MSP!$C:$C,0)+MATCH($C107,EL_List,0)-1,0)
*INDEX(Learning!$E$6:$S$41,(MATCH(P$21,Dates,0)),(MATCH($C$86,Learning!$E$4:$S$4,0)+MATCH($C$107,Learning!$E$5:$S$5,0)-1))</f>
        <v>0.73530115476507718</v>
      </c>
      <c r="Q113" s="533" cm="1">
        <f t="array" aca="1" ref="Q113" ca="1">OFFSET(Q113,-4,0)*
OFFSET(MSP!$E$1,
MATCH(OFFSET($C107,((MATCH($C107,EL_List,0)-1)*-10)-1,0),MSP!$C:$C,0)+MATCH($C107,EL_List,0)-1,0)
*INDEX(Learning!$E$6:$S$41,(MATCH(Q$21,Dates,0)),(MATCH($C$86,Learning!$E$4:$S$4,0)+MATCH($C$107,Learning!$E$5:$S$5,0)-1))</f>
        <v>0.76806076849813654</v>
      </c>
      <c r="R113" s="533" cm="1">
        <f t="array" aca="1" ref="R113" ca="1">OFFSET(R113,-4,0)*
OFFSET(MSP!$E$1,
MATCH(OFFSET($C107,((MATCH($C107,EL_List,0)-1)*-10)-1,0),MSP!$C:$C,0)+MATCH($C107,EL_List,0)-1,0)
*INDEX(Learning!$E$6:$S$41,(MATCH(R$21,Dates,0)),(MATCH($C$86,Learning!$E$4:$S$4,0)+MATCH($C$107,Learning!$E$5:$S$5,0)-1))</f>
        <v>0.80135792462120958</v>
      </c>
      <c r="S113" s="533" cm="1">
        <f t="array" aca="1" ref="S113" ca="1">OFFSET(S113,-4,0)*
OFFSET(MSP!$E$1,
MATCH(OFFSET($C107,((MATCH($C107,EL_List,0)-1)*-10)-1,0),MSP!$C:$C,0)+MATCH($C107,EL_List,0)-1,0)
*INDEX(Learning!$E$6:$S$41,(MATCH(S$21,Dates,0)),(MATCH($C$86,Learning!$E$4:$S$4,0)+MATCH($C$107,Learning!$E$5:$S$5,0)-1))</f>
        <v>0.83700759466564523</v>
      </c>
      <c r="T113" s="533" cm="1">
        <f t="array" aca="1" ref="T113" ca="1">OFFSET(T113,-4,0)*
OFFSET(MSP!$E$1,
MATCH(OFFSET($C107,((MATCH($C107,EL_List,0)-1)*-10)-1,0),MSP!$C:$C,0)+MATCH($C107,EL_List,0)-1,0)
*INDEX(Learning!$E$6:$S$41,(MATCH(T$21,Dates,0)),(MATCH($C$86,Learning!$E$4:$S$4,0)+MATCH($C$107,Learning!$E$5:$S$5,0)-1))</f>
        <v>0.87431885800624121</v>
      </c>
      <c r="U113" s="533" cm="1">
        <f t="array" aca="1" ref="U113" ca="1">OFFSET(U113,-4,0)*
OFFSET(MSP!$E$1,
MATCH(OFFSET($C107,((MATCH($C107,EL_List,0)-1)*-10)-1,0),MSP!$C:$C,0)+MATCH($C107,EL_List,0)-1,0)
*INDEX(Learning!$E$6:$S$41,(MATCH(U$21,Dates,0)),(MATCH($C$86,Learning!$E$4:$S$4,0)+MATCH($C$107,Learning!$E$5:$S$5,0)-1))</f>
        <v>0.91437456383998594</v>
      </c>
      <c r="V113" s="533" cm="1">
        <f t="array" aca="1" ref="V113" ca="1">OFFSET(V113,-4,0)*
OFFSET(MSP!$E$1,
MATCH(OFFSET($C107,((MATCH($C107,EL_List,0)-1)*-10)-1,0),MSP!$C:$C,0)+MATCH($C107,EL_List,0)-1,0)
*INDEX(Learning!$E$6:$S$41,(MATCH(V$21,Dates,0)),(MATCH($C$86,Learning!$E$4:$S$4,0)+MATCH($C$107,Learning!$E$5:$S$5,0)-1))</f>
        <v>0.95516778211206621</v>
      </c>
      <c r="W113" s="533" cm="1">
        <f t="array" aca="1" ref="W113" ca="1">OFFSET(W113,-4,0)*
OFFSET(MSP!$E$1,
MATCH(OFFSET($C107,((MATCH($C107,EL_List,0)-1)*-10)-1,0),MSP!$C:$C,0)+MATCH($C107,EL_List,0)-1,0)
*INDEX(Learning!$E$6:$S$41,(MATCH(W$21,Dates,0)),(MATCH($C$86,Learning!$E$4:$S$4,0)+MATCH($C$107,Learning!$E$5:$S$5,0)-1))</f>
        <v>0.99772296599730703</v>
      </c>
      <c r="X113" s="533" cm="1">
        <f t="array" aca="1" ref="X113" ca="1">OFFSET(X113,-4,0)*
OFFSET(MSP!$E$1,
MATCH(OFFSET($C107,((MATCH($C107,EL_List,0)-1)*-10)-1,0),MSP!$C:$C,0)+MATCH($C107,EL_List,0)-1,0)
*INDEX(Learning!$E$6:$S$41,(MATCH(X$21,Dates,0)),(MATCH($C$86,Learning!$E$4:$S$4,0)+MATCH($C$107,Learning!$E$5:$S$5,0)-1))</f>
        <v>1.0431806011904112</v>
      </c>
      <c r="Y113" s="533" cm="1">
        <f t="array" aca="1" ref="Y113" ca="1">OFFSET(Y113,-4,0)*
OFFSET(MSP!$E$1,
MATCH(OFFSET($C107,((MATCH($C107,EL_List,0)-1)*-10)-1,0),MSP!$C:$C,0)+MATCH($C107,EL_List,0)-1,0)
*INDEX(Learning!$E$6:$S$41,(MATCH(Y$21,Dates,0)),(MATCH($C$86,Learning!$E$4:$S$4,0)+MATCH($C$107,Learning!$E$5:$S$5,0)-1))</f>
        <v>1.0894052233773948</v>
      </c>
      <c r="Z113" s="533" cm="1">
        <f t="array" aca="1" ref="Z113" ca="1">OFFSET(Z113,-4,0)*
OFFSET(MSP!$E$1,
MATCH(OFFSET($C107,((MATCH($C107,EL_List,0)-1)*-10)-1,0),MSP!$C:$C,0)+MATCH($C107,EL_List,0)-1,0)
*INDEX(Learning!$E$6:$S$41,(MATCH(Z$21,Dates,0)),(MATCH($C$86,Learning!$E$4:$S$4,0)+MATCH($C$107,Learning!$E$5:$S$5,0)-1))</f>
        <v>1.138770585056387</v>
      </c>
      <c r="AA113" s="533" cm="1">
        <f t="array" aca="1" ref="AA113" ca="1">OFFSET(AA113,-4,0)*
OFFSET(MSP!$E$1,
MATCH(OFFSET($C107,((MATCH($C107,EL_List,0)-1)*-10)-1,0),MSP!$C:$C,0)+MATCH($C107,EL_List,0)-1,0)
*INDEX(Learning!$E$6:$S$41,(MATCH(AA$21,Dates,0)),(MATCH($C$86,Learning!$E$4:$S$4,0)+MATCH($C$107,Learning!$E$5:$S$5,0)-1))</f>
        <v>1.1889592878645361</v>
      </c>
      <c r="AB113" s="533" cm="1">
        <f t="array" aca="1" ref="AB113" ca="1">OFFSET(AB113,-4,0)*
OFFSET(MSP!$E$1,
MATCH(OFFSET($C107,((MATCH($C107,EL_List,0)-1)*-10)-1,0),MSP!$C:$C,0)+MATCH($C107,EL_List,0)-1,0)
*INDEX(Learning!$E$6:$S$41,(MATCH(AB$21,Dates,0)),(MATCH($C$86,Learning!$E$4:$S$4,0)+MATCH($C$107,Learning!$E$5:$S$5,0)-1))</f>
        <v>1.2426109150256146</v>
      </c>
      <c r="AC113" s="533" cm="1">
        <f t="array" aca="1" ref="AC113" ca="1">OFFSET(AC113,-4,0)*
OFFSET(MSP!$E$1,
MATCH(OFFSET($C107,((MATCH($C107,EL_List,0)-1)*-10)-1,0),MSP!$C:$C,0)+MATCH($C107,EL_List,0)-1,0)
*INDEX(Learning!$E$6:$S$41,(MATCH(AC$21,Dates,0)),(MATCH($C$86,Learning!$E$4:$S$4,0)+MATCH($C$107,Learning!$E$5:$S$5,0)-1))</f>
        <v>1.2986040658438776</v>
      </c>
      <c r="AD113" s="533" cm="1">
        <f t="array" aca="1" ref="AD113" ca="1">OFFSET(AD113,-4,0)*
OFFSET(MSP!$E$1,
MATCH(OFFSET($C107,((MATCH($C107,EL_List,0)-1)*-10)-1,0),MSP!$C:$C,0)+MATCH($C107,EL_List,0)-1,0)
*INDEX(Learning!$E$6:$S$41,(MATCH(AD$21,Dates,0)),(MATCH($C$86,Learning!$E$4:$S$4,0)+MATCH($C$107,Learning!$E$5:$S$5,0)-1))</f>
        <v>1.357049330688495</v>
      </c>
      <c r="AE113" s="533" cm="1">
        <f t="array" aca="1" ref="AE113" ca="1">OFFSET(AE113,-4,0)*
OFFSET(MSP!$E$1,
MATCH(OFFSET($C107,((MATCH($C107,EL_List,0)-1)*-10)-1,0),MSP!$C:$C,0)+MATCH($C107,EL_List,0)-1,0)
*INDEX(Learning!$E$6:$S$41,(MATCH(AE$21,Dates,0)),(MATCH($C$86,Learning!$E$4:$S$4,0)+MATCH($C$107,Learning!$E$5:$S$5,0)-1))</f>
        <v>1.4180547137593407</v>
      </c>
      <c r="AF113" s="533" cm="1">
        <f t="array" aca="1" ref="AF113" ca="1">OFFSET(AF113,-4,0)*
OFFSET(MSP!$E$1,
MATCH(OFFSET($C107,((MATCH($C107,EL_List,0)-1)*-10)-1,0),MSP!$C:$C,0)+MATCH($C107,EL_List,0)-1,0)
*INDEX(Learning!$E$6:$S$41,(MATCH(AF$21,Dates,0)),(MATCH($C$86,Learning!$E$4:$S$4,0)+MATCH($C$107,Learning!$E$5:$S$5,0)-1))</f>
        <v>1.4800770245963994</v>
      </c>
      <c r="AG113" s="533" cm="1">
        <f t="array" aca="1" ref="AG113" ca="1">OFFSET(AG113,-4,0)*
OFFSET(MSP!$E$1,
MATCH(OFFSET($C107,((MATCH($C107,EL_List,0)-1)*-10)-1,0),MSP!$C:$C,0)+MATCH($C107,EL_List,0)-1,0)
*INDEX(Learning!$E$6:$S$41,(MATCH(AG$21,Dates,0)),(MATCH($C$86,Learning!$E$4:$S$4,0)+MATCH($C$107,Learning!$E$5:$S$5,0)-1))</f>
        <v>1.5464433948255065</v>
      </c>
      <c r="AH113" s="533" cm="1">
        <f t="array" aca="1" ref="AH113" ca="1">OFFSET(AH113,-4,0)*
OFFSET(MSP!$E$1,
MATCH(OFFSET($C107,((MATCH($C107,EL_List,0)-1)*-10)-1,0),MSP!$C:$C,0)+MATCH($C107,EL_List,0)-1,0)
*INDEX(Learning!$E$6:$S$41,(MATCH(AH$21,Dates,0)),(MATCH($C$86,Learning!$E$4:$S$4,0)+MATCH($C$107,Learning!$E$5:$S$5,0)-1))</f>
        <v>1.6175123897093144</v>
      </c>
      <c r="AI113" s="533" cm="1">
        <f t="array" aca="1" ref="AI113" ca="1">OFFSET(AI113,-4,0)*
OFFSET(MSP!$E$1,
MATCH(OFFSET($C107,((MATCH($C107,EL_List,0)-1)*-10)-1,0),MSP!$C:$C,0)+MATCH($C107,EL_List,0)-1,0)
*INDEX(Learning!$E$6:$S$41,(MATCH(AI$21,Dates,0)),(MATCH($C$86,Learning!$E$4:$S$4,0)+MATCH($C$107,Learning!$E$5:$S$5,0)-1))</f>
        <v>1.6898588668160888</v>
      </c>
      <c r="AJ113" s="533" cm="1">
        <f t="array" aca="1" ref="AJ113" ca="1">OFFSET(AJ113,-4,0)*
OFFSET(MSP!$E$1,
MATCH(OFFSET($C107,((MATCH($C107,EL_List,0)-1)*-10)-1,0),MSP!$C:$C,0)+MATCH($C107,EL_List,0)-1,0)
*INDEX(Learning!$E$6:$S$41,(MATCH(AJ$21,Dates,0)),(MATCH($C$86,Learning!$E$4:$S$4,0)+MATCH($C$107,Learning!$E$5:$S$5,0)-1))</f>
        <v>1.7653421586700824</v>
      </c>
      <c r="AK113" s="533" cm="1">
        <f t="array" aca="1" ref="AK113" ca="1">OFFSET(AK113,-4,0)*
OFFSET(MSP!$E$1,
MATCH(OFFSET($C107,((MATCH($C107,EL_List,0)-1)*-10)-1,0),MSP!$C:$C,0)+MATCH($C107,EL_List,0)-1,0)
*INDEX(Learning!$E$6:$S$41,(MATCH(AK$21,Dates,0)),(MATCH($C$86,Learning!$E$4:$S$4,0)+MATCH($C$107,Learning!$E$5:$S$5,0)-1))</f>
        <v>1.8440972667437405</v>
      </c>
      <c r="AL113" s="533" cm="1">
        <f t="array" aca="1" ref="AL113" ca="1">OFFSET(AL113,-4,0)*
OFFSET(MSP!$E$1,
MATCH(OFFSET($C107,((MATCH($C107,EL_List,0)-1)*-10)-1,0),MSP!$C:$C,0)+MATCH($C107,EL_List,0)-1,0)
*INDEX(Learning!$E$6:$S$41,(MATCH(AL$21,Dates,0)),(MATCH($C$86,Learning!$E$4:$S$4,0)+MATCH($C$107,Learning!$E$5:$S$5,0)-1))</f>
        <v>1.9262660158265246</v>
      </c>
      <c r="AM113" s="533" cm="1">
        <f t="array" aca="1" ref="AM113" ca="1">OFFSET(AM113,-4,0)*
OFFSET(MSP!$E$1,
MATCH(OFFSET($C107,((MATCH($C107,EL_List,0)-1)*-10)-1,0),MSP!$C:$C,0)+MATCH($C107,EL_List,0)-1,0)
*INDEX(Learning!$E$6:$S$41,(MATCH(AM$21,Dates,0)),(MATCH($C$86,Learning!$E$4:$S$4,0)+MATCH($C$107,Learning!$E$5:$S$5,0)-1))</f>
        <v>2.0143092324337784</v>
      </c>
      <c r="AN113" s="533" cm="1">
        <f t="array" aca="1" ref="AN113" ca="1">OFFSET(AN113,-4,0)*
OFFSET(MSP!$E$1,
MATCH(OFFSET($C107,((MATCH($C107,EL_List,0)-1)*-10)-1,0),MSP!$C:$C,0)+MATCH($C107,EL_List,0)-1,0)
*INDEX(Learning!$E$6:$S$41,(MATCH(AN$21,Dates,0)),(MATCH($C$86,Learning!$E$4:$S$4,0)+MATCH($C$107,Learning!$E$5:$S$5,0)-1))</f>
        <v>2.103489851160707</v>
      </c>
      <c r="AO113" s="436"/>
      <c r="AP113" s="21"/>
    </row>
    <row r="114" spans="2:42" ht="15" customHeight="1" x14ac:dyDescent="0.35">
      <c r="B114" s="429"/>
      <c r="C114" s="777" t="s">
        <v>214</v>
      </c>
      <c r="D114" s="776"/>
      <c r="E114" s="533" cm="1">
        <f t="array" aca="1" ref="E114" ca="1">OFFSET(E114,-5,0)*
OFFSET(MSP!$F$1,
MATCH(OFFSET($C107,((MATCH($C107,EL_List,0)-1)*-10)-1,0),MSP!$C:$C,0)+MATCH($C107,EL_List,0)-1,0)
*INDEX(Learning!$E$6:$S$41,(MATCH(E$21,Dates,0)),(MATCH($C$86,Learning!$E$4:$S$4,0)+MATCH($C$107,Learning!$E$5:$S$5,0)-1))</f>
        <v>1.2340166760216251</v>
      </c>
      <c r="F114" s="533" cm="1">
        <f t="array" aca="1" ref="F114" ca="1">OFFSET(F114,-5,0)*
OFFSET(MSP!$F$1,
MATCH(OFFSET($C107,((MATCH($C107,EL_List,0)-1)*-10)-1,0),MSP!$C:$C,0)+MATCH($C107,EL_List,0)-1,0)
*INDEX(Learning!$E$6:$S$41,(MATCH(F$21,Dates,0)),(MATCH($C$86,Learning!$E$4:$S$4,0)+MATCH($C$107,Learning!$E$5:$S$5,0)-1))</f>
        <v>1.2793117188328333</v>
      </c>
      <c r="G114" s="533" cm="1">
        <f t="array" aca="1" ref="G114" ca="1">OFFSET(G114,-5,0)*
OFFSET(MSP!$F$1,
MATCH(OFFSET($C107,((MATCH($C107,EL_List,0)-1)*-10)-1,0),MSP!$C:$C,0)+MATCH($C107,EL_List,0)-1,0)
*INDEX(Learning!$E$6:$S$41,(MATCH(G$21,Dates,0)),(MATCH($C$86,Learning!$E$4:$S$4,0)+MATCH($C$107,Learning!$E$5:$S$5,0)-1))</f>
        <v>1.3181151212410609</v>
      </c>
      <c r="H114" s="533" cm="1">
        <f t="array" aca="1" ref="H114" ca="1">OFFSET(H114,-5,0)*
OFFSET(MSP!$F$1,
MATCH(OFFSET($C107,((MATCH($C107,EL_List,0)-1)*-10)-1,0),MSP!$C:$C,0)+MATCH($C107,EL_List,0)-1,0)
*INDEX(Learning!$E$6:$S$41,(MATCH(H$21,Dates,0)),(MATCH($C$86,Learning!$E$4:$S$4,0)+MATCH($C$107,Learning!$E$5:$S$5,0)-1))</f>
        <v>1.3706116014216594</v>
      </c>
      <c r="I114" s="533" cm="1">
        <f t="array" aca="1" ref="I114" ca="1">OFFSET(I114,-5,0)*
OFFSET(MSP!$F$1,
MATCH(OFFSET($C107,((MATCH($C107,EL_List,0)-1)*-10)-1,0),MSP!$C:$C,0)+MATCH($C107,EL_List,0)-1,0)
*INDEX(Learning!$E$6:$S$41,(MATCH(I$21,Dates,0)),(MATCH($C$86,Learning!$E$4:$S$4,0)+MATCH($C$107,Learning!$E$5:$S$5,0)-1))</f>
        <v>1.4267233315366168</v>
      </c>
      <c r="J114" s="533" cm="1">
        <f t="array" aca="1" ref="J114" ca="1">OFFSET(J114,-5,0)*
OFFSET(MSP!$F$1,
MATCH(OFFSET($C107,((MATCH($C107,EL_List,0)-1)*-10)-1,0),MSP!$C:$C,0)+MATCH($C107,EL_List,0)-1,0)
*INDEX(Learning!$E$6:$S$41,(MATCH(J$21,Dates,0)),(MATCH($C$86,Learning!$E$4:$S$4,0)+MATCH($C$107,Learning!$E$5:$S$5,0)-1))</f>
        <v>1.4888714089611015</v>
      </c>
      <c r="K114" s="533" cm="1">
        <f t="array" aca="1" ref="K114" ca="1">OFFSET(K114,-5,0)*
OFFSET(MSP!$F$1,
MATCH(OFFSET($C107,((MATCH($C107,EL_List,0)-1)*-10)-1,0),MSP!$C:$C,0)+MATCH($C107,EL_List,0)-1,0)
*INDEX(Learning!$E$6:$S$41,(MATCH(K$21,Dates,0)),(MATCH($C$86,Learning!$E$4:$S$4,0)+MATCH($C$107,Learning!$E$5:$S$5,0)-1))</f>
        <v>1.5576274683780076</v>
      </c>
      <c r="L114" s="533" cm="1">
        <f t="array" aca="1" ref="L114" ca="1">OFFSET(L114,-5,0)*
OFFSET(MSP!$F$1,
MATCH(OFFSET($C107,((MATCH($C107,EL_List,0)-1)*-10)-1,0),MSP!$C:$C,0)+MATCH($C107,EL_List,0)-1,0)
*INDEX(Learning!$E$6:$S$41,(MATCH(L$21,Dates,0)),(MATCH($C$86,Learning!$E$4:$S$4,0)+MATCH($C$107,Learning!$E$5:$S$5,0)-1))</f>
        <v>1.6302180049971489</v>
      </c>
      <c r="M114" s="533" cm="1">
        <f t="array" aca="1" ref="M114" ca="1">OFFSET(M114,-5,0)*
OFFSET(MSP!$F$1,
MATCH(OFFSET($C107,((MATCH($C107,EL_List,0)-1)*-10)-1,0),MSP!$C:$C,0)+MATCH($C107,EL_List,0)-1,0)
*INDEX(Learning!$E$6:$S$41,(MATCH(M$21,Dates,0)),(MATCH($C$86,Learning!$E$4:$S$4,0)+MATCH($C$107,Learning!$E$5:$S$5,0)-1))</f>
        <v>1.7055824476881301</v>
      </c>
      <c r="N114" s="533" cm="1">
        <f t="array" aca="1" ref="N114" ca="1">OFFSET(N114,-5,0)*
OFFSET(MSP!$F$1,
MATCH(OFFSET($C107,((MATCH($C107,EL_List,0)-1)*-10)-1,0),MSP!$C:$C,0)+MATCH($C107,EL_List,0)-1,0)
*INDEX(Learning!$E$6:$S$41,(MATCH(N$21,Dates,0)),(MATCH($C$86,Learning!$E$4:$S$4,0)+MATCH($C$107,Learning!$E$5:$S$5,0)-1))</f>
        <v>1.7830070698923222</v>
      </c>
      <c r="O114" s="533" cm="1">
        <f t="array" aca="1" ref="O114" ca="1">OFFSET(O114,-5,0)*
OFFSET(MSP!$F$1,
MATCH(OFFSET($C107,((MATCH($C107,EL_List,0)-1)*-10)-1,0),MSP!$C:$C,0)+MATCH($C107,EL_List,0)-1,0)
*INDEX(Learning!$E$6:$S$41,(MATCH(O$21,Dates,0)),(MATCH($C$86,Learning!$E$4:$S$4,0)+MATCH($C$107,Learning!$E$5:$S$5,0)-1))</f>
        <v>1.8623974623933324</v>
      </c>
      <c r="P114" s="533" cm="1">
        <f t="array" aca="1" ref="P114" ca="1">OFFSET(P114,-5,0)*
OFFSET(MSP!$F$1,
MATCH(OFFSET($C107,((MATCH($C107,EL_List,0)-1)*-10)-1,0),MSP!$C:$C,0)+MATCH($C107,EL_List,0)-1,0)
*INDEX(Learning!$E$6:$S$41,(MATCH(P$21,Dates,0)),(MATCH($C$86,Learning!$E$4:$S$4,0)+MATCH($C$107,Learning!$E$5:$S$5,0)-1))</f>
        <v>1.9460860960629329</v>
      </c>
      <c r="Q114" s="533" cm="1">
        <f t="array" aca="1" ref="Q114" ca="1">OFFSET(Q114,-5,0)*
OFFSET(MSP!$F$1,
MATCH(OFFSET($C107,((MATCH($C107,EL_List,0)-1)*-10)-1,0),MSP!$C:$C,0)+MATCH($C107,EL_List,0)-1,0)
*INDEX(Learning!$E$6:$S$41,(MATCH(Q$21,Dates,0)),(MATCH($C$86,Learning!$E$4:$S$4,0)+MATCH($C$107,Learning!$E$5:$S$5,0)-1))</f>
        <v>2.0327893854364794</v>
      </c>
      <c r="R114" s="533" cm="1">
        <f t="array" aca="1" ref="R114" ca="1">OFFSET(R114,-5,0)*
OFFSET(MSP!$F$1,
MATCH(OFFSET($C107,((MATCH($C107,EL_List,0)-1)*-10)-1,0),MSP!$C:$C,0)+MATCH($C107,EL_List,0)-1,0)
*INDEX(Learning!$E$6:$S$41,(MATCH(R$21,Dates,0)),(MATCH($C$86,Learning!$E$4:$S$4,0)+MATCH($C$107,Learning!$E$5:$S$5,0)-1))</f>
        <v>2.1209153623231223</v>
      </c>
      <c r="S114" s="533" cm="1">
        <f t="array" aca="1" ref="S114" ca="1">OFFSET(S114,-5,0)*
OFFSET(MSP!$F$1,
MATCH(OFFSET($C107,((MATCH($C107,EL_List,0)-1)*-10)-1,0),MSP!$C:$C,0)+MATCH($C107,EL_List,0)-1,0)
*INDEX(Learning!$E$6:$S$41,(MATCH(S$21,Dates,0)),(MATCH($C$86,Learning!$E$4:$S$4,0)+MATCH($C$107,Learning!$E$5:$S$5,0)-1))</f>
        <v>2.2152676243223204</v>
      </c>
      <c r="T114" s="533" cm="1">
        <f t="array" aca="1" ref="T114" ca="1">OFFSET(T114,-5,0)*
OFFSET(MSP!$F$1,
MATCH(OFFSET($C107,((MATCH($C107,EL_List,0)-1)*-10)-1,0),MSP!$C:$C,0)+MATCH($C107,EL_List,0)-1,0)
*INDEX(Learning!$E$6:$S$41,(MATCH(T$21,Dates,0)),(MATCH($C$86,Learning!$E$4:$S$4,0)+MATCH($C$107,Learning!$E$5:$S$5,0)-1))</f>
        <v>2.3140175451447282</v>
      </c>
      <c r="U114" s="533" cm="1">
        <f t="array" aca="1" ref="U114" ca="1">OFFSET(U114,-5,0)*
OFFSET(MSP!$F$1,
MATCH(OFFSET($C107,((MATCH($C107,EL_List,0)-1)*-10)-1,0),MSP!$C:$C,0)+MATCH($C107,EL_List,0)-1,0)
*INDEX(Learning!$E$6:$S$41,(MATCH(U$21,Dates,0)),(MATCH($C$86,Learning!$E$4:$S$4,0)+MATCH($C$107,Learning!$E$5:$S$5,0)-1))</f>
        <v>2.4200310495243627</v>
      </c>
      <c r="V114" s="533" cm="1">
        <f t="array" aca="1" ref="V114" ca="1">OFFSET(V114,-5,0)*
OFFSET(MSP!$F$1,
MATCH(OFFSET($C107,((MATCH($C107,EL_List,0)-1)*-10)-1,0),MSP!$C:$C,0)+MATCH($C107,EL_List,0)-1,0)
*INDEX(Learning!$E$6:$S$41,(MATCH(V$21,Dates,0)),(MATCH($C$86,Learning!$E$4:$S$4,0)+MATCH($C$107,Learning!$E$5:$S$5,0)-1))</f>
        <v>2.5279964924976155</v>
      </c>
      <c r="W114" s="533" cm="1">
        <f t="array" aca="1" ref="W114" ca="1">OFFSET(W114,-5,0)*
OFFSET(MSP!$F$1,
MATCH(OFFSET($C107,((MATCH($C107,EL_List,0)-1)*-10)-1,0),MSP!$C:$C,0)+MATCH($C107,EL_List,0)-1,0)
*INDEX(Learning!$E$6:$S$41,(MATCH(W$21,Dates,0)),(MATCH($C$86,Learning!$E$4:$S$4,0)+MATCH($C$107,Learning!$E$5:$S$5,0)-1))</f>
        <v>2.6406252448636134</v>
      </c>
      <c r="X114" s="533" cm="1">
        <f t="array" aca="1" ref="X114" ca="1">OFFSET(X114,-5,0)*
OFFSET(MSP!$F$1,
MATCH(OFFSET($C107,((MATCH($C107,EL_List,0)-1)*-10)-1,0),MSP!$C:$C,0)+MATCH($C107,EL_List,0)-1,0)
*INDEX(Learning!$E$6:$S$41,(MATCH(X$21,Dates,0)),(MATCH($C$86,Learning!$E$4:$S$4,0)+MATCH($C$107,Learning!$E$5:$S$5,0)-1))</f>
        <v>2.7609357750945431</v>
      </c>
      <c r="Y114" s="533" cm="1">
        <f t="array" aca="1" ref="Y114" ca="1">OFFSET(Y114,-5,0)*
OFFSET(MSP!$F$1,
MATCH(OFFSET($C107,((MATCH($C107,EL_List,0)-1)*-10)-1,0),MSP!$C:$C,0)+MATCH($C107,EL_List,0)-1,0)
*INDEX(Learning!$E$6:$S$41,(MATCH(Y$21,Dates,0)),(MATCH($C$86,Learning!$E$4:$S$4,0)+MATCH($C$107,Learning!$E$5:$S$5,0)-1))</f>
        <v>2.8832762528034235</v>
      </c>
      <c r="Z114" s="533" cm="1">
        <f t="array" aca="1" ref="Z114" ca="1">OFFSET(Z114,-5,0)*
OFFSET(MSP!$F$1,
MATCH(OFFSET($C107,((MATCH($C107,EL_List,0)-1)*-10)-1,0),MSP!$C:$C,0)+MATCH($C107,EL_List,0)-1,0)
*INDEX(Learning!$E$6:$S$41,(MATCH(Z$21,Dates,0)),(MATCH($C$86,Learning!$E$4:$S$4,0)+MATCH($C$107,Learning!$E$5:$S$5,0)-1))</f>
        <v>3.0139291742194083</v>
      </c>
      <c r="AA114" s="533" cm="1">
        <f t="array" aca="1" ref="AA114" ca="1">OFFSET(AA114,-5,0)*
OFFSET(MSP!$F$1,
MATCH(OFFSET($C107,((MATCH($C107,EL_List,0)-1)*-10)-1,0),MSP!$C:$C,0)+MATCH($C107,EL_List,0)-1,0)
*INDEX(Learning!$E$6:$S$41,(MATCH(AA$21,Dates,0)),(MATCH($C$86,Learning!$E$4:$S$4,0)+MATCH($C$107,Learning!$E$5:$S$5,0)-1))</f>
        <v>3.1467611928847119</v>
      </c>
      <c r="AB114" s="533" cm="1">
        <f t="array" aca="1" ref="AB114" ca="1">OFFSET(AB114,-5,0)*
OFFSET(MSP!$F$1,
MATCH(OFFSET($C107,((MATCH($C107,EL_List,0)-1)*-10)-1,0),MSP!$C:$C,0)+MATCH($C107,EL_List,0)-1,0)
*INDEX(Learning!$E$6:$S$41,(MATCH(AB$21,Dates,0)),(MATCH($C$86,Learning!$E$4:$S$4,0)+MATCH($C$107,Learning!$E$5:$S$5,0)-1))</f>
        <v>3.2887583663866153</v>
      </c>
      <c r="AC114" s="533" cm="1">
        <f t="array" aca="1" ref="AC114" ca="1">OFFSET(AC114,-5,0)*
OFFSET(MSP!$F$1,
MATCH(OFFSET($C107,((MATCH($C107,EL_List,0)-1)*-10)-1,0),MSP!$C:$C,0)+MATCH($C107,EL_List,0)-1,0)
*INDEX(Learning!$E$6:$S$41,(MATCH(AC$21,Dates,0)),(MATCH($C$86,Learning!$E$4:$S$4,0)+MATCH($C$107,Learning!$E$5:$S$5,0)-1))</f>
        <v>3.4369527375990345</v>
      </c>
      <c r="AD114" s="533" cm="1">
        <f t="array" aca="1" ref="AD114" ca="1">OFFSET(AD114,-5,0)*
OFFSET(MSP!$F$1,
MATCH(OFFSET($C107,((MATCH($C107,EL_List,0)-1)*-10)-1,0),MSP!$C:$C,0)+MATCH($C107,EL_List,0)-1,0)
*INDEX(Learning!$E$6:$S$41,(MATCH(AD$21,Dates,0)),(MATCH($C$86,Learning!$E$4:$S$4,0)+MATCH($C$107,Learning!$E$5:$S$5,0)-1))</f>
        <v>3.5916370007172733</v>
      </c>
      <c r="AE114" s="533" cm="1">
        <f t="array" aca="1" ref="AE114" ca="1">OFFSET(AE114,-5,0)*
OFFSET(MSP!$F$1,
MATCH(OFFSET($C107,((MATCH($C107,EL_List,0)-1)*-10)-1,0),MSP!$C:$C,0)+MATCH($C107,EL_List,0)-1,0)
*INDEX(Learning!$E$6:$S$41,(MATCH(AE$21,Dates,0)),(MATCH($C$86,Learning!$E$4:$S$4,0)+MATCH($C$107,Learning!$E$5:$S$5,0)-1))</f>
        <v>3.7530970052471133</v>
      </c>
      <c r="AF114" s="533" cm="1">
        <f t="array" aca="1" ref="AF114" ca="1">OFFSET(AF114,-5,0)*
OFFSET(MSP!$F$1,
MATCH(OFFSET($C107,((MATCH($C107,EL_List,0)-1)*-10)-1,0),MSP!$C:$C,0)+MATCH($C107,EL_List,0)-1,0)
*INDEX(Learning!$E$6:$S$41,(MATCH(AF$21,Dates,0)),(MATCH($C$86,Learning!$E$4:$S$4,0)+MATCH($C$107,Learning!$E$5:$S$5,0)-1))</f>
        <v>3.9172484634401252</v>
      </c>
      <c r="AG114" s="533" cm="1">
        <f t="array" aca="1" ref="AG114" ca="1">OFFSET(AG114,-5,0)*
OFFSET(MSP!$F$1,
MATCH(OFFSET($C107,((MATCH($C107,EL_List,0)-1)*-10)-1,0),MSP!$C:$C,0)+MATCH($C107,EL_List,0)-1,0)
*INDEX(Learning!$E$6:$S$41,(MATCH(AG$21,Dates,0)),(MATCH($C$86,Learning!$E$4:$S$4,0)+MATCH($C$107,Learning!$E$5:$S$5,0)-1))</f>
        <v>4.0928971340726283</v>
      </c>
      <c r="AH114" s="533" cm="1">
        <f t="array" aca="1" ref="AH114" ca="1">OFFSET(AH114,-5,0)*
OFFSET(MSP!$F$1,
MATCH(OFFSET($C107,((MATCH($C107,EL_List,0)-1)*-10)-1,0),MSP!$C:$C,0)+MATCH($C107,EL_List,0)-1,0)
*INDEX(Learning!$E$6:$S$41,(MATCH(AH$21,Dates,0)),(MATCH($C$86,Learning!$E$4:$S$4,0)+MATCH($C$107,Learning!$E$5:$S$5,0)-1))</f>
        <v>4.2809920145284259</v>
      </c>
      <c r="AI114" s="533" cm="1">
        <f t="array" aca="1" ref="AI114" ca="1">OFFSET(AI114,-5,0)*
OFFSET(MSP!$F$1,
MATCH(OFFSET($C107,((MATCH($C107,EL_List,0)-1)*-10)-1,0),MSP!$C:$C,0)+MATCH($C107,EL_List,0)-1,0)
*INDEX(Learning!$E$6:$S$41,(MATCH(AI$21,Dates,0)),(MATCH($C$86,Learning!$E$4:$S$4,0)+MATCH($C$107,Learning!$E$5:$S$5,0)-1))</f>
        <v>4.4724679455591749</v>
      </c>
      <c r="AJ114" s="533" cm="1">
        <f t="array" aca="1" ref="AJ114" ca="1">OFFSET(AJ114,-5,0)*
OFFSET(MSP!$F$1,
MATCH(OFFSET($C107,((MATCH($C107,EL_List,0)-1)*-10)-1,0),MSP!$C:$C,0)+MATCH($C107,EL_List,0)-1,0)
*INDEX(Learning!$E$6:$S$41,(MATCH(AJ$21,Dates,0)),(MATCH($C$86,Learning!$E$4:$S$4,0)+MATCH($C$107,Learning!$E$5:$S$5,0)-1))</f>
        <v>4.672245932864322</v>
      </c>
      <c r="AK114" s="533" cm="1">
        <f t="array" aca="1" ref="AK114" ca="1">OFFSET(AK114,-5,0)*
OFFSET(MSP!$F$1,
MATCH(OFFSET($C107,((MATCH($C107,EL_List,0)-1)*-10)-1,0),MSP!$C:$C,0)+MATCH($C107,EL_List,0)-1,0)
*INDEX(Learning!$E$6:$S$41,(MATCH(AK$21,Dates,0)),(MATCH($C$86,Learning!$E$4:$S$4,0)+MATCH($C$107,Learning!$E$5:$S$5,0)-1))</f>
        <v>4.8806832783286396</v>
      </c>
      <c r="AL114" s="533" cm="1">
        <f t="array" aca="1" ref="AL114" ca="1">OFFSET(AL114,-5,0)*
OFFSET(MSP!$F$1,
MATCH(OFFSET($C107,((MATCH($C107,EL_List,0)-1)*-10)-1,0),MSP!$C:$C,0)+MATCH($C107,EL_List,0)-1,0)
*INDEX(Learning!$E$6:$S$41,(MATCH(AL$21,Dates,0)),(MATCH($C$86,Learning!$E$4:$S$4,0)+MATCH($C$107,Learning!$E$5:$S$5,0)-1))</f>
        <v>5.0981553427808963</v>
      </c>
      <c r="AM114" s="533" cm="1">
        <f t="array" aca="1" ref="AM114" ca="1">OFFSET(AM114,-5,0)*
OFFSET(MSP!$F$1,
MATCH(OFFSET($C107,((MATCH($C107,EL_List,0)-1)*-10)-1,0),MSP!$C:$C,0)+MATCH($C107,EL_List,0)-1,0)
*INDEX(Learning!$E$6:$S$41,(MATCH(AM$21,Dates,0)),(MATCH($C$86,Learning!$E$4:$S$4,0)+MATCH($C$107,Learning!$E$5:$S$5,0)-1))</f>
        <v>5.3311750770512392</v>
      </c>
      <c r="AN114" s="533" cm="1">
        <f t="array" aca="1" ref="AN114" ca="1">OFFSET(AN114,-5,0)*
OFFSET(MSP!$F$1,
MATCH(OFFSET($C107,((MATCH($C107,EL_List,0)-1)*-10)-1,0),MSP!$C:$C,0)+MATCH($C107,EL_List,0)-1,0)
*INDEX(Learning!$E$6:$S$41,(MATCH(AN$21,Dates,0)),(MATCH($C$86,Learning!$E$4:$S$4,0)+MATCH($C$107,Learning!$E$5:$S$5,0)-1))</f>
        <v>5.5672051186444875</v>
      </c>
      <c r="AO114" s="436"/>
      <c r="AP114" s="21"/>
    </row>
    <row r="115" spans="2:42" ht="15" customHeight="1" collapsed="1" x14ac:dyDescent="0.35">
      <c r="B115" s="429"/>
      <c r="C115" s="777" t="s">
        <v>215</v>
      </c>
      <c r="D115" s="776"/>
      <c r="E115" s="531" cm="1">
        <f t="array" aca="1" ref="E115" ca="1">OFFSET(E115,-6,0)*
OFFSET(MSP!$G$1,
MATCH(OFFSET($C107,((MATCH($C107,EL_List,0)-1)*-10)-1,0),MSP!$C:$C,0)+MATCH($C107,EL_List,0)-1,0)
*INDEX(Learning!$E$6:$S$41,(MATCH(E$21,Dates,0)),(MATCH($C$86,Learning!$E$4:$S$4,0)+MATCH($C$107,Learning!$E$5:$S$5,0)-1))</f>
        <v>0.71393503577569228</v>
      </c>
      <c r="F115" s="531" cm="1">
        <f t="array" aca="1" ref="F115" ca="1">OFFSET(F115,-6,0)*
OFFSET(MSP!$G$1,
MATCH(OFFSET($C107,((MATCH($C107,EL_List,0)-1)*-10)-1,0),MSP!$C:$C,0)+MATCH($C107,EL_List,0)-1,0)
*INDEX(Learning!$E$6:$S$41,(MATCH(F$21,Dates,0)),(MATCH($C$86,Learning!$E$4:$S$4,0)+MATCH($C$107,Learning!$E$5:$S$5,0)-1))</f>
        <v>0.74014028781015895</v>
      </c>
      <c r="G115" s="531" cm="1">
        <f t="array" aca="1" ref="G115" ca="1">OFFSET(G115,-6,0)*
OFFSET(MSP!$G$1,
MATCH(OFFSET($C107,((MATCH($C107,EL_List,0)-1)*-10)-1,0),MSP!$C:$C,0)+MATCH($C107,EL_List,0)-1,0)
*INDEX(Learning!$E$6:$S$41,(MATCH(G$21,Dates,0)),(MATCH($C$86,Learning!$E$4:$S$4,0)+MATCH($C$107,Learning!$E$5:$S$5,0)-1))</f>
        <v>0.76258982923438789</v>
      </c>
      <c r="H115" s="531" cm="1">
        <f t="array" aca="1" ref="H115" ca="1">OFFSET(H115,-6,0)*
OFFSET(MSP!$G$1,
MATCH(OFFSET($C107,((MATCH($C107,EL_List,0)-1)*-10)-1,0),MSP!$C:$C,0)+MATCH($C107,EL_List,0)-1,0)
*INDEX(Learning!$E$6:$S$41,(MATCH(H$21,Dates,0)),(MATCH($C$86,Learning!$E$4:$S$4,0)+MATCH($C$107,Learning!$E$5:$S$5,0)-1))</f>
        <v>0.79296144185850825</v>
      </c>
      <c r="I115" s="531" cm="1">
        <f t="array" aca="1" ref="I115" ca="1">OFFSET(I115,-6,0)*
OFFSET(MSP!$G$1,
MATCH(OFFSET($C107,((MATCH($C107,EL_List,0)-1)*-10)-1,0),MSP!$C:$C,0)+MATCH($C107,EL_List,0)-1,0)
*INDEX(Learning!$E$6:$S$41,(MATCH(I$21,Dates,0)),(MATCH($C$86,Learning!$E$4:$S$4,0)+MATCH($C$107,Learning!$E$5:$S$5,0)-1))</f>
        <v>0.82542464176939512</v>
      </c>
      <c r="J115" s="531" cm="1">
        <f t="array" aca="1" ref="J115" ca="1">OFFSET(J115,-6,0)*
OFFSET(MSP!$G$1,
MATCH(OFFSET($C107,((MATCH($C107,EL_List,0)-1)*-10)-1,0),MSP!$C:$C,0)+MATCH($C107,EL_List,0)-1,0)
*INDEX(Learning!$E$6:$S$41,(MATCH(J$21,Dates,0)),(MATCH($C$86,Learning!$E$4:$S$4,0)+MATCH($C$107,Learning!$E$5:$S$5,0)-1))</f>
        <v>0.86138014443122646</v>
      </c>
      <c r="K115" s="531" cm="1">
        <f t="array" aca="1" ref="K115" ca="1">OFFSET(K115,-6,0)*
OFFSET(MSP!$G$1,
MATCH(OFFSET($C107,((MATCH($C107,EL_List,0)-1)*-10)-1,0),MSP!$C:$C,0)+MATCH($C107,EL_List,0)-1,0)
*INDEX(Learning!$E$6:$S$41,(MATCH(K$21,Dates,0)),(MATCH($C$86,Learning!$E$4:$S$4,0)+MATCH($C$107,Learning!$E$5:$S$5,0)-1))</f>
        <v>0.90115866662904509</v>
      </c>
      <c r="L115" s="531" cm="1">
        <f t="array" aca="1" ref="L115" ca="1">OFFSET(L115,-6,0)*
OFFSET(MSP!$G$1,
MATCH(OFFSET($C107,((MATCH($C107,EL_List,0)-1)*-10)-1,0),MSP!$C:$C,0)+MATCH($C107,EL_List,0)-1,0)
*INDEX(Learning!$E$6:$S$41,(MATCH(L$21,Dates,0)),(MATCH($C$86,Learning!$E$4:$S$4,0)+MATCH($C$107,Learning!$E$5:$S$5,0)-1))</f>
        <v>0.94315560910574081</v>
      </c>
      <c r="M115" s="531" cm="1">
        <f t="array" aca="1" ref="M115" ca="1">OFFSET(M115,-6,0)*
OFFSET(MSP!$G$1,
MATCH(OFFSET($C107,((MATCH($C107,EL_List,0)-1)*-10)-1,0),MSP!$C:$C,0)+MATCH($C107,EL_List,0)-1,0)
*INDEX(Learning!$E$6:$S$41,(MATCH(M$21,Dates,0)),(MATCH($C$86,Learning!$E$4:$S$4,0)+MATCH($C$107,Learning!$E$5:$S$5,0)-1))</f>
        <v>0.98675738299931959</v>
      </c>
      <c r="N115" s="531" cm="1">
        <f t="array" aca="1" ref="N115" ca="1">OFFSET(N115,-6,0)*
OFFSET(MSP!$G$1,
MATCH(OFFSET($C107,((MATCH($C107,EL_List,0)-1)*-10)-1,0),MSP!$C:$C,0)+MATCH($C107,EL_List,0)-1,0)
*INDEX(Learning!$E$6:$S$41,(MATCH(N$21,Dates,0)),(MATCH($C$86,Learning!$E$4:$S$4,0)+MATCH($C$107,Learning!$E$5:$S$5,0)-1))</f>
        <v>1.0315510648817035</v>
      </c>
      <c r="O115" s="531" cm="1">
        <f t="array" aca="1" ref="O115" ca="1">OFFSET(O115,-6,0)*
OFFSET(MSP!$G$1,
MATCH(OFFSET($C107,((MATCH($C107,EL_List,0)-1)*-10)-1,0),MSP!$C:$C,0)+MATCH($C107,EL_List,0)-1,0)
*INDEX(Learning!$E$6:$S$41,(MATCH(O$21,Dates,0)),(MATCH($C$86,Learning!$E$4:$S$4,0)+MATCH($C$107,Learning!$E$5:$S$5,0)-1))</f>
        <v>1.0774820347071563</v>
      </c>
      <c r="P115" s="531" cm="1">
        <f t="array" aca="1" ref="P115" ca="1">OFFSET(P115,-6,0)*
OFFSET(MSP!$G$1,
MATCH(OFFSET($C107,((MATCH($C107,EL_List,0)-1)*-10)-1,0),MSP!$C:$C,0)+MATCH($C107,EL_List,0)-1,0)
*INDEX(Learning!$E$6:$S$41,(MATCH(P$21,Dates,0)),(MATCH($C$86,Learning!$E$4:$S$4,0)+MATCH($C$107,Learning!$E$5:$S$5,0)-1))</f>
        <v>1.125899733457832</v>
      </c>
      <c r="Q115" s="531" cm="1">
        <f t="array" aca="1" ref="Q115" ca="1">OFFSET(Q115,-6,0)*
OFFSET(MSP!$G$1,
MATCH(OFFSET($C107,((MATCH($C107,EL_List,0)-1)*-10)-1,0),MSP!$C:$C,0)+MATCH($C107,EL_List,0)-1,0)
*INDEX(Learning!$E$6:$S$41,(MATCH(Q$21,Dates,0)),(MATCH($C$86,Learning!$E$4:$S$4,0)+MATCH($C$107,Learning!$E$5:$S$5,0)-1))</f>
        <v>1.1760615482886783</v>
      </c>
      <c r="R115" s="531" cm="1">
        <f t="array" aca="1" ref="R115" ca="1">OFFSET(R115,-6,0)*
OFFSET(MSP!$G$1,
MATCH(OFFSET($C107,((MATCH($C107,EL_List,0)-1)*-10)-1,0),MSP!$C:$C,0)+MATCH($C107,EL_List,0)-1,0)
*INDEX(Learning!$E$6:$S$41,(MATCH(R$21,Dates,0)),(MATCH($C$86,Learning!$E$4:$S$4,0)+MATCH($C$107,Learning!$E$5:$S$5,0)-1))</f>
        <v>1.2270464528559084</v>
      </c>
      <c r="S115" s="531" cm="1">
        <f t="array" aca="1" ref="S115" ca="1">OFFSET(S115,-6,0)*
OFFSET(MSP!$G$1,
MATCH(OFFSET($C107,((MATCH($C107,EL_List,0)-1)*-10)-1,0),MSP!$C:$C,0)+MATCH($C107,EL_List,0)-1,0)
*INDEX(Learning!$E$6:$S$41,(MATCH(S$21,Dates,0)),(MATCH($C$86,Learning!$E$4:$S$4,0)+MATCH($C$107,Learning!$E$5:$S$5,0)-1))</f>
        <v>1.2816335478723899</v>
      </c>
      <c r="T115" s="531" cm="1">
        <f t="array" aca="1" ref="T115" ca="1">OFFSET(T115,-6,0)*
OFFSET(MSP!$G$1,
MATCH(OFFSET($C107,((MATCH($C107,EL_List,0)-1)*-10)-1,0),MSP!$C:$C,0)+MATCH($C107,EL_List,0)-1,0)
*INDEX(Learning!$E$6:$S$41,(MATCH(T$21,Dates,0)),(MATCH($C$86,Learning!$E$4:$S$4,0)+MATCH($C$107,Learning!$E$5:$S$5,0)-1))</f>
        <v>1.3387648894702058</v>
      </c>
      <c r="U115" s="531" cm="1">
        <f t="array" aca="1" ref="U115" ca="1">OFFSET(U115,-6,0)*
OFFSET(MSP!$G$1,
MATCH(OFFSET($C107,((MATCH($C107,EL_List,0)-1)*-10)-1,0),MSP!$C:$C,0)+MATCH($C107,EL_List,0)-1,0)
*INDEX(Learning!$E$6:$S$41,(MATCH(U$21,Dates,0)),(MATCH($C$86,Learning!$E$4:$S$4,0)+MATCH($C$107,Learning!$E$5:$S$5,0)-1))</f>
        <v>1.4000985460671236</v>
      </c>
      <c r="V115" s="531" cm="1">
        <f t="array" aca="1" ref="V115" ca="1">OFFSET(V115,-6,0)*
OFFSET(MSP!$G$1,
MATCH(OFFSET($C107,((MATCH($C107,EL_List,0)-1)*-10)-1,0),MSP!$C:$C,0)+MATCH($C107,EL_List,0)-1,0)
*INDEX(Learning!$E$6:$S$41,(MATCH(V$21,Dates,0)),(MATCH($C$86,Learning!$E$4:$S$4,0)+MATCH($C$107,Learning!$E$5:$S$5,0)-1))</f>
        <v>1.4625614883347668</v>
      </c>
      <c r="W115" s="531" cm="1">
        <f t="array" aca="1" ref="W115" ca="1">OFFSET(W115,-6,0)*
OFFSET(MSP!$G$1,
MATCH(OFFSET($C107,((MATCH($C107,EL_List,0)-1)*-10)-1,0),MSP!$C:$C,0)+MATCH($C107,EL_List,0)-1,0)
*INDEX(Learning!$E$6:$S$41,(MATCH(W$21,Dates,0)),(MATCH($C$86,Learning!$E$4:$S$4,0)+MATCH($C$107,Learning!$E$5:$S$5,0)-1))</f>
        <v>1.5277223681771892</v>
      </c>
      <c r="X115" s="531" cm="1">
        <f t="array" aca="1" ref="X115" ca="1">OFFSET(X115,-6,0)*
OFFSET(MSP!$G$1,
MATCH(OFFSET($C107,((MATCH($C107,EL_List,0)-1)*-10)-1,0),MSP!$C:$C,0)+MATCH($C107,EL_List,0)-1,0)
*INDEX(Learning!$E$6:$S$41,(MATCH(X$21,Dates,0)),(MATCH($C$86,Learning!$E$4:$S$4,0)+MATCH($C$107,Learning!$E$5:$S$5,0)-1))</f>
        <v>1.5973275075352136</v>
      </c>
      <c r="Y115" s="531" cm="1">
        <f t="array" aca="1" ref="Y115" ca="1">OFFSET(Y115,-6,0)*
OFFSET(MSP!$G$1,
MATCH(OFFSET($C107,((MATCH($C107,EL_List,0)-1)*-10)-1,0),MSP!$C:$C,0)+MATCH($C107,EL_List,0)-1,0)
*INDEX(Learning!$E$6:$S$41,(MATCH(Y$21,Dates,0)),(MATCH($C$86,Learning!$E$4:$S$4,0)+MATCH($C$107,Learning!$E$5:$S$5,0)-1))</f>
        <v>1.6681070642681846</v>
      </c>
      <c r="Z115" s="531" cm="1">
        <f t="array" aca="1" ref="Z115" ca="1">OFFSET(Z115,-6,0)*
OFFSET(MSP!$G$1,
MATCH(OFFSET($C107,((MATCH($C107,EL_List,0)-1)*-10)-1,0),MSP!$C:$C,0)+MATCH($C107,EL_List,0)-1,0)
*INDEX(Learning!$E$6:$S$41,(MATCH(Z$21,Dates,0)),(MATCH($C$86,Learning!$E$4:$S$4,0)+MATCH($C$107,Learning!$E$5:$S$5,0)-1))</f>
        <v>1.7436957495248862</v>
      </c>
      <c r="AA115" s="531" cm="1">
        <f t="array" aca="1" ref="AA115" ca="1">OFFSET(AA115,-6,0)*
OFFSET(MSP!$G$1,
MATCH(OFFSET($C107,((MATCH($C107,EL_List,0)-1)*-10)-1,0),MSP!$C:$C,0)+MATCH($C107,EL_List,0)-1,0)
*INDEX(Learning!$E$6:$S$41,(MATCH(AA$21,Dates,0)),(MATCH($C$86,Learning!$E$4:$S$4,0)+MATCH($C$107,Learning!$E$5:$S$5,0)-1))</f>
        <v>1.8205451421147063</v>
      </c>
      <c r="AB115" s="531" cm="1">
        <f t="array" aca="1" ref="AB115" ca="1">OFFSET(AB115,-6,0)*
OFFSET(MSP!$G$1,
MATCH(OFFSET($C107,((MATCH($C107,EL_List,0)-1)*-10)-1,0),MSP!$C:$C,0)+MATCH($C107,EL_List,0)-1,0)
*INDEX(Learning!$E$6:$S$41,(MATCH(AB$21,Dates,0)),(MATCH($C$86,Learning!$E$4:$S$4,0)+MATCH($C$107,Learning!$E$5:$S$5,0)-1))</f>
        <v>1.9026969955815169</v>
      </c>
      <c r="AC115" s="531" cm="1">
        <f t="array" aca="1" ref="AC115" ca="1">OFFSET(AC115,-6,0)*
OFFSET(MSP!$G$1,
MATCH(OFFSET($C107,((MATCH($C107,EL_List,0)-1)*-10)-1,0),MSP!$C:$C,0)+MATCH($C107,EL_List,0)-1,0)
*INDEX(Learning!$E$6:$S$41,(MATCH(AC$21,Dates,0)),(MATCH($C$86,Learning!$E$4:$S$4,0)+MATCH($C$107,Learning!$E$5:$S$5,0)-1))</f>
        <v>1.988434211106342</v>
      </c>
      <c r="AD115" s="531" cm="1">
        <f t="array" aca="1" ref="AD115" ca="1">OFFSET(AD115,-6,0)*
OFFSET(MSP!$G$1,
MATCH(OFFSET($C107,((MATCH($C107,EL_List,0)-1)*-10)-1,0),MSP!$C:$C,0)+MATCH($C107,EL_List,0)-1,0)
*INDEX(Learning!$E$6:$S$41,(MATCH(AD$21,Dates,0)),(MATCH($C$86,Learning!$E$4:$S$4,0)+MATCH($C$107,Learning!$E$5:$S$5,0)-1))</f>
        <v>2.0779261256558996</v>
      </c>
      <c r="AE115" s="531" cm="1">
        <f t="array" aca="1" ref="AE115" ca="1">OFFSET(AE115,-6,0)*
OFFSET(MSP!$G$1,
MATCH(OFFSET($C107,((MATCH($C107,EL_List,0)-1)*-10)-1,0),MSP!$C:$C,0)+MATCH($C107,EL_List,0)-1,0)
*INDEX(Learning!$E$6:$S$41,(MATCH(AE$21,Dates,0)),(MATCH($C$86,Learning!$E$4:$S$4,0)+MATCH($C$107,Learning!$E$5:$S$5,0)-1))</f>
        <v>2.1713381162312477</v>
      </c>
      <c r="AF115" s="531" cm="1">
        <f t="array" aca="1" ref="AF115" ca="1">OFFSET(AF115,-6,0)*
OFFSET(MSP!$G$1,
MATCH(OFFSET($C107,((MATCH($C107,EL_List,0)-1)*-10)-1,0),MSP!$C:$C,0)+MATCH($C107,EL_List,0)-1,0)
*INDEX(Learning!$E$6:$S$41,(MATCH(AF$21,Dates,0)),(MATCH($C$86,Learning!$E$4:$S$4,0)+MATCH($C$107,Learning!$E$5:$S$5,0)-1))</f>
        <v>2.2663072357373819</v>
      </c>
      <c r="AG115" s="531" cm="1">
        <f t="array" aca="1" ref="AG115" ca="1">OFFSET(AG115,-6,0)*
OFFSET(MSP!$G$1,
MATCH(OFFSET($C107,((MATCH($C107,EL_List,0)-1)*-10)-1,0),MSP!$C:$C,0)+MATCH($C107,EL_List,0)-1,0)
*INDEX(Learning!$E$6:$S$41,(MATCH(AG$21,Dates,0)),(MATCH($C$86,Learning!$E$4:$S$4,0)+MATCH($C$107,Learning!$E$5:$S$5,0)-1))</f>
        <v>2.3679280180077278</v>
      </c>
      <c r="AH115" s="531" cm="1">
        <f t="array" aca="1" ref="AH115" ca="1">OFFSET(AH115,-6,0)*
OFFSET(MSP!$G$1,
MATCH(OFFSET($C107,((MATCH($C107,EL_List,0)-1)*-10)-1,0),MSP!$C:$C,0)+MATCH($C107,EL_List,0)-1,0)
*INDEX(Learning!$E$6:$S$41,(MATCH(AH$21,Dates,0)),(MATCH($C$86,Learning!$E$4:$S$4,0)+MATCH($C$107,Learning!$E$5:$S$5,0)-1))</f>
        <v>2.4767495013934839</v>
      </c>
      <c r="AI115" s="531" cm="1">
        <f t="array" aca="1" ref="AI115" ca="1">OFFSET(AI115,-6,0)*
OFFSET(MSP!$G$1,
MATCH(OFFSET($C107,((MATCH($C107,EL_List,0)-1)*-10)-1,0),MSP!$C:$C,0)+MATCH($C107,EL_List,0)-1,0)
*INDEX(Learning!$E$6:$S$41,(MATCH(AI$21,Dates,0)),(MATCH($C$86,Learning!$E$4:$S$4,0)+MATCH($C$107,Learning!$E$5:$S$5,0)-1))</f>
        <v>2.5875270770347933</v>
      </c>
      <c r="AJ115" s="531" cm="1">
        <f t="array" aca="1" ref="AJ115" ca="1">OFFSET(AJ115,-6,0)*
OFFSET(MSP!$G$1,
MATCH(OFFSET($C107,((MATCH($C107,EL_List,0)-1)*-10)-1,0),MSP!$C:$C,0)+MATCH($C107,EL_List,0)-1,0)
*INDEX(Learning!$E$6:$S$41,(MATCH(AJ$21,Dates,0)),(MATCH($C$86,Learning!$E$4:$S$4,0)+MATCH($C$107,Learning!$E$5:$S$5,0)-1))</f>
        <v>2.7031077715953562</v>
      </c>
      <c r="AK115" s="531" cm="1">
        <f t="array" aca="1" ref="AK115" ca="1">OFFSET(AK115,-6,0)*
OFFSET(MSP!$G$1,
MATCH(OFFSET($C107,((MATCH($C107,EL_List,0)-1)*-10)-1,0),MSP!$C:$C,0)+MATCH($C107,EL_List,0)-1,0)
*INDEX(Learning!$E$6:$S$41,(MATCH(AK$21,Dates,0)),(MATCH($C$86,Learning!$E$4:$S$4,0)+MATCH($C$107,Learning!$E$5:$S$5,0)-1))</f>
        <v>2.8236983005425111</v>
      </c>
      <c r="AL115" s="531" cm="1">
        <f t="array" aca="1" ref="AL115" ca="1">OFFSET(AL115,-6,0)*
OFFSET(MSP!$G$1,
MATCH(OFFSET($C107,((MATCH($C107,EL_List,0)-1)*-10)-1,0),MSP!$C:$C,0)+MATCH($C107,EL_List,0)-1,0)
*INDEX(Learning!$E$6:$S$41,(MATCH(AL$21,Dates,0)),(MATCH($C$86,Learning!$E$4:$S$4,0)+MATCH($C$107,Learning!$E$5:$S$5,0)-1))</f>
        <v>2.949515827267907</v>
      </c>
      <c r="AM115" s="531" cm="1">
        <f t="array" aca="1" ref="AM115" ca="1">OFFSET(AM115,-6,0)*
OFFSET(MSP!$G$1,
MATCH(OFFSET($C107,((MATCH($C107,EL_List,0)-1)*-10)-1,0),MSP!$C:$C,0)+MATCH($C107,EL_List,0)-1,0)
*INDEX(Learning!$E$6:$S$41,(MATCH(AM$21,Dates,0)),(MATCH($C$86,Learning!$E$4:$S$4,0)+MATCH($C$107,Learning!$E$5:$S$5,0)-1))</f>
        <v>3.0843283914376833</v>
      </c>
      <c r="AN115" s="531" cm="1">
        <f t="array" aca="1" ref="AN115" ca="1">OFFSET(AN115,-6,0)*
OFFSET(MSP!$G$1,
MATCH(OFFSET($C107,((MATCH($C107,EL_List,0)-1)*-10)-1,0),MSP!$C:$C,0)+MATCH($C107,EL_List,0)-1,0)
*INDEX(Learning!$E$6:$S$41,(MATCH(AN$21,Dates,0)),(MATCH($C$86,Learning!$E$4:$S$4,0)+MATCH($C$107,Learning!$E$5:$S$5,0)-1))</f>
        <v>3.2208825559504985</v>
      </c>
      <c r="AO115" s="436"/>
      <c r="AP115" s="21"/>
    </row>
    <row r="116" spans="2:42" ht="15" customHeight="1" x14ac:dyDescent="0.35">
      <c r="B116" s="429"/>
      <c r="C116" s="776"/>
      <c r="D116" s="776"/>
      <c r="E116" s="776"/>
      <c r="F116" s="776"/>
      <c r="G116" s="776"/>
      <c r="H116" s="776"/>
      <c r="I116" s="776"/>
      <c r="J116" s="776"/>
      <c r="K116" s="776"/>
      <c r="L116" s="776"/>
      <c r="M116" s="776"/>
      <c r="N116" s="776"/>
      <c r="O116" s="776"/>
      <c r="P116" s="776"/>
      <c r="Q116" s="776"/>
      <c r="R116" s="776"/>
      <c r="S116" s="776"/>
      <c r="T116" s="776"/>
      <c r="U116" s="776"/>
      <c r="V116" s="776"/>
      <c r="W116" s="776"/>
      <c r="X116" s="776"/>
      <c r="Y116" s="776"/>
      <c r="Z116" s="776"/>
      <c r="AA116" s="776"/>
      <c r="AB116" s="776"/>
      <c r="AC116" s="776"/>
      <c r="AD116" s="776"/>
      <c r="AE116" s="776"/>
      <c r="AF116" s="776"/>
      <c r="AG116" s="776"/>
      <c r="AH116" s="776"/>
      <c r="AI116" s="776"/>
      <c r="AJ116" s="776"/>
      <c r="AK116" s="776"/>
      <c r="AL116" s="776"/>
      <c r="AM116" s="776"/>
      <c r="AN116" s="776"/>
      <c r="AO116" s="436"/>
      <c r="AP116" s="21"/>
    </row>
    <row r="117" spans="2:42" ht="15" customHeight="1" x14ac:dyDescent="0.35">
      <c r="B117" s="429"/>
      <c r="C117" s="772" t="s">
        <v>343</v>
      </c>
      <c r="D117" s="776"/>
      <c r="E117" s="776"/>
      <c r="F117" s="776"/>
      <c r="G117" s="776"/>
      <c r="H117" s="776"/>
      <c r="I117" s="776"/>
      <c r="J117" s="776"/>
      <c r="K117" s="776"/>
      <c r="L117" s="776"/>
      <c r="M117" s="776"/>
      <c r="N117" s="776"/>
      <c r="O117" s="776"/>
      <c r="P117" s="776"/>
      <c r="Q117" s="776"/>
      <c r="R117" s="776"/>
      <c r="S117" s="776"/>
      <c r="T117" s="776"/>
      <c r="U117" s="776"/>
      <c r="V117" s="776"/>
      <c r="W117" s="776"/>
      <c r="X117" s="776"/>
      <c r="Y117" s="776"/>
      <c r="Z117" s="776"/>
      <c r="AA117" s="776"/>
      <c r="AB117" s="776"/>
      <c r="AC117" s="776"/>
      <c r="AD117" s="776"/>
      <c r="AE117" s="776"/>
      <c r="AF117" s="776"/>
      <c r="AG117" s="776"/>
      <c r="AH117" s="776"/>
      <c r="AI117" s="776"/>
      <c r="AJ117" s="776"/>
      <c r="AK117" s="776"/>
      <c r="AL117" s="776"/>
      <c r="AM117" s="776"/>
      <c r="AN117" s="776"/>
      <c r="AO117" s="436"/>
      <c r="AP117" s="21"/>
    </row>
    <row r="118" spans="2:42" ht="15" customHeight="1" x14ac:dyDescent="0.35">
      <c r="B118" s="429"/>
      <c r="C118" s="777" t="s">
        <v>10</v>
      </c>
      <c r="D118" s="776"/>
      <c r="E118" s="778" cm="1">
        <f t="array" aca="1" ref="E118" ca="1">OFFSET(MSP!$C$1,
MATCH(OFFSET($C117,((MATCH($C117,EL_List,0)-1)*-10)-1,0),MSP!$C:$C,0)+MATCH($C117,EL_List,0)-1,
MATCH(OFFSET($C117,((MATCH($C117,EL_List,0)-1)*-10)-3,0),MSP!$D$5:$N$5,0)+1)
*INDEX(Learning!$E$6:$S$41,(MATCH(E$21,Dates,0)),(MATCH($C$86,Learning!$E$4:$S$4,0)+MATCH($C$117,Learning!$E$5:$S$5,0)-1))</f>
        <v>75.932295000000011</v>
      </c>
      <c r="F118" s="778" cm="1">
        <f t="array" aca="1" ref="F118" ca="1">OFFSET(MSP!$C$1,
MATCH(OFFSET($C117,((MATCH($C117,EL_List,0)-1)*-10)-1,0),MSP!$C:$C,0)+MATCH($C117,EL_List,0)-1,
MATCH(OFFSET($C117,((MATCH($C117,EL_List,0)-1)*-10)-3,0),MSP!$D$5:$N$5,0)+1)
*INDEX(Learning!$E$6:$S$41,(MATCH(F$21,Dates,0)),(MATCH($C$86,Learning!$E$4:$S$4,0)+MATCH($C$117,Learning!$E$5:$S$5,0)-1))</f>
        <v>75.420227499999996</v>
      </c>
      <c r="G118" s="778" cm="1">
        <f t="array" aca="1" ref="G118" ca="1">OFFSET(MSP!$C$1,
MATCH(OFFSET($C117,((MATCH($C117,EL_List,0)-1)*-10)-1,0),MSP!$C:$C,0)+MATCH($C117,EL_List,0)-1,
MATCH(OFFSET($C117,((MATCH($C117,EL_List,0)-1)*-10)-3,0),MSP!$D$5:$N$5,0)+1)
*INDEX(Learning!$E$6:$S$41,(MATCH(G$21,Dates,0)),(MATCH($C$86,Learning!$E$4:$S$4,0)+MATCH($C$117,Learning!$E$5:$S$5,0)-1))</f>
        <v>74.908160000000009</v>
      </c>
      <c r="H118" s="778" cm="1">
        <f t="array" aca="1" ref="H118" ca="1">OFFSET(MSP!$C$1,
MATCH(OFFSET($C117,((MATCH($C117,EL_List,0)-1)*-10)-1,0),MSP!$C:$C,0)+MATCH($C117,EL_List,0)-1,
MATCH(OFFSET($C117,((MATCH($C117,EL_List,0)-1)*-10)-3,0),MSP!$D$5:$N$5,0)+1)
*INDEX(Learning!$E$6:$S$41,(MATCH(H$21,Dates,0)),(MATCH($C$86,Learning!$E$4:$S$4,0)+MATCH($C$117,Learning!$E$5:$S$5,0)-1))</f>
        <v>74.469245000000001</v>
      </c>
      <c r="I118" s="778" cm="1">
        <f t="array" aca="1" ref="I118" ca="1">OFFSET(MSP!$C$1,
MATCH(OFFSET($C117,((MATCH($C117,EL_List,0)-1)*-10)-1,0),MSP!$C:$C,0)+MATCH($C117,EL_List,0)-1,
MATCH(OFFSET($C117,((MATCH($C117,EL_List,0)-1)*-10)-3,0),MSP!$D$5:$N$5,0)+1)
*INDEX(Learning!$E$6:$S$41,(MATCH(I$21,Dates,0)),(MATCH($C$86,Learning!$E$4:$S$4,0)+MATCH($C$117,Learning!$E$5:$S$5,0)-1))</f>
        <v>74.030330000000006</v>
      </c>
      <c r="J118" s="778" cm="1">
        <f t="array" aca="1" ref="J118" ca="1">OFFSET(MSP!$C$1,
MATCH(OFFSET($C117,((MATCH($C117,EL_List,0)-1)*-10)-1,0),MSP!$C:$C,0)+MATCH($C117,EL_List,0)-1,
MATCH(OFFSET($C117,((MATCH($C117,EL_List,0)-1)*-10)-3,0),MSP!$D$5:$N$5,0)+1)
*INDEX(Learning!$E$6:$S$41,(MATCH(J$21,Dates,0)),(MATCH($C$86,Learning!$E$4:$S$4,0)+MATCH($C$117,Learning!$E$5:$S$5,0)-1))</f>
        <v>73.591414999999998</v>
      </c>
      <c r="K118" s="778" cm="1">
        <f t="array" aca="1" ref="K118" ca="1">OFFSET(MSP!$C$1,
MATCH(OFFSET($C117,((MATCH($C117,EL_List,0)-1)*-10)-1,0),MSP!$C:$C,0)+MATCH($C117,EL_List,0)-1,
MATCH(OFFSET($C117,((MATCH($C117,EL_List,0)-1)*-10)-3,0),MSP!$D$5:$N$5,0)+1)
*INDEX(Learning!$E$6:$S$41,(MATCH(K$21,Dates,0)),(MATCH($C$86,Learning!$E$4:$S$4,0)+MATCH($C$117,Learning!$E$5:$S$5,0)-1))</f>
        <v>73.152500000000003</v>
      </c>
      <c r="L118" s="778" cm="1">
        <f t="array" aca="1" ref="L118" ca="1">OFFSET(MSP!$C$1,
MATCH(OFFSET($C117,((MATCH($C117,EL_List,0)-1)*-10)-1,0),MSP!$C:$C,0)+MATCH($C117,EL_List,0)-1,
MATCH(OFFSET($C117,((MATCH($C117,EL_List,0)-1)*-10)-3,0),MSP!$D$5:$N$5,0)+1)
*INDEX(Learning!$E$6:$S$41,(MATCH(L$21,Dates,0)),(MATCH($C$86,Learning!$E$4:$S$4,0)+MATCH($C$117,Learning!$E$5:$S$5,0)-1))</f>
        <v>72.713585000000009</v>
      </c>
      <c r="M118" s="778" cm="1">
        <f t="array" aca="1" ref="M118" ca="1">OFFSET(MSP!$C$1,
MATCH(OFFSET($C117,((MATCH($C117,EL_List,0)-1)*-10)-1,0),MSP!$C:$C,0)+MATCH($C117,EL_List,0)-1,
MATCH(OFFSET($C117,((MATCH($C117,EL_List,0)-1)*-10)-3,0),MSP!$D$5:$N$5,0)+1)
*INDEX(Learning!$E$6:$S$41,(MATCH(M$21,Dates,0)),(MATCH($C$86,Learning!$E$4:$S$4,0)+MATCH($C$117,Learning!$E$5:$S$5,0)-1))</f>
        <v>72.347822500000007</v>
      </c>
      <c r="N118" s="778" cm="1">
        <f t="array" aca="1" ref="N118" ca="1">OFFSET(MSP!$C$1,
MATCH(OFFSET($C117,((MATCH($C117,EL_List,0)-1)*-10)-1,0),MSP!$C:$C,0)+MATCH($C117,EL_List,0)-1,
MATCH(OFFSET($C117,((MATCH($C117,EL_List,0)-1)*-10)-3,0),MSP!$D$5:$N$5,0)+1)
*INDEX(Learning!$E$6:$S$41,(MATCH(N$21,Dates,0)),(MATCH($C$86,Learning!$E$4:$S$4,0)+MATCH($C$117,Learning!$E$5:$S$5,0)-1))</f>
        <v>71.982060000000004</v>
      </c>
      <c r="O118" s="778" cm="1">
        <f t="array" aca="1" ref="O118" ca="1">OFFSET(MSP!$C$1,
MATCH(OFFSET($C117,((MATCH($C117,EL_List,0)-1)*-10)-1,0),MSP!$C:$C,0)+MATCH($C117,EL_List,0)-1,
MATCH(OFFSET($C117,((MATCH($C117,EL_List,0)-1)*-10)-3,0),MSP!$D$5:$N$5,0)+1)
*INDEX(Learning!$E$6:$S$41,(MATCH(O$21,Dates,0)),(MATCH($C$86,Learning!$E$4:$S$4,0)+MATCH($C$117,Learning!$E$5:$S$5,0)-1))</f>
        <v>71.616297500000002</v>
      </c>
      <c r="P118" s="778" cm="1">
        <f t="array" aca="1" ref="P118" ca="1">OFFSET(MSP!$C$1,
MATCH(OFFSET($C117,((MATCH($C117,EL_List,0)-1)*-10)-1,0),MSP!$C:$C,0)+MATCH($C117,EL_List,0)-1,
MATCH(OFFSET($C117,((MATCH($C117,EL_List,0)-1)*-10)-3,0),MSP!$D$5:$N$5,0)+1)
*INDEX(Learning!$E$6:$S$41,(MATCH(P$21,Dates,0)),(MATCH($C$86,Learning!$E$4:$S$4,0)+MATCH($C$117,Learning!$E$5:$S$5,0)-1))</f>
        <v>71.250534999999999</v>
      </c>
      <c r="Q118" s="778" cm="1">
        <f t="array" aca="1" ref="Q118" ca="1">OFFSET(MSP!$C$1,
MATCH(OFFSET($C117,((MATCH($C117,EL_List,0)-1)*-10)-1,0),MSP!$C:$C,0)+MATCH($C117,EL_List,0)-1,
MATCH(OFFSET($C117,((MATCH($C117,EL_List,0)-1)*-10)-3,0),MSP!$D$5:$N$5,0)+1)
*INDEX(Learning!$E$6:$S$41,(MATCH(Q$21,Dates,0)),(MATCH($C$86,Learning!$E$4:$S$4,0)+MATCH($C$117,Learning!$E$5:$S$5,0)-1))</f>
        <v>70.884772499999997</v>
      </c>
      <c r="R118" s="778" cm="1">
        <f t="array" aca="1" ref="R118" ca="1">OFFSET(MSP!$C$1,
MATCH(OFFSET($C117,((MATCH($C117,EL_List,0)-1)*-10)-1,0),MSP!$C:$C,0)+MATCH($C117,EL_List,0)-1,
MATCH(OFFSET($C117,((MATCH($C117,EL_List,0)-1)*-10)-3,0),MSP!$D$5:$N$5,0)+1)
*INDEX(Learning!$E$6:$S$41,(MATCH(R$21,Dates,0)),(MATCH($C$86,Learning!$E$4:$S$4,0)+MATCH($C$117,Learning!$E$5:$S$5,0)-1))</f>
        <v>70.592162500000001</v>
      </c>
      <c r="S118" s="778" cm="1">
        <f t="array" aca="1" ref="S118" ca="1">OFFSET(MSP!$C$1,
MATCH(OFFSET($C117,((MATCH($C117,EL_List,0)-1)*-10)-1,0),MSP!$C:$C,0)+MATCH($C117,EL_List,0)-1,
MATCH(OFFSET($C117,((MATCH($C117,EL_List,0)-1)*-10)-3,0),MSP!$D$5:$N$5,0)+1)
*INDEX(Learning!$E$6:$S$41,(MATCH(S$21,Dates,0)),(MATCH($C$86,Learning!$E$4:$S$4,0)+MATCH($C$117,Learning!$E$5:$S$5,0)-1))</f>
        <v>70.226399999999998</v>
      </c>
      <c r="T118" s="778" cm="1">
        <f t="array" aca="1" ref="T118" ca="1">OFFSET(MSP!$C$1,
MATCH(OFFSET($C117,((MATCH($C117,EL_List,0)-1)*-10)-1,0),MSP!$C:$C,0)+MATCH($C117,EL_List,0)-1,
MATCH(OFFSET($C117,((MATCH($C117,EL_List,0)-1)*-10)-3,0),MSP!$D$5:$N$5,0)+1)
*INDEX(Learning!$E$6:$S$41,(MATCH(T$21,Dates,0)),(MATCH($C$86,Learning!$E$4:$S$4,0)+MATCH($C$117,Learning!$E$5:$S$5,0)-1))</f>
        <v>69.933790000000002</v>
      </c>
      <c r="U118" s="778" cm="1">
        <f t="array" aca="1" ref="U118" ca="1">OFFSET(MSP!$C$1,
MATCH(OFFSET($C117,((MATCH($C117,EL_List,0)-1)*-10)-1,0),MSP!$C:$C,0)+MATCH($C117,EL_List,0)-1,
MATCH(OFFSET($C117,((MATCH($C117,EL_List,0)-1)*-10)-3,0),MSP!$D$5:$N$5,0)+1)
*INDEX(Learning!$E$6:$S$41,(MATCH(U$21,Dates,0)),(MATCH($C$86,Learning!$E$4:$S$4,0)+MATCH($C$117,Learning!$E$5:$S$5,0)-1))</f>
        <v>69.568027499999999</v>
      </c>
      <c r="V118" s="778" cm="1">
        <f t="array" aca="1" ref="V118" ca="1">OFFSET(MSP!$C$1,
MATCH(OFFSET($C117,((MATCH($C117,EL_List,0)-1)*-10)-1,0),MSP!$C:$C,0)+MATCH($C117,EL_List,0)-1,
MATCH(OFFSET($C117,((MATCH($C117,EL_List,0)-1)*-10)-3,0),MSP!$D$5:$N$5,0)+1)
*INDEX(Learning!$E$6:$S$41,(MATCH(V$21,Dates,0)),(MATCH($C$86,Learning!$E$4:$S$4,0)+MATCH($C$117,Learning!$E$5:$S$5,0)-1))</f>
        <v>69.275417500000003</v>
      </c>
      <c r="W118" s="778" cm="1">
        <f t="array" aca="1" ref="W118" ca="1">OFFSET(MSP!$C$1,
MATCH(OFFSET($C117,((MATCH($C117,EL_List,0)-1)*-10)-1,0),MSP!$C:$C,0)+MATCH($C117,EL_List,0)-1,
MATCH(OFFSET($C117,((MATCH($C117,EL_List,0)-1)*-10)-3,0),MSP!$D$5:$N$5,0)+1)
*INDEX(Learning!$E$6:$S$41,(MATCH(W$21,Dates,0)),(MATCH($C$86,Learning!$E$4:$S$4,0)+MATCH($C$117,Learning!$E$5:$S$5,0)-1))</f>
        <v>68.982807499999993</v>
      </c>
      <c r="X118" s="778" cm="1">
        <f t="array" aca="1" ref="X118" ca="1">OFFSET(MSP!$C$1,
MATCH(OFFSET($C117,((MATCH($C117,EL_List,0)-1)*-10)-1,0),MSP!$C:$C,0)+MATCH($C117,EL_List,0)-1,
MATCH(OFFSET($C117,((MATCH($C117,EL_List,0)-1)*-10)-3,0),MSP!$D$5:$N$5,0)+1)
*INDEX(Learning!$E$6:$S$41,(MATCH(X$21,Dates,0)),(MATCH($C$86,Learning!$E$4:$S$4,0)+MATCH($C$117,Learning!$E$5:$S$5,0)-1))</f>
        <v>68.690197499999996</v>
      </c>
      <c r="Y118" s="778" cm="1">
        <f t="array" aca="1" ref="Y118" ca="1">OFFSET(MSP!$C$1,
MATCH(OFFSET($C117,((MATCH($C117,EL_List,0)-1)*-10)-1,0),MSP!$C:$C,0)+MATCH($C117,EL_List,0)-1,
MATCH(OFFSET($C117,((MATCH($C117,EL_List,0)-1)*-10)-3,0),MSP!$D$5:$N$5,0)+1)
*INDEX(Learning!$E$6:$S$41,(MATCH(Y$21,Dates,0)),(MATCH($C$86,Learning!$E$4:$S$4,0)+MATCH($C$117,Learning!$E$5:$S$5,0)-1))</f>
        <v>68.3975875</v>
      </c>
      <c r="Z118" s="778" cm="1">
        <f t="array" aca="1" ref="Z118" ca="1">OFFSET(MSP!$C$1,
MATCH(OFFSET($C117,((MATCH($C117,EL_List,0)-1)*-10)-1,0),MSP!$C:$C,0)+MATCH($C117,EL_List,0)-1,
MATCH(OFFSET($C117,((MATCH($C117,EL_List,0)-1)*-10)-3,0),MSP!$D$5:$N$5,0)+1)
*INDEX(Learning!$E$6:$S$41,(MATCH(Z$21,Dates,0)),(MATCH($C$86,Learning!$E$4:$S$4,0)+MATCH($C$117,Learning!$E$5:$S$5,0)-1))</f>
        <v>68.104977500000004</v>
      </c>
      <c r="AA118" s="778" cm="1">
        <f t="array" aca="1" ref="AA118" ca="1">OFFSET(MSP!$C$1,
MATCH(OFFSET($C117,((MATCH($C117,EL_List,0)-1)*-10)-1,0),MSP!$C:$C,0)+MATCH($C117,EL_List,0)-1,
MATCH(OFFSET($C117,((MATCH($C117,EL_List,0)-1)*-10)-3,0),MSP!$D$5:$N$5,0)+1)
*INDEX(Learning!$E$6:$S$41,(MATCH(AA$21,Dates,0)),(MATCH($C$86,Learning!$E$4:$S$4,0)+MATCH($C$117,Learning!$E$5:$S$5,0)-1))</f>
        <v>67.812367500000008</v>
      </c>
      <c r="AB118" s="778" cm="1">
        <f t="array" aca="1" ref="AB118" ca="1">OFFSET(MSP!$C$1,
MATCH(OFFSET($C117,((MATCH($C117,EL_List,0)-1)*-10)-1,0),MSP!$C:$C,0)+MATCH($C117,EL_List,0)-1,
MATCH(OFFSET($C117,((MATCH($C117,EL_List,0)-1)*-10)-3,0),MSP!$D$5:$N$5,0)+1)
*INDEX(Learning!$E$6:$S$41,(MATCH(AB$21,Dates,0)),(MATCH($C$86,Learning!$E$4:$S$4,0)+MATCH($C$117,Learning!$E$5:$S$5,0)-1))</f>
        <v>67.519757500000011</v>
      </c>
      <c r="AC118" s="778" cm="1">
        <f t="array" aca="1" ref="AC118" ca="1">OFFSET(MSP!$C$1,
MATCH(OFFSET($C117,((MATCH($C117,EL_List,0)-1)*-10)-1,0),MSP!$C:$C,0)+MATCH($C117,EL_List,0)-1,
MATCH(OFFSET($C117,((MATCH($C117,EL_List,0)-1)*-10)-3,0),MSP!$D$5:$N$5,0)+1)
*INDEX(Learning!$E$6:$S$41,(MATCH(AC$21,Dates,0)),(MATCH($C$86,Learning!$E$4:$S$4,0)+MATCH($C$117,Learning!$E$5:$S$5,0)-1))</f>
        <v>67.227147500000001</v>
      </c>
      <c r="AD118" s="778" cm="1">
        <f t="array" aca="1" ref="AD118" ca="1">OFFSET(MSP!$C$1,
MATCH(OFFSET($C117,((MATCH($C117,EL_List,0)-1)*-10)-1,0),MSP!$C:$C,0)+MATCH($C117,EL_List,0)-1,
MATCH(OFFSET($C117,((MATCH($C117,EL_List,0)-1)*-10)-3,0),MSP!$D$5:$N$5,0)+1)
*INDEX(Learning!$E$6:$S$41,(MATCH(AD$21,Dates,0)),(MATCH($C$86,Learning!$E$4:$S$4,0)+MATCH($C$117,Learning!$E$5:$S$5,0)-1))</f>
        <v>67.007690000000011</v>
      </c>
      <c r="AE118" s="778" cm="1">
        <f t="array" aca="1" ref="AE118" ca="1">OFFSET(MSP!$C$1,
MATCH(OFFSET($C117,((MATCH($C117,EL_List,0)-1)*-10)-1,0),MSP!$C:$C,0)+MATCH($C117,EL_List,0)-1,
MATCH(OFFSET($C117,((MATCH($C117,EL_List,0)-1)*-10)-3,0),MSP!$D$5:$N$5,0)+1)
*INDEX(Learning!$E$6:$S$41,(MATCH(AE$21,Dates,0)),(MATCH($C$86,Learning!$E$4:$S$4,0)+MATCH($C$117,Learning!$E$5:$S$5,0)-1))</f>
        <v>66.71508</v>
      </c>
      <c r="AF118" s="778" cm="1">
        <f t="array" aca="1" ref="AF118" ca="1">OFFSET(MSP!$C$1,
MATCH(OFFSET($C117,((MATCH($C117,EL_List,0)-1)*-10)-1,0),MSP!$C:$C,0)+MATCH($C117,EL_List,0)-1,
MATCH(OFFSET($C117,((MATCH($C117,EL_List,0)-1)*-10)-3,0),MSP!$D$5:$N$5,0)+1)
*INDEX(Learning!$E$6:$S$41,(MATCH(AF$21,Dates,0)),(MATCH($C$86,Learning!$E$4:$S$4,0)+MATCH($C$117,Learning!$E$5:$S$5,0)-1))</f>
        <v>66.422470000000004</v>
      </c>
      <c r="AG118" s="778" cm="1">
        <f t="array" aca="1" ref="AG118" ca="1">OFFSET(MSP!$C$1,
MATCH(OFFSET($C117,((MATCH($C117,EL_List,0)-1)*-10)-1,0),MSP!$C:$C,0)+MATCH($C117,EL_List,0)-1,
MATCH(OFFSET($C117,((MATCH($C117,EL_List,0)-1)*-10)-3,0),MSP!$D$5:$N$5,0)+1)
*INDEX(Learning!$E$6:$S$41,(MATCH(AG$21,Dates,0)),(MATCH($C$86,Learning!$E$4:$S$4,0)+MATCH($C$117,Learning!$E$5:$S$5,0)-1))</f>
        <v>66.2030125</v>
      </c>
      <c r="AH118" s="778" cm="1">
        <f t="array" aca="1" ref="AH118" ca="1">OFFSET(MSP!$C$1,
MATCH(OFFSET($C117,((MATCH($C117,EL_List,0)-1)*-10)-1,0),MSP!$C:$C,0)+MATCH($C117,EL_List,0)-1,
MATCH(OFFSET($C117,((MATCH($C117,EL_List,0)-1)*-10)-3,0),MSP!$D$5:$N$5,0)+1)
*INDEX(Learning!$E$6:$S$41,(MATCH(AH$21,Dates,0)),(MATCH($C$86,Learning!$E$4:$S$4,0)+MATCH($C$117,Learning!$E$5:$S$5,0)-1))</f>
        <v>65.910402500000004</v>
      </c>
      <c r="AI118" s="778" cm="1">
        <f t="array" aca="1" ref="AI118" ca="1">OFFSET(MSP!$C$1,
MATCH(OFFSET($C117,((MATCH($C117,EL_List,0)-1)*-10)-1,0),MSP!$C:$C,0)+MATCH($C117,EL_List,0)-1,
MATCH(OFFSET($C117,((MATCH($C117,EL_List,0)-1)*-10)-3,0),MSP!$D$5:$N$5,0)+1)
*INDEX(Learning!$E$6:$S$41,(MATCH(AI$21,Dates,0)),(MATCH($C$86,Learning!$E$4:$S$4,0)+MATCH($C$117,Learning!$E$5:$S$5,0)-1))</f>
        <v>65.690944999999999</v>
      </c>
      <c r="AJ118" s="778" cm="1">
        <f t="array" aca="1" ref="AJ118" ca="1">OFFSET(MSP!$C$1,
MATCH(OFFSET($C117,((MATCH($C117,EL_List,0)-1)*-10)-1,0),MSP!$C:$C,0)+MATCH($C117,EL_List,0)-1,
MATCH(OFFSET($C117,((MATCH($C117,EL_List,0)-1)*-10)-3,0),MSP!$D$5:$N$5,0)+1)
*INDEX(Learning!$E$6:$S$41,(MATCH(AJ$21,Dates,0)),(MATCH($C$86,Learning!$E$4:$S$4,0)+MATCH($C$117,Learning!$E$5:$S$5,0)-1))</f>
        <v>65.398335000000003</v>
      </c>
      <c r="AK118" s="778" cm="1">
        <f t="array" aca="1" ref="AK118" ca="1">OFFSET(MSP!$C$1,
MATCH(OFFSET($C117,((MATCH($C117,EL_List,0)-1)*-10)-1,0),MSP!$C:$C,0)+MATCH($C117,EL_List,0)-1,
MATCH(OFFSET($C117,((MATCH($C117,EL_List,0)-1)*-10)-3,0),MSP!$D$5:$N$5,0)+1)
*INDEX(Learning!$E$6:$S$41,(MATCH(AK$21,Dates,0)),(MATCH($C$86,Learning!$E$4:$S$4,0)+MATCH($C$117,Learning!$E$5:$S$5,0)-1))</f>
        <v>65.178877499999999</v>
      </c>
      <c r="AL118" s="778" cm="1">
        <f t="array" aca="1" ref="AL118" ca="1">OFFSET(MSP!$C$1,
MATCH(OFFSET($C117,((MATCH($C117,EL_List,0)-1)*-10)-1,0),MSP!$C:$C,0)+MATCH($C117,EL_List,0)-1,
MATCH(OFFSET($C117,((MATCH($C117,EL_List,0)-1)*-10)-3,0),MSP!$D$5:$N$5,0)+1)
*INDEX(Learning!$E$6:$S$41,(MATCH(AL$21,Dates,0)),(MATCH($C$86,Learning!$E$4:$S$4,0)+MATCH($C$117,Learning!$E$5:$S$5,0)-1))</f>
        <v>64.959420000000009</v>
      </c>
      <c r="AM118" s="778" cm="1">
        <f t="array" aca="1" ref="AM118" ca="1">OFFSET(MSP!$C$1,
MATCH(OFFSET($C117,((MATCH($C117,EL_List,0)-1)*-10)-1,0),MSP!$C:$C,0)+MATCH($C117,EL_List,0)-1,
MATCH(OFFSET($C117,((MATCH($C117,EL_List,0)-1)*-10)-3,0),MSP!$D$5:$N$5,0)+1)
*INDEX(Learning!$E$6:$S$41,(MATCH(AM$21,Dates,0)),(MATCH($C$86,Learning!$E$4:$S$4,0)+MATCH($C$117,Learning!$E$5:$S$5,0)-1))</f>
        <v>64.666809999999998</v>
      </c>
      <c r="AN118" s="778" cm="1">
        <f t="array" aca="1" ref="AN118" ca="1">OFFSET(MSP!$C$1,
MATCH(OFFSET($C117,((MATCH($C117,EL_List,0)-1)*-10)-1,0),MSP!$C:$C,0)+MATCH($C117,EL_List,0)-1,
MATCH(OFFSET($C117,((MATCH($C117,EL_List,0)-1)*-10)-3,0),MSP!$D$5:$N$5,0)+1)
*INDEX(Learning!$E$6:$S$41,(MATCH(AN$21,Dates,0)),(MATCH($C$86,Learning!$E$4:$S$4,0)+MATCH($C$117,Learning!$E$5:$S$5,0)-1))</f>
        <v>64.446960268947279</v>
      </c>
      <c r="AO118" s="436"/>
      <c r="AP118" s="21"/>
    </row>
    <row r="119" spans="2:42" ht="15" customHeight="1" x14ac:dyDescent="0.35">
      <c r="B119" s="429"/>
      <c r="C119" s="777" t="s">
        <v>78</v>
      </c>
      <c r="D119" s="776"/>
      <c r="E119" s="530">
        <f ca="1">OFFSET(OFFSET(Shipments!$D$1,0,MATCH(E$7,Dates)),
MATCH(OFFSET($C117,((MATCH($C117,EL_List,0)-1)*-10)-3,0),Shipments!$C:$C,0)+
MATCH(OFFSET($C117,((MATCH($C117,EL_List,0)-1)*-10)-1,0),Shipments!$D:$D,0)+
MATCH($C117,EL_List,0)-10,
MATCH(Shipments_Scenario_X,Shipments!$F$5:$AQ$5,0))</f>
        <v>0.19163580721689594</v>
      </c>
      <c r="F119" s="530">
        <f ca="1">OFFSET(OFFSET(Shipments!$D$1,0,MATCH(F$7,Dates)),
MATCH(OFFSET($C117,((MATCH($C117,EL_List,0)-1)*-10)-3,0),Shipments!$C:$C,0)+
MATCH(OFFSET($C117,((MATCH($C117,EL_List,0)-1)*-10)-1,0),Shipments!$D:$D,0)+
MATCH($C117,EL_List,0)-10,
MATCH(Shipments_Scenario_X,Shipments!$F$5:$AQ$5,0))</f>
        <v>0.20020548359765647</v>
      </c>
      <c r="G119" s="530">
        <f ca="1">OFFSET(OFFSET(Shipments!$D$1,0,MATCH(G$7,Dates)),
MATCH(OFFSET($C117,((MATCH($C117,EL_List,0)-1)*-10)-3,0),Shipments!$C:$C,0)+
MATCH(OFFSET($C117,((MATCH($C117,EL_List,0)-1)*-10)-1,0),Shipments!$D:$D,0)+
MATCH($C117,EL_List,0)-10,
MATCH(Shipments_Scenario_X,Shipments!$F$5:$AQ$5,0))</f>
        <v>0.20788484922272099</v>
      </c>
      <c r="H119" s="530">
        <f ca="1">OFFSET(OFFSET(Shipments!$D$1,0,MATCH(H$7,Dates)),
MATCH(OFFSET($C117,((MATCH($C117,EL_List,0)-1)*-10)-3,0),Shipments!$C:$C,0)+
MATCH(OFFSET($C117,((MATCH($C117,EL_List,0)-1)*-10)-1,0),Shipments!$D:$D,0)+
MATCH($C117,EL_List,0)-10,
MATCH(Shipments_Scenario_X,Shipments!$F$5:$AQ$5,0))</f>
        <v>0.21764774504833484</v>
      </c>
      <c r="I119" s="530">
        <f ca="1">OFFSET(OFFSET(Shipments!$D$1,0,MATCH(I$7,Dates)),
MATCH(OFFSET($C117,((MATCH($C117,EL_List,0)-1)*-10)-3,0),Shipments!$C:$C,0)+
MATCH(OFFSET($C117,((MATCH($C117,EL_List,0)-1)*-10)-1,0),Shipments!$D:$D,0)+
MATCH($C117,EL_List,0)-10,
MATCH(Shipments_Scenario_X,Shipments!$F$5:$AQ$5,0))</f>
        <v>0.22812362191808677</v>
      </c>
      <c r="J119" s="530">
        <f ca="1">OFFSET(OFFSET(Shipments!$D$1,0,MATCH(J$7,Dates)),
MATCH(OFFSET($C117,((MATCH($C117,EL_List,0)-1)*-10)-3,0),Shipments!$C:$C,0)+
MATCH(OFFSET($C117,((MATCH($C117,EL_List,0)-1)*-10)-1,0),Shipments!$D:$D,0)+
MATCH($C117,EL_List,0)-10,
MATCH(Shipments_Scenario_X,Shipments!$F$5:$AQ$5,0))</f>
        <v>0.23971717424730021</v>
      </c>
      <c r="K119" s="530">
        <f ca="1">OFFSET(OFFSET(Shipments!$D$1,0,MATCH(K$7,Dates)),
MATCH(OFFSET($C117,((MATCH($C117,EL_List,0)-1)*-10)-3,0),Shipments!$C:$C,0)+
MATCH(OFFSET($C117,((MATCH($C117,EL_List,0)-1)*-10)-1,0),Shipments!$D:$D,0)+
MATCH($C117,EL_List,0)-10,
MATCH(Shipments_Scenario_X,Shipments!$F$5:$AQ$5,0))</f>
        <v>0.25229203363046315</v>
      </c>
      <c r="L119" s="530">
        <f ca="1">OFFSET(OFFSET(Shipments!$D$1,0,MATCH(L$7,Dates)),
MATCH(OFFSET($C117,((MATCH($C117,EL_List,0)-1)*-10)-3,0),Shipments!$C:$C,0)+
MATCH(OFFSET($C117,((MATCH($C117,EL_List,0)-1)*-10)-1,0),Shipments!$D:$D,0)+
MATCH($C117,EL_List,0)-10,
MATCH(Shipments_Scenario_X,Shipments!$F$5:$AQ$5,0))</f>
        <v>0.26564352907741551</v>
      </c>
      <c r="M119" s="530">
        <f ca="1">OFFSET(OFFSET(Shipments!$D$1,0,MATCH(M$7,Dates)),
MATCH(OFFSET($C117,((MATCH($C117,EL_List,0)-1)*-10)-3,0),Shipments!$C:$C,0)+
MATCH(OFFSET($C117,((MATCH($C117,EL_List,0)-1)*-10)-1,0),Shipments!$D:$D,0)+
MATCH($C117,EL_List,0)-10,
MATCH(Shipments_Scenario_X,Shipments!$F$5:$AQ$5,0))</f>
        <v>0.2796119405718</v>
      </c>
      <c r="N119" s="530">
        <f ca="1">OFFSET(OFFSET(Shipments!$D$1,0,MATCH(N$7,Dates)),
MATCH(OFFSET($C117,((MATCH($C117,EL_List,0)-1)*-10)-3,0),Shipments!$C:$C,0)+
MATCH(OFFSET($C117,((MATCH($C117,EL_List,0)-1)*-10)-1,0),Shipments!$D:$D,0)+
MATCH($C117,EL_List,0)-10,
MATCH(Shipments_Scenario_X,Shipments!$F$5:$AQ$5,0))</f>
        <v>0.29409085342107738</v>
      </c>
      <c r="O119" s="530">
        <f ca="1">OFFSET(OFFSET(Shipments!$D$1,0,MATCH(O$7,Dates)),
MATCH(OFFSET($C117,((MATCH($C117,EL_List,0)-1)*-10)-3,0),Shipments!$C:$C,0)+
MATCH(OFFSET($C117,((MATCH($C117,EL_List,0)-1)*-10)-1,0),Shipments!$D:$D,0)+
MATCH($C117,EL_List,0)-10,
MATCH(Shipments_Scenario_X,Shipments!$F$5:$AQ$5,0))</f>
        <v>0.30907401493565012</v>
      </c>
      <c r="P119" s="530">
        <f ca="1">OFFSET(OFFSET(Shipments!$D$1,0,MATCH(P$7,Dates)),
MATCH(OFFSET($C117,((MATCH($C117,EL_List,0)-1)*-10)-3,0),Shipments!$C:$C,0)+
MATCH(OFFSET($C117,((MATCH($C117,EL_List,0)-1)*-10)-1,0),Shipments!$D:$D,0)+
MATCH($C117,EL_List,0)-10,
MATCH(Shipments_Scenario_X,Shipments!$F$5:$AQ$5,0))</f>
        <v>0.32462559609275093</v>
      </c>
      <c r="Q119" s="530">
        <f ca="1">OFFSET(OFFSET(Shipments!$D$1,0,MATCH(Q$7,Dates)),
MATCH(OFFSET($C117,((MATCH($C117,EL_List,0)-1)*-10)-3,0),Shipments!$C:$C,0)+
MATCH(OFFSET($C117,((MATCH($C117,EL_List,0)-1)*-10)-1,0),Shipments!$D:$D,0)+
MATCH($C117,EL_List,0)-10,
MATCH(Shipments_Scenario_X,Shipments!$F$5:$AQ$5,0))</f>
        <v>0.34084364269505668</v>
      </c>
      <c r="R119" s="530">
        <f ca="1">OFFSET(OFFSET(Shipments!$D$1,0,MATCH(R$7,Dates)),
MATCH(OFFSET($C117,((MATCH($C117,EL_List,0)-1)*-10)-3,0),Shipments!$C:$C,0)+
MATCH(OFFSET($C117,((MATCH($C117,EL_List,0)-1)*-10)-1,0),Shipments!$D:$D,0)+
MATCH($C117,EL_List,0)-10,
MATCH(Shipments_Scenario_X,Shipments!$F$5:$AQ$5,0))</f>
        <v>0.35784260356272291</v>
      </c>
      <c r="S119" s="530">
        <f ca="1">OFFSET(OFFSET(Shipments!$D$1,0,MATCH(S$7,Dates)),
MATCH(OFFSET($C117,((MATCH($C117,EL_List,0)-1)*-10)-3,0),Shipments!$C:$C,0)+
MATCH(OFFSET($C117,((MATCH($C117,EL_List,0)-1)*-10)-1,0),Shipments!$D:$D,0)+
MATCH($C117,EL_List,0)-10,
MATCH(Shipments_Scenario_X,Shipments!$F$5:$AQ$5,0))</f>
        <v>0.37571866370528861</v>
      </c>
      <c r="T119" s="530">
        <f ca="1">OFFSET(OFFSET(Shipments!$D$1,0,MATCH(T$7,Dates)),
MATCH(OFFSET($C117,((MATCH($C117,EL_List,0)-1)*-10)-3,0),Shipments!$C:$C,0)+
MATCH(OFFSET($C117,((MATCH($C117,EL_List,0)-1)*-10)-1,0),Shipments!$D:$D,0)+
MATCH($C117,EL_List,0)-10,
MATCH(Shipments_Scenario_X,Shipments!$F$5:$AQ$5,0))</f>
        <v>0.39453267983604251</v>
      </c>
      <c r="U119" s="530">
        <f ca="1">OFFSET(OFFSET(Shipments!$D$1,0,MATCH(U$7,Dates)),
MATCH(OFFSET($C117,((MATCH($C117,EL_List,0)-1)*-10)-3,0),Shipments!$C:$C,0)+
MATCH(OFFSET($C117,((MATCH($C117,EL_List,0)-1)*-10)-1,0),Shipments!$D:$D,0)+
MATCH($C117,EL_List,0)-10,
MATCH(Shipments_Scenario_X,Shipments!$F$5:$AQ$5,0))</f>
        <v>0.41435228857650591</v>
      </c>
      <c r="V119" s="530">
        <f ca="1">OFFSET(OFFSET(Shipments!$D$1,0,MATCH(V$7,Dates)),
MATCH(OFFSET($C117,((MATCH($C117,EL_List,0)-1)*-10)-3,0),Shipments!$C:$C,0)+
MATCH(OFFSET($C117,((MATCH($C117,EL_List,0)-1)*-10)-1,0),Shipments!$D:$D,0)+
MATCH($C117,EL_List,0)-10,
MATCH(Shipments_Scenario_X,Shipments!$F$5:$AQ$5,0))</f>
        <v>0.43513777209037086</v>
      </c>
      <c r="W119" s="530">
        <f ca="1">OFFSET(OFFSET(Shipments!$D$1,0,MATCH(W$7,Dates)),
MATCH(OFFSET($C117,((MATCH($C117,EL_List,0)-1)*-10)-3,0),Shipments!$C:$C,0)+
MATCH(OFFSET($C117,((MATCH($C117,EL_List,0)-1)*-10)-1,0),Shipments!$D:$D,0)+
MATCH($C117,EL_List,0)-10,
MATCH(Shipments_Scenario_X,Shipments!$F$5:$AQ$5,0))</f>
        <v>0.45695229446757313</v>
      </c>
      <c r="X119" s="530">
        <f ca="1">OFFSET(OFFSET(Shipments!$D$1,0,MATCH(X$7,Dates)),
MATCH(OFFSET($C117,((MATCH($C117,EL_List,0)-1)*-10)-3,0),Shipments!$C:$C,0)+
MATCH(OFFSET($C117,((MATCH($C117,EL_List,0)-1)*-10)-1,0),Shipments!$D:$D,0)+
MATCH($C117,EL_List,0)-10,
MATCH(Shipments_Scenario_X,Shipments!$F$5:$AQ$5,0))</f>
        <v>0.47982219379548419</v>
      </c>
      <c r="Y119" s="530">
        <f ca="1">OFFSET(OFFSET(Shipments!$D$1,0,MATCH(Y$7,Dates)),
MATCH(OFFSET($C117,((MATCH($C117,EL_List,0)-1)*-10)-3,0),Shipments!$C:$C,0)+
MATCH(OFFSET($C117,((MATCH($C117,EL_List,0)-1)*-10)-1,0),Shipments!$D:$D,0)+
MATCH($C117,EL_List,0)-10,
MATCH(Shipments_Scenario_X,Shipments!$F$5:$AQ$5,0))</f>
        <v>0.50378642531018669</v>
      </c>
      <c r="Z119" s="530">
        <f ca="1">OFFSET(OFFSET(Shipments!$D$1,0,MATCH(Z$7,Dates)),
MATCH(OFFSET($C117,((MATCH($C117,EL_List,0)-1)*-10)-3,0),Shipments!$C:$C,0)+
MATCH(OFFSET($C117,((MATCH($C117,EL_List,0)-1)*-10)-1,0),Shipments!$D:$D,0)+
MATCH($C117,EL_List,0)-10,
MATCH(Shipments_Scenario_X,Shipments!$F$5:$AQ$5,0))</f>
        <v>0.5288972167123861</v>
      </c>
      <c r="AA119" s="530">
        <f ca="1">OFFSET(OFFSET(Shipments!$D$1,0,MATCH(AA$7,Dates)),
MATCH(OFFSET($C117,((MATCH($C117,EL_List,0)-1)*-10)-3,0),Shipments!$C:$C,0)+
MATCH(OFFSET($C117,((MATCH($C117,EL_List,0)-1)*-10)-1,0),Shipments!$D:$D,0)+
MATCH($C117,EL_List,0)-10,
MATCH(Shipments_Scenario_X,Shipments!$F$5:$AQ$5,0))</f>
        <v>0.55521481320745347</v>
      </c>
      <c r="AB119" s="530">
        <f ca="1">OFFSET(OFFSET(Shipments!$D$1,0,MATCH(AB$7,Dates)),
MATCH(OFFSET($C117,((MATCH($C117,EL_List,0)-1)*-10)-3,0),Shipments!$C:$C,0)+
MATCH(OFFSET($C117,((MATCH($C117,EL_List,0)-1)*-10)-1,0),Shipments!$D:$D,0)+
MATCH($C117,EL_List,0)-10,
MATCH(Shipments_Scenario_X,Shipments!$F$5:$AQ$5,0))</f>
        <v>0.58280827622187159</v>
      </c>
      <c r="AC119" s="530">
        <f ca="1">OFFSET(OFFSET(Shipments!$D$1,0,MATCH(AC$7,Dates)),
MATCH(OFFSET($C117,((MATCH($C117,EL_List,0)-1)*-10)-3,0),Shipments!$C:$C,0)+
MATCH(OFFSET($C117,((MATCH($C117,EL_List,0)-1)*-10)-1,0),Shipments!$D:$D,0)+
MATCH($C117,EL_List,0)-10,
MATCH(Shipments_Scenario_X,Shipments!$F$5:$AQ$5,0))</f>
        <v>0.61174736583082756</v>
      </c>
      <c r="AD119" s="530">
        <f ca="1">OFFSET(OFFSET(Shipments!$D$1,0,MATCH(AD$7,Dates)),
MATCH(OFFSET($C117,((MATCH($C117,EL_List,0)-1)*-10)-3,0),Shipments!$C:$C,0)+
MATCH(OFFSET($C117,((MATCH($C117,EL_List,0)-1)*-10)-1,0),Shipments!$D:$D,0)+
MATCH($C117,EL_List,0)-10,
MATCH(Shipments_Scenario_X,Shipments!$F$5:$AQ$5,0))</f>
        <v>0.64210223190499849</v>
      </c>
      <c r="AE119" s="530">
        <f ca="1">OFFSET(OFFSET(Shipments!$D$1,0,MATCH(AE$7,Dates)),
MATCH(OFFSET($C117,((MATCH($C117,EL_List,0)-1)*-10)-3,0),Shipments!$C:$C,0)+
MATCH(OFFSET($C117,((MATCH($C117,EL_List,0)-1)*-10)-1,0),Shipments!$D:$D,0)+
MATCH($C117,EL_List,0)-10,
MATCH(Shipments_Scenario_X,Shipments!$F$5:$AQ$5,0))</f>
        <v>0.67394303955884238</v>
      </c>
      <c r="AF119" s="530">
        <f ca="1">OFFSET(OFFSET(Shipments!$D$1,0,MATCH(AF$7,Dates)),
MATCH(OFFSET($C117,((MATCH($C117,EL_List,0)-1)*-10)-3,0),Shipments!$C:$C,0)+
MATCH(OFFSET($C117,((MATCH($C117,EL_List,0)-1)*-10)-1,0),Shipments!$D:$D,0)+
MATCH($C117,EL_List,0)-10,
MATCH(Shipments_Scenario_X,Shipments!$F$5:$AQ$5,0))</f>
        <v>0.70734064814529285</v>
      </c>
      <c r="AG119" s="530">
        <f ca="1">OFFSET(OFFSET(Shipments!$D$1,0,MATCH(AG$7,Dates)),
MATCH(OFFSET($C117,((MATCH($C117,EL_List,0)-1)*-10)-3,0),Shipments!$C:$C,0)+
MATCH(OFFSET($C117,((MATCH($C117,EL_List,0)-1)*-10)-1,0),Shipments!$D:$D,0)+
MATCH($C117,EL_List,0)-10,
MATCH(Shipments_Scenario_X,Shipments!$F$5:$AQ$5,0))</f>
        <v>0.74236811597319652</v>
      </c>
      <c r="AH119" s="530">
        <f ca="1">OFFSET(OFFSET(Shipments!$D$1,0,MATCH(AH$7,Dates)),
MATCH(OFFSET($C117,((MATCH($C117,EL_List,0)-1)*-10)-3,0),Shipments!$C:$C,0)+
MATCH(OFFSET($C117,((MATCH($C117,EL_List,0)-1)*-10)-1,0),Shipments!$D:$D,0)+
MATCH($C117,EL_List,0)-10,
MATCH(Shipments_Scenario_X,Shipments!$F$5:$AQ$5,0))</f>
        <v>0.77910205754820672</v>
      </c>
      <c r="AI119" s="530">
        <f ca="1">OFFSET(OFFSET(Shipments!$D$1,0,MATCH(AI$7,Dates)),
MATCH(OFFSET($C117,((MATCH($C117,EL_List,0)-1)*-10)-3,0),Shipments!$C:$C,0)+
MATCH(OFFSET($C117,((MATCH($C117,EL_List,0)-1)*-10)-1,0),Shipments!$D:$D,0)+
MATCH($C117,EL_List,0)-10,
MATCH(Shipments_Scenario_X,Shipments!$F$5:$AQ$5,0))</f>
        <v>0.81762366861135127</v>
      </c>
      <c r="AJ119" s="530">
        <f ca="1">OFFSET(OFFSET(Shipments!$D$1,0,MATCH(AJ$7,Dates)),
MATCH(OFFSET($C117,((MATCH($C117,EL_List,0)-1)*-10)-3,0),Shipments!$C:$C,0)+
MATCH(OFFSET($C117,((MATCH($C117,EL_List,0)-1)*-10)-1,0),Shipments!$D:$D,0)+
MATCH($C117,EL_List,0)-10,
MATCH(Shipments_Scenario_X,Shipments!$F$5:$AQ$5,0))</f>
        <v>0.85801928594786359</v>
      </c>
      <c r="AK119" s="530">
        <f ca="1">OFFSET(OFFSET(Shipments!$D$1,0,MATCH(AK$7,Dates)),
MATCH(OFFSET($C117,((MATCH($C117,EL_List,0)-1)*-10)-3,0),Shipments!$C:$C,0)+
MATCH(OFFSET($C117,((MATCH($C117,EL_List,0)-1)*-10)-1,0),Shipments!$D:$D,0)+
MATCH($C117,EL_List,0)-10,
MATCH(Shipments_Scenario_X,Shipments!$F$5:$AQ$5,0))</f>
        <v>0.90038043686474412</v>
      </c>
      <c r="AL119" s="530">
        <f ca="1">OFFSET(OFFSET(Shipments!$D$1,0,MATCH(AL$7,Dates)),
MATCH(OFFSET($C117,((MATCH($C117,EL_List,0)-1)*-10)-3,0),Shipments!$C:$C,0)+
MATCH(OFFSET($C117,((MATCH($C117,EL_List,0)-1)*-10)-1,0),Shipments!$D:$D,0)+
MATCH($C117,EL_List,0)-10,
MATCH(Shipments_Scenario_X,Shipments!$F$5:$AQ$5,0))</f>
        <v>0.94480367095750362</v>
      </c>
      <c r="AM119" s="530">
        <f ca="1">OFFSET(OFFSET(Shipments!$D$1,0,MATCH(AM$7,Dates)),
MATCH(OFFSET($C117,((MATCH($C117,EL_List,0)-1)*-10)-3,0),Shipments!$C:$C,0)+
MATCH(OFFSET($C117,((MATCH($C117,EL_List,0)-1)*-10)-1,0),Shipments!$D:$D,0)+
MATCH($C117,EL_List,0)-10,
MATCH(Shipments_Scenario_X,Shipments!$F$5:$AQ$5,0))</f>
        <v>0.99139044823825295</v>
      </c>
      <c r="AN119" s="530">
        <f ca="1">OFFSET(OFFSET(Shipments!$D$1,0,MATCH(AN$7,Dates)),
MATCH(OFFSET($C117,((MATCH($C117,EL_List,0)-1)*-10)-3,0),Shipments!$C:$C,0)+
MATCH(OFFSET($C117,((MATCH($C117,EL_List,0)-1)*-10)-1,0),Shipments!$D:$D,0)+
MATCH($C117,EL_List,0)-10,
MATCH(Shipments_Scenario_X,Shipments!$F$5:$AQ$5,0))</f>
        <v>1.0402467368641242</v>
      </c>
      <c r="AO119" s="436"/>
      <c r="AP119" s="21"/>
    </row>
    <row r="120" spans="2:42" ht="15" customHeight="1" x14ac:dyDescent="0.35">
      <c r="B120" s="429"/>
      <c r="C120" s="777" t="s">
        <v>79</v>
      </c>
      <c r="D120" s="776"/>
      <c r="E120" s="531">
        <f t="shared" ref="E120:AN120" ca="1" si="28">E118*E119</f>
        <v>14.551346646156473</v>
      </c>
      <c r="F120" s="531">
        <f t="shared" ca="1" si="28"/>
        <v>15.099543119682769</v>
      </c>
      <c r="G120" s="531">
        <f t="shared" ca="1" si="28"/>
        <v>15.572271547151461</v>
      </c>
      <c r="H120" s="531">
        <f t="shared" ca="1" si="28"/>
        <v>16.208063249701983</v>
      </c>
      <c r="I120" s="531">
        <f t="shared" ca="1" si="28"/>
        <v>16.888067011391197</v>
      </c>
      <c r="J120" s="531">
        <f t="shared" ca="1" si="28"/>
        <v>17.641126052660383</v>
      </c>
      <c r="K120" s="531">
        <f t="shared" ca="1" si="28"/>
        <v>18.455792990152457</v>
      </c>
      <c r="L120" s="531">
        <f t="shared" ca="1" si="28"/>
        <v>19.315893331270626</v>
      </c>
      <c r="M120" s="531">
        <f t="shared" ca="1" si="28"/>
        <v>20.229315045369137</v>
      </c>
      <c r="N120" s="531">
        <f t="shared" ca="1" si="28"/>
        <v>21.169265456407199</v>
      </c>
      <c r="O120" s="531">
        <f t="shared" ca="1" si="28"/>
        <v>22.134736603150962</v>
      </c>
      <c r="P120" s="531">
        <f t="shared" ca="1" si="28"/>
        <v>23.129747396302413</v>
      </c>
      <c r="Q120" s="531">
        <f t="shared" ca="1" si="28"/>
        <v>24.16062407051038</v>
      </c>
      <c r="R120" s="531">
        <f t="shared" ca="1" si="28"/>
        <v>25.260883220122814</v>
      </c>
      <c r="S120" s="531">
        <f t="shared" ca="1" si="28"/>
        <v>26.385369164833079</v>
      </c>
      <c r="T120" s="531">
        <f t="shared" ca="1" si="28"/>
        <v>27.591165579791031</v>
      </c>
      <c r="U120" s="531">
        <f t="shared" ca="1" si="28"/>
        <v>28.825671406378298</v>
      </c>
      <c r="V120" s="531">
        <f t="shared" ca="1" si="28"/>
        <v>30.14435083158029</v>
      </c>
      <c r="W120" s="531">
        <f t="shared" ca="1" si="28"/>
        <v>31.521852165939908</v>
      </c>
      <c r="X120" s="531">
        <f t="shared" ca="1" si="28"/>
        <v>32.959081256695079</v>
      </c>
      <c r="Y120" s="531">
        <f t="shared" ca="1" si="28"/>
        <v>34.457776106465708</v>
      </c>
      <c r="Z120" s="531">
        <f t="shared" ca="1" si="28"/>
        <v>36.020533044009682</v>
      </c>
      <c r="AA120" s="531">
        <f t="shared" ca="1" si="28"/>
        <v>37.650430954667691</v>
      </c>
      <c r="AB120" s="531">
        <f t="shared" ca="1" si="28"/>
        <v>39.351073479493792</v>
      </c>
      <c r="AC120" s="531">
        <f t="shared" ca="1" si="28"/>
        <v>41.126030395445504</v>
      </c>
      <c r="AD120" s="531">
        <f t="shared" ca="1" si="28"/>
        <v>43.025787303798253</v>
      </c>
      <c r="AE120" s="531">
        <f t="shared" ca="1" si="28"/>
        <v>44.962163799611332</v>
      </c>
      <c r="AF120" s="531">
        <f t="shared" ca="1" si="28"/>
        <v>46.98331298121127</v>
      </c>
      <c r="AG120" s="531">
        <f t="shared" ca="1" si="28"/>
        <v>49.147005661374976</v>
      </c>
      <c r="AH120" s="531">
        <f t="shared" ca="1" si="28"/>
        <v>51.350930201580468</v>
      </c>
      <c r="AI120" s="531">
        <f t="shared" ca="1" si="28"/>
        <v>53.710471445446501</v>
      </c>
      <c r="AJ120" s="531">
        <f t="shared" ca="1" si="28"/>
        <v>56.113032698879181</v>
      </c>
      <c r="AK120" s="531">
        <f t="shared" ca="1" si="28"/>
        <v>58.685786197803637</v>
      </c>
      <c r="AL120" s="531">
        <f t="shared" ca="1" si="28"/>
        <v>61.373898479270288</v>
      </c>
      <c r="AM120" s="531">
        <f t="shared" ref="AM120" ca="1" si="29">AM118*AM119</f>
        <v>64.110057752037932</v>
      </c>
      <c r="AN120" s="531">
        <f t="shared" ca="1" si="28"/>
        <v>67.04074012058426</v>
      </c>
      <c r="AO120" s="436"/>
      <c r="AP120" s="21"/>
    </row>
    <row r="121" spans="2:42" ht="15" customHeight="1" x14ac:dyDescent="0.35">
      <c r="B121" s="429"/>
      <c r="C121" s="777"/>
      <c r="D121" s="776"/>
      <c r="E121" s="776"/>
      <c r="F121" s="776"/>
      <c r="G121" s="776"/>
      <c r="H121" s="776"/>
      <c r="I121" s="776"/>
      <c r="J121" s="776"/>
      <c r="K121" s="776"/>
      <c r="L121" s="776"/>
      <c r="M121" s="776"/>
      <c r="N121" s="776"/>
      <c r="O121" s="776"/>
      <c r="P121" s="776"/>
      <c r="Q121" s="776"/>
      <c r="R121" s="776"/>
      <c r="S121" s="776"/>
      <c r="T121" s="776"/>
      <c r="U121" s="776"/>
      <c r="V121" s="776"/>
      <c r="W121" s="776"/>
      <c r="X121" s="776"/>
      <c r="Y121" s="776"/>
      <c r="Z121" s="776"/>
      <c r="AA121" s="776"/>
      <c r="AB121" s="776"/>
      <c r="AC121" s="776"/>
      <c r="AD121" s="776"/>
      <c r="AE121" s="776"/>
      <c r="AF121" s="776"/>
      <c r="AG121" s="776"/>
      <c r="AH121" s="776"/>
      <c r="AI121" s="776"/>
      <c r="AJ121" s="776"/>
      <c r="AK121" s="776"/>
      <c r="AL121" s="776"/>
      <c r="AM121" s="776"/>
      <c r="AN121" s="776"/>
      <c r="AO121" s="436"/>
      <c r="AP121" s="21"/>
    </row>
    <row r="122" spans="2:42" ht="15" customHeight="1" x14ac:dyDescent="0.35">
      <c r="B122" s="429"/>
      <c r="C122" s="777" t="s">
        <v>212</v>
      </c>
      <c r="D122" s="776"/>
      <c r="E122" s="532" cm="1">
        <f t="array" aca="1" ref="E122" ca="1">OFFSET(E122,-3,0)*
OFFSET(MSP!$D$1,
MATCH(OFFSET($C117,((MATCH($C117,EL_List,0)-1)*-10)-1,0),MSP!$C:$C,0)+MATCH($C117,EL_List,0)-1,0)
*INDEX(Learning!$E$6:$S$41,(MATCH(E$21,Dates,0)),(MATCH($C$86,Learning!$E$4:$S$4,0)+MATCH($C$117,Learning!$E$5:$S$5,0)-1))</f>
        <v>9.0475331273151554</v>
      </c>
      <c r="F122" s="532" cm="1">
        <f t="array" aca="1" ref="F122" ca="1">OFFSET(F122,-3,0)*
OFFSET(MSP!$D$1,
MATCH(OFFSET($C117,((MATCH($C117,EL_List,0)-1)*-10)-1,0),MSP!$C:$C,0)+MATCH($C117,EL_List,0)-1,0)
*INDEX(Learning!$E$6:$S$41,(MATCH(F$21,Dates,0)),(MATCH($C$86,Learning!$E$4:$S$4,0)+MATCH($C$117,Learning!$E$5:$S$5,0)-1))</f>
        <v>9.3883830757848106</v>
      </c>
      <c r="G122" s="532" cm="1">
        <f t="array" aca="1" ref="G122" ca="1">OFFSET(G122,-3,0)*
OFFSET(MSP!$D$1,
MATCH(OFFSET($C117,((MATCH($C117,EL_List,0)-1)*-10)-1,0),MSP!$C:$C,0)+MATCH($C117,EL_List,0)-1,0)
*INDEX(Learning!$E$6:$S$41,(MATCH(G$21,Dates,0)),(MATCH($C$86,Learning!$E$4:$S$4,0)+MATCH($C$117,Learning!$E$5:$S$5,0)-1))</f>
        <v>9.6823095563883292</v>
      </c>
      <c r="H122" s="532" cm="1">
        <f t="array" aca="1" ref="H122" ca="1">OFFSET(H122,-3,0)*
OFFSET(MSP!$D$1,
MATCH(OFFSET($C117,((MATCH($C117,EL_List,0)-1)*-10)-1,0),MSP!$C:$C,0)+MATCH($C117,EL_List,0)-1,0)
*INDEX(Learning!$E$6:$S$41,(MATCH(H$21,Dates,0)),(MATCH($C$86,Learning!$E$4:$S$4,0)+MATCH($C$117,Learning!$E$5:$S$5,0)-1))</f>
        <v>10.077623243209018</v>
      </c>
      <c r="I122" s="532" cm="1">
        <f t="array" aca="1" ref="I122" ca="1">OFFSET(I122,-3,0)*
OFFSET(MSP!$D$1,
MATCH(OFFSET($C117,((MATCH($C117,EL_List,0)-1)*-10)-1,0),MSP!$C:$C,0)+MATCH($C117,EL_List,0)-1,0)
*INDEX(Learning!$E$6:$S$41,(MATCH(I$21,Dates,0)),(MATCH($C$86,Learning!$E$4:$S$4,0)+MATCH($C$117,Learning!$E$5:$S$5,0)-1))</f>
        <v>10.500426486797963</v>
      </c>
      <c r="J122" s="532" cm="1">
        <f t="array" aca="1" ref="J122" ca="1">OFFSET(J122,-3,0)*
OFFSET(MSP!$D$1,
MATCH(OFFSET($C117,((MATCH($C117,EL_List,0)-1)*-10)-1,0),MSP!$C:$C,0)+MATCH($C117,EL_List,0)-1,0)
*INDEX(Learning!$E$6:$S$41,(MATCH(J$21,Dates,0)),(MATCH($C$86,Learning!$E$4:$S$4,0)+MATCH($C$117,Learning!$E$5:$S$5,0)-1))</f>
        <v>10.968653022003679</v>
      </c>
      <c r="K122" s="532" cm="1">
        <f t="array" aca="1" ref="K122" ca="1">OFFSET(K122,-3,0)*
OFFSET(MSP!$D$1,
MATCH(OFFSET($C117,((MATCH($C117,EL_List,0)-1)*-10)-1,0),MSP!$C:$C,0)+MATCH($C117,EL_List,0)-1,0)
*INDEX(Learning!$E$6:$S$41,(MATCH(K$21,Dates,0)),(MATCH($C$86,Learning!$E$4:$S$4,0)+MATCH($C$117,Learning!$E$5:$S$5,0)-1))</f>
        <v>11.475185254649981</v>
      </c>
      <c r="L122" s="532" cm="1">
        <f t="array" aca="1" ref="L122" ca="1">OFFSET(L122,-3,0)*
OFFSET(MSP!$D$1,
MATCH(OFFSET($C117,((MATCH($C117,EL_List,0)-1)*-10)-1,0),MSP!$C:$C,0)+MATCH($C117,EL_List,0)-1,0)
*INDEX(Learning!$E$6:$S$41,(MATCH(L$21,Dates,0)),(MATCH($C$86,Learning!$E$4:$S$4,0)+MATCH($C$117,Learning!$E$5:$S$5,0)-1))</f>
        <v>12.009966434585456</v>
      </c>
      <c r="M122" s="532" cm="1">
        <f t="array" aca="1" ref="M122" ca="1">OFFSET(M122,-3,0)*
OFFSET(MSP!$D$1,
MATCH(OFFSET($C117,((MATCH($C117,EL_List,0)-1)*-10)-1,0),MSP!$C:$C,0)+MATCH($C117,EL_List,0)-1,0)
*INDEX(Learning!$E$6:$S$41,(MATCH(M$21,Dates,0)),(MATCH($C$86,Learning!$E$4:$S$4,0)+MATCH($C$117,Learning!$E$5:$S$5,0)-1))</f>
        <v>12.57790103325012</v>
      </c>
      <c r="N122" s="532" cm="1">
        <f t="array" aca="1" ref="N122" ca="1">OFFSET(N122,-3,0)*
OFFSET(MSP!$D$1,
MATCH(OFFSET($C117,((MATCH($C117,EL_List,0)-1)*-10)-1,0),MSP!$C:$C,0)+MATCH($C117,EL_List,0)-1,0)
*INDEX(Learning!$E$6:$S$41,(MATCH(N$21,Dates,0)),(MATCH($C$86,Learning!$E$4:$S$4,0)+MATCH($C$117,Learning!$E$5:$S$5,0)-1))</f>
        <v>13.16233027465965</v>
      </c>
      <c r="O122" s="532" cm="1">
        <f t="array" aca="1" ref="O122" ca="1">OFFSET(O122,-3,0)*
OFFSET(MSP!$D$1,
MATCH(OFFSET($C117,((MATCH($C117,EL_List,0)-1)*-10)-1,0),MSP!$C:$C,0)+MATCH($C117,EL_List,0)-1,0)
*INDEX(Learning!$E$6:$S$41,(MATCH(O$21,Dates,0)),(MATCH($C$86,Learning!$E$4:$S$4,0)+MATCH($C$117,Learning!$E$5:$S$5,0)-1))</f>
        <v>13.762627442752917</v>
      </c>
      <c r="P122" s="532" cm="1">
        <f t="array" aca="1" ref="P122" ca="1">OFFSET(P122,-3,0)*
OFFSET(MSP!$D$1,
MATCH(OFFSET($C117,((MATCH($C117,EL_List,0)-1)*-10)-1,0),MSP!$C:$C,0)+MATCH($C117,EL_List,0)-1,0)
*INDEX(Learning!$E$6:$S$41,(MATCH(P$21,Dates,0)),(MATCH($C$86,Learning!$E$4:$S$4,0)+MATCH($C$117,Learning!$E$5:$S$5,0)-1))</f>
        <v>14.381291359707417</v>
      </c>
      <c r="Q122" s="532" cm="1">
        <f t="array" aca="1" ref="Q122" ca="1">OFFSET(Q122,-3,0)*
OFFSET(MSP!$D$1,
MATCH(OFFSET($C117,((MATCH($C117,EL_List,0)-1)*-10)-1,0),MSP!$C:$C,0)+MATCH($C117,EL_List,0)-1,0)
*INDEX(Learning!$E$6:$S$41,(MATCH(Q$21,Dates,0)),(MATCH($C$86,Learning!$E$4:$S$4,0)+MATCH($C$117,Learning!$E$5:$S$5,0)-1))</f>
        <v>15.022255463365591</v>
      </c>
      <c r="R122" s="532" cm="1">
        <f t="array" aca="1" ref="R122" ca="1">OFFSET(R122,-3,0)*
OFFSET(MSP!$D$1,
MATCH(OFFSET($C117,((MATCH($C117,EL_List,0)-1)*-10)-1,0),MSP!$C:$C,0)+MATCH($C117,EL_List,0)-1,0)
*INDEX(Learning!$E$6:$S$41,(MATCH(R$21,Dates,0)),(MATCH($C$86,Learning!$E$4:$S$4,0)+MATCH($C$117,Learning!$E$5:$S$5,0)-1))</f>
        <v>15.706359233746147</v>
      </c>
      <c r="S122" s="532" cm="1">
        <f t="array" aca="1" ref="S122" ca="1">OFFSET(S122,-3,0)*
OFFSET(MSP!$D$1,
MATCH(OFFSET($C117,((MATCH($C117,EL_List,0)-1)*-10)-1,0),MSP!$C:$C,0)+MATCH($C117,EL_List,0)-1,0)
*INDEX(Learning!$E$6:$S$41,(MATCH(S$21,Dates,0)),(MATCH($C$86,Learning!$E$4:$S$4,0)+MATCH($C$117,Learning!$E$5:$S$5,0)-1))</f>
        <v>16.405526402487446</v>
      </c>
      <c r="T122" s="532" cm="1">
        <f t="array" aca="1" ref="T122" ca="1">OFFSET(T122,-3,0)*
OFFSET(MSP!$D$1,
MATCH(OFFSET($C117,((MATCH($C117,EL_List,0)-1)*-10)-1,0),MSP!$C:$C,0)+MATCH($C117,EL_List,0)-1,0)
*INDEX(Learning!$E$6:$S$41,(MATCH(T$21,Dates,0)),(MATCH($C$86,Learning!$E$4:$S$4,0)+MATCH($C$117,Learning!$E$5:$S$5,0)-1))</f>
        <v>17.155249660026051</v>
      </c>
      <c r="U122" s="532" cm="1">
        <f t="array" aca="1" ref="U122" ca="1">OFFSET(U122,-3,0)*
OFFSET(MSP!$D$1,
MATCH(OFFSET($C117,((MATCH($C117,EL_List,0)-1)*-10)-1,0),MSP!$C:$C,0)+MATCH($C117,EL_List,0)-1,0)
*INDEX(Learning!$E$6:$S$41,(MATCH(U$21,Dates,0)),(MATCH($C$86,Learning!$E$4:$S$4,0)+MATCH($C$117,Learning!$E$5:$S$5,0)-1))</f>
        <v>17.922823454638529</v>
      </c>
      <c r="V122" s="532" cm="1">
        <f t="array" aca="1" ref="V122" ca="1">OFFSET(V122,-3,0)*
OFFSET(MSP!$D$1,
MATCH(OFFSET($C117,((MATCH($C117,EL_List,0)-1)*-10)-1,0),MSP!$C:$C,0)+MATCH($C117,EL_List,0)-1,0)
*INDEX(Learning!$E$6:$S$41,(MATCH(V$21,Dates,0)),(MATCH($C$86,Learning!$E$4:$S$4,0)+MATCH($C$117,Learning!$E$5:$S$5,0)-1))</f>
        <v>18.74273353402457</v>
      </c>
      <c r="W122" s="532" cm="1">
        <f t="array" aca="1" ref="W122" ca="1">OFFSET(W122,-3,0)*
OFFSET(MSP!$D$1,
MATCH(OFFSET($C117,((MATCH($C117,EL_List,0)-1)*-10)-1,0),MSP!$C:$C,0)+MATCH($C117,EL_List,0)-1,0)
*INDEX(Learning!$E$6:$S$41,(MATCH(W$21,Dates,0)),(MATCH($C$86,Learning!$E$4:$S$4,0)+MATCH($C$117,Learning!$E$5:$S$5,0)-1))</f>
        <v>19.599217078716386</v>
      </c>
      <c r="X122" s="532" cm="1">
        <f t="array" aca="1" ref="X122" ca="1">OFFSET(X122,-3,0)*
OFFSET(MSP!$D$1,
MATCH(OFFSET($C117,((MATCH($C117,EL_List,0)-1)*-10)-1,0),MSP!$C:$C,0)+MATCH($C117,EL_List,0)-1,0)
*INDEX(Learning!$E$6:$S$41,(MATCH(X$21,Dates,0)),(MATCH($C$86,Learning!$E$4:$S$4,0)+MATCH($C$117,Learning!$E$5:$S$5,0)-1))</f>
        <v>20.492837313760621</v>
      </c>
      <c r="Y122" s="532" cm="1">
        <f t="array" aca="1" ref="Y122" ca="1">OFFSET(Y122,-3,0)*
OFFSET(MSP!$D$1,
MATCH(OFFSET($C117,((MATCH($C117,EL_List,0)-1)*-10)-1,0),MSP!$C:$C,0)+MATCH($C117,EL_List,0)-1,0)
*INDEX(Learning!$E$6:$S$41,(MATCH(Y$21,Dates,0)),(MATCH($C$86,Learning!$E$4:$S$4,0)+MATCH($C$117,Learning!$E$5:$S$5,0)-1))</f>
        <v>21.424674870157361</v>
      </c>
      <c r="Z122" s="532" cm="1">
        <f t="array" aca="1" ref="Z122" ca="1">OFFSET(Z122,-3,0)*
OFFSET(MSP!$D$1,
MATCH(OFFSET($C117,((MATCH($C117,EL_List,0)-1)*-10)-1,0),MSP!$C:$C,0)+MATCH($C117,EL_List,0)-1,0)
*INDEX(Learning!$E$6:$S$41,(MATCH(Z$21,Dates,0)),(MATCH($C$86,Learning!$E$4:$S$4,0)+MATCH($C$117,Learning!$E$5:$S$5,0)-1))</f>
        <v>22.396344056947392</v>
      </c>
      <c r="AA122" s="532" cm="1">
        <f t="array" aca="1" ref="AA122" ca="1">OFFSET(AA122,-3,0)*
OFFSET(MSP!$D$1,
MATCH(OFFSET($C117,((MATCH($C117,EL_List,0)-1)*-10)-1,0),MSP!$C:$C,0)+MATCH($C117,EL_List,0)-1,0)
*INDEX(Learning!$E$6:$S$41,(MATCH(AA$21,Dates,0)),(MATCH($C$86,Learning!$E$4:$S$4,0)+MATCH($C$117,Learning!$E$5:$S$5,0)-1))</f>
        <v>23.409759220465276</v>
      </c>
      <c r="AB122" s="532" cm="1">
        <f t="array" aca="1" ref="AB122" ca="1">OFFSET(AB122,-3,0)*
OFFSET(MSP!$D$1,
MATCH(OFFSET($C117,((MATCH($C117,EL_List,0)-1)*-10)-1,0),MSP!$C:$C,0)+MATCH($C117,EL_List,0)-1,0)
*INDEX(Learning!$E$6:$S$41,(MATCH(AB$21,Dates,0)),(MATCH($C$86,Learning!$E$4:$S$4,0)+MATCH($C$117,Learning!$E$5:$S$5,0)-1))</f>
        <v>24.46716098232552</v>
      </c>
      <c r="AC122" s="532" cm="1">
        <f t="array" aca="1" ref="AC122" ca="1">OFFSET(AC122,-3,0)*
OFFSET(MSP!$D$1,
MATCH(OFFSET($C117,((MATCH($C117,EL_List,0)-1)*-10)-1,0),MSP!$C:$C,0)+MATCH($C117,EL_List,0)-1,0)
*INDEX(Learning!$E$6:$S$41,(MATCH(AC$21,Dates,0)),(MATCH($C$86,Learning!$E$4:$S$4,0)+MATCH($C$117,Learning!$E$5:$S$5,0)-1))</f>
        <v>25.570768908597557</v>
      </c>
      <c r="AD122" s="532" cm="1">
        <f t="array" aca="1" ref="AD122" ca="1">OFFSET(AD122,-3,0)*
OFFSET(MSP!$D$1,
MATCH(OFFSET($C117,((MATCH($C117,EL_List,0)-1)*-10)-1,0),MSP!$C:$C,0)+MATCH($C117,EL_List,0)-1,0)
*INDEX(Learning!$E$6:$S$41,(MATCH(AD$21,Dates,0)),(MATCH($C$86,Learning!$E$4:$S$4,0)+MATCH($C$117,Learning!$E$5:$S$5,0)-1))</f>
        <v>26.751973231477685</v>
      </c>
      <c r="AE122" s="532" cm="1">
        <f t="array" aca="1" ref="AE122" ca="1">OFFSET(AE122,-3,0)*
OFFSET(MSP!$D$1,
MATCH(OFFSET($C117,((MATCH($C117,EL_List,0)-1)*-10)-1,0),MSP!$C:$C,0)+MATCH($C117,EL_List,0)-1,0)
*INDEX(Learning!$E$6:$S$41,(MATCH(AE$21,Dates,0)),(MATCH($C$86,Learning!$E$4:$S$4,0)+MATCH($C$117,Learning!$E$5:$S$5,0)-1))</f>
        <v>27.955946370104744</v>
      </c>
      <c r="AF122" s="532" cm="1">
        <f t="array" aca="1" ref="AF122" ca="1">OFFSET(AF122,-3,0)*
OFFSET(MSP!$D$1,
MATCH(OFFSET($C117,((MATCH($C117,EL_List,0)-1)*-10)-1,0),MSP!$C:$C,0)+MATCH($C117,EL_List,0)-1,0)
*INDEX(Learning!$E$6:$S$41,(MATCH(AF$21,Dates,0)),(MATCH($C$86,Learning!$E$4:$S$4,0)+MATCH($C$117,Learning!$E$5:$S$5,0)-1))</f>
        <v>29.212628285561784</v>
      </c>
      <c r="AG122" s="532" cm="1">
        <f t="array" aca="1" ref="AG122" ca="1">OFFSET(AG122,-3,0)*
OFFSET(MSP!$D$1,
MATCH(OFFSET($C117,((MATCH($C117,EL_List,0)-1)*-10)-1,0),MSP!$C:$C,0)+MATCH($C117,EL_List,0)-1,0)
*INDEX(Learning!$E$6:$S$41,(MATCH(AG$21,Dates,0)),(MATCH($C$86,Learning!$E$4:$S$4,0)+MATCH($C$117,Learning!$E$5:$S$5,0)-1))</f>
        <v>30.557938907124168</v>
      </c>
      <c r="AH122" s="532" cm="1">
        <f t="array" aca="1" ref="AH122" ca="1">OFFSET(AH122,-3,0)*
OFFSET(MSP!$D$1,
MATCH(OFFSET($C117,((MATCH($C117,EL_List,0)-1)*-10)-1,0),MSP!$C:$C,0)+MATCH($C117,EL_List,0)-1,0)
*INDEX(Learning!$E$6:$S$41,(MATCH(AH$21,Dates,0)),(MATCH($C$86,Learning!$E$4:$S$4,0)+MATCH($C$117,Learning!$E$5:$S$5,0)-1))</f>
        <v>31.928264332838559</v>
      </c>
      <c r="AI122" s="532" cm="1">
        <f t="array" aca="1" ref="AI122" ca="1">OFFSET(AI122,-3,0)*
OFFSET(MSP!$D$1,
MATCH(OFFSET($C117,((MATCH($C117,EL_List,0)-1)*-10)-1,0),MSP!$C:$C,0)+MATCH($C117,EL_List,0)-1,0)
*INDEX(Learning!$E$6:$S$41,(MATCH(AI$21,Dates,0)),(MATCH($C$86,Learning!$E$4:$S$4,0)+MATCH($C$117,Learning!$E$5:$S$5,0)-1))</f>
        <v>33.395346939573322</v>
      </c>
      <c r="AJ122" s="532" cm="1">
        <f t="array" aca="1" ref="AJ122" ca="1">OFFSET(AJ122,-3,0)*
OFFSET(MSP!$D$1,
MATCH(OFFSET($C117,((MATCH($C117,EL_List,0)-1)*-10)-1,0),MSP!$C:$C,0)+MATCH($C117,EL_List,0)-1,0)
*INDEX(Learning!$E$6:$S$41,(MATCH(AJ$21,Dates,0)),(MATCH($C$86,Learning!$E$4:$S$4,0)+MATCH($C$117,Learning!$E$5:$S$5,0)-1))</f>
        <v>34.889177927138824</v>
      </c>
      <c r="AK122" s="532" cm="1">
        <f t="array" aca="1" ref="AK122" ca="1">OFFSET(AK122,-3,0)*
OFFSET(MSP!$D$1,
MATCH(OFFSET($C117,((MATCH($C117,EL_List,0)-1)*-10)-1,0),MSP!$C:$C,0)+MATCH($C117,EL_List,0)-1,0)
*INDEX(Learning!$E$6:$S$41,(MATCH(AK$21,Dates,0)),(MATCH($C$86,Learning!$E$4:$S$4,0)+MATCH($C$117,Learning!$E$5:$S$5,0)-1))</f>
        <v>36.488828672596348</v>
      </c>
      <c r="AL122" s="532" cm="1">
        <f t="array" aca="1" ref="AL122" ca="1">OFFSET(AL122,-3,0)*
OFFSET(MSP!$D$1,
MATCH(OFFSET($C117,((MATCH($C117,EL_List,0)-1)*-10)-1,0),MSP!$C:$C,0)+MATCH($C117,EL_List,0)-1,0)
*INDEX(Learning!$E$6:$S$41,(MATCH(AL$21,Dates,0)),(MATCH($C$86,Learning!$E$4:$S$4,0)+MATCH($C$117,Learning!$E$5:$S$5,0)-1))</f>
        <v>38.16020559102995</v>
      </c>
      <c r="AM122" s="532" cm="1">
        <f t="array" aca="1" ref="AM122" ca="1">OFFSET(AM122,-3,0)*
OFFSET(MSP!$D$1,
MATCH(OFFSET($C117,((MATCH($C117,EL_List,0)-1)*-10)-1,0),MSP!$C:$C,0)+MATCH($C117,EL_List,0)-1,0)
*INDEX(Learning!$E$6:$S$41,(MATCH(AM$21,Dates,0)),(MATCH($C$86,Learning!$E$4:$S$4,0)+MATCH($C$117,Learning!$E$5:$S$5,0)-1))</f>
        <v>39.861456496801942</v>
      </c>
      <c r="AN122" s="532" cm="1">
        <f t="array" aca="1" ref="AN122" ca="1">OFFSET(AN122,-3,0)*
OFFSET(MSP!$D$1,
MATCH(OFFSET($C117,((MATCH($C117,EL_List,0)-1)*-10)-1,0),MSP!$C:$C,0)+MATCH($C117,EL_List,0)-1,0)
*INDEX(Learning!$E$6:$S$41,(MATCH(AN$21,Dates,0)),(MATCH($C$86,Learning!$E$4:$S$4,0)+MATCH($C$117,Learning!$E$5:$S$5,0)-1))</f>
        <v>41.683655256809146</v>
      </c>
      <c r="AO122" s="436"/>
      <c r="AP122" s="21"/>
    </row>
    <row r="123" spans="2:42" ht="15" customHeight="1" x14ac:dyDescent="0.35">
      <c r="B123" s="429"/>
      <c r="C123" s="777" t="s">
        <v>213</v>
      </c>
      <c r="D123" s="776"/>
      <c r="E123" s="533" cm="1">
        <f t="array" aca="1" ref="E123" ca="1">OFFSET(E123,-4,0)*
OFFSET(MSP!$E$1,
MATCH(OFFSET($C117,((MATCH($C117,EL_List,0)-1)*-10)-1,0),MSP!$C:$C,0)+MATCH($C117,EL_List,0)-1,0)
*INDEX(Learning!$E$6:$S$41,(MATCH(E$21,Dates,0)),(MATCH($C$86,Learning!$E$4:$S$4,0)+MATCH($C$117,Learning!$E$5:$S$5,0)-1))</f>
        <v>0.2257736952459789</v>
      </c>
      <c r="F123" s="533" cm="1">
        <f t="array" aca="1" ref="F123" ca="1">OFFSET(F123,-4,0)*
OFFSET(MSP!$E$1,
MATCH(OFFSET($C117,((MATCH($C117,EL_List,0)-1)*-10)-1,0),MSP!$C:$C,0)+MATCH($C117,EL_List,0)-1,0)
*INDEX(Learning!$E$6:$S$41,(MATCH(F$21,Dates,0)),(MATCH($C$86,Learning!$E$4:$S$4,0)+MATCH($C$117,Learning!$E$5:$S$5,0)-1))</f>
        <v>0.23427932338875548</v>
      </c>
      <c r="G123" s="533" cm="1">
        <f t="array" aca="1" ref="G123" ca="1">OFFSET(G123,-4,0)*
OFFSET(MSP!$E$1,
MATCH(OFFSET($C117,((MATCH($C117,EL_List,0)-1)*-10)-1,0),MSP!$C:$C,0)+MATCH($C117,EL_List,0)-1,0)
*INDEX(Learning!$E$6:$S$41,(MATCH(G$21,Dates,0)),(MATCH($C$86,Learning!$E$4:$S$4,0)+MATCH($C$117,Learning!$E$5:$S$5,0)-1))</f>
        <v>0.24161401525699014</v>
      </c>
      <c r="H123" s="533" cm="1">
        <f t="array" aca="1" ref="H123" ca="1">OFFSET(H123,-4,0)*
OFFSET(MSP!$E$1,
MATCH(OFFSET($C117,((MATCH($C117,EL_List,0)-1)*-10)-1,0),MSP!$C:$C,0)+MATCH($C117,EL_List,0)-1,0)
*INDEX(Learning!$E$6:$S$41,(MATCH(H$21,Dates,0)),(MATCH($C$86,Learning!$E$4:$S$4,0)+MATCH($C$117,Learning!$E$5:$S$5,0)-1))</f>
        <v>0.25147874087875788</v>
      </c>
      <c r="I123" s="533" cm="1">
        <f t="array" aca="1" ref="I123" ca="1">OFFSET(I123,-4,0)*
OFFSET(MSP!$E$1,
MATCH(OFFSET($C117,((MATCH($C117,EL_List,0)-1)*-10)-1,0),MSP!$C:$C,0)+MATCH($C117,EL_List,0)-1,0)
*INDEX(Learning!$E$6:$S$41,(MATCH(I$21,Dates,0)),(MATCH($C$86,Learning!$E$4:$S$4,0)+MATCH($C$117,Learning!$E$5:$S$5,0)-1))</f>
        <v>0.26202944562045904</v>
      </c>
      <c r="J123" s="533" cm="1">
        <f t="array" aca="1" ref="J123" ca="1">OFFSET(J123,-4,0)*
OFFSET(MSP!$E$1,
MATCH(OFFSET($C117,((MATCH($C117,EL_List,0)-1)*-10)-1,0),MSP!$C:$C,0)+MATCH($C117,EL_List,0)-1,0)
*INDEX(Learning!$E$6:$S$41,(MATCH(J$21,Dates,0)),(MATCH($C$86,Learning!$E$4:$S$4,0)+MATCH($C$117,Learning!$E$5:$S$5,0)-1))</f>
        <v>0.27371365098097433</v>
      </c>
      <c r="K123" s="533" cm="1">
        <f t="array" aca="1" ref="K123" ca="1">OFFSET(K123,-4,0)*
OFFSET(MSP!$E$1,
MATCH(OFFSET($C117,((MATCH($C117,EL_List,0)-1)*-10)-1,0),MSP!$C:$C,0)+MATCH($C117,EL_List,0)-1,0)
*INDEX(Learning!$E$6:$S$41,(MATCH(K$21,Dates,0)),(MATCH($C$86,Learning!$E$4:$S$4,0)+MATCH($C$117,Learning!$E$5:$S$5,0)-1))</f>
        <v>0.28635374329304175</v>
      </c>
      <c r="L123" s="533" cm="1">
        <f t="array" aca="1" ref="L123" ca="1">OFFSET(L123,-4,0)*
OFFSET(MSP!$E$1,
MATCH(OFFSET($C117,((MATCH($C117,EL_List,0)-1)*-10)-1,0),MSP!$C:$C,0)+MATCH($C117,EL_List,0)-1,0)
*INDEX(Learning!$E$6:$S$41,(MATCH(L$21,Dates,0)),(MATCH($C$86,Learning!$E$4:$S$4,0)+MATCH($C$117,Learning!$E$5:$S$5,0)-1))</f>
        <v>0.29969876468649931</v>
      </c>
      <c r="M123" s="533" cm="1">
        <f t="array" aca="1" ref="M123" ca="1">OFFSET(M123,-4,0)*
OFFSET(MSP!$E$1,
MATCH(OFFSET($C117,((MATCH($C117,EL_List,0)-1)*-10)-1,0),MSP!$C:$C,0)+MATCH($C117,EL_List,0)-1,0)
*INDEX(Learning!$E$6:$S$41,(MATCH(M$21,Dates,0)),(MATCH($C$86,Learning!$E$4:$S$4,0)+MATCH($C$117,Learning!$E$5:$S$5,0)-1))</f>
        <v>0.31387110218382702</v>
      </c>
      <c r="N123" s="533" cm="1">
        <f t="array" aca="1" ref="N123" ca="1">OFFSET(N123,-4,0)*
OFFSET(MSP!$E$1,
MATCH(OFFSET($C117,((MATCH($C117,EL_List,0)-1)*-10)-1,0),MSP!$C:$C,0)+MATCH($C117,EL_List,0)-1,0)
*INDEX(Learning!$E$6:$S$41,(MATCH(N$21,Dates,0)),(MATCH($C$86,Learning!$E$4:$S$4,0)+MATCH($C$117,Learning!$E$5:$S$5,0)-1))</f>
        <v>0.32845504982856921</v>
      </c>
      <c r="O123" s="533" cm="1">
        <f t="array" aca="1" ref="O123" ca="1">OFFSET(O123,-4,0)*
OFFSET(MSP!$E$1,
MATCH(OFFSET($C117,((MATCH($C117,EL_List,0)-1)*-10)-1,0),MSP!$C:$C,0)+MATCH($C117,EL_List,0)-1,0)
*INDEX(Learning!$E$6:$S$41,(MATCH(O$21,Dates,0)),(MATCH($C$86,Learning!$E$4:$S$4,0)+MATCH($C$117,Learning!$E$5:$S$5,0)-1))</f>
        <v>0.34343496844052035</v>
      </c>
      <c r="P123" s="533" cm="1">
        <f t="array" aca="1" ref="P123" ca="1">OFFSET(P123,-4,0)*
OFFSET(MSP!$E$1,
MATCH(OFFSET($C117,((MATCH($C117,EL_List,0)-1)*-10)-1,0),MSP!$C:$C,0)+MATCH($C117,EL_List,0)-1,0)
*INDEX(Learning!$E$6:$S$41,(MATCH(P$21,Dates,0)),(MATCH($C$86,Learning!$E$4:$S$4,0)+MATCH($C$117,Learning!$E$5:$S$5,0)-1))</f>
        <v>0.35887321405738032</v>
      </c>
      <c r="Q123" s="533" cm="1">
        <f t="array" aca="1" ref="Q123" ca="1">OFFSET(Q123,-4,0)*
OFFSET(MSP!$E$1,
MATCH(OFFSET($C117,((MATCH($C117,EL_List,0)-1)*-10)-1,0),MSP!$C:$C,0)+MATCH($C117,EL_List,0)-1,0)
*INDEX(Learning!$E$6:$S$41,(MATCH(Q$21,Dates,0)),(MATCH($C$86,Learning!$E$4:$S$4,0)+MATCH($C$117,Learning!$E$5:$S$5,0)-1))</f>
        <v>0.37486794236249521</v>
      </c>
      <c r="R123" s="533" cm="1">
        <f t="array" aca="1" ref="R123" ca="1">OFFSET(R123,-4,0)*
OFFSET(MSP!$E$1,
MATCH(OFFSET($C117,((MATCH($C117,EL_List,0)-1)*-10)-1,0),MSP!$C:$C,0)+MATCH($C117,EL_List,0)-1,0)
*INDEX(Learning!$E$6:$S$41,(MATCH(R$21,Dates,0)),(MATCH($C$86,Learning!$E$4:$S$4,0)+MATCH($C$117,Learning!$E$5:$S$5,0)-1))</f>
        <v>0.39193918531867972</v>
      </c>
      <c r="S123" s="533" cm="1">
        <f t="array" aca="1" ref="S123" ca="1">OFFSET(S123,-4,0)*
OFFSET(MSP!$E$1,
MATCH(OFFSET($C117,((MATCH($C117,EL_List,0)-1)*-10)-1,0),MSP!$C:$C,0)+MATCH($C117,EL_List,0)-1,0)
*INDEX(Learning!$E$6:$S$41,(MATCH(S$21,Dates,0)),(MATCH($C$86,Learning!$E$4:$S$4,0)+MATCH($C$117,Learning!$E$5:$S$5,0)-1))</f>
        <v>0.40938632290415267</v>
      </c>
      <c r="T123" s="533" cm="1">
        <f t="array" aca="1" ref="T123" ca="1">OFFSET(T123,-4,0)*
OFFSET(MSP!$E$1,
MATCH(OFFSET($C117,((MATCH($C117,EL_List,0)-1)*-10)-1,0),MSP!$C:$C,0)+MATCH($C117,EL_List,0)-1,0)
*INDEX(Learning!$E$6:$S$41,(MATCH(T$21,Dates,0)),(MATCH($C$86,Learning!$E$4:$S$4,0)+MATCH($C$117,Learning!$E$5:$S$5,0)-1))</f>
        <v>0.42809504581065544</v>
      </c>
      <c r="U123" s="533" cm="1">
        <f t="array" aca="1" ref="U123" ca="1">OFFSET(U123,-4,0)*
OFFSET(MSP!$E$1,
MATCH(OFFSET($C117,((MATCH($C117,EL_List,0)-1)*-10)-1,0),MSP!$C:$C,0)+MATCH($C117,EL_List,0)-1,0)
*INDEX(Learning!$E$6:$S$41,(MATCH(U$21,Dates,0)),(MATCH($C$86,Learning!$E$4:$S$4,0)+MATCH($C$117,Learning!$E$5:$S$5,0)-1))</f>
        <v>0.44724921408448454</v>
      </c>
      <c r="V123" s="533" cm="1">
        <f t="array" aca="1" ref="V123" ca="1">OFFSET(V123,-4,0)*
OFFSET(MSP!$E$1,
MATCH(OFFSET($C117,((MATCH($C117,EL_List,0)-1)*-10)-1,0),MSP!$C:$C,0)+MATCH($C117,EL_List,0)-1,0)
*INDEX(Learning!$E$6:$S$41,(MATCH(V$21,Dates,0)),(MATCH($C$86,Learning!$E$4:$S$4,0)+MATCH($C$117,Learning!$E$5:$S$5,0)-1))</f>
        <v>0.46770939099541914</v>
      </c>
      <c r="W123" s="533" cm="1">
        <f t="array" aca="1" ref="W123" ca="1">OFFSET(W123,-4,0)*
OFFSET(MSP!$E$1,
MATCH(OFFSET($C117,((MATCH($C117,EL_List,0)-1)*-10)-1,0),MSP!$C:$C,0)+MATCH($C117,EL_List,0)-1,0)
*INDEX(Learning!$E$6:$S$41,(MATCH(W$21,Dates,0)),(MATCH($C$86,Learning!$E$4:$S$4,0)+MATCH($C$117,Learning!$E$5:$S$5,0)-1))</f>
        <v>0.48908222843976562</v>
      </c>
      <c r="X123" s="533" cm="1">
        <f t="array" aca="1" ref="X123" ca="1">OFFSET(X123,-4,0)*
OFFSET(MSP!$E$1,
MATCH(OFFSET($C117,((MATCH($C117,EL_List,0)-1)*-10)-1,0),MSP!$C:$C,0)+MATCH($C117,EL_List,0)-1,0)
*INDEX(Learning!$E$6:$S$41,(MATCH(X$21,Dates,0)),(MATCH($C$86,Learning!$E$4:$S$4,0)+MATCH($C$117,Learning!$E$5:$S$5,0)-1))</f>
        <v>0.51138178123205125</v>
      </c>
      <c r="Y123" s="533" cm="1">
        <f t="array" aca="1" ref="Y123" ca="1">OFFSET(Y123,-4,0)*
OFFSET(MSP!$E$1,
MATCH(OFFSET($C117,((MATCH($C117,EL_List,0)-1)*-10)-1,0),MSP!$C:$C,0)+MATCH($C117,EL_List,0)-1,0)
*INDEX(Learning!$E$6:$S$41,(MATCH(Y$21,Dates,0)),(MATCH($C$86,Learning!$E$4:$S$4,0)+MATCH($C$117,Learning!$E$5:$S$5,0)-1))</f>
        <v>0.53463501562381155</v>
      </c>
      <c r="Z123" s="533" cm="1">
        <f t="array" aca="1" ref="Z123" ca="1">OFFSET(Z123,-4,0)*
OFFSET(MSP!$E$1,
MATCH(OFFSET($C117,((MATCH($C117,EL_List,0)-1)*-10)-1,0),MSP!$C:$C,0)+MATCH($C117,EL_List,0)-1,0)
*INDEX(Learning!$E$6:$S$41,(MATCH(Z$21,Dates,0)),(MATCH($C$86,Learning!$E$4:$S$4,0)+MATCH($C$117,Learning!$E$5:$S$5,0)-1))</f>
        <v>0.55888221536004945</v>
      </c>
      <c r="AA123" s="533" cm="1">
        <f t="array" aca="1" ref="AA123" ca="1">OFFSET(AA123,-4,0)*
OFFSET(MSP!$E$1,
MATCH(OFFSET($C117,((MATCH($C117,EL_List,0)-1)*-10)-1,0),MSP!$C:$C,0)+MATCH($C117,EL_List,0)-1,0)
*INDEX(Learning!$E$6:$S$41,(MATCH(AA$21,Dates,0)),(MATCH($C$86,Learning!$E$4:$S$4,0)+MATCH($C$117,Learning!$E$5:$S$5,0)-1))</f>
        <v>0.58417115136791775</v>
      </c>
      <c r="AB123" s="533" cm="1">
        <f t="array" aca="1" ref="AB123" ca="1">OFFSET(AB123,-4,0)*
OFFSET(MSP!$E$1,
MATCH(OFFSET($C117,((MATCH($C117,EL_List,0)-1)*-10)-1,0),MSP!$C:$C,0)+MATCH($C117,EL_List,0)-1,0)
*INDEX(Learning!$E$6:$S$41,(MATCH(AB$21,Dates,0)),(MATCH($C$86,Learning!$E$4:$S$4,0)+MATCH($C$117,Learning!$E$5:$S$5,0)-1))</f>
        <v>0.6105577365039303</v>
      </c>
      <c r="AC123" s="533" cm="1">
        <f t="array" aca="1" ref="AC123" ca="1">OFFSET(AC123,-4,0)*
OFFSET(MSP!$E$1,
MATCH(OFFSET($C117,((MATCH($C117,EL_List,0)-1)*-10)-1,0),MSP!$C:$C,0)+MATCH($C117,EL_List,0)-1,0)
*INDEX(Learning!$E$6:$S$41,(MATCH(AC$21,Dates,0)),(MATCH($C$86,Learning!$E$4:$S$4,0)+MATCH($C$117,Learning!$E$5:$S$5,0)-1))</f>
        <v>0.63809735820091429</v>
      </c>
      <c r="AD123" s="533" cm="1">
        <f t="array" aca="1" ref="AD123" ca="1">OFFSET(AD123,-4,0)*
OFFSET(MSP!$E$1,
MATCH(OFFSET($C117,((MATCH($C117,EL_List,0)-1)*-10)-1,0),MSP!$C:$C,0)+MATCH($C117,EL_List,0)-1,0)
*INDEX(Learning!$E$6:$S$41,(MATCH(AD$21,Dates,0)),(MATCH($C$86,Learning!$E$4:$S$4,0)+MATCH($C$117,Learning!$E$5:$S$5,0)-1))</f>
        <v>0.66757333370323435</v>
      </c>
      <c r="AE123" s="533" cm="1">
        <f t="array" aca="1" ref="AE123" ca="1">OFFSET(AE123,-4,0)*
OFFSET(MSP!$E$1,
MATCH(OFFSET($C117,((MATCH($C117,EL_List,0)-1)*-10)-1,0),MSP!$C:$C,0)+MATCH($C117,EL_List,0)-1,0)
*INDEX(Learning!$E$6:$S$41,(MATCH(AE$21,Dates,0)),(MATCH($C$86,Learning!$E$4:$S$4,0)+MATCH($C$117,Learning!$E$5:$S$5,0)-1))</f>
        <v>0.69761748614342489</v>
      </c>
      <c r="AF123" s="533" cm="1">
        <f t="array" aca="1" ref="AF123" ca="1">OFFSET(AF123,-4,0)*
OFFSET(MSP!$E$1,
MATCH(OFFSET($C117,((MATCH($C117,EL_List,0)-1)*-10)-1,0),MSP!$C:$C,0)+MATCH($C117,EL_List,0)-1,0)
*INDEX(Learning!$E$6:$S$41,(MATCH(AF$21,Dates,0)),(MATCH($C$86,Learning!$E$4:$S$4,0)+MATCH($C$117,Learning!$E$5:$S$5,0)-1))</f>
        <v>0.72897694245145905</v>
      </c>
      <c r="AG123" s="533" cm="1">
        <f t="array" aca="1" ref="AG123" ca="1">OFFSET(AG123,-4,0)*
OFFSET(MSP!$E$1,
MATCH(OFFSET($C117,((MATCH($C117,EL_List,0)-1)*-10)-1,0),MSP!$C:$C,0)+MATCH($C117,EL_List,0)-1,0)
*INDEX(Learning!$E$6:$S$41,(MATCH(AG$21,Dates,0)),(MATCH($C$86,Learning!$E$4:$S$4,0)+MATCH($C$117,Learning!$E$5:$S$5,0)-1))</f>
        <v>0.76254805471042431</v>
      </c>
      <c r="AH123" s="533" cm="1">
        <f t="array" aca="1" ref="AH123" ca="1">OFFSET(AH123,-4,0)*
OFFSET(MSP!$E$1,
MATCH(OFFSET($C117,((MATCH($C117,EL_List,0)-1)*-10)-1,0),MSP!$C:$C,0)+MATCH($C117,EL_List,0)-1,0)
*INDEX(Learning!$E$6:$S$41,(MATCH(AH$21,Dates,0)),(MATCH($C$86,Learning!$E$4:$S$4,0)+MATCH($C$117,Learning!$E$5:$S$5,0)-1))</f>
        <v>0.79674339068758759</v>
      </c>
      <c r="AI123" s="533" cm="1">
        <f t="array" aca="1" ref="AI123" ca="1">OFFSET(AI123,-4,0)*
OFFSET(MSP!$E$1,
MATCH(OFFSET($C117,((MATCH($C117,EL_List,0)-1)*-10)-1,0),MSP!$C:$C,0)+MATCH($C117,EL_List,0)-1,0)
*INDEX(Learning!$E$6:$S$41,(MATCH(AI$21,Dates,0)),(MATCH($C$86,Learning!$E$4:$S$4,0)+MATCH($C$117,Learning!$E$5:$S$5,0)-1))</f>
        <v>0.83335322197448347</v>
      </c>
      <c r="AJ123" s="533" cm="1">
        <f t="array" aca="1" ref="AJ123" ca="1">OFFSET(AJ123,-4,0)*
OFFSET(MSP!$E$1,
MATCH(OFFSET($C117,((MATCH($C117,EL_List,0)-1)*-10)-1,0),MSP!$C:$C,0)+MATCH($C117,EL_List,0)-1,0)
*INDEX(Learning!$E$6:$S$41,(MATCH(AJ$21,Dates,0)),(MATCH($C$86,Learning!$E$4:$S$4,0)+MATCH($C$117,Learning!$E$5:$S$5,0)-1))</f>
        <v>0.87063053694969805</v>
      </c>
      <c r="AK123" s="533" cm="1">
        <f t="array" aca="1" ref="AK123" ca="1">OFFSET(AK123,-4,0)*
OFFSET(MSP!$E$1,
MATCH(OFFSET($C117,((MATCH($C117,EL_List,0)-1)*-10)-1,0),MSP!$C:$C,0)+MATCH($C117,EL_List,0)-1,0)
*INDEX(Learning!$E$6:$S$41,(MATCH(AK$21,Dates,0)),(MATCH($C$86,Learning!$E$4:$S$4,0)+MATCH($C$117,Learning!$E$5:$S$5,0)-1))</f>
        <v>0.91054849633407042</v>
      </c>
      <c r="AL123" s="533" cm="1">
        <f t="array" aca="1" ref="AL123" ca="1">OFFSET(AL123,-4,0)*
OFFSET(MSP!$E$1,
MATCH(OFFSET($C117,((MATCH($C117,EL_List,0)-1)*-10)-1,0),MSP!$C:$C,0)+MATCH($C117,EL_List,0)-1,0)
*INDEX(Learning!$E$6:$S$41,(MATCH(AL$21,Dates,0)),(MATCH($C$86,Learning!$E$4:$S$4,0)+MATCH($C$117,Learning!$E$5:$S$5,0)-1))</f>
        <v>0.95225632295526674</v>
      </c>
      <c r="AM123" s="533" cm="1">
        <f t="array" aca="1" ref="AM123" ca="1">OFFSET(AM123,-4,0)*
OFFSET(MSP!$E$1,
MATCH(OFFSET($C117,((MATCH($C117,EL_List,0)-1)*-10)-1,0),MSP!$C:$C,0)+MATCH($C117,EL_List,0)-1,0)
*INDEX(Learning!$E$6:$S$41,(MATCH(AM$21,Dates,0)),(MATCH($C$86,Learning!$E$4:$S$4,0)+MATCH($C$117,Learning!$E$5:$S$5,0)-1))</f>
        <v>0.99470963018628344</v>
      </c>
      <c r="AN123" s="533" cm="1">
        <f t="array" aca="1" ref="AN123" ca="1">OFFSET(AN123,-4,0)*
OFFSET(MSP!$E$1,
MATCH(OFFSET($C117,((MATCH($C117,EL_List,0)-1)*-10)-1,0),MSP!$C:$C,0)+MATCH($C117,EL_List,0)-1,0)
*INDEX(Learning!$E$6:$S$41,(MATCH(AN$21,Dates,0)),(MATCH($C$86,Learning!$E$4:$S$4,0)+MATCH($C$117,Learning!$E$5:$S$5,0)-1))</f>
        <v>1.0401810909403102</v>
      </c>
      <c r="AO123" s="436"/>
      <c r="AP123" s="21"/>
    </row>
    <row r="124" spans="2:42" ht="15" customHeight="1" x14ac:dyDescent="0.35">
      <c r="B124" s="429"/>
      <c r="C124" s="777" t="s">
        <v>214</v>
      </c>
      <c r="D124" s="776"/>
      <c r="E124" s="533" cm="1">
        <f t="array" aca="1" ref="E124" ca="1">OFFSET(E124,-5,0)*
OFFSET(MSP!$F$1,
MATCH(OFFSET($C117,((MATCH($C117,EL_List,0)-1)*-10)-1,0),MSP!$C:$C,0)+MATCH($C117,EL_List,0)-1,0)
*INDEX(Learning!$E$6:$S$41,(MATCH(E$21,Dates,0)),(MATCH($C$86,Learning!$E$4:$S$4,0)+MATCH($C$117,Learning!$E$5:$S$5,0)-1))</f>
        <v>0.50929713261547649</v>
      </c>
      <c r="F124" s="533" cm="1">
        <f t="array" aca="1" ref="F124" ca="1">OFFSET(F124,-5,0)*
OFFSET(MSP!$F$1,
MATCH(OFFSET($C117,((MATCH($C117,EL_List,0)-1)*-10)-1,0),MSP!$C:$C,0)+MATCH($C117,EL_List,0)-1,0)
*INDEX(Learning!$E$6:$S$41,(MATCH(F$21,Dates,0)),(MATCH($C$86,Learning!$E$4:$S$4,0)+MATCH($C$117,Learning!$E$5:$S$5,0)-1))</f>
        <v>0.52848400918889693</v>
      </c>
      <c r="G124" s="533" cm="1">
        <f t="array" aca="1" ref="G124" ca="1">OFFSET(G124,-5,0)*
OFFSET(MSP!$F$1,
MATCH(OFFSET($C117,((MATCH($C117,EL_List,0)-1)*-10)-1,0),MSP!$C:$C,0)+MATCH($C117,EL_List,0)-1,0)
*INDEX(Learning!$E$6:$S$41,(MATCH(G$21,Dates,0)),(MATCH($C$86,Learning!$E$4:$S$4,0)+MATCH($C$117,Learning!$E$5:$S$5,0)-1))</f>
        <v>0.54502950415030116</v>
      </c>
      <c r="H124" s="533" cm="1">
        <f t="array" aca="1" ref="H124" ca="1">OFFSET(H124,-5,0)*
OFFSET(MSP!$F$1,
MATCH(OFFSET($C117,((MATCH($C117,EL_List,0)-1)*-10)-1,0),MSP!$C:$C,0)+MATCH($C117,EL_List,0)-1,0)
*INDEX(Learning!$E$6:$S$41,(MATCH(H$21,Dates,0)),(MATCH($C$86,Learning!$E$4:$S$4,0)+MATCH($C$117,Learning!$E$5:$S$5,0)-1))</f>
        <v>0.56728221373956944</v>
      </c>
      <c r="I124" s="533" cm="1">
        <f t="array" aca="1" ref="I124" ca="1">OFFSET(I124,-5,0)*
OFFSET(MSP!$F$1,
MATCH(OFFSET($C117,((MATCH($C117,EL_List,0)-1)*-10)-1,0),MSP!$C:$C,0)+MATCH($C117,EL_List,0)-1,0)
*INDEX(Learning!$E$6:$S$41,(MATCH(I$21,Dates,0)),(MATCH($C$86,Learning!$E$4:$S$4,0)+MATCH($C$117,Learning!$E$5:$S$5,0)-1))</f>
        <v>0.59108234539869198</v>
      </c>
      <c r="J124" s="533" cm="1">
        <f t="array" aca="1" ref="J124" ca="1">OFFSET(J124,-5,0)*
OFFSET(MSP!$F$1,
MATCH(OFFSET($C117,((MATCH($C117,EL_List,0)-1)*-10)-1,0),MSP!$C:$C,0)+MATCH($C117,EL_List,0)-1,0)
*INDEX(Learning!$E$6:$S$41,(MATCH(J$21,Dates,0)),(MATCH($C$86,Learning!$E$4:$S$4,0)+MATCH($C$117,Learning!$E$5:$S$5,0)-1))</f>
        <v>0.61743941184311346</v>
      </c>
      <c r="K124" s="533" cm="1">
        <f t="array" aca="1" ref="K124" ca="1">OFFSET(K124,-5,0)*
OFFSET(MSP!$F$1,
MATCH(OFFSET($C117,((MATCH($C117,EL_List,0)-1)*-10)-1,0),MSP!$C:$C,0)+MATCH($C117,EL_List,0)-1,0)
*INDEX(Learning!$E$6:$S$41,(MATCH(K$21,Dates,0)),(MATCH($C$86,Learning!$E$4:$S$4,0)+MATCH($C$117,Learning!$E$5:$S$5,0)-1))</f>
        <v>0.64595275465533597</v>
      </c>
      <c r="L124" s="533" cm="1">
        <f t="array" aca="1" ref="L124" ca="1">OFFSET(L124,-5,0)*
OFFSET(MSP!$F$1,
MATCH(OFFSET($C117,((MATCH($C117,EL_List,0)-1)*-10)-1,0),MSP!$C:$C,0)+MATCH($C117,EL_List,0)-1,0)
*INDEX(Learning!$E$6:$S$41,(MATCH(L$21,Dates,0)),(MATCH($C$86,Learning!$E$4:$S$4,0)+MATCH($C$117,Learning!$E$5:$S$5,0)-1))</f>
        <v>0.67605626659447193</v>
      </c>
      <c r="M124" s="533" cm="1">
        <f t="array" aca="1" ref="M124" ca="1">OFFSET(M124,-5,0)*
OFFSET(MSP!$F$1,
MATCH(OFFSET($C117,((MATCH($C117,EL_List,0)-1)*-10)-1,0),MSP!$C:$C,0)+MATCH($C117,EL_List,0)-1,0)
*INDEX(Learning!$E$6:$S$41,(MATCH(M$21,Dates,0)),(MATCH($C$86,Learning!$E$4:$S$4,0)+MATCH($C$117,Learning!$E$5:$S$5,0)-1))</f>
        <v>0.70802602658791969</v>
      </c>
      <c r="N124" s="533" cm="1">
        <f t="array" aca="1" ref="N124" ca="1">OFFSET(N124,-5,0)*
OFFSET(MSP!$F$1,
MATCH(OFFSET($C117,((MATCH($C117,EL_List,0)-1)*-10)-1,0),MSP!$C:$C,0)+MATCH($C117,EL_List,0)-1,0)
*INDEX(Learning!$E$6:$S$41,(MATCH(N$21,Dates,0)),(MATCH($C$86,Learning!$E$4:$S$4,0)+MATCH($C$117,Learning!$E$5:$S$5,0)-1))</f>
        <v>0.74092429097425194</v>
      </c>
      <c r="O124" s="533" cm="1">
        <f t="array" aca="1" ref="O124" ca="1">OFFSET(O124,-5,0)*
OFFSET(MSP!$F$1,
MATCH(OFFSET($C117,((MATCH($C117,EL_List,0)-1)*-10)-1,0),MSP!$C:$C,0)+MATCH($C117,EL_List,0)-1,0)
*INDEX(Learning!$E$6:$S$41,(MATCH(O$21,Dates,0)),(MATCH($C$86,Learning!$E$4:$S$4,0)+MATCH($C$117,Learning!$E$5:$S$5,0)-1))</f>
        <v>0.77471578111028372</v>
      </c>
      <c r="P124" s="533" cm="1">
        <f t="array" aca="1" ref="P124" ca="1">OFFSET(P124,-5,0)*
OFFSET(MSP!$F$1,
MATCH(OFFSET($C117,((MATCH($C117,EL_List,0)-1)*-10)-1,0),MSP!$C:$C,0)+MATCH($C117,EL_List,0)-1,0)
*INDEX(Learning!$E$6:$S$41,(MATCH(P$21,Dates,0)),(MATCH($C$86,Learning!$E$4:$S$4,0)+MATCH($C$117,Learning!$E$5:$S$5,0)-1))</f>
        <v>0.80954115887058453</v>
      </c>
      <c r="Q124" s="533" cm="1">
        <f t="array" aca="1" ref="Q124" ca="1">OFFSET(Q124,-5,0)*
OFFSET(MSP!$F$1,
MATCH(OFFSET($C117,((MATCH($C117,EL_List,0)-1)*-10)-1,0),MSP!$C:$C,0)+MATCH($C117,EL_List,0)-1,0)
*INDEX(Learning!$E$6:$S$41,(MATCH(Q$21,Dates,0)),(MATCH($C$86,Learning!$E$4:$S$4,0)+MATCH($C$117,Learning!$E$5:$S$5,0)-1))</f>
        <v>0.84562184246786332</v>
      </c>
      <c r="R124" s="533" cm="1">
        <f t="array" aca="1" ref="R124" ca="1">OFFSET(R124,-5,0)*
OFFSET(MSP!$F$1,
MATCH(OFFSET($C117,((MATCH($C117,EL_List,0)-1)*-10)-1,0),MSP!$C:$C,0)+MATCH($C117,EL_List,0)-1,0)
*INDEX(Learning!$E$6:$S$41,(MATCH(R$21,Dates,0)),(MATCH($C$86,Learning!$E$4:$S$4,0)+MATCH($C$117,Learning!$E$5:$S$5,0)-1))</f>
        <v>0.88413091270429855</v>
      </c>
      <c r="S124" s="533" cm="1">
        <f t="array" aca="1" ref="S124" ca="1">OFFSET(S124,-5,0)*
OFFSET(MSP!$F$1,
MATCH(OFFSET($C117,((MATCH($C117,EL_List,0)-1)*-10)-1,0),MSP!$C:$C,0)+MATCH($C117,EL_List,0)-1,0)
*INDEX(Learning!$E$6:$S$41,(MATCH(S$21,Dates,0)),(MATCH($C$86,Learning!$E$4:$S$4,0)+MATCH($C$117,Learning!$E$5:$S$5,0)-1))</f>
        <v>0.92348792076915776</v>
      </c>
      <c r="T124" s="533" cm="1">
        <f t="array" aca="1" ref="T124" ca="1">OFFSET(T124,-5,0)*
OFFSET(MSP!$F$1,
MATCH(OFFSET($C117,((MATCH($C117,EL_List,0)-1)*-10)-1,0),MSP!$C:$C,0)+MATCH($C117,EL_List,0)-1,0)
*INDEX(Learning!$E$6:$S$41,(MATCH(T$21,Dates,0)),(MATCH($C$86,Learning!$E$4:$S$4,0)+MATCH($C$117,Learning!$E$5:$S$5,0)-1))</f>
        <v>0.9656907952926862</v>
      </c>
      <c r="U124" s="533" cm="1">
        <f t="array" aca="1" ref="U124" ca="1">OFFSET(U124,-5,0)*
OFFSET(MSP!$F$1,
MATCH(OFFSET($C117,((MATCH($C117,EL_List,0)-1)*-10)-1,0),MSP!$C:$C,0)+MATCH($C117,EL_List,0)-1,0)
*INDEX(Learning!$E$6:$S$41,(MATCH(U$21,Dates,0)),(MATCH($C$86,Learning!$E$4:$S$4,0)+MATCH($C$117,Learning!$E$5:$S$5,0)-1))</f>
        <v>1.0088984992232404</v>
      </c>
      <c r="V124" s="533" cm="1">
        <f t="array" aca="1" ref="V124" ca="1">OFFSET(V124,-5,0)*
OFFSET(MSP!$F$1,
MATCH(OFFSET($C117,((MATCH($C117,EL_List,0)-1)*-10)-1,0),MSP!$C:$C,0)+MATCH($C117,EL_List,0)-1,0)
*INDEX(Learning!$E$6:$S$41,(MATCH(V$21,Dates,0)),(MATCH($C$86,Learning!$E$4:$S$4,0)+MATCH($C$117,Learning!$E$5:$S$5,0)-1))</f>
        <v>1.0550522791053101</v>
      </c>
      <c r="W124" s="533" cm="1">
        <f t="array" aca="1" ref="W124" ca="1">OFFSET(W124,-5,0)*
OFFSET(MSP!$F$1,
MATCH(OFFSET($C117,((MATCH($C117,EL_List,0)-1)*-10)-1,0),MSP!$C:$C,0)+MATCH($C117,EL_List,0)-1,0)
*INDEX(Learning!$E$6:$S$41,(MATCH(W$21,Dates,0)),(MATCH($C$86,Learning!$E$4:$S$4,0)+MATCH($C$117,Learning!$E$5:$S$5,0)-1))</f>
        <v>1.1032648258078968</v>
      </c>
      <c r="X124" s="533" cm="1">
        <f t="array" aca="1" ref="X124" ca="1">OFFSET(X124,-5,0)*
OFFSET(MSP!$F$1,
MATCH(OFFSET($C117,((MATCH($C117,EL_List,0)-1)*-10)-1,0),MSP!$C:$C,0)+MATCH($C117,EL_List,0)-1,0)
*INDEX(Learning!$E$6:$S$41,(MATCH(X$21,Dates,0)),(MATCH($C$86,Learning!$E$4:$S$4,0)+MATCH($C$117,Learning!$E$5:$S$5,0)-1))</f>
        <v>1.153567843984328</v>
      </c>
      <c r="Y124" s="533" cm="1">
        <f t="array" aca="1" ref="Y124" ca="1">OFFSET(Y124,-5,0)*
OFFSET(MSP!$F$1,
MATCH(OFFSET($C117,((MATCH($C117,EL_List,0)-1)*-10)-1,0),MSP!$C:$C,0)+MATCH($C117,EL_List,0)-1,0)
*INDEX(Learning!$E$6:$S$41,(MATCH(Y$21,Dates,0)),(MATCH($C$86,Learning!$E$4:$S$4,0)+MATCH($C$117,Learning!$E$5:$S$5,0)-1))</f>
        <v>1.2060221637263</v>
      </c>
      <c r="Z124" s="533" cm="1">
        <f t="array" aca="1" ref="Z124" ca="1">OFFSET(Z124,-5,0)*
OFFSET(MSP!$F$1,
MATCH(OFFSET($C117,((MATCH($C117,EL_List,0)-1)*-10)-1,0),MSP!$C:$C,0)+MATCH($C117,EL_List,0)-1,0)
*INDEX(Learning!$E$6:$S$41,(MATCH(Z$21,Dates,0)),(MATCH($C$86,Learning!$E$4:$S$4,0)+MATCH($C$117,Learning!$E$5:$S$5,0)-1))</f>
        <v>1.260718656540339</v>
      </c>
      <c r="AA124" s="533" cm="1">
        <f t="array" aca="1" ref="AA124" ca="1">OFFSET(AA124,-5,0)*
OFFSET(MSP!$F$1,
MATCH(OFFSET($C117,((MATCH($C117,EL_List,0)-1)*-10)-1,0),MSP!$C:$C,0)+MATCH($C117,EL_List,0)-1,0)
*INDEX(Learning!$E$6:$S$41,(MATCH(AA$21,Dates,0)),(MATCH($C$86,Learning!$E$4:$S$4,0)+MATCH($C$117,Learning!$E$5:$S$5,0)-1))</f>
        <v>1.3177650834133694</v>
      </c>
      <c r="AB124" s="533" cm="1">
        <f t="array" aca="1" ref="AB124" ca="1">OFFSET(AB124,-5,0)*
OFFSET(MSP!$F$1,
MATCH(OFFSET($C117,((MATCH($C117,EL_List,0)-1)*-10)-1,0),MSP!$C:$C,0)+MATCH($C117,EL_List,0)-1,0)
*INDEX(Learning!$E$6:$S$41,(MATCH(AB$21,Dates,0)),(MATCH($C$86,Learning!$E$4:$S$4,0)+MATCH($C$117,Learning!$E$5:$S$5,0)-1))</f>
        <v>1.3772875717822826</v>
      </c>
      <c r="AC124" s="533" cm="1">
        <f t="array" aca="1" ref="AC124" ca="1">OFFSET(AC124,-5,0)*
OFFSET(MSP!$F$1,
MATCH(OFFSET($C117,((MATCH($C117,EL_List,0)-1)*-10)-1,0),MSP!$C:$C,0)+MATCH($C117,EL_List,0)-1,0)
*INDEX(Learning!$E$6:$S$41,(MATCH(AC$21,Dates,0)),(MATCH($C$86,Learning!$E$4:$S$4,0)+MATCH($C$117,Learning!$E$5:$S$5,0)-1))</f>
        <v>1.4394110638405928</v>
      </c>
      <c r="AD124" s="533" cm="1">
        <f t="array" aca="1" ref="AD124" ca="1">OFFSET(AD124,-5,0)*
OFFSET(MSP!$F$1,
MATCH(OFFSET($C117,((MATCH($C117,EL_List,0)-1)*-10)-1,0),MSP!$C:$C,0)+MATCH($C117,EL_List,0)-1,0)
*INDEX(Learning!$E$6:$S$41,(MATCH(AD$21,Dates,0)),(MATCH($C$86,Learning!$E$4:$S$4,0)+MATCH($C$117,Learning!$E$5:$S$5,0)-1))</f>
        <v>1.5059025556329388</v>
      </c>
      <c r="AE124" s="533" cm="1">
        <f t="array" aca="1" ref="AE124" ca="1">OFFSET(AE124,-5,0)*
OFFSET(MSP!$F$1,
MATCH(OFFSET($C117,((MATCH($C117,EL_List,0)-1)*-10)-1,0),MSP!$C:$C,0)+MATCH($C117,EL_List,0)-1,0)
*INDEX(Learning!$E$6:$S$41,(MATCH(AE$21,Dates,0)),(MATCH($C$86,Learning!$E$4:$S$4,0)+MATCH($C$117,Learning!$E$5:$S$5,0)-1))</f>
        <v>1.5736757329863968</v>
      </c>
      <c r="AF124" s="533" cm="1">
        <f t="array" aca="1" ref="AF124" ca="1">OFFSET(AF124,-5,0)*
OFFSET(MSP!$F$1,
MATCH(OFFSET($C117,((MATCH($C117,EL_List,0)-1)*-10)-1,0),MSP!$C:$C,0)+MATCH($C117,EL_List,0)-1,0)
*INDEX(Learning!$E$6:$S$41,(MATCH(AF$21,Dates,0)),(MATCH($C$86,Learning!$E$4:$S$4,0)+MATCH($C$117,Learning!$E$5:$S$5,0)-1))</f>
        <v>1.6444159543423946</v>
      </c>
      <c r="AG124" s="533" cm="1">
        <f t="array" aca="1" ref="AG124" ca="1">OFFSET(AG124,-5,0)*
OFFSET(MSP!$F$1,
MATCH(OFFSET($C117,((MATCH($C117,EL_List,0)-1)*-10)-1,0),MSP!$C:$C,0)+MATCH($C117,EL_List,0)-1,0)
*INDEX(Learning!$E$6:$S$41,(MATCH(AG$21,Dates,0)),(MATCH($C$86,Learning!$E$4:$S$4,0)+MATCH($C$117,Learning!$E$5:$S$5,0)-1))</f>
        <v>1.7201451981481244</v>
      </c>
      <c r="AH124" s="533" cm="1">
        <f t="array" aca="1" ref="AH124" ca="1">OFFSET(AH124,-5,0)*
OFFSET(MSP!$F$1,
MATCH(OFFSET($C117,((MATCH($C117,EL_List,0)-1)*-10)-1,0),MSP!$C:$C,0)+MATCH($C117,EL_List,0)-1,0)
*INDEX(Learning!$E$6:$S$41,(MATCH(AH$21,Dates,0)),(MATCH($C$86,Learning!$E$4:$S$4,0)+MATCH($C$117,Learning!$E$5:$S$5,0)-1))</f>
        <v>1.7972825570553166</v>
      </c>
      <c r="AI124" s="533" cm="1">
        <f t="array" aca="1" ref="AI124" ca="1">OFFSET(AI124,-5,0)*
OFFSET(MSP!$F$1,
MATCH(OFFSET($C117,((MATCH($C117,EL_List,0)-1)*-10)-1,0),MSP!$C:$C,0)+MATCH($C117,EL_List,0)-1,0)
*INDEX(Learning!$E$6:$S$41,(MATCH(AI$21,Dates,0)),(MATCH($C$86,Learning!$E$4:$S$4,0)+MATCH($C$117,Learning!$E$5:$S$5,0)-1))</f>
        <v>1.8798665005906277</v>
      </c>
      <c r="AJ124" s="533" cm="1">
        <f t="array" aca="1" ref="AJ124" ca="1">OFFSET(AJ124,-5,0)*
OFFSET(MSP!$F$1,
MATCH(OFFSET($C117,((MATCH($C117,EL_List,0)-1)*-10)-1,0),MSP!$C:$C,0)+MATCH($C117,EL_List,0)-1,0)
*INDEX(Learning!$E$6:$S$41,(MATCH(AJ$21,Dates,0)),(MATCH($C$86,Learning!$E$4:$S$4,0)+MATCH($C$117,Learning!$E$5:$S$5,0)-1))</f>
        <v>1.9639561444607714</v>
      </c>
      <c r="AK124" s="533" cm="1">
        <f t="array" aca="1" ref="AK124" ca="1">OFFSET(AK124,-5,0)*
OFFSET(MSP!$F$1,
MATCH(OFFSET($C117,((MATCH($C117,EL_List,0)-1)*-10)-1,0),MSP!$C:$C,0)+MATCH($C117,EL_List,0)-1,0)
*INDEX(Learning!$E$6:$S$41,(MATCH(AK$21,Dates,0)),(MATCH($C$86,Learning!$E$4:$S$4,0)+MATCH($C$117,Learning!$E$5:$S$5,0)-1))</f>
        <v>2.0540025169231275</v>
      </c>
      <c r="AL124" s="533" cm="1">
        <f t="array" aca="1" ref="AL124" ca="1">OFFSET(AL124,-5,0)*
OFFSET(MSP!$F$1,
MATCH(OFFSET($C117,((MATCH($C117,EL_List,0)-1)*-10)-1,0),MSP!$C:$C,0)+MATCH($C117,EL_List,0)-1,0)
*INDEX(Learning!$E$6:$S$41,(MATCH(AL$21,Dates,0)),(MATCH($C$86,Learning!$E$4:$S$4,0)+MATCH($C$117,Learning!$E$5:$S$5,0)-1))</f>
        <v>2.1480864467744603</v>
      </c>
      <c r="AM124" s="533" cm="1">
        <f t="array" aca="1" ref="AM124" ca="1">OFFSET(AM124,-5,0)*
OFFSET(MSP!$F$1,
MATCH(OFFSET($C117,((MATCH($C117,EL_List,0)-1)*-10)-1,0),MSP!$C:$C,0)+MATCH($C117,EL_List,0)-1,0)
*INDEX(Learning!$E$6:$S$41,(MATCH(AM$21,Dates,0)),(MATCH($C$86,Learning!$E$4:$S$4,0)+MATCH($C$117,Learning!$E$5:$S$5,0)-1))</f>
        <v>2.2438520213213282</v>
      </c>
      <c r="AN124" s="533" cm="1">
        <f t="array" aca="1" ref="AN124" ca="1">OFFSET(AN124,-5,0)*
OFFSET(MSP!$F$1,
MATCH(OFFSET($C117,((MATCH($C117,EL_List,0)-1)*-10)-1,0),MSP!$C:$C,0)+MATCH($C117,EL_List,0)-1,0)
*INDEX(Learning!$E$6:$S$41,(MATCH(AN$21,Dates,0)),(MATCH($C$86,Learning!$E$4:$S$4,0)+MATCH($C$117,Learning!$E$5:$S$5,0)-1))</f>
        <v>2.3464259042204496</v>
      </c>
      <c r="AO124" s="436"/>
      <c r="AP124" s="21"/>
    </row>
    <row r="125" spans="2:42" ht="15" customHeight="1" collapsed="1" x14ac:dyDescent="0.35">
      <c r="B125" s="429"/>
      <c r="C125" s="777" t="s">
        <v>215</v>
      </c>
      <c r="D125" s="776"/>
      <c r="E125" s="531" cm="1">
        <f t="array" aca="1" ref="E125" ca="1">OFFSET(E125,-6,0)*
OFFSET(MSP!$G$1,
MATCH(OFFSET($C117,((MATCH($C117,EL_List,0)-1)*-10)-1,0),MSP!$C:$C,0)+MATCH($C117,EL_List,0)-1,0)
*INDEX(Learning!$E$6:$S$41,(MATCH(E$21,Dates,0)),(MATCH($C$86,Learning!$E$4:$S$4,0)+MATCH($C$117,Learning!$E$5:$S$5,0)-1))</f>
        <v>0.25280752493130054</v>
      </c>
      <c r="F125" s="531" cm="1">
        <f t="array" aca="1" ref="F125" ca="1">OFFSET(F125,-6,0)*
OFFSET(MSP!$G$1,
MATCH(OFFSET($C117,((MATCH($C117,EL_List,0)-1)*-10)-1,0),MSP!$C:$C,0)+MATCH($C117,EL_List,0)-1,0)
*INDEX(Learning!$E$6:$S$41,(MATCH(F$21,Dates,0)),(MATCH($C$86,Learning!$E$4:$S$4,0)+MATCH($C$117,Learning!$E$5:$S$5,0)-1))</f>
        <v>0.26233160521186044</v>
      </c>
      <c r="G125" s="531" cm="1">
        <f t="array" aca="1" ref="G125" ca="1">OFFSET(G125,-6,0)*
OFFSET(MSP!$G$1,
MATCH(OFFSET($C117,((MATCH($C117,EL_List,0)-1)*-10)-1,0),MSP!$C:$C,0)+MATCH($C117,EL_List,0)-1,0)
*INDEX(Learning!$E$6:$S$41,(MATCH(G$21,Dates,0)),(MATCH($C$86,Learning!$E$4:$S$4,0)+MATCH($C$117,Learning!$E$5:$S$5,0)-1))</f>
        <v>0.27054454292952473</v>
      </c>
      <c r="H125" s="531" cm="1">
        <f t="array" aca="1" ref="H125" ca="1">OFFSET(H125,-6,0)*
OFFSET(MSP!$G$1,
MATCH(OFFSET($C117,((MATCH($C117,EL_List,0)-1)*-10)-1,0),MSP!$C:$C,0)+MATCH($C117,EL_List,0)-1,0)
*INDEX(Learning!$E$6:$S$41,(MATCH(H$21,Dates,0)),(MATCH($C$86,Learning!$E$4:$S$4,0)+MATCH($C$117,Learning!$E$5:$S$5,0)-1))</f>
        <v>0.28159045713954117</v>
      </c>
      <c r="I125" s="531" cm="1">
        <f t="array" aca="1" ref="I125" ca="1">OFFSET(I125,-6,0)*
OFFSET(MSP!$G$1,
MATCH(OFFSET($C117,((MATCH($C117,EL_List,0)-1)*-10)-1,0),MSP!$C:$C,0)+MATCH($C117,EL_List,0)-1,0)
*INDEX(Learning!$E$6:$S$41,(MATCH(I$21,Dates,0)),(MATCH($C$86,Learning!$E$4:$S$4,0)+MATCH($C$117,Learning!$E$5:$S$5,0)-1))</f>
        <v>0.29340448865957452</v>
      </c>
      <c r="J125" s="531" cm="1">
        <f t="array" aca="1" ref="J125" ca="1">OFFSET(J125,-6,0)*
OFFSET(MSP!$G$1,
MATCH(OFFSET($C117,((MATCH($C117,EL_List,0)-1)*-10)-1,0),MSP!$C:$C,0)+MATCH($C117,EL_List,0)-1,0)
*INDEX(Learning!$E$6:$S$41,(MATCH(J$21,Dates,0)),(MATCH($C$86,Learning!$E$4:$S$4,0)+MATCH($C$117,Learning!$E$5:$S$5,0)-1))</f>
        <v>0.30648774459318856</v>
      </c>
      <c r="K125" s="531" cm="1">
        <f t="array" aca="1" ref="K125" ca="1">OFFSET(K125,-6,0)*
OFFSET(MSP!$G$1,
MATCH(OFFSET($C117,((MATCH($C117,EL_List,0)-1)*-10)-1,0),MSP!$C:$C,0)+MATCH($C117,EL_List,0)-1,0)
*INDEX(Learning!$E$6:$S$41,(MATCH(K$21,Dates,0)),(MATCH($C$86,Learning!$E$4:$S$4,0)+MATCH($C$117,Learning!$E$5:$S$5,0)-1))</f>
        <v>0.32064134405850903</v>
      </c>
      <c r="L125" s="531" cm="1">
        <f t="array" aca="1" ref="L125" ca="1">OFFSET(L125,-6,0)*
OFFSET(MSP!$G$1,
MATCH(OFFSET($C117,((MATCH($C117,EL_List,0)-1)*-10)-1,0),MSP!$C:$C,0)+MATCH($C117,EL_List,0)-1,0)
*INDEX(Learning!$E$6:$S$41,(MATCH(L$21,Dates,0)),(MATCH($C$86,Learning!$E$4:$S$4,0)+MATCH($C$117,Learning!$E$5:$S$5,0)-1))</f>
        <v>0.33558427983745187</v>
      </c>
      <c r="M125" s="531" cm="1">
        <f t="array" aca="1" ref="M125" ca="1">OFFSET(M125,-6,0)*
OFFSET(MSP!$G$1,
MATCH(OFFSET($C117,((MATCH($C117,EL_List,0)-1)*-10)-1,0),MSP!$C:$C,0)+MATCH($C117,EL_List,0)-1,0)
*INDEX(Learning!$E$6:$S$41,(MATCH(M$21,Dates,0)),(MATCH($C$86,Learning!$E$4:$S$4,0)+MATCH($C$117,Learning!$E$5:$S$5,0)-1))</f>
        <v>0.35145359340512394</v>
      </c>
      <c r="N125" s="531" cm="1">
        <f t="array" aca="1" ref="N125" ca="1">OFFSET(N125,-6,0)*
OFFSET(MSP!$G$1,
MATCH(OFFSET($C117,((MATCH($C117,EL_List,0)-1)*-10)-1,0),MSP!$C:$C,0)+MATCH($C117,EL_List,0)-1,0)
*INDEX(Learning!$E$6:$S$41,(MATCH(N$21,Dates,0)),(MATCH($C$86,Learning!$E$4:$S$4,0)+MATCH($C$117,Learning!$E$5:$S$5,0)-1))</f>
        <v>0.3677838027493881</v>
      </c>
      <c r="O125" s="531" cm="1">
        <f t="array" aca="1" ref="O125" ca="1">OFFSET(O125,-6,0)*
OFFSET(MSP!$G$1,
MATCH(OFFSET($C117,((MATCH($C117,EL_List,0)-1)*-10)-1,0),MSP!$C:$C,0)+MATCH($C117,EL_List,0)-1,0)
*INDEX(Learning!$E$6:$S$41,(MATCH(O$21,Dates,0)),(MATCH($C$86,Learning!$E$4:$S$4,0)+MATCH($C$117,Learning!$E$5:$S$5,0)-1))</f>
        <v>0.38455739607625355</v>
      </c>
      <c r="P125" s="531" cm="1">
        <f t="array" aca="1" ref="P125" ca="1">OFFSET(P125,-6,0)*
OFFSET(MSP!$G$1,
MATCH(OFFSET($C117,((MATCH($C117,EL_List,0)-1)*-10)-1,0),MSP!$C:$C,0)+MATCH($C117,EL_List,0)-1,0)
*INDEX(Learning!$E$6:$S$41,(MATCH(P$21,Dates,0)),(MATCH($C$86,Learning!$E$4:$S$4,0)+MATCH($C$117,Learning!$E$5:$S$5,0)-1))</f>
        <v>0.4018441958490423</v>
      </c>
      <c r="Q125" s="531" cm="1">
        <f t="array" aca="1" ref="Q125" ca="1">OFFSET(Q125,-6,0)*
OFFSET(MSP!$G$1,
MATCH(OFFSET($C117,((MATCH($C117,EL_List,0)-1)*-10)-1,0),MSP!$C:$C,0)+MATCH($C117,EL_List,0)-1,0)
*INDEX(Learning!$E$6:$S$41,(MATCH(Q$21,Dates,0)),(MATCH($C$86,Learning!$E$4:$S$4,0)+MATCH($C$117,Learning!$E$5:$S$5,0)-1))</f>
        <v>0.41975411077672797</v>
      </c>
      <c r="R125" s="531" cm="1">
        <f t="array" aca="1" ref="R125" ca="1">OFFSET(R125,-6,0)*
OFFSET(MSP!$G$1,
MATCH(OFFSET($C117,((MATCH($C117,EL_List,0)-1)*-10)-1,0),MSP!$C:$C,0)+MATCH($C117,EL_List,0)-1,0)
*INDEX(Learning!$E$6:$S$41,(MATCH(R$21,Dates,0)),(MATCH($C$86,Learning!$E$4:$S$4,0)+MATCH($C$117,Learning!$E$5:$S$5,0)-1))</f>
        <v>0.43886944072936901</v>
      </c>
      <c r="S125" s="531" cm="1">
        <f t="array" aca="1" ref="S125" ca="1">OFFSET(S125,-6,0)*
OFFSET(MSP!$G$1,
MATCH(OFFSET($C117,((MATCH($C117,EL_List,0)-1)*-10)-1,0),MSP!$C:$C,0)+MATCH($C117,EL_List,0)-1,0)
*INDEX(Learning!$E$6:$S$41,(MATCH(S$21,Dates,0)),(MATCH($C$86,Learning!$E$4:$S$4,0)+MATCH($C$117,Learning!$E$5:$S$5,0)-1))</f>
        <v>0.45840567441378371</v>
      </c>
      <c r="T125" s="531" cm="1">
        <f t="array" aca="1" ref="T125" ca="1">OFFSET(T125,-6,0)*
OFFSET(MSP!$G$1,
MATCH(OFFSET($C117,((MATCH($C117,EL_List,0)-1)*-10)-1,0),MSP!$C:$C,0)+MATCH($C117,EL_List,0)-1,0)
*INDEX(Learning!$E$6:$S$41,(MATCH(T$21,Dates,0)),(MATCH($C$86,Learning!$E$4:$S$4,0)+MATCH($C$117,Learning!$E$5:$S$5,0)-1))</f>
        <v>0.47935455389890497</v>
      </c>
      <c r="U125" s="531" cm="1">
        <f t="array" aca="1" ref="U125" ca="1">OFFSET(U125,-6,0)*
OFFSET(MSP!$G$1,
MATCH(OFFSET($C117,((MATCH($C117,EL_List,0)-1)*-10)-1,0),MSP!$C:$C,0)+MATCH($C117,EL_List,0)-1,0)
*INDEX(Learning!$E$6:$S$41,(MATCH(U$21,Dates,0)),(MATCH($C$86,Learning!$E$4:$S$4,0)+MATCH($C$117,Learning!$E$5:$S$5,0)-1))</f>
        <v>0.5008022157629175</v>
      </c>
      <c r="V125" s="531" cm="1">
        <f t="array" aca="1" ref="V125" ca="1">OFFSET(V125,-6,0)*
OFFSET(MSP!$G$1,
MATCH(OFFSET($C117,((MATCH($C117,EL_List,0)-1)*-10)-1,0),MSP!$C:$C,0)+MATCH($C117,EL_List,0)-1,0)
*INDEX(Learning!$E$6:$S$41,(MATCH(V$21,Dates,0)),(MATCH($C$86,Learning!$E$4:$S$4,0)+MATCH($C$117,Learning!$E$5:$S$5,0)-1))</f>
        <v>0.52371226593007503</v>
      </c>
      <c r="W125" s="531" cm="1">
        <f t="array" aca="1" ref="W125" ca="1">OFFSET(W125,-6,0)*
OFFSET(MSP!$G$1,
MATCH(OFFSET($C117,((MATCH($C117,EL_List,0)-1)*-10)-1,0),MSP!$C:$C,0)+MATCH($C117,EL_List,0)-1,0)
*INDEX(Learning!$E$6:$S$41,(MATCH(W$21,Dates,0)),(MATCH($C$86,Learning!$E$4:$S$4,0)+MATCH($C$117,Learning!$E$5:$S$5,0)-1))</f>
        <v>0.54764425733933775</v>
      </c>
      <c r="X125" s="531" cm="1">
        <f t="array" aca="1" ref="X125" ca="1">OFFSET(X125,-6,0)*
OFFSET(MSP!$G$1,
MATCH(OFFSET($C117,((MATCH($C117,EL_List,0)-1)*-10)-1,0),MSP!$C:$C,0)+MATCH($C117,EL_List,0)-1,0)
*INDEX(Learning!$E$6:$S$41,(MATCH(X$21,Dates,0)),(MATCH($C$86,Learning!$E$4:$S$4,0)+MATCH($C$117,Learning!$E$5:$S$5,0)-1))</f>
        <v>0.57261392770926534</v>
      </c>
      <c r="Y125" s="531" cm="1">
        <f t="array" aca="1" ref="Y125" ca="1">OFFSET(Y125,-6,0)*
OFFSET(MSP!$G$1,
MATCH(OFFSET($C117,((MATCH($C117,EL_List,0)-1)*-10)-1,0),MSP!$C:$C,0)+MATCH($C117,EL_List,0)-1,0)
*INDEX(Learning!$E$6:$S$41,(MATCH(Y$21,Dates,0)),(MATCH($C$86,Learning!$E$4:$S$4,0)+MATCH($C$117,Learning!$E$5:$S$5,0)-1))</f>
        <v>0.59865147219301762</v>
      </c>
      <c r="Z125" s="531" cm="1">
        <f t="array" aca="1" ref="Z125" ca="1">OFFSET(Z125,-6,0)*
OFFSET(MSP!$G$1,
MATCH(OFFSET($C117,((MATCH($C117,EL_List,0)-1)*-10)-1,0),MSP!$C:$C,0)+MATCH($C117,EL_List,0)-1,0)
*INDEX(Learning!$E$6:$S$41,(MATCH(Z$21,Dates,0)),(MATCH($C$86,Learning!$E$4:$S$4,0)+MATCH($C$117,Learning!$E$5:$S$5,0)-1))</f>
        <v>0.62580199805545145</v>
      </c>
      <c r="AA125" s="531" cm="1">
        <f t="array" aca="1" ref="AA125" ca="1">OFFSET(AA125,-6,0)*
OFFSET(MSP!$G$1,
MATCH(OFFSET($C117,((MATCH($C117,EL_List,0)-1)*-10)-1,0),MSP!$C:$C,0)+MATCH($C117,EL_List,0)-1,0)
*INDEX(Learning!$E$6:$S$41,(MATCH(AA$21,Dates,0)),(MATCH($C$86,Learning!$E$4:$S$4,0)+MATCH($C$117,Learning!$E$5:$S$5,0)-1))</f>
        <v>0.65411899624839787</v>
      </c>
      <c r="AB125" s="531" cm="1">
        <f t="array" aca="1" ref="AB125" ca="1">OFFSET(AB125,-6,0)*
OFFSET(MSP!$G$1,
MATCH(OFFSET($C117,((MATCH($C117,EL_List,0)-1)*-10)-1,0),MSP!$C:$C,0)+MATCH($C117,EL_List,0)-1,0)
*INDEX(Learning!$E$6:$S$41,(MATCH(AB$21,Dates,0)),(MATCH($C$86,Learning!$E$4:$S$4,0)+MATCH($C$117,Learning!$E$5:$S$5,0)-1))</f>
        <v>0.68366507455639858</v>
      </c>
      <c r="AC125" s="531" cm="1">
        <f t="array" aca="1" ref="AC125" ca="1">OFFSET(AC125,-6,0)*
OFFSET(MSP!$G$1,
MATCH(OFFSET($C117,((MATCH($C117,EL_List,0)-1)*-10)-1,0),MSP!$C:$C,0)+MATCH($C117,EL_List,0)-1,0)
*INDEX(Learning!$E$6:$S$41,(MATCH(AC$21,Dates,0)),(MATCH($C$86,Learning!$E$4:$S$4,0)+MATCH($C$117,Learning!$E$5:$S$5,0)-1))</f>
        <v>0.71450225242680365</v>
      </c>
      <c r="AD125" s="531" cm="1">
        <f t="array" aca="1" ref="AD125" ca="1">OFFSET(AD125,-6,0)*
OFFSET(MSP!$G$1,
MATCH(OFFSET($C117,((MATCH($C117,EL_List,0)-1)*-10)-1,0),MSP!$C:$C,0)+MATCH($C117,EL_List,0)-1,0)
*INDEX(Learning!$E$6:$S$41,(MATCH(AD$21,Dates,0)),(MATCH($C$86,Learning!$E$4:$S$4,0)+MATCH($C$117,Learning!$E$5:$S$5,0)-1))</f>
        <v>0.7475076404263159</v>
      </c>
      <c r="AE125" s="531" cm="1">
        <f t="array" aca="1" ref="AE125" ca="1">OFFSET(AE125,-6,0)*
OFFSET(MSP!$G$1,
MATCH(OFFSET($C117,((MATCH($C117,EL_List,0)-1)*-10)-1,0),MSP!$C:$C,0)+MATCH($C117,EL_List,0)-1,0)
*INDEX(Learning!$E$6:$S$41,(MATCH(AE$21,Dates,0)),(MATCH($C$86,Learning!$E$4:$S$4,0)+MATCH($C$117,Learning!$E$5:$S$5,0)-1))</f>
        <v>0.78114923808359893</v>
      </c>
      <c r="AF125" s="531" cm="1">
        <f t="array" aca="1" ref="AF125" ca="1">OFFSET(AF125,-6,0)*
OFFSET(MSP!$G$1,
MATCH(OFFSET($C117,((MATCH($C117,EL_List,0)-1)*-10)-1,0),MSP!$C:$C,0)+MATCH($C117,EL_List,0)-1,0)
*INDEX(Learning!$E$6:$S$41,(MATCH(AF$21,Dates,0)),(MATCH($C$86,Learning!$E$4:$S$4,0)+MATCH($C$117,Learning!$E$5:$S$5,0)-1))</f>
        <v>0.81626363227282461</v>
      </c>
      <c r="AG125" s="531" cm="1">
        <f t="array" aca="1" ref="AG125" ca="1">OFFSET(AG125,-6,0)*
OFFSET(MSP!$G$1,
MATCH(OFFSET($C117,((MATCH($C117,EL_List,0)-1)*-10)-1,0),MSP!$C:$C,0)+MATCH($C117,EL_List,0)-1,0)
*INDEX(Learning!$E$6:$S$41,(MATCH(AG$21,Dates,0)),(MATCH($C$86,Learning!$E$4:$S$4,0)+MATCH($C$117,Learning!$E$5:$S$5,0)-1))</f>
        <v>0.85385450303451038</v>
      </c>
      <c r="AH125" s="531" cm="1">
        <f t="array" aca="1" ref="AH125" ca="1">OFFSET(AH125,-6,0)*
OFFSET(MSP!$G$1,
MATCH(OFFSET($C117,((MATCH($C117,EL_List,0)-1)*-10)-1,0),MSP!$C:$C,0)+MATCH($C117,EL_List,0)-1,0)
*INDEX(Learning!$E$6:$S$41,(MATCH(AH$21,Dates,0)),(MATCH($C$86,Learning!$E$4:$S$4,0)+MATCH($C$117,Learning!$E$5:$S$5,0)-1))</f>
        <v>0.89214434119817432</v>
      </c>
      <c r="AI125" s="531" cm="1">
        <f t="array" aca="1" ref="AI125" ca="1">OFFSET(AI125,-6,0)*
OFFSET(MSP!$G$1,
MATCH(OFFSET($C117,((MATCH($C117,EL_List,0)-1)*-10)-1,0),MSP!$C:$C,0)+MATCH($C117,EL_List,0)-1,0)
*INDEX(Learning!$E$6:$S$41,(MATCH(AI$21,Dates,0)),(MATCH($C$86,Learning!$E$4:$S$4,0)+MATCH($C$117,Learning!$E$5:$S$5,0)-1))</f>
        <v>0.93313778299709216</v>
      </c>
      <c r="AJ125" s="531" cm="1">
        <f t="array" aca="1" ref="AJ125" ca="1">OFFSET(AJ125,-6,0)*
OFFSET(MSP!$G$1,
MATCH(OFFSET($C117,((MATCH($C117,EL_List,0)-1)*-10)-1,0),MSP!$C:$C,0)+MATCH($C117,EL_List,0)-1,0)
*INDEX(Learning!$E$6:$S$41,(MATCH(AJ$21,Dates,0)),(MATCH($C$86,Learning!$E$4:$S$4,0)+MATCH($C$117,Learning!$E$5:$S$5,0)-1))</f>
        <v>0.9748786320570374</v>
      </c>
      <c r="AK125" s="531" cm="1">
        <f t="array" aca="1" ref="AK125" ca="1">OFFSET(AK125,-6,0)*
OFFSET(MSP!$G$1,
MATCH(OFFSET($C117,((MATCH($C117,EL_List,0)-1)*-10)-1,0),MSP!$C:$C,0)+MATCH($C117,EL_List,0)-1,0)
*INDEX(Learning!$E$6:$S$41,(MATCH(AK$21,Dates,0)),(MATCH($C$86,Learning!$E$4:$S$4,0)+MATCH($C$117,Learning!$E$5:$S$5,0)-1))</f>
        <v>1.0195763126317239</v>
      </c>
      <c r="AL125" s="531" cm="1">
        <f t="array" aca="1" ref="AL125" ca="1">OFFSET(AL125,-6,0)*
OFFSET(MSP!$G$1,
MATCH(OFFSET($C117,((MATCH($C117,EL_List,0)-1)*-10)-1,0),MSP!$C:$C,0)+MATCH($C117,EL_List,0)-1,0)
*INDEX(Learning!$E$6:$S$41,(MATCH(AL$21,Dates,0)),(MATCH($C$86,Learning!$E$4:$S$4,0)+MATCH($C$117,Learning!$E$5:$S$5,0)-1))</f>
        <v>1.0662781766681024</v>
      </c>
      <c r="AM125" s="531" cm="1">
        <f t="array" aca="1" ref="AM125" ca="1">OFFSET(AM125,-6,0)*
OFFSET(MSP!$G$1,
MATCH(OFFSET($C117,((MATCH($C117,EL_List,0)-1)*-10)-1,0),MSP!$C:$C,0)+MATCH($C117,EL_List,0)-1,0)
*INDEX(Learning!$E$6:$S$41,(MATCH(AM$21,Dates,0)),(MATCH($C$86,Learning!$E$4:$S$4,0)+MATCH($C$117,Learning!$E$5:$S$5,0)-1))</f>
        <v>1.113814784130404</v>
      </c>
      <c r="AN125" s="531" cm="1">
        <f t="array" aca="1" ref="AN125" ca="1">OFFSET(AN125,-6,0)*
OFFSET(MSP!$G$1,
MATCH(OFFSET($C117,((MATCH($C117,EL_List,0)-1)*-10)-1,0),MSP!$C:$C,0)+MATCH($C117,EL_List,0)-1,0)
*INDEX(Learning!$E$6:$S$41,(MATCH(AN$21,Dates,0)),(MATCH($C$86,Learning!$E$4:$S$4,0)+MATCH($C$117,Learning!$E$5:$S$5,0)-1))</f>
        <v>1.1647309346399306</v>
      </c>
      <c r="AO125" s="436"/>
      <c r="AP125" s="21"/>
    </row>
    <row r="126" spans="2:42" ht="15" customHeight="1" x14ac:dyDescent="0.35">
      <c r="B126" s="429"/>
      <c r="C126" s="776"/>
      <c r="D126" s="776"/>
      <c r="E126" s="776"/>
      <c r="F126" s="776"/>
      <c r="G126" s="776"/>
      <c r="H126" s="776"/>
      <c r="I126" s="776"/>
      <c r="J126" s="776"/>
      <c r="K126" s="776"/>
      <c r="L126" s="776"/>
      <c r="M126" s="776"/>
      <c r="N126" s="776"/>
      <c r="O126" s="776"/>
      <c r="P126" s="776"/>
      <c r="Q126" s="776"/>
      <c r="R126" s="776"/>
      <c r="S126" s="776"/>
      <c r="T126" s="776"/>
      <c r="U126" s="776"/>
      <c r="V126" s="776"/>
      <c r="W126" s="776"/>
      <c r="X126" s="776"/>
      <c r="Y126" s="776"/>
      <c r="Z126" s="776"/>
      <c r="AA126" s="776"/>
      <c r="AB126" s="776"/>
      <c r="AC126" s="776"/>
      <c r="AD126" s="776"/>
      <c r="AE126" s="776"/>
      <c r="AF126" s="776"/>
      <c r="AG126" s="776"/>
      <c r="AH126" s="776"/>
      <c r="AI126" s="776"/>
      <c r="AJ126" s="776"/>
      <c r="AK126" s="776"/>
      <c r="AL126" s="776"/>
      <c r="AM126" s="776"/>
      <c r="AN126" s="776"/>
      <c r="AO126" s="436"/>
      <c r="AP126" s="21"/>
    </row>
    <row r="127" spans="2:42" ht="15" customHeight="1" x14ac:dyDescent="0.35">
      <c r="B127" s="429"/>
      <c r="C127" s="772" t="s">
        <v>342</v>
      </c>
      <c r="D127" s="776"/>
      <c r="E127" s="776"/>
      <c r="F127" s="776"/>
      <c r="G127" s="776"/>
      <c r="H127" s="776"/>
      <c r="I127" s="776"/>
      <c r="J127" s="776"/>
      <c r="K127" s="776"/>
      <c r="L127" s="776"/>
      <c r="M127" s="776"/>
      <c r="N127" s="776"/>
      <c r="O127" s="776"/>
      <c r="P127" s="776"/>
      <c r="Q127" s="776"/>
      <c r="R127" s="776"/>
      <c r="S127" s="776"/>
      <c r="T127" s="776"/>
      <c r="U127" s="776"/>
      <c r="V127" s="776"/>
      <c r="W127" s="776"/>
      <c r="X127" s="776"/>
      <c r="Y127" s="776"/>
      <c r="Z127" s="776"/>
      <c r="AA127" s="776"/>
      <c r="AB127" s="776"/>
      <c r="AC127" s="776"/>
      <c r="AD127" s="776"/>
      <c r="AE127" s="776"/>
      <c r="AF127" s="776"/>
      <c r="AG127" s="776"/>
      <c r="AH127" s="776"/>
      <c r="AI127" s="776"/>
      <c r="AJ127" s="776"/>
      <c r="AK127" s="776"/>
      <c r="AL127" s="776"/>
      <c r="AM127" s="776"/>
      <c r="AN127" s="776"/>
      <c r="AO127" s="436"/>
      <c r="AP127" s="21"/>
    </row>
    <row r="128" spans="2:42" ht="15" customHeight="1" x14ac:dyDescent="0.35">
      <c r="B128" s="429"/>
      <c r="C128" s="777" t="s">
        <v>10</v>
      </c>
      <c r="D128" s="776"/>
      <c r="E128" s="778" cm="1">
        <f t="array" aca="1" ref="E128" ca="1">OFFSET(MSP!$C$1,
MATCH(OFFSET($C127,((MATCH($C127,EL_List,0)-1)*-10)-1,0),MSP!$C:$C,0)+MATCH($C127,EL_List,0)-1,
MATCH(OFFSET($C127,((MATCH($C127,EL_List,0)-1)*-10)-3,0),MSP!$D$5:$N$5,0)+1)
*INDEX(Learning!$E$6:$S$41,(MATCH(E$21,Dates,0)),(MATCH($C$86,Learning!$E$4:$S$4,0)+MATCH($C$127,Learning!$E$5:$S$5,0)-1))</f>
        <v>83.849947499999999</v>
      </c>
      <c r="F128" s="778" cm="1">
        <f t="array" aca="1" ref="F128" ca="1">OFFSET(MSP!$C$1,
MATCH(OFFSET($C127,((MATCH($C127,EL_List,0)-1)*-10)-1,0),MSP!$C:$C,0)+MATCH($C127,EL_List,0)-1,
MATCH(OFFSET($C127,((MATCH($C127,EL_List,0)-1)*-10)-3,0),MSP!$D$5:$N$5,0)+1)
*INDEX(Learning!$E$6:$S$41,(MATCH(F$21,Dates,0)),(MATCH($C$86,Learning!$E$4:$S$4,0)+MATCH($C$127,Learning!$E$5:$S$5,0)-1))</f>
        <v>83.205567499999987</v>
      </c>
      <c r="G128" s="778" cm="1">
        <f t="array" aca="1" ref="G128" ca="1">OFFSET(MSP!$C$1,
MATCH(OFFSET($C127,((MATCH($C127,EL_List,0)-1)*-10)-1,0),MSP!$C:$C,0)+MATCH($C127,EL_List,0)-1,
MATCH(OFFSET($C127,((MATCH($C127,EL_List,0)-1)*-10)-3,0),MSP!$D$5:$N$5,0)+1)
*INDEX(Learning!$E$6:$S$41,(MATCH(G$21,Dates,0)),(MATCH($C$86,Learning!$E$4:$S$4,0)+MATCH($C$127,Learning!$E$5:$S$5,0)-1))</f>
        <v>82.641734999999997</v>
      </c>
      <c r="H128" s="778" cm="1">
        <f t="array" aca="1" ref="H128" ca="1">OFFSET(MSP!$C$1,
MATCH(OFFSET($C127,((MATCH($C127,EL_List,0)-1)*-10)-1,0),MSP!$C:$C,0)+MATCH($C127,EL_List,0)-1,
MATCH(OFFSET($C127,((MATCH($C127,EL_List,0)-1)*-10)-3,0),MSP!$D$5:$N$5,0)+1)
*INDEX(Learning!$E$6:$S$41,(MATCH(H$21,Dates,0)),(MATCH($C$86,Learning!$E$4:$S$4,0)+MATCH($C$127,Learning!$E$5:$S$5,0)-1))</f>
        <v>82.077902499999993</v>
      </c>
      <c r="I128" s="778" cm="1">
        <f t="array" aca="1" ref="I128" ca="1">OFFSET(MSP!$C$1,
MATCH(OFFSET($C127,((MATCH($C127,EL_List,0)-1)*-10)-1,0),MSP!$C:$C,0)+MATCH($C127,EL_List,0)-1,
MATCH(OFFSET($C127,((MATCH($C127,EL_List,0)-1)*-10)-3,0),MSP!$D$5:$N$5,0)+1)
*INDEX(Learning!$E$6:$S$41,(MATCH(I$21,Dates,0)),(MATCH($C$86,Learning!$E$4:$S$4,0)+MATCH($C$127,Learning!$E$5:$S$5,0)-1))</f>
        <v>81.514070000000004</v>
      </c>
      <c r="J128" s="778" cm="1">
        <f t="array" aca="1" ref="J128" ca="1">OFFSET(MSP!$C$1,
MATCH(OFFSET($C127,((MATCH($C127,EL_List,0)-1)*-10)-1,0),MSP!$C:$C,0)+MATCH($C127,EL_List,0)-1,
MATCH(OFFSET($C127,((MATCH($C127,EL_List,0)-1)*-10)-3,0),MSP!$D$5:$N$5,0)+1)
*INDEX(Learning!$E$6:$S$41,(MATCH(J$21,Dates,0)),(MATCH($C$86,Learning!$E$4:$S$4,0)+MATCH($C$127,Learning!$E$5:$S$5,0)-1))</f>
        <v>81.030784999999995</v>
      </c>
      <c r="K128" s="778" cm="1">
        <f t="array" aca="1" ref="K128" ca="1">OFFSET(MSP!$C$1,
MATCH(OFFSET($C127,((MATCH($C127,EL_List,0)-1)*-10)-1,0),MSP!$C:$C,0)+MATCH($C127,EL_List,0)-1,
MATCH(OFFSET($C127,((MATCH($C127,EL_List,0)-1)*-10)-3,0),MSP!$D$5:$N$5,0)+1)
*INDEX(Learning!$E$6:$S$41,(MATCH(K$21,Dates,0)),(MATCH($C$86,Learning!$E$4:$S$4,0)+MATCH($C$127,Learning!$E$5:$S$5,0)-1))</f>
        <v>80.547499999999999</v>
      </c>
      <c r="L128" s="778" cm="1">
        <f t="array" aca="1" ref="L128" ca="1">OFFSET(MSP!$C$1,
MATCH(OFFSET($C127,((MATCH($C127,EL_List,0)-1)*-10)-1,0),MSP!$C:$C,0)+MATCH($C127,EL_List,0)-1,
MATCH(OFFSET($C127,((MATCH($C127,EL_List,0)-1)*-10)-3,0),MSP!$D$5:$N$5,0)+1)
*INDEX(Learning!$E$6:$S$41,(MATCH(L$21,Dates,0)),(MATCH($C$86,Learning!$E$4:$S$4,0)+MATCH($C$127,Learning!$E$5:$S$5,0)-1))</f>
        <v>80.064215000000004</v>
      </c>
      <c r="M128" s="778" cm="1">
        <f t="array" aca="1" ref="M128" ca="1">OFFSET(MSP!$C$1,
MATCH(OFFSET($C127,((MATCH($C127,EL_List,0)-1)*-10)-1,0),MSP!$C:$C,0)+MATCH($C127,EL_List,0)-1,
MATCH(OFFSET($C127,((MATCH($C127,EL_List,0)-1)*-10)-3,0),MSP!$D$5:$N$5,0)+1)
*INDEX(Learning!$E$6:$S$41,(MATCH(M$21,Dates,0)),(MATCH($C$86,Learning!$E$4:$S$4,0)+MATCH($C$127,Learning!$E$5:$S$5,0)-1))</f>
        <v>79.580929999999995</v>
      </c>
      <c r="N128" s="778" cm="1">
        <f t="array" aca="1" ref="N128" ca="1">OFFSET(MSP!$C$1,
MATCH(OFFSET($C127,((MATCH($C127,EL_List,0)-1)*-10)-1,0),MSP!$C:$C,0)+MATCH($C127,EL_List,0)-1,
MATCH(OFFSET($C127,((MATCH($C127,EL_List,0)-1)*-10)-3,0),MSP!$D$5:$N$5,0)+1)
*INDEX(Learning!$E$6:$S$41,(MATCH(N$21,Dates,0)),(MATCH($C$86,Learning!$E$4:$S$4,0)+MATCH($C$127,Learning!$E$5:$S$5,0)-1))</f>
        <v>79.178192499999994</v>
      </c>
      <c r="O128" s="778" cm="1">
        <f t="array" aca="1" ref="O128" ca="1">OFFSET(MSP!$C$1,
MATCH(OFFSET($C127,((MATCH($C127,EL_List,0)-1)*-10)-1,0),MSP!$C:$C,0)+MATCH($C127,EL_List,0)-1,
MATCH(OFFSET($C127,((MATCH($C127,EL_List,0)-1)*-10)-3,0),MSP!$D$5:$N$5,0)+1)
*INDEX(Learning!$E$6:$S$41,(MATCH(O$21,Dates,0)),(MATCH($C$86,Learning!$E$4:$S$4,0)+MATCH($C$127,Learning!$E$5:$S$5,0)-1))</f>
        <v>78.694907499999999</v>
      </c>
      <c r="P128" s="778" cm="1">
        <f t="array" aca="1" ref="P128" ca="1">OFFSET(MSP!$C$1,
MATCH(OFFSET($C127,((MATCH($C127,EL_List,0)-1)*-10)-1,0),MSP!$C:$C,0)+MATCH($C127,EL_List,0)-1,
MATCH(OFFSET($C127,((MATCH($C127,EL_List,0)-1)*-10)-3,0),MSP!$D$5:$N$5,0)+1)
*INDEX(Learning!$E$6:$S$41,(MATCH(P$21,Dates,0)),(MATCH($C$86,Learning!$E$4:$S$4,0)+MATCH($C$127,Learning!$E$5:$S$5,0)-1))</f>
        <v>78.292169999999999</v>
      </c>
      <c r="Q128" s="778" cm="1">
        <f t="array" aca="1" ref="Q128" ca="1">OFFSET(MSP!$C$1,
MATCH(OFFSET($C127,((MATCH($C127,EL_List,0)-1)*-10)-1,0),MSP!$C:$C,0)+MATCH($C127,EL_List,0)-1,
MATCH(OFFSET($C127,((MATCH($C127,EL_List,0)-1)*-10)-3,0),MSP!$D$5:$N$5,0)+1)
*INDEX(Learning!$E$6:$S$41,(MATCH(Q$21,Dates,0)),(MATCH($C$86,Learning!$E$4:$S$4,0)+MATCH($C$127,Learning!$E$5:$S$5,0)-1))</f>
        <v>77.889432499999998</v>
      </c>
      <c r="R128" s="778" cm="1">
        <f t="array" aca="1" ref="R128" ca="1">OFFSET(MSP!$C$1,
MATCH(OFFSET($C127,((MATCH($C127,EL_List,0)-1)*-10)-1,0),MSP!$C:$C,0)+MATCH($C127,EL_List,0)-1,
MATCH(OFFSET($C127,((MATCH($C127,EL_List,0)-1)*-10)-3,0),MSP!$D$5:$N$5,0)+1)
*INDEX(Learning!$E$6:$S$41,(MATCH(R$21,Dates,0)),(MATCH($C$86,Learning!$E$4:$S$4,0)+MATCH($C$127,Learning!$E$5:$S$5,0)-1))</f>
        <v>77.486694999999997</v>
      </c>
      <c r="S128" s="778" cm="1">
        <f t="array" aca="1" ref="S128" ca="1">OFFSET(MSP!$C$1,
MATCH(OFFSET($C127,((MATCH($C127,EL_List,0)-1)*-10)-1,0),MSP!$C:$C,0)+MATCH($C127,EL_List,0)-1,
MATCH(OFFSET($C127,((MATCH($C127,EL_List,0)-1)*-10)-3,0),MSP!$D$5:$N$5,0)+1)
*INDEX(Learning!$E$6:$S$41,(MATCH(S$21,Dates,0)),(MATCH($C$86,Learning!$E$4:$S$4,0)+MATCH($C$127,Learning!$E$5:$S$5,0)-1))</f>
        <v>77.083957499999997</v>
      </c>
      <c r="T128" s="778" cm="1">
        <f t="array" aca="1" ref="T128" ca="1">OFFSET(MSP!$C$1,
MATCH(OFFSET($C127,((MATCH($C127,EL_List,0)-1)*-10)-1,0),MSP!$C:$C,0)+MATCH($C127,EL_List,0)-1,
MATCH(OFFSET($C127,((MATCH($C127,EL_List,0)-1)*-10)-3,0),MSP!$D$5:$N$5,0)+1)
*INDEX(Learning!$E$6:$S$41,(MATCH(T$21,Dates,0)),(MATCH($C$86,Learning!$E$4:$S$4,0)+MATCH($C$127,Learning!$E$5:$S$5,0)-1))</f>
        <v>76.761767499999991</v>
      </c>
      <c r="U128" s="778" cm="1">
        <f t="array" aca="1" ref="U128" ca="1">OFFSET(MSP!$C$1,
MATCH(OFFSET($C127,((MATCH($C127,EL_List,0)-1)*-10)-1,0),MSP!$C:$C,0)+MATCH($C127,EL_List,0)-1,
MATCH(OFFSET($C127,((MATCH($C127,EL_List,0)-1)*-10)-3,0),MSP!$D$5:$N$5,0)+1)
*INDEX(Learning!$E$6:$S$41,(MATCH(U$21,Dates,0)),(MATCH($C$86,Learning!$E$4:$S$4,0)+MATCH($C$127,Learning!$E$5:$S$5,0)-1))</f>
        <v>76.35902999999999</v>
      </c>
      <c r="V128" s="778" cm="1">
        <f t="array" aca="1" ref="V128" ca="1">OFFSET(MSP!$C$1,
MATCH(OFFSET($C127,((MATCH($C127,EL_List,0)-1)*-10)-1,0),MSP!$C:$C,0)+MATCH($C127,EL_List,0)-1,
MATCH(OFFSET($C127,((MATCH($C127,EL_List,0)-1)*-10)-3,0),MSP!$D$5:$N$5,0)+1)
*INDEX(Learning!$E$6:$S$41,(MATCH(V$21,Dates,0)),(MATCH($C$86,Learning!$E$4:$S$4,0)+MATCH($C$127,Learning!$E$5:$S$5,0)-1))</f>
        <v>75.956292499999989</v>
      </c>
      <c r="W128" s="778" cm="1">
        <f t="array" aca="1" ref="W128" ca="1">OFFSET(MSP!$C$1,
MATCH(OFFSET($C127,((MATCH($C127,EL_List,0)-1)*-10)-1,0),MSP!$C:$C,0)+MATCH($C127,EL_List,0)-1,
MATCH(OFFSET($C127,((MATCH($C127,EL_List,0)-1)*-10)-3,0),MSP!$D$5:$N$5,0)+1)
*INDEX(Learning!$E$6:$S$41,(MATCH(W$21,Dates,0)),(MATCH($C$86,Learning!$E$4:$S$4,0)+MATCH($C$127,Learning!$E$5:$S$5,0)-1))</f>
        <v>75.634102499999997</v>
      </c>
      <c r="X128" s="778" cm="1">
        <f t="array" aca="1" ref="X128" ca="1">OFFSET(MSP!$C$1,
MATCH(OFFSET($C127,((MATCH($C127,EL_List,0)-1)*-10)-1,0),MSP!$C:$C,0)+MATCH($C127,EL_List,0)-1,
MATCH(OFFSET($C127,((MATCH($C127,EL_List,0)-1)*-10)-3,0),MSP!$D$5:$N$5,0)+1)
*INDEX(Learning!$E$6:$S$41,(MATCH(X$21,Dates,0)),(MATCH($C$86,Learning!$E$4:$S$4,0)+MATCH($C$127,Learning!$E$5:$S$5,0)-1))</f>
        <v>75.311912500000005</v>
      </c>
      <c r="Y128" s="778" cm="1">
        <f t="array" aca="1" ref="Y128" ca="1">OFFSET(MSP!$C$1,
MATCH(OFFSET($C127,((MATCH($C127,EL_List,0)-1)*-10)-1,0),MSP!$C:$C,0)+MATCH($C127,EL_List,0)-1,
MATCH(OFFSET($C127,((MATCH($C127,EL_List,0)-1)*-10)-3,0),MSP!$D$5:$N$5,0)+1)
*INDEX(Learning!$E$6:$S$41,(MATCH(Y$21,Dates,0)),(MATCH($C$86,Learning!$E$4:$S$4,0)+MATCH($C$127,Learning!$E$5:$S$5,0)-1))</f>
        <v>74.909175000000005</v>
      </c>
      <c r="Z128" s="778" cm="1">
        <f t="array" aca="1" ref="Z128" ca="1">OFFSET(MSP!$C$1,
MATCH(OFFSET($C127,((MATCH($C127,EL_List,0)-1)*-10)-1,0),MSP!$C:$C,0)+MATCH($C127,EL_List,0)-1,
MATCH(OFFSET($C127,((MATCH($C127,EL_List,0)-1)*-10)-3,0),MSP!$D$5:$N$5,0)+1)
*INDEX(Learning!$E$6:$S$41,(MATCH(Z$21,Dates,0)),(MATCH($C$86,Learning!$E$4:$S$4,0)+MATCH($C$127,Learning!$E$5:$S$5,0)-1))</f>
        <v>74.586984999999999</v>
      </c>
      <c r="AA128" s="778" cm="1">
        <f t="array" aca="1" ref="AA128" ca="1">OFFSET(MSP!$C$1,
MATCH(OFFSET($C127,((MATCH($C127,EL_List,0)-1)*-10)-1,0),MSP!$C:$C,0)+MATCH($C127,EL_List,0)-1,
MATCH(OFFSET($C127,((MATCH($C127,EL_List,0)-1)*-10)-3,0),MSP!$D$5:$N$5,0)+1)
*INDEX(Learning!$E$6:$S$41,(MATCH(AA$21,Dates,0)),(MATCH($C$86,Learning!$E$4:$S$4,0)+MATCH($C$127,Learning!$E$5:$S$5,0)-1))</f>
        <v>74.264795000000007</v>
      </c>
      <c r="AB128" s="778" cm="1">
        <f t="array" aca="1" ref="AB128" ca="1">OFFSET(MSP!$C$1,
MATCH(OFFSET($C127,((MATCH($C127,EL_List,0)-1)*-10)-1,0),MSP!$C:$C,0)+MATCH($C127,EL_List,0)-1,
MATCH(OFFSET($C127,((MATCH($C127,EL_List,0)-1)*-10)-3,0),MSP!$D$5:$N$5,0)+1)
*INDEX(Learning!$E$6:$S$41,(MATCH(AB$21,Dates,0)),(MATCH($C$86,Learning!$E$4:$S$4,0)+MATCH($C$127,Learning!$E$5:$S$5,0)-1))</f>
        <v>73.942605</v>
      </c>
      <c r="AC128" s="778" cm="1">
        <f t="array" aca="1" ref="AC128" ca="1">OFFSET(MSP!$C$1,
MATCH(OFFSET($C127,((MATCH($C127,EL_List,0)-1)*-10)-1,0),MSP!$C:$C,0)+MATCH($C127,EL_List,0)-1,
MATCH(OFFSET($C127,((MATCH($C127,EL_List,0)-1)*-10)-3,0),MSP!$D$5:$N$5,0)+1)
*INDEX(Learning!$E$6:$S$41,(MATCH(AC$21,Dates,0)),(MATCH($C$86,Learning!$E$4:$S$4,0)+MATCH($C$127,Learning!$E$5:$S$5,0)-1))</f>
        <v>73.620415000000008</v>
      </c>
      <c r="AD128" s="778" cm="1">
        <f t="array" aca="1" ref="AD128" ca="1">OFFSET(MSP!$C$1,
MATCH(OFFSET($C127,((MATCH($C127,EL_List,0)-1)*-10)-1,0),MSP!$C:$C,0)+MATCH($C127,EL_List,0)-1,
MATCH(OFFSET($C127,((MATCH($C127,EL_List,0)-1)*-10)-3,0),MSP!$D$5:$N$5,0)+1)
*INDEX(Learning!$E$6:$S$41,(MATCH(AD$21,Dates,0)),(MATCH($C$86,Learning!$E$4:$S$4,0)+MATCH($C$127,Learning!$E$5:$S$5,0)-1))</f>
        <v>73.298225000000002</v>
      </c>
      <c r="AE128" s="778" cm="1">
        <f t="array" aca="1" ref="AE128" ca="1">OFFSET(MSP!$C$1,
MATCH(OFFSET($C127,((MATCH($C127,EL_List,0)-1)*-10)-1,0),MSP!$C:$C,0)+MATCH($C127,EL_List,0)-1,
MATCH(OFFSET($C127,((MATCH($C127,EL_List,0)-1)*-10)-3,0),MSP!$D$5:$N$5,0)+1)
*INDEX(Learning!$E$6:$S$41,(MATCH(AE$21,Dates,0)),(MATCH($C$86,Learning!$E$4:$S$4,0)+MATCH($C$127,Learning!$E$5:$S$5,0)-1))</f>
        <v>72.976034999999996</v>
      </c>
      <c r="AF128" s="778" cm="1">
        <f t="array" aca="1" ref="AF128" ca="1">OFFSET(MSP!$C$1,
MATCH(OFFSET($C127,((MATCH($C127,EL_List,0)-1)*-10)-1,0),MSP!$C:$C,0)+MATCH($C127,EL_List,0)-1,
MATCH(OFFSET($C127,((MATCH($C127,EL_List,0)-1)*-10)-3,0),MSP!$D$5:$N$5,0)+1)
*INDEX(Learning!$E$6:$S$41,(MATCH(AF$21,Dates,0)),(MATCH($C$86,Learning!$E$4:$S$4,0)+MATCH($C$127,Learning!$E$5:$S$5,0)-1))</f>
        <v>72.653845000000004</v>
      </c>
      <c r="AG128" s="778" cm="1">
        <f t="array" aca="1" ref="AG128" ca="1">OFFSET(MSP!$C$1,
MATCH(OFFSET($C127,((MATCH($C127,EL_List,0)-1)*-10)-1,0),MSP!$C:$C,0)+MATCH($C127,EL_List,0)-1,
MATCH(OFFSET($C127,((MATCH($C127,EL_List,0)-1)*-10)-3,0),MSP!$D$5:$N$5,0)+1)
*INDEX(Learning!$E$6:$S$41,(MATCH(AG$21,Dates,0)),(MATCH($C$86,Learning!$E$4:$S$4,0)+MATCH($C$127,Learning!$E$5:$S$5,0)-1))</f>
        <v>72.331654999999998</v>
      </c>
      <c r="AH128" s="778" cm="1">
        <f t="array" aca="1" ref="AH128" ca="1">OFFSET(MSP!$C$1,
MATCH(OFFSET($C127,((MATCH($C127,EL_List,0)-1)*-10)-1,0),MSP!$C:$C,0)+MATCH($C127,EL_List,0)-1,
MATCH(OFFSET($C127,((MATCH($C127,EL_List,0)-1)*-10)-3,0),MSP!$D$5:$N$5,0)+1)
*INDEX(Learning!$E$6:$S$41,(MATCH(AH$21,Dates,0)),(MATCH($C$86,Learning!$E$4:$S$4,0)+MATCH($C$127,Learning!$E$5:$S$5,0)-1))</f>
        <v>72.0900125</v>
      </c>
      <c r="AI128" s="778" cm="1">
        <f t="array" aca="1" ref="AI128" ca="1">OFFSET(MSP!$C$1,
MATCH(OFFSET($C127,((MATCH($C127,EL_List,0)-1)*-10)-1,0),MSP!$C:$C,0)+MATCH($C127,EL_List,0)-1,
MATCH(OFFSET($C127,((MATCH($C127,EL_List,0)-1)*-10)-3,0),MSP!$D$5:$N$5,0)+1)
*INDEX(Learning!$E$6:$S$41,(MATCH(AI$21,Dates,0)),(MATCH($C$86,Learning!$E$4:$S$4,0)+MATCH($C$127,Learning!$E$5:$S$5,0)-1))</f>
        <v>71.767822499999994</v>
      </c>
      <c r="AJ128" s="778" cm="1">
        <f t="array" aca="1" ref="AJ128" ca="1">OFFSET(MSP!$C$1,
MATCH(OFFSET($C127,((MATCH($C127,EL_List,0)-1)*-10)-1,0),MSP!$C:$C,0)+MATCH($C127,EL_List,0)-1,
MATCH(OFFSET($C127,((MATCH($C127,EL_List,0)-1)*-10)-3,0),MSP!$D$5:$N$5,0)+1)
*INDEX(Learning!$E$6:$S$41,(MATCH(AJ$21,Dates,0)),(MATCH($C$86,Learning!$E$4:$S$4,0)+MATCH($C$127,Learning!$E$5:$S$5,0)-1))</f>
        <v>71.445632500000002</v>
      </c>
      <c r="AK128" s="778" cm="1">
        <f t="array" aca="1" ref="AK128" ca="1">OFFSET(MSP!$C$1,
MATCH(OFFSET($C127,((MATCH($C127,EL_List,0)-1)*-10)-1,0),MSP!$C:$C,0)+MATCH($C127,EL_List,0)-1,
MATCH(OFFSET($C127,((MATCH($C127,EL_List,0)-1)*-10)-3,0),MSP!$D$5:$N$5,0)+1)
*INDEX(Learning!$E$6:$S$41,(MATCH(AK$21,Dates,0)),(MATCH($C$86,Learning!$E$4:$S$4,0)+MATCH($C$127,Learning!$E$5:$S$5,0)-1))</f>
        <v>71.203990000000005</v>
      </c>
      <c r="AL128" s="778" cm="1">
        <f t="array" aca="1" ref="AL128" ca="1">OFFSET(MSP!$C$1,
MATCH(OFFSET($C127,((MATCH($C127,EL_List,0)-1)*-10)-1,0),MSP!$C:$C,0)+MATCH($C127,EL_List,0)-1,
MATCH(OFFSET($C127,((MATCH($C127,EL_List,0)-1)*-10)-3,0),MSP!$D$5:$N$5,0)+1)
*INDEX(Learning!$E$6:$S$41,(MATCH(AL$21,Dates,0)),(MATCH($C$86,Learning!$E$4:$S$4,0)+MATCH($C$127,Learning!$E$5:$S$5,0)-1))</f>
        <v>70.881799999999998</v>
      </c>
      <c r="AM128" s="778" cm="1">
        <f t="array" aca="1" ref="AM128" ca="1">OFFSET(MSP!$C$1,
MATCH(OFFSET($C127,((MATCH($C127,EL_List,0)-1)*-10)-1,0),MSP!$C:$C,0)+MATCH($C127,EL_List,0)-1,
MATCH(OFFSET($C127,((MATCH($C127,EL_List,0)-1)*-10)-3,0),MSP!$D$5:$N$5,0)+1)
*INDEX(Learning!$E$6:$S$41,(MATCH(AM$21,Dates,0)),(MATCH($C$86,Learning!$E$4:$S$4,0)+MATCH($C$127,Learning!$E$5:$S$5,0)-1))</f>
        <v>70.559610000000006</v>
      </c>
      <c r="AN128" s="778" cm="1">
        <f t="array" aca="1" ref="AN128" ca="1">OFFSET(MSP!$C$1,
MATCH(OFFSET($C127,((MATCH($C127,EL_List,0)-1)*-10)-1,0),MSP!$C:$C,0)+MATCH($C127,EL_List,0)-1,
MATCH(OFFSET($C127,((MATCH($C127,EL_List,0)-1)*-10)-3,0),MSP!$D$5:$N$5,0)+1)
*INDEX(Learning!$E$6:$S$41,(MATCH(AN$21,Dates,0)),(MATCH($C$86,Learning!$E$4:$S$4,0)+MATCH($C$127,Learning!$E$5:$S$5,0)-1))</f>
        <v>70.316319105258614</v>
      </c>
      <c r="AO128" s="436"/>
      <c r="AP128" s="21"/>
    </row>
    <row r="129" spans="2:42" ht="15" customHeight="1" x14ac:dyDescent="0.35">
      <c r="B129" s="429"/>
      <c r="C129" s="777" t="s">
        <v>78</v>
      </c>
      <c r="D129" s="776"/>
      <c r="E129" s="530">
        <f ca="1">OFFSET(OFFSET(Shipments!$D$1,0,MATCH(E$7,Dates)),
MATCH(OFFSET($C127,((MATCH($C127,EL_List,0)-1)*-10)-3,0),Shipments!$C:$C,0)+
MATCH(OFFSET($C127,((MATCH($C127,EL_List,0)-1)*-10)-1,0),Shipments!$D:$D,0)+
MATCH($C127,EL_List,0)-10,
MATCH(Shipments_Scenario_X,Shipments!$F$5:$AQ$5,0))</f>
        <v>7.0976224895146645E-3</v>
      </c>
      <c r="F129" s="530">
        <f ca="1">OFFSET(OFFSET(Shipments!$D$1,0,MATCH(F$7,Dates)),
MATCH(OFFSET($C127,((MATCH($C127,EL_List,0)-1)*-10)-3,0),Shipments!$C:$C,0)+
MATCH(OFFSET($C127,((MATCH($C127,EL_List,0)-1)*-10)-1,0),Shipments!$D:$D,0)+
MATCH($C127,EL_List,0)-10,
MATCH(Shipments_Scenario_X,Shipments!$F$5:$AQ$5,0))</f>
        <v>7.4150179110243136E-3</v>
      </c>
      <c r="G129" s="530">
        <f ca="1">OFFSET(OFFSET(Shipments!$D$1,0,MATCH(G$7,Dates)),
MATCH(OFFSET($C127,((MATCH($C127,EL_List,0)-1)*-10)-3,0),Shipments!$C:$C,0)+
MATCH(OFFSET($C127,((MATCH($C127,EL_List,0)-1)*-10)-1,0),Shipments!$D:$D,0)+
MATCH($C127,EL_List,0)-10,
MATCH(Shipments_Scenario_X,Shipments!$F$5:$AQ$5,0))</f>
        <v>7.6994388601007765E-3</v>
      </c>
      <c r="H129" s="530">
        <f ca="1">OFFSET(OFFSET(Shipments!$D$1,0,MATCH(H$7,Dates)),
MATCH(OFFSET($C127,((MATCH($C127,EL_List,0)-1)*-10)-3,0),Shipments!$C:$C,0)+
MATCH(OFFSET($C127,((MATCH($C127,EL_List,0)-1)*-10)-1,0),Shipments!$D:$D,0)+
MATCH($C127,EL_List,0)-10,
MATCH(Shipments_Scenario_X,Shipments!$F$5:$AQ$5,0))</f>
        <v>8.0610275943827723E-3</v>
      </c>
      <c r="I129" s="530">
        <f ca="1">OFFSET(OFFSET(Shipments!$D$1,0,MATCH(I$7,Dates)),
MATCH(OFFSET($C127,((MATCH($C127,EL_List,0)-1)*-10)-3,0),Shipments!$C:$C,0)+
MATCH(OFFSET($C127,((MATCH($C127,EL_List,0)-1)*-10)-1,0),Shipments!$D:$D,0)+
MATCH($C127,EL_List,0)-10,
MATCH(Shipments_Scenario_X,Shipments!$F$5:$AQ$5,0))</f>
        <v>8.4490230340032151E-3</v>
      </c>
      <c r="J129" s="530">
        <f ca="1">OFFSET(OFFSET(Shipments!$D$1,0,MATCH(J$7,Dates)),
MATCH(OFFSET($C127,((MATCH($C127,EL_List,0)-1)*-10)-3,0),Shipments!$C:$C,0)+
MATCH(OFFSET($C127,((MATCH($C127,EL_List,0)-1)*-10)-1,0),Shipments!$D:$D,0)+
MATCH($C127,EL_List,0)-10,
MATCH(Shipments_Scenario_X,Shipments!$F$5:$AQ$5,0))</f>
        <v>8.8784138610111182E-3</v>
      </c>
      <c r="K129" s="530">
        <f ca="1">OFFSET(OFFSET(Shipments!$D$1,0,MATCH(K$7,Dates)),
MATCH(OFFSET($C127,((MATCH($C127,EL_List,0)-1)*-10)-3,0),Shipments!$C:$C,0)+
MATCH(OFFSET($C127,((MATCH($C127,EL_List,0)-1)*-10)-1,0),Shipments!$D:$D,0)+
MATCH($C127,EL_List,0)-10,
MATCH(Shipments_Scenario_X,Shipments!$F$5:$AQ$5,0))</f>
        <v>9.3441493937208575E-3</v>
      </c>
      <c r="L129" s="530">
        <f ca="1">OFFSET(OFFSET(Shipments!$D$1,0,MATCH(L$7,Dates)),
MATCH(OFFSET($C127,((MATCH($C127,EL_List,0)-1)*-10)-3,0),Shipments!$C:$C,0)+
MATCH(OFFSET($C127,((MATCH($C127,EL_List,0)-1)*-10)-1,0),Shipments!$D:$D,0)+
MATCH($C127,EL_List,0)-10,
MATCH(Shipments_Scenario_X,Shipments!$F$5:$AQ$5,0))</f>
        <v>9.8386492250894624E-3</v>
      </c>
      <c r="M129" s="530">
        <f ca="1">OFFSET(OFFSET(Shipments!$D$1,0,MATCH(M$7,Dates)),
MATCH(OFFSET($C127,((MATCH($C127,EL_List,0)-1)*-10)-3,0),Shipments!$C:$C,0)+
MATCH(OFFSET($C127,((MATCH($C127,EL_List,0)-1)*-10)-1,0),Shipments!$D:$D,0)+
MATCH($C127,EL_List,0)-10,
MATCH(Shipments_Scenario_X,Shipments!$F$5:$AQ$5,0))</f>
        <v>1.0355997798955555E-2</v>
      </c>
      <c r="N129" s="530">
        <f ca="1">OFFSET(OFFSET(Shipments!$D$1,0,MATCH(N$7,Dates)),
MATCH(OFFSET($C127,((MATCH($C127,EL_List,0)-1)*-10)-3,0),Shipments!$C:$C,0)+
MATCH(OFFSET($C127,((MATCH($C127,EL_List,0)-1)*-10)-1,0),Shipments!$D:$D,0)+
MATCH($C127,EL_List,0)-10,
MATCH(Shipments_Scenario_X,Shipments!$F$5:$AQ$5,0))</f>
        <v>1.0892253830410273E-2</v>
      </c>
      <c r="O129" s="530">
        <f ca="1">OFFSET(OFFSET(Shipments!$D$1,0,MATCH(O$7,Dates)),
MATCH(OFFSET($C127,((MATCH($C127,EL_List,0)-1)*-10)-3,0),Shipments!$C:$C,0)+
MATCH(OFFSET($C127,((MATCH($C127,EL_List,0)-1)*-10)-1,0),Shipments!$D:$D,0)+
MATCH($C127,EL_List,0)-10,
MATCH(Shipments_Scenario_X,Shipments!$F$5:$AQ$5,0))</f>
        <v>1.1447185738357412E-2</v>
      </c>
      <c r="P129" s="530">
        <f ca="1">OFFSET(OFFSET(Shipments!$D$1,0,MATCH(P$7,Dates)),
MATCH(OFFSET($C127,((MATCH($C127,EL_List,0)-1)*-10)-3,0),Shipments!$C:$C,0)+
MATCH(OFFSET($C127,((MATCH($C127,EL_List,0)-1)*-10)-1,0),Shipments!$D:$D,0)+
MATCH($C127,EL_List,0)-10,
MATCH(Shipments_Scenario_X,Shipments!$F$5:$AQ$5,0))</f>
        <v>1.202317022565744E-2</v>
      </c>
      <c r="Q129" s="530">
        <f ca="1">OFFSET(OFFSET(Shipments!$D$1,0,MATCH(Q$7,Dates)),
MATCH(OFFSET($C127,((MATCH($C127,EL_List,0)-1)*-10)-3,0),Shipments!$C:$C,0)+
MATCH(OFFSET($C127,((MATCH($C127,EL_List,0)-1)*-10)-1,0),Shipments!$D:$D,0)+
MATCH($C127,EL_List,0)-10,
MATCH(Shipments_Scenario_X,Shipments!$F$5:$AQ$5,0))</f>
        <v>1.2623838618335433E-2</v>
      </c>
      <c r="R129" s="530">
        <f ca="1">OFFSET(OFFSET(Shipments!$D$1,0,MATCH(R$7,Dates)),
MATCH(OFFSET($C127,((MATCH($C127,EL_List,0)-1)*-10)-3,0),Shipments!$C:$C,0)+
MATCH(OFFSET($C127,((MATCH($C127,EL_List,0)-1)*-10)-1,0),Shipments!$D:$D,0)+
MATCH($C127,EL_List,0)-10,
MATCH(Shipments_Scenario_X,Shipments!$F$5:$AQ$5,0))</f>
        <v>1.3253429761582331E-2</v>
      </c>
      <c r="S129" s="530">
        <f ca="1">OFFSET(OFFSET(Shipments!$D$1,0,MATCH(S$7,Dates)),
MATCH(OFFSET($C127,((MATCH($C127,EL_List,0)-1)*-10)-3,0),Shipments!$C:$C,0)+
MATCH(OFFSET($C127,((MATCH($C127,EL_List,0)-1)*-10)-1,0),Shipments!$D:$D,0)+
MATCH($C127,EL_List,0)-10,
MATCH(Shipments_Scenario_X,Shipments!$F$5:$AQ$5,0))</f>
        <v>1.3915506063158839E-2</v>
      </c>
      <c r="T129" s="530">
        <f ca="1">OFFSET(OFFSET(Shipments!$D$1,0,MATCH(T$7,Dates)),
MATCH(OFFSET($C127,((MATCH($C127,EL_List,0)-1)*-10)-3,0),Shipments!$C:$C,0)+
MATCH(OFFSET($C127,((MATCH($C127,EL_List,0)-1)*-10)-1,0),Shipments!$D:$D,0)+
MATCH($C127,EL_List,0)-10,
MATCH(Shipments_Scenario_X,Shipments!$F$5:$AQ$5,0))</f>
        <v>1.4612321475408982E-2</v>
      </c>
      <c r="U129" s="530">
        <f ca="1">OFFSET(OFFSET(Shipments!$D$1,0,MATCH(U$7,Dates)),
MATCH(OFFSET($C127,((MATCH($C127,EL_List,0)-1)*-10)-3,0),Shipments!$C:$C,0)+
MATCH(OFFSET($C127,((MATCH($C127,EL_List,0)-1)*-10)-1,0),Shipments!$D:$D,0)+
MATCH($C127,EL_List,0)-10,
MATCH(Shipments_Scenario_X,Shipments!$F$5:$AQ$5,0))</f>
        <v>1.5346381058389109E-2</v>
      </c>
      <c r="V129" s="530">
        <f ca="1">OFFSET(OFFSET(Shipments!$D$1,0,MATCH(V$7,Dates)),
MATCH(OFFSET($C127,((MATCH($C127,EL_List,0)-1)*-10)-3,0),Shipments!$C:$C,0)+
MATCH(OFFSET($C127,((MATCH($C127,EL_List,0)-1)*-10)-1,0),Shipments!$D:$D,0)+
MATCH($C127,EL_List,0)-10,
MATCH(Shipments_Scenario_X,Shipments!$F$5:$AQ$5,0))</f>
        <v>1.6116213781124846E-2</v>
      </c>
      <c r="W129" s="530">
        <f ca="1">OFFSET(OFFSET(Shipments!$D$1,0,MATCH(W$7,Dates)),
MATCH(OFFSET($C127,((MATCH($C127,EL_List,0)-1)*-10)-3,0),Shipments!$C:$C,0)+
MATCH(OFFSET($C127,((MATCH($C127,EL_List,0)-1)*-10)-1,0),Shipments!$D:$D,0)+
MATCH($C127,EL_List,0)-10,
MATCH(Shipments_Scenario_X,Shipments!$F$5:$AQ$5,0))</f>
        <v>1.692415905435456E-2</v>
      </c>
      <c r="X129" s="530">
        <f ca="1">OFFSET(OFFSET(Shipments!$D$1,0,MATCH(X$7,Dates)),
MATCH(OFFSET($C127,((MATCH($C127,EL_List,0)-1)*-10)-3,0),Shipments!$C:$C,0)+
MATCH(OFFSET($C127,((MATCH($C127,EL_List,0)-1)*-10)-1,0),Shipments!$D:$D,0)+
MATCH($C127,EL_List,0)-10,
MATCH(Shipments_Scenario_X,Shipments!$F$5:$AQ$5,0))</f>
        <v>1.7771192362795708E-2</v>
      </c>
      <c r="Y129" s="530">
        <f ca="1">OFFSET(OFFSET(Shipments!$D$1,0,MATCH(Y$7,Dates)),
MATCH(OFFSET($C127,((MATCH($C127,EL_List,0)-1)*-10)-3,0),Shipments!$C:$C,0)+
MATCH(OFFSET($C127,((MATCH($C127,EL_List,0)-1)*-10)-1,0),Shipments!$D:$D,0)+
MATCH($C127,EL_List,0)-10,
MATCH(Shipments_Scenario_X,Shipments!$F$5:$AQ$5,0))</f>
        <v>1.8658756492969875E-2</v>
      </c>
      <c r="Z129" s="530">
        <f ca="1">OFFSET(OFFSET(Shipments!$D$1,0,MATCH(Z$7,Dates)),
MATCH(OFFSET($C127,((MATCH($C127,EL_List,0)-1)*-10)-3,0),Shipments!$C:$C,0)+
MATCH(OFFSET($C127,((MATCH($C127,EL_List,0)-1)*-10)-1,0),Shipments!$D:$D,0)+
MATCH($C127,EL_List,0)-10,
MATCH(Shipments_Scenario_X,Shipments!$F$5:$AQ$5,0))</f>
        <v>1.9588785804162449E-2</v>
      </c>
      <c r="AA129" s="530">
        <f ca="1">OFFSET(OFFSET(Shipments!$D$1,0,MATCH(AA$7,Dates)),
MATCH(OFFSET($C127,((MATCH($C127,EL_List,0)-1)*-10)-3,0),Shipments!$C:$C,0)+
MATCH(OFFSET($C127,((MATCH($C127,EL_List,0)-1)*-10)-1,0),Shipments!$D:$D,0)+
MATCH($C127,EL_List,0)-10,
MATCH(Shipments_Scenario_X,Shipments!$F$5:$AQ$5,0))</f>
        <v>2.0563511600276058E-2</v>
      </c>
      <c r="AB129" s="530">
        <f ca="1">OFFSET(OFFSET(Shipments!$D$1,0,MATCH(AB$7,Dates)),
MATCH(OFFSET($C127,((MATCH($C127,EL_List,0)-1)*-10)-3,0),Shipments!$C:$C,0)+
MATCH(OFFSET($C127,((MATCH($C127,EL_List,0)-1)*-10)-1,0),Shipments!$D:$D,0)+
MATCH($C127,EL_List,0)-10,
MATCH(Shipments_Scenario_X,Shipments!$F$5:$AQ$5,0))</f>
        <v>2.1585491711921166E-2</v>
      </c>
      <c r="AC129" s="530">
        <f ca="1">OFFSET(OFFSET(Shipments!$D$1,0,MATCH(AC$7,Dates)),
MATCH(OFFSET($C127,((MATCH($C127,EL_List,0)-1)*-10)-3,0),Shipments!$C:$C,0)+
MATCH(OFFSET($C127,((MATCH($C127,EL_List,0)-1)*-10)-1,0),Shipments!$D:$D,0)+
MATCH($C127,EL_List,0)-10,
MATCH(Shipments_Scenario_X,Shipments!$F$5:$AQ$5,0))</f>
        <v>2.2657309845586206E-2</v>
      </c>
      <c r="AD129" s="530">
        <f ca="1">OFFSET(OFFSET(Shipments!$D$1,0,MATCH(AD$7,Dates)),
MATCH(OFFSET($C127,((MATCH($C127,EL_List,0)-1)*-10)-3,0),Shipments!$C:$C,0)+
MATCH(OFFSET($C127,((MATCH($C127,EL_List,0)-1)*-10)-1,0),Shipments!$D:$D,0)+
MATCH($C127,EL_List,0)-10,
MATCH(Shipments_Scenario_X,Shipments!$F$5:$AQ$5,0))</f>
        <v>2.378156414462957E-2</v>
      </c>
      <c r="AE129" s="530">
        <f ca="1">OFFSET(OFFSET(Shipments!$D$1,0,MATCH(AE$7,Dates)),
MATCH(OFFSET($C127,((MATCH($C127,EL_List,0)-1)*-10)-3,0),Shipments!$C:$C,0)+
MATCH(OFFSET($C127,((MATCH($C127,EL_List,0)-1)*-10)-1,0),Shipments!$D:$D,0)+
MATCH($C127,EL_List,0)-10,
MATCH(Shipments_Scenario_X,Shipments!$F$5:$AQ$5,0))</f>
        <v>2.4960853316994165E-2</v>
      </c>
      <c r="AF129" s="530">
        <f ca="1">OFFSET(OFFSET(Shipments!$D$1,0,MATCH(AF$7,Dates)),
MATCH(OFFSET($C127,((MATCH($C127,EL_List,0)-1)*-10)-3,0),Shipments!$C:$C,0)+
MATCH(OFFSET($C127,((MATCH($C127,EL_List,0)-1)*-10)-1,0),Shipments!$D:$D,0)+
MATCH($C127,EL_List,0)-10,
MATCH(Shipments_Scenario_X,Shipments!$F$5:$AQ$5,0))</f>
        <v>2.6197801783158996E-2</v>
      </c>
      <c r="AG129" s="530">
        <f ca="1">OFFSET(OFFSET(Shipments!$D$1,0,MATCH(AG$7,Dates)),
MATCH(OFFSET($C127,((MATCH($C127,EL_List,0)-1)*-10)-3,0),Shipments!$C:$C,0)+
MATCH(OFFSET($C127,((MATCH($C127,EL_List,0)-1)*-10)-1,0),Shipments!$D:$D,0)+
MATCH($C127,EL_List,0)-10,
MATCH(Shipments_Scenario_X,Shipments!$F$5:$AQ$5,0))</f>
        <v>2.7495115406414687E-2</v>
      </c>
      <c r="AH129" s="530">
        <f ca="1">OFFSET(OFFSET(Shipments!$D$1,0,MATCH(AH$7,Dates)),
MATCH(OFFSET($C127,((MATCH($C127,EL_List,0)-1)*-10)-3,0),Shipments!$C:$C,0)+
MATCH(OFFSET($C127,((MATCH($C127,EL_List,0)-1)*-10)-1,0),Shipments!$D:$D,0)+
MATCH($C127,EL_List,0)-10,
MATCH(Shipments_Scenario_X,Shipments!$F$5:$AQ$5,0))</f>
        <v>2.8855631761044692E-2</v>
      </c>
      <c r="AI129" s="530">
        <f ca="1">OFFSET(OFFSET(Shipments!$D$1,0,MATCH(AI$7,Dates)),
MATCH(OFFSET($C127,((MATCH($C127,EL_List,0)-1)*-10)-3,0),Shipments!$C:$C,0)+
MATCH(OFFSET($C127,((MATCH($C127,EL_List,0)-1)*-10)-1,0),Shipments!$D:$D,0)+
MATCH($C127,EL_List,0)-10,
MATCH(Shipments_Scenario_X,Shipments!$F$5:$AQ$5,0))</f>
        <v>3.0282358096716713E-2</v>
      </c>
      <c r="AJ129" s="530">
        <f ca="1">OFFSET(OFFSET(Shipments!$D$1,0,MATCH(AJ$7,Dates)),
MATCH(OFFSET($C127,((MATCH($C127,EL_List,0)-1)*-10)-3,0),Shipments!$C:$C,0)+
MATCH(OFFSET($C127,((MATCH($C127,EL_List,0)-1)*-10)-1,0),Shipments!$D:$D,0)+
MATCH($C127,EL_List,0)-10,
MATCH(Shipments_Scenario_X,Shipments!$F$5:$AQ$5,0))</f>
        <v>3.1778492072143096E-2</v>
      </c>
      <c r="AK129" s="530">
        <f ca="1">OFFSET(OFFSET(Shipments!$D$1,0,MATCH(AK$7,Dates)),
MATCH(OFFSET($C127,((MATCH($C127,EL_List,0)-1)*-10)-3,0),Shipments!$C:$C,0)+
MATCH(OFFSET($C127,((MATCH($C127,EL_List,0)-1)*-10)-1,0),Shipments!$D:$D,0)+
MATCH($C127,EL_List,0)-10,
MATCH(Shipments_Scenario_X,Shipments!$F$5:$AQ$5,0))</f>
        <v>3.3347423587583108E-2</v>
      </c>
      <c r="AL129" s="530">
        <f ca="1">OFFSET(OFFSET(Shipments!$D$1,0,MATCH(AL$7,Dates)),
MATCH(OFFSET($C127,((MATCH($C127,EL_List,0)-1)*-10)-3,0),Shipments!$C:$C,0)+
MATCH(OFFSET($C127,((MATCH($C127,EL_List,0)-1)*-10)-1,0),Shipments!$D:$D,0)+
MATCH($C127,EL_List,0)-10,
MATCH(Shipments_Scenario_X,Shipments!$F$5:$AQ$5,0))</f>
        <v>3.4992728553981611E-2</v>
      </c>
      <c r="AM129" s="530">
        <f ca="1">OFFSET(OFFSET(Shipments!$D$1,0,MATCH(AM$7,Dates)),
MATCH(OFFSET($C127,((MATCH($C127,EL_List,0)-1)*-10)-3,0),Shipments!$C:$C,0)+
MATCH(OFFSET($C127,((MATCH($C127,EL_List,0)-1)*-10)-1,0),Shipments!$D:$D,0)+
MATCH($C127,EL_List,0)-10,
MATCH(Shipments_Scenario_X,Shipments!$F$5:$AQ$5,0))</f>
        <v>3.6718164749564922E-2</v>
      </c>
      <c r="AN129" s="530">
        <f ca="1">OFFSET(OFFSET(Shipments!$D$1,0,MATCH(AN$7,Dates)),
MATCH(OFFSET($C127,((MATCH($C127,EL_List,0)-1)*-10)-3,0),Shipments!$C:$C,0)+
MATCH(OFFSET($C127,((MATCH($C127,EL_List,0)-1)*-10)-1,0),Shipments!$D:$D,0)+
MATCH($C127,EL_List,0)-10,
MATCH(Shipments_Scenario_X,Shipments!$F$5:$AQ$5,0))</f>
        <v>3.8527656920893487E-2</v>
      </c>
      <c r="AO129" s="436"/>
      <c r="AP129" s="21"/>
    </row>
    <row r="130" spans="2:42" ht="15" customHeight="1" x14ac:dyDescent="0.35">
      <c r="B130" s="429"/>
      <c r="C130" s="777" t="s">
        <v>79</v>
      </c>
      <c r="D130" s="776"/>
      <c r="E130" s="531">
        <f t="shared" ref="E130:AN130" ca="1" si="30">E128*E129</f>
        <v>0.59513527312062386</v>
      </c>
      <c r="F130" s="531">
        <f t="shared" ca="1" si="30"/>
        <v>0.61697077330944239</v>
      </c>
      <c r="G130" s="531">
        <f t="shared" ca="1" si="30"/>
        <v>0.63629498592515044</v>
      </c>
      <c r="H130" s="531">
        <f t="shared" ca="1" si="30"/>
        <v>0.6616322369415587</v>
      </c>
      <c r="I130" s="531">
        <f t="shared" ca="1" si="30"/>
        <v>0.68871425502535044</v>
      </c>
      <c r="J130" s="531">
        <f t="shared" ca="1" si="30"/>
        <v>0.71942484471261181</v>
      </c>
      <c r="K130" s="531">
        <f t="shared" ca="1" si="30"/>
        <v>0.7526478732907308</v>
      </c>
      <c r="L130" s="531">
        <f t="shared" ca="1" si="30"/>
        <v>0.7877237268671462</v>
      </c>
      <c r="M130" s="531">
        <f t="shared" ca="1" si="30"/>
        <v>0.82413993591883605</v>
      </c>
      <c r="N130" s="531">
        <f t="shared" ca="1" si="30"/>
        <v>0.86242897054308687</v>
      </c>
      <c r="O130" s="531">
        <f t="shared" ca="1" si="30"/>
        <v>0.90083522281535577</v>
      </c>
      <c r="P130" s="531">
        <f t="shared" ca="1" si="30"/>
        <v>0.94132008724611071</v>
      </c>
      <c r="Q130" s="531">
        <f t="shared" ca="1" si="30"/>
        <v>0.98326362595373096</v>
      </c>
      <c r="R130" s="531">
        <f t="shared" ca="1" si="30"/>
        <v>1.0269644696396527</v>
      </c>
      <c r="S130" s="531">
        <f t="shared" ca="1" si="30"/>
        <v>1.0726622779635282</v>
      </c>
      <c r="T130" s="531">
        <f t="shared" ca="1" si="30"/>
        <v>1.1216676237306011</v>
      </c>
      <c r="U130" s="531">
        <f t="shared" ca="1" si="30"/>
        <v>1.1718347716289657</v>
      </c>
      <c r="V130" s="531">
        <f t="shared" ca="1" si="30"/>
        <v>1.2241278479516495</v>
      </c>
      <c r="W130" s="531">
        <f t="shared" ca="1" si="30"/>
        <v>1.2800435806433559</v>
      </c>
      <c r="X130" s="531">
        <f t="shared" ca="1" si="30"/>
        <v>1.3383824842475387</v>
      </c>
      <c r="Y130" s="531">
        <f t="shared" ca="1" si="30"/>
        <v>1.3977120554142668</v>
      </c>
      <c r="Z130" s="531">
        <f t="shared" ca="1" si="30"/>
        <v>1.4610684729432775</v>
      </c>
      <c r="AA130" s="531">
        <f t="shared" ca="1" si="30"/>
        <v>1.5271449734746234</v>
      </c>
      <c r="AB130" s="531">
        <f t="shared" ca="1" si="30"/>
        <v>1.5960874873853605</v>
      </c>
      <c r="AC130" s="531">
        <f t="shared" ca="1" si="30"/>
        <v>1.6680405536156426</v>
      </c>
      <c r="AD130" s="531">
        <f t="shared" ca="1" si="30"/>
        <v>1.7431464395249909</v>
      </c>
      <c r="AE130" s="531">
        <f t="shared" ca="1" si="30"/>
        <v>1.8215441052908321</v>
      </c>
      <c r="AF130" s="531">
        <f t="shared" ca="1" si="30"/>
        <v>1.9033710300943574</v>
      </c>
      <c r="AG130" s="531">
        <f t="shared" ca="1" si="30"/>
        <v>1.988767201761972</v>
      </c>
      <c r="AH130" s="531">
        <f t="shared" ca="1" si="30"/>
        <v>2.0802028543491087</v>
      </c>
      <c r="AI130" s="531">
        <f t="shared" ca="1" si="30"/>
        <v>2.1732989007666026</v>
      </c>
      <c r="AJ130" s="531">
        <f t="shared" ca="1" si="30"/>
        <v>2.2704344659904994</v>
      </c>
      <c r="AK130" s="531">
        <f t="shared" ca="1" si="30"/>
        <v>2.3744696156560319</v>
      </c>
      <c r="AL130" s="531">
        <f t="shared" ca="1" si="30"/>
        <v>2.4803475868176137</v>
      </c>
      <c r="AM130" s="531">
        <f t="shared" ref="AM130" ca="1" si="31">AM128*AM129</f>
        <v>2.5908193846450489</v>
      </c>
      <c r="AN130" s="531">
        <f t="shared" ca="1" si="30"/>
        <v>2.7091230184274719</v>
      </c>
      <c r="AO130" s="436"/>
      <c r="AP130" s="21"/>
    </row>
    <row r="131" spans="2:42" ht="15" customHeight="1" x14ac:dyDescent="0.35">
      <c r="B131" s="429"/>
      <c r="C131" s="777"/>
      <c r="D131" s="776"/>
      <c r="E131" s="776"/>
      <c r="F131" s="776"/>
      <c r="G131" s="776"/>
      <c r="H131" s="776"/>
      <c r="I131" s="776"/>
      <c r="J131" s="776"/>
      <c r="K131" s="776"/>
      <c r="L131" s="776"/>
      <c r="M131" s="776"/>
      <c r="N131" s="776"/>
      <c r="O131" s="776"/>
      <c r="P131" s="776"/>
      <c r="Q131" s="776"/>
      <c r="R131" s="776"/>
      <c r="S131" s="776"/>
      <c r="T131" s="776"/>
      <c r="U131" s="776"/>
      <c r="V131" s="776"/>
      <c r="W131" s="776"/>
      <c r="X131" s="776"/>
      <c r="Y131" s="776"/>
      <c r="Z131" s="776"/>
      <c r="AA131" s="776"/>
      <c r="AB131" s="776"/>
      <c r="AC131" s="776"/>
      <c r="AD131" s="776"/>
      <c r="AE131" s="776"/>
      <c r="AF131" s="776"/>
      <c r="AG131" s="776"/>
      <c r="AH131" s="776"/>
      <c r="AI131" s="776"/>
      <c r="AJ131" s="776"/>
      <c r="AK131" s="776"/>
      <c r="AL131" s="776"/>
      <c r="AM131" s="776"/>
      <c r="AN131" s="776"/>
      <c r="AO131" s="436"/>
      <c r="AP131" s="21"/>
    </row>
    <row r="132" spans="2:42" ht="15" customHeight="1" x14ac:dyDescent="0.35">
      <c r="B132" s="429"/>
      <c r="C132" s="777" t="s">
        <v>212</v>
      </c>
      <c r="D132" s="776"/>
      <c r="E132" s="532" cm="1">
        <f t="array" aca="1" ref="E132" ca="1">OFFSET(E132,-3,0)*
OFFSET(MSP!$D$1,
MATCH(OFFSET($C127,((MATCH($C127,EL_List,0)-1)*-10)-1,0),MSP!$C:$C,0)+MATCH($C127,EL_List,0)-1,0)
*INDEX(Learning!$E$6:$S$41,(MATCH(E$21,Dates,0)),(MATCH($C$86,Learning!$E$4:$S$4,0)+MATCH($C$127,Learning!$E$5:$S$5,0)-1))</f>
        <v>0.36734514697816573</v>
      </c>
      <c r="F132" s="532" cm="1">
        <f t="array" aca="1" ref="F132" ca="1">OFFSET(F132,-3,0)*
OFFSET(MSP!$D$1,
MATCH(OFFSET($C127,((MATCH($C127,EL_List,0)-1)*-10)-1,0),MSP!$C:$C,0)+MATCH($C127,EL_List,0)-1,0)
*INDEX(Learning!$E$6:$S$41,(MATCH(F$21,Dates,0)),(MATCH($C$86,Learning!$E$4:$S$4,0)+MATCH($C$127,Learning!$E$5:$S$5,0)-1))</f>
        <v>0.38082303240771503</v>
      </c>
      <c r="G132" s="532" cm="1">
        <f t="array" aca="1" ref="G132" ca="1">OFFSET(G132,-3,0)*
OFFSET(MSP!$D$1,
MATCH(OFFSET($C127,((MATCH($C127,EL_List,0)-1)*-10)-1,0),MSP!$C:$C,0)+MATCH($C127,EL_List,0)-1,0)
*INDEX(Learning!$E$6:$S$41,(MATCH(G$21,Dates,0)),(MATCH($C$86,Learning!$E$4:$S$4,0)+MATCH($C$127,Learning!$E$5:$S$5,0)-1))</f>
        <v>0.39275083444561543</v>
      </c>
      <c r="H132" s="532" cm="1">
        <f t="array" aca="1" ref="H132" ca="1">OFFSET(H132,-3,0)*
OFFSET(MSP!$D$1,
MATCH(OFFSET($C127,((MATCH($C127,EL_List,0)-1)*-10)-1,0),MSP!$C:$C,0)+MATCH($C127,EL_List,0)-1,0)
*INDEX(Learning!$E$6:$S$41,(MATCH(H$21,Dates,0)),(MATCH($C$86,Learning!$E$4:$S$4,0)+MATCH($C$127,Learning!$E$5:$S$5,0)-1))</f>
        <v>0.40839016321509114</v>
      </c>
      <c r="I132" s="532" cm="1">
        <f t="array" aca="1" ref="I132" ca="1">OFFSET(I132,-3,0)*
OFFSET(MSP!$D$1,
MATCH(OFFSET($C127,((MATCH($C127,EL_List,0)-1)*-10)-1,0),MSP!$C:$C,0)+MATCH($C127,EL_List,0)-1,0)
*INDEX(Learning!$E$6:$S$41,(MATCH(I$21,Dates,0)),(MATCH($C$86,Learning!$E$4:$S$4,0)+MATCH($C$127,Learning!$E$5:$S$5,0)-1))</f>
        <v>0.42510644329926528</v>
      </c>
      <c r="J132" s="532" cm="1">
        <f t="array" aca="1" ref="J132" ca="1">OFFSET(J132,-3,0)*
OFFSET(MSP!$D$1,
MATCH(OFFSET($C127,((MATCH($C127,EL_List,0)-1)*-10)-1,0),MSP!$C:$C,0)+MATCH($C127,EL_List,0)-1,0)
*INDEX(Learning!$E$6:$S$41,(MATCH(J$21,Dates,0)),(MATCH($C$86,Learning!$E$4:$S$4,0)+MATCH($C$127,Learning!$E$5:$S$5,0)-1))</f>
        <v>0.44406244639970094</v>
      </c>
      <c r="K132" s="532" cm="1">
        <f t="array" aca="1" ref="K132" ca="1">OFFSET(K132,-3,0)*
OFFSET(MSP!$D$1,
MATCH(OFFSET($C127,((MATCH($C127,EL_List,0)-1)*-10)-1,0),MSP!$C:$C,0)+MATCH($C127,EL_List,0)-1,0)
*INDEX(Learning!$E$6:$S$41,(MATCH(K$21,Dates,0)),(MATCH($C$86,Learning!$E$4:$S$4,0)+MATCH($C$127,Learning!$E$5:$S$5,0)-1))</f>
        <v>0.46456924353860168</v>
      </c>
      <c r="L132" s="532" cm="1">
        <f t="array" aca="1" ref="L132" ca="1">OFFSET(L132,-3,0)*
OFFSET(MSP!$D$1,
MATCH(OFFSET($C127,((MATCH($C127,EL_List,0)-1)*-10)-1,0),MSP!$C:$C,0)+MATCH($C127,EL_List,0)-1,0)
*INDEX(Learning!$E$6:$S$41,(MATCH(L$21,Dates,0)),(MATCH($C$86,Learning!$E$4:$S$4,0)+MATCH($C$127,Learning!$E$5:$S$5,0)-1))</f>
        <v>0.48621969036869794</v>
      </c>
      <c r="M132" s="532" cm="1">
        <f t="array" aca="1" ref="M132" ca="1">OFFSET(M132,-3,0)*
OFFSET(MSP!$D$1,
MATCH(OFFSET($C127,((MATCH($C127,EL_List,0)-1)*-10)-1,0),MSP!$C:$C,0)+MATCH($C127,EL_List,0)-1,0)
*INDEX(Learning!$E$6:$S$41,(MATCH(M$21,Dates,0)),(MATCH($C$86,Learning!$E$4:$S$4,0)+MATCH($C$127,Learning!$E$5:$S$5,0)-1))</f>
        <v>0.50869746688551565</v>
      </c>
      <c r="N132" s="532" cm="1">
        <f t="array" aca="1" ref="N132" ca="1">OFFSET(N132,-3,0)*
OFFSET(MSP!$D$1,
MATCH(OFFSET($C127,((MATCH($C127,EL_List,0)-1)*-10)-1,0),MSP!$C:$C,0)+MATCH($C127,EL_List,0)-1,0)
*INDEX(Learning!$E$6:$S$41,(MATCH(N$21,Dates,0)),(MATCH($C$86,Learning!$E$4:$S$4,0)+MATCH($C$127,Learning!$E$5:$S$5,0)-1))</f>
        <v>0.53233123837740759</v>
      </c>
      <c r="O132" s="532" cm="1">
        <f t="array" aca="1" ref="O132" ca="1">OFFSET(O132,-3,0)*
OFFSET(MSP!$D$1,
MATCH(OFFSET($C127,((MATCH($C127,EL_List,0)-1)*-10)-1,0),MSP!$C:$C,0)+MATCH($C127,EL_List,0)-1,0)
*INDEX(Learning!$E$6:$S$41,(MATCH(O$21,Dates,0)),(MATCH($C$86,Learning!$E$4:$S$4,0)+MATCH($C$127,Learning!$E$5:$S$5,0)-1))</f>
        <v>0.55603736204885323</v>
      </c>
      <c r="P132" s="532" cm="1">
        <f t="array" aca="1" ref="P132" ca="1">OFFSET(P132,-3,0)*
OFFSET(MSP!$D$1,
MATCH(OFFSET($C127,((MATCH($C127,EL_List,0)-1)*-10)-1,0),MSP!$C:$C,0)+MATCH($C127,EL_List,0)-1,0)
*INDEX(Learning!$E$6:$S$41,(MATCH(P$21,Dates,0)),(MATCH($C$86,Learning!$E$4:$S$4,0)+MATCH($C$127,Learning!$E$5:$S$5,0)-1))</f>
        <v>0.58102650173927206</v>
      </c>
      <c r="Q132" s="532" cm="1">
        <f t="array" aca="1" ref="Q132" ca="1">OFFSET(Q132,-3,0)*
OFFSET(MSP!$D$1,
MATCH(OFFSET($C127,((MATCH($C127,EL_List,0)-1)*-10)-1,0),MSP!$C:$C,0)+MATCH($C127,EL_List,0)-1,0)
*INDEX(Learning!$E$6:$S$41,(MATCH(Q$21,Dates,0)),(MATCH($C$86,Learning!$E$4:$S$4,0)+MATCH($C$127,Learning!$E$5:$S$5,0)-1))</f>
        <v>0.60691600297912252</v>
      </c>
      <c r="R132" s="532" cm="1">
        <f t="array" aca="1" ref="R132" ca="1">OFFSET(R132,-3,0)*
OFFSET(MSP!$D$1,
MATCH(OFFSET($C127,((MATCH($C127,EL_List,0)-1)*-10)-1,0),MSP!$C:$C,0)+MATCH($C127,EL_List,0)-1,0)
*INDEX(Learning!$E$6:$S$41,(MATCH(R$21,Dates,0)),(MATCH($C$86,Learning!$E$4:$S$4,0)+MATCH($C$127,Learning!$E$5:$S$5,0)-1))</f>
        <v>0.63389019451493667</v>
      </c>
      <c r="S132" s="532" cm="1">
        <f t="array" aca="1" ref="S132" ca="1">OFFSET(S132,-3,0)*
OFFSET(MSP!$D$1,
MATCH(OFFSET($C127,((MATCH($C127,EL_List,0)-1)*-10)-1,0),MSP!$C:$C,0)+MATCH($C127,EL_List,0)-1,0)
*INDEX(Learning!$E$6:$S$41,(MATCH(S$21,Dates,0)),(MATCH($C$86,Learning!$E$4:$S$4,0)+MATCH($C$127,Learning!$E$5:$S$5,0)-1))</f>
        <v>0.66209700542582628</v>
      </c>
      <c r="T132" s="532" cm="1">
        <f t="array" aca="1" ref="T132" ca="1">OFFSET(T132,-3,0)*
OFFSET(MSP!$D$1,
MATCH(OFFSET($C127,((MATCH($C127,EL_List,0)-1)*-10)-1,0),MSP!$C:$C,0)+MATCH($C127,EL_List,0)-1,0)
*INDEX(Learning!$E$6:$S$41,(MATCH(T$21,Dates,0)),(MATCH($C$86,Learning!$E$4:$S$4,0)+MATCH($C$127,Learning!$E$5:$S$5,0)-1))</f>
        <v>0.69234538215054542</v>
      </c>
      <c r="U132" s="532" cm="1">
        <f t="array" aca="1" ref="U132" ca="1">OFFSET(U132,-3,0)*
OFFSET(MSP!$D$1,
MATCH(OFFSET($C127,((MATCH($C127,EL_List,0)-1)*-10)-1,0),MSP!$C:$C,0)+MATCH($C127,EL_List,0)-1,0)
*INDEX(Learning!$E$6:$S$41,(MATCH(U$21,Dates,0)),(MATCH($C$86,Learning!$E$4:$S$4,0)+MATCH($C$127,Learning!$E$5:$S$5,0)-1))</f>
        <v>0.72331087714056408</v>
      </c>
      <c r="V132" s="532" cm="1">
        <f t="array" aca="1" ref="V132" ca="1">OFFSET(V132,-3,0)*
OFFSET(MSP!$D$1,
MATCH(OFFSET($C127,((MATCH($C127,EL_List,0)-1)*-10)-1,0),MSP!$C:$C,0)+MATCH($C127,EL_List,0)-1,0)
*INDEX(Learning!$E$6:$S$41,(MATCH(V$21,Dates,0)),(MATCH($C$86,Learning!$E$4:$S$4,0)+MATCH($C$127,Learning!$E$5:$S$5,0)-1))</f>
        <v>0.75558859394765265</v>
      </c>
      <c r="W132" s="532" cm="1">
        <f t="array" aca="1" ref="W132" ca="1">OFFSET(W132,-3,0)*
OFFSET(MSP!$D$1,
MATCH(OFFSET($C127,((MATCH($C127,EL_List,0)-1)*-10)-1,0),MSP!$C:$C,0)+MATCH($C127,EL_List,0)-1,0)
*INDEX(Learning!$E$6:$S$41,(MATCH(W$21,Dates,0)),(MATCH($C$86,Learning!$E$4:$S$4,0)+MATCH($C$127,Learning!$E$5:$S$5,0)-1))</f>
        <v>0.79010238261341603</v>
      </c>
      <c r="X132" s="532" cm="1">
        <f t="array" aca="1" ref="X132" ca="1">OFFSET(X132,-3,0)*
OFFSET(MSP!$D$1,
MATCH(OFFSET($C127,((MATCH($C127,EL_List,0)-1)*-10)-1,0),MSP!$C:$C,0)+MATCH($C127,EL_List,0)-1,0)
*INDEX(Learning!$E$6:$S$41,(MATCH(X$21,Dates,0)),(MATCH($C$86,Learning!$E$4:$S$4,0)+MATCH($C$127,Learning!$E$5:$S$5,0)-1))</f>
        <v>0.82611186497303413</v>
      </c>
      <c r="Y132" s="532" cm="1">
        <f t="array" aca="1" ref="Y132" ca="1">OFFSET(Y132,-3,0)*
OFFSET(MSP!$D$1,
MATCH(OFFSET($C127,((MATCH($C127,EL_List,0)-1)*-10)-1,0),MSP!$C:$C,0)+MATCH($C127,EL_List,0)-1,0)
*INDEX(Learning!$E$6:$S$41,(MATCH(Y$21,Dates,0)),(MATCH($C$86,Learning!$E$4:$S$4,0)+MATCH($C$127,Learning!$E$5:$S$5,0)-1))</f>
        <v>0.86273283338936235</v>
      </c>
      <c r="Z132" s="532" cm="1">
        <f t="array" aca="1" ref="Z132" ca="1">OFFSET(Z132,-3,0)*
OFFSET(MSP!$D$1,
MATCH(OFFSET($C127,((MATCH($C127,EL_List,0)-1)*-10)-1,0),MSP!$C:$C,0)+MATCH($C127,EL_List,0)-1,0)
*INDEX(Learning!$E$6:$S$41,(MATCH(Z$21,Dates,0)),(MATCH($C$86,Learning!$E$4:$S$4,0)+MATCH($C$127,Learning!$E$5:$S$5,0)-1))</f>
        <v>0.90183935851123553</v>
      </c>
      <c r="AA132" s="532" cm="1">
        <f t="array" aca="1" ref="AA132" ca="1">OFFSET(AA132,-3,0)*
OFFSET(MSP!$D$1,
MATCH(OFFSET($C127,((MATCH($C127,EL_List,0)-1)*-10)-1,0),MSP!$C:$C,0)+MATCH($C127,EL_List,0)-1,0)
*INDEX(Learning!$E$6:$S$41,(MATCH(AA$21,Dates,0)),(MATCH($C$86,Learning!$E$4:$S$4,0)+MATCH($C$127,Learning!$E$5:$S$5,0)-1))</f>
        <v>0.9426248452665642</v>
      </c>
      <c r="AB132" s="532" cm="1">
        <f t="array" aca="1" ref="AB132" ca="1">OFFSET(AB132,-3,0)*
OFFSET(MSP!$D$1,
MATCH(OFFSET($C127,((MATCH($C127,EL_List,0)-1)*-10)-1,0),MSP!$C:$C,0)+MATCH($C127,EL_List,0)-1,0)
*INDEX(Learning!$E$6:$S$41,(MATCH(AB$21,Dates,0)),(MATCH($C$86,Learning!$E$4:$S$4,0)+MATCH($C$127,Learning!$E$5:$S$5,0)-1))</f>
        <v>0.98517936866556777</v>
      </c>
      <c r="AC132" s="532" cm="1">
        <f t="array" aca="1" ref="AC132" ca="1">OFFSET(AC132,-3,0)*
OFFSET(MSP!$D$1,
MATCH(OFFSET($C127,((MATCH($C127,EL_List,0)-1)*-10)-1,0),MSP!$C:$C,0)+MATCH($C127,EL_List,0)-1,0)
*INDEX(Learning!$E$6:$S$41,(MATCH(AC$21,Dates,0)),(MATCH($C$86,Learning!$E$4:$S$4,0)+MATCH($C$127,Learning!$E$5:$S$5,0)-1))</f>
        <v>1.029592144858948</v>
      </c>
      <c r="AD132" s="532" cm="1">
        <f t="array" aca="1" ref="AD132" ca="1">OFFSET(AD132,-3,0)*
OFFSET(MSP!$D$1,
MATCH(OFFSET($C127,((MATCH($C127,EL_List,0)-1)*-10)-1,0),MSP!$C:$C,0)+MATCH($C127,EL_List,0)-1,0)
*INDEX(Learning!$E$6:$S$41,(MATCH(AD$21,Dates,0)),(MATCH($C$86,Learning!$E$4:$S$4,0)+MATCH($C$127,Learning!$E$5:$S$5,0)-1))</f>
        <v>1.0759509878722793</v>
      </c>
      <c r="AE132" s="532" cm="1">
        <f t="array" aca="1" ref="AE132" ca="1">OFFSET(AE132,-3,0)*
OFFSET(MSP!$D$1,
MATCH(OFFSET($C127,((MATCH($C127,EL_List,0)-1)*-10)-1,0),MSP!$C:$C,0)+MATCH($C127,EL_List,0)-1,0)
*INDEX(Learning!$E$6:$S$41,(MATCH(AE$21,Dates,0)),(MATCH($C$86,Learning!$E$4:$S$4,0)+MATCH($C$127,Learning!$E$5:$S$5,0)-1))</f>
        <v>1.1243416703846585</v>
      </c>
      <c r="AF132" s="532" cm="1">
        <f t="array" aca="1" ref="AF132" ca="1">OFFSET(AF132,-3,0)*
OFFSET(MSP!$D$1,
MATCH(OFFSET($C127,((MATCH($C127,EL_List,0)-1)*-10)-1,0),MSP!$C:$C,0)+MATCH($C127,EL_List,0)-1,0)
*INDEX(Learning!$E$6:$S$41,(MATCH(AF$21,Dates,0)),(MATCH($C$86,Learning!$E$4:$S$4,0)+MATCH($C$127,Learning!$E$5:$S$5,0)-1))</f>
        <v>1.1748490509354828</v>
      </c>
      <c r="AG132" s="532" cm="1">
        <f t="array" aca="1" ref="AG132" ca="1">OFFSET(AG132,-3,0)*
OFFSET(MSP!$D$1,
MATCH(OFFSET($C127,((MATCH($C127,EL_List,0)-1)*-10)-1,0),MSP!$C:$C,0)+MATCH($C127,EL_List,0)-1,0)
*INDEX(Learning!$E$6:$S$41,(MATCH(AG$21,Dates,0)),(MATCH($C$86,Learning!$E$4:$S$4,0)+MATCH($C$127,Learning!$E$5:$S$5,0)-1))</f>
        <v>1.2275595365165559</v>
      </c>
      <c r="AH132" s="532" cm="1">
        <f t="array" aca="1" ref="AH132" ca="1">OFFSET(AH132,-3,0)*
OFFSET(MSP!$D$1,
MATCH(OFFSET($C127,((MATCH($C127,EL_List,0)-1)*-10)-1,0),MSP!$C:$C,0)+MATCH($C127,EL_List,0)-1,0)
*INDEX(Learning!$E$6:$S$41,(MATCH(AH$21,Dates,0)),(MATCH($C$86,Learning!$E$4:$S$4,0)+MATCH($C$127,Learning!$E$5:$S$5,0)-1))</f>
        <v>1.2839978703806261</v>
      </c>
      <c r="AI132" s="532" cm="1">
        <f t="array" aca="1" ref="AI132" ca="1">OFFSET(AI132,-3,0)*
OFFSET(MSP!$D$1,
MATCH(OFFSET($C127,((MATCH($C127,EL_List,0)-1)*-10)-1,0),MSP!$C:$C,0)+MATCH($C127,EL_List,0)-1,0)
*INDEX(Learning!$E$6:$S$41,(MATCH(AI$21,Dates,0)),(MATCH($C$86,Learning!$E$4:$S$4,0)+MATCH($C$127,Learning!$E$5:$S$5,0)-1))</f>
        <v>1.3414610764766106</v>
      </c>
      <c r="AJ132" s="532" cm="1">
        <f t="array" aca="1" ref="AJ132" ca="1">OFFSET(AJ132,-3,0)*
OFFSET(MSP!$D$1,
MATCH(OFFSET($C127,((MATCH($C127,EL_List,0)-1)*-10)-1,0),MSP!$C:$C,0)+MATCH($C127,EL_List,0)-1,0)
*INDEX(Learning!$E$6:$S$41,(MATCH(AJ$21,Dates,0)),(MATCH($C$86,Learning!$E$4:$S$4,0)+MATCH($C$127,Learning!$E$5:$S$5,0)-1))</f>
        <v>1.401417661299549</v>
      </c>
      <c r="AK132" s="532" cm="1">
        <f t="array" aca="1" ref="AK132" ca="1">OFFSET(AK132,-3,0)*
OFFSET(MSP!$D$1,
MATCH(OFFSET($C127,((MATCH($C127,EL_List,0)-1)*-10)-1,0),MSP!$C:$C,0)+MATCH($C127,EL_List,0)-1,0)
*INDEX(Learning!$E$6:$S$41,(MATCH(AK$21,Dates,0)),(MATCH($C$86,Learning!$E$4:$S$4,0)+MATCH($C$127,Learning!$E$5:$S$5,0)-1))</f>
        <v>1.4656329902690264</v>
      </c>
      <c r="AL132" s="532" cm="1">
        <f t="array" aca="1" ref="AL132" ca="1">OFFSET(AL132,-3,0)*
OFFSET(MSP!$D$1,
MATCH(OFFSET($C127,((MATCH($C127,EL_List,0)-1)*-10)-1,0),MSP!$C:$C,0)+MATCH($C127,EL_List,0)-1,0)
*INDEX(Learning!$E$6:$S$41,(MATCH(AL$21,Dates,0)),(MATCH($C$86,Learning!$E$4:$S$4,0)+MATCH($C$127,Learning!$E$5:$S$5,0)-1))</f>
        <v>1.5309857943032417</v>
      </c>
      <c r="AM132" s="532" cm="1">
        <f t="array" aca="1" ref="AM132" ca="1">OFFSET(AM132,-3,0)*
OFFSET(MSP!$D$1,
MATCH(OFFSET($C127,((MATCH($C127,EL_List,0)-1)*-10)-1,0),MSP!$C:$C,0)+MATCH($C127,EL_List,0)-1,0)
*INDEX(Learning!$E$6:$S$41,(MATCH(AM$21,Dates,0)),(MATCH($C$86,Learning!$E$4:$S$4,0)+MATCH($C$127,Learning!$E$5:$S$5,0)-1))</f>
        <v>1.5991741216343895</v>
      </c>
      <c r="AN132" s="532" cm="1">
        <f t="array" aca="1" ref="AN132" ca="1">OFFSET(AN132,-3,0)*
OFFSET(MSP!$D$1,
MATCH(OFFSET($C127,((MATCH($C127,EL_List,0)-1)*-10)-1,0),MSP!$C:$C,0)+MATCH($C127,EL_List,0)-1,0)
*INDEX(Learning!$E$6:$S$41,(MATCH(AN$21,Dates,0)),(MATCH($C$86,Learning!$E$4:$S$4,0)+MATCH($C$127,Learning!$E$5:$S$5,0)-1))</f>
        <v>1.6721966220685844</v>
      </c>
      <c r="AO132" s="436"/>
      <c r="AP132" s="21"/>
    </row>
    <row r="133" spans="2:42" ht="15" customHeight="1" x14ac:dyDescent="0.35">
      <c r="B133" s="429"/>
      <c r="C133" s="777" t="s">
        <v>213</v>
      </c>
      <c r="D133" s="776"/>
      <c r="E133" s="533" cm="1">
        <f t="array" aca="1" ref="E133" ca="1">OFFSET(E133,-4,0)*
OFFSET(MSP!$E$1,
MATCH(OFFSET($C127,((MATCH($C127,EL_List,0)-1)*-10)-1,0),MSP!$C:$C,0)+MATCH($C127,EL_List,0)-1,0)
*INDEX(Learning!$E$6:$S$41,(MATCH(E$21,Dates,0)),(MATCH($C$86,Learning!$E$4:$S$4,0)+MATCH($C$127,Learning!$E$5:$S$5,0)-1))</f>
        <v>9.6196514450153439E-3</v>
      </c>
      <c r="F133" s="533" cm="1">
        <f t="array" aca="1" ref="F133" ca="1">OFFSET(F133,-4,0)*
OFFSET(MSP!$E$1,
MATCH(OFFSET($C127,((MATCH($C127,EL_List,0)-1)*-10)-1,0),MSP!$C:$C,0)+MATCH($C127,EL_List,0)-1,0)
*INDEX(Learning!$E$6:$S$41,(MATCH(F$21,Dates,0)),(MATCH($C$86,Learning!$E$4:$S$4,0)+MATCH($C$127,Learning!$E$5:$S$5,0)-1))</f>
        <v>9.9725962466947898E-3</v>
      </c>
      <c r="G133" s="533" cm="1">
        <f t="array" aca="1" ref="G133" ca="1">OFFSET(G133,-4,0)*
OFFSET(MSP!$E$1,
MATCH(OFFSET($C127,((MATCH($C127,EL_List,0)-1)*-10)-1,0),MSP!$C:$C,0)+MATCH($C127,EL_List,0)-1,0)
*INDEX(Learning!$E$6:$S$41,(MATCH(G$21,Dates,0)),(MATCH($C$86,Learning!$E$4:$S$4,0)+MATCH($C$127,Learning!$E$5:$S$5,0)-1))</f>
        <v>1.0284949081769986E-2</v>
      </c>
      <c r="H133" s="533" cm="1">
        <f t="array" aca="1" ref="H133" ca="1">OFFSET(H133,-4,0)*
OFFSET(MSP!$E$1,
MATCH(OFFSET($C127,((MATCH($C127,EL_List,0)-1)*-10)-1,0),MSP!$C:$C,0)+MATCH($C127,EL_List,0)-1,0)
*INDEX(Learning!$E$6:$S$41,(MATCH(H$21,Dates,0)),(MATCH($C$86,Learning!$E$4:$S$4,0)+MATCH($C$127,Learning!$E$5:$S$5,0)-1))</f>
        <v>1.0694495506525938E-2</v>
      </c>
      <c r="I133" s="533" cm="1">
        <f t="array" aca="1" ref="I133" ca="1">OFFSET(I133,-4,0)*
OFFSET(MSP!$E$1,
MATCH(OFFSET($C127,((MATCH($C127,EL_List,0)-1)*-10)-1,0),MSP!$C:$C,0)+MATCH($C127,EL_List,0)-1,0)
*INDEX(Learning!$E$6:$S$41,(MATCH(I$21,Dates,0)),(MATCH($C$86,Learning!$E$4:$S$4,0)+MATCH($C$127,Learning!$E$5:$S$5,0)-1))</f>
        <v>1.1132244008690213E-2</v>
      </c>
      <c r="J133" s="533" cm="1">
        <f t="array" aca="1" ref="J133" ca="1">OFFSET(J133,-4,0)*
OFFSET(MSP!$E$1,
MATCH(OFFSET($C127,((MATCH($C127,EL_List,0)-1)*-10)-1,0),MSP!$C:$C,0)+MATCH($C127,EL_List,0)-1,0)
*INDEX(Learning!$E$6:$S$41,(MATCH(J$21,Dates,0)),(MATCH($C$86,Learning!$E$4:$S$4,0)+MATCH($C$127,Learning!$E$5:$S$5,0)-1))</f>
        <v>1.1628644040422929E-2</v>
      </c>
      <c r="K133" s="533" cm="1">
        <f t="array" aca="1" ref="K133" ca="1">OFFSET(K133,-4,0)*
OFFSET(MSP!$E$1,
MATCH(OFFSET($C127,((MATCH($C127,EL_List,0)-1)*-10)-1,0),MSP!$C:$C,0)+MATCH($C127,EL_List,0)-1,0)
*INDEX(Learning!$E$6:$S$41,(MATCH(K$21,Dates,0)),(MATCH($C$86,Learning!$E$4:$S$4,0)+MATCH($C$127,Learning!$E$5:$S$5,0)-1))</f>
        <v>1.2165654648437272E-2</v>
      </c>
      <c r="L133" s="533" cm="1">
        <f t="array" aca="1" ref="L133" ca="1">OFFSET(L133,-4,0)*
OFFSET(MSP!$E$1,
MATCH(OFFSET($C127,((MATCH($C127,EL_List,0)-1)*-10)-1,0),MSP!$C:$C,0)+MATCH($C127,EL_List,0)-1,0)
*INDEX(Learning!$E$6:$S$41,(MATCH(L$21,Dates,0)),(MATCH($C$86,Learning!$E$4:$S$4,0)+MATCH($C$127,Learning!$E$5:$S$5,0)-1))</f>
        <v>1.2732613961354895E-2</v>
      </c>
      <c r="M133" s="533" cm="1">
        <f t="array" aca="1" ref="M133" ca="1">OFFSET(M133,-4,0)*
OFFSET(MSP!$E$1,
MATCH(OFFSET($C127,((MATCH($C127,EL_List,0)-1)*-10)-1,0),MSP!$C:$C,0)+MATCH($C127,EL_List,0)-1,0)
*INDEX(Learning!$E$6:$S$41,(MATCH(M$21,Dates,0)),(MATCH($C$86,Learning!$E$4:$S$4,0)+MATCH($C$127,Learning!$E$5:$S$5,0)-1))</f>
        <v>1.3321238520926358E-2</v>
      </c>
      <c r="N133" s="533" cm="1">
        <f t="array" aca="1" ref="N133" ca="1">OFFSET(N133,-4,0)*
OFFSET(MSP!$E$1,
MATCH(OFFSET($C127,((MATCH($C127,EL_List,0)-1)*-10)-1,0),MSP!$C:$C,0)+MATCH($C127,EL_List,0)-1,0)
*INDEX(Learning!$E$6:$S$41,(MATCH(N$21,Dates,0)),(MATCH($C$86,Learning!$E$4:$S$4,0)+MATCH($C$127,Learning!$E$5:$S$5,0)-1))</f>
        <v>1.3940135070815049E-2</v>
      </c>
      <c r="O133" s="533" cm="1">
        <f t="array" aca="1" ref="O133" ca="1">OFFSET(O133,-4,0)*
OFFSET(MSP!$E$1,
MATCH(OFFSET($C127,((MATCH($C127,EL_List,0)-1)*-10)-1,0),MSP!$C:$C,0)+MATCH($C127,EL_List,0)-1,0)
*INDEX(Learning!$E$6:$S$41,(MATCH(O$21,Dates,0)),(MATCH($C$86,Learning!$E$4:$S$4,0)+MATCH($C$127,Learning!$E$5:$S$5,0)-1))</f>
        <v>1.456092630409433E-2</v>
      </c>
      <c r="P133" s="533" cm="1">
        <f t="array" aca="1" ref="P133" ca="1">OFFSET(P133,-4,0)*
OFFSET(MSP!$E$1,
MATCH(OFFSET($C127,((MATCH($C127,EL_List,0)-1)*-10)-1,0),MSP!$C:$C,0)+MATCH($C127,EL_List,0)-1,0)
*INDEX(Learning!$E$6:$S$41,(MATCH(P$21,Dates,0)),(MATCH($C$86,Learning!$E$4:$S$4,0)+MATCH($C$127,Learning!$E$5:$S$5,0)-1))</f>
        <v>1.5215315822262963E-2</v>
      </c>
      <c r="Q133" s="533" cm="1">
        <f t="array" aca="1" ref="Q133" ca="1">OFFSET(Q133,-4,0)*
OFFSET(MSP!$E$1,
MATCH(OFFSET($C127,((MATCH($C127,EL_List,0)-1)*-10)-1,0),MSP!$C:$C,0)+MATCH($C127,EL_List,0)-1,0)
*INDEX(Learning!$E$6:$S$41,(MATCH(Q$21,Dates,0)),(MATCH($C$86,Learning!$E$4:$S$4,0)+MATCH($C$127,Learning!$E$5:$S$5,0)-1))</f>
        <v>1.5893283069309396E-2</v>
      </c>
      <c r="R133" s="533" cm="1">
        <f t="array" aca="1" ref="R133" ca="1">OFFSET(R133,-4,0)*
OFFSET(MSP!$E$1,
MATCH(OFFSET($C127,((MATCH($C127,EL_List,0)-1)*-10)-1,0),MSP!$C:$C,0)+MATCH($C127,EL_List,0)-1,0)
*INDEX(Learning!$E$6:$S$41,(MATCH(R$21,Dates,0)),(MATCH($C$86,Learning!$E$4:$S$4,0)+MATCH($C$127,Learning!$E$5:$S$5,0)-1))</f>
        <v>1.6599655054131173E-2</v>
      </c>
      <c r="S133" s="533" cm="1">
        <f t="array" aca="1" ref="S133" ca="1">OFFSET(S133,-4,0)*
OFFSET(MSP!$E$1,
MATCH(OFFSET($C127,((MATCH($C127,EL_List,0)-1)*-10)-1,0),MSP!$C:$C,0)+MATCH($C127,EL_List,0)-1,0)
*INDEX(Learning!$E$6:$S$41,(MATCH(S$21,Dates,0)),(MATCH($C$86,Learning!$E$4:$S$4,0)+MATCH($C$127,Learning!$E$5:$S$5,0)-1))</f>
        <v>1.7338305589112497E-2</v>
      </c>
      <c r="T133" s="533" cm="1">
        <f t="array" aca="1" ref="T133" ca="1">OFFSET(T133,-4,0)*
OFFSET(MSP!$E$1,
MATCH(OFFSET($C127,((MATCH($C127,EL_List,0)-1)*-10)-1,0),MSP!$C:$C,0)+MATCH($C127,EL_List,0)-1,0)
*INDEX(Learning!$E$6:$S$41,(MATCH(T$21,Dates,0)),(MATCH($C$86,Learning!$E$4:$S$4,0)+MATCH($C$127,Learning!$E$5:$S$5,0)-1))</f>
        <v>1.8130418519589318E-2</v>
      </c>
      <c r="U133" s="533" cm="1">
        <f t="array" aca="1" ref="U133" ca="1">OFFSET(U133,-4,0)*
OFFSET(MSP!$E$1,
MATCH(OFFSET($C127,((MATCH($C127,EL_List,0)-1)*-10)-1,0),MSP!$C:$C,0)+MATCH($C127,EL_List,0)-1,0)
*INDEX(Learning!$E$6:$S$41,(MATCH(U$21,Dates,0)),(MATCH($C$86,Learning!$E$4:$S$4,0)+MATCH($C$127,Learning!$E$5:$S$5,0)-1))</f>
        <v>1.8941310595003213E-2</v>
      </c>
      <c r="V133" s="533" cm="1">
        <f t="array" aca="1" ref="V133" ca="1">OFFSET(V133,-4,0)*
OFFSET(MSP!$E$1,
MATCH(OFFSET($C127,((MATCH($C127,EL_List,0)-1)*-10)-1,0),MSP!$C:$C,0)+MATCH($C127,EL_List,0)-1,0)
*INDEX(Learning!$E$6:$S$41,(MATCH(V$21,Dates,0)),(MATCH($C$86,Learning!$E$4:$S$4,0)+MATCH($C$127,Learning!$E$5:$S$5,0)-1))</f>
        <v>1.9786565766275591E-2</v>
      </c>
      <c r="W133" s="533" cm="1">
        <f t="array" aca="1" ref="W133" ca="1">OFFSET(W133,-4,0)*
OFFSET(MSP!$E$1,
MATCH(OFFSET($C127,((MATCH($C127,EL_List,0)-1)*-10)-1,0),MSP!$C:$C,0)+MATCH($C127,EL_List,0)-1,0)
*INDEX(Learning!$E$6:$S$41,(MATCH(W$21,Dates,0)),(MATCH($C$86,Learning!$E$4:$S$4,0)+MATCH($C$127,Learning!$E$5:$S$5,0)-1))</f>
        <v>2.069037685441091E-2</v>
      </c>
      <c r="X133" s="533" cm="1">
        <f t="array" aca="1" ref="X133" ca="1">OFFSET(X133,-4,0)*
OFFSET(MSP!$E$1,
MATCH(OFFSET($C127,((MATCH($C127,EL_List,0)-1)*-10)-1,0),MSP!$C:$C,0)+MATCH($C127,EL_List,0)-1,0)
*INDEX(Learning!$E$6:$S$41,(MATCH(X$21,Dates,0)),(MATCH($C$86,Learning!$E$4:$S$4,0)+MATCH($C$127,Learning!$E$5:$S$5,0)-1))</f>
        <v>2.1633355608491316E-2</v>
      </c>
      <c r="Y133" s="533" cm="1">
        <f t="array" aca="1" ref="Y133" ca="1">OFFSET(Y133,-4,0)*
OFFSET(MSP!$E$1,
MATCH(OFFSET($C127,((MATCH($C127,EL_List,0)-1)*-10)-1,0),MSP!$C:$C,0)+MATCH($C127,EL_List,0)-1,0)
*INDEX(Learning!$E$6:$S$41,(MATCH(Y$21,Dates,0)),(MATCH($C$86,Learning!$E$4:$S$4,0)+MATCH($C$127,Learning!$E$5:$S$5,0)-1))</f>
        <v>2.2592347321440043E-2</v>
      </c>
      <c r="Z133" s="533" cm="1">
        <f t="array" aca="1" ref="Z133" ca="1">OFFSET(Z133,-4,0)*
OFFSET(MSP!$E$1,
MATCH(OFFSET($C127,((MATCH($C127,EL_List,0)-1)*-10)-1,0),MSP!$C:$C,0)+MATCH($C127,EL_List,0)-1,0)
*INDEX(Learning!$E$6:$S$41,(MATCH(Z$21,Dates,0)),(MATCH($C$86,Learning!$E$4:$S$4,0)+MATCH($C$127,Learning!$E$5:$S$5,0)-1))</f>
        <v>2.3616428200125279E-2</v>
      </c>
      <c r="AA133" s="533" cm="1">
        <f t="array" aca="1" ref="AA133" ca="1">OFFSET(AA133,-4,0)*
OFFSET(MSP!$E$1,
MATCH(OFFSET($C127,((MATCH($C127,EL_List,0)-1)*-10)-1,0),MSP!$C:$C,0)+MATCH($C127,EL_List,0)-1,0)
*INDEX(Learning!$E$6:$S$41,(MATCH(AA$21,Dates,0)),(MATCH($C$86,Learning!$E$4:$S$4,0)+MATCH($C$127,Learning!$E$5:$S$5,0)-1))</f>
        <v>2.4684475974348006E-2</v>
      </c>
      <c r="AB133" s="533" cm="1">
        <f t="array" aca="1" ref="AB133" ca="1">OFFSET(AB133,-4,0)*
OFFSET(MSP!$E$1,
MATCH(OFFSET($C127,((MATCH($C127,EL_List,0)-1)*-10)-1,0),MSP!$C:$C,0)+MATCH($C127,EL_List,0)-1,0)
*INDEX(Learning!$E$6:$S$41,(MATCH(AB$21,Dates,0)),(MATCH($C$86,Learning!$E$4:$S$4,0)+MATCH($C$127,Learning!$E$5:$S$5,0)-1))</f>
        <v>2.5798849434497454E-2</v>
      </c>
      <c r="AC133" s="533" cm="1">
        <f t="array" aca="1" ref="AC133" ca="1">OFFSET(AC133,-4,0)*
OFFSET(MSP!$E$1,
MATCH(OFFSET($C127,((MATCH($C127,EL_List,0)-1)*-10)-1,0),MSP!$C:$C,0)+MATCH($C127,EL_List,0)-1,0)
*INDEX(Learning!$E$6:$S$41,(MATCH(AC$21,Dates,0)),(MATCH($C$86,Learning!$E$4:$S$4,0)+MATCH($C$127,Learning!$E$5:$S$5,0)-1))</f>
        <v>2.6961884880045854E-2</v>
      </c>
      <c r="AD133" s="533" cm="1">
        <f t="array" aca="1" ref="AD133" ca="1">OFFSET(AD133,-4,0)*
OFFSET(MSP!$E$1,
MATCH(OFFSET($C127,((MATCH($C127,EL_List,0)-1)*-10)-1,0),MSP!$C:$C,0)+MATCH($C127,EL_List,0)-1,0)
*INDEX(Learning!$E$6:$S$41,(MATCH(AD$21,Dates,0)),(MATCH($C$86,Learning!$E$4:$S$4,0)+MATCH($C$127,Learning!$E$5:$S$5,0)-1))</f>
        <v>2.8175881893075502E-2</v>
      </c>
      <c r="AE133" s="533" cm="1">
        <f t="array" aca="1" ref="AE133" ca="1">OFFSET(AE133,-4,0)*
OFFSET(MSP!$E$1,
MATCH(OFFSET($C127,((MATCH($C127,EL_List,0)-1)*-10)-1,0),MSP!$C:$C,0)+MATCH($C127,EL_List,0)-1,0)
*INDEX(Learning!$E$6:$S$41,(MATCH(AE$21,Dates,0)),(MATCH($C$86,Learning!$E$4:$S$4,0)+MATCH($C$127,Learning!$E$5:$S$5,0)-1))</f>
        <v>2.9443086599016958E-2</v>
      </c>
      <c r="AF133" s="533" cm="1">
        <f t="array" aca="1" ref="AF133" ca="1">OFFSET(AF133,-4,0)*
OFFSET(MSP!$E$1,
MATCH(OFFSET($C127,((MATCH($C127,EL_List,0)-1)*-10)-1,0),MSP!$C:$C,0)+MATCH($C127,EL_List,0)-1,0)
*INDEX(Learning!$E$6:$S$41,(MATCH(AF$21,Dates,0)),(MATCH($C$86,Learning!$E$4:$S$4,0)+MATCH($C$127,Learning!$E$5:$S$5,0)-1))</f>
        <v>3.0765721184764068E-2</v>
      </c>
      <c r="AG133" s="533" cm="1">
        <f t="array" aca="1" ref="AG133" ca="1">OFFSET(AG133,-4,0)*
OFFSET(MSP!$E$1,
MATCH(OFFSET($C127,((MATCH($C127,EL_List,0)-1)*-10)-1,0),MSP!$C:$C,0)+MATCH($C127,EL_List,0)-1,0)
*INDEX(Learning!$E$6:$S$41,(MATCH(AG$21,Dates,0)),(MATCH($C$86,Learning!$E$4:$S$4,0)+MATCH($C$127,Learning!$E$5:$S$5,0)-1))</f>
        <v>3.2146048386466744E-2</v>
      </c>
      <c r="AH133" s="533" cm="1">
        <f t="array" aca="1" ref="AH133" ca="1">OFFSET(AH133,-4,0)*
OFFSET(MSP!$E$1,
MATCH(OFFSET($C127,((MATCH($C127,EL_List,0)-1)*-10)-1,0),MSP!$C:$C,0)+MATCH($C127,EL_List,0)-1,0)
*INDEX(Learning!$E$6:$S$41,(MATCH(AH$21,Dates,0)),(MATCH($C$86,Learning!$E$4:$S$4,0)+MATCH($C$127,Learning!$E$5:$S$5,0)-1))</f>
        <v>3.3623996589609961E-2</v>
      </c>
      <c r="AI133" s="533" cm="1">
        <f t="array" aca="1" ref="AI133" ca="1">OFFSET(AI133,-4,0)*
OFFSET(MSP!$E$1,
MATCH(OFFSET($C127,((MATCH($C127,EL_List,0)-1)*-10)-1,0),MSP!$C:$C,0)+MATCH($C127,EL_List,0)-1,0)
*INDEX(Learning!$E$6:$S$41,(MATCH(AI$21,Dates,0)),(MATCH($C$86,Learning!$E$4:$S$4,0)+MATCH($C$127,Learning!$E$5:$S$5,0)-1))</f>
        <v>3.512878307747748E-2</v>
      </c>
      <c r="AJ133" s="533" cm="1">
        <f t="array" aca="1" ref="AJ133" ca="1">OFFSET(AJ133,-4,0)*
OFFSET(MSP!$E$1,
MATCH(OFFSET($C127,((MATCH($C127,EL_List,0)-1)*-10)-1,0),MSP!$C:$C,0)+MATCH($C127,EL_List,0)-1,0)
*INDEX(Learning!$E$6:$S$41,(MATCH(AJ$21,Dates,0)),(MATCH($C$86,Learning!$E$4:$S$4,0)+MATCH($C$127,Learning!$E$5:$S$5,0)-1))</f>
        <v>3.6698863566017176E-2</v>
      </c>
      <c r="AK133" s="533" cm="1">
        <f t="array" aca="1" ref="AK133" ca="1">OFFSET(AK133,-4,0)*
OFFSET(MSP!$E$1,
MATCH(OFFSET($C127,((MATCH($C127,EL_List,0)-1)*-10)-1,0),MSP!$C:$C,0)+MATCH($C127,EL_List,0)-1,0)
*INDEX(Learning!$E$6:$S$41,(MATCH(AK$21,Dates,0)),(MATCH($C$86,Learning!$E$4:$S$4,0)+MATCH($C$127,Learning!$E$5:$S$5,0)-1))</f>
        <v>3.8380467602969606E-2</v>
      </c>
      <c r="AL133" s="533" cm="1">
        <f t="array" aca="1" ref="AL133" ca="1">OFFSET(AL133,-4,0)*
OFFSET(MSP!$E$1,
MATCH(OFFSET($C127,((MATCH($C127,EL_List,0)-1)*-10)-1,0),MSP!$C:$C,0)+MATCH($C127,EL_List,0)-1,0)
*INDEX(Learning!$E$6:$S$41,(MATCH(AL$21,Dates,0)),(MATCH($C$86,Learning!$E$4:$S$4,0)+MATCH($C$127,Learning!$E$5:$S$5,0)-1))</f>
        <v>4.0091858650149852E-2</v>
      </c>
      <c r="AM133" s="533" cm="1">
        <f t="array" aca="1" ref="AM133" ca="1">OFFSET(AM133,-4,0)*
OFFSET(MSP!$E$1,
MATCH(OFFSET($C127,((MATCH($C127,EL_List,0)-1)*-10)-1,0),MSP!$C:$C,0)+MATCH($C127,EL_List,0)-1,0)
*INDEX(Learning!$E$6:$S$41,(MATCH(AM$21,Dates,0)),(MATCH($C$86,Learning!$E$4:$S$4,0)+MATCH($C$127,Learning!$E$5:$S$5,0)-1))</f>
        <v>4.1877503423029469E-2</v>
      </c>
      <c r="AN133" s="533" cm="1">
        <f t="array" aca="1" ref="AN133" ca="1">OFFSET(AN133,-4,0)*
OFFSET(MSP!$E$1,
MATCH(OFFSET($C127,((MATCH($C127,EL_List,0)-1)*-10)-1,0),MSP!$C:$C,0)+MATCH($C127,EL_List,0)-1,0)
*INDEX(Learning!$E$6:$S$41,(MATCH(AN$21,Dates,0)),(MATCH($C$86,Learning!$E$4:$S$4,0)+MATCH($C$127,Learning!$E$5:$S$5,0)-1))</f>
        <v>4.3789740477469689E-2</v>
      </c>
      <c r="AO133" s="436"/>
      <c r="AP133" s="21"/>
    </row>
    <row r="134" spans="2:42" ht="15" customHeight="1" x14ac:dyDescent="0.35">
      <c r="B134" s="429"/>
      <c r="C134" s="777" t="s">
        <v>214</v>
      </c>
      <c r="D134" s="776"/>
      <c r="E134" s="533" cm="1">
        <f t="array" aca="1" ref="E134" ca="1">OFFSET(E134,-5,0)*
OFFSET(MSP!$F$1,
MATCH(OFFSET($C127,((MATCH($C127,EL_List,0)-1)*-10)-1,0),MSP!$C:$C,0)+MATCH($C127,EL_List,0)-1,0)
*INDEX(Learning!$E$6:$S$41,(MATCH(E$21,Dates,0)),(MATCH($C$86,Learning!$E$4:$S$4,0)+MATCH($C$127,Learning!$E$5:$S$5,0)-1))</f>
        <v>2.0829734559221838E-2</v>
      </c>
      <c r="F134" s="533" cm="1">
        <f t="array" aca="1" ref="F134" ca="1">OFFSET(F134,-5,0)*
OFFSET(MSP!$F$1,
MATCH(OFFSET($C127,((MATCH($C127,EL_List,0)-1)*-10)-1,0),MSP!$C:$C,0)+MATCH($C127,EL_List,0)-1,0)
*INDEX(Learning!$E$6:$S$41,(MATCH(F$21,Dates,0)),(MATCH($C$86,Learning!$E$4:$S$4,0)+MATCH($C$127,Learning!$E$5:$S$5,0)-1))</f>
        <v>2.1593977065830487E-2</v>
      </c>
      <c r="G134" s="533" cm="1">
        <f t="array" aca="1" ref="G134" ca="1">OFFSET(G134,-5,0)*
OFFSET(MSP!$F$1,
MATCH(OFFSET($C127,((MATCH($C127,EL_List,0)-1)*-10)-1,0),MSP!$C:$C,0)+MATCH($C127,EL_List,0)-1,0)
*INDEX(Learning!$E$6:$S$41,(MATCH(G$21,Dates,0)),(MATCH($C$86,Learning!$E$4:$S$4,0)+MATCH($C$127,Learning!$E$5:$S$5,0)-1))</f>
        <v>2.2270324507380267E-2</v>
      </c>
      <c r="H134" s="533" cm="1">
        <f t="array" aca="1" ref="H134" ca="1">OFFSET(H134,-5,0)*
OFFSET(MSP!$F$1,
MATCH(OFFSET($C127,((MATCH($C127,EL_List,0)-1)*-10)-1,0),MSP!$C:$C,0)+MATCH($C127,EL_List,0)-1,0)
*INDEX(Learning!$E$6:$S$41,(MATCH(H$21,Dates,0)),(MATCH($C$86,Learning!$E$4:$S$4,0)+MATCH($C$127,Learning!$E$5:$S$5,0)-1))</f>
        <v>2.3157128292954555E-2</v>
      </c>
      <c r="I134" s="533" cm="1">
        <f t="array" aca="1" ref="I134" ca="1">OFFSET(I134,-5,0)*
OFFSET(MSP!$F$1,
MATCH(OFFSET($C127,((MATCH($C127,EL_List,0)-1)*-10)-1,0),MSP!$C:$C,0)+MATCH($C127,EL_List,0)-1,0)
*INDEX(Learning!$E$6:$S$41,(MATCH(I$21,Dates,0)),(MATCH($C$86,Learning!$E$4:$S$4,0)+MATCH($C$127,Learning!$E$5:$S$5,0)-1))</f>
        <v>2.4104998925887265E-2</v>
      </c>
      <c r="J134" s="533" cm="1">
        <f t="array" aca="1" ref="J134" ca="1">OFFSET(J134,-5,0)*
OFFSET(MSP!$F$1,
MATCH(OFFSET($C127,((MATCH($C127,EL_List,0)-1)*-10)-1,0),MSP!$C:$C,0)+MATCH($C127,EL_List,0)-1,0)
*INDEX(Learning!$E$6:$S$41,(MATCH(J$21,Dates,0)),(MATCH($C$86,Learning!$E$4:$S$4,0)+MATCH($C$127,Learning!$E$5:$S$5,0)-1))</f>
        <v>2.517986956494141E-2</v>
      </c>
      <c r="K134" s="533" cm="1">
        <f t="array" aca="1" ref="K134" ca="1">OFFSET(K134,-5,0)*
OFFSET(MSP!$F$1,
MATCH(OFFSET($C127,((MATCH($C127,EL_List,0)-1)*-10)-1,0),MSP!$C:$C,0)+MATCH($C127,EL_List,0)-1,0)
*INDEX(Learning!$E$6:$S$41,(MATCH(K$21,Dates,0)),(MATCH($C$86,Learning!$E$4:$S$4,0)+MATCH($C$127,Learning!$E$5:$S$5,0)-1))</f>
        <v>2.6342675565175576E-2</v>
      </c>
      <c r="L134" s="533" cm="1">
        <f t="array" aca="1" ref="L134" ca="1">OFFSET(L134,-5,0)*
OFFSET(MSP!$F$1,
MATCH(OFFSET($C127,((MATCH($C127,EL_List,0)-1)*-10)-1,0),MSP!$C:$C,0)+MATCH($C127,EL_List,0)-1,0)
*INDEX(Learning!$E$6:$S$41,(MATCH(L$21,Dates,0)),(MATCH($C$86,Learning!$E$4:$S$4,0)+MATCH($C$127,Learning!$E$5:$S$5,0)-1))</f>
        <v>2.7570330440350115E-2</v>
      </c>
      <c r="M134" s="533" cm="1">
        <f t="array" aca="1" ref="M134" ca="1">OFFSET(M134,-5,0)*
OFFSET(MSP!$F$1,
MATCH(OFFSET($C127,((MATCH($C127,EL_List,0)-1)*-10)-1,0),MSP!$C:$C,0)+MATCH($C127,EL_List,0)-1,0)
*INDEX(Learning!$E$6:$S$41,(MATCH(M$21,Dates,0)),(MATCH($C$86,Learning!$E$4:$S$4,0)+MATCH($C$127,Learning!$E$5:$S$5,0)-1))</f>
        <v>2.884489775715926E-2</v>
      </c>
      <c r="N134" s="533" cm="1">
        <f t="array" aca="1" ref="N134" ca="1">OFFSET(N134,-5,0)*
OFFSET(MSP!$F$1,
MATCH(OFFSET($C127,((MATCH($C127,EL_List,0)-1)*-10)-1,0),MSP!$C:$C,0)+MATCH($C127,EL_List,0)-1,0)
*INDEX(Learning!$E$6:$S$41,(MATCH(N$21,Dates,0)),(MATCH($C$86,Learning!$E$4:$S$4,0)+MATCH($C$127,Learning!$E$5:$S$5,0)-1))</f>
        <v>3.0185013969008044E-2</v>
      </c>
      <c r="O134" s="533" cm="1">
        <f t="array" aca="1" ref="O134" ca="1">OFFSET(O134,-5,0)*
OFFSET(MSP!$F$1,
MATCH(OFFSET($C127,((MATCH($C127,EL_List,0)-1)*-10)-1,0),MSP!$C:$C,0)+MATCH($C127,EL_List,0)-1,0)
*INDEX(Learning!$E$6:$S$41,(MATCH(O$21,Dates,0)),(MATCH($C$86,Learning!$E$4:$S$4,0)+MATCH($C$127,Learning!$E$5:$S$5,0)-1))</f>
        <v>3.1529232798537456E-2</v>
      </c>
      <c r="P134" s="533" cm="1">
        <f t="array" aca="1" ref="P134" ca="1">OFFSET(P134,-5,0)*
OFFSET(MSP!$F$1,
MATCH(OFFSET($C127,((MATCH($C127,EL_List,0)-1)*-10)-1,0),MSP!$C:$C,0)+MATCH($C127,EL_List,0)-1,0)
*INDEX(Learning!$E$6:$S$41,(MATCH(P$21,Dates,0)),(MATCH($C$86,Learning!$E$4:$S$4,0)+MATCH($C$127,Learning!$E$5:$S$5,0)-1))</f>
        <v>3.2946203053613871E-2</v>
      </c>
      <c r="Q134" s="533" cm="1">
        <f t="array" aca="1" ref="Q134" ca="1">OFFSET(Q134,-5,0)*
OFFSET(MSP!$F$1,
MATCH(OFFSET($C127,((MATCH($C127,EL_List,0)-1)*-10)-1,0),MSP!$C:$C,0)+MATCH($C127,EL_List,0)-1,0)
*INDEX(Learning!$E$6:$S$41,(MATCH(Q$21,Dates,0)),(MATCH($C$86,Learning!$E$4:$S$4,0)+MATCH($C$127,Learning!$E$5:$S$5,0)-1))</f>
        <v>3.4414226908380585E-2</v>
      </c>
      <c r="R134" s="533" cm="1">
        <f t="array" aca="1" ref="R134" ca="1">OFFSET(R134,-5,0)*
OFFSET(MSP!$F$1,
MATCH(OFFSET($C127,((MATCH($C127,EL_List,0)-1)*-10)-1,0),MSP!$C:$C,0)+MATCH($C127,EL_List,0)-1,0)
*INDEX(Learning!$E$6:$S$41,(MATCH(R$21,Dates,0)),(MATCH($C$86,Learning!$E$4:$S$4,0)+MATCH($C$127,Learning!$E$5:$S$5,0)-1))</f>
        <v>3.5943756437387848E-2</v>
      </c>
      <c r="S134" s="533" cm="1">
        <f t="array" aca="1" ref="S134" ca="1">OFFSET(S134,-5,0)*
OFFSET(MSP!$F$1,
MATCH(OFFSET($C127,((MATCH($C127,EL_List,0)-1)*-10)-1,0),MSP!$C:$C,0)+MATCH($C127,EL_List,0)-1,0)
*INDEX(Learning!$E$6:$S$41,(MATCH(S$21,Dates,0)),(MATCH($C$86,Learning!$E$4:$S$4,0)+MATCH($C$127,Learning!$E$5:$S$5,0)-1))</f>
        <v>3.7543179728723487E-2</v>
      </c>
      <c r="T134" s="533" cm="1">
        <f t="array" aca="1" ref="T134" ca="1">OFFSET(T134,-5,0)*
OFFSET(MSP!$F$1,
MATCH(OFFSET($C127,((MATCH($C127,EL_List,0)-1)*-10)-1,0),MSP!$C:$C,0)+MATCH($C127,EL_List,0)-1,0)
*INDEX(Learning!$E$6:$S$41,(MATCH(T$21,Dates,0)),(MATCH($C$86,Learning!$E$4:$S$4,0)+MATCH($C$127,Learning!$E$5:$S$5,0)-1))</f>
        <v>3.9258366830571045E-2</v>
      </c>
      <c r="U134" s="533" cm="1">
        <f t="array" aca="1" ref="U134" ca="1">OFFSET(U134,-5,0)*
OFFSET(MSP!$F$1,
MATCH(OFFSET($C127,((MATCH($C127,EL_List,0)-1)*-10)-1,0),MSP!$C:$C,0)+MATCH($C127,EL_List,0)-1,0)
*INDEX(Learning!$E$6:$S$41,(MATCH(U$21,Dates,0)),(MATCH($C$86,Learning!$E$4:$S$4,0)+MATCH($C$127,Learning!$E$5:$S$5,0)-1))</f>
        <v>4.1014217007013798E-2</v>
      </c>
      <c r="V134" s="533" cm="1">
        <f t="array" aca="1" ref="V134" ca="1">OFFSET(V134,-5,0)*
OFFSET(MSP!$F$1,
MATCH(OFFSET($C127,((MATCH($C127,EL_List,0)-1)*-10)-1,0),MSP!$C:$C,0)+MATCH($C127,EL_List,0)-1,0)
*INDEX(Learning!$E$6:$S$41,(MATCH(V$21,Dates,0)),(MATCH($C$86,Learning!$E$4:$S$4,0)+MATCH($C$127,Learning!$E$5:$S$5,0)-1))</f>
        <v>4.2844474678307744E-2</v>
      </c>
      <c r="W134" s="533" cm="1">
        <f t="array" aca="1" ref="W134" ca="1">OFFSET(W134,-5,0)*
OFFSET(MSP!$F$1,
MATCH(OFFSET($C127,((MATCH($C127,EL_List,0)-1)*-10)-1,0),MSP!$C:$C,0)+MATCH($C127,EL_List,0)-1,0)
*INDEX(Learning!$E$6:$S$41,(MATCH(W$21,Dates,0)),(MATCH($C$86,Learning!$E$4:$S$4,0)+MATCH($C$127,Learning!$E$5:$S$5,0)-1))</f>
        <v>4.4801525322517452E-2</v>
      </c>
      <c r="X134" s="533" cm="1">
        <f t="array" aca="1" ref="X134" ca="1">OFFSET(X134,-5,0)*
OFFSET(MSP!$F$1,
MATCH(OFFSET($C127,((MATCH($C127,EL_List,0)-1)*-10)-1,0),MSP!$C:$C,0)+MATCH($C127,EL_List,0)-1,0)
*INDEX(Learning!$E$6:$S$41,(MATCH(X$21,Dates,0)),(MATCH($C$86,Learning!$E$4:$S$4,0)+MATCH($C$127,Learning!$E$5:$S$5,0)-1))</f>
        <v>4.6843386948663857E-2</v>
      </c>
      <c r="Y134" s="533" cm="1">
        <f t="array" aca="1" ref="Y134" ca="1">OFFSET(Y134,-5,0)*
OFFSET(MSP!$F$1,
MATCH(OFFSET($C127,((MATCH($C127,EL_List,0)-1)*-10)-1,0),MSP!$C:$C,0)+MATCH($C127,EL_List,0)-1,0)
*INDEX(Learning!$E$6:$S$41,(MATCH(Y$21,Dates,0)),(MATCH($C$86,Learning!$E$4:$S$4,0)+MATCH($C$127,Learning!$E$5:$S$5,0)-1))</f>
        <v>4.8919921939499338E-2</v>
      </c>
      <c r="Z134" s="533" cm="1">
        <f t="array" aca="1" ref="Z134" ca="1">OFFSET(Z134,-5,0)*
OFFSET(MSP!$F$1,
MATCH(OFFSET($C127,((MATCH($C127,EL_List,0)-1)*-10)-1,0),MSP!$C:$C,0)+MATCH($C127,EL_List,0)-1,0)
*INDEX(Learning!$E$6:$S$41,(MATCH(Z$21,Dates,0)),(MATCH($C$86,Learning!$E$4:$S$4,0)+MATCH($C$127,Learning!$E$5:$S$5,0)-1))</f>
        <v>5.1137396553014719E-2</v>
      </c>
      <c r="AA134" s="533" cm="1">
        <f t="array" aca="1" ref="AA134" ca="1">OFFSET(AA134,-5,0)*
OFFSET(MSP!$F$1,
MATCH(OFFSET($C127,((MATCH($C127,EL_List,0)-1)*-10)-1,0),MSP!$C:$C,0)+MATCH($C127,EL_List,0)-1,0)
*INDEX(Learning!$E$6:$S$41,(MATCH(AA$21,Dates,0)),(MATCH($C$86,Learning!$E$4:$S$4,0)+MATCH($C$127,Learning!$E$5:$S$5,0)-1))</f>
        <v>5.3450074071611821E-2</v>
      </c>
      <c r="AB134" s="533" cm="1">
        <f t="array" aca="1" ref="AB134" ca="1">OFFSET(AB134,-5,0)*
OFFSET(MSP!$F$1,
MATCH(OFFSET($C127,((MATCH($C127,EL_List,0)-1)*-10)-1,0),MSP!$C:$C,0)+MATCH($C127,EL_List,0)-1,0)
*INDEX(Learning!$E$6:$S$41,(MATCH(AB$21,Dates,0)),(MATCH($C$86,Learning!$E$4:$S$4,0)+MATCH($C$127,Learning!$E$5:$S$5,0)-1))</f>
        <v>5.5863062058487623E-2</v>
      </c>
      <c r="AC134" s="533" cm="1">
        <f t="array" aca="1" ref="AC134" ca="1">OFFSET(AC134,-5,0)*
OFFSET(MSP!$F$1,
MATCH(OFFSET($C127,((MATCH($C127,EL_List,0)-1)*-10)-1,0),MSP!$C:$C,0)+MATCH($C127,EL_List,0)-1,0)
*INDEX(Learning!$E$6:$S$41,(MATCH(AC$21,Dates,0)),(MATCH($C$86,Learning!$E$4:$S$4,0)+MATCH($C$127,Learning!$E$5:$S$5,0)-1))</f>
        <v>5.8381419376547485E-2</v>
      </c>
      <c r="AD134" s="533" cm="1">
        <f t="array" aca="1" ref="AD134" ca="1">OFFSET(AD134,-5,0)*
OFFSET(MSP!$F$1,
MATCH(OFFSET($C127,((MATCH($C127,EL_List,0)-1)*-10)-1,0),MSP!$C:$C,0)+MATCH($C127,EL_List,0)-1,0)
*INDEX(Learning!$E$6:$S$41,(MATCH(AD$21,Dates,0)),(MATCH($C$86,Learning!$E$4:$S$4,0)+MATCH($C$127,Learning!$E$5:$S$5,0)-1))</f>
        <v>6.1010125383374678E-2</v>
      </c>
      <c r="AE134" s="533" cm="1">
        <f t="array" aca="1" ref="AE134" ca="1">OFFSET(AE134,-5,0)*
OFFSET(MSP!$F$1,
MATCH(OFFSET($C127,((MATCH($C127,EL_List,0)-1)*-10)-1,0),MSP!$C:$C,0)+MATCH($C127,EL_List,0)-1,0)
*INDEX(Learning!$E$6:$S$41,(MATCH(AE$21,Dates,0)),(MATCH($C$86,Learning!$E$4:$S$4,0)+MATCH($C$127,Learning!$E$5:$S$5,0)-1))</f>
        <v>6.3754043685179132E-2</v>
      </c>
      <c r="AF134" s="533" cm="1">
        <f t="array" aca="1" ref="AF134" ca="1">OFFSET(AF134,-5,0)*
OFFSET(MSP!$F$1,
MATCH(OFFSET($C127,((MATCH($C127,EL_List,0)-1)*-10)-1,0),MSP!$C:$C,0)+MATCH($C127,EL_List,0)-1,0)
*INDEX(Learning!$E$6:$S$41,(MATCH(AF$21,Dates,0)),(MATCH($C$86,Learning!$E$4:$S$4,0)+MATCH($C$127,Learning!$E$5:$S$5,0)-1))</f>
        <v>6.6617986053302505E-2</v>
      </c>
      <c r="AG134" s="533" cm="1">
        <f t="array" aca="1" ref="AG134" ca="1">OFFSET(AG134,-5,0)*
OFFSET(MSP!$F$1,
MATCH(OFFSET($C127,((MATCH($C127,EL_List,0)-1)*-10)-1,0),MSP!$C:$C,0)+MATCH($C127,EL_List,0)-1,0)
*INDEX(Learning!$E$6:$S$41,(MATCH(AG$21,Dates,0)),(MATCH($C$86,Learning!$E$4:$S$4,0)+MATCH($C$127,Learning!$E$5:$S$5,0)-1))</f>
        <v>6.9606852061669028E-2</v>
      </c>
      <c r="AH134" s="533" cm="1">
        <f t="array" aca="1" ref="AH134" ca="1">OFFSET(AH134,-5,0)*
OFFSET(MSP!$F$1,
MATCH(OFFSET($C127,((MATCH($C127,EL_List,0)-1)*-10)-1,0),MSP!$C:$C,0)+MATCH($C127,EL_List,0)-1,0)
*INDEX(Learning!$E$6:$S$41,(MATCH(AH$21,Dates,0)),(MATCH($C$86,Learning!$E$4:$S$4,0)+MATCH($C$127,Learning!$E$5:$S$5,0)-1))</f>
        <v>7.2807099902218814E-2</v>
      </c>
      <c r="AI134" s="533" cm="1">
        <f t="array" aca="1" ref="AI134" ca="1">OFFSET(AI134,-5,0)*
OFFSET(MSP!$F$1,
MATCH(OFFSET($C127,((MATCH($C127,EL_List,0)-1)*-10)-1,0),MSP!$C:$C,0)+MATCH($C127,EL_List,0)-1,0)
*INDEX(Learning!$E$6:$S$41,(MATCH(AI$21,Dates,0)),(MATCH($C$86,Learning!$E$4:$S$4,0)+MATCH($C$127,Learning!$E$5:$S$5,0)-1))</f>
        <v>7.6065461526831107E-2</v>
      </c>
      <c r="AJ134" s="533" cm="1">
        <f t="array" aca="1" ref="AJ134" ca="1">OFFSET(AJ134,-5,0)*
OFFSET(MSP!$F$1,
MATCH(OFFSET($C127,((MATCH($C127,EL_List,0)-1)*-10)-1,0),MSP!$C:$C,0)+MATCH($C127,EL_List,0)-1,0)
*INDEX(Learning!$E$6:$S$41,(MATCH(AJ$21,Dates,0)),(MATCH($C$86,Learning!$E$4:$S$4,0)+MATCH($C$127,Learning!$E$5:$S$5,0)-1))</f>
        <v>7.9465206309667469E-2</v>
      </c>
      <c r="AK134" s="533" cm="1">
        <f t="array" aca="1" ref="AK134" ca="1">OFFSET(AK134,-5,0)*
OFFSET(MSP!$F$1,
MATCH(OFFSET($C127,((MATCH($C127,EL_List,0)-1)*-10)-1,0),MSP!$C:$C,0)+MATCH($C127,EL_List,0)-1,0)
*INDEX(Learning!$E$6:$S$41,(MATCH(AK$21,Dates,0)),(MATCH($C$86,Learning!$E$4:$S$4,0)+MATCH($C$127,Learning!$E$5:$S$5,0)-1))</f>
        <v>8.3106436547961113E-2</v>
      </c>
      <c r="AL134" s="533" cm="1">
        <f t="array" aca="1" ref="AL134" ca="1">OFFSET(AL134,-5,0)*
OFFSET(MSP!$F$1,
MATCH(OFFSET($C127,((MATCH($C127,EL_List,0)-1)*-10)-1,0),MSP!$C:$C,0)+MATCH($C127,EL_List,0)-1,0)
*INDEX(Learning!$E$6:$S$41,(MATCH(AL$21,Dates,0)),(MATCH($C$86,Learning!$E$4:$S$4,0)+MATCH($C$127,Learning!$E$5:$S$5,0)-1))</f>
        <v>8.6812165538616495E-2</v>
      </c>
      <c r="AM134" s="533" cm="1">
        <f t="array" aca="1" ref="AM134" ca="1">OFFSET(AM134,-5,0)*
OFFSET(MSP!$F$1,
MATCH(OFFSET($C127,((MATCH($C127,EL_List,0)-1)*-10)-1,0),MSP!$C:$C,0)+MATCH($C127,EL_List,0)-1,0)
*INDEX(Learning!$E$6:$S$41,(MATCH(AM$21,Dates,0)),(MATCH($C$86,Learning!$E$4:$S$4,0)+MATCH($C$127,Learning!$E$5:$S$5,0)-1))</f>
        <v>9.0678678462576698E-2</v>
      </c>
      <c r="AN134" s="533" cm="1">
        <f t="array" aca="1" ref="AN134" ca="1">OFFSET(AN134,-5,0)*
OFFSET(MSP!$F$1,
MATCH(OFFSET($C127,((MATCH($C127,EL_List,0)-1)*-10)-1,0),MSP!$C:$C,0)+MATCH($C127,EL_List,0)-1,0)
*INDEX(Learning!$E$6:$S$41,(MATCH(AN$21,Dates,0)),(MATCH($C$86,Learning!$E$4:$S$4,0)+MATCH($C$127,Learning!$E$5:$S$5,0)-1))</f>
        <v>9.4819305644961521E-2</v>
      </c>
      <c r="AO134" s="436"/>
      <c r="AP134" s="21"/>
    </row>
    <row r="135" spans="2:42" ht="15" customHeight="1" collapsed="1" x14ac:dyDescent="0.35">
      <c r="B135" s="429"/>
      <c r="C135" s="777" t="s">
        <v>215</v>
      </c>
      <c r="D135" s="776"/>
      <c r="E135" s="531" cm="1">
        <f t="array" aca="1" ref="E135" ca="1">OFFSET(E135,-6,0)*
OFFSET(MSP!$G$1,
MATCH(OFFSET($C127,((MATCH($C127,EL_List,0)-1)*-10)-1,0),MSP!$C:$C,0)+MATCH($C127,EL_List,0)-1,0)
*INDEX(Learning!$E$6:$S$41,(MATCH(E$21,Dates,0)),(MATCH($C$86,Learning!$E$4:$S$4,0)+MATCH($C$127,Learning!$E$5:$S$5,0)-1))</f>
        <v>1.2643586411130833E-2</v>
      </c>
      <c r="F135" s="531" cm="1">
        <f t="array" aca="1" ref="F135" ca="1">OFFSET(F135,-6,0)*
OFFSET(MSP!$G$1,
MATCH(OFFSET($C127,((MATCH($C127,EL_List,0)-1)*-10)-1,0),MSP!$C:$C,0)+MATCH($C127,EL_List,0)-1,0)
*INDEX(Learning!$E$6:$S$41,(MATCH(F$21,Dates,0)),(MATCH($C$86,Learning!$E$4:$S$4,0)+MATCH($C$127,Learning!$E$5:$S$5,0)-1))</f>
        <v>1.3107479320754482E-2</v>
      </c>
      <c r="G135" s="531" cm="1">
        <f t="array" aca="1" ref="G135" ca="1">OFFSET(G135,-6,0)*
OFFSET(MSP!$G$1,
MATCH(OFFSET($C127,((MATCH($C127,EL_List,0)-1)*-10)-1,0),MSP!$C:$C,0)+MATCH($C127,EL_List,0)-1,0)
*INDEX(Learning!$E$6:$S$41,(MATCH(G$21,Dates,0)),(MATCH($C$86,Learning!$E$4:$S$4,0)+MATCH($C$127,Learning!$E$5:$S$5,0)-1))</f>
        <v>1.3518020189476017E-2</v>
      </c>
      <c r="H135" s="531" cm="1">
        <f t="array" aca="1" ref="H135" ca="1">OFFSET(H135,-6,0)*
OFFSET(MSP!$G$1,
MATCH(OFFSET($C127,((MATCH($C127,EL_List,0)-1)*-10)-1,0),MSP!$C:$C,0)+MATCH($C127,EL_List,0)-1,0)
*INDEX(Learning!$E$6:$S$41,(MATCH(H$21,Dates,0)),(MATCH($C$86,Learning!$E$4:$S$4,0)+MATCH($C$127,Learning!$E$5:$S$5,0)-1))</f>
        <v>1.4056307427882636E-2</v>
      </c>
      <c r="I135" s="531" cm="1">
        <f t="array" aca="1" ref="I135" ca="1">OFFSET(I135,-6,0)*
OFFSET(MSP!$G$1,
MATCH(OFFSET($C127,((MATCH($C127,EL_List,0)-1)*-10)-1,0),MSP!$C:$C,0)+MATCH($C127,EL_List,0)-1,0)
*INDEX(Learning!$E$6:$S$41,(MATCH(I$21,Dates,0)),(MATCH($C$86,Learning!$E$4:$S$4,0)+MATCH($C$127,Learning!$E$5:$S$5,0)-1))</f>
        <v>1.4631662059502375E-2</v>
      </c>
      <c r="J135" s="531" cm="1">
        <f t="array" aca="1" ref="J135" ca="1">OFFSET(J135,-6,0)*
OFFSET(MSP!$G$1,
MATCH(OFFSET($C127,((MATCH($C127,EL_List,0)-1)*-10)-1,0),MSP!$C:$C,0)+MATCH($C127,EL_List,0)-1,0)
*INDEX(Learning!$E$6:$S$41,(MATCH(J$21,Dates,0)),(MATCH($C$86,Learning!$E$4:$S$4,0)+MATCH($C$127,Learning!$E$5:$S$5,0)-1))</f>
        <v>1.5284105313977349E-2</v>
      </c>
      <c r="K135" s="531" cm="1">
        <f t="array" aca="1" ref="K135" ca="1">OFFSET(K135,-6,0)*
OFFSET(MSP!$G$1,
MATCH(OFFSET($C127,((MATCH($C127,EL_List,0)-1)*-10)-1,0),MSP!$C:$C,0)+MATCH($C127,EL_List,0)-1,0)
*INDEX(Learning!$E$6:$S$41,(MATCH(K$21,Dates,0)),(MATCH($C$86,Learning!$E$4:$S$4,0)+MATCH($C$127,Learning!$E$5:$S$5,0)-1))</f>
        <v>1.598992506897913E-2</v>
      </c>
      <c r="L135" s="531" cm="1">
        <f t="array" aca="1" ref="L135" ca="1">OFFSET(L135,-6,0)*
OFFSET(MSP!$G$1,
MATCH(OFFSET($C127,((MATCH($C127,EL_List,0)-1)*-10)-1,0),MSP!$C:$C,0)+MATCH($C127,EL_List,0)-1,0)
*INDEX(Learning!$E$6:$S$41,(MATCH(L$21,Dates,0)),(MATCH($C$86,Learning!$E$4:$S$4,0)+MATCH($C$127,Learning!$E$5:$S$5,0)-1))</f>
        <v>1.6735107896594343E-2</v>
      </c>
      <c r="M135" s="531" cm="1">
        <f t="array" aca="1" ref="M135" ca="1">OFFSET(M135,-6,0)*
OFFSET(MSP!$G$1,
MATCH(OFFSET($C127,((MATCH($C127,EL_List,0)-1)*-10)-1,0),MSP!$C:$C,0)+MATCH($C127,EL_List,0)-1,0)
*INDEX(Learning!$E$6:$S$41,(MATCH(M$21,Dates,0)),(MATCH($C$86,Learning!$E$4:$S$4,0)+MATCH($C$127,Learning!$E$5:$S$5,0)-1))</f>
        <v>1.7508766435595988E-2</v>
      </c>
      <c r="N135" s="531" cm="1">
        <f t="array" aca="1" ref="N135" ca="1">OFFSET(N135,-6,0)*
OFFSET(MSP!$G$1,
MATCH(OFFSET($C127,((MATCH($C127,EL_List,0)-1)*-10)-1,0),MSP!$C:$C,0)+MATCH($C127,EL_List,0)-1,0)
*INDEX(Learning!$E$6:$S$41,(MATCH(N$21,Dates,0)),(MATCH($C$86,Learning!$E$4:$S$4,0)+MATCH($C$127,Learning!$E$5:$S$5,0)-1))</f>
        <v>1.8322212957312029E-2</v>
      </c>
      <c r="O135" s="531" cm="1">
        <f t="array" aca="1" ref="O135" ca="1">OFFSET(O135,-6,0)*
OFFSET(MSP!$G$1,
MATCH(OFFSET($C127,((MATCH($C127,EL_List,0)-1)*-10)-1,0),MSP!$C:$C,0)+MATCH($C127,EL_List,0)-1,0)
*INDEX(Learning!$E$6:$S$41,(MATCH(O$21,Dates,0)),(MATCH($C$86,Learning!$E$4:$S$4,0)+MATCH($C$127,Learning!$E$5:$S$5,0)-1))</f>
        <v>1.913814975565686E-2</v>
      </c>
      <c r="P135" s="531" cm="1">
        <f t="array" aca="1" ref="P135" ca="1">OFFSET(P135,-6,0)*
OFFSET(MSP!$G$1,
MATCH(OFFSET($C127,((MATCH($C127,EL_List,0)-1)*-10)-1,0),MSP!$C:$C,0)+MATCH($C127,EL_List,0)-1,0)
*INDEX(Learning!$E$6:$S$41,(MATCH(P$21,Dates,0)),(MATCH($C$86,Learning!$E$4:$S$4,0)+MATCH($C$127,Learning!$E$5:$S$5,0)-1))</f>
        <v>1.9998246451134395E-2</v>
      </c>
      <c r="Q135" s="531" cm="1">
        <f t="array" aca="1" ref="Q135" ca="1">OFFSET(Q135,-6,0)*
OFFSET(MSP!$G$1,
MATCH(OFFSET($C127,((MATCH($C127,EL_List,0)-1)*-10)-1,0),MSP!$C:$C,0)+MATCH($C127,EL_List,0)-1,0)
*INDEX(Learning!$E$6:$S$41,(MATCH(Q$21,Dates,0)),(MATCH($C$86,Learning!$E$4:$S$4,0)+MATCH($C$127,Learning!$E$5:$S$5,0)-1))</f>
        <v>2.0889332528519228E-2</v>
      </c>
      <c r="R135" s="531" cm="1">
        <f t="array" aca="1" ref="R135" ca="1">OFFSET(R135,-6,0)*
OFFSET(MSP!$G$1,
MATCH(OFFSET($C127,((MATCH($C127,EL_List,0)-1)*-10)-1,0),MSP!$C:$C,0)+MATCH($C127,EL_List,0)-1,0)
*INDEX(Learning!$E$6:$S$41,(MATCH(R$21,Dates,0)),(MATCH($C$86,Learning!$E$4:$S$4,0)+MATCH($C$127,Learning!$E$5:$S$5,0)-1))</f>
        <v>2.1817752365718632E-2</v>
      </c>
      <c r="S135" s="531" cm="1">
        <f t="array" aca="1" ref="S135" ca="1">OFFSET(S135,-6,0)*
OFFSET(MSP!$G$1,
MATCH(OFFSET($C127,((MATCH($C127,EL_List,0)-1)*-10)-1,0),MSP!$C:$C,0)+MATCH($C127,EL_List,0)-1,0)
*INDEX(Learning!$E$6:$S$41,(MATCH(S$21,Dates,0)),(MATCH($C$86,Learning!$E$4:$S$4,0)+MATCH($C$127,Learning!$E$5:$S$5,0)-1))</f>
        <v>2.2788597507046874E-2</v>
      </c>
      <c r="T135" s="531" cm="1">
        <f t="array" aca="1" ref="T135" ca="1">OFFSET(T135,-6,0)*
OFFSET(MSP!$G$1,
MATCH(OFFSET($C127,((MATCH($C127,EL_List,0)-1)*-10)-1,0),MSP!$C:$C,0)+MATCH($C127,EL_List,0)-1,0)
*INDEX(Learning!$E$6:$S$41,(MATCH(T$21,Dates,0)),(MATCH($C$86,Learning!$E$4:$S$4,0)+MATCH($C$127,Learning!$E$5:$S$5,0)-1))</f>
        <v>2.3829710934191613E-2</v>
      </c>
      <c r="U135" s="531" cm="1">
        <f t="array" aca="1" ref="U135" ca="1">OFFSET(U135,-6,0)*
OFFSET(MSP!$G$1,
MATCH(OFFSET($C127,((MATCH($C127,EL_List,0)-1)*-10)-1,0),MSP!$C:$C,0)+MATCH($C127,EL_List,0)-1,0)
*INDEX(Learning!$E$6:$S$41,(MATCH(U$21,Dates,0)),(MATCH($C$86,Learning!$E$4:$S$4,0)+MATCH($C$127,Learning!$E$5:$S$5,0)-1))</f>
        <v>2.4895506725671094E-2</v>
      </c>
      <c r="V135" s="531" cm="1">
        <f t="array" aca="1" ref="V135" ca="1">OFFSET(V135,-6,0)*
OFFSET(MSP!$G$1,
MATCH(OFFSET($C127,((MATCH($C127,EL_List,0)-1)*-10)-1,0),MSP!$C:$C,0)+MATCH($C127,EL_List,0)-1,0)
*INDEX(Learning!$E$6:$S$41,(MATCH(V$21,Dates,0)),(MATCH($C$86,Learning!$E$4:$S$4,0)+MATCH($C$127,Learning!$E$5:$S$5,0)-1))</f>
        <v>2.6006467643384511E-2</v>
      </c>
      <c r="W135" s="531" cm="1">
        <f t="array" aca="1" ref="W135" ca="1">OFFSET(W135,-6,0)*
OFFSET(MSP!$G$1,
MATCH(OFFSET($C127,((MATCH($C127,EL_List,0)-1)*-10)-1,0),MSP!$C:$C,0)+MATCH($C127,EL_List,0)-1,0)
*INDEX(Learning!$E$6:$S$41,(MATCH(W$21,Dates,0)),(MATCH($C$86,Learning!$E$4:$S$4,0)+MATCH($C$127,Learning!$E$5:$S$5,0)-1))</f>
        <v>2.7194391515418199E-2</v>
      </c>
      <c r="X135" s="531" cm="1">
        <f t="array" aca="1" ref="X135" ca="1">OFFSET(X135,-6,0)*
OFFSET(MSP!$G$1,
MATCH(OFFSET($C127,((MATCH($C127,EL_List,0)-1)*-10)-1,0),MSP!$C:$C,0)+MATCH($C127,EL_List,0)-1,0)
*INDEX(Learning!$E$6:$S$41,(MATCH(X$21,Dates,0)),(MATCH($C$86,Learning!$E$4:$S$4,0)+MATCH($C$127,Learning!$E$5:$S$5,0)-1))</f>
        <v>2.8433795399147702E-2</v>
      </c>
      <c r="Y135" s="531" cm="1">
        <f t="array" aca="1" ref="Y135" ca="1">OFFSET(Y135,-6,0)*
OFFSET(MSP!$G$1,
MATCH(OFFSET($C127,((MATCH($C127,EL_List,0)-1)*-10)-1,0),MSP!$C:$C,0)+MATCH($C127,EL_List,0)-1,0)
*INDEX(Learning!$E$6:$S$41,(MATCH(Y$21,Dates,0)),(MATCH($C$86,Learning!$E$4:$S$4,0)+MATCH($C$127,Learning!$E$5:$S$5,0)-1))</f>
        <v>2.9694245911261477E-2</v>
      </c>
      <c r="Z135" s="531" cm="1">
        <f t="array" aca="1" ref="Z135" ca="1">OFFSET(Z135,-6,0)*
OFFSET(MSP!$G$1,
MATCH(OFFSET($C127,((MATCH($C127,EL_List,0)-1)*-10)-1,0),MSP!$C:$C,0)+MATCH($C127,EL_List,0)-1,0)
*INDEX(Learning!$E$6:$S$41,(MATCH(Z$21,Dates,0)),(MATCH($C$86,Learning!$E$4:$S$4,0)+MATCH($C$127,Learning!$E$5:$S$5,0)-1))</f>
        <v>3.1040246351677941E-2</v>
      </c>
      <c r="AA135" s="531" cm="1">
        <f t="array" aca="1" ref="AA135" ca="1">OFFSET(AA135,-6,0)*
OFFSET(MSP!$G$1,
MATCH(OFFSET($C127,((MATCH($C127,EL_List,0)-1)*-10)-1,0),MSP!$C:$C,0)+MATCH($C127,EL_List,0)-1,0)
*INDEX(Learning!$E$6:$S$41,(MATCH(AA$21,Dates,0)),(MATCH($C$86,Learning!$E$4:$S$4,0)+MATCH($C$127,Learning!$E$5:$S$5,0)-1))</f>
        <v>3.2444034669974905E-2</v>
      </c>
      <c r="AB135" s="531" cm="1">
        <f t="array" aca="1" ref="AB135" ca="1">OFFSET(AB135,-6,0)*
OFFSET(MSP!$G$1,
MATCH(OFFSET($C127,((MATCH($C127,EL_List,0)-1)*-10)-1,0),MSP!$C:$C,0)+MATCH($C127,EL_List,0)-1,0)
*INDEX(Learning!$E$6:$S$41,(MATCH(AB$21,Dates,0)),(MATCH($C$86,Learning!$E$4:$S$4,0)+MATCH($C$127,Learning!$E$5:$S$5,0)-1))</f>
        <v>3.3908711141695851E-2</v>
      </c>
      <c r="AC135" s="531" cm="1">
        <f t="array" aca="1" ref="AC135" ca="1">OFFSET(AC135,-6,0)*
OFFSET(MSP!$G$1,
MATCH(OFFSET($C127,((MATCH($C127,EL_List,0)-1)*-10)-1,0),MSP!$C:$C,0)+MATCH($C127,EL_List,0)-1,0)
*INDEX(Learning!$E$6:$S$41,(MATCH(AC$21,Dates,0)),(MATCH($C$86,Learning!$E$4:$S$4,0)+MATCH($C$127,Learning!$E$5:$S$5,0)-1))</f>
        <v>3.5437346481453295E-2</v>
      </c>
      <c r="AD135" s="531" cm="1">
        <f t="array" aca="1" ref="AD135" ca="1">OFFSET(AD135,-6,0)*
OFFSET(MSP!$G$1,
MATCH(OFFSET($C127,((MATCH($C127,EL_List,0)-1)*-10)-1,0),MSP!$C:$C,0)+MATCH($C127,EL_List,0)-1,0)
*INDEX(Learning!$E$6:$S$41,(MATCH(AD$21,Dates,0)),(MATCH($C$86,Learning!$E$4:$S$4,0)+MATCH($C$127,Learning!$E$5:$S$5,0)-1))</f>
        <v>3.70329631443677E-2</v>
      </c>
      <c r="AE135" s="531" cm="1">
        <f t="array" aca="1" ref="AE135" ca="1">OFFSET(AE135,-6,0)*
OFFSET(MSP!$G$1,
MATCH(OFFSET($C127,((MATCH($C127,EL_List,0)-1)*-10)-1,0),MSP!$C:$C,0)+MATCH($C127,EL_List,0)-1,0)
*INDEX(Learning!$E$6:$S$41,(MATCH(AE$21,Dates,0)),(MATCH($C$86,Learning!$E$4:$S$4,0)+MATCH($C$127,Learning!$E$5:$S$5,0)-1))</f>
        <v>3.8698513324823006E-2</v>
      </c>
      <c r="AF135" s="531" cm="1">
        <f t="array" aca="1" ref="AF135" ca="1">OFFSET(AF135,-6,0)*
OFFSET(MSP!$G$1,
MATCH(OFFSET($C127,((MATCH($C127,EL_List,0)-1)*-10)-1,0),MSP!$C:$C,0)+MATCH($C127,EL_List,0)-1,0)
*INDEX(Learning!$E$6:$S$41,(MATCH(AF$21,Dates,0)),(MATCH($C$86,Learning!$E$4:$S$4,0)+MATCH($C$127,Learning!$E$5:$S$5,0)-1))</f>
        <v>4.0436917753593565E-2</v>
      </c>
      <c r="AG135" s="531" cm="1">
        <f t="array" aca="1" ref="AG135" ca="1">OFFSET(AG135,-6,0)*
OFFSET(MSP!$G$1,
MATCH(OFFSET($C127,((MATCH($C127,EL_List,0)-1)*-10)-1,0),MSP!$C:$C,0)+MATCH($C127,EL_List,0)-1,0)
*INDEX(Learning!$E$6:$S$41,(MATCH(AG$21,Dates,0)),(MATCH($C$86,Learning!$E$4:$S$4,0)+MATCH($C$127,Learning!$E$5:$S$5,0)-1))</f>
        <v>4.2251150457358055E-2</v>
      </c>
      <c r="AH135" s="531" cm="1">
        <f t="array" aca="1" ref="AH135" ca="1">OFFSET(AH135,-6,0)*
OFFSET(MSP!$G$1,
MATCH(OFFSET($C127,((MATCH($C127,EL_List,0)-1)*-10)-1,0),MSP!$C:$C,0)+MATCH($C127,EL_List,0)-1,0)
*INDEX(Learning!$E$6:$S$41,(MATCH(AH$21,Dates,0)),(MATCH($C$86,Learning!$E$4:$S$4,0)+MATCH($C$127,Learning!$E$5:$S$5,0)-1))</f>
        <v>4.4193691299344563E-2</v>
      </c>
      <c r="AI135" s="531" cm="1">
        <f t="array" aca="1" ref="AI135" ca="1">OFFSET(AI135,-6,0)*
OFFSET(MSP!$G$1,
MATCH(OFFSET($C127,((MATCH($C127,EL_List,0)-1)*-10)-1,0),MSP!$C:$C,0)+MATCH($C127,EL_List,0)-1,0)
*INDEX(Learning!$E$6:$S$41,(MATCH(AI$21,Dates,0)),(MATCH($C$86,Learning!$E$4:$S$4,0)+MATCH($C$127,Learning!$E$5:$S$5,0)-1))</f>
        <v>4.6171507033979507E-2</v>
      </c>
      <c r="AJ135" s="531" cm="1">
        <f t="array" aca="1" ref="AJ135" ca="1">OFFSET(AJ135,-6,0)*
OFFSET(MSP!$G$1,
MATCH(OFFSET($C127,((MATCH($C127,EL_List,0)-1)*-10)-1,0),MSP!$C:$C,0)+MATCH($C127,EL_List,0)-1,0)
*INDEX(Learning!$E$6:$S$41,(MATCH(AJ$21,Dates,0)),(MATCH($C$86,Learning!$E$4:$S$4,0)+MATCH($C$127,Learning!$E$5:$S$5,0)-1))</f>
        <v>4.8235141921662332E-2</v>
      </c>
      <c r="AK135" s="531" cm="1">
        <f t="array" aca="1" ref="AK135" ca="1">OFFSET(AK135,-6,0)*
OFFSET(MSP!$G$1,
MATCH(OFFSET($C127,((MATCH($C127,EL_List,0)-1)*-10)-1,0),MSP!$C:$C,0)+MATCH($C127,EL_List,0)-1,0)
*INDEX(Learning!$E$6:$S$41,(MATCH(AK$21,Dates,0)),(MATCH($C$86,Learning!$E$4:$S$4,0)+MATCH($C$127,Learning!$E$5:$S$5,0)-1))</f>
        <v>5.0445357756616689E-2</v>
      </c>
      <c r="AL135" s="531" cm="1">
        <f t="array" aca="1" ref="AL135" ca="1">OFFSET(AL135,-6,0)*
OFFSET(MSP!$G$1,
MATCH(OFFSET($C127,((MATCH($C127,EL_List,0)-1)*-10)-1,0),MSP!$C:$C,0)+MATCH($C127,EL_List,0)-1,0)
*INDEX(Learning!$E$6:$S$41,(MATCH(AL$21,Dates,0)),(MATCH($C$86,Learning!$E$4:$S$4,0)+MATCH($C$127,Learning!$E$5:$S$5,0)-1))</f>
        <v>5.2694724140829229E-2</v>
      </c>
      <c r="AM135" s="531" cm="1">
        <f t="array" aca="1" ref="AM135" ca="1">OFFSET(AM135,-6,0)*
OFFSET(MSP!$G$1,
MATCH(OFFSET($C127,((MATCH($C127,EL_List,0)-1)*-10)-1,0),MSP!$C:$C,0)+MATCH($C127,EL_List,0)-1,0)
*INDEX(Learning!$E$6:$S$41,(MATCH(AM$21,Dates,0)),(MATCH($C$86,Learning!$E$4:$S$4,0)+MATCH($C$127,Learning!$E$5:$S$5,0)-1))</f>
        <v>5.504168589038267E-2</v>
      </c>
      <c r="AN135" s="531" cm="1">
        <f t="array" aca="1" ref="AN135" ca="1">OFFSET(AN135,-6,0)*
OFFSET(MSP!$G$1,
MATCH(OFFSET($C127,((MATCH($C127,EL_List,0)-1)*-10)-1,0),MSP!$C:$C,0)+MATCH($C127,EL_List,0)-1,0)
*INDEX(Learning!$E$6:$S$41,(MATCH(AN$21,Dates,0)),(MATCH($C$86,Learning!$E$4:$S$4,0)+MATCH($C$127,Learning!$E$5:$S$5,0)-1))</f>
        <v>5.7555034172758264E-2</v>
      </c>
      <c r="AO135" s="436"/>
      <c r="AP135" s="21"/>
    </row>
    <row r="136" spans="2:42" ht="15" customHeight="1" x14ac:dyDescent="0.35">
      <c r="B136" s="429"/>
      <c r="C136" s="776"/>
      <c r="D136" s="776"/>
      <c r="E136" s="776"/>
      <c r="F136" s="776"/>
      <c r="G136" s="776"/>
      <c r="H136" s="776"/>
      <c r="I136" s="776"/>
      <c r="J136" s="776"/>
      <c r="K136" s="776"/>
      <c r="L136" s="776"/>
      <c r="M136" s="776"/>
      <c r="N136" s="776"/>
      <c r="O136" s="776"/>
      <c r="P136" s="776"/>
      <c r="Q136" s="776"/>
      <c r="R136" s="776"/>
      <c r="S136" s="776"/>
      <c r="T136" s="776"/>
      <c r="U136" s="776"/>
      <c r="V136" s="776"/>
      <c r="W136" s="776"/>
      <c r="X136" s="776"/>
      <c r="Y136" s="776"/>
      <c r="Z136" s="776"/>
      <c r="AA136" s="776"/>
      <c r="AB136" s="776"/>
      <c r="AC136" s="776"/>
      <c r="AD136" s="776"/>
      <c r="AE136" s="776"/>
      <c r="AF136" s="776"/>
      <c r="AG136" s="776"/>
      <c r="AH136" s="776"/>
      <c r="AI136" s="776"/>
      <c r="AJ136" s="776"/>
      <c r="AK136" s="776"/>
      <c r="AL136" s="776"/>
      <c r="AM136" s="776"/>
      <c r="AN136" s="776"/>
      <c r="AO136" s="436"/>
      <c r="AP136" s="21"/>
    </row>
    <row r="137" spans="2:42" ht="15" customHeight="1" x14ac:dyDescent="0.35">
      <c r="B137" s="429"/>
      <c r="C137" s="776"/>
      <c r="D137" s="776"/>
      <c r="E137" s="776"/>
      <c r="F137" s="776"/>
      <c r="G137" s="776"/>
      <c r="H137" s="776"/>
      <c r="I137" s="776"/>
      <c r="J137" s="776"/>
      <c r="K137" s="776"/>
      <c r="L137" s="776"/>
      <c r="M137" s="776"/>
      <c r="N137" s="776"/>
      <c r="O137" s="776"/>
      <c r="P137" s="776"/>
      <c r="Q137" s="776"/>
      <c r="R137" s="776"/>
      <c r="S137" s="776"/>
      <c r="T137" s="776"/>
      <c r="U137" s="776"/>
      <c r="V137" s="776"/>
      <c r="W137" s="776"/>
      <c r="X137" s="776"/>
      <c r="Y137" s="776"/>
      <c r="Z137" s="776"/>
      <c r="AA137" s="776"/>
      <c r="AB137" s="776"/>
      <c r="AC137" s="776"/>
      <c r="AD137" s="776"/>
      <c r="AE137" s="776"/>
      <c r="AF137" s="776"/>
      <c r="AG137" s="776"/>
      <c r="AH137" s="776"/>
      <c r="AI137" s="776"/>
      <c r="AJ137" s="776"/>
      <c r="AK137" s="776"/>
      <c r="AL137" s="776"/>
      <c r="AM137" s="776"/>
      <c r="AN137" s="776"/>
      <c r="AO137" s="436"/>
      <c r="AP137" s="21"/>
    </row>
    <row r="138" spans="2:42" ht="15" customHeight="1" collapsed="1" x14ac:dyDescent="0.35">
      <c r="B138" s="429"/>
      <c r="C138" s="772" t="s">
        <v>57</v>
      </c>
      <c r="D138" s="779"/>
      <c r="E138" s="772">
        <f>Reference_Year -1</f>
        <v>2022</v>
      </c>
      <c r="F138" s="772">
        <f ca="1">OFFSET(F138,0,-1)+1</f>
        <v>2023</v>
      </c>
      <c r="G138" s="772">
        <f t="shared" ref="G138:AN138" ca="1" si="32">OFFSET(G138,0,-1)+1</f>
        <v>2024</v>
      </c>
      <c r="H138" s="772">
        <f t="shared" ca="1" si="32"/>
        <v>2025</v>
      </c>
      <c r="I138" s="772">
        <f t="shared" ca="1" si="32"/>
        <v>2026</v>
      </c>
      <c r="J138" s="772">
        <f t="shared" ca="1" si="32"/>
        <v>2027</v>
      </c>
      <c r="K138" s="772">
        <f t="shared" ca="1" si="32"/>
        <v>2028</v>
      </c>
      <c r="L138" s="772">
        <f t="shared" ca="1" si="32"/>
        <v>2029</v>
      </c>
      <c r="M138" s="772">
        <f t="shared" ca="1" si="32"/>
        <v>2030</v>
      </c>
      <c r="N138" s="772">
        <f t="shared" ca="1" si="32"/>
        <v>2031</v>
      </c>
      <c r="O138" s="772">
        <f t="shared" ca="1" si="32"/>
        <v>2032</v>
      </c>
      <c r="P138" s="772">
        <f t="shared" ca="1" si="32"/>
        <v>2033</v>
      </c>
      <c r="Q138" s="772">
        <f t="shared" ca="1" si="32"/>
        <v>2034</v>
      </c>
      <c r="R138" s="772">
        <f t="shared" ca="1" si="32"/>
        <v>2035</v>
      </c>
      <c r="S138" s="772">
        <f t="shared" ca="1" si="32"/>
        <v>2036</v>
      </c>
      <c r="T138" s="772">
        <f t="shared" ca="1" si="32"/>
        <v>2037</v>
      </c>
      <c r="U138" s="772">
        <f t="shared" ca="1" si="32"/>
        <v>2038</v>
      </c>
      <c r="V138" s="772">
        <f t="shared" ca="1" si="32"/>
        <v>2039</v>
      </c>
      <c r="W138" s="772">
        <f t="shared" ca="1" si="32"/>
        <v>2040</v>
      </c>
      <c r="X138" s="772">
        <f t="shared" ca="1" si="32"/>
        <v>2041</v>
      </c>
      <c r="Y138" s="772">
        <f t="shared" ca="1" si="32"/>
        <v>2042</v>
      </c>
      <c r="Z138" s="772">
        <f t="shared" ca="1" si="32"/>
        <v>2043</v>
      </c>
      <c r="AA138" s="772">
        <f t="shared" ca="1" si="32"/>
        <v>2044</v>
      </c>
      <c r="AB138" s="772">
        <f t="shared" ca="1" si="32"/>
        <v>2045</v>
      </c>
      <c r="AC138" s="772">
        <f t="shared" ca="1" si="32"/>
        <v>2046</v>
      </c>
      <c r="AD138" s="772">
        <f t="shared" ca="1" si="32"/>
        <v>2047</v>
      </c>
      <c r="AE138" s="772">
        <f t="shared" ca="1" si="32"/>
        <v>2048</v>
      </c>
      <c r="AF138" s="772">
        <f t="shared" ca="1" si="32"/>
        <v>2049</v>
      </c>
      <c r="AG138" s="772">
        <f t="shared" ca="1" si="32"/>
        <v>2050</v>
      </c>
      <c r="AH138" s="772">
        <f t="shared" ca="1" si="32"/>
        <v>2051</v>
      </c>
      <c r="AI138" s="772">
        <f t="shared" ca="1" si="32"/>
        <v>2052</v>
      </c>
      <c r="AJ138" s="772">
        <f t="shared" ca="1" si="32"/>
        <v>2053</v>
      </c>
      <c r="AK138" s="772">
        <f t="shared" ca="1" si="32"/>
        <v>2054</v>
      </c>
      <c r="AL138" s="772">
        <f t="shared" ca="1" si="32"/>
        <v>2055</v>
      </c>
      <c r="AM138" s="772">
        <f t="shared" ca="1" si="32"/>
        <v>2056</v>
      </c>
      <c r="AN138" s="772">
        <f t="shared" ca="1" si="32"/>
        <v>2057</v>
      </c>
      <c r="AO138" s="436"/>
      <c r="AP138" s="21"/>
    </row>
    <row r="139" spans="2:42" ht="15" customHeight="1" x14ac:dyDescent="0.35">
      <c r="B139" s="429"/>
      <c r="C139" s="777" t="s">
        <v>141</v>
      </c>
      <c r="D139" s="777"/>
      <c r="E139" s="534">
        <f ca="1">IF(OFFSET(NAMES!$G$1,MATCH($C86,NAMES!$D:$D,0)-1,0)=TRUE,
(SUMIF($C87:$C136,"Unit Sales (MM)",E87:E136)),
0)</f>
        <v>1.8169913573157541</v>
      </c>
      <c r="F139" s="534">
        <f ca="1">IF(OFFSET(NAMES!$G$1,MATCH($C86,NAMES!$D:$D,0)-1,0)=TRUE,
(SUMIF($C87:$C136,"Unit Sales (MM)",F87:F136)),
0)</f>
        <v>1.8982445852222245</v>
      </c>
      <c r="G139" s="534">
        <f ca="1">IF(OFFSET(NAMES!$G$1,MATCH($C86,NAMES!$D:$D,0)-1,0)=TRUE,
(SUMIF($C87:$C136,"Unit Sales (MM)",G87:G136)),
0)</f>
        <v>1.971056348185799</v>
      </c>
      <c r="H139" s="534">
        <f ca="1">IF(OFFSET(NAMES!$G$1,MATCH($C86,NAMES!$D:$D,0)-1,0)=TRUE,
(SUMIF($C87:$C136,"Unit Sales (MM)",H87:H136)),
0)</f>
        <v>2.0636230641619897</v>
      </c>
      <c r="I139" s="534">
        <f ca="1">IF(OFFSET(NAMES!$G$1,MATCH($C86,NAMES!$D:$D,0)-1,0)=TRUE,
(SUMIF($C87:$C136,"Unit Sales (MM)",I87:I136)),
0)</f>
        <v>2.1629498967048231</v>
      </c>
      <c r="J139" s="534">
        <f ca="1">IF(OFFSET(NAMES!$G$1,MATCH($C86,NAMES!$D:$D,0)-1,0)=TRUE,
(SUMIF($C87:$C136,"Unit Sales (MM)",J87:J136)),
0)</f>
        <v>2.2728739484188463</v>
      </c>
      <c r="K139" s="534">
        <f ca="1">IF(OFFSET(NAMES!$G$1,MATCH($C86,NAMES!$D:$D,0)-1,0)=TRUE,
(SUMIF($C87:$C136,"Unit Sales (MM)",K87:K136)),
0)</f>
        <v>2.3921022447925395</v>
      </c>
      <c r="L139" s="534">
        <f ca="1">IF(OFFSET(NAMES!$G$1,MATCH($C86,NAMES!$D:$D,0)-1,0)=TRUE,
(SUMIF($C87:$C136,"Unit Sales (MM)",L87:L136)),
0)</f>
        <v>2.5186942016229028</v>
      </c>
      <c r="M139" s="534">
        <f ca="1">IF(OFFSET(NAMES!$G$1,MATCH($C86,NAMES!$D:$D,0)-1,0)=TRUE,
(SUMIF($C87:$C136,"Unit Sales (MM)",M87:M136)),
0)</f>
        <v>2.6511354365326221</v>
      </c>
      <c r="N139" s="534">
        <f ca="1">IF(OFFSET(NAMES!$G$1,MATCH($C86,NAMES!$D:$D,0)-1,0)=TRUE,
(SUMIF($C87:$C136,"Unit Sales (MM)",N87:N136)),
0)</f>
        <v>2.7884169805850298</v>
      </c>
      <c r="O139" s="534">
        <f ca="1">IF(OFFSET(NAMES!$G$1,MATCH($C86,NAMES!$D:$D,0)-1,0)=TRUE,
(SUMIF($C87:$C136,"Unit Sales (MM)",O87:O136)),
0)</f>
        <v>2.9304795490194975</v>
      </c>
      <c r="P139" s="534">
        <f ca="1">IF(OFFSET(NAMES!$G$1,MATCH($C86,NAMES!$D:$D,0)-1,0)=TRUE,
(SUMIF($C87:$C136,"Unit Sales (MM)",P87:P136)),
0)</f>
        <v>3.0779315777683047</v>
      </c>
      <c r="Q139" s="534">
        <f ca="1">IF(OFFSET(NAMES!$G$1,MATCH($C86,NAMES!$D:$D,0)-1,0)=TRUE,
(SUMIF($C87:$C136,"Unit Sales (MM)",Q87:Q136)),
0)</f>
        <v>3.2317026862938709</v>
      </c>
      <c r="R139" s="534">
        <f ca="1">IF(OFFSET(NAMES!$G$1,MATCH($C86,NAMES!$D:$D,0)-1,0)=TRUE,
(SUMIF($C87:$C136,"Unit Sales (MM)",R87:R136)),
0)</f>
        <v>3.3928780189650771</v>
      </c>
      <c r="S139" s="534">
        <f ca="1">IF(OFFSET(NAMES!$G$1,MATCH($C86,NAMES!$D:$D,0)-1,0)=TRUE,
(SUMIF($C87:$C136,"Unit Sales (MM)",S87:S136)),
0)</f>
        <v>3.5623695521686627</v>
      </c>
      <c r="T139" s="534">
        <f ca="1">IF(OFFSET(NAMES!$G$1,MATCH($C86,NAMES!$D:$D,0)-1,0)=TRUE,
(SUMIF($C87:$C136,"Unit Sales (MM)",T87:T136)),
0)</f>
        <v>3.7407542977046995</v>
      </c>
      <c r="U139" s="534">
        <f ca="1">IF(OFFSET(NAMES!$G$1,MATCH($C86,NAMES!$D:$D,0)-1,0)=TRUE,
(SUMIF($C87:$C136,"Unit Sales (MM)",U87:U136)),
0)</f>
        <v>3.9286735509476114</v>
      </c>
      <c r="V139" s="534">
        <f ca="1">IF(OFFSET(NAMES!$G$1,MATCH($C86,NAMES!$D:$D,0)-1,0)=TRUE,
(SUMIF($C87:$C136,"Unit Sales (MM)",V87:V136)),
0)</f>
        <v>4.1257507279679597</v>
      </c>
      <c r="W139" s="534">
        <f ca="1">IF(OFFSET(NAMES!$G$1,MATCH($C86,NAMES!$D:$D,0)-1,0)=TRUE,
(SUMIF($C87:$C136,"Unit Sales (MM)",W87:W136)),
0)</f>
        <v>4.3325847179147683</v>
      </c>
      <c r="X139" s="534">
        <f ca="1">IF(OFFSET(NAMES!$G$1,MATCH($C86,NAMES!$D:$D,0)-1,0)=TRUE,
(SUMIF($C87:$C136,"Unit Sales (MM)",X87:X136)),
0)</f>
        <v>4.5494252448757013</v>
      </c>
      <c r="Y139" s="534">
        <f ca="1">IF(OFFSET(NAMES!$G$1,MATCH($C86,NAMES!$D:$D,0)-1,0)=TRUE,
(SUMIF($C87:$C136,"Unit Sales (MM)",Y87:Y136)),
0)</f>
        <v>4.7766416622002881</v>
      </c>
      <c r="Z139" s="534">
        <f ca="1">IF(OFFSET(NAMES!$G$1,MATCH($C86,NAMES!$D:$D,0)-1,0)=TRUE,
(SUMIF($C87:$C136,"Unit Sales (MM)",Z87:Z136)),
0)</f>
        <v>5.014729165865587</v>
      </c>
      <c r="AA139" s="534">
        <f ca="1">IF(OFFSET(NAMES!$G$1,MATCH($C86,NAMES!$D:$D,0)-1,0)=TRUE,
(SUMIF($C87:$C136,"Unit Sales (MM)",AA87:AA136)),
0)</f>
        <v>5.2642589696706699</v>
      </c>
      <c r="AB139" s="534">
        <f ca="1">IF(OFFSET(NAMES!$G$1,MATCH($C86,NAMES!$D:$D,0)-1,0)=TRUE,
(SUMIF($C87:$C136,"Unit Sales (MM)",AB87:AB136)),
0)</f>
        <v>5.5258858782518185</v>
      </c>
      <c r="AC139" s="534">
        <f ca="1">IF(OFFSET(NAMES!$G$1,MATCH($C86,NAMES!$D:$D,0)-1,0)=TRUE,
(SUMIF($C87:$C136,"Unit Sales (MM)",AC87:AC136)),
0)</f>
        <v>5.8002713204700695</v>
      </c>
      <c r="AD139" s="534">
        <f ca="1">IF(OFFSET(NAMES!$G$1,MATCH($C86,NAMES!$D:$D,0)-1,0)=TRUE,
(SUMIF($C87:$C136,"Unit Sales (MM)",AD87:AD136)),
0)</f>
        <v>6.08808042102517</v>
      </c>
      <c r="AE139" s="534">
        <f ca="1">IF(OFFSET(NAMES!$G$1,MATCH($C86,NAMES!$D:$D,0)-1,0)=TRUE,
(SUMIF($C87:$C136,"Unit Sales (MM)",AE87:AE136)),
0)</f>
        <v>6.3899784491505063</v>
      </c>
      <c r="AF139" s="534">
        <f ca="1">IF(OFFSET(NAMES!$G$1,MATCH($C86,NAMES!$D:$D,0)-1,0)=TRUE,
(SUMIF($C87:$C136,"Unit Sales (MM)",AF87:AF136)),
0)</f>
        <v>6.7066372564887011</v>
      </c>
      <c r="AG139" s="534">
        <f ca="1">IF(OFFSET(NAMES!$G$1,MATCH($C86,NAMES!$D:$D,0)-1,0)=TRUE,
(SUMIF($C87:$C136,"Unit Sales (MM)",AG87:AG136)),
0)</f>
        <v>7.038749544042159</v>
      </c>
      <c r="AH139" s="534">
        <f ca="1">IF(OFFSET(NAMES!$G$1,MATCH($C86,NAMES!$D:$D,0)-1,0)=TRUE,
(SUMIF($C87:$C136,"Unit Sales (MM)",AH87:AH136)),
0)</f>
        <v>7.3870417308274412</v>
      </c>
      <c r="AI139" s="534">
        <f ca="1">IF(OFFSET(NAMES!$G$1,MATCH($C86,NAMES!$D:$D,0)-1,0)=TRUE,
(SUMIF($C87:$C136,"Unit Sales (MM)",AI87:AI136)),
0)</f>
        <v>7.7522836727594795</v>
      </c>
      <c r="AJ139" s="534">
        <f ca="1">IF(OFFSET(NAMES!$G$1,MATCH($C86,NAMES!$D:$D,0)-1,0)=TRUE,
(SUMIF($C87:$C136,"Unit Sales (MM)",AJ87:AJ136)),
0)</f>
        <v>8.1352939704686325</v>
      </c>
      <c r="AK139" s="534">
        <f ca="1">IF(OFFSET(NAMES!$G$1,MATCH($C86,NAMES!$D:$D,0)-1,0)=TRUE,
(SUMIF($C87:$C136,"Unit Sales (MM)",AK87:AK136)),
0)</f>
        <v>8.5369404384212775</v>
      </c>
      <c r="AL139" s="534">
        <f ca="1">IF(OFFSET(NAMES!$G$1,MATCH($C86,NAMES!$D:$D,0)-1,0)=TRUE,
(SUMIF($C87:$C136,"Unit Sales (MM)",AL87:AL136)),
0)</f>
        <v>8.9581385098192943</v>
      </c>
      <c r="AM139" s="534">
        <f ca="1">IF(OFFSET(NAMES!$G$1,MATCH($C86,NAMES!$D:$D,0)-1,0)=TRUE,
(SUMIF($C87:$C136,"Unit Sales (MM)",AM87:AM136)),
0)</f>
        <v>9.3998501758886217</v>
      </c>
      <c r="AN139" s="534">
        <f ca="1">IF(OFFSET(NAMES!$G$1,MATCH($C86,NAMES!$D:$D,0)-1,0)=TRUE,
(SUMIF($C87:$C136,"Unit Sales (MM)",AN87:AN136)),
0)</f>
        <v>9.8630801717487326</v>
      </c>
      <c r="AO139" s="436"/>
      <c r="AP139" s="21"/>
    </row>
    <row r="140" spans="2:42" ht="15" customHeight="1" x14ac:dyDescent="0.35">
      <c r="B140" s="429"/>
      <c r="C140" s="777" t="s">
        <v>142</v>
      </c>
      <c r="D140" s="777"/>
      <c r="E140" s="535">
        <f ca="1">IF(OFFSET(NAMES!$G$1,MATCH($C86,NAMES!$D:$D,0)-1,0)=TRUE,
(SUMIF($C87:$C136,"Revenues (MM)",E87:E136)),
0)</f>
        <v>123.55638884870316</v>
      </c>
      <c r="F140" s="535">
        <f ca="1">IF(OFFSET(NAMES!$G$1,MATCH($C86,NAMES!$D:$D,0)-1,0)=TRUE,
(SUMIF($C87:$C136,"Revenues (MM)",F87:F136)),
0)</f>
        <v>128.10486303946942</v>
      </c>
      <c r="G140" s="535">
        <f ca="1">IF(OFFSET(NAMES!$G$1,MATCH($C86,NAMES!$D:$D,0)-1,0)=TRUE,
(SUMIF($C87:$C136,"Revenues (MM)",G87:G136)),
0)</f>
        <v>132.08118416174005</v>
      </c>
      <c r="H140" s="535">
        <f ca="1">IF(OFFSET(NAMES!$G$1,MATCH($C86,NAMES!$D:$D,0)-1,0)=TRUE,
(SUMIF($C87:$C136,"Revenues (MM)",H87:H136)),
0)</f>
        <v>137.30852793427414</v>
      </c>
      <c r="I140" s="535">
        <f ca="1">IF(OFFSET(NAMES!$G$1,MATCH($C86,NAMES!$D:$D,0)-1,0)=TRUE,
(SUMIF($C87:$C136,"Revenues (MM)",I87:I136)),
0)</f>
        <v>142.99646134126979</v>
      </c>
      <c r="J140" s="535">
        <f ca="1">IF(OFFSET(NAMES!$G$1,MATCH($C86,NAMES!$D:$D,0)-1,0)=TRUE,
(SUMIF($C87:$C136,"Revenues (MM)",J87:J136)),
0)</f>
        <v>149.27779311961888</v>
      </c>
      <c r="K140" s="535">
        <f ca="1">IF(OFFSET(NAMES!$G$1,MATCH($C86,NAMES!$D:$D,0)-1,0)=TRUE,
(SUMIF($C87:$C136,"Revenues (MM)",K87:K136)),
0)</f>
        <v>156.1714393751534</v>
      </c>
      <c r="L140" s="535">
        <f ca="1">IF(OFFSET(NAMES!$G$1,MATCH($C86,NAMES!$D:$D,0)-1,0)=TRUE,
(SUMIF($C87:$C136,"Revenues (MM)",L87:L136)),
0)</f>
        <v>163.4495394465595</v>
      </c>
      <c r="M140" s="535">
        <f ca="1">IF(OFFSET(NAMES!$G$1,MATCH($C86,NAMES!$D:$D,0)-1,0)=TRUE,
(SUMIF($C87:$C136,"Revenues (MM)",M87:M136)),
0)</f>
        <v>171.02621225910039</v>
      </c>
      <c r="N140" s="535">
        <f ca="1">IF(OFFSET(NAMES!$G$1,MATCH($C86,NAMES!$D:$D,0)-1,0)=TRUE,
(SUMIF($C87:$C136,"Revenues (MM)",N87:N136)),
0)</f>
        <v>178.85478752949749</v>
      </c>
      <c r="O140" s="535">
        <f ca="1">IF(OFFSET(NAMES!$G$1,MATCH($C86,NAMES!$D:$D,0)-1,0)=TRUE,
(SUMIF($C87:$C136,"Revenues (MM)",O87:O136)),
0)</f>
        <v>186.91042409499974</v>
      </c>
      <c r="P140" s="535">
        <f ca="1">IF(OFFSET(NAMES!$G$1,MATCH($C86,NAMES!$D:$D,0)-1,0)=TRUE,
(SUMIF($C87:$C136,"Revenues (MM)",P87:P136)),
0)</f>
        <v>195.31040441612015</v>
      </c>
      <c r="Q140" s="535">
        <f ca="1">IF(OFFSET(NAMES!$G$1,MATCH($C86,NAMES!$D:$D,0)-1,0)=TRUE,
(SUMIF($C87:$C136,"Revenues (MM)",Q87:Q136)),
0)</f>
        <v>203.93720280648478</v>
      </c>
      <c r="R140" s="535">
        <f ca="1">IF(OFFSET(NAMES!$G$1,MATCH($C86,NAMES!$D:$D,0)-1,0)=TRUE,
(SUMIF($C87:$C136,"Revenues (MM)",R87:R136)),
0)</f>
        <v>212.96371514026339</v>
      </c>
      <c r="S140" s="535">
        <f ca="1">IF(OFFSET(NAMES!$G$1,MATCH($C86,NAMES!$D:$D,0)-1,0)=TRUE,
(SUMIF($C87:$C136,"Revenues (MM)",S87:S136)),
0)</f>
        <v>222.43946794956761</v>
      </c>
      <c r="T140" s="535">
        <f ca="1">IF(OFFSET(NAMES!$G$1,MATCH($C86,NAMES!$D:$D,0)-1,0)=TRUE,
(SUMIF($C87:$C136,"Revenues (MM)",T87:T136)),
0)</f>
        <v>232.38700601134889</v>
      </c>
      <c r="U140" s="535">
        <f ca="1">IF(OFFSET(NAMES!$G$1,MATCH($C86,NAMES!$D:$D,0)-1,0)=TRUE,
(SUMIF($C87:$C136,"Revenues (MM)",U87:U136)),
0)</f>
        <v>243.00361932026925</v>
      </c>
      <c r="V140" s="535">
        <f ca="1">IF(OFFSET(NAMES!$G$1,MATCH($C86,NAMES!$D:$D,0)-1,0)=TRUE,
(SUMIF($C87:$C136,"Revenues (MM)",V87:V136)),
0)</f>
        <v>253.87866019304263</v>
      </c>
      <c r="W140" s="535">
        <f ca="1">IF(OFFSET(NAMES!$G$1,MATCH($C86,NAMES!$D:$D,0)-1,0)=TRUE,
(SUMIF($C87:$C136,"Revenues (MM)",W87:W136)),
0)</f>
        <v>265.29251803649635</v>
      </c>
      <c r="X140" s="535">
        <f ca="1">IF(OFFSET(NAMES!$G$1,MATCH($C86,NAMES!$D:$D,0)-1,0)=TRUE,
(SUMIF($C87:$C136,"Revenues (MM)",X87:X136)),
0)</f>
        <v>277.31292855614134</v>
      </c>
      <c r="Y140" s="535">
        <f ca="1">IF(OFFSET(NAMES!$G$1,MATCH($C86,NAMES!$D:$D,0)-1,0)=TRUE,
(SUMIF($C87:$C136,"Revenues (MM)",Y87:Y136)),
0)</f>
        <v>289.82527474199719</v>
      </c>
      <c r="Z140" s="535">
        <f ca="1">IF(OFFSET(NAMES!$G$1,MATCH($C86,NAMES!$D:$D,0)-1,0)=TRUE,
(SUMIF($C87:$C136,"Revenues (MM)",Z87:Z136)),
0)</f>
        <v>302.84411962876794</v>
      </c>
      <c r="AA140" s="535">
        <f ca="1">IF(OFFSET(NAMES!$G$1,MATCH($C86,NAMES!$D:$D,0)-1,0)=TRUE,
(SUMIF($C87:$C136,"Revenues (MM)",AA87:AA136)),
0)</f>
        <v>316.44078083452939</v>
      </c>
      <c r="AB140" s="535">
        <f ca="1">IF(OFFSET(NAMES!$G$1,MATCH($C86,NAMES!$D:$D,0)-1,0)=TRUE,
(SUMIF($C87:$C136,"Revenues (MM)",AB87:AB136)),
0)</f>
        <v>330.7244231890827</v>
      </c>
      <c r="AC140" s="535">
        <f ca="1">IF(OFFSET(NAMES!$G$1,MATCH($C86,NAMES!$D:$D,0)-1,0)=TRUE,
(SUMIF($C87:$C136,"Revenues (MM)",AC87:AC136)),
0)</f>
        <v>345.63168714201504</v>
      </c>
      <c r="AD140" s="535">
        <f ca="1">IF(OFFSET(NAMES!$G$1,MATCH($C86,NAMES!$D:$D,0)-1,0)=TRUE,
(SUMIF($C87:$C136,"Revenues (MM)",AD87:AD136)),
0)</f>
        <v>361.23900893521807</v>
      </c>
      <c r="AE140" s="535">
        <f ca="1">IF(OFFSET(NAMES!$G$1,MATCH($C86,NAMES!$D:$D,0)-1,0)=TRUE,
(SUMIF($C87:$C136,"Revenues (MM)",AE87:AE136)),
0)</f>
        <v>377.48355365561679</v>
      </c>
      <c r="AF140" s="535">
        <f ca="1">IF(OFFSET(NAMES!$G$1,MATCH($C86,NAMES!$D:$D,0)-1,0)=TRUE,
(SUMIF($C87:$C136,"Revenues (MM)",AF87:AF136)),
0)</f>
        <v>394.31377510546281</v>
      </c>
      <c r="AG140" s="535">
        <f ca="1">IF(OFFSET(NAMES!$G$1,MATCH($C86,NAMES!$D:$D,0)-1,0)=TRUE,
(SUMIF($C87:$C136,"Revenues (MM)",AG87:AG136)),
0)</f>
        <v>412.05634155083601</v>
      </c>
      <c r="AH140" s="535">
        <f ca="1">IF(OFFSET(NAMES!$G$1,MATCH($C86,NAMES!$D:$D,0)-1,0)=TRUE,
(SUMIF($C87:$C136,"Revenues (MM)",AH87:AH136)),
0)</f>
        <v>430.65642530575712</v>
      </c>
      <c r="AI140" s="535">
        <f ca="1">IF(OFFSET(NAMES!$G$1,MATCH($C86,NAMES!$D:$D,0)-1,0)=TRUE,
(SUMIF($C87:$C136,"Revenues (MM)",AI87:AI136)),
0)</f>
        <v>449.98497004452901</v>
      </c>
      <c r="AJ140" s="535">
        <f ca="1">IF(OFFSET(NAMES!$G$1,MATCH($C86,NAMES!$D:$D,0)-1,0)=TRUE,
(SUMIF($C87:$C136,"Revenues (MM)",AJ87:AJ136)),
0)</f>
        <v>470.21604414358353</v>
      </c>
      <c r="AK140" s="535">
        <f ca="1">IF(OFFSET(NAMES!$G$1,MATCH($C86,NAMES!$D:$D,0)-1,0)=TRUE,
(SUMIF($C87:$C136,"Revenues (MM)",AK87:AK136)),
0)</f>
        <v>491.27018615425999</v>
      </c>
      <c r="AL140" s="535">
        <f ca="1">IF(OFFSET(NAMES!$G$1,MATCH($C86,NAMES!$D:$D,0)-1,0)=TRUE,
(SUMIF($C87:$C136,"Revenues (MM)",AL87:AL136)),
0)</f>
        <v>513.44855972786286</v>
      </c>
      <c r="AM140" s="535">
        <f ca="1">IF(OFFSET(NAMES!$G$1,MATCH($C86,NAMES!$D:$D,0)-1,0)=TRUE,
(SUMIF($C87:$C136,"Revenues (MM)",AM87:AM136)),
0)</f>
        <v>536.62880893103113</v>
      </c>
      <c r="AN140" s="535">
        <f ca="1">IF(OFFSET(NAMES!$G$1,MATCH($C86,NAMES!$D:$D,0)-1,0)=TRUE,
(SUMIF($C87:$C136,"Revenues (MM)",AN87:AN136)),
0)</f>
        <v>560.73980603931022</v>
      </c>
      <c r="AO140" s="436"/>
      <c r="AP140" s="21"/>
    </row>
    <row r="141" spans="2:42" ht="15" customHeight="1" x14ac:dyDescent="0.35">
      <c r="B141" s="429"/>
      <c r="C141" s="777"/>
      <c r="D141" s="776"/>
      <c r="E141" s="468"/>
      <c r="F141" s="468"/>
      <c r="G141" s="468"/>
      <c r="H141" s="468"/>
      <c r="I141" s="468"/>
      <c r="J141" s="468"/>
      <c r="K141" s="468"/>
      <c r="L141" s="468"/>
      <c r="M141" s="468"/>
      <c r="N141" s="468"/>
      <c r="O141" s="468"/>
      <c r="P141" s="468"/>
      <c r="Q141" s="468"/>
      <c r="R141" s="468"/>
      <c r="S141" s="468"/>
      <c r="T141" s="468"/>
      <c r="U141" s="468"/>
      <c r="V141" s="468"/>
      <c r="W141" s="468"/>
      <c r="X141" s="468"/>
      <c r="Y141" s="468"/>
      <c r="Z141" s="468"/>
      <c r="AA141" s="468"/>
      <c r="AB141" s="468"/>
      <c r="AC141" s="468"/>
      <c r="AD141" s="468"/>
      <c r="AE141" s="468"/>
      <c r="AF141" s="468"/>
      <c r="AG141" s="468"/>
      <c r="AH141" s="468"/>
      <c r="AI141" s="468"/>
      <c r="AJ141" s="468"/>
      <c r="AK141" s="468"/>
      <c r="AL141" s="468"/>
      <c r="AM141" s="468"/>
      <c r="AN141" s="468"/>
      <c r="AO141" s="436"/>
      <c r="AP141" s="21"/>
    </row>
    <row r="142" spans="2:42" ht="15" customHeight="1" x14ac:dyDescent="0.35">
      <c r="B142" s="429"/>
      <c r="C142" s="777" t="s">
        <v>216</v>
      </c>
      <c r="D142" s="776"/>
      <c r="E142" s="536">
        <f ca="1">IF(OFFSET(NAMES!$G$1,MATCH($C86,NAMES!$D:$D,0)-1,0)=TRUE,
(SUMIF($C87:$C137,"Materials (MM)",E87:E137)),
0)</f>
        <v>76.591784667244738</v>
      </c>
      <c r="F142" s="536">
        <f ca="1">IF(OFFSET(NAMES!$G$1,MATCH($C86,NAMES!$D:$D,0)-1,0)=TRUE,
(SUMIF($C87:$C137,"Materials (MM)",F87:F137)),
0)</f>
        <v>79.411382130793939</v>
      </c>
      <c r="G142" s="536">
        <f ca="1">IF(OFFSET(NAMES!$G$1,MATCH($C86,NAMES!$D:$D,0)-1,0)=TRUE,
(SUMIF($C87:$C137,"Materials (MM)",G87:G137)),
0)</f>
        <v>81.87623202685441</v>
      </c>
      <c r="H142" s="536">
        <f ca="1">IF(OFFSET(NAMES!$G$1,MATCH($C86,NAMES!$D:$D,0)-1,0)=TRUE,
(SUMIF($C87:$C137,"Materials (MM)",H87:H137)),
0)</f>
        <v>85.116511436597548</v>
      </c>
      <c r="I142" s="536">
        <f ca="1">IF(OFFSET(NAMES!$G$1,MATCH($C86,NAMES!$D:$D,0)-1,0)=TRUE,
(SUMIF($C87:$C137,"Materials (MM)",I87:I137)),
0)</f>
        <v>88.642602920705002</v>
      </c>
      <c r="J142" s="536">
        <f ca="1">IF(OFFSET(NAMES!$G$1,MATCH($C86,NAMES!$D:$D,0)-1,0)=TRUE,
(SUMIF($C87:$C137,"Materials (MM)",J87:J137)),
0)</f>
        <v>92.536146437593104</v>
      </c>
      <c r="K142" s="536">
        <f ca="1">IF(OFFSET(NAMES!$G$1,MATCH($C86,NAMES!$D:$D,0)-1,0)=TRUE,
(SUMIF($C87:$C137,"Materials (MM)",K87:K137)),
0)</f>
        <v>96.809464297269272</v>
      </c>
      <c r="L142" s="536">
        <f ca="1">IF(OFFSET(NAMES!$G$1,MATCH($C86,NAMES!$D:$D,0)-1,0)=TRUE,
(SUMIF($C87:$C137,"Materials (MM)",L87:L137)),
0)</f>
        <v>101.32110209630488</v>
      </c>
      <c r="M142" s="536">
        <f ca="1">IF(OFFSET(NAMES!$G$1,MATCH($C86,NAMES!$D:$D,0)-1,0)=TRUE,
(SUMIF($C87:$C137,"Materials (MM)",M87:M137)),
0)</f>
        <v>106.01786114949755</v>
      </c>
      <c r="N142" s="536">
        <f ca="1">IF(OFFSET(NAMES!$G$1,MATCH($C86,NAMES!$D:$D,0)-1,0)=TRUE,
(SUMIF($C87:$C137,"Materials (MM)",N87:N137)),
0)</f>
        <v>110.87047151360943</v>
      </c>
      <c r="O142" s="536">
        <f ca="1">IF(OFFSET(NAMES!$G$1,MATCH($C86,NAMES!$D:$D,0)-1,0)=TRUE,
(SUMIF($C87:$C137,"Materials (MM)",O87:O137)),
0)</f>
        <v>115.86433699531638</v>
      </c>
      <c r="P142" s="536">
        <f ca="1">IF(OFFSET(NAMES!$G$1,MATCH($C86,NAMES!$D:$D,0)-1,0)=TRUE,
(SUMIF($C87:$C137,"Materials (MM)",P87:P137)),
0)</f>
        <v>121.07142038772139</v>
      </c>
      <c r="Q142" s="536">
        <f ca="1">IF(OFFSET(NAMES!$G$1,MATCH($C86,NAMES!$D:$D,0)-1,0)=TRUE,
(SUMIF($C87:$C137,"Materials (MM)",Q87:Q137)),
0)</f>
        <v>126.41887729596222</v>
      </c>
      <c r="R142" s="536">
        <f ca="1">IF(OFFSET(NAMES!$G$1,MATCH($C86,NAMES!$D:$D,0)-1,0)=TRUE,
(SUMIF($C87:$C137,"Materials (MM)",R87:R137)),
0)</f>
        <v>132.01429930697233</v>
      </c>
      <c r="S142" s="536">
        <f ca="1">IF(OFFSET(NAMES!$G$1,MATCH($C86,NAMES!$D:$D,0)-1,0)=TRUE,
(SUMIF($C87:$C137,"Materials (MM)",S87:S137)),
0)</f>
        <v>137.8882321907295</v>
      </c>
      <c r="T142" s="536">
        <f ca="1">IF(OFFSET(NAMES!$G$1,MATCH($C86,NAMES!$D:$D,0)-1,0)=TRUE,
(SUMIF($C87:$C137,"Materials (MM)",T87:T137)),
0)</f>
        <v>144.05467138777848</v>
      </c>
      <c r="U142" s="536">
        <f ca="1">IF(OFFSET(NAMES!$G$1,MATCH($C86,NAMES!$D:$D,0)-1,0)=TRUE,
(SUMIF($C87:$C137,"Materials (MM)",U87:U137)),
0)</f>
        <v>150.63576249097656</v>
      </c>
      <c r="V142" s="536">
        <f ca="1">IF(OFFSET(NAMES!$G$1,MATCH($C86,NAMES!$D:$D,0)-1,0)=TRUE,
(SUMIF($C87:$C137,"Materials (MM)",V87:V137)),
0)</f>
        <v>157.37716075608986</v>
      </c>
      <c r="W142" s="536">
        <f ca="1">IF(OFFSET(NAMES!$G$1,MATCH($C86,NAMES!$D:$D,0)-1,0)=TRUE,
(SUMIF($C87:$C137,"Materials (MM)",W87:W137)),
0)</f>
        <v>164.45209876349909</v>
      </c>
      <c r="X142" s="536">
        <f ca="1">IF(OFFSET(NAMES!$G$1,MATCH($C86,NAMES!$D:$D,0)-1,0)=TRUE,
(SUMIF($C87:$C137,"Materials (MM)",X87:X137)),
0)</f>
        <v>171.90391809801389</v>
      </c>
      <c r="Y142" s="536">
        <f ca="1">IF(OFFSET(NAMES!$G$1,MATCH($C86,NAMES!$D:$D,0)-1,0)=TRUE,
(SUMIF($C87:$C137,"Materials (MM)",Y87:Y137)),
0)</f>
        <v>179.66010306525436</v>
      </c>
      <c r="Z142" s="536">
        <f ca="1">IF(OFFSET(NAMES!$G$1,MATCH($C86,NAMES!$D:$D,0)-1,0)=TRUE,
(SUMIF($C87:$C137,"Materials (MM)",Z87:Z137)),
0)</f>
        <v>187.73001146620115</v>
      </c>
      <c r="AA142" s="536">
        <f ca="1">IF(OFFSET(NAMES!$G$1,MATCH($C86,NAMES!$D:$D,0)-1,0)=TRUE,
(SUMIF($C87:$C137,"Materials (MM)",AA87:AA137)),
0)</f>
        <v>196.15831468967272</v>
      </c>
      <c r="AB142" s="536">
        <f ca="1">IF(OFFSET(NAMES!$G$1,MATCH($C86,NAMES!$D:$D,0)-1,0)=TRUE,
(SUMIF($C87:$C137,"Materials (MM)",AB87:AB137)),
0)</f>
        <v>205.01259050929249</v>
      </c>
      <c r="AC142" s="536">
        <f ca="1">IF(OFFSET(NAMES!$G$1,MATCH($C86,NAMES!$D:$D,0)-1,0)=TRUE,
(SUMIF($C87:$C137,"Materials (MM)",AC87:AC137)),
0)</f>
        <v>214.25344240961533</v>
      </c>
      <c r="AD142" s="536">
        <f ca="1">IF(OFFSET(NAMES!$G$1,MATCH($C86,NAMES!$D:$D,0)-1,0)=TRUE,
(SUMIF($C87:$C137,"Materials (MM)",AD87:AD137)),
0)</f>
        <v>223.9283405286956</v>
      </c>
      <c r="AE142" s="536">
        <f ca="1">IF(OFFSET(NAMES!$G$1,MATCH($C86,NAMES!$D:$D,0)-1,0)=TRUE,
(SUMIF($C87:$C137,"Materials (MM)",AE87:AE137)),
0)</f>
        <v>233.99816221643422</v>
      </c>
      <c r="AF142" s="536">
        <f ca="1">IF(OFFSET(NAMES!$G$1,MATCH($C86,NAMES!$D:$D,0)-1,0)=TRUE,
(SUMIF($C87:$C137,"Materials (MM)",AF87:AF137)),
0)</f>
        <v>244.4308772330339</v>
      </c>
      <c r="AG142" s="536">
        <f ca="1">IF(OFFSET(NAMES!$G$1,MATCH($C86,NAMES!$D:$D,0)-1,0)=TRUE,
(SUMIF($C87:$C137,"Materials (MM)",AG87:AG137)),
0)</f>
        <v>255.4294001965975</v>
      </c>
      <c r="AH142" s="536">
        <f ca="1">IF(OFFSET(NAMES!$G$1,MATCH($C86,NAMES!$D:$D,0)-1,0)=TRUE,
(SUMIF($C87:$C137,"Materials (MM)",AH87:AH137)),
0)</f>
        <v>266.95956301310702</v>
      </c>
      <c r="AI142" s="536">
        <f ca="1">IF(OFFSET(NAMES!$G$1,MATCH($C86,NAMES!$D:$D,0)-1,0)=TRUE,
(SUMIF($C87:$C137,"Materials (MM)",AI87:AI137)),
0)</f>
        <v>278.9412398759938</v>
      </c>
      <c r="AJ142" s="536">
        <f ca="1">IF(OFFSET(NAMES!$G$1,MATCH($C86,NAMES!$D:$D,0)-1,0)=TRUE,
(SUMIF($C87:$C137,"Materials (MM)",AJ87:AJ137)),
0)</f>
        <v>291.48139552363153</v>
      </c>
      <c r="AK142" s="536">
        <f ca="1">IF(OFFSET(NAMES!$G$1,MATCH($C86,NAMES!$D:$D,0)-1,0)=TRUE,
(SUMIF($C87:$C137,"Materials (MM)",AK87:AK137)),
0)</f>
        <v>304.53271818927709</v>
      </c>
      <c r="AL142" s="536">
        <f ca="1">IF(OFFSET(NAMES!$G$1,MATCH($C86,NAMES!$D:$D,0)-1,0)=TRUE,
(SUMIF($C87:$C137,"Materials (MM)",AL87:AL137)),
0)</f>
        <v>318.28159323720348</v>
      </c>
      <c r="AM142" s="536">
        <f ca="1">IF(OFFSET(NAMES!$G$1,MATCH($C86,NAMES!$D:$D,0)-1,0)=TRUE,
(SUMIF($C87:$C137,"Materials (MM)",AM87:AM137)),
0)</f>
        <v>332.64999646463519</v>
      </c>
      <c r="AN142" s="536">
        <f ca="1">IF(OFFSET(NAMES!$G$1,MATCH($C86,NAMES!$D:$D,0)-1,0)=TRUE,
(SUMIF($C87:$C137,"Materials (MM)",AN87:AN137)),
0)</f>
        <v>347.5961792323215</v>
      </c>
      <c r="AO142" s="436"/>
      <c r="AP142" s="21"/>
    </row>
    <row r="143" spans="2:42" ht="15" customHeight="1" x14ac:dyDescent="0.35">
      <c r="B143" s="429"/>
      <c r="C143" s="777" t="s">
        <v>217</v>
      </c>
      <c r="D143" s="776"/>
      <c r="E143" s="537">
        <f ca="1">IF(OFFSET(NAMES!$G$1,MATCH($C86,NAMES!$D:$D,0)-1,0)=TRUE,
(SUMIF($C87:$C137,"Labor (MM)",E87:E137)),
0)</f>
        <v>1.7919008782448069</v>
      </c>
      <c r="F143" s="537">
        <f ca="1">IF(OFFSET(NAMES!$G$1,MATCH($C86,NAMES!$D:$D,0)-1,0)=TRUE,
(SUMIF($C87:$C137,"Labor (MM)",F87:F137)),
0)</f>
        <v>1.8578796439246661</v>
      </c>
      <c r="G143" s="537">
        <f ca="1">IF(OFFSET(NAMES!$G$1,MATCH($C86,NAMES!$D:$D,0)-1,0)=TRUE,
(SUMIF($C87:$C137,"Labor (MM)",G87:G137)),
0)</f>
        <v>1.9155933259414919</v>
      </c>
      <c r="H143" s="537">
        <f ca="1">IF(OFFSET(NAMES!$G$1,MATCH($C86,NAMES!$D:$D,0)-1,0)=TRUE,
(SUMIF($C87:$C137,"Labor (MM)",H87:H137)),
0)</f>
        <v>1.9914467358865036</v>
      </c>
      <c r="I143" s="537">
        <f ca="1">IF(OFFSET(NAMES!$G$1,MATCH($C86,NAMES!$D:$D,0)-1,0)=TRUE,
(SUMIF($C87:$C137,"Labor (MM)",I87:I137)),
0)</f>
        <v>2.0739315076761318</v>
      </c>
      <c r="J143" s="537">
        <f ca="1">IF(OFFSET(NAMES!$G$1,MATCH($C86,NAMES!$D:$D,0)-1,0)=TRUE,
(SUMIF($C87:$C137,"Labor (MM)",J87:J137)),
0)</f>
        <v>2.1651132444619341</v>
      </c>
      <c r="K143" s="537">
        <f ca="1">IF(OFFSET(NAMES!$G$1,MATCH($C86,NAMES!$D:$D,0)-1,0)=TRUE,
(SUMIF($C87:$C137,"Labor (MM)",K87:K137)),
0)</f>
        <v>2.2650981417368641</v>
      </c>
      <c r="L143" s="537">
        <f ca="1">IF(OFFSET(NAMES!$G$1,MATCH($C86,NAMES!$D:$D,0)-1,0)=TRUE,
(SUMIF($C87:$C137,"Labor (MM)",L87:L137)),
0)</f>
        <v>2.370659126594763</v>
      </c>
      <c r="M143" s="537">
        <f ca="1">IF(OFFSET(NAMES!$G$1,MATCH($C86,NAMES!$D:$D,0)-1,0)=TRUE,
(SUMIF($C87:$C137,"Labor (MM)",M87:M137)),
0)</f>
        <v>2.4805712811177294</v>
      </c>
      <c r="N143" s="537">
        <f ca="1">IF(OFFSET(NAMES!$G$1,MATCH($C86,NAMES!$D:$D,0)-1,0)=TRUE,
(SUMIF($C87:$C137,"Labor (MM)",N87:N137)),
0)</f>
        <v>2.5942176837881545</v>
      </c>
      <c r="O143" s="537">
        <f ca="1">IF(OFFSET(NAMES!$G$1,MATCH($C86,NAMES!$D:$D,0)-1,0)=TRUE,
(SUMIF($C87:$C137,"Labor (MM)",O87:O137)),
0)</f>
        <v>2.7110494493603277</v>
      </c>
      <c r="P143" s="537">
        <f ca="1">IF(OFFSET(NAMES!$G$1,MATCH($C86,NAMES!$D:$D,0)-1,0)=TRUE,
(SUMIF($C87:$C137,"Labor (MM)",P87:P137)),
0)</f>
        <v>2.8328879086015761</v>
      </c>
      <c r="Q143" s="537">
        <f ca="1">IF(OFFSET(NAMES!$G$1,MATCH($C86,NAMES!$D:$D,0)-1,0)=TRUE,
(SUMIF($C87:$C137,"Labor (MM)",Q87:Q137)),
0)</f>
        <v>2.95805567214668</v>
      </c>
      <c r="R143" s="537">
        <f ca="1">IF(OFFSET(NAMES!$G$1,MATCH($C86,NAMES!$D:$D,0)-1,0)=TRUE,
(SUMIF($C87:$C137,"Labor (MM)",R87:R137)),
0)</f>
        <v>3.0890910629696147</v>
      </c>
      <c r="S143" s="537">
        <f ca="1">IF(OFFSET(NAMES!$G$1,MATCH($C86,NAMES!$D:$D,0)-1,0)=TRUE,
(SUMIF($C87:$C137,"Labor (MM)",S87:S137)),
0)</f>
        <v>3.2265407291717856</v>
      </c>
      <c r="T143" s="537">
        <f ca="1">IF(OFFSET(NAMES!$G$1,MATCH($C86,NAMES!$D:$D,0)-1,0)=TRUE,
(SUMIF($C87:$C137,"Labor (MM)",T87:T137)),
0)</f>
        <v>3.370865024461807</v>
      </c>
      <c r="U143" s="537">
        <f ca="1">IF(OFFSET(NAMES!$G$1,MATCH($C86,NAMES!$D:$D,0)-1,0)=TRUE,
(SUMIF($C87:$C137,"Labor (MM)",U87:U137)),
0)</f>
        <v>3.5248320203132435</v>
      </c>
      <c r="V143" s="537">
        <f ca="1">IF(OFFSET(NAMES!$G$1,MATCH($C86,NAMES!$D:$D,0)-1,0)=TRUE,
(SUMIF($C87:$C137,"Labor (MM)",V87:V137)),
0)</f>
        <v>3.6826113493074493</v>
      </c>
      <c r="W143" s="537">
        <f ca="1">IF(OFFSET(NAMES!$G$1,MATCH($C86,NAMES!$D:$D,0)-1,0)=TRUE,
(SUMIF($C87:$C137,"Labor (MM)",W87:W137)),
0)</f>
        <v>3.8483316985260676</v>
      </c>
      <c r="X143" s="537">
        <f ca="1">IF(OFFSET(NAMES!$G$1,MATCH($C86,NAMES!$D:$D,0)-1,0)=TRUE,
(SUMIF($C87:$C137,"Labor (MM)",X87:X137)),
0)</f>
        <v>4.0225765573159764</v>
      </c>
      <c r="Y143" s="537">
        <f ca="1">IF(OFFSET(NAMES!$G$1,MATCH($C86,NAMES!$D:$D,0)-1,0)=TRUE,
(SUMIF($C87:$C137,"Labor (MM)",Y87:Y137)),
0)</f>
        <v>4.2041884254961186</v>
      </c>
      <c r="Z143" s="537">
        <f ca="1">IF(OFFSET(NAMES!$G$1,MATCH($C86,NAMES!$D:$D,0)-1,0)=TRUE,
(SUMIF($C87:$C137,"Labor (MM)",Z87:Z137)),
0)</f>
        <v>4.3931028986544538</v>
      </c>
      <c r="AA143" s="537">
        <f ca="1">IF(OFFSET(NAMES!$G$1,MATCH($C86,NAMES!$D:$D,0)-1,0)=TRUE,
(SUMIF($C87:$C137,"Labor (MM)",AA87:AA137)),
0)</f>
        <v>4.5904667507234818</v>
      </c>
      <c r="AB143" s="537">
        <f ca="1">IF(OFFSET(NAMES!$G$1,MATCH($C86,NAMES!$D:$D,0)-1,0)=TRUE,
(SUMIF($C87:$C137,"Labor (MM)",AB87:AB137)),
0)</f>
        <v>4.7976770534861153</v>
      </c>
      <c r="AC143" s="537">
        <f ca="1">IF(OFFSET(NAMES!$G$1,MATCH($C86,NAMES!$D:$D,0)-1,0)=TRUE,
(SUMIF($C87:$C137,"Labor (MM)",AC87:AC137)),
0)</f>
        <v>5.0139343376210066</v>
      </c>
      <c r="AD143" s="537">
        <f ca="1">IF(OFFSET(NAMES!$G$1,MATCH($C86,NAMES!$D:$D,0)-1,0)=TRUE,
(SUMIF($C87:$C137,"Labor (MM)",AD87:AD137)),
0)</f>
        <v>5.2403948564180514</v>
      </c>
      <c r="AE143" s="537">
        <f ca="1">IF(OFFSET(NAMES!$G$1,MATCH($C86,NAMES!$D:$D,0)-1,0)=TRUE,
(SUMIF($C87:$C137,"Labor (MM)",AE87:AE137)),
0)</f>
        <v>5.4760546740908653</v>
      </c>
      <c r="AF143" s="537">
        <f ca="1">IF(OFFSET(NAMES!$G$1,MATCH($C86,NAMES!$D:$D,0)-1,0)=TRUE,
(SUMIF($C87:$C137,"Labor (MM)",AF87:AF137)),
0)</f>
        <v>5.7203712241202913</v>
      </c>
      <c r="AG143" s="537">
        <f ca="1">IF(OFFSET(NAMES!$G$1,MATCH($C86,NAMES!$D:$D,0)-1,0)=TRUE,
(SUMIF($C87:$C137,"Labor (MM)",AG87:AG137)),
0)</f>
        <v>5.9778261072637333</v>
      </c>
      <c r="AH143" s="537">
        <f ca="1">IF(OFFSET(NAMES!$G$1,MATCH($C86,NAMES!$D:$D,0)-1,0)=TRUE,
(SUMIF($C87:$C137,"Labor (MM)",AH87:AH137)),
0)</f>
        <v>6.2474971976712572</v>
      </c>
      <c r="AI143" s="537">
        <f ca="1">IF(OFFSET(NAMES!$G$1,MATCH($C86,NAMES!$D:$D,0)-1,0)=TRUE,
(SUMIF($C87:$C137,"Labor (MM)",AI87:AI137)),
0)</f>
        <v>6.5279612010891812</v>
      </c>
      <c r="AJ143" s="537">
        <f ca="1">IF(OFFSET(NAMES!$G$1,MATCH($C86,NAMES!$D:$D,0)-1,0)=TRUE,
(SUMIF($C87:$C137,"Labor (MM)",AJ87:AJ137)),
0)</f>
        <v>6.821685869595207</v>
      </c>
      <c r="AK143" s="537">
        <f ca="1">IF(OFFSET(NAMES!$G$1,MATCH($C86,NAMES!$D:$D,0)-1,0)=TRUE,
(SUMIF($C87:$C137,"Labor (MM)",AK87:AK137)),
0)</f>
        <v>7.1272089798189704</v>
      </c>
      <c r="AL143" s="537">
        <f ca="1">IF(OFFSET(NAMES!$G$1,MATCH($C86,NAMES!$D:$D,0)-1,0)=TRUE,
(SUMIF($C87:$C137,"Labor (MM)",AL87:AL137)),
0)</f>
        <v>7.4489353524808779</v>
      </c>
      <c r="AM143" s="537">
        <f ca="1">IF(OFFSET(NAMES!$G$1,MATCH($C86,NAMES!$D:$D,0)-1,0)=TRUE,
(SUMIF($C87:$C137,"Labor (MM)",AM87:AM137)),
0)</f>
        <v>7.7852704684775871</v>
      </c>
      <c r="AN143" s="537">
        <f ca="1">IF(OFFSET(NAMES!$G$1,MATCH($C86,NAMES!$D:$D,0)-1,0)=TRUE,
(SUMIF($C87:$C137,"Labor (MM)",AN87:AN137)),
0)</f>
        <v>8.1352352760403779</v>
      </c>
      <c r="AO143" s="436"/>
      <c r="AP143" s="21"/>
    </row>
    <row r="144" spans="2:42" ht="15" customHeight="1" x14ac:dyDescent="0.35">
      <c r="B144" s="429"/>
      <c r="C144" s="777" t="s">
        <v>218</v>
      </c>
      <c r="D144" s="776"/>
      <c r="E144" s="537">
        <f ca="1">IF(OFFSET(NAMES!$G$1,MATCH($C86,NAMES!$D:$D,0)-1,0)=TRUE,
(SUMIF($C87:$C137,"Depreciation (MM)",E87:E137)),
0)</f>
        <v>4.3244736097046115</v>
      </c>
      <c r="F144" s="537">
        <f ca="1">IF(OFFSET(NAMES!$G$1,MATCH($C86,NAMES!$D:$D,0)-1,0)=TRUE,
(SUMIF($C87:$C137,"Depreciation (MM)",F87:F137)),
0)</f>
        <v>4.4836702063814293</v>
      </c>
      <c r="G144" s="537">
        <f ca="1">IF(OFFSET(NAMES!$G$1,MATCH($C86,NAMES!$D:$D,0)-1,0)=TRUE,
(SUMIF($C87:$C137,"Depreciation (MM)",G87:G137)),
0)</f>
        <v>4.6228414456609013</v>
      </c>
      <c r="H144" s="537">
        <f ca="1">IF(OFFSET(NAMES!$G$1,MATCH($C86,NAMES!$D:$D,0)-1,0)=TRUE,
(SUMIF($C87:$C137,"Depreciation (MM)",H87:H137)),
0)</f>
        <v>4.8057984776995957</v>
      </c>
      <c r="I144" s="537">
        <f ca="1">IF(OFFSET(NAMES!$G$1,MATCH($C86,NAMES!$D:$D,0)-1,0)=TRUE,
(SUMIF($C87:$C137,"Depreciation (MM)",I87:I137)),
0)</f>
        <v>5.0048761469444427</v>
      </c>
      <c r="J144" s="537">
        <f ca="1">IF(OFFSET(NAMES!$G$1,MATCH($C86,NAMES!$D:$D,0)-1,0)=TRUE,
(SUMIF($C87:$C137,"Depreciation (MM)",J87:J137)),
0)</f>
        <v>5.224722759186661</v>
      </c>
      <c r="K144" s="537">
        <f ca="1">IF(OFFSET(NAMES!$G$1,MATCH($C86,NAMES!$D:$D,0)-1,0)=TRUE,
(SUMIF($C87:$C137,"Depreciation (MM)",K87:K137)),
0)</f>
        <v>5.4660003781303708</v>
      </c>
      <c r="L144" s="537">
        <f ca="1">IF(OFFSET(NAMES!$G$1,MATCH($C86,NAMES!$D:$D,0)-1,0)=TRUE,
(SUMIF($C87:$C137,"Depreciation (MM)",L87:L137)),
0)</f>
        <v>5.7207338806295835</v>
      </c>
      <c r="M144" s="537">
        <f ca="1">IF(OFFSET(NAMES!$G$1,MATCH($C86,NAMES!$D:$D,0)-1,0)=TRUE,
(SUMIF($C87:$C137,"Depreciation (MM)",M87:M137)),
0)</f>
        <v>5.9859174290685155</v>
      </c>
      <c r="N144" s="537">
        <f ca="1">IF(OFFSET(NAMES!$G$1,MATCH($C86,NAMES!$D:$D,0)-1,0)=TRUE,
(SUMIF($C87:$C137,"Depreciation (MM)",N87:N137)),
0)</f>
        <v>6.2599175635324125</v>
      </c>
      <c r="O144" s="537">
        <f ca="1">IF(OFFSET(NAMES!$G$1,MATCH($C86,NAMES!$D:$D,0)-1,0)=TRUE,
(SUMIF($C87:$C137,"Depreciation (MM)",O87:O137)),
0)</f>
        <v>6.5418648433249924</v>
      </c>
      <c r="P144" s="537">
        <f ca="1">IF(OFFSET(NAMES!$G$1,MATCH($C86,NAMES!$D:$D,0)-1,0)=TRUE,
(SUMIF($C87:$C137,"Depreciation (MM)",P87:P137)),
0)</f>
        <v>6.8358641545642067</v>
      </c>
      <c r="Q144" s="537">
        <f ca="1">IF(OFFSET(NAMES!$G$1,MATCH($C86,NAMES!$D:$D,0)-1,0)=TRUE,
(SUMIF($C87:$C137,"Depreciation (MM)",Q87:Q137)),
0)</f>
        <v>7.1378020982269677</v>
      </c>
      <c r="R144" s="537">
        <f ca="1">IF(OFFSET(NAMES!$G$1,MATCH($C86,NAMES!$D:$D,0)-1,0)=TRUE,
(SUMIF($C87:$C137,"Depreciation (MM)",R87:R137)),
0)</f>
        <v>7.4537300299092193</v>
      </c>
      <c r="S144" s="537">
        <f ca="1">IF(OFFSET(NAMES!$G$1,MATCH($C86,NAMES!$D:$D,0)-1,0)=TRUE,
(SUMIF($C87:$C137,"Depreciation (MM)",S87:S137)),
0)</f>
        <v>7.7853813782348658</v>
      </c>
      <c r="T144" s="537">
        <f ca="1">IF(OFFSET(NAMES!$G$1,MATCH($C86,NAMES!$D:$D,0)-1,0)=TRUE,
(SUMIF($C87:$C137,"Depreciation (MM)",T87:T137)),
0)</f>
        <v>8.1335452103972123</v>
      </c>
      <c r="U144" s="537">
        <f ca="1">IF(OFFSET(NAMES!$G$1,MATCH($C86,NAMES!$D:$D,0)-1,0)=TRUE,
(SUMIF($C87:$C137,"Depreciation (MM)",U87:U137)),
0)</f>
        <v>8.5051266762094251</v>
      </c>
      <c r="V144" s="537">
        <f ca="1">IF(OFFSET(NAMES!$G$1,MATCH($C86,NAMES!$D:$D,0)-1,0)=TRUE,
(SUMIF($C87:$C137,"Depreciation (MM)",V87:V137)),
0)</f>
        <v>8.8857531067564945</v>
      </c>
      <c r="W144" s="537">
        <f ca="1">IF(OFFSET(NAMES!$G$1,MATCH($C86,NAMES!$D:$D,0)-1,0)=TRUE,
(SUMIF($C87:$C137,"Depreciation (MM)",W87:W137)),
0)</f>
        <v>9.2852381312773744</v>
      </c>
      <c r="X144" s="537">
        <f ca="1">IF(OFFSET(NAMES!$G$1,MATCH($C86,NAMES!$D:$D,0)-1,0)=TRUE,
(SUMIF($C87:$C137,"Depreciation (MM)",X87:X137)),
0)</f>
        <v>9.7059524994649493</v>
      </c>
      <c r="Y144" s="537">
        <f ca="1">IF(OFFSET(NAMES!$G$1,MATCH($C86,NAMES!$D:$D,0)-1,0)=TRUE,
(SUMIF($C87:$C137,"Depreciation (MM)",Y87:Y137)),
0)</f>
        <v>10.143884615969901</v>
      </c>
      <c r="Z144" s="537">
        <f ca="1">IF(OFFSET(NAMES!$G$1,MATCH($C86,NAMES!$D:$D,0)-1,0)=TRUE,
(SUMIF($C87:$C137,"Depreciation (MM)",Z87:Z137)),
0)</f>
        <v>10.599544187006881</v>
      </c>
      <c r="AA144" s="537">
        <f ca="1">IF(OFFSET(NAMES!$G$1,MATCH($C86,NAMES!$D:$D,0)-1,0)=TRUE,
(SUMIF($C87:$C137,"Depreciation (MM)",AA87:AA137)),
0)</f>
        <v>11.075427329208532</v>
      </c>
      <c r="AB144" s="537">
        <f ca="1">IF(OFFSET(NAMES!$G$1,MATCH($C86,NAMES!$D:$D,0)-1,0)=TRUE,
(SUMIF($C87:$C137,"Depreciation (MM)",AB87:AB137)),
0)</f>
        <v>11.575354811617895</v>
      </c>
      <c r="AC144" s="537">
        <f ca="1">IF(OFFSET(NAMES!$G$1,MATCH($C86,NAMES!$D:$D,0)-1,0)=TRUE,
(SUMIF($C87:$C137,"Depreciation (MM)",AC87:AC137)),
0)</f>
        <v>12.097109049970525</v>
      </c>
      <c r="AD144" s="537">
        <f ca="1">IF(OFFSET(NAMES!$G$1,MATCH($C86,NAMES!$D:$D,0)-1,0)=TRUE,
(SUMIF($C87:$C137,"Depreciation (MM)",AD87:AD137)),
0)</f>
        <v>12.643365312732636</v>
      </c>
      <c r="AE144" s="537">
        <f ca="1">IF(OFFSET(NAMES!$G$1,MATCH($C86,NAMES!$D:$D,0)-1,0)=TRUE,
(SUMIF($C87:$C137,"Depreciation (MM)",AE87:AE137)),
0)</f>
        <v>13.211924377946588</v>
      </c>
      <c r="AF144" s="537">
        <f ca="1">IF(OFFSET(NAMES!$G$1,MATCH($C86,NAMES!$D:$D,0)-1,0)=TRUE,
(SUMIF($C87:$C137,"Depreciation (MM)",AF87:AF137)),
0)</f>
        <v>13.800982128691198</v>
      </c>
      <c r="AG144" s="537">
        <f ca="1">IF(OFFSET(NAMES!$G$1,MATCH($C86,NAMES!$D:$D,0)-1,0)=TRUE,
(SUMIF($C87:$C137,"Depreciation (MM)",AG87:AG137)),
0)</f>
        <v>14.421971954279263</v>
      </c>
      <c r="AH144" s="537">
        <f ca="1">IF(OFFSET(NAMES!$G$1,MATCH($C86,NAMES!$D:$D,0)-1,0)=TRUE,
(SUMIF($C87:$C137,"Depreciation (MM)",AH87:AH137)),
0)</f>
        <v>15.072974885701504</v>
      </c>
      <c r="AI144" s="537">
        <f ca="1">IF(OFFSET(NAMES!$G$1,MATCH($C86,NAMES!$D:$D,0)-1,0)=TRUE,
(SUMIF($C87:$C137,"Depreciation (MM)",AI87:AI137)),
0)</f>
        <v>15.749473951558516</v>
      </c>
      <c r="AJ144" s="537">
        <f ca="1">IF(OFFSET(NAMES!$G$1,MATCH($C86,NAMES!$D:$D,0)-1,0)=TRUE,
(SUMIF($C87:$C137,"Depreciation (MM)",AJ87:AJ137)),
0)</f>
        <v>16.457561545025424</v>
      </c>
      <c r="AK144" s="537">
        <f ca="1">IF(OFFSET(NAMES!$G$1,MATCH($C86,NAMES!$D:$D,0)-1,0)=TRUE,
(SUMIF($C87:$C137,"Depreciation (MM)",AK87:AK137)),
0)</f>
        <v>17.1944565153991</v>
      </c>
      <c r="AL144" s="537">
        <f ca="1">IF(OFFSET(NAMES!$G$1,MATCH($C86,NAMES!$D:$D,0)-1,0)=TRUE,
(SUMIF($C87:$C137,"Depreciation (MM)",AL87:AL137)),
0)</f>
        <v>17.970699590475206</v>
      </c>
      <c r="AM144" s="537">
        <f ca="1">IF(OFFSET(NAMES!$G$1,MATCH($C86,NAMES!$D:$D,0)-1,0)=TRUE,
(SUMIF($C87:$C137,"Depreciation (MM)",AM87:AM137)),
0)</f>
        <v>18.782008312586093</v>
      </c>
      <c r="AN144" s="537">
        <f ca="1">IF(OFFSET(NAMES!$G$1,MATCH($C86,NAMES!$D:$D,0)-1,0)=TRUE,
(SUMIF($C87:$C137,"Depreciation (MM)",AN87:AN137)),
0)</f>
        <v>19.62589321137586</v>
      </c>
      <c r="AO144" s="436"/>
      <c r="AP144" s="21"/>
    </row>
    <row r="145" spans="2:42" ht="15" customHeight="1" x14ac:dyDescent="0.35">
      <c r="B145" s="429"/>
      <c r="C145" s="777" t="s">
        <v>219</v>
      </c>
      <c r="D145" s="776"/>
      <c r="E145" s="535">
        <f ca="1">IF(OFFSET(NAMES!$G$1,MATCH($C86,NAMES!$D:$D,0)-1,0)=TRUE,
(SUMIF($C87:$C137,"Overhead (MM)",E87:E137)),
0)</f>
        <v>2.5031434990838988</v>
      </c>
      <c r="F145" s="535">
        <f ca="1">IF(OFFSET(NAMES!$G$1,MATCH($C86,NAMES!$D:$D,0)-1,0)=TRUE,
(SUMIF($C87:$C137,"Overhead (MM)",F87:F137)),
0)</f>
        <v>2.5952494254306009</v>
      </c>
      <c r="G145" s="535">
        <f ca="1">IF(OFFSET(NAMES!$G$1,MATCH($C86,NAMES!$D:$D,0)-1,0)=TRUE,
(SUMIF($C87:$C137,"Overhead (MM)",G87:G137)),
0)</f>
        <v>2.6758050372259938</v>
      </c>
      <c r="H145" s="535">
        <f ca="1">IF(OFFSET(NAMES!$G$1,MATCH($C86,NAMES!$D:$D,0)-1,0)=TRUE,
(SUMIF($C87:$C137,"Overhead (MM)",H87:H137)),
0)</f>
        <v>2.7817798562123084</v>
      </c>
      <c r="I145" s="535">
        <f ca="1">IF(OFFSET(NAMES!$G$1,MATCH($C86,NAMES!$D:$D,0)-1,0)=TRUE,
(SUMIF($C87:$C137,"Overhead (MM)",I87:I137)),
0)</f>
        <v>2.8968386255501244</v>
      </c>
      <c r="J145" s="535">
        <f ca="1">IF(OFFSET(NAMES!$G$1,MATCH($C86,NAMES!$D:$D,0)-1,0)=TRUE,
(SUMIF($C87:$C137,"Overhead (MM)",J87:J137)),
0)</f>
        <v>3.0242197102195862</v>
      </c>
      <c r="K145" s="535">
        <f ca="1">IF(OFFSET(NAMES!$G$1,MATCH($C86,NAMES!$D:$D,0)-1,0)=TRUE,
(SUMIF($C87:$C137,"Overhead (MM)",K87:K137)),
0)</f>
        <v>3.1638781312451649</v>
      </c>
      <c r="L145" s="535">
        <f ca="1">IF(OFFSET(NAMES!$G$1,MATCH($C86,NAMES!$D:$D,0)-1,0)=TRUE,
(SUMIF($C87:$C137,"Overhead (MM)",L87:L137)),
0)</f>
        <v>3.3113252044428476</v>
      </c>
      <c r="M145" s="535">
        <f ca="1">IF(OFFSET(NAMES!$G$1,MATCH($C86,NAMES!$D:$D,0)-1,0)=TRUE,
(SUMIF($C87:$C137,"Overhead (MM)",M87:M137)),
0)</f>
        <v>3.4647620431440815</v>
      </c>
      <c r="N145" s="535">
        <f ca="1">IF(OFFSET(NAMES!$G$1,MATCH($C86,NAMES!$D:$D,0)-1,0)=TRUE,
(SUMIF($C87:$C137,"Overhead (MM)",N87:N137)),
0)</f>
        <v>3.6235225697579301</v>
      </c>
      <c r="O145" s="535">
        <f ca="1">IF(OFFSET(NAMES!$G$1,MATCH($C86,NAMES!$D:$D,0)-1,0)=TRUE,
(SUMIF($C87:$C137,"Overhead (MM)",O87:O137)),
0)</f>
        <v>3.7864894671705498</v>
      </c>
      <c r="P145" s="535">
        <f ca="1">IF(OFFSET(NAMES!$G$1,MATCH($C86,NAMES!$D:$D,0)-1,0)=TRUE,
(SUMIF($C87:$C137,"Overhead (MM)",P87:P137)),
0)</f>
        <v>3.9566581809198507</v>
      </c>
      <c r="Q145" s="535">
        <f ca="1">IF(OFFSET(NAMES!$G$1,MATCH($C86,NAMES!$D:$D,0)-1,0)=TRUE,
(SUMIF($C87:$C137,"Overhead (MM)",Q87:Q137)),
0)</f>
        <v>4.1316116967570942</v>
      </c>
      <c r="R145" s="535">
        <f ca="1">IF(OFFSET(NAMES!$G$1,MATCH($C86,NAMES!$D:$D,0)-1,0)=TRUE,
(SUMIF($C87:$C137,"Overhead (MM)",R87:R137)),
0)</f>
        <v>4.3144072830891345</v>
      </c>
      <c r="S145" s="535">
        <f ca="1">IF(OFFSET(NAMES!$G$1,MATCH($C86,NAMES!$D:$D,0)-1,0)=TRUE,
(SUMIF($C87:$C137,"Overhead (MM)",S87:S137)),
0)</f>
        <v>4.5063753222553107</v>
      </c>
      <c r="T145" s="535">
        <f ca="1">IF(OFFSET(NAMES!$G$1,MATCH($C86,NAMES!$D:$D,0)-1,0)=TRUE,
(SUMIF($C87:$C137,"Overhead (MM)",T87:T137)),
0)</f>
        <v>4.7078190748445037</v>
      </c>
      <c r="U145" s="535">
        <f ca="1">IF(OFFSET(NAMES!$G$1,MATCH($C86,NAMES!$D:$D,0)-1,0)=TRUE,
(SUMIF($C87:$C137,"Overhead (MM)",U87:U137)),
0)</f>
        <v>4.9229817919968033</v>
      </c>
      <c r="V145" s="535">
        <f ca="1">IF(OFFSET(NAMES!$G$1,MATCH($C86,NAMES!$D:$D,0)-1,0)=TRUE,
(SUMIF($C87:$C137,"Overhead (MM)",V87:V137)),
0)</f>
        <v>5.1432059554618323</v>
      </c>
      <c r="W145" s="535">
        <f ca="1">IF(OFFSET(NAMES!$G$1,MATCH($C86,NAMES!$D:$D,0)-1,0)=TRUE,
(SUMIF($C87:$C137,"Overhead (MM)",W87:W137)),
0)</f>
        <v>5.3746886732466832</v>
      </c>
      <c r="X145" s="535">
        <f ca="1">IF(OFFSET(NAMES!$G$1,MATCH($C86,NAMES!$D:$D,0)-1,0)=TRUE,
(SUMIF($C87:$C137,"Overhead (MM)",X87:X137)),
0)</f>
        <v>5.6178484011647667</v>
      </c>
      <c r="Y145" s="535">
        <f ca="1">IF(OFFSET(NAMES!$G$1,MATCH($C86,NAMES!$D:$D,0)-1,0)=TRUE,
(SUMIF($C87:$C137,"Overhead (MM)",Y87:Y137)),
0)</f>
        <v>5.8713237153466276</v>
      </c>
      <c r="Z145" s="535">
        <f ca="1">IF(OFFSET(NAMES!$G$1,MATCH($C86,NAMES!$D:$D,0)-1,0)=TRUE,
(SUMIF($C87:$C137,"Overhead (MM)",Z87:Z137)),
0)</f>
        <v>6.1353549852188856</v>
      </c>
      <c r="AA145" s="535">
        <f ca="1">IF(OFFSET(NAMES!$G$1,MATCH($C86,NAMES!$D:$D,0)-1,0)=TRUE,
(SUMIF($C87:$C137,"Overhead (MM)",AA87:AA137)),
0)</f>
        <v>6.4108124955879262</v>
      </c>
      <c r="AB145" s="535">
        <f ca="1">IF(OFFSET(NAMES!$G$1,MATCH($C86,NAMES!$D:$D,0)-1,0)=TRUE,
(SUMIF($C87:$C137,"Overhead (MM)",AB87:AB137)),
0)</f>
        <v>6.7001867215226234</v>
      </c>
      <c r="AC145" s="535">
        <f ca="1">IF(OFFSET(NAMES!$G$1,MATCH($C86,NAMES!$D:$D,0)-1,0)=TRUE,
(SUMIF($C87:$C137,"Overhead (MM)",AC87:AC137)),
0)</f>
        <v>7.0021949903896896</v>
      </c>
      <c r="AD145" s="535">
        <f ca="1">IF(OFFSET(NAMES!$G$1,MATCH($C86,NAMES!$D:$D,0)-1,0)=TRUE,
(SUMIF($C87:$C137,"Overhead (MM)",AD87:AD137)),
0)</f>
        <v>7.318250291959286</v>
      </c>
      <c r="AE145" s="535">
        <f ca="1">IF(OFFSET(NAMES!$G$1,MATCH($C86,NAMES!$D:$D,0)-1,0)=TRUE,
(SUMIF($C87:$C137,"Overhead (MM)",AE87:AE137)),
0)</f>
        <v>7.6473440112640345</v>
      </c>
      <c r="AF145" s="535">
        <f ca="1">IF(OFFSET(NAMES!$G$1,MATCH($C86,NAMES!$D:$D,0)-1,0)=TRUE,
(SUMIF($C87:$C137,"Overhead (MM)",AF87:AF137)),
0)</f>
        <v>7.9883039696461653</v>
      </c>
      <c r="AG145" s="535">
        <f ca="1">IF(OFFSET(NAMES!$G$1,MATCH($C86,NAMES!$D:$D,0)-1,0)=TRUE,
(SUMIF($C87:$C137,"Overhead (MM)",AG87:AG137)),
0)</f>
        <v>8.3475890182981445</v>
      </c>
      <c r="AH145" s="535">
        <f ca="1">IF(OFFSET(NAMES!$G$1,MATCH($C86,NAMES!$D:$D,0)-1,0)=TRUE,
(SUMIF($C87:$C137,"Overhead (MM)",AH87:AH137)),
0)</f>
        <v>8.7243961488700137</v>
      </c>
      <c r="AI145" s="535">
        <f ca="1">IF(OFFSET(NAMES!$G$1,MATCH($C86,NAMES!$D:$D,0)-1,0)=TRUE,
(SUMIF($C87:$C137,"Overhead (MM)",AI87:AI137)),
0)</f>
        <v>9.1157870710336333</v>
      </c>
      <c r="AJ145" s="535">
        <f ca="1">IF(OFFSET(NAMES!$G$1,MATCH($C86,NAMES!$D:$D,0)-1,0)=TRUE,
(SUMIF($C87:$C137,"Overhead (MM)",AJ87:AJ137)),
0)</f>
        <v>9.5262840573226395</v>
      </c>
      <c r="AK145" s="535">
        <f ca="1">IF(OFFSET(NAMES!$G$1,MATCH($C86,NAMES!$D:$D,0)-1,0)=TRUE,
(SUMIF($C87:$C137,"Overhead (MM)",AK87:AK137)),
0)</f>
        <v>9.9526412494772032</v>
      </c>
      <c r="AL145" s="535">
        <f ca="1">IF(OFFSET(NAMES!$G$1,MATCH($C86,NAMES!$D:$D,0)-1,0)=TRUE,
(SUMIF($C87:$C137,"Overhead (MM)",AL87:AL137)),
0)</f>
        <v>10.401226804573559</v>
      </c>
      <c r="AM145" s="535">
        <f ca="1">IF(OFFSET(NAMES!$G$1,MATCH($C86,NAMES!$D:$D,0)-1,0)=TRUE,
(SUMIF($C87:$C137,"Overhead (MM)",AM87:AM137)),
0)</f>
        <v>10.8715584998399</v>
      </c>
      <c r="AN145" s="535">
        <f ca="1">IF(OFFSET(NAMES!$G$1,MATCH($C86,NAMES!$D:$D,0)-1,0)=TRUE,
(SUMIF($C87:$C137,"Overhead (MM)",AN87:AN137)),
0)</f>
        <v>11.359799893579739</v>
      </c>
      <c r="AO145" s="436"/>
      <c r="AP145" s="21"/>
    </row>
    <row r="146" spans="2:42" ht="15" customHeight="1" thickBot="1" x14ac:dyDescent="0.4">
      <c r="B146" s="465"/>
      <c r="C146" s="466"/>
      <c r="D146" s="466"/>
      <c r="E146" s="466"/>
      <c r="F146" s="466"/>
      <c r="G146" s="466"/>
      <c r="H146" s="466"/>
      <c r="I146" s="466"/>
      <c r="J146" s="466"/>
      <c r="K146" s="466"/>
      <c r="L146" s="466"/>
      <c r="M146" s="466"/>
      <c r="N146" s="466"/>
      <c r="O146" s="466"/>
      <c r="P146" s="466"/>
      <c r="Q146" s="466"/>
      <c r="R146" s="466"/>
      <c r="S146" s="466"/>
      <c r="T146" s="466"/>
      <c r="U146" s="466"/>
      <c r="V146" s="466"/>
      <c r="W146" s="466"/>
      <c r="X146" s="466"/>
      <c r="Y146" s="466"/>
      <c r="Z146" s="466"/>
      <c r="AA146" s="466"/>
      <c r="AB146" s="466"/>
      <c r="AC146" s="466"/>
      <c r="AD146" s="466"/>
      <c r="AE146" s="466"/>
      <c r="AF146" s="466"/>
      <c r="AG146" s="466"/>
      <c r="AH146" s="466"/>
      <c r="AI146" s="466"/>
      <c r="AJ146" s="466"/>
      <c r="AK146" s="466"/>
      <c r="AL146" s="466"/>
      <c r="AM146" s="466"/>
      <c r="AN146" s="466"/>
      <c r="AO146" s="467"/>
      <c r="AP146" s="21"/>
    </row>
    <row r="147" spans="2:42" ht="15" customHeight="1" thickBot="1" x14ac:dyDescent="0.4">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row>
    <row r="148" spans="2:42" ht="15" customHeight="1" x14ac:dyDescent="0.35">
      <c r="B148" s="425"/>
      <c r="C148" s="453"/>
      <c r="D148" s="426"/>
      <c r="E148" s="453"/>
      <c r="F148" s="453"/>
      <c r="G148" s="453"/>
      <c r="H148" s="453"/>
      <c r="I148" s="453"/>
      <c r="J148" s="453"/>
      <c r="K148" s="453"/>
      <c r="L148" s="453"/>
      <c r="M148" s="453"/>
      <c r="N148" s="426"/>
      <c r="O148" s="426"/>
      <c r="P148" s="426"/>
      <c r="Q148" s="426"/>
      <c r="R148" s="426"/>
      <c r="S148" s="426"/>
      <c r="T148" s="426"/>
      <c r="U148" s="426"/>
      <c r="V148" s="426"/>
      <c r="W148" s="426"/>
      <c r="X148" s="426"/>
      <c r="Y148" s="426"/>
      <c r="Z148" s="426"/>
      <c r="AA148" s="426"/>
      <c r="AB148" s="426"/>
      <c r="AC148" s="426"/>
      <c r="AD148" s="426"/>
      <c r="AE148" s="426"/>
      <c r="AF148" s="426"/>
      <c r="AG148" s="426"/>
      <c r="AH148" s="426"/>
      <c r="AI148" s="426"/>
      <c r="AJ148" s="426"/>
      <c r="AK148" s="426"/>
      <c r="AL148" s="426"/>
      <c r="AM148" s="426"/>
      <c r="AN148" s="426"/>
      <c r="AO148" s="428"/>
      <c r="AP148" s="21"/>
    </row>
    <row r="149" spans="2:42" ht="15" customHeight="1" x14ac:dyDescent="0.35">
      <c r="B149" s="429"/>
      <c r="C149" s="772" t="s">
        <v>237</v>
      </c>
      <c r="D149" s="773"/>
      <c r="E149" s="773"/>
      <c r="F149" s="773"/>
      <c r="G149" s="773"/>
      <c r="H149" s="773"/>
      <c r="I149" s="773"/>
      <c r="J149" s="773"/>
      <c r="K149" s="773"/>
      <c r="L149" s="773"/>
      <c r="M149" s="773"/>
      <c r="N149" s="773"/>
      <c r="O149" s="773"/>
      <c r="P149" s="773"/>
      <c r="Q149" s="773"/>
      <c r="R149" s="773"/>
      <c r="S149" s="773"/>
      <c r="T149" s="773"/>
      <c r="U149" s="773"/>
      <c r="V149" s="773"/>
      <c r="W149" s="773"/>
      <c r="X149" s="773"/>
      <c r="Y149" s="773"/>
      <c r="Z149" s="773"/>
      <c r="AA149" s="773"/>
      <c r="AB149" s="773"/>
      <c r="AC149" s="773"/>
      <c r="AD149" s="773"/>
      <c r="AE149" s="773"/>
      <c r="AF149" s="773"/>
      <c r="AG149" s="773"/>
      <c r="AH149" s="773"/>
      <c r="AI149" s="773"/>
      <c r="AJ149" s="773"/>
      <c r="AK149" s="773"/>
      <c r="AL149" s="773"/>
      <c r="AM149" s="773"/>
      <c r="AN149" s="773"/>
      <c r="AO149" s="436"/>
      <c r="AP149" s="21"/>
    </row>
    <row r="150" spans="2:42" ht="15" customHeight="1" x14ac:dyDescent="0.35">
      <c r="B150" s="429"/>
      <c r="C150" s="772"/>
      <c r="D150" s="773"/>
      <c r="E150" s="774" t="str">
        <f t="shared" ref="E150:AN150" si="33">IF(E151=Announcement_Year,"Ancmt Yr",
IF(E151=Reference_Year,"Ref Yr",
IF(E151=Standard_Year,"Std Yr",
IF(E151=Terminal_Year,"Term Yr",
" "))))</f>
        <v xml:space="preserve"> </v>
      </c>
      <c r="F150" s="774" t="str">
        <f t="shared" ca="1" si="33"/>
        <v>Ancmt Yr</v>
      </c>
      <c r="G150" s="774" t="str">
        <f t="shared" ca="1" si="33"/>
        <v xml:space="preserve"> </v>
      </c>
      <c r="H150" s="774" t="str">
        <f t="shared" ca="1" si="33"/>
        <v xml:space="preserve"> </v>
      </c>
      <c r="I150" s="774" t="str">
        <f t="shared" ca="1" si="33"/>
        <v>Std Yr</v>
      </c>
      <c r="J150" s="774" t="str">
        <f t="shared" ca="1" si="33"/>
        <v xml:space="preserve"> </v>
      </c>
      <c r="K150" s="774" t="str">
        <f t="shared" ca="1" si="33"/>
        <v xml:space="preserve"> </v>
      </c>
      <c r="L150" s="774" t="str">
        <f t="shared" ca="1" si="33"/>
        <v xml:space="preserve"> </v>
      </c>
      <c r="M150" s="774" t="str">
        <f t="shared" ca="1" si="33"/>
        <v xml:space="preserve"> </v>
      </c>
      <c r="N150" s="774" t="str">
        <f t="shared" ca="1" si="33"/>
        <v xml:space="preserve"> </v>
      </c>
      <c r="O150" s="774" t="str">
        <f t="shared" ca="1" si="33"/>
        <v xml:space="preserve"> </v>
      </c>
      <c r="P150" s="774" t="str">
        <f t="shared" ca="1" si="33"/>
        <v xml:space="preserve"> </v>
      </c>
      <c r="Q150" s="774" t="str">
        <f t="shared" ca="1" si="33"/>
        <v xml:space="preserve"> </v>
      </c>
      <c r="R150" s="774" t="str">
        <f t="shared" ca="1" si="33"/>
        <v xml:space="preserve"> </v>
      </c>
      <c r="S150" s="774" t="str">
        <f t="shared" ca="1" si="33"/>
        <v xml:space="preserve"> </v>
      </c>
      <c r="T150" s="774" t="str">
        <f t="shared" ca="1" si="33"/>
        <v xml:space="preserve"> </v>
      </c>
      <c r="U150" s="774" t="str">
        <f t="shared" ca="1" si="33"/>
        <v xml:space="preserve"> </v>
      </c>
      <c r="V150" s="774" t="str">
        <f t="shared" ca="1" si="33"/>
        <v xml:space="preserve"> </v>
      </c>
      <c r="W150" s="774" t="str">
        <f t="shared" ca="1" si="33"/>
        <v xml:space="preserve"> </v>
      </c>
      <c r="X150" s="774" t="str">
        <f t="shared" ca="1" si="33"/>
        <v xml:space="preserve"> </v>
      </c>
      <c r="Y150" s="774" t="str">
        <f t="shared" ca="1" si="33"/>
        <v xml:space="preserve"> </v>
      </c>
      <c r="Z150" s="774" t="str">
        <f t="shared" ca="1" si="33"/>
        <v xml:space="preserve"> </v>
      </c>
      <c r="AA150" s="774" t="str">
        <f t="shared" ca="1" si="33"/>
        <v xml:space="preserve"> </v>
      </c>
      <c r="AB150" s="774" t="str">
        <f t="shared" ca="1" si="33"/>
        <v xml:space="preserve"> </v>
      </c>
      <c r="AC150" s="774" t="str">
        <f t="shared" ca="1" si="33"/>
        <v xml:space="preserve"> </v>
      </c>
      <c r="AD150" s="774" t="str">
        <f t="shared" ca="1" si="33"/>
        <v xml:space="preserve"> </v>
      </c>
      <c r="AE150" s="774" t="str">
        <f t="shared" ca="1" si="33"/>
        <v xml:space="preserve"> </v>
      </c>
      <c r="AF150" s="774" t="str">
        <f t="shared" ca="1" si="33"/>
        <v xml:space="preserve"> </v>
      </c>
      <c r="AG150" s="774" t="str">
        <f t="shared" ca="1" si="33"/>
        <v xml:space="preserve"> </v>
      </c>
      <c r="AH150" s="774" t="str">
        <f t="shared" ca="1" si="33"/>
        <v xml:space="preserve"> </v>
      </c>
      <c r="AI150" s="774" t="str">
        <f t="shared" ca="1" si="33"/>
        <v xml:space="preserve"> </v>
      </c>
      <c r="AJ150" s="774" t="str">
        <f t="shared" ca="1" si="33"/>
        <v xml:space="preserve"> </v>
      </c>
      <c r="AK150" s="774" t="str">
        <f t="shared" ca="1" si="33"/>
        <v xml:space="preserve"> </v>
      </c>
      <c r="AL150" s="774" t="str">
        <f t="shared" ca="1" si="33"/>
        <v xml:space="preserve"> </v>
      </c>
      <c r="AM150" s="774" t="str">
        <f t="shared" ca="1" si="33"/>
        <v xml:space="preserve"> </v>
      </c>
      <c r="AN150" s="774" t="str">
        <f t="shared" ca="1" si="33"/>
        <v>Term Yr</v>
      </c>
      <c r="AO150" s="436"/>
      <c r="AP150" s="21"/>
    </row>
    <row r="151" spans="2:42" ht="15" customHeight="1" x14ac:dyDescent="0.35">
      <c r="B151" s="429"/>
      <c r="C151" s="775" t="s">
        <v>181</v>
      </c>
      <c r="D151" s="776"/>
      <c r="E151" s="772">
        <f>Reference_Year -1</f>
        <v>2022</v>
      </c>
      <c r="F151" s="772">
        <f ca="1">OFFSET(F151,0,-1)+1</f>
        <v>2023</v>
      </c>
      <c r="G151" s="772">
        <f t="shared" ref="G151:AN151" ca="1" si="34">OFFSET(G151,0,-1)+1</f>
        <v>2024</v>
      </c>
      <c r="H151" s="772">
        <f t="shared" ca="1" si="34"/>
        <v>2025</v>
      </c>
      <c r="I151" s="772">
        <f t="shared" ca="1" si="34"/>
        <v>2026</v>
      </c>
      <c r="J151" s="772">
        <f t="shared" ca="1" si="34"/>
        <v>2027</v>
      </c>
      <c r="K151" s="772">
        <f t="shared" ca="1" si="34"/>
        <v>2028</v>
      </c>
      <c r="L151" s="772">
        <f t="shared" ca="1" si="34"/>
        <v>2029</v>
      </c>
      <c r="M151" s="772">
        <f t="shared" ca="1" si="34"/>
        <v>2030</v>
      </c>
      <c r="N151" s="772">
        <f t="shared" ca="1" si="34"/>
        <v>2031</v>
      </c>
      <c r="O151" s="772">
        <f t="shared" ca="1" si="34"/>
        <v>2032</v>
      </c>
      <c r="P151" s="772">
        <f t="shared" ca="1" si="34"/>
        <v>2033</v>
      </c>
      <c r="Q151" s="772">
        <f t="shared" ca="1" si="34"/>
        <v>2034</v>
      </c>
      <c r="R151" s="772">
        <f t="shared" ca="1" si="34"/>
        <v>2035</v>
      </c>
      <c r="S151" s="772">
        <f t="shared" ca="1" si="34"/>
        <v>2036</v>
      </c>
      <c r="T151" s="772">
        <f t="shared" ca="1" si="34"/>
        <v>2037</v>
      </c>
      <c r="U151" s="772">
        <f t="shared" ca="1" si="34"/>
        <v>2038</v>
      </c>
      <c r="V151" s="772">
        <f t="shared" ca="1" si="34"/>
        <v>2039</v>
      </c>
      <c r="W151" s="772">
        <f t="shared" ca="1" si="34"/>
        <v>2040</v>
      </c>
      <c r="X151" s="772">
        <f t="shared" ca="1" si="34"/>
        <v>2041</v>
      </c>
      <c r="Y151" s="772">
        <f t="shared" ca="1" si="34"/>
        <v>2042</v>
      </c>
      <c r="Z151" s="772">
        <f t="shared" ca="1" si="34"/>
        <v>2043</v>
      </c>
      <c r="AA151" s="772">
        <f t="shared" ca="1" si="34"/>
        <v>2044</v>
      </c>
      <c r="AB151" s="772">
        <f t="shared" ca="1" si="34"/>
        <v>2045</v>
      </c>
      <c r="AC151" s="772">
        <f t="shared" ca="1" si="34"/>
        <v>2046</v>
      </c>
      <c r="AD151" s="772">
        <f t="shared" ca="1" si="34"/>
        <v>2047</v>
      </c>
      <c r="AE151" s="772">
        <f ca="1">OFFSET(AE151,0,-1)+1</f>
        <v>2048</v>
      </c>
      <c r="AF151" s="772">
        <f t="shared" ca="1" si="34"/>
        <v>2049</v>
      </c>
      <c r="AG151" s="772">
        <f t="shared" ca="1" si="34"/>
        <v>2050</v>
      </c>
      <c r="AH151" s="772">
        <f t="shared" ca="1" si="34"/>
        <v>2051</v>
      </c>
      <c r="AI151" s="772">
        <f t="shared" ca="1" si="34"/>
        <v>2052</v>
      </c>
      <c r="AJ151" s="772">
        <f t="shared" ca="1" si="34"/>
        <v>2053</v>
      </c>
      <c r="AK151" s="772">
        <f t="shared" ca="1" si="34"/>
        <v>2054</v>
      </c>
      <c r="AL151" s="772">
        <f t="shared" ca="1" si="34"/>
        <v>2055</v>
      </c>
      <c r="AM151" s="772">
        <f t="shared" ca="1" si="34"/>
        <v>2056</v>
      </c>
      <c r="AN151" s="772">
        <f t="shared" ca="1" si="34"/>
        <v>2057</v>
      </c>
      <c r="AO151" s="436"/>
      <c r="AP151" s="21"/>
    </row>
    <row r="152" spans="2:42" ht="15" customHeight="1" x14ac:dyDescent="0.35">
      <c r="B152" s="429"/>
      <c r="C152" s="772" t="s">
        <v>81</v>
      </c>
      <c r="D152" s="776"/>
      <c r="E152" s="776"/>
      <c r="F152" s="776"/>
      <c r="G152" s="776"/>
      <c r="H152" s="776"/>
      <c r="I152" s="776"/>
      <c r="J152" s="776"/>
      <c r="K152" s="776"/>
      <c r="L152" s="776"/>
      <c r="M152" s="776"/>
      <c r="N152" s="776"/>
      <c r="O152" s="776"/>
      <c r="P152" s="776"/>
      <c r="Q152" s="776"/>
      <c r="R152" s="776"/>
      <c r="S152" s="776"/>
      <c r="T152" s="776"/>
      <c r="U152" s="776"/>
      <c r="V152" s="776"/>
      <c r="W152" s="776"/>
      <c r="X152" s="776"/>
      <c r="Y152" s="776"/>
      <c r="Z152" s="776"/>
      <c r="AA152" s="776"/>
      <c r="AB152" s="776"/>
      <c r="AC152" s="776"/>
      <c r="AD152" s="776"/>
      <c r="AE152" s="776"/>
      <c r="AF152" s="776"/>
      <c r="AG152" s="776"/>
      <c r="AH152" s="776"/>
      <c r="AI152" s="776"/>
      <c r="AJ152" s="776"/>
      <c r="AK152" s="776"/>
      <c r="AL152" s="776"/>
      <c r="AM152" s="776"/>
      <c r="AN152" s="776"/>
      <c r="AO152" s="436"/>
      <c r="AP152" s="21"/>
    </row>
    <row r="153" spans="2:42" ht="15" customHeight="1" x14ac:dyDescent="0.35">
      <c r="B153" s="429"/>
      <c r="C153" s="777" t="s">
        <v>10</v>
      </c>
      <c r="D153" s="776"/>
      <c r="E153" s="778" cm="1">
        <f t="array" aca="1" ref="E153" ca="1">OFFSET(MSP!$C$1,
MATCH(OFFSET($C152,((MATCH($C152,EL_List,0)-1)*-10)-1,0),MSP!$C:$C,0)+MATCH($C152,EL_List,0)-1,
MATCH(OFFSET($C152,((MATCH($C152,EL_List,0)-1)*-10)-3,0),MSP!$D$5:$N$5,0)+1)
*INDEX(Learning!$E$6:$S$41,(MATCH(E$21,Dates,0)),(MATCH($C$151,Learning!$E$4:$S$4,0)+MATCH($C$152,Learning!$E$5:$S$5,0)-1))</f>
        <v>106.41622499999998</v>
      </c>
      <c r="F153" s="778" cm="1">
        <f t="array" aca="1" ref="F153" ca="1">OFFSET(MSP!$C$1,
MATCH(OFFSET($C152,((MATCH($C152,EL_List,0)-1)*-10)-1,0),MSP!$C:$C,0)+MATCH($C152,EL_List,0)-1,
MATCH(OFFSET($C152,((MATCH($C152,EL_List,0)-1)*-10)-3,0),MSP!$D$5:$N$5,0)+1)
*INDEX(Learning!$E$6:$S$41,(MATCH(F$21,Dates,0)),(MATCH($C$151,Learning!$E$4:$S$4,0)+MATCH($C$152,Learning!$E$5:$S$5,0)-1))</f>
        <v>105.70065</v>
      </c>
      <c r="G153" s="778" cm="1">
        <f t="array" aca="1" ref="G153" ca="1">OFFSET(MSP!$C$1,
MATCH(OFFSET($C152,((MATCH($C152,EL_List,0)-1)*-10)-1,0),MSP!$C:$C,0)+MATCH($C152,EL_List,0)-1,
MATCH(OFFSET($C152,((MATCH($C152,EL_List,0)-1)*-10)-3,0),MSP!$D$5:$N$5,0)+1)
*INDEX(Learning!$E$6:$S$41,(MATCH(G$21,Dates,0)),(MATCH($C$151,Learning!$E$4:$S$4,0)+MATCH($C$152,Learning!$E$5:$S$5,0)-1))</f>
        <v>104.88284999999999</v>
      </c>
      <c r="H153" s="778" cm="1">
        <f t="array" aca="1" ref="H153" ca="1">OFFSET(MSP!$C$1,
MATCH(OFFSET($C152,((MATCH($C152,EL_List,0)-1)*-10)-1,0),MSP!$C:$C,0)+MATCH($C152,EL_List,0)-1,
MATCH(OFFSET($C152,((MATCH($C152,EL_List,0)-1)*-10)-3,0),MSP!$D$5:$N$5,0)+1)
*INDEX(Learning!$E$6:$S$41,(MATCH(H$21,Dates,0)),(MATCH($C$151,Learning!$E$4:$S$4,0)+MATCH($C$152,Learning!$E$5:$S$5,0)-1))</f>
        <v>104.16727499999999</v>
      </c>
      <c r="I153" s="778" cm="1">
        <f t="array" aca="1" ref="I153" ca="1">OFFSET(MSP!$C$1,
MATCH(OFFSET($C152,((MATCH($C152,EL_List,0)-1)*-10)-1,0),MSP!$C:$C,0)+MATCH($C152,EL_List,0)-1,
MATCH(OFFSET($C152,((MATCH($C152,EL_List,0)-1)*-10)-3,0),MSP!$D$5:$N$5,0)+1)
*INDEX(Learning!$E$6:$S$41,(MATCH(I$21,Dates,0)),(MATCH($C$151,Learning!$E$4:$S$4,0)+MATCH($C$152,Learning!$E$5:$S$5,0)-1))</f>
        <v>103.55392499999998</v>
      </c>
      <c r="J153" s="778" cm="1">
        <f t="array" aca="1" ref="J153" ca="1">OFFSET(MSP!$C$1,
MATCH(OFFSET($C152,((MATCH($C152,EL_List,0)-1)*-10)-1,0),MSP!$C:$C,0)+MATCH($C152,EL_List,0)-1,
MATCH(OFFSET($C152,((MATCH($C152,EL_List,0)-1)*-10)-3,0),MSP!$D$5:$N$5,0)+1)
*INDEX(Learning!$E$6:$S$41,(MATCH(J$21,Dates,0)),(MATCH($C$151,Learning!$E$4:$S$4,0)+MATCH($C$152,Learning!$E$5:$S$5,0)-1))</f>
        <v>102.83834999999999</v>
      </c>
      <c r="K153" s="778" cm="1">
        <f t="array" aca="1" ref="K153" ca="1">OFFSET(MSP!$C$1,
MATCH(OFFSET($C152,((MATCH($C152,EL_List,0)-1)*-10)-1,0),MSP!$C:$C,0)+MATCH($C152,EL_List,0)-1,
MATCH(OFFSET($C152,((MATCH($C152,EL_List,0)-1)*-10)-3,0),MSP!$D$5:$N$5,0)+1)
*INDEX(Learning!$E$6:$S$41,(MATCH(K$21,Dates,0)),(MATCH($C$151,Learning!$E$4:$S$4,0)+MATCH($C$152,Learning!$E$5:$S$5,0)-1))</f>
        <v>102.22499999999999</v>
      </c>
      <c r="L153" s="778" cm="1">
        <f t="array" aca="1" ref="L153" ca="1">OFFSET(MSP!$C$1,
MATCH(OFFSET($C152,((MATCH($C152,EL_List,0)-1)*-10)-1,0),MSP!$C:$C,0)+MATCH($C152,EL_List,0)-1,
MATCH(OFFSET($C152,((MATCH($C152,EL_List,0)-1)*-10)-3,0),MSP!$D$5:$N$5,0)+1)
*INDEX(Learning!$E$6:$S$41,(MATCH(L$21,Dates,0)),(MATCH($C$151,Learning!$E$4:$S$4,0)+MATCH($C$152,Learning!$E$5:$S$5,0)-1))</f>
        <v>101.61165</v>
      </c>
      <c r="M153" s="778" cm="1">
        <f t="array" aca="1" ref="M153" ca="1">OFFSET(MSP!$C$1,
MATCH(OFFSET($C152,((MATCH($C152,EL_List,0)-1)*-10)-1,0),MSP!$C:$C,0)+MATCH($C152,EL_List,0)-1,
MATCH(OFFSET($C152,((MATCH($C152,EL_List,0)-1)*-10)-3,0),MSP!$D$5:$N$5,0)+1)
*INDEX(Learning!$E$6:$S$41,(MATCH(M$21,Dates,0)),(MATCH($C$151,Learning!$E$4:$S$4,0)+MATCH($C$152,Learning!$E$5:$S$5,0)-1))</f>
        <v>100.99829999999999</v>
      </c>
      <c r="N153" s="778" cm="1">
        <f t="array" aca="1" ref="N153" ca="1">OFFSET(MSP!$C$1,
MATCH(OFFSET($C152,((MATCH($C152,EL_List,0)-1)*-10)-1,0),MSP!$C:$C,0)+MATCH($C152,EL_List,0)-1,
MATCH(OFFSET($C152,((MATCH($C152,EL_List,0)-1)*-10)-3,0),MSP!$D$5:$N$5,0)+1)
*INDEX(Learning!$E$6:$S$41,(MATCH(N$21,Dates,0)),(MATCH($C$151,Learning!$E$4:$S$4,0)+MATCH($C$152,Learning!$E$5:$S$5,0)-1))</f>
        <v>100.48717499999999</v>
      </c>
      <c r="O153" s="778" cm="1">
        <f t="array" aca="1" ref="O153" ca="1">OFFSET(MSP!$C$1,
MATCH(OFFSET($C152,((MATCH($C152,EL_List,0)-1)*-10)-1,0),MSP!$C:$C,0)+MATCH($C152,EL_List,0)-1,
MATCH(OFFSET($C152,((MATCH($C152,EL_List,0)-1)*-10)-3,0),MSP!$D$5:$N$5,0)+1)
*INDEX(Learning!$E$6:$S$41,(MATCH(O$21,Dates,0)),(MATCH($C$151,Learning!$E$4:$S$4,0)+MATCH($C$152,Learning!$E$5:$S$5,0)-1))</f>
        <v>99.873824999999997</v>
      </c>
      <c r="P153" s="778" cm="1">
        <f t="array" aca="1" ref="P153" ca="1">OFFSET(MSP!$C$1,
MATCH(OFFSET($C152,((MATCH($C152,EL_List,0)-1)*-10)-1,0),MSP!$C:$C,0)+MATCH($C152,EL_List,0)-1,
MATCH(OFFSET($C152,((MATCH($C152,EL_List,0)-1)*-10)-3,0),MSP!$D$5:$N$5,0)+1)
*INDEX(Learning!$E$6:$S$41,(MATCH(P$21,Dates,0)),(MATCH($C$151,Learning!$E$4:$S$4,0)+MATCH($C$152,Learning!$E$5:$S$5,0)-1))</f>
        <v>99.36269999999999</v>
      </c>
      <c r="Q153" s="778" cm="1">
        <f t="array" aca="1" ref="Q153" ca="1">OFFSET(MSP!$C$1,
MATCH(OFFSET($C152,((MATCH($C152,EL_List,0)-1)*-10)-1,0),MSP!$C:$C,0)+MATCH($C152,EL_List,0)-1,
MATCH(OFFSET($C152,((MATCH($C152,EL_List,0)-1)*-10)-3,0),MSP!$D$5:$N$5,0)+1)
*INDEX(Learning!$E$6:$S$41,(MATCH(Q$21,Dates,0)),(MATCH($C$151,Learning!$E$4:$S$4,0)+MATCH($C$152,Learning!$E$5:$S$5,0)-1))</f>
        <v>98.851574999999997</v>
      </c>
      <c r="R153" s="778" cm="1">
        <f t="array" aca="1" ref="R153" ca="1">OFFSET(MSP!$C$1,
MATCH(OFFSET($C152,((MATCH($C152,EL_List,0)-1)*-10)-1,0),MSP!$C:$C,0)+MATCH($C152,EL_List,0)-1,
MATCH(OFFSET($C152,((MATCH($C152,EL_List,0)-1)*-10)-3,0),MSP!$D$5:$N$5,0)+1)
*INDEX(Learning!$E$6:$S$41,(MATCH(R$21,Dates,0)),(MATCH($C$151,Learning!$E$4:$S$4,0)+MATCH($C$152,Learning!$E$5:$S$5,0)-1))</f>
        <v>98.34044999999999</v>
      </c>
      <c r="S153" s="778" cm="1">
        <f t="array" aca="1" ref="S153" ca="1">OFFSET(MSP!$C$1,
MATCH(OFFSET($C152,((MATCH($C152,EL_List,0)-1)*-10)-1,0),MSP!$C:$C,0)+MATCH($C152,EL_List,0)-1,
MATCH(OFFSET($C152,((MATCH($C152,EL_List,0)-1)*-10)-3,0),MSP!$D$5:$N$5,0)+1)
*INDEX(Learning!$E$6:$S$41,(MATCH(S$21,Dates,0)),(MATCH($C$151,Learning!$E$4:$S$4,0)+MATCH($C$152,Learning!$E$5:$S$5,0)-1))</f>
        <v>97.829324999999997</v>
      </c>
      <c r="T153" s="778" cm="1">
        <f t="array" aca="1" ref="T153" ca="1">OFFSET(MSP!$C$1,
MATCH(OFFSET($C152,((MATCH($C152,EL_List,0)-1)*-10)-1,0),MSP!$C:$C,0)+MATCH($C152,EL_List,0)-1,
MATCH(OFFSET($C152,((MATCH($C152,EL_List,0)-1)*-10)-3,0),MSP!$D$5:$N$5,0)+1)
*INDEX(Learning!$E$6:$S$41,(MATCH(T$21,Dates,0)),(MATCH($C$151,Learning!$E$4:$S$4,0)+MATCH($C$152,Learning!$E$5:$S$5,0)-1))</f>
        <v>97.31819999999999</v>
      </c>
      <c r="U153" s="778" cm="1">
        <f t="array" aca="1" ref="U153" ca="1">OFFSET(MSP!$C$1,
MATCH(OFFSET($C152,((MATCH($C152,EL_List,0)-1)*-10)-1,0),MSP!$C:$C,0)+MATCH($C152,EL_List,0)-1,
MATCH(OFFSET($C152,((MATCH($C152,EL_List,0)-1)*-10)-3,0),MSP!$D$5:$N$5,0)+1)
*INDEX(Learning!$E$6:$S$41,(MATCH(U$21,Dates,0)),(MATCH($C$151,Learning!$E$4:$S$4,0)+MATCH($C$152,Learning!$E$5:$S$5,0)-1))</f>
        <v>96.807074999999983</v>
      </c>
      <c r="V153" s="778" cm="1">
        <f t="array" aca="1" ref="V153" ca="1">OFFSET(MSP!$C$1,
MATCH(OFFSET($C152,((MATCH($C152,EL_List,0)-1)*-10)-1,0),MSP!$C:$C,0)+MATCH($C152,EL_List,0)-1,
MATCH(OFFSET($C152,((MATCH($C152,EL_List,0)-1)*-10)-3,0),MSP!$D$5:$N$5,0)+1)
*INDEX(Learning!$E$6:$S$41,(MATCH(V$21,Dates,0)),(MATCH($C$151,Learning!$E$4:$S$4,0)+MATCH($C$152,Learning!$E$5:$S$5,0)-1))</f>
        <v>96.398174999999995</v>
      </c>
      <c r="W153" s="778" cm="1">
        <f t="array" aca="1" ref="W153" ca="1">OFFSET(MSP!$C$1,
MATCH(OFFSET($C152,((MATCH($C152,EL_List,0)-1)*-10)-1,0),MSP!$C:$C,0)+MATCH($C152,EL_List,0)-1,
MATCH(OFFSET($C152,((MATCH($C152,EL_List,0)-1)*-10)-3,0),MSP!$D$5:$N$5,0)+1)
*INDEX(Learning!$E$6:$S$41,(MATCH(W$21,Dates,0)),(MATCH($C$151,Learning!$E$4:$S$4,0)+MATCH($C$152,Learning!$E$5:$S$5,0)-1))</f>
        <v>95.887049999999988</v>
      </c>
      <c r="X153" s="778" cm="1">
        <f t="array" aca="1" ref="X153" ca="1">OFFSET(MSP!$C$1,
MATCH(OFFSET($C152,((MATCH($C152,EL_List,0)-1)*-10)-1,0),MSP!$C:$C,0)+MATCH($C152,EL_List,0)-1,
MATCH(OFFSET($C152,((MATCH($C152,EL_List,0)-1)*-10)-3,0),MSP!$D$5:$N$5,0)+1)
*INDEX(Learning!$E$6:$S$41,(MATCH(X$21,Dates,0)),(MATCH($C$151,Learning!$E$4:$S$4,0)+MATCH($C$152,Learning!$E$5:$S$5,0)-1))</f>
        <v>95.478149999999999</v>
      </c>
      <c r="Y153" s="778" cm="1">
        <f t="array" aca="1" ref="Y153" ca="1">OFFSET(MSP!$C$1,
MATCH(OFFSET($C152,((MATCH($C152,EL_List,0)-1)*-10)-1,0),MSP!$C:$C,0)+MATCH($C152,EL_List,0)-1,
MATCH(OFFSET($C152,((MATCH($C152,EL_List,0)-1)*-10)-3,0),MSP!$D$5:$N$5,0)+1)
*INDEX(Learning!$E$6:$S$41,(MATCH(Y$21,Dates,0)),(MATCH($C$151,Learning!$E$4:$S$4,0)+MATCH($C$152,Learning!$E$5:$S$5,0)-1))</f>
        <v>94.967025000000007</v>
      </c>
      <c r="Z153" s="778" cm="1">
        <f t="array" aca="1" ref="Z153" ca="1">OFFSET(MSP!$C$1,
MATCH(OFFSET($C152,((MATCH($C152,EL_List,0)-1)*-10)-1,0),MSP!$C:$C,0)+MATCH($C152,EL_List,0)-1,
MATCH(OFFSET($C152,((MATCH($C152,EL_List,0)-1)*-10)-3,0),MSP!$D$5:$N$5,0)+1)
*INDEX(Learning!$E$6:$S$41,(MATCH(Z$21,Dates,0)),(MATCH($C$151,Learning!$E$4:$S$4,0)+MATCH($C$152,Learning!$E$5:$S$5,0)-1))</f>
        <v>94.558125000000004</v>
      </c>
      <c r="AA153" s="778" cm="1">
        <f t="array" aca="1" ref="AA153" ca="1">OFFSET(MSP!$C$1,
MATCH(OFFSET($C152,((MATCH($C152,EL_List,0)-1)*-10)-1,0),MSP!$C:$C,0)+MATCH($C152,EL_List,0)-1,
MATCH(OFFSET($C152,((MATCH($C152,EL_List,0)-1)*-10)-3,0),MSP!$D$5:$N$5,0)+1)
*INDEX(Learning!$E$6:$S$41,(MATCH(AA$21,Dates,0)),(MATCH($C$151,Learning!$E$4:$S$4,0)+MATCH($C$152,Learning!$E$5:$S$5,0)-1))</f>
        <v>94.149225000000001</v>
      </c>
      <c r="AB153" s="778" cm="1">
        <f t="array" aca="1" ref="AB153" ca="1">OFFSET(MSP!$C$1,
MATCH(OFFSET($C152,((MATCH($C152,EL_List,0)-1)*-10)-1,0),MSP!$C:$C,0)+MATCH($C152,EL_List,0)-1,
MATCH(OFFSET($C152,((MATCH($C152,EL_List,0)-1)*-10)-3,0),MSP!$D$5:$N$5,0)+1)
*INDEX(Learning!$E$6:$S$41,(MATCH(AB$21,Dates,0)),(MATCH($C$151,Learning!$E$4:$S$4,0)+MATCH($C$152,Learning!$E$5:$S$5,0)-1))</f>
        <v>93.740324999999999</v>
      </c>
      <c r="AC153" s="778" cm="1">
        <f t="array" aca="1" ref="AC153" ca="1">OFFSET(MSP!$C$1,
MATCH(OFFSET($C152,((MATCH($C152,EL_List,0)-1)*-10)-1,0),MSP!$C:$C,0)+MATCH($C152,EL_List,0)-1,
MATCH(OFFSET($C152,((MATCH($C152,EL_List,0)-1)*-10)-3,0),MSP!$D$5:$N$5,0)+1)
*INDEX(Learning!$E$6:$S$41,(MATCH(AC$21,Dates,0)),(MATCH($C$151,Learning!$E$4:$S$4,0)+MATCH($C$152,Learning!$E$5:$S$5,0)-1))</f>
        <v>93.331424999999996</v>
      </c>
      <c r="AD153" s="778" cm="1">
        <f t="array" aca="1" ref="AD153" ca="1">OFFSET(MSP!$C$1,
MATCH(OFFSET($C152,((MATCH($C152,EL_List,0)-1)*-10)-1,0),MSP!$C:$C,0)+MATCH($C152,EL_List,0)-1,
MATCH(OFFSET($C152,((MATCH($C152,EL_List,0)-1)*-10)-3,0),MSP!$D$5:$N$5,0)+1)
*INDEX(Learning!$E$6:$S$41,(MATCH(AD$21,Dates,0)),(MATCH($C$151,Learning!$E$4:$S$4,0)+MATCH($C$152,Learning!$E$5:$S$5,0)-1))</f>
        <v>92.922524999999993</v>
      </c>
      <c r="AE153" s="778" cm="1">
        <f t="array" aca="1" ref="AE153" ca="1">OFFSET(MSP!$C$1,
MATCH(OFFSET($C152,((MATCH($C152,EL_List,0)-1)*-10)-1,0),MSP!$C:$C,0)+MATCH($C152,EL_List,0)-1,
MATCH(OFFSET($C152,((MATCH($C152,EL_List,0)-1)*-10)-3,0),MSP!$D$5:$N$5,0)+1)
*INDEX(Learning!$E$6:$S$41,(MATCH(AE$21,Dates,0)),(MATCH($C$151,Learning!$E$4:$S$4,0)+MATCH($C$152,Learning!$E$5:$S$5,0)-1))</f>
        <v>92.513625000000005</v>
      </c>
      <c r="AF153" s="778" cm="1">
        <f t="array" aca="1" ref="AF153" ca="1">OFFSET(MSP!$C$1,
MATCH(OFFSET($C152,((MATCH($C152,EL_List,0)-1)*-10)-1,0),MSP!$C:$C,0)+MATCH($C152,EL_List,0)-1,
MATCH(OFFSET($C152,((MATCH($C152,EL_List,0)-1)*-10)-3,0),MSP!$D$5:$N$5,0)+1)
*INDEX(Learning!$E$6:$S$41,(MATCH(AF$21,Dates,0)),(MATCH($C$151,Learning!$E$4:$S$4,0)+MATCH($C$152,Learning!$E$5:$S$5,0)-1))</f>
        <v>92.104725000000002</v>
      </c>
      <c r="AG153" s="778" cm="1">
        <f t="array" aca="1" ref="AG153" ca="1">OFFSET(MSP!$C$1,
MATCH(OFFSET($C152,((MATCH($C152,EL_List,0)-1)*-10)-1,0),MSP!$C:$C,0)+MATCH($C152,EL_List,0)-1,
MATCH(OFFSET($C152,((MATCH($C152,EL_List,0)-1)*-10)-3,0),MSP!$D$5:$N$5,0)+1)
*INDEX(Learning!$E$6:$S$41,(MATCH(AG$21,Dates,0)),(MATCH($C$151,Learning!$E$4:$S$4,0)+MATCH($C$152,Learning!$E$5:$S$5,0)-1))</f>
        <v>91.695824999999999</v>
      </c>
      <c r="AH153" s="778" cm="1">
        <f t="array" aca="1" ref="AH153" ca="1">OFFSET(MSP!$C$1,
MATCH(OFFSET($C152,((MATCH($C152,EL_List,0)-1)*-10)-1,0),MSP!$C:$C,0)+MATCH($C152,EL_List,0)-1,
MATCH(OFFSET($C152,((MATCH($C152,EL_List,0)-1)*-10)-3,0),MSP!$D$5:$N$5,0)+1)
*INDEX(Learning!$E$6:$S$41,(MATCH(AH$21,Dates,0)),(MATCH($C$151,Learning!$E$4:$S$4,0)+MATCH($C$152,Learning!$E$5:$S$5,0)-1))</f>
        <v>91.286924999999997</v>
      </c>
      <c r="AI153" s="778" cm="1">
        <f t="array" aca="1" ref="AI153" ca="1">OFFSET(MSP!$C$1,
MATCH(OFFSET($C152,((MATCH($C152,EL_List,0)-1)*-10)-1,0),MSP!$C:$C,0)+MATCH($C152,EL_List,0)-1,
MATCH(OFFSET($C152,((MATCH($C152,EL_List,0)-1)*-10)-3,0),MSP!$D$5:$N$5,0)+1)
*INDEX(Learning!$E$6:$S$41,(MATCH(AI$21,Dates,0)),(MATCH($C$151,Learning!$E$4:$S$4,0)+MATCH($C$152,Learning!$E$5:$S$5,0)-1))</f>
        <v>90.980249999999998</v>
      </c>
      <c r="AJ153" s="778" cm="1">
        <f t="array" aca="1" ref="AJ153" ca="1">OFFSET(MSP!$C$1,
MATCH(OFFSET($C152,((MATCH($C152,EL_List,0)-1)*-10)-1,0),MSP!$C:$C,0)+MATCH($C152,EL_List,0)-1,
MATCH(OFFSET($C152,((MATCH($C152,EL_List,0)-1)*-10)-3,0),MSP!$D$5:$N$5,0)+1)
*INDEX(Learning!$E$6:$S$41,(MATCH(AJ$21,Dates,0)),(MATCH($C$151,Learning!$E$4:$S$4,0)+MATCH($C$152,Learning!$E$5:$S$5,0)-1))</f>
        <v>90.571349999999995</v>
      </c>
      <c r="AK153" s="778" cm="1">
        <f t="array" aca="1" ref="AK153" ca="1">OFFSET(MSP!$C$1,
MATCH(OFFSET($C152,((MATCH($C152,EL_List,0)-1)*-10)-1,0),MSP!$C:$C,0)+MATCH($C152,EL_List,0)-1,
MATCH(OFFSET($C152,((MATCH($C152,EL_List,0)-1)*-10)-3,0),MSP!$D$5:$N$5,0)+1)
*INDEX(Learning!$E$6:$S$41,(MATCH(AK$21,Dates,0)),(MATCH($C$151,Learning!$E$4:$S$4,0)+MATCH($C$152,Learning!$E$5:$S$5,0)-1))</f>
        <v>90.162449999999993</v>
      </c>
      <c r="AL153" s="778" cm="1">
        <f t="array" aca="1" ref="AL153" ca="1">OFFSET(MSP!$C$1,
MATCH(OFFSET($C152,((MATCH($C152,EL_List,0)-1)*-10)-1,0),MSP!$C:$C,0)+MATCH($C152,EL_List,0)-1,
MATCH(OFFSET($C152,((MATCH($C152,EL_List,0)-1)*-10)-3,0),MSP!$D$5:$N$5,0)+1)
*INDEX(Learning!$E$6:$S$41,(MATCH(AL$21,Dates,0)),(MATCH($C$151,Learning!$E$4:$S$4,0)+MATCH($C$152,Learning!$E$5:$S$5,0)-1))</f>
        <v>89.75354999999999</v>
      </c>
      <c r="AM153" s="778" cm="1">
        <f t="array" aca="1" ref="AM153" ca="1">OFFSET(MSP!$C$1,
MATCH(OFFSET($C152,((MATCH($C152,EL_List,0)-1)*-10)-1,0),MSP!$C:$C,0)+MATCH($C152,EL_List,0)-1,
MATCH(OFFSET($C152,((MATCH($C152,EL_List,0)-1)*-10)-3,0),MSP!$D$5:$N$5,0)+1)
*INDEX(Learning!$E$6:$S$41,(MATCH(AM$21,Dates,0)),(MATCH($C$151,Learning!$E$4:$S$4,0)+MATCH($C$152,Learning!$E$5:$S$5,0)-1))</f>
        <v>89.446874999999991</v>
      </c>
      <c r="AN153" s="778" cm="1">
        <f t="array" aca="1" ref="AN153" ca="1">OFFSET(MSP!$C$1,
MATCH(OFFSET($C152,((MATCH($C152,EL_List,0)-1)*-10)-1,0),MSP!$C:$C,0)+MATCH($C152,EL_List,0)-1,
MATCH(OFFSET($C152,((MATCH($C152,EL_List,0)-1)*-10)-3,0),MSP!$D$5:$N$5,0)+1)
*INDEX(Learning!$E$6:$S$41,(MATCH(AN$21,Dates,0)),(MATCH($C$151,Learning!$E$4:$S$4,0)+MATCH($C$152,Learning!$E$5:$S$5,0)-1))</f>
        <v>89.073795850848811</v>
      </c>
      <c r="AO153" s="436"/>
      <c r="AP153" s="21"/>
    </row>
    <row r="154" spans="2:42" ht="15" customHeight="1" x14ac:dyDescent="0.35">
      <c r="B154" s="429"/>
      <c r="C154" s="777" t="s">
        <v>78</v>
      </c>
      <c r="D154" s="776"/>
      <c r="E154" s="530">
        <f ca="1">OFFSET(OFFSET(Shipments!$D$1,0,MATCH(E$7,Dates)),
MATCH(OFFSET($C152,((MATCH($C152,EL_List,0)-1)*-10)-3,0),Shipments!$C:$C,0)+
MATCH(OFFSET($C152,((MATCH($C152,EL_List,0)-1)*-10)-1,0),Shipments!$D:$D,0)+
MATCH($C152,EL_List,0)-10,
MATCH(Shipments_Scenario_X,Shipments!$F$5:$AQ$5,0))</f>
        <v>0.83976420808819696</v>
      </c>
      <c r="F154" s="530">
        <f ca="1">OFFSET(OFFSET(Shipments!$D$1,0,MATCH(F$7,Dates)),
MATCH(OFFSET($C152,((MATCH($C152,EL_List,0)-1)*-10)-3,0),Shipments!$C:$C,0)+
MATCH(OFFSET($C152,((MATCH($C152,EL_List,0)-1)*-10)-1,0),Shipments!$D:$D,0)+
MATCH($C152,EL_List,0)-10,
MATCH(Shipments_Scenario_X,Shipments!$F$5:$AQ$5,0))</f>
        <v>0.87731724999605076</v>
      </c>
      <c r="G154" s="530">
        <f ca="1">OFFSET(OFFSET(Shipments!$D$1,0,MATCH(G$7,Dates)),
MATCH(OFFSET($C152,((MATCH($C152,EL_List,0)-1)*-10)-3,0),Shipments!$C:$C,0)+
MATCH(OFFSET($C152,((MATCH($C152,EL_List,0)-1)*-10)-1,0),Shipments!$D:$D,0)+
MATCH($C152,EL_List,0)-10,
MATCH(Shipments_Scenario_X,Shipments!$F$5:$AQ$5,0))</f>
        <v>0.91096887537028537</v>
      </c>
      <c r="H154" s="530">
        <f ca="1">OFFSET(OFFSET(Shipments!$D$1,0,MATCH(H$7,Dates)),
MATCH(OFFSET($C152,((MATCH($C152,EL_List,0)-1)*-10)-3,0),Shipments!$C:$C,0)+
MATCH(OFFSET($C152,((MATCH($C152,EL_List,0)-1)*-10)-1,0),Shipments!$D:$D,0)+
MATCH($C152,EL_List,0)-10,
MATCH(Shipments_Scenario_X,Shipments!$F$5:$AQ$5,0))</f>
        <v>0.95375070513743843</v>
      </c>
      <c r="I154" s="530">
        <f ca="1">OFFSET(OFFSET(Shipments!$D$1,0,MATCH(I$7,Dates)),
MATCH(OFFSET($C152,((MATCH($C152,EL_List,0)-1)*-10)-3,0),Shipments!$C:$C,0)+
MATCH(OFFSET($C152,((MATCH($C152,EL_List,0)-1)*-10)-1,0),Shipments!$D:$D,0)+
MATCH($C152,EL_List,0)-10,
MATCH(Shipments_Scenario_X,Shipments!$F$5:$AQ$5,0))</f>
        <v>0.99965687774326994</v>
      </c>
      <c r="J154" s="530">
        <f ca="1">OFFSET(OFFSET(Shipments!$D$1,0,MATCH(J$7,Dates)),
MATCH(OFFSET($C152,((MATCH($C152,EL_List,0)-1)*-10)-3,0),Shipments!$C:$C,0)+
MATCH(OFFSET($C152,((MATCH($C152,EL_List,0)-1)*-10)-1,0),Shipments!$D:$D,0)+
MATCH($C152,EL_List,0)-10,
MATCH(Shipments_Scenario_X,Shipments!$F$5:$AQ$5,0))</f>
        <v>1.0504607981173564</v>
      </c>
      <c r="K154" s="530">
        <f ca="1">OFFSET(OFFSET(Shipments!$D$1,0,MATCH(K$7,Dates)),
MATCH(OFFSET($C152,((MATCH($C152,EL_List,0)-1)*-10)-3,0),Shipments!$C:$C,0)+
MATCH(OFFSET($C152,((MATCH($C152,EL_List,0)-1)*-10)-1,0),Shipments!$D:$D,0)+
MATCH($C152,EL_List,0)-10,
MATCH(Shipments_Scenario_X,Shipments!$F$5:$AQ$5,0))</f>
        <v>1.1055648884493394</v>
      </c>
      <c r="L154" s="530">
        <f ca="1">OFFSET(OFFSET(Shipments!$D$1,0,MATCH(L$7,Dates)),
MATCH(OFFSET($C152,((MATCH($C152,EL_List,0)-1)*-10)-3,0),Shipments!$C:$C,0)+
MATCH(OFFSET($C152,((MATCH($C152,EL_List,0)-1)*-10)-1,0),Shipments!$D:$D,0)+
MATCH($C152,EL_List,0)-10,
MATCH(Shipments_Scenario_X,Shipments!$F$5:$AQ$5,0))</f>
        <v>1.1640722632642824</v>
      </c>
      <c r="M154" s="530">
        <f ca="1">OFFSET(OFFSET(Shipments!$D$1,0,MATCH(M$7,Dates)),
MATCH(OFFSET($C152,((MATCH($C152,EL_List,0)-1)*-10)-3,0),Shipments!$C:$C,0)+
MATCH(OFFSET($C152,((MATCH($C152,EL_List,0)-1)*-10)-1,0),Shipments!$D:$D,0)+
MATCH($C152,EL_List,0)-10,
MATCH(Shipments_Scenario_X,Shipments!$F$5:$AQ$5,0))</f>
        <v>1.2252830160311463</v>
      </c>
      <c r="N154" s="530">
        <f ca="1">OFFSET(OFFSET(Shipments!$D$1,0,MATCH(N$7,Dates)),
MATCH(OFFSET($C152,((MATCH($C152,EL_List,0)-1)*-10)-3,0),Shipments!$C:$C,0)+
MATCH(OFFSET($C152,((MATCH($C152,EL_List,0)-1)*-10)-1,0),Shipments!$D:$D,0)+
MATCH($C152,EL_List,0)-10,
MATCH(Shipments_Scenario_X,Shipments!$F$5:$AQ$5,0))</f>
        <v>1.2887308286264716</v>
      </c>
      <c r="O154" s="530">
        <f ca="1">OFFSET(OFFSET(Shipments!$D$1,0,MATCH(O$7,Dates)),
MATCH(OFFSET($C152,((MATCH($C152,EL_List,0)-1)*-10)-3,0),Shipments!$C:$C,0)+
MATCH(OFFSET($C152,((MATCH($C152,EL_List,0)-1)*-10)-1,0),Shipments!$D:$D,0)+
MATCH($C152,EL_List,0)-10,
MATCH(Shipments_Scenario_X,Shipments!$F$5:$AQ$5,0))</f>
        <v>1.3543883012391023</v>
      </c>
      <c r="P154" s="530">
        <f ca="1">OFFSET(OFFSET(Shipments!$D$1,0,MATCH(P$7,Dates)),
MATCH(OFFSET($C152,((MATCH($C152,EL_List,0)-1)*-10)-3,0),Shipments!$C:$C,0)+
MATCH(OFFSET($C152,((MATCH($C152,EL_List,0)-1)*-10)-1,0),Shipments!$D:$D,0)+
MATCH($C152,EL_List,0)-10,
MATCH(Shipments_Scenario_X,Shipments!$F$5:$AQ$5,0))</f>
        <v>1.4225366364827918</v>
      </c>
      <c r="Q154" s="530">
        <f ca="1">OFFSET(OFFSET(Shipments!$D$1,0,MATCH(Q$7,Dates)),
MATCH(OFFSET($C152,((MATCH($C152,EL_List,0)-1)*-10)-3,0),Shipments!$C:$C,0)+
MATCH(OFFSET($C152,((MATCH($C152,EL_List,0)-1)*-10)-1,0),Shipments!$D:$D,0)+
MATCH($C152,EL_List,0)-10,
MATCH(Shipments_Scenario_X,Shipments!$F$5:$AQ$5,0))</f>
        <v>1.4936054793024858</v>
      </c>
      <c r="R154" s="530">
        <f ca="1">OFFSET(OFFSET(Shipments!$D$1,0,MATCH(R$7,Dates)),
MATCH(OFFSET($C152,((MATCH($C152,EL_List,0)-1)*-10)-3,0),Shipments!$C:$C,0)+
MATCH(OFFSET($C152,((MATCH($C152,EL_List,0)-1)*-10)-1,0),Shipments!$D:$D,0)+
MATCH($C152,EL_List,0)-10,
MATCH(Shipments_Scenario_X,Shipments!$F$5:$AQ$5,0))</f>
        <v>1.5680963540438708</v>
      </c>
      <c r="S154" s="530">
        <f ca="1">OFFSET(OFFSET(Shipments!$D$1,0,MATCH(S$7,Dates)),
MATCH(OFFSET($C152,((MATCH($C152,EL_List,0)-1)*-10)-3,0),Shipments!$C:$C,0)+
MATCH(OFFSET($C152,((MATCH($C152,EL_List,0)-1)*-10)-1,0),Shipments!$D:$D,0)+
MATCH($C152,EL_List,0)-10,
MATCH(Shipments_Scenario_X,Shipments!$F$5:$AQ$5,0))</f>
        <v>1.6464307515000218</v>
      </c>
      <c r="T154" s="530">
        <f ca="1">OFFSET(OFFSET(Shipments!$D$1,0,MATCH(T$7,Dates)),
MATCH(OFFSET($C152,((MATCH($C152,EL_List,0)-1)*-10)-3,0),Shipments!$C:$C,0)+
MATCH(OFFSET($C152,((MATCH($C152,EL_List,0)-1)*-10)-1,0),Shipments!$D:$D,0)+
MATCH($C152,EL_List,0)-10,
MATCH(Shipments_Scenario_X,Shipments!$F$5:$AQ$5,0))</f>
        <v>1.7288753509016315</v>
      </c>
      <c r="U154" s="530">
        <f ca="1">OFFSET(OFFSET(Shipments!$D$1,0,MATCH(U$7,Dates)),
MATCH(OFFSET($C152,((MATCH($C152,EL_List,0)-1)*-10)-3,0),Shipments!$C:$C,0)+
MATCH(OFFSET($C152,((MATCH($C152,EL_List,0)-1)*-10)-1,0),Shipments!$D:$D,0)+
MATCH($C152,EL_List,0)-10,
MATCH(Shipments_Scenario_X,Shipments!$F$5:$AQ$5,0))</f>
        <v>1.8157265416069026</v>
      </c>
      <c r="V154" s="530">
        <f ca="1">OFFSET(OFFSET(Shipments!$D$1,0,MATCH(V$7,Dates)),
MATCH(OFFSET($C152,((MATCH($C152,EL_List,0)-1)*-10)-3,0),Shipments!$C:$C,0)+
MATCH(OFFSET($C152,((MATCH($C152,EL_List,0)-1)*-10)-1,0),Shipments!$D:$D,0)+
MATCH($C152,EL_List,0)-10,
MATCH(Shipments_Scenario_X,Shipments!$F$5:$AQ$5,0))</f>
        <v>1.9068102767201183</v>
      </c>
      <c r="W154" s="530">
        <f ca="1">OFFSET(OFFSET(Shipments!$D$1,0,MATCH(W$7,Dates)),
MATCH(OFFSET($C152,((MATCH($C152,EL_List,0)-1)*-10)-3,0),Shipments!$C:$C,0)+
MATCH(OFFSET($C152,((MATCH($C152,EL_List,0)-1)*-10)-1,0),Shipments!$D:$D,0)+
MATCH($C152,EL_List,0)-10,
MATCH(Shipments_Scenario_X,Shipments!$F$5:$AQ$5,0))</f>
        <v>2.0024033465903011</v>
      </c>
      <c r="X154" s="530">
        <f ca="1">OFFSET(OFFSET(Shipments!$D$1,0,MATCH(X$7,Dates)),
MATCH(OFFSET($C152,((MATCH($C152,EL_List,0)-1)*-10)-3,0),Shipments!$C:$C,0)+
MATCH(OFFSET($C152,((MATCH($C152,EL_List,0)-1)*-10)-1,0),Shipments!$D:$D,0)+
MATCH($C152,EL_List,0)-10,
MATCH(Shipments_Scenario_X,Shipments!$F$5:$AQ$5,0))</f>
        <v>2.1026211669291852</v>
      </c>
      <c r="Y154" s="530">
        <f ca="1">OFFSET(OFFSET(Shipments!$D$1,0,MATCH(Y$7,Dates)),
MATCH(OFFSET($C152,((MATCH($C152,EL_List,0)-1)*-10)-3,0),Shipments!$C:$C,0)+
MATCH(OFFSET($C152,((MATCH($C152,EL_List,0)-1)*-10)-1,0),Shipments!$D:$D,0)+
MATCH($C152,EL_List,0)-10,
MATCH(Shipments_Scenario_X,Shipments!$F$5:$AQ$5,0))</f>
        <v>2.2076344428542289</v>
      </c>
      <c r="Z154" s="530">
        <f ca="1">OFFSET(OFFSET(Shipments!$D$1,0,MATCH(Z$7,Dates)),
MATCH(OFFSET($C152,((MATCH($C152,EL_List,0)-1)*-10)-3,0),Shipments!$C:$C,0)+
MATCH(OFFSET($C152,((MATCH($C152,EL_List,0)-1)*-10)-1,0),Shipments!$D:$D,0)+
MATCH($C152,EL_List,0)-10,
MATCH(Shipments_Scenario_X,Shipments!$F$5:$AQ$5,0))</f>
        <v>2.3176720405379916</v>
      </c>
      <c r="AA154" s="530">
        <f ca="1">OFFSET(OFFSET(Shipments!$D$1,0,MATCH(AA$7,Dates)),
MATCH(OFFSET($C152,((MATCH($C152,EL_List,0)-1)*-10)-3,0),Shipments!$C:$C,0)+
MATCH(OFFSET($C152,((MATCH($C152,EL_List,0)-1)*-10)-1,0),Shipments!$D:$D,0)+
MATCH($C152,EL_List,0)-10,
MATCH(Shipments_Scenario_X,Shipments!$F$5:$AQ$5,0))</f>
        <v>2.4329979595320927</v>
      </c>
      <c r="AB154" s="530">
        <f ca="1">OFFSET(OFFSET(Shipments!$D$1,0,MATCH(AB$7,Dates)),
MATCH(OFFSET($C152,((MATCH($C152,EL_List,0)-1)*-10)-3,0),Shipments!$C:$C,0)+
MATCH(OFFSET($C152,((MATCH($C152,EL_List,0)-1)*-10)-1,0),Shipments!$D:$D,0)+
MATCH($C152,EL_List,0)-10,
MATCH(Shipments_Scenario_X,Shipments!$F$5:$AQ$5,0))</f>
        <v>2.5539148328097854</v>
      </c>
      <c r="AC154" s="530">
        <f ca="1">OFFSET(OFFSET(Shipments!$D$1,0,MATCH(AC$7,Dates)),
MATCH(OFFSET($C152,((MATCH($C152,EL_List,0)-1)*-10)-3,0),Shipments!$C:$C,0)+
MATCH(OFFSET($C152,((MATCH($C152,EL_List,0)-1)*-10)-1,0),Shipments!$D:$D,0)+
MATCH($C152,EL_List,0)-10,
MATCH(Shipments_Scenario_X,Shipments!$F$5:$AQ$5,0))</f>
        <v>2.6807283548816443</v>
      </c>
      <c r="AD154" s="530">
        <f ca="1">OFFSET(OFFSET(Shipments!$D$1,0,MATCH(AD$7,Dates)),
MATCH(OFFSET($C152,((MATCH($C152,EL_List,0)-1)*-10)-3,0),Shipments!$C:$C,0)+
MATCH(OFFSET($C152,((MATCH($C152,EL_List,0)-1)*-10)-1,0),Shipments!$D:$D,0)+
MATCH($C152,EL_List,0)-10,
MATCH(Shipments_Scenario_X,Shipments!$F$5:$AQ$5,0))</f>
        <v>2.8137459283748298</v>
      </c>
      <c r="AE154" s="530">
        <f ca="1">OFFSET(OFFSET(Shipments!$D$1,0,MATCH(AE$7,Dates)),
MATCH(OFFSET($C152,((MATCH($C152,EL_List,0)-1)*-10)-3,0),Shipments!$C:$C,0)+
MATCH(OFFSET($C152,((MATCH($C152,EL_List,0)-1)*-10)-1,0),Shipments!$D:$D,0)+
MATCH($C152,EL_List,0)-10,
MATCH(Shipments_Scenario_X,Shipments!$F$5:$AQ$5,0))</f>
        <v>2.9532750227160331</v>
      </c>
      <c r="AF154" s="530">
        <f ca="1">OFFSET(OFFSET(Shipments!$D$1,0,MATCH(AF$7,Dates)),
MATCH(OFFSET($C152,((MATCH($C152,EL_List,0)-1)*-10)-3,0),Shipments!$C:$C,0)+
MATCH(OFFSET($C152,((MATCH($C152,EL_List,0)-1)*-10)-1,0),Shipments!$D:$D,0)+
MATCH($C152,EL_List,0)-10,
MATCH(Shipments_Scenario_X,Shipments!$F$5:$AQ$5,0))</f>
        <v>3.0996261495432718</v>
      </c>
      <c r="AG154" s="530">
        <f ca="1">OFFSET(OFFSET(Shipments!$D$1,0,MATCH(AG$7,Dates)),
MATCH(OFFSET($C152,((MATCH($C152,EL_List,0)-1)*-10)-3,0),Shipments!$C:$C,0)+
MATCH(OFFSET($C152,((MATCH($C152,EL_List,0)-1)*-10)-1,0),Shipments!$D:$D,0)+
MATCH($C152,EL_List,0)-10,
MATCH(Shipments_Scenario_X,Shipments!$F$5:$AQ$5,0))</f>
        <v>3.2531194565041268</v>
      </c>
      <c r="AH154" s="530">
        <f ca="1">OFFSET(OFFSET(Shipments!$D$1,0,MATCH(AH$7,Dates)),
MATCH(OFFSET($C152,((MATCH($C152,EL_List,0)-1)*-10)-3,0),Shipments!$C:$C,0)+
MATCH(OFFSET($C152,((MATCH($C152,EL_List,0)-1)*-10)-1,0),Shipments!$D:$D,0)+
MATCH($C152,EL_List,0)-10,
MATCH(Shipments_Scenario_X,Shipments!$F$5:$AQ$5,0))</f>
        <v>3.4140906747993718</v>
      </c>
      <c r="AI154" s="530">
        <f ca="1">OFFSET(OFFSET(Shipments!$D$1,0,MATCH(AI$7,Dates)),
MATCH(OFFSET($C152,((MATCH($C152,EL_List,0)-1)*-10)-3,0),Shipments!$C:$C,0)+
MATCH(OFFSET($C152,((MATCH($C152,EL_List,0)-1)*-10)-1,0),Shipments!$D:$D,0)+
MATCH($C152,EL_List,0)-10,
MATCH(Shipments_Scenario_X,Shipments!$F$5:$AQ$5,0))</f>
        <v>3.5828956109880981</v>
      </c>
      <c r="AJ154" s="530">
        <f ca="1">OFFSET(OFFSET(Shipments!$D$1,0,MATCH(AJ$7,Dates)),
MATCH(OFFSET($C152,((MATCH($C152,EL_List,0)-1)*-10)-3,0),Shipments!$C:$C,0)+
MATCH(OFFSET($C152,((MATCH($C152,EL_List,0)-1)*-10)-1,0),Shipments!$D:$D,0)+
MATCH($C152,EL_List,0)-10,
MATCH(Shipments_Scenario_X,Shipments!$F$5:$AQ$5,0))</f>
        <v>3.7599126001170449</v>
      </c>
      <c r="AK154" s="530">
        <f ca="1">OFFSET(OFFSET(Shipments!$D$1,0,MATCH(AK$7,Dates)),
MATCH(OFFSET($C152,((MATCH($C152,EL_List,0)-1)*-10)-3,0),Shipments!$C:$C,0)+
MATCH(OFFSET($C152,((MATCH($C152,EL_List,0)-1)*-10)-1,0),Shipments!$D:$D,0)+
MATCH($C152,EL_List,0)-10,
MATCH(Shipments_Scenario_X,Shipments!$F$5:$AQ$5,0))</f>
        <v>3.9455427225354311</v>
      </c>
      <c r="AL154" s="530">
        <f ca="1">OFFSET(OFFSET(Shipments!$D$1,0,MATCH(AL$7,Dates)),
MATCH(OFFSET($C152,((MATCH($C152,EL_List,0)-1)*-10)-3,0),Shipments!$C:$C,0)+
MATCH(OFFSET($C152,((MATCH($C152,EL_List,0)-1)*-10)-1,0),Shipments!$D:$D,0)+
MATCH($C152,EL_List,0)-10,
MATCH(Shipments_Scenario_X,Shipments!$F$5:$AQ$5,0))</f>
        <v>4.1402090666826936</v>
      </c>
      <c r="AM154" s="530">
        <f ca="1">OFFSET(OFFSET(Shipments!$D$1,0,MATCH(AM$7,Dates)),
MATCH(OFFSET($C152,((MATCH($C152,EL_List,0)-1)*-10)-3,0),Shipments!$C:$C,0)+
MATCH(OFFSET($C152,((MATCH($C152,EL_List,0)-1)*-10)-1,0),Shipments!$D:$D,0)+
MATCH($C152,EL_List,0)-10,
MATCH(Shipments_Scenario_X,Shipments!$F$5:$AQ$5,0))</f>
        <v>4.3443562388563741</v>
      </c>
      <c r="AN154" s="530">
        <f ca="1">OFFSET(OFFSET(Shipments!$D$1,0,MATCH(AN$7,Dates)),
MATCH(OFFSET($C152,((MATCH($C152,EL_List,0)-1)*-10)-3,0),Shipments!$C:$C,0)+
MATCH(OFFSET($C152,((MATCH($C152,EL_List,0)-1)*-10)-1,0),Shipments!$D:$D,0)+
MATCH($C152,EL_List,0)-10,
MATCH(Shipments_Scenario_X,Shipments!$F$5:$AQ$5,0))</f>
        <v>4.5584486004242581</v>
      </c>
      <c r="AO154" s="436"/>
      <c r="AP154" s="21"/>
    </row>
    <row r="155" spans="2:42" ht="15" customHeight="1" x14ac:dyDescent="0.35">
      <c r="B155" s="429"/>
      <c r="C155" s="777" t="s">
        <v>79</v>
      </c>
      <c r="D155" s="776"/>
      <c r="E155" s="531">
        <f t="shared" ref="E155:AN155" ca="1" si="35">E153*E154</f>
        <v>89.364536914860366</v>
      </c>
      <c r="F155" s="531">
        <f t="shared" ca="1" si="35"/>
        <v>92.733003580795057</v>
      </c>
      <c r="G155" s="531">
        <f t="shared" ca="1" si="35"/>
        <v>95.545011910130327</v>
      </c>
      <c r="H155" s="531">
        <f t="shared" ca="1" si="35"/>
        <v>99.34961198349545</v>
      </c>
      <c r="I155" s="531">
        <f t="shared" ca="1" si="35"/>
        <v>103.51839334356072</v>
      </c>
      <c r="J155" s="531">
        <f t="shared" ca="1" si="35"/>
        <v>108.02765521807203</v>
      </c>
      <c r="K155" s="531">
        <f t="shared" ca="1" si="35"/>
        <v>113.01637072173372</v>
      </c>
      <c r="L155" s="531">
        <f t="shared" ca="1" si="35"/>
        <v>118.28330338951811</v>
      </c>
      <c r="M155" s="531">
        <f t="shared" ca="1" si="35"/>
        <v>123.75150163801851</v>
      </c>
      <c r="N155" s="531">
        <f t="shared" ca="1" si="35"/>
        <v>129.50092030408325</v>
      </c>
      <c r="O155" s="531">
        <f t="shared" ca="1" si="35"/>
        <v>135.26794018000137</v>
      </c>
      <c r="P155" s="531">
        <f t="shared" ca="1" si="35"/>
        <v>141.3470810498487</v>
      </c>
      <c r="Q155" s="531">
        <f t="shared" ca="1" si="35"/>
        <v>147.6452540576806</v>
      </c>
      <c r="R155" s="531">
        <f t="shared" ca="1" si="35"/>
        <v>154.20730110003356</v>
      </c>
      <c r="S155" s="531">
        <f t="shared" ca="1" si="35"/>
        <v>161.06920907848988</v>
      </c>
      <c r="T155" s="531">
        <f t="shared" ca="1" si="35"/>
        <v>168.25103717411514</v>
      </c>
      <c r="U155" s="531">
        <f t="shared" ca="1" si="35"/>
        <v>175.77517549283002</v>
      </c>
      <c r="V155" s="531">
        <f t="shared" ca="1" si="35"/>
        <v>183.81303074706437</v>
      </c>
      <c r="W155" s="531">
        <f t="shared" ca="1" si="35"/>
        <v>192.00454981467149</v>
      </c>
      <c r="X155" s="531">
        <f t="shared" ca="1" si="35"/>
        <v>200.7543791692398</v>
      </c>
      <c r="Y155" s="531">
        <f t="shared" ca="1" si="35"/>
        <v>209.65247532539865</v>
      </c>
      <c r="Z155" s="531">
        <f t="shared" ca="1" si="35"/>
        <v>219.15472251819648</v>
      </c>
      <c r="AA155" s="531">
        <f t="shared" ca="1" si="35"/>
        <v>229.0648723165279</v>
      </c>
      <c r="AB155" s="531">
        <f t="shared" ca="1" si="35"/>
        <v>239.40480644990993</v>
      </c>
      <c r="AC155" s="531">
        <f t="shared" ca="1" si="35"/>
        <v>250.19619739900955</v>
      </c>
      <c r="AD155" s="531">
        <f t="shared" ca="1" si="35"/>
        <v>261.4603763730583</v>
      </c>
      <c r="AE155" s="531">
        <f t="shared" ca="1" si="35"/>
        <v>273.2181779734176</v>
      </c>
      <c r="AF155" s="531">
        <f t="shared" ca="1" si="35"/>
        <v>285.49021410649192</v>
      </c>
      <c r="AG155" s="531">
        <f t="shared" ca="1" si="35"/>
        <v>298.2974723876975</v>
      </c>
      <c r="AH155" s="531">
        <f t="shared" ca="1" si="35"/>
        <v>311.66183937360961</v>
      </c>
      <c r="AI155" s="531">
        <f t="shared" ca="1" si="35"/>
        <v>325.97273841159989</v>
      </c>
      <c r="AJ155" s="531">
        <f t="shared" ca="1" si="35"/>
        <v>340.54036007461087</v>
      </c>
      <c r="AK155" s="531">
        <f t="shared" ca="1" si="35"/>
        <v>355.73979844346468</v>
      </c>
      <c r="AL155" s="531">
        <f t="shared" ca="1" si="35"/>
        <v>371.59846147695845</v>
      </c>
      <c r="AM155" s="531">
        <f t="shared" ref="AM155" ca="1" si="36">AM153*AM154</f>
        <v>388.58908945245622</v>
      </c>
      <c r="AN155" s="531">
        <f t="shared" ca="1" si="35"/>
        <v>406.03832003077787</v>
      </c>
      <c r="AO155" s="436"/>
      <c r="AP155" s="21"/>
    </row>
    <row r="156" spans="2:42" ht="15" customHeight="1" x14ac:dyDescent="0.35">
      <c r="B156" s="429"/>
      <c r="C156" s="777"/>
      <c r="D156" s="776"/>
      <c r="E156" s="776"/>
      <c r="F156" s="776"/>
      <c r="G156" s="776"/>
      <c r="H156" s="776"/>
      <c r="I156" s="776"/>
      <c r="J156" s="776"/>
      <c r="K156" s="776"/>
      <c r="L156" s="776"/>
      <c r="M156" s="776"/>
      <c r="N156" s="776"/>
      <c r="O156" s="776"/>
      <c r="P156" s="776"/>
      <c r="Q156" s="776"/>
      <c r="R156" s="776"/>
      <c r="S156" s="776"/>
      <c r="T156" s="776"/>
      <c r="U156" s="776"/>
      <c r="V156" s="776"/>
      <c r="W156" s="776"/>
      <c r="X156" s="776"/>
      <c r="Y156" s="776"/>
      <c r="Z156" s="776"/>
      <c r="AA156" s="776"/>
      <c r="AB156" s="776"/>
      <c r="AC156" s="776"/>
      <c r="AD156" s="776"/>
      <c r="AE156" s="776"/>
      <c r="AF156" s="776"/>
      <c r="AG156" s="776"/>
      <c r="AH156" s="776"/>
      <c r="AI156" s="776"/>
      <c r="AJ156" s="776"/>
      <c r="AK156" s="776"/>
      <c r="AL156" s="776"/>
      <c r="AM156" s="776"/>
      <c r="AN156" s="776"/>
      <c r="AO156" s="436"/>
      <c r="AP156" s="21"/>
    </row>
    <row r="157" spans="2:42" ht="15" customHeight="1" x14ac:dyDescent="0.35">
      <c r="B157" s="429"/>
      <c r="C157" s="777" t="s">
        <v>212</v>
      </c>
      <c r="D157" s="776"/>
      <c r="E157" s="532" cm="1">
        <f t="array" aca="1" ref="E157" ca="1">OFFSET(E157,-3,0)*
OFFSET(MSP!$D$1,
MATCH(OFFSET($C152,((MATCH($C152,EL_List,0)-1)*-10)-1,0),MSP!$C:$C,0)+MATCH($C152,EL_List,0)-1,0)
*INDEX(Learning!$E$6:$S$41,(MATCH(E$21,Dates,0)),(MATCH($C$151,Learning!$E$4:$S$4,0)+MATCH($C$152,Learning!$E$5:$S$5,0)-1))</f>
        <v>55.105826148861944</v>
      </c>
      <c r="F157" s="532" cm="1">
        <f t="array" aca="1" ref="F157" ca="1">OFFSET(F157,-3,0)*
OFFSET(MSP!$D$1,
MATCH(OFFSET($C152,((MATCH($C152,EL_List,0)-1)*-10)-1,0),MSP!$C:$C,0)+MATCH($C152,EL_List,0)-1,0)
*INDEX(Learning!$E$6:$S$41,(MATCH(F$21,Dates,0)),(MATCH($C$151,Learning!$E$4:$S$4,0)+MATCH($C$152,Learning!$E$5:$S$5,0)-1))</f>
        <v>57.182960377824372</v>
      </c>
      <c r="G157" s="532" cm="1">
        <f t="array" aca="1" ref="G157" ca="1">OFFSET(G157,-3,0)*
OFFSET(MSP!$D$1,
MATCH(OFFSET($C152,((MATCH($C152,EL_List,0)-1)*-10)-1,0),MSP!$C:$C,0)+MATCH($C152,EL_List,0)-1,0)
*INDEX(Learning!$E$6:$S$41,(MATCH(G$21,Dates,0)),(MATCH($C$151,Learning!$E$4:$S$4,0)+MATCH($C$152,Learning!$E$5:$S$5,0)-1))</f>
        <v>58.916959651754851</v>
      </c>
      <c r="H157" s="532" cm="1">
        <f t="array" aca="1" ref="H157" ca="1">OFFSET(H157,-3,0)*
OFFSET(MSP!$D$1,
MATCH(OFFSET($C152,((MATCH($C152,EL_List,0)-1)*-10)-1,0),MSP!$C:$C,0)+MATCH($C152,EL_List,0)-1,0)
*INDEX(Learning!$E$6:$S$41,(MATCH(H$21,Dates,0)),(MATCH($C$151,Learning!$E$4:$S$4,0)+MATCH($C$152,Learning!$E$5:$S$5,0)-1))</f>
        <v>61.263031566261034</v>
      </c>
      <c r="I157" s="532" cm="1">
        <f t="array" aca="1" ref="I157" ca="1">OFFSET(I157,-3,0)*
OFFSET(MSP!$D$1,
MATCH(OFFSET($C152,((MATCH($C152,EL_List,0)-1)*-10)-1,0),MSP!$C:$C,0)+MATCH($C152,EL_List,0)-1,0)
*INDEX(Learning!$E$6:$S$41,(MATCH(I$21,Dates,0)),(MATCH($C$151,Learning!$E$4:$S$4,0)+MATCH($C$152,Learning!$E$5:$S$5,0)-1))</f>
        <v>63.83367254769685</v>
      </c>
      <c r="J157" s="532" cm="1">
        <f t="array" aca="1" ref="J157" ca="1">OFFSET(J157,-3,0)*
OFFSET(MSP!$D$1,
MATCH(OFFSET($C152,((MATCH($C152,EL_List,0)-1)*-10)-1,0),MSP!$C:$C,0)+MATCH($C152,EL_List,0)-1,0)
*INDEX(Learning!$E$6:$S$41,(MATCH(J$21,Dates,0)),(MATCH($C$151,Learning!$E$4:$S$4,0)+MATCH($C$152,Learning!$E$5:$S$5,0)-1))</f>
        <v>66.614267731144722</v>
      </c>
      <c r="K157" s="532" cm="1">
        <f t="array" aca="1" ref="K157" ca="1">OFFSET(K157,-3,0)*
OFFSET(MSP!$D$1,
MATCH(OFFSET($C152,((MATCH($C152,EL_List,0)-1)*-10)-1,0),MSP!$C:$C,0)+MATCH($C152,EL_List,0)-1,0)
*INDEX(Learning!$E$6:$S$41,(MATCH(K$21,Dates,0)),(MATCH($C$151,Learning!$E$4:$S$4,0)+MATCH($C$152,Learning!$E$5:$S$5,0)-1))</f>
        <v>69.690513619520161</v>
      </c>
      <c r="L157" s="532" cm="1">
        <f t="array" aca="1" ref="L157" ca="1">OFFSET(L157,-3,0)*
OFFSET(MSP!$D$1,
MATCH(OFFSET($C152,((MATCH($C152,EL_List,0)-1)*-10)-1,0),MSP!$C:$C,0)+MATCH($C152,EL_List,0)-1,0)
*INDEX(Learning!$E$6:$S$41,(MATCH(L$21,Dates,0)),(MATCH($C$151,Learning!$E$4:$S$4,0)+MATCH($C$152,Learning!$E$5:$S$5,0)-1))</f>
        <v>72.938319583145358</v>
      </c>
      <c r="M157" s="532" cm="1">
        <f t="array" aca="1" ref="M157" ca="1">OFFSET(M157,-3,0)*
OFFSET(MSP!$D$1,
MATCH(OFFSET($C152,((MATCH($C152,EL_List,0)-1)*-10)-1,0),MSP!$C:$C,0)+MATCH($C152,EL_List,0)-1,0)
*INDEX(Learning!$E$6:$S$41,(MATCH(M$21,Dates,0)),(MATCH($C$151,Learning!$E$4:$S$4,0)+MATCH($C$152,Learning!$E$5:$S$5,0)-1))</f>
        <v>76.310234130371839</v>
      </c>
      <c r="N157" s="532" cm="1">
        <f t="array" aca="1" ref="N157" ca="1">OFFSET(N157,-3,0)*
OFFSET(MSP!$D$1,
MATCH(OFFSET($C152,((MATCH($C152,EL_List,0)-1)*-10)-1,0),MSP!$C:$C,0)+MATCH($C152,EL_List,0)-1,0)
*INDEX(Learning!$E$6:$S$41,(MATCH(N$21,Dates,0)),(MATCH($C$151,Learning!$E$4:$S$4,0)+MATCH($C$152,Learning!$E$5:$S$5,0)-1))</f>
        <v>79.8555606816752</v>
      </c>
      <c r="O157" s="532" cm="1">
        <f t="array" aca="1" ref="O157" ca="1">OFFSET(O157,-3,0)*
OFFSET(MSP!$D$1,
MATCH(OFFSET($C152,((MATCH($C152,EL_List,0)-1)*-10)-1,0),MSP!$C:$C,0)+MATCH($C152,EL_List,0)-1,0)
*INDEX(Learning!$E$6:$S$41,(MATCH(O$21,Dates,0)),(MATCH($C$151,Learning!$E$4:$S$4,0)+MATCH($C$152,Learning!$E$5:$S$5,0)-1))</f>
        <v>83.411740858406247</v>
      </c>
      <c r="P157" s="532" cm="1">
        <f t="array" aca="1" ref="P157" ca="1">OFFSET(P157,-3,0)*
OFFSET(MSP!$D$1,
MATCH(OFFSET($C152,((MATCH($C152,EL_List,0)-1)*-10)-1,0),MSP!$C:$C,0)+MATCH($C152,EL_List,0)-1,0)
*INDEX(Learning!$E$6:$S$41,(MATCH(P$21,Dates,0)),(MATCH($C$151,Learning!$E$4:$S$4,0)+MATCH($C$152,Learning!$E$5:$S$5,0)-1))</f>
        <v>87.160387597631285</v>
      </c>
      <c r="Q157" s="532" cm="1">
        <f t="array" aca="1" ref="Q157" ca="1">OFFSET(Q157,-3,0)*
OFFSET(MSP!$D$1,
MATCH(OFFSET($C152,((MATCH($C152,EL_List,0)-1)*-10)-1,0),MSP!$C:$C,0)+MATCH($C152,EL_List,0)-1,0)
*INDEX(Learning!$E$6:$S$41,(MATCH(Q$21,Dates,0)),(MATCH($C$151,Learning!$E$4:$S$4,0)+MATCH($C$152,Learning!$E$5:$S$5,0)-1))</f>
        <v>91.044098505859893</v>
      </c>
      <c r="R157" s="532" cm="1">
        <f t="array" aca="1" ref="R157" ca="1">OFFSET(R157,-3,0)*
OFFSET(MSP!$D$1,
MATCH(OFFSET($C152,((MATCH($C152,EL_List,0)-1)*-10)-1,0),MSP!$C:$C,0)+MATCH($C152,EL_List,0)-1,0)
*INDEX(Learning!$E$6:$S$41,(MATCH(R$21,Dates,0)),(MATCH($C$151,Learning!$E$4:$S$4,0)+MATCH($C$152,Learning!$E$5:$S$5,0)-1))</f>
        <v>95.090524929364634</v>
      </c>
      <c r="S157" s="532" cm="1">
        <f t="array" aca="1" ref="S157" ca="1">OFFSET(S157,-3,0)*
OFFSET(MSP!$D$1,
MATCH(OFFSET($C152,((MATCH($C152,EL_List,0)-1)*-10)-1,0),MSP!$C:$C,0)+MATCH($C152,EL_List,0)-1,0)
*INDEX(Learning!$E$6:$S$41,(MATCH(S$21,Dates,0)),(MATCH($C$151,Learning!$E$4:$S$4,0)+MATCH($C$152,Learning!$E$5:$S$5,0)-1))</f>
        <v>99.321857862590207</v>
      </c>
      <c r="T157" s="532" cm="1">
        <f t="array" aca="1" ref="T157" ca="1">OFFSET(T157,-3,0)*
OFFSET(MSP!$D$1,
MATCH(OFFSET($C152,((MATCH($C152,EL_List,0)-1)*-10)-1,0),MSP!$C:$C,0)+MATCH($C152,EL_List,0)-1,0)
*INDEX(Learning!$E$6:$S$41,(MATCH(T$21,Dates,0)),(MATCH($C$151,Learning!$E$4:$S$4,0)+MATCH($C$152,Learning!$E$5:$S$5,0)-1))</f>
        <v>103.75046661648089</v>
      </c>
      <c r="U157" s="532" cm="1">
        <f t="array" aca="1" ref="U157" ca="1">OFFSET(U157,-3,0)*
OFFSET(MSP!$D$1,
MATCH(OFFSET($C152,((MATCH($C152,EL_List,0)-1)*-10)-1,0),MSP!$C:$C,0)+MATCH($C152,EL_List,0)-1,0)
*INDEX(Learning!$E$6:$S$41,(MATCH(U$21,Dates,0)),(MATCH($C$151,Learning!$E$4:$S$4,0)+MATCH($C$152,Learning!$E$5:$S$5,0)-1))</f>
        <v>108.39015784552083</v>
      </c>
      <c r="V157" s="532" cm="1">
        <f t="array" aca="1" ref="V157" ca="1">OFFSET(V157,-3,0)*
OFFSET(MSP!$D$1,
MATCH(OFFSET($C152,((MATCH($C152,EL_List,0)-1)*-10)-1,0),MSP!$C:$C,0)+MATCH($C152,EL_List,0)-1,0)
*INDEX(Learning!$E$6:$S$41,(MATCH(V$21,Dates,0)),(MATCH($C$151,Learning!$E$4:$S$4,0)+MATCH($C$152,Learning!$E$5:$S$5,0)-1))</f>
        <v>113.34662793467427</v>
      </c>
      <c r="W157" s="532" cm="1">
        <f t="array" aca="1" ref="W157" ca="1">OFFSET(W157,-3,0)*
OFFSET(MSP!$D$1,
MATCH(OFFSET($C152,((MATCH($C152,EL_List,0)-1)*-10)-1,0),MSP!$C:$C,0)+MATCH($C152,EL_List,0)-1,0)
*INDEX(Learning!$E$6:$S$41,(MATCH(W$21,Dates,0)),(MATCH($C$151,Learning!$E$4:$S$4,0)+MATCH($C$152,Learning!$E$5:$S$5,0)-1))</f>
        <v>118.39785341200994</v>
      </c>
      <c r="X157" s="532" cm="1">
        <f t="array" aca="1" ref="X157" ca="1">OFFSET(X157,-3,0)*
OFFSET(MSP!$D$1,
MATCH(OFFSET($C152,((MATCH($C152,EL_List,0)-1)*-10)-1,0),MSP!$C:$C,0)+MATCH($C152,EL_List,0)-1,0)
*INDEX(Learning!$E$6:$S$41,(MATCH(X$21,Dates,0)),(MATCH($C$151,Learning!$E$4:$S$4,0)+MATCH($C$152,Learning!$E$5:$S$5,0)-1))</f>
        <v>123.79335583266726</v>
      </c>
      <c r="Y157" s="532" cm="1">
        <f t="array" aca="1" ref="Y157" ca="1">OFFSET(Y157,-3,0)*
OFFSET(MSP!$D$1,
MATCH(OFFSET($C152,((MATCH($C152,EL_List,0)-1)*-10)-1,0),MSP!$C:$C,0)+MATCH($C152,EL_List,0)-1,0)
*INDEX(Learning!$E$6:$S$41,(MATCH(Y$21,Dates,0)),(MATCH($C$151,Learning!$E$4:$S$4,0)+MATCH($C$152,Learning!$E$5:$S$5,0)-1))</f>
        <v>129.28028562344434</v>
      </c>
      <c r="Z157" s="532" cm="1">
        <f t="array" aca="1" ref="Z157" ca="1">OFFSET(Z157,-3,0)*
OFFSET(MSP!$D$1,
MATCH(OFFSET($C152,((MATCH($C152,EL_List,0)-1)*-10)-1,0),MSP!$C:$C,0)+MATCH($C152,EL_List,0)-1,0)
*INDEX(Learning!$E$6:$S$41,(MATCH(Z$21,Dates,0)),(MATCH($C$151,Learning!$E$4:$S$4,0)+MATCH($C$152,Learning!$E$5:$S$5,0)-1))</f>
        <v>135.13975963748979</v>
      </c>
      <c r="AA157" s="532" cm="1">
        <f t="array" aca="1" ref="AA157" ca="1">OFFSET(AA157,-3,0)*
OFFSET(MSP!$D$1,
MATCH(OFFSET($C152,((MATCH($C152,EL_List,0)-1)*-10)-1,0),MSP!$C:$C,0)+MATCH($C152,EL_List,0)-1,0)
*INDEX(Learning!$E$6:$S$41,(MATCH(AA$21,Dates,0)),(MATCH($C$151,Learning!$E$4:$S$4,0)+MATCH($C$152,Learning!$E$5:$S$5,0)-1))</f>
        <v>141.25076307072322</v>
      </c>
      <c r="AB157" s="532" cm="1">
        <f t="array" aca="1" ref="AB157" ca="1">OFFSET(AB157,-3,0)*
OFFSET(MSP!$D$1,
MATCH(OFFSET($C152,((MATCH($C152,EL_List,0)-1)*-10)-1,0),MSP!$C:$C,0)+MATCH($C152,EL_List,0)-1,0)
*INDEX(Learning!$E$6:$S$41,(MATCH(AB$21,Dates,0)),(MATCH($C$151,Learning!$E$4:$S$4,0)+MATCH($C$152,Learning!$E$5:$S$5,0)-1))</f>
        <v>147.62678909195901</v>
      </c>
      <c r="AC157" s="532" cm="1">
        <f t="array" aca="1" ref="AC157" ca="1">OFFSET(AC157,-3,0)*
OFFSET(MSP!$D$1,
MATCH(OFFSET($C152,((MATCH($C152,EL_List,0)-1)*-10)-1,0),MSP!$C:$C,0)+MATCH($C152,EL_List,0)-1,0)
*INDEX(Learning!$E$6:$S$41,(MATCH(AC$21,Dates,0)),(MATCH($C$151,Learning!$E$4:$S$4,0)+MATCH($C$152,Learning!$E$5:$S$5,0)-1))</f>
        <v>154.28120183861756</v>
      </c>
      <c r="AD157" s="532" cm="1">
        <f t="array" aca="1" ref="AD157" ca="1">OFFSET(AD157,-3,0)*
OFFSET(MSP!$D$1,
MATCH(OFFSET($C152,((MATCH($C152,EL_List,0)-1)*-10)-1,0),MSP!$C:$C,0)+MATCH($C152,EL_List,0)-1,0)
*INDEX(Learning!$E$6:$S$41,(MATCH(AD$21,Dates,0)),(MATCH($C$151,Learning!$E$4:$S$4,0)+MATCH($C$152,Learning!$E$5:$S$5,0)-1))</f>
        <v>161.22715500620322</v>
      </c>
      <c r="AE157" s="532" cm="1">
        <f t="array" aca="1" ref="AE157" ca="1">OFFSET(AE157,-3,0)*
OFFSET(MSP!$D$1,
MATCH(OFFSET($C152,((MATCH($C152,EL_List,0)-1)*-10)-1,0),MSP!$C:$C,0)+MATCH($C152,EL_List,0)-1,0)
*INDEX(Learning!$E$6:$S$41,(MATCH(AE$21,Dates,0)),(MATCH($C$151,Learning!$E$4:$S$4,0)+MATCH($C$152,Learning!$E$5:$S$5,0)-1))</f>
        <v>168.47749606150904</v>
      </c>
      <c r="AF157" s="532" cm="1">
        <f t="array" aca="1" ref="AF157" ca="1">OFFSET(AF157,-3,0)*
OFFSET(MSP!$D$1,
MATCH(OFFSET($C152,((MATCH($C152,EL_List,0)-1)*-10)-1,0),MSP!$C:$C,0)+MATCH($C152,EL_List,0)-1,0)
*INDEX(Learning!$E$6:$S$41,(MATCH(AF$21,Dates,0)),(MATCH($C$151,Learning!$E$4:$S$4,0)+MATCH($C$152,Learning!$E$5:$S$5,0)-1))</f>
        <v>176.04493514851552</v>
      </c>
      <c r="AG157" s="532" cm="1">
        <f t="array" aca="1" ref="AG157" ca="1">OFFSET(AG157,-3,0)*
OFFSET(MSP!$D$1,
MATCH(OFFSET($C152,((MATCH($C152,EL_List,0)-1)*-10)-1,0),MSP!$C:$C,0)+MATCH($C152,EL_List,0)-1,0)
*INDEX(Learning!$E$6:$S$41,(MATCH(AG$21,Dates,0)),(MATCH($C$151,Learning!$E$4:$S$4,0)+MATCH($C$152,Learning!$E$5:$S$5,0)-1))</f>
        <v>183.94241408873626</v>
      </c>
      <c r="AH157" s="532" cm="1">
        <f t="array" aca="1" ref="AH157" ca="1">OFFSET(AH157,-3,0)*
OFFSET(MSP!$D$1,
MATCH(OFFSET($C152,((MATCH($C152,EL_List,0)-1)*-10)-1,0),MSP!$C:$C,0)+MATCH($C152,EL_List,0)-1,0)
*INDEX(Learning!$E$6:$S$41,(MATCH(AH$21,Dates,0)),(MATCH($C$151,Learning!$E$4:$S$4,0)+MATCH($C$152,Learning!$E$5:$S$5,0)-1))</f>
        <v>192.18342902754694</v>
      </c>
      <c r="AI157" s="532" cm="1">
        <f t="array" aca="1" ref="AI157" ca="1">OFFSET(AI157,-3,0)*
OFFSET(MSP!$D$1,
MATCH(OFFSET($C152,((MATCH($C152,EL_List,0)-1)*-10)-1,0),MSP!$C:$C,0)+MATCH($C152,EL_List,0)-1,0)
*INDEX(Learning!$E$6:$S$41,(MATCH(AI$21,Dates,0)),(MATCH($C$151,Learning!$E$4:$S$4,0)+MATCH($C$152,Learning!$E$5:$S$5,0)-1))</f>
        <v>201.00811431823149</v>
      </c>
      <c r="AJ157" s="532" cm="1">
        <f t="array" aca="1" ref="AJ157" ca="1">OFFSET(AJ157,-3,0)*
OFFSET(MSP!$D$1,
MATCH(OFFSET($C152,((MATCH($C152,EL_List,0)-1)*-10)-1,0),MSP!$C:$C,0)+MATCH($C152,EL_List,0)-1,0)
*INDEX(Learning!$E$6:$S$41,(MATCH(AJ$21,Dates,0)),(MATCH($C$151,Learning!$E$4:$S$4,0)+MATCH($C$152,Learning!$E$5:$S$5,0)-1))</f>
        <v>209.99110527278754</v>
      </c>
      <c r="AK157" s="532" cm="1">
        <f t="array" aca="1" ref="AK157" ca="1">OFFSET(AK157,-3,0)*
OFFSET(MSP!$D$1,
MATCH(OFFSET($C152,((MATCH($C152,EL_List,0)-1)*-10)-1,0),MSP!$C:$C,0)+MATCH($C152,EL_List,0)-1,0)
*INDEX(Learning!$E$6:$S$41,(MATCH(AK$21,Dates,0)),(MATCH($C$151,Learning!$E$4:$S$4,0)+MATCH($C$152,Learning!$E$5:$S$5,0)-1))</f>
        <v>219.36370023304985</v>
      </c>
      <c r="AL157" s="532" cm="1">
        <f t="array" aca="1" ref="AL157" ca="1">OFFSET(AL157,-3,0)*
OFFSET(MSP!$D$1,
MATCH(OFFSET($C152,((MATCH($C152,EL_List,0)-1)*-10)-1,0),MSP!$C:$C,0)+MATCH($C152,EL_List,0)-1,0)
*INDEX(Learning!$E$6:$S$41,(MATCH(AL$21,Dates,0)),(MATCH($C$151,Learning!$E$4:$S$4,0)+MATCH($C$152,Learning!$E$5:$S$5,0)-1))</f>
        <v>229.14280006668614</v>
      </c>
      <c r="AM157" s="532" cm="1">
        <f t="array" aca="1" ref="AM157" ca="1">OFFSET(AM157,-3,0)*
OFFSET(MSP!$D$1,
MATCH(OFFSET($C152,((MATCH($C152,EL_List,0)-1)*-10)-1,0),MSP!$C:$C,0)+MATCH($C152,EL_List,0)-1,0)
*INDEX(Learning!$E$6:$S$41,(MATCH(AM$21,Dates,0)),(MATCH($C$151,Learning!$E$4:$S$4,0)+MATCH($C$152,Learning!$E$5:$S$5,0)-1))</f>
        <v>239.61991575151072</v>
      </c>
      <c r="AN157" s="532" cm="1">
        <f t="array" aca="1" ref="AN157" ca="1">OFFSET(AN157,-3,0)*
OFFSET(MSP!$D$1,
MATCH(OFFSET($C152,((MATCH($C152,EL_List,0)-1)*-10)-1,0),MSP!$C:$C,0)+MATCH($C152,EL_List,0)-1,0)
*INDEX(Learning!$E$6:$S$41,(MATCH(AN$21,Dates,0)),(MATCH($C$151,Learning!$E$4:$S$4,0)+MATCH($C$152,Learning!$E$5:$S$5,0)-1))</f>
        <v>250.37982454616485</v>
      </c>
      <c r="AO157" s="436"/>
      <c r="AP157" s="21"/>
    </row>
    <row r="158" spans="2:42" ht="15" customHeight="1" x14ac:dyDescent="0.35">
      <c r="B158" s="429"/>
      <c r="C158" s="777" t="s">
        <v>213</v>
      </c>
      <c r="D158" s="776"/>
      <c r="E158" s="533" cm="1">
        <f t="array" aca="1" ref="E158" ca="1">OFFSET(E158,-4,0)*
OFFSET(MSP!$E$1,
MATCH(OFFSET($C152,((MATCH($C152,EL_List,0)-1)*-10)-1,0),MSP!$C:$C,0)+MATCH($C152,EL_List,0)-1,0)
*INDEX(Learning!$E$6:$S$41,(MATCH(E$21,Dates,0)),(MATCH($C$151,Learning!$E$4:$S$4,0)+MATCH($C$152,Learning!$E$5:$S$5,0)-1))</f>
        <v>1.3201564183163901</v>
      </c>
      <c r="F158" s="533" cm="1">
        <f t="array" aca="1" ref="F158" ca="1">OFFSET(F158,-4,0)*
OFFSET(MSP!$E$1,
MATCH(OFFSET($C152,((MATCH($C152,EL_List,0)-1)*-10)-1,0),MSP!$C:$C,0)+MATCH($C152,EL_List,0)-1,0)
*INDEX(Learning!$E$6:$S$41,(MATCH(F$21,Dates,0)),(MATCH($C$151,Learning!$E$4:$S$4,0)+MATCH($C$152,Learning!$E$5:$S$5,0)-1))</f>
        <v>1.3699178006548354</v>
      </c>
      <c r="G158" s="533" cm="1">
        <f t="array" aca="1" ref="G158" ca="1">OFFSET(G158,-4,0)*
OFFSET(MSP!$E$1,
MATCH(OFFSET($C152,((MATCH($C152,EL_List,0)-1)*-10)-1,0),MSP!$C:$C,0)+MATCH($C152,EL_List,0)-1,0)
*INDEX(Learning!$E$6:$S$41,(MATCH(G$21,Dates,0)),(MATCH($C$151,Learning!$E$4:$S$4,0)+MATCH($C$152,Learning!$E$5:$S$5,0)-1))</f>
        <v>1.411458785171634</v>
      </c>
      <c r="H158" s="533" cm="1">
        <f t="array" aca="1" ref="H158" ca="1">OFFSET(H158,-4,0)*
OFFSET(MSP!$E$1,
MATCH(OFFSET($C152,((MATCH($C152,EL_List,0)-1)*-10)-1,0),MSP!$C:$C,0)+MATCH($C152,EL_List,0)-1,0)
*INDEX(Learning!$E$6:$S$41,(MATCH(H$21,Dates,0)),(MATCH($C$151,Learning!$E$4:$S$4,0)+MATCH($C$152,Learning!$E$5:$S$5,0)-1))</f>
        <v>1.4676630400066943</v>
      </c>
      <c r="I158" s="533" cm="1">
        <f t="array" aca="1" ref="I158" ca="1">OFFSET(I158,-4,0)*
OFFSET(MSP!$E$1,
MATCH(OFFSET($C152,((MATCH($C152,EL_List,0)-1)*-10)-1,0),MSP!$C:$C,0)+MATCH($C152,EL_List,0)-1,0)
*INDEX(Learning!$E$6:$S$41,(MATCH(I$21,Dates,0)),(MATCH($C$151,Learning!$E$4:$S$4,0)+MATCH($C$152,Learning!$E$5:$S$5,0)-1))</f>
        <v>1.5292472395006298</v>
      </c>
      <c r="J158" s="533" cm="1">
        <f t="array" aca="1" ref="J158" ca="1">OFFSET(J158,-4,0)*
OFFSET(MSP!$E$1,
MATCH(OFFSET($C152,((MATCH($C152,EL_List,0)-1)*-10)-1,0),MSP!$C:$C,0)+MATCH($C152,EL_List,0)-1,0)
*INDEX(Learning!$E$6:$S$41,(MATCH(J$21,Dates,0)),(MATCH($C$151,Learning!$E$4:$S$4,0)+MATCH($C$152,Learning!$E$5:$S$5,0)-1))</f>
        <v>1.5958612590101471</v>
      </c>
      <c r="K158" s="533" cm="1">
        <f t="array" aca="1" ref="K158" ca="1">OFFSET(K158,-4,0)*
OFFSET(MSP!$E$1,
MATCH(OFFSET($C152,((MATCH($C152,EL_List,0)-1)*-10)-1,0),MSP!$C:$C,0)+MATCH($C152,EL_List,0)-1,0)
*INDEX(Learning!$E$6:$S$41,(MATCH(K$21,Dates,0)),(MATCH($C$151,Learning!$E$4:$S$4,0)+MATCH($C$152,Learning!$E$5:$S$5,0)-1))</f>
        <v>1.669558108103518</v>
      </c>
      <c r="L158" s="533" cm="1">
        <f t="array" aca="1" ref="L158" ca="1">OFFSET(L158,-4,0)*
OFFSET(MSP!$E$1,
MATCH(OFFSET($C152,((MATCH($C152,EL_List,0)-1)*-10)-1,0),MSP!$C:$C,0)+MATCH($C152,EL_List,0)-1,0)
*INDEX(Learning!$E$6:$S$41,(MATCH(L$21,Dates,0)),(MATCH($C$151,Learning!$E$4:$S$4,0)+MATCH($C$152,Learning!$E$5:$S$5,0)-1))</f>
        <v>1.7473649787734831</v>
      </c>
      <c r="M158" s="533" cm="1">
        <f t="array" aca="1" ref="M158" ca="1">OFFSET(M158,-4,0)*
OFFSET(MSP!$E$1,
MATCH(OFFSET($C152,((MATCH($C152,EL_List,0)-1)*-10)-1,0),MSP!$C:$C,0)+MATCH($C152,EL_List,0)-1,0)
*INDEX(Learning!$E$6:$S$41,(MATCH(M$21,Dates,0)),(MATCH($C$151,Learning!$E$4:$S$4,0)+MATCH($C$152,Learning!$E$5:$S$5,0)-1))</f>
        <v>1.8281450875683378</v>
      </c>
      <c r="N158" s="533" cm="1">
        <f t="array" aca="1" ref="N158" ca="1">OFFSET(N158,-4,0)*
OFFSET(MSP!$E$1,
MATCH(OFFSET($C152,((MATCH($C152,EL_List,0)-1)*-10)-1,0),MSP!$C:$C,0)+MATCH($C152,EL_List,0)-1,0)
*INDEX(Learning!$E$6:$S$41,(MATCH(N$21,Dates,0)),(MATCH($C$151,Learning!$E$4:$S$4,0)+MATCH($C$152,Learning!$E$5:$S$5,0)-1))</f>
        <v>1.9130795841329507</v>
      </c>
      <c r="O158" s="533" cm="1">
        <f t="array" aca="1" ref="O158" ca="1">OFFSET(O158,-4,0)*
OFFSET(MSP!$E$1,
MATCH(OFFSET($C152,((MATCH($C152,EL_List,0)-1)*-10)-1,0),MSP!$C:$C,0)+MATCH($C152,EL_List,0)-1,0)
*INDEX(Learning!$E$6:$S$41,(MATCH(O$21,Dates,0)),(MATCH($C$151,Learning!$E$4:$S$4,0)+MATCH($C$152,Learning!$E$5:$S$5,0)-1))</f>
        <v>1.9982740982723226</v>
      </c>
      <c r="P158" s="533" cm="1">
        <f t="array" aca="1" ref="P158" ca="1">OFFSET(P158,-4,0)*
OFFSET(MSP!$E$1,
MATCH(OFFSET($C152,((MATCH($C152,EL_List,0)-1)*-10)-1,0),MSP!$C:$C,0)+MATCH($C152,EL_List,0)-1,0)
*INDEX(Learning!$E$6:$S$41,(MATCH(P$21,Dates,0)),(MATCH($C$151,Learning!$E$4:$S$4,0)+MATCH($C$152,Learning!$E$5:$S$5,0)-1))</f>
        <v>2.0880794854453621</v>
      </c>
      <c r="Q158" s="533" cm="1">
        <f t="array" aca="1" ref="Q158" ca="1">OFFSET(Q158,-4,0)*
OFFSET(MSP!$E$1,
MATCH(OFFSET($C152,((MATCH($C152,EL_List,0)-1)*-10)-1,0),MSP!$C:$C,0)+MATCH($C152,EL_List,0)-1,0)
*INDEX(Learning!$E$6:$S$41,(MATCH(Q$21,Dates,0)),(MATCH($C$151,Learning!$E$4:$S$4,0)+MATCH($C$152,Learning!$E$5:$S$5,0)-1))</f>
        <v>2.1811205709475208</v>
      </c>
      <c r="R158" s="533" cm="1">
        <f t="array" aca="1" ref="R158" ca="1">OFFSET(R158,-4,0)*
OFFSET(MSP!$E$1,
MATCH(OFFSET($C152,((MATCH($C152,EL_List,0)-1)*-10)-1,0),MSP!$C:$C,0)+MATCH($C152,EL_List,0)-1,0)
*INDEX(Learning!$E$6:$S$41,(MATCH(R$21,Dates,0)),(MATCH($C$151,Learning!$E$4:$S$4,0)+MATCH($C$152,Learning!$E$5:$S$5,0)-1))</f>
        <v>2.2780597911273297</v>
      </c>
      <c r="S158" s="533" cm="1">
        <f t="array" aca="1" ref="S158" ca="1">OFFSET(S158,-4,0)*
OFFSET(MSP!$E$1,
MATCH(OFFSET($C152,((MATCH($C152,EL_List,0)-1)*-10)-1,0),MSP!$C:$C,0)+MATCH($C152,EL_List,0)-1,0)
*INDEX(Learning!$E$6:$S$41,(MATCH(S$21,Dates,0)),(MATCH($C$151,Learning!$E$4:$S$4,0)+MATCH($C$152,Learning!$E$5:$S$5,0)-1))</f>
        <v>2.3794287700578205</v>
      </c>
      <c r="T158" s="533" cm="1">
        <f t="array" aca="1" ref="T158" ca="1">OFFSET(T158,-4,0)*
OFFSET(MSP!$E$1,
MATCH(OFFSET($C152,((MATCH($C152,EL_List,0)-1)*-10)-1,0),MSP!$C:$C,0)+MATCH($C152,EL_List,0)-1,0)
*INDEX(Learning!$E$6:$S$41,(MATCH(T$21,Dates,0)),(MATCH($C$151,Learning!$E$4:$S$4,0)+MATCH($C$152,Learning!$E$5:$S$5,0)-1))</f>
        <v>2.4855238362104886</v>
      </c>
      <c r="U158" s="533" cm="1">
        <f t="array" aca="1" ref="U158" ca="1">OFFSET(U158,-4,0)*
OFFSET(MSP!$E$1,
MATCH(OFFSET($C152,((MATCH($C152,EL_List,0)-1)*-10)-1,0),MSP!$C:$C,0)+MATCH($C152,EL_List,0)-1,0)
*INDEX(Learning!$E$6:$S$41,(MATCH(U$21,Dates,0)),(MATCH($C$151,Learning!$E$4:$S$4,0)+MATCH($C$152,Learning!$E$5:$S$5,0)-1))</f>
        <v>2.5966757521345336</v>
      </c>
      <c r="V158" s="533" cm="1">
        <f t="array" aca="1" ref="V158" ca="1">OFFSET(V158,-4,0)*
OFFSET(MSP!$E$1,
MATCH(OFFSET($C152,((MATCH($C152,EL_List,0)-1)*-10)-1,0),MSP!$C:$C,0)+MATCH($C152,EL_List,0)-1,0)
*INDEX(Learning!$E$6:$S$41,(MATCH(V$21,Dates,0)),(MATCH($C$151,Learning!$E$4:$S$4,0)+MATCH($C$152,Learning!$E$5:$S$5,0)-1))</f>
        <v>2.7154166595426381</v>
      </c>
      <c r="W158" s="533" cm="1">
        <f t="array" aca="1" ref="W158" ca="1">OFFSET(W158,-4,0)*
OFFSET(MSP!$E$1,
MATCH(OFFSET($C152,((MATCH($C152,EL_List,0)-1)*-10)-1,0),MSP!$C:$C,0)+MATCH($C152,EL_List,0)-1,0)
*INDEX(Learning!$E$6:$S$41,(MATCH(W$21,Dates,0)),(MATCH($C$151,Learning!$E$4:$S$4,0)+MATCH($C$152,Learning!$E$5:$S$5,0)-1))</f>
        <v>2.8364275979551037</v>
      </c>
      <c r="X158" s="533" cm="1">
        <f t="array" aca="1" ref="X158" ca="1">OFFSET(X158,-4,0)*
OFFSET(MSP!$E$1,
MATCH(OFFSET($C152,((MATCH($C152,EL_List,0)-1)*-10)-1,0),MSP!$C:$C,0)+MATCH($C152,EL_List,0)-1,0)
*INDEX(Learning!$E$6:$S$41,(MATCH(X$21,Dates,0)),(MATCH($C$151,Learning!$E$4:$S$4,0)+MATCH($C$152,Learning!$E$5:$S$5,0)-1))</f>
        <v>2.965686292515469</v>
      </c>
      <c r="Y158" s="533" cm="1">
        <f t="array" aca="1" ref="Y158" ca="1">OFFSET(Y158,-4,0)*
OFFSET(MSP!$E$1,
MATCH(OFFSET($C152,((MATCH($C152,EL_List,0)-1)*-10)-1,0),MSP!$C:$C,0)+MATCH($C152,EL_List,0)-1,0)
*INDEX(Learning!$E$6:$S$41,(MATCH(Y$21,Dates,0)),(MATCH($C$151,Learning!$E$4:$S$4,0)+MATCH($C$152,Learning!$E$5:$S$5,0)-1))</f>
        <v>3.0971352895884472</v>
      </c>
      <c r="Z158" s="533" cm="1">
        <f t="array" aca="1" ref="Z158" ca="1">OFFSET(Z158,-4,0)*
OFFSET(MSP!$E$1,
MATCH(OFFSET($C152,((MATCH($C152,EL_List,0)-1)*-10)-1,0),MSP!$C:$C,0)+MATCH($C152,EL_List,0)-1,0)
*INDEX(Learning!$E$6:$S$41,(MATCH(Z$21,Dates,0)),(MATCH($C$151,Learning!$E$4:$S$4,0)+MATCH($C$152,Learning!$E$5:$S$5,0)-1))</f>
        <v>3.2375092349259851</v>
      </c>
      <c r="AA158" s="533" cm="1">
        <f t="array" aca="1" ref="AA158" ca="1">OFFSET(AA158,-4,0)*
OFFSET(MSP!$E$1,
MATCH(OFFSET($C152,((MATCH($C152,EL_List,0)-1)*-10)-1,0),MSP!$C:$C,0)+MATCH($C152,EL_List,0)-1,0)
*INDEX(Learning!$E$6:$S$41,(MATCH(AA$21,Dates,0)),(MATCH($C$151,Learning!$E$4:$S$4,0)+MATCH($C$152,Learning!$E$5:$S$5,0)-1))</f>
        <v>3.3839090073011104</v>
      </c>
      <c r="AB158" s="533" cm="1">
        <f t="array" aca="1" ref="AB158" ca="1">OFFSET(AB158,-4,0)*
OFFSET(MSP!$E$1,
MATCH(OFFSET($C152,((MATCH($C152,EL_List,0)-1)*-10)-1,0),MSP!$C:$C,0)+MATCH($C152,EL_List,0)-1,0)
*INDEX(Learning!$E$6:$S$41,(MATCH(AB$21,Dates,0)),(MATCH($C$151,Learning!$E$4:$S$4,0)+MATCH($C$152,Learning!$E$5:$S$5,0)-1))</f>
        <v>3.5366578591656705</v>
      </c>
      <c r="AC158" s="533" cm="1">
        <f t="array" aca="1" ref="AC158" ca="1">OFFSET(AC158,-4,0)*
OFFSET(MSP!$E$1,
MATCH(OFFSET($C152,((MATCH($C152,EL_List,0)-1)*-10)-1,0),MSP!$C:$C,0)+MATCH($C152,EL_List,0)-1,0)
*INDEX(Learning!$E$6:$S$41,(MATCH(AC$21,Dates,0)),(MATCH($C$151,Learning!$E$4:$S$4,0)+MATCH($C$152,Learning!$E$5:$S$5,0)-1))</f>
        <v>3.6960759517988597</v>
      </c>
      <c r="AD158" s="533" cm="1">
        <f t="array" aca="1" ref="AD158" ca="1">OFFSET(AD158,-4,0)*
OFFSET(MSP!$E$1,
MATCH(OFFSET($C152,((MATCH($C152,EL_List,0)-1)*-10)-1,0),MSP!$C:$C,0)+MATCH($C152,EL_List,0)-1,0)
*INDEX(Learning!$E$6:$S$41,(MATCH(AD$21,Dates,0)),(MATCH($C$151,Learning!$E$4:$S$4,0)+MATCH($C$152,Learning!$E$5:$S$5,0)-1))</f>
        <v>3.8624784049758114</v>
      </c>
      <c r="AE158" s="533" cm="1">
        <f t="array" aca="1" ref="AE158" ca="1">OFFSET(AE158,-4,0)*
OFFSET(MSP!$E$1,
MATCH(OFFSET($C152,((MATCH($C152,EL_List,0)-1)*-10)-1,0),MSP!$C:$C,0)+MATCH($C152,EL_List,0)-1,0)
*INDEX(Learning!$E$6:$S$41,(MATCH(AE$21,Dates,0)),(MATCH($C$151,Learning!$E$4:$S$4,0)+MATCH($C$152,Learning!$E$5:$S$5,0)-1))</f>
        <v>4.0361730022274402</v>
      </c>
      <c r="AF158" s="533" cm="1">
        <f t="array" aca="1" ref="AF158" ca="1">OFFSET(AF158,-4,0)*
OFFSET(MSP!$E$1,
MATCH(OFFSET($C152,((MATCH($C152,EL_List,0)-1)*-10)-1,0),MSP!$C:$C,0)+MATCH($C152,EL_List,0)-1,0)
*INDEX(Learning!$E$6:$S$41,(MATCH(AF$21,Dates,0)),(MATCH($C$151,Learning!$E$4:$S$4,0)+MATCH($C$152,Learning!$E$5:$S$5,0)-1))</f>
        <v>4.2174642372765723</v>
      </c>
      <c r="AG158" s="533" cm="1">
        <f t="array" aca="1" ref="AG158" ca="1">OFFSET(AG158,-4,0)*
OFFSET(MSP!$E$1,
MATCH(OFFSET($C152,((MATCH($C152,EL_List,0)-1)*-10)-1,0),MSP!$C:$C,0)+MATCH($C152,EL_List,0)-1,0)
*INDEX(Learning!$E$6:$S$41,(MATCH(AG$21,Dates,0)),(MATCH($C$151,Learning!$E$4:$S$4,0)+MATCH($C$152,Learning!$E$5:$S$5,0)-1))</f>
        <v>4.4066621540864306</v>
      </c>
      <c r="AH158" s="533" cm="1">
        <f t="array" aca="1" ref="AH158" ca="1">OFFSET(AH158,-4,0)*
OFFSET(MSP!$E$1,
MATCH(OFFSET($C152,((MATCH($C152,EL_List,0)-1)*-10)-1,0),MSP!$C:$C,0)+MATCH($C152,EL_List,0)-1,0)
*INDEX(Learning!$E$6:$S$41,(MATCH(AH$21,Dates,0)),(MATCH($C$151,Learning!$E$4:$S$4,0)+MATCH($C$152,Learning!$E$5:$S$5,0)-1))</f>
        <v>4.6040900764175952</v>
      </c>
      <c r="AI158" s="533" cm="1">
        <f t="array" aca="1" ref="AI158" ca="1">OFFSET(AI158,-4,0)*
OFFSET(MSP!$E$1,
MATCH(OFFSET($C152,((MATCH($C152,EL_List,0)-1)*-10)-1,0),MSP!$C:$C,0)+MATCH($C152,EL_List,0)-1,0)
*INDEX(Learning!$E$6:$S$41,(MATCH(AI$21,Dates,0)),(MATCH($C$151,Learning!$E$4:$S$4,0)+MATCH($C$152,Learning!$E$5:$S$5,0)-1))</f>
        <v>4.8155008425795698</v>
      </c>
      <c r="AJ158" s="533" cm="1">
        <f t="array" aca="1" ref="AJ158" ca="1">OFFSET(AJ158,-4,0)*
OFFSET(MSP!$E$1,
MATCH(OFFSET($C152,((MATCH($C152,EL_List,0)-1)*-10)-1,0),MSP!$C:$C,0)+MATCH($C152,EL_List,0)-1,0)
*INDEX(Learning!$E$6:$S$41,(MATCH(AJ$21,Dates,0)),(MATCH($C$151,Learning!$E$4:$S$4,0)+MATCH($C$152,Learning!$E$5:$S$5,0)-1))</f>
        <v>5.0307040977181394</v>
      </c>
      <c r="AK158" s="533" cm="1">
        <f t="array" aca="1" ref="AK158" ca="1">OFFSET(AK158,-4,0)*
OFFSET(MSP!$E$1,
MATCH(OFFSET($C152,((MATCH($C152,EL_List,0)-1)*-10)-1,0),MSP!$C:$C,0)+MATCH($C152,EL_List,0)-1,0)
*INDEX(Learning!$E$6:$S$41,(MATCH(AK$21,Dates,0)),(MATCH($C$151,Learning!$E$4:$S$4,0)+MATCH($C$152,Learning!$E$5:$S$5,0)-1))</f>
        <v>5.2552409980387189</v>
      </c>
      <c r="AL158" s="533" cm="1">
        <f t="array" aca="1" ref="AL158" ca="1">OFFSET(AL158,-4,0)*
OFFSET(MSP!$E$1,
MATCH(OFFSET($C152,((MATCH($C152,EL_List,0)-1)*-10)-1,0),MSP!$C:$C,0)+MATCH($C152,EL_List,0)-1,0)
*INDEX(Learning!$E$6:$S$41,(MATCH(AL$21,Dates,0)),(MATCH($C$151,Learning!$E$4:$S$4,0)+MATCH($C$152,Learning!$E$5:$S$5,0)-1))</f>
        <v>5.4895164333775694</v>
      </c>
      <c r="AM158" s="533" cm="1">
        <f t="array" aca="1" ref="AM158" ca="1">OFFSET(AM158,-4,0)*
OFFSET(MSP!$E$1,
MATCH(OFFSET($C152,((MATCH($C152,EL_List,0)-1)*-10)-1,0),MSP!$C:$C,0)+MATCH($C152,EL_List,0)-1,0)
*INDEX(Learning!$E$6:$S$41,(MATCH(AM$21,Dates,0)),(MATCH($C$151,Learning!$E$4:$S$4,0)+MATCH($C$152,Learning!$E$5:$S$5,0)-1))</f>
        <v>5.7405140589172081</v>
      </c>
      <c r="AN158" s="533" cm="1">
        <f t="array" aca="1" ref="AN158" ca="1">OFFSET(AN158,-4,0)*
OFFSET(MSP!$E$1,
MATCH(OFFSET($C152,((MATCH($C152,EL_List,0)-1)*-10)-1,0),MSP!$C:$C,0)+MATCH($C152,EL_List,0)-1,0)
*INDEX(Learning!$E$6:$S$41,(MATCH(AN$21,Dates,0)),(MATCH($C$151,Learning!$E$4:$S$4,0)+MATCH($C$152,Learning!$E$5:$S$5,0)-1))</f>
        <v>5.9982864878685334</v>
      </c>
      <c r="AO158" s="436"/>
      <c r="AP158" s="21"/>
    </row>
    <row r="159" spans="2:42" ht="15" customHeight="1" x14ac:dyDescent="0.35">
      <c r="B159" s="429"/>
      <c r="C159" s="777" t="s">
        <v>214</v>
      </c>
      <c r="D159" s="776"/>
      <c r="E159" s="533" cm="1">
        <f t="array" aca="1" ref="E159" ca="1">OFFSET(E159,-5,0)*
OFFSET(MSP!$F$1,
MATCH(OFFSET($C152,((MATCH($C152,EL_List,0)-1)*-10)-1,0),MSP!$C:$C,0)+MATCH($C152,EL_List,0)-1,0)
*INDEX(Learning!$E$6:$S$41,(MATCH(E$21,Dates,0)),(MATCH($C$151,Learning!$E$4:$S$4,0)+MATCH($C$152,Learning!$E$5:$S$5,0)-1))</f>
        <v>3.1277587920201135</v>
      </c>
      <c r="F159" s="533" cm="1">
        <f t="array" aca="1" ref="F159" ca="1">OFFSET(F159,-5,0)*
OFFSET(MSP!$F$1,
MATCH(OFFSET($C152,((MATCH($C152,EL_List,0)-1)*-10)-1,0),MSP!$C:$C,0)+MATCH($C152,EL_List,0)-1,0)
*INDEX(Learning!$E$6:$S$41,(MATCH(F$21,Dates,0)),(MATCH($C$151,Learning!$E$4:$S$4,0)+MATCH($C$152,Learning!$E$5:$S$5,0)-1))</f>
        <v>3.2456551253278274</v>
      </c>
      <c r="G159" s="533" cm="1">
        <f t="array" aca="1" ref="G159" ca="1">OFFSET(G159,-5,0)*
OFFSET(MSP!$F$1,
MATCH(OFFSET($C152,((MATCH($C152,EL_List,0)-1)*-10)-1,0),MSP!$C:$C,0)+MATCH($C152,EL_List,0)-1,0)
*INDEX(Learning!$E$6:$S$41,(MATCH(G$21,Dates,0)),(MATCH($C$151,Learning!$E$4:$S$4,0)+MATCH($C$152,Learning!$E$5:$S$5,0)-1))</f>
        <v>3.3440754168545621</v>
      </c>
      <c r="H159" s="533" cm="1">
        <f t="array" aca="1" ref="H159" ca="1">OFFSET(H159,-5,0)*
OFFSET(MSP!$F$1,
MATCH(OFFSET($C152,((MATCH($C152,EL_List,0)-1)*-10)-1,0),MSP!$C:$C,0)+MATCH($C152,EL_List,0)-1,0)
*INDEX(Learning!$E$6:$S$41,(MATCH(H$21,Dates,0)),(MATCH($C$151,Learning!$E$4:$S$4,0)+MATCH($C$152,Learning!$E$5:$S$5,0)-1))</f>
        <v>3.4772364194223409</v>
      </c>
      <c r="I159" s="533" cm="1">
        <f t="array" aca="1" ref="I159" ca="1">OFFSET(I159,-5,0)*
OFFSET(MSP!$F$1,
MATCH(OFFSET($C152,((MATCH($C152,EL_List,0)-1)*-10)-1,0),MSP!$C:$C,0)+MATCH($C152,EL_List,0)-1,0)
*INDEX(Learning!$E$6:$S$41,(MATCH(I$21,Dates,0)),(MATCH($C$151,Learning!$E$4:$S$4,0)+MATCH($C$152,Learning!$E$5:$S$5,0)-1))</f>
        <v>3.6231437670246258</v>
      </c>
      <c r="J159" s="533" cm="1">
        <f t="array" aca="1" ref="J159" ca="1">OFFSET(J159,-5,0)*
OFFSET(MSP!$F$1,
MATCH(OFFSET($C152,((MATCH($C152,EL_List,0)-1)*-10)-1,0),MSP!$C:$C,0)+MATCH($C152,EL_List,0)-1,0)
*INDEX(Learning!$E$6:$S$41,(MATCH(J$21,Dates,0)),(MATCH($C$151,Learning!$E$4:$S$4,0)+MATCH($C$152,Learning!$E$5:$S$5,0)-1))</f>
        <v>3.7809679326325214</v>
      </c>
      <c r="K159" s="533" cm="1">
        <f t="array" aca="1" ref="K159" ca="1">OFFSET(K159,-5,0)*
OFFSET(MSP!$F$1,
MATCH(OFFSET($C152,((MATCH($C152,EL_List,0)-1)*-10)-1,0),MSP!$C:$C,0)+MATCH($C152,EL_List,0)-1,0)
*INDEX(Learning!$E$6:$S$41,(MATCH(K$21,Dates,0)),(MATCH($C$151,Learning!$E$4:$S$4,0)+MATCH($C$152,Learning!$E$5:$S$5,0)-1))</f>
        <v>3.9555729752606803</v>
      </c>
      <c r="L159" s="533" cm="1">
        <f t="array" aca="1" ref="L159" ca="1">OFFSET(L159,-5,0)*
OFFSET(MSP!$F$1,
MATCH(OFFSET($C152,((MATCH($C152,EL_List,0)-1)*-10)-1,0),MSP!$C:$C,0)+MATCH($C152,EL_List,0)-1,0)
*INDEX(Learning!$E$6:$S$41,(MATCH(L$21,Dates,0)),(MATCH($C$151,Learning!$E$4:$S$4,0)+MATCH($C$152,Learning!$E$5:$S$5,0)-1))</f>
        <v>4.1399156186331343</v>
      </c>
      <c r="M159" s="533" cm="1">
        <f t="array" aca="1" ref="M159" ca="1">OFFSET(M159,-5,0)*
OFFSET(MSP!$F$1,
MATCH(OFFSET($C152,((MATCH($C152,EL_List,0)-1)*-10)-1,0),MSP!$C:$C,0)+MATCH($C152,EL_List,0)-1,0)
*INDEX(Learning!$E$6:$S$41,(MATCH(M$21,Dates,0)),(MATCH($C$151,Learning!$E$4:$S$4,0)+MATCH($C$152,Learning!$E$5:$S$5,0)-1))</f>
        <v>4.3313025573306483</v>
      </c>
      <c r="N159" s="533" cm="1">
        <f t="array" aca="1" ref="N159" ca="1">OFFSET(N159,-5,0)*
OFFSET(MSP!$F$1,
MATCH(OFFSET($C152,((MATCH($C152,EL_List,0)-1)*-10)-1,0),MSP!$C:$C,0)+MATCH($C152,EL_List,0)-1,0)
*INDEX(Learning!$E$6:$S$41,(MATCH(N$21,Dates,0)),(MATCH($C$151,Learning!$E$4:$S$4,0)+MATCH($C$152,Learning!$E$5:$S$5,0)-1))</f>
        <v>4.5325322106429144</v>
      </c>
      <c r="O159" s="533" cm="1">
        <f t="array" aca="1" ref="O159" ca="1">OFFSET(O159,-5,0)*
OFFSET(MSP!$F$1,
MATCH(OFFSET($C152,((MATCH($C152,EL_List,0)-1)*-10)-1,0),MSP!$C:$C,0)+MATCH($C152,EL_List,0)-1,0)
*INDEX(Learning!$E$6:$S$41,(MATCH(O$21,Dates,0)),(MATCH($C$151,Learning!$E$4:$S$4,0)+MATCH($C$152,Learning!$E$5:$S$5,0)-1))</f>
        <v>4.7343779063000477</v>
      </c>
      <c r="P159" s="533" cm="1">
        <f t="array" aca="1" ref="P159" ca="1">OFFSET(P159,-5,0)*
OFFSET(MSP!$F$1,
MATCH(OFFSET($C152,((MATCH($C152,EL_List,0)-1)*-10)-1,0),MSP!$C:$C,0)+MATCH($C152,EL_List,0)-1,0)
*INDEX(Learning!$E$6:$S$41,(MATCH(P$21,Dates,0)),(MATCH($C$151,Learning!$E$4:$S$4,0)+MATCH($C$152,Learning!$E$5:$S$5,0)-1))</f>
        <v>4.9471478367447048</v>
      </c>
      <c r="Q159" s="533" cm="1">
        <f t="array" aca="1" ref="Q159" ca="1">OFFSET(Q159,-5,0)*
OFFSET(MSP!$F$1,
MATCH(OFFSET($C152,((MATCH($C152,EL_List,0)-1)*-10)-1,0),MSP!$C:$C,0)+MATCH($C152,EL_List,0)-1,0)
*INDEX(Learning!$E$6:$S$41,(MATCH(Q$21,Dates,0)),(MATCH($C$151,Learning!$E$4:$S$4,0)+MATCH($C$152,Learning!$E$5:$S$5,0)-1))</f>
        <v>5.167583892018822</v>
      </c>
      <c r="R159" s="533" cm="1">
        <f t="array" aca="1" ref="R159" ca="1">OFFSET(R159,-5,0)*
OFFSET(MSP!$F$1,
MATCH(OFFSET($C152,((MATCH($C152,EL_List,0)-1)*-10)-1,0),MSP!$C:$C,0)+MATCH($C152,EL_List,0)-1,0)
*INDEX(Learning!$E$6:$S$41,(MATCH(R$21,Dates,0)),(MATCH($C$151,Learning!$E$4:$S$4,0)+MATCH($C$152,Learning!$E$5:$S$5,0)-1))</f>
        <v>5.3972555385011747</v>
      </c>
      <c r="S159" s="533" cm="1">
        <f t="array" aca="1" ref="S159" ca="1">OFFSET(S159,-5,0)*
OFFSET(MSP!$F$1,
MATCH(OFFSET($C152,((MATCH($C152,EL_List,0)-1)*-10)-1,0),MSP!$C:$C,0)+MATCH($C152,EL_List,0)-1,0)
*INDEX(Learning!$E$6:$S$41,(MATCH(S$21,Dates,0)),(MATCH($C$151,Learning!$E$4:$S$4,0)+MATCH($C$152,Learning!$E$5:$S$5,0)-1))</f>
        <v>5.637422317747145</v>
      </c>
      <c r="T159" s="533" cm="1">
        <f t="array" aca="1" ref="T159" ca="1">OFFSET(T159,-5,0)*
OFFSET(MSP!$F$1,
MATCH(OFFSET($C152,((MATCH($C152,EL_List,0)-1)*-10)-1,0),MSP!$C:$C,0)+MATCH($C152,EL_List,0)-1,0)
*INDEX(Learning!$E$6:$S$41,(MATCH(T$21,Dates,0)),(MATCH($C$151,Learning!$E$4:$S$4,0)+MATCH($C$152,Learning!$E$5:$S$5,0)-1))</f>
        <v>5.8887863010940302</v>
      </c>
      <c r="U159" s="533" cm="1">
        <f t="array" aca="1" ref="U159" ca="1">OFFSET(U159,-5,0)*
OFFSET(MSP!$F$1,
MATCH(OFFSET($C152,((MATCH($C152,EL_List,0)-1)*-10)-1,0),MSP!$C:$C,0)+MATCH($C152,EL_List,0)-1,0)
*INDEX(Learning!$E$6:$S$41,(MATCH(U$21,Dates,0)),(MATCH($C$151,Learning!$E$4:$S$4,0)+MATCH($C$152,Learning!$E$5:$S$5,0)-1))</f>
        <v>6.1521311422490514</v>
      </c>
      <c r="V159" s="533" cm="1">
        <f t="array" aca="1" ref="V159" ca="1">OFFSET(V159,-5,0)*
OFFSET(MSP!$F$1,
MATCH(OFFSET($C152,((MATCH($C152,EL_List,0)-1)*-10)-1,0),MSP!$C:$C,0)+MATCH($C152,EL_List,0)-1,0)
*INDEX(Learning!$E$6:$S$41,(MATCH(V$21,Dates,0)),(MATCH($C$151,Learning!$E$4:$S$4,0)+MATCH($C$152,Learning!$E$5:$S$5,0)-1))</f>
        <v>6.4334560761472535</v>
      </c>
      <c r="W159" s="533" cm="1">
        <f t="array" aca="1" ref="W159" ca="1">OFFSET(W159,-5,0)*
OFFSET(MSP!$F$1,
MATCH(OFFSET($C152,((MATCH($C152,EL_List,0)-1)*-10)-1,0),MSP!$C:$C,0)+MATCH($C152,EL_List,0)-1,0)
*INDEX(Learning!$E$6:$S$41,(MATCH(W$21,Dates,0)),(MATCH($C$151,Learning!$E$4:$S$4,0)+MATCH($C$152,Learning!$E$5:$S$5,0)-1))</f>
        <v>6.7201592435135034</v>
      </c>
      <c r="X159" s="533" cm="1">
        <f t="array" aca="1" ref="X159" ca="1">OFFSET(X159,-5,0)*
OFFSET(MSP!$F$1,
MATCH(OFFSET($C152,((MATCH($C152,EL_List,0)-1)*-10)-1,0),MSP!$C:$C,0)+MATCH($C152,EL_List,0)-1,0)
*INDEX(Learning!$E$6:$S$41,(MATCH(X$21,Dates,0)),(MATCH($C$151,Learning!$E$4:$S$4,0)+MATCH($C$152,Learning!$E$5:$S$5,0)-1))</f>
        <v>7.0264032709233932</v>
      </c>
      <c r="Y159" s="533" cm="1">
        <f t="array" aca="1" ref="Y159" ca="1">OFFSET(Y159,-5,0)*
OFFSET(MSP!$F$1,
MATCH(OFFSET($C152,((MATCH($C152,EL_List,0)-1)*-10)-1,0),MSP!$C:$C,0)+MATCH($C152,EL_List,0)-1,0)
*INDEX(Learning!$E$6:$S$41,(MATCH(Y$21,Dates,0)),(MATCH($C$151,Learning!$E$4:$S$4,0)+MATCH($C$152,Learning!$E$5:$S$5,0)-1))</f>
        <v>7.3378366363889524</v>
      </c>
      <c r="Z159" s="533" cm="1">
        <f t="array" aca="1" ref="Z159" ca="1">OFFSET(Z159,-5,0)*
OFFSET(MSP!$F$1,
MATCH(OFFSET($C152,((MATCH($C152,EL_List,0)-1)*-10)-1,0),MSP!$C:$C,0)+MATCH($C152,EL_List,0)-1,0)
*INDEX(Learning!$E$6:$S$41,(MATCH(Z$21,Dates,0)),(MATCH($C$151,Learning!$E$4:$S$4,0)+MATCH($C$152,Learning!$E$5:$S$5,0)-1))</f>
        <v>7.6704152881368781</v>
      </c>
      <c r="AA159" s="533" cm="1">
        <f t="array" aca="1" ref="AA159" ca="1">OFFSET(AA159,-5,0)*
OFFSET(MSP!$F$1,
MATCH(OFFSET($C152,((MATCH($C152,EL_List,0)-1)*-10)-1,0),MSP!$C:$C,0)+MATCH($C152,EL_List,0)-1,0)
*INDEX(Learning!$E$6:$S$41,(MATCH(AA$21,Dates,0)),(MATCH($C$151,Learning!$E$4:$S$4,0)+MATCH($C$152,Learning!$E$5:$S$5,0)-1))</f>
        <v>8.0172705310784771</v>
      </c>
      <c r="AB159" s="533" cm="1">
        <f t="array" aca="1" ref="AB159" ca="1">OFFSET(AB159,-5,0)*
OFFSET(MSP!$F$1,
MATCH(OFFSET($C152,((MATCH($C152,EL_List,0)-1)*-10)-1,0),MSP!$C:$C,0)+MATCH($C152,EL_List,0)-1,0)
*INDEX(Learning!$E$6:$S$41,(MATCH(AB$21,Dates,0)),(MATCH($C$151,Learning!$E$4:$S$4,0)+MATCH($C$152,Learning!$E$5:$S$5,0)-1))</f>
        <v>8.3791682257468487</v>
      </c>
      <c r="AC159" s="533" cm="1">
        <f t="array" aca="1" ref="AC159" ca="1">OFFSET(AC159,-5,0)*
OFFSET(MSP!$F$1,
MATCH(OFFSET($C152,((MATCH($C152,EL_List,0)-1)*-10)-1,0),MSP!$C:$C,0)+MATCH($C152,EL_List,0)-1,0)
*INDEX(Learning!$E$6:$S$41,(MATCH(AC$21,Dates,0)),(MATCH($C$151,Learning!$E$4:$S$4,0)+MATCH($C$152,Learning!$E$5:$S$5,0)-1))</f>
        <v>8.7568669089653355</v>
      </c>
      <c r="AD159" s="533" cm="1">
        <f t="array" aca="1" ref="AD159" ca="1">OFFSET(AD159,-5,0)*
OFFSET(MSP!$F$1,
MATCH(OFFSET($C152,((MATCH($C152,EL_List,0)-1)*-10)-1,0),MSP!$C:$C,0)+MATCH($C152,EL_List,0)-1,0)
*INDEX(Learning!$E$6:$S$41,(MATCH(AD$21,Dates,0)),(MATCH($C$151,Learning!$E$4:$S$4,0)+MATCH($C$152,Learning!$E$5:$S$5,0)-1))</f>
        <v>9.1511131730570412</v>
      </c>
      <c r="AE159" s="533" cm="1">
        <f t="array" aca="1" ref="AE159" ca="1">OFFSET(AE159,-5,0)*
OFFSET(MSP!$F$1,
MATCH(OFFSET($C152,((MATCH($C152,EL_List,0)-1)*-10)-1,0),MSP!$C:$C,0)+MATCH($C152,EL_List,0)-1,0)
*INDEX(Learning!$E$6:$S$41,(MATCH(AE$21,Dates,0)),(MATCH($C$151,Learning!$E$4:$S$4,0)+MATCH($C$152,Learning!$E$5:$S$5,0)-1))</f>
        <v>9.5626362290696161</v>
      </c>
      <c r="AF159" s="533" cm="1">
        <f t="array" aca="1" ref="AF159" ca="1">OFFSET(AF159,-5,0)*
OFFSET(MSP!$F$1,
MATCH(OFFSET($C152,((MATCH($C152,EL_List,0)-1)*-10)-1,0),MSP!$C:$C,0)+MATCH($C152,EL_List,0)-1,0)
*INDEX(Learning!$E$6:$S$41,(MATCH(AF$21,Dates,0)),(MATCH($C$151,Learning!$E$4:$S$4,0)+MATCH($C$152,Learning!$E$5:$S$5,0)-1))</f>
        <v>9.992157493727218</v>
      </c>
      <c r="AG159" s="533" cm="1">
        <f t="array" aca="1" ref="AG159" ca="1">OFFSET(AG159,-5,0)*
OFFSET(MSP!$F$1,
MATCH(OFFSET($C152,((MATCH($C152,EL_List,0)-1)*-10)-1,0),MSP!$C:$C,0)+MATCH($C152,EL_List,0)-1,0)
*INDEX(Learning!$E$6:$S$41,(MATCH(AG$21,Dates,0)),(MATCH($C$151,Learning!$E$4:$S$4,0)+MATCH($C$152,Learning!$E$5:$S$5,0)-1))</f>
        <v>10.440411533569414</v>
      </c>
      <c r="AH159" s="533" cm="1">
        <f t="array" aca="1" ref="AH159" ca="1">OFFSET(AH159,-5,0)*
OFFSET(MSP!$F$1,
MATCH(OFFSET($C152,((MATCH($C152,EL_List,0)-1)*-10)-1,0),MSP!$C:$C,0)+MATCH($C152,EL_List,0)-1,0)
*INDEX(Learning!$E$6:$S$41,(MATCH(AH$21,Dates,0)),(MATCH($C$151,Learning!$E$4:$S$4,0)+MATCH($C$152,Learning!$E$5:$S$5,0)-1))</f>
        <v>10.908164378076338</v>
      </c>
      <c r="AI159" s="533" cm="1">
        <f t="array" aca="1" ref="AI159" ca="1">OFFSET(AI159,-5,0)*
OFFSET(MSP!$F$1,
MATCH(OFFSET($C152,((MATCH($C152,EL_List,0)-1)*-10)-1,0),MSP!$C:$C,0)+MATCH($C152,EL_List,0)-1,0)
*INDEX(Learning!$E$6:$S$41,(MATCH(AI$21,Dates,0)),(MATCH($C$151,Learning!$E$4:$S$4,0)+MATCH($C$152,Learning!$E$5:$S$5,0)-1))</f>
        <v>11.409045844405997</v>
      </c>
      <c r="AJ159" s="533" cm="1">
        <f t="array" aca="1" ref="AJ159" ca="1">OFFSET(AJ159,-5,0)*
OFFSET(MSP!$F$1,
MATCH(OFFSET($C152,((MATCH($C152,EL_List,0)-1)*-10)-1,0),MSP!$C:$C,0)+MATCH($C152,EL_List,0)-1,0)
*INDEX(Learning!$E$6:$S$41,(MATCH(AJ$21,Dates,0)),(MATCH($C$151,Learning!$E$4:$S$4,0)+MATCH($C$152,Learning!$E$5:$S$5,0)-1))</f>
        <v>11.918912602611382</v>
      </c>
      <c r="AK159" s="533" cm="1">
        <f t="array" aca="1" ref="AK159" ca="1">OFFSET(AK159,-5,0)*
OFFSET(MSP!$F$1,
MATCH(OFFSET($C152,((MATCH($C152,EL_List,0)-1)*-10)-1,0),MSP!$C:$C,0)+MATCH($C152,EL_List,0)-1,0)
*INDEX(Learning!$E$6:$S$41,(MATCH(AK$21,Dates,0)),(MATCH($C$151,Learning!$E$4:$S$4,0)+MATCH($C$152,Learning!$E$5:$S$5,0)-1))</f>
        <v>12.450892945521264</v>
      </c>
      <c r="AL159" s="533" cm="1">
        <f t="array" aca="1" ref="AL159" ca="1">OFFSET(AL159,-5,0)*
OFFSET(MSP!$F$1,
MATCH(OFFSET($C152,((MATCH($C152,EL_List,0)-1)*-10)-1,0),MSP!$C:$C,0)+MATCH($C152,EL_List,0)-1,0)
*INDEX(Learning!$E$6:$S$41,(MATCH(AL$21,Dates,0)),(MATCH($C$151,Learning!$E$4:$S$4,0)+MATCH($C$152,Learning!$E$5:$S$5,0)-1))</f>
        <v>13.005946151693546</v>
      </c>
      <c r="AM159" s="533" cm="1">
        <f t="array" aca="1" ref="AM159" ca="1">OFFSET(AM159,-5,0)*
OFFSET(MSP!$F$1,
MATCH(OFFSET($C152,((MATCH($C152,EL_List,0)-1)*-10)-1,0),MSP!$C:$C,0)+MATCH($C152,EL_List,0)-1,0)
*INDEX(Learning!$E$6:$S$41,(MATCH(AM$21,Dates,0)),(MATCH($C$151,Learning!$E$4:$S$4,0)+MATCH($C$152,Learning!$E$5:$S$5,0)-1))</f>
        <v>13.600618130835969</v>
      </c>
      <c r="AN159" s="533" cm="1">
        <f t="array" aca="1" ref="AN159" ca="1">OFFSET(AN159,-5,0)*
OFFSET(MSP!$F$1,
MATCH(OFFSET($C152,((MATCH($C152,EL_List,0)-1)*-10)-1,0),MSP!$C:$C,0)+MATCH($C152,EL_List,0)-1,0)
*INDEX(Learning!$E$6:$S$41,(MATCH(AN$21,Dates,0)),(MATCH($C$151,Learning!$E$4:$S$4,0)+MATCH($C$152,Learning!$E$5:$S$5,0)-1))</f>
        <v>14.211341201077229</v>
      </c>
      <c r="AO159" s="436"/>
      <c r="AP159" s="21"/>
    </row>
    <row r="160" spans="2:42" ht="15" customHeight="1" collapsed="1" x14ac:dyDescent="0.35">
      <c r="B160" s="429"/>
      <c r="C160" s="777" t="s">
        <v>215</v>
      </c>
      <c r="D160" s="776"/>
      <c r="E160" s="531" cm="1">
        <f t="array" aca="1" ref="E160" ca="1">OFFSET(E160,-6,0)*
OFFSET(MSP!$G$1,
MATCH(OFFSET($C152,((MATCH($C152,EL_List,0)-1)*-10)-1,0),MSP!$C:$C,0)+MATCH($C152,EL_List,0)-1,0)
*INDEX(Learning!$E$6:$S$41,(MATCH(E$21,Dates,0)),(MATCH($C$151,Learning!$E$4:$S$4,0)+MATCH($C$152,Learning!$E$5:$S$5,0)-1))</f>
        <v>2.0769737544983751</v>
      </c>
      <c r="F160" s="531" cm="1">
        <f t="array" aca="1" ref="F160" ca="1">OFFSET(F160,-6,0)*
OFFSET(MSP!$G$1,
MATCH(OFFSET($C152,((MATCH($C152,EL_List,0)-1)*-10)-1,0),MSP!$C:$C,0)+MATCH($C152,EL_List,0)-1,0)
*INDEX(Learning!$E$6:$S$41,(MATCH(F$21,Dates,0)),(MATCH($C$151,Learning!$E$4:$S$4,0)+MATCH($C$152,Learning!$E$5:$S$5,0)-1))</f>
        <v>2.1552622691550836</v>
      </c>
      <c r="G160" s="531" cm="1">
        <f t="array" aca="1" ref="G160" ca="1">OFFSET(G160,-6,0)*
OFFSET(MSP!$G$1,
MATCH(OFFSET($C152,((MATCH($C152,EL_List,0)-1)*-10)-1,0),MSP!$C:$C,0)+MATCH($C152,EL_List,0)-1,0)
*INDEX(Learning!$E$6:$S$41,(MATCH(G$21,Dates,0)),(MATCH($C$151,Learning!$E$4:$S$4,0)+MATCH($C$152,Learning!$E$5:$S$5,0)-1))</f>
        <v>2.2206178083778125</v>
      </c>
      <c r="H160" s="531" cm="1">
        <f t="array" aca="1" ref="H160" ca="1">OFFSET(H160,-6,0)*
OFFSET(MSP!$G$1,
MATCH(OFFSET($C152,((MATCH($C152,EL_List,0)-1)*-10)-1,0),MSP!$C:$C,0)+MATCH($C152,EL_List,0)-1,0)
*INDEX(Learning!$E$6:$S$41,(MATCH(H$21,Dates,0)),(MATCH($C$151,Learning!$E$4:$S$4,0)+MATCH($C$152,Learning!$E$5:$S$5,0)-1))</f>
        <v>2.3090427560309337</v>
      </c>
      <c r="I160" s="531" cm="1">
        <f t="array" aca="1" ref="I160" ca="1">OFFSET(I160,-6,0)*
OFFSET(MSP!$G$1,
MATCH(OFFSET($C152,((MATCH($C152,EL_List,0)-1)*-10)-1,0),MSP!$C:$C,0)+MATCH($C152,EL_List,0)-1,0)
*INDEX(Learning!$E$6:$S$41,(MATCH(I$21,Dates,0)),(MATCH($C$151,Learning!$E$4:$S$4,0)+MATCH($C$152,Learning!$E$5:$S$5,0)-1))</f>
        <v>2.4059318551301292</v>
      </c>
      <c r="J160" s="531" cm="1">
        <f t="array" aca="1" ref="J160" ca="1">OFFSET(J160,-6,0)*
OFFSET(MSP!$G$1,
MATCH(OFFSET($C152,((MATCH($C152,EL_List,0)-1)*-10)-1,0),MSP!$C:$C,0)+MATCH($C152,EL_List,0)-1,0)
*INDEX(Learning!$E$6:$S$41,(MATCH(J$21,Dates,0)),(MATCH($C$151,Learning!$E$4:$S$4,0)+MATCH($C$152,Learning!$E$5:$S$5,0)-1))</f>
        <v>2.5107342620898718</v>
      </c>
      <c r="K160" s="531" cm="1">
        <f t="array" aca="1" ref="K160" ca="1">OFFSET(K160,-6,0)*
OFFSET(MSP!$G$1,
MATCH(OFFSET($C152,((MATCH($C152,EL_List,0)-1)*-10)-1,0),MSP!$C:$C,0)+MATCH($C152,EL_List,0)-1,0)
*INDEX(Learning!$E$6:$S$41,(MATCH(K$21,Dates,0)),(MATCH($C$151,Learning!$E$4:$S$4,0)+MATCH($C$152,Learning!$E$5:$S$5,0)-1))</f>
        <v>2.62667993279408</v>
      </c>
      <c r="L160" s="531" cm="1">
        <f t="array" aca="1" ref="L160" ca="1">OFFSET(L160,-6,0)*
OFFSET(MSP!$G$1,
MATCH(OFFSET($C152,((MATCH($C152,EL_List,0)-1)*-10)-1,0),MSP!$C:$C,0)+MATCH($C152,EL_List,0)-1,0)
*INDEX(Learning!$E$6:$S$41,(MATCH(L$21,Dates,0)),(MATCH($C$151,Learning!$E$4:$S$4,0)+MATCH($C$152,Learning!$E$5:$S$5,0)-1))</f>
        <v>2.7490918122191408</v>
      </c>
      <c r="M160" s="531" cm="1">
        <f t="array" aca="1" ref="M160" ca="1">OFFSET(M160,-6,0)*
OFFSET(MSP!$G$1,
MATCH(OFFSET($C152,((MATCH($C152,EL_List,0)-1)*-10)-1,0),MSP!$C:$C,0)+MATCH($C152,EL_List,0)-1,0)
*INDEX(Learning!$E$6:$S$41,(MATCH(M$21,Dates,0)),(MATCH($C$151,Learning!$E$4:$S$4,0)+MATCH($C$152,Learning!$E$5:$S$5,0)-1))</f>
        <v>2.8761814233626493</v>
      </c>
      <c r="N160" s="531" cm="1">
        <f t="array" aca="1" ref="N160" ca="1">OFFSET(N160,-6,0)*
OFFSET(MSP!$G$1,
MATCH(OFFSET($C152,((MATCH($C152,EL_List,0)-1)*-10)-1,0),MSP!$C:$C,0)+MATCH($C152,EL_List,0)-1,0)
*INDEX(Learning!$E$6:$S$41,(MATCH(N$21,Dates,0)),(MATCH($C$151,Learning!$E$4:$S$4,0)+MATCH($C$152,Learning!$E$5:$S$5,0)-1))</f>
        <v>3.0098070436063522</v>
      </c>
      <c r="O160" s="531" cm="1">
        <f t="array" aca="1" ref="O160" ca="1">OFFSET(O160,-6,0)*
OFFSET(MSP!$G$1,
MATCH(OFFSET($C152,((MATCH($C152,EL_List,0)-1)*-10)-1,0),MSP!$C:$C,0)+MATCH($C152,EL_List,0)-1,0)
*INDEX(Learning!$E$6:$S$41,(MATCH(O$21,Dates,0)),(MATCH($C$151,Learning!$E$4:$S$4,0)+MATCH($C$152,Learning!$E$5:$S$5,0)-1))</f>
        <v>3.1438417439188941</v>
      </c>
      <c r="P160" s="531" cm="1">
        <f t="array" aca="1" ref="P160" ca="1">OFFSET(P160,-6,0)*
OFFSET(MSP!$G$1,
MATCH(OFFSET($C152,((MATCH($C152,EL_List,0)-1)*-10)-1,0),MSP!$C:$C,0)+MATCH($C152,EL_List,0)-1,0)
*INDEX(Learning!$E$6:$S$41,(MATCH(P$21,Dates,0)),(MATCH($C$151,Learning!$E$4:$S$4,0)+MATCH($C$152,Learning!$E$5:$S$5,0)-1))</f>
        <v>3.2851306317984408</v>
      </c>
      <c r="Q160" s="531" cm="1">
        <f t="array" aca="1" ref="Q160" ca="1">OFFSET(Q160,-6,0)*
OFFSET(MSP!$G$1,
MATCH(OFFSET($C152,((MATCH($C152,EL_List,0)-1)*-10)-1,0),MSP!$C:$C,0)+MATCH($C152,EL_List,0)-1,0)
*INDEX(Learning!$E$6:$S$41,(MATCH(Q$21,Dates,0)),(MATCH($C$151,Learning!$E$4:$S$4,0)+MATCH($C$152,Learning!$E$5:$S$5,0)-1))</f>
        <v>3.4315101744017857</v>
      </c>
      <c r="R160" s="531" cm="1">
        <f t="array" aca="1" ref="R160" ca="1">OFFSET(R160,-6,0)*
OFFSET(MSP!$G$1,
MATCH(OFFSET($C152,((MATCH($C152,EL_List,0)-1)*-10)-1,0),MSP!$C:$C,0)+MATCH($C152,EL_List,0)-1,0)
*INDEX(Learning!$E$6:$S$41,(MATCH(R$21,Dates,0)),(MATCH($C$151,Learning!$E$4:$S$4,0)+MATCH($C$152,Learning!$E$5:$S$5,0)-1))</f>
        <v>3.5840225686162337</v>
      </c>
      <c r="S160" s="531" cm="1">
        <f t="array" aca="1" ref="S160" ca="1">OFFSET(S160,-6,0)*
OFFSET(MSP!$G$1,
MATCH(OFFSET($C152,((MATCH($C152,EL_List,0)-1)*-10)-1,0),MSP!$C:$C,0)+MATCH($C152,EL_List,0)-1,0)
*INDEX(Learning!$E$6:$S$41,(MATCH(S$21,Dates,0)),(MATCH($C$151,Learning!$E$4:$S$4,0)+MATCH($C$152,Learning!$E$5:$S$5,0)-1))</f>
        <v>3.7435042071840581</v>
      </c>
      <c r="T160" s="531" cm="1">
        <f t="array" aca="1" ref="T160" ca="1">OFFSET(T160,-6,0)*
OFFSET(MSP!$G$1,
MATCH(OFFSET($C152,((MATCH($C152,EL_List,0)-1)*-10)-1,0),MSP!$C:$C,0)+MATCH($C152,EL_List,0)-1,0)
*INDEX(Learning!$E$6:$S$41,(MATCH(T$21,Dates,0)),(MATCH($C$151,Learning!$E$4:$S$4,0)+MATCH($C$152,Learning!$E$5:$S$5,0)-1))</f>
        <v>3.9104212973284849</v>
      </c>
      <c r="U160" s="531" cm="1">
        <f t="array" aca="1" ref="U160" ca="1">OFFSET(U160,-6,0)*
OFFSET(MSP!$G$1,
MATCH(OFFSET($C152,((MATCH($C152,EL_List,0)-1)*-10)-1,0),MSP!$C:$C,0)+MATCH($C152,EL_List,0)-1,0)
*INDEX(Learning!$E$6:$S$41,(MATCH(U$21,Dates,0)),(MATCH($C$151,Learning!$E$4:$S$4,0)+MATCH($C$152,Learning!$E$5:$S$5,0)-1))</f>
        <v>4.0852942206680298</v>
      </c>
      <c r="V160" s="531" cm="1">
        <f t="array" aca="1" ref="V160" ca="1">OFFSET(V160,-6,0)*
OFFSET(MSP!$G$1,
MATCH(OFFSET($C152,((MATCH($C152,EL_List,0)-1)*-10)-1,0),MSP!$C:$C,0)+MATCH($C152,EL_List,0)-1,0)
*INDEX(Learning!$E$6:$S$41,(MATCH(V$21,Dates,0)),(MATCH($C$151,Learning!$E$4:$S$4,0)+MATCH($C$152,Learning!$E$5:$S$5,0)-1))</f>
        <v>4.2721067414043796</v>
      </c>
      <c r="W160" s="531" cm="1">
        <f t="array" aca="1" ref="W160" ca="1">OFFSET(W160,-6,0)*
OFFSET(MSP!$G$1,
MATCH(OFFSET($C152,((MATCH($C152,EL_List,0)-1)*-10)-1,0),MSP!$C:$C,0)+MATCH($C152,EL_List,0)-1,0)
*INDEX(Learning!$E$6:$S$41,(MATCH(W$21,Dates,0)),(MATCH($C$151,Learning!$E$4:$S$4,0)+MATCH($C$152,Learning!$E$5:$S$5,0)-1))</f>
        <v>4.4624906531914705</v>
      </c>
      <c r="X160" s="531" cm="1">
        <f t="array" aca="1" ref="X160" ca="1">OFFSET(X160,-6,0)*
OFFSET(MSP!$G$1,
MATCH(OFFSET($C152,((MATCH($C152,EL_List,0)-1)*-10)-1,0),MSP!$C:$C,0)+MATCH($C152,EL_List,0)-1,0)
*INDEX(Learning!$E$6:$S$41,(MATCH(X$21,Dates,0)),(MATCH($C$151,Learning!$E$4:$S$4,0)+MATCH($C$152,Learning!$E$5:$S$5,0)-1))</f>
        <v>4.6658505826799637</v>
      </c>
      <c r="Y160" s="531" cm="1">
        <f t="array" aca="1" ref="Y160" ca="1">OFFSET(Y160,-6,0)*
OFFSET(MSP!$G$1,
MATCH(OFFSET($C152,((MATCH($C152,EL_List,0)-1)*-10)-1,0),MSP!$C:$C,0)+MATCH($C152,EL_List,0)-1,0)
*INDEX(Learning!$E$6:$S$41,(MATCH(Y$21,Dates,0)),(MATCH($C$151,Learning!$E$4:$S$4,0)+MATCH($C$152,Learning!$E$5:$S$5,0)-1))</f>
        <v>4.8726564680945792</v>
      </c>
      <c r="Z160" s="531" cm="1">
        <f t="array" aca="1" ref="Z160" ca="1">OFFSET(Z160,-6,0)*
OFFSET(MSP!$G$1,
MATCH(OFFSET($C152,((MATCH($C152,EL_List,0)-1)*-10)-1,0),MSP!$C:$C,0)+MATCH($C152,EL_List,0)-1,0)
*INDEX(Learning!$E$6:$S$41,(MATCH(Z$21,Dates,0)),(MATCH($C$151,Learning!$E$4:$S$4,0)+MATCH($C$152,Learning!$E$5:$S$5,0)-1))</f>
        <v>5.0935037830311494</v>
      </c>
      <c r="AA160" s="531" cm="1">
        <f t="array" aca="1" ref="AA160" ca="1">OFFSET(AA160,-6,0)*
OFFSET(MSP!$G$1,
MATCH(OFFSET($C152,((MATCH($C152,EL_List,0)-1)*-10)-1,0),MSP!$C:$C,0)+MATCH($C152,EL_List,0)-1,0)
*INDEX(Learning!$E$6:$S$41,(MATCH(AA$21,Dates,0)),(MATCH($C$151,Learning!$E$4:$S$4,0)+MATCH($C$152,Learning!$E$5:$S$5,0)-1))</f>
        <v>5.323831402295732</v>
      </c>
      <c r="AB160" s="531" cm="1">
        <f t="array" aca="1" ref="AB160" ca="1">OFFSET(AB160,-6,0)*
OFFSET(MSP!$G$1,
MATCH(OFFSET($C152,((MATCH($C152,EL_List,0)-1)*-10)-1,0),MSP!$C:$C,0)+MATCH($C152,EL_List,0)-1,0)
*INDEX(Learning!$E$6:$S$41,(MATCH(AB$21,Dates,0)),(MATCH($C$151,Learning!$E$4:$S$4,0)+MATCH($C$152,Learning!$E$5:$S$5,0)-1))</f>
        <v>5.5641478920318894</v>
      </c>
      <c r="AC160" s="531" cm="1">
        <f t="array" aca="1" ref="AC160" ca="1">OFFSET(AC160,-6,0)*
OFFSET(MSP!$G$1,
MATCH(OFFSET($C152,((MATCH($C152,EL_List,0)-1)*-10)-1,0),MSP!$C:$C,0)+MATCH($C152,EL_List,0)-1,0)
*INDEX(Learning!$E$6:$S$41,(MATCH(AC$21,Dates,0)),(MATCH($C$151,Learning!$E$4:$S$4,0)+MATCH($C$152,Learning!$E$5:$S$5,0)-1))</f>
        <v>5.8149569551076032</v>
      </c>
      <c r="AD160" s="531" cm="1">
        <f t="array" aca="1" ref="AD160" ca="1">OFFSET(AD160,-6,0)*
OFFSET(MSP!$G$1,
MATCH(OFFSET($C152,((MATCH($C152,EL_List,0)-1)*-10)-1,0),MSP!$C:$C,0)+MATCH($C152,EL_List,0)-1,0)
*INDEX(Learning!$E$6:$S$41,(MATCH(AD$21,Dates,0)),(MATCH($C$151,Learning!$E$4:$S$4,0)+MATCH($C$152,Learning!$E$5:$S$5,0)-1))</f>
        <v>6.0767543627007417</v>
      </c>
      <c r="AE160" s="531" cm="1">
        <f t="array" aca="1" ref="AE160" ca="1">OFFSET(AE160,-6,0)*
OFFSET(MSP!$G$1,
MATCH(OFFSET($C152,((MATCH($C152,EL_List,0)-1)*-10)-1,0),MSP!$C:$C,0)+MATCH($C152,EL_List,0)-1,0)
*INDEX(Learning!$E$6:$S$41,(MATCH(AE$21,Dates,0)),(MATCH($C$151,Learning!$E$4:$S$4,0)+MATCH($C$152,Learning!$E$5:$S$5,0)-1))</f>
        <v>6.3500243440336188</v>
      </c>
      <c r="AF160" s="531" cm="1">
        <f t="array" aca="1" ref="AF160" ca="1">OFFSET(AF160,-6,0)*
OFFSET(MSP!$G$1,
MATCH(OFFSET($C152,((MATCH($C152,EL_List,0)-1)*-10)-1,0),MSP!$C:$C,0)+MATCH($C152,EL_List,0)-1,0)
*INDEX(Learning!$E$6:$S$41,(MATCH(AF$21,Dates,0)),(MATCH($C$151,Learning!$E$4:$S$4,0)+MATCH($C$152,Learning!$E$5:$S$5,0)-1))</f>
        <v>6.6352459525441043</v>
      </c>
      <c r="AG160" s="531" cm="1">
        <f t="array" aca="1" ref="AG160" ca="1">OFFSET(AG160,-6,0)*
OFFSET(MSP!$G$1,
MATCH(OFFSET($C152,((MATCH($C152,EL_List,0)-1)*-10)-1,0),MSP!$C:$C,0)+MATCH($C152,EL_List,0)-1,0)
*INDEX(Learning!$E$6:$S$41,(MATCH(AG$21,Dates,0)),(MATCH($C$151,Learning!$E$4:$S$4,0)+MATCH($C$152,Learning!$E$5:$S$5,0)-1))</f>
        <v>6.932906973744144</v>
      </c>
      <c r="AH160" s="531" cm="1">
        <f t="array" aca="1" ref="AH160" ca="1">OFFSET(AH160,-6,0)*
OFFSET(MSP!$G$1,
MATCH(OFFSET($C152,((MATCH($C152,EL_List,0)-1)*-10)-1,0),MSP!$C:$C,0)+MATCH($C152,EL_List,0)-1,0)
*INDEX(Learning!$E$6:$S$41,(MATCH(AH$21,Dates,0)),(MATCH($C$151,Learning!$E$4:$S$4,0)+MATCH($C$152,Learning!$E$5:$S$5,0)-1))</f>
        <v>7.2435160859657985</v>
      </c>
      <c r="AI160" s="531" cm="1">
        <f t="array" aca="1" ref="AI160" ca="1">OFFSET(AI160,-6,0)*
OFFSET(MSP!$G$1,
MATCH(OFFSET($C152,((MATCH($C152,EL_List,0)-1)*-10)-1,0),MSP!$C:$C,0)+MATCH($C152,EL_List,0)-1,0)
*INDEX(Learning!$E$6:$S$41,(MATCH(AI$21,Dates,0)),(MATCH($C$151,Learning!$E$4:$S$4,0)+MATCH($C$152,Learning!$E$5:$S$5,0)-1))</f>
        <v>7.576124106231152</v>
      </c>
      <c r="AJ160" s="531" cm="1">
        <f t="array" aca="1" ref="AJ160" ca="1">OFFSET(AJ160,-6,0)*
OFFSET(MSP!$G$1,
MATCH(OFFSET($C152,((MATCH($C152,EL_List,0)-1)*-10)-1,0),MSP!$C:$C,0)+MATCH($C152,EL_List,0)-1,0)
*INDEX(Learning!$E$6:$S$41,(MATCH(AJ$21,Dates,0)),(MATCH($C$151,Learning!$E$4:$S$4,0)+MATCH($C$152,Learning!$E$5:$S$5,0)-1))</f>
        <v>7.9146987679939267</v>
      </c>
      <c r="AK160" s="531" cm="1">
        <f t="array" aca="1" ref="AK160" ca="1">OFFSET(AK160,-6,0)*
OFFSET(MSP!$G$1,
MATCH(OFFSET($C152,((MATCH($C152,EL_List,0)-1)*-10)-1,0),MSP!$C:$C,0)+MATCH($C152,EL_List,0)-1,0)
*INDEX(Learning!$E$6:$S$41,(MATCH(AK$21,Dates,0)),(MATCH($C$151,Learning!$E$4:$S$4,0)+MATCH($C$152,Learning!$E$5:$S$5,0)-1))</f>
        <v>8.2679578533658038</v>
      </c>
      <c r="AL160" s="531" cm="1">
        <f t="array" aca="1" ref="AL160" ca="1">OFFSET(AL160,-6,0)*
OFFSET(MSP!$G$1,
MATCH(OFFSET($C152,((MATCH($C152,EL_List,0)-1)*-10)-1,0),MSP!$C:$C,0)+MATCH($C152,EL_List,0)-1,0)
*INDEX(Learning!$E$6:$S$41,(MATCH(AL$21,Dates,0)),(MATCH($C$151,Learning!$E$4:$S$4,0)+MATCH($C$152,Learning!$E$5:$S$5,0)-1))</f>
        <v>8.6365383668348201</v>
      </c>
      <c r="AM160" s="531" cm="1">
        <f t="array" aca="1" ref="AM160" ca="1">OFFSET(AM160,-6,0)*
OFFSET(MSP!$G$1,
MATCH(OFFSET($C152,((MATCH($C152,EL_List,0)-1)*-10)-1,0),MSP!$C:$C,0)+MATCH($C152,EL_List,0)-1,0)
*INDEX(Learning!$E$6:$S$41,(MATCH(AM$21,Dates,0)),(MATCH($C$151,Learning!$E$4:$S$4,0)+MATCH($C$152,Learning!$E$5:$S$5,0)-1))</f>
        <v>9.0314275431886948</v>
      </c>
      <c r="AN160" s="531" cm="1">
        <f t="array" aca="1" ref="AN160" ca="1">OFFSET(AN160,-6,0)*
OFFSET(MSP!$G$1,
MATCH(OFFSET($C152,((MATCH($C152,EL_List,0)-1)*-10)-1,0),MSP!$C:$C,0)+MATCH($C152,EL_List,0)-1,0)
*INDEX(Learning!$E$6:$S$41,(MATCH(AN$21,Dates,0)),(MATCH($C$151,Learning!$E$4:$S$4,0)+MATCH($C$152,Learning!$E$5:$S$5,0)-1))</f>
        <v>9.436975372322447</v>
      </c>
      <c r="AO160" s="436"/>
      <c r="AP160" s="21"/>
    </row>
    <row r="161" spans="2:42" ht="15" customHeight="1" x14ac:dyDescent="0.35">
      <c r="B161" s="429"/>
      <c r="C161" s="776"/>
      <c r="D161" s="776"/>
      <c r="E161" s="776"/>
      <c r="F161" s="776"/>
      <c r="G161" s="776"/>
      <c r="H161" s="776"/>
      <c r="I161" s="776"/>
      <c r="J161" s="776"/>
      <c r="K161" s="776"/>
      <c r="L161" s="776"/>
      <c r="M161" s="776"/>
      <c r="N161" s="776"/>
      <c r="O161" s="776"/>
      <c r="P161" s="776"/>
      <c r="Q161" s="776"/>
      <c r="R161" s="776"/>
      <c r="S161" s="776"/>
      <c r="T161" s="776"/>
      <c r="U161" s="776"/>
      <c r="V161" s="776"/>
      <c r="W161" s="776"/>
      <c r="X161" s="776"/>
      <c r="Y161" s="776"/>
      <c r="Z161" s="776"/>
      <c r="AA161" s="776"/>
      <c r="AB161" s="776"/>
      <c r="AC161" s="776"/>
      <c r="AD161" s="776"/>
      <c r="AE161" s="776"/>
      <c r="AF161" s="776"/>
      <c r="AG161" s="776"/>
      <c r="AH161" s="776"/>
      <c r="AI161" s="776"/>
      <c r="AJ161" s="776"/>
      <c r="AK161" s="776"/>
      <c r="AL161" s="776"/>
      <c r="AM161" s="776"/>
      <c r="AN161" s="776"/>
      <c r="AO161" s="436"/>
      <c r="AP161" s="21"/>
    </row>
    <row r="162" spans="2:42" ht="15" customHeight="1" x14ac:dyDescent="0.35">
      <c r="B162" s="429"/>
      <c r="C162" s="772" t="s">
        <v>86</v>
      </c>
      <c r="D162" s="776"/>
      <c r="E162" s="776"/>
      <c r="F162" s="776"/>
      <c r="G162" s="776"/>
      <c r="H162" s="776"/>
      <c r="I162" s="776"/>
      <c r="J162" s="776"/>
      <c r="K162" s="776"/>
      <c r="L162" s="776"/>
      <c r="M162" s="776"/>
      <c r="N162" s="776"/>
      <c r="O162" s="776"/>
      <c r="P162" s="776"/>
      <c r="Q162" s="776"/>
      <c r="R162" s="776"/>
      <c r="S162" s="776"/>
      <c r="T162" s="776"/>
      <c r="U162" s="776"/>
      <c r="V162" s="776"/>
      <c r="W162" s="776"/>
      <c r="X162" s="776"/>
      <c r="Y162" s="776"/>
      <c r="Z162" s="776"/>
      <c r="AA162" s="776"/>
      <c r="AB162" s="776"/>
      <c r="AC162" s="776"/>
      <c r="AD162" s="776"/>
      <c r="AE162" s="776"/>
      <c r="AF162" s="776"/>
      <c r="AG162" s="776"/>
      <c r="AH162" s="776"/>
      <c r="AI162" s="776"/>
      <c r="AJ162" s="776"/>
      <c r="AK162" s="776"/>
      <c r="AL162" s="776"/>
      <c r="AM162" s="776"/>
      <c r="AN162" s="776"/>
      <c r="AO162" s="436"/>
      <c r="AP162" s="21"/>
    </row>
    <row r="163" spans="2:42" ht="15" customHeight="1" x14ac:dyDescent="0.35">
      <c r="B163" s="429"/>
      <c r="C163" s="777" t="s">
        <v>10</v>
      </c>
      <c r="D163" s="776"/>
      <c r="E163" s="778" cm="1">
        <f t="array" aca="1" ref="E163" ca="1">OFFSET(MSP!$C$1,
MATCH(OFFSET($C162,((MATCH($C162,EL_List,0)-1)*-10)-1,0),MSP!$C:$C,0)+MATCH($C162,EL_List,0)-1,
MATCH(OFFSET($C162,((MATCH($C162,EL_List,0)-1)*-10)-3,0),MSP!$D$5:$N$5,0)+1)
*INDEX(Learning!$E$6:$S$41,(MATCH(E$21,Dates,0)),(MATCH($C$151,Learning!$E$4:$S$4,0)+MATCH($C$162,Learning!$E$5:$S$5,0)-1))</f>
        <v>108.27109400000001</v>
      </c>
      <c r="F163" s="778" cm="1">
        <f t="array" aca="1" ref="F163" ca="1">OFFSET(MSP!$C$1,
MATCH(OFFSET($C162,((MATCH($C162,EL_List,0)-1)*-10)-1,0),MSP!$C:$C,0)+MATCH($C162,EL_List,0)-1,
MATCH(OFFSET($C162,((MATCH($C162,EL_List,0)-1)*-10)-3,0),MSP!$D$5:$N$5,0)+1)
*INDEX(Learning!$E$6:$S$41,(MATCH(F$21,Dates,0)),(MATCH($C$151,Learning!$E$4:$S$4,0)+MATCH($C$162,Learning!$E$5:$S$5,0)-1))</f>
        <v>107.43983799999999</v>
      </c>
      <c r="G163" s="778" cm="1">
        <f t="array" aca="1" ref="G163" ca="1">OFFSET(MSP!$C$1,
MATCH(OFFSET($C162,((MATCH($C162,EL_List,0)-1)*-10)-1,0),MSP!$C:$C,0)+MATCH($C162,EL_List,0)-1,
MATCH(OFFSET($C162,((MATCH($C162,EL_List,0)-1)*-10)-3,0),MSP!$D$5:$N$5,0)+1)
*INDEX(Learning!$E$6:$S$41,(MATCH(G$21,Dates,0)),(MATCH($C$151,Learning!$E$4:$S$4,0)+MATCH($C$162,Learning!$E$5:$S$5,0)-1))</f>
        <v>106.608582</v>
      </c>
      <c r="H163" s="778" cm="1">
        <f t="array" aca="1" ref="H163" ca="1">OFFSET(MSP!$C$1,
MATCH(OFFSET($C162,((MATCH($C162,EL_List,0)-1)*-10)-1,0),MSP!$C:$C,0)+MATCH($C162,EL_List,0)-1,
MATCH(OFFSET($C162,((MATCH($C162,EL_List,0)-1)*-10)-3,0),MSP!$D$5:$N$5,0)+1)
*INDEX(Learning!$E$6:$S$41,(MATCH(H$21,Dates,0)),(MATCH($C$151,Learning!$E$4:$S$4,0)+MATCH($C$162,Learning!$E$5:$S$5,0)-1))</f>
        <v>105.88123299999998</v>
      </c>
      <c r="I163" s="778" cm="1">
        <f t="array" aca="1" ref="I163" ca="1">OFFSET(MSP!$C$1,
MATCH(OFFSET($C162,((MATCH($C162,EL_List,0)-1)*-10)-1,0),MSP!$C:$C,0)+MATCH($C162,EL_List,0)-1,
MATCH(OFFSET($C162,((MATCH($C162,EL_List,0)-1)*-10)-3,0),MSP!$D$5:$N$5,0)+1)
*INDEX(Learning!$E$6:$S$41,(MATCH(I$21,Dates,0)),(MATCH($C$151,Learning!$E$4:$S$4,0)+MATCH($C$162,Learning!$E$5:$S$5,0)-1))</f>
        <v>105.25779099999998</v>
      </c>
      <c r="J163" s="778" cm="1">
        <f t="array" aca="1" ref="J163" ca="1">OFFSET(MSP!$C$1,
MATCH(OFFSET($C162,((MATCH($C162,EL_List,0)-1)*-10)-1,0),MSP!$C:$C,0)+MATCH($C162,EL_List,0)-1,
MATCH(OFFSET($C162,((MATCH($C162,EL_List,0)-1)*-10)-3,0),MSP!$D$5:$N$5,0)+1)
*INDEX(Learning!$E$6:$S$41,(MATCH(J$21,Dates,0)),(MATCH($C$151,Learning!$E$4:$S$4,0)+MATCH($C$162,Learning!$E$5:$S$5,0)-1))</f>
        <v>104.53044199999999</v>
      </c>
      <c r="K163" s="778" cm="1">
        <f t="array" aca="1" ref="K163" ca="1">OFFSET(MSP!$C$1,
MATCH(OFFSET($C162,((MATCH($C162,EL_List,0)-1)*-10)-1,0),MSP!$C:$C,0)+MATCH($C162,EL_List,0)-1,
MATCH(OFFSET($C162,((MATCH($C162,EL_List,0)-1)*-10)-3,0),MSP!$D$5:$N$5,0)+1)
*INDEX(Learning!$E$6:$S$41,(MATCH(K$21,Dates,0)),(MATCH($C$151,Learning!$E$4:$S$4,0)+MATCH($C$162,Learning!$E$5:$S$5,0)-1))</f>
        <v>103.907</v>
      </c>
      <c r="L163" s="778" cm="1">
        <f t="array" aca="1" ref="L163" ca="1">OFFSET(MSP!$C$1,
MATCH(OFFSET($C162,((MATCH($C162,EL_List,0)-1)*-10)-1,0),MSP!$C:$C,0)+MATCH($C162,EL_List,0)-1,
MATCH(OFFSET($C162,((MATCH($C162,EL_List,0)-1)*-10)-3,0),MSP!$D$5:$N$5,0)+1)
*INDEX(Learning!$E$6:$S$41,(MATCH(L$21,Dates,0)),(MATCH($C$151,Learning!$E$4:$S$4,0)+MATCH($C$162,Learning!$E$5:$S$5,0)-1))</f>
        <v>103.283558</v>
      </c>
      <c r="M163" s="778" cm="1">
        <f t="array" aca="1" ref="M163" ca="1">OFFSET(MSP!$C$1,
MATCH(OFFSET($C162,((MATCH($C162,EL_List,0)-1)*-10)-1,0),MSP!$C:$C,0)+MATCH($C162,EL_List,0)-1,
MATCH(OFFSET($C162,((MATCH($C162,EL_List,0)-1)*-10)-3,0),MSP!$D$5:$N$5,0)+1)
*INDEX(Learning!$E$6:$S$41,(MATCH(M$21,Dates,0)),(MATCH($C$151,Learning!$E$4:$S$4,0)+MATCH($C$162,Learning!$E$5:$S$5,0)-1))</f>
        <v>102.660116</v>
      </c>
      <c r="N163" s="778" cm="1">
        <f t="array" aca="1" ref="N163" ca="1">OFFSET(MSP!$C$1,
MATCH(OFFSET($C162,((MATCH($C162,EL_List,0)-1)*-10)-1,0),MSP!$C:$C,0)+MATCH($C162,EL_List,0)-1,
MATCH(OFFSET($C162,((MATCH($C162,EL_List,0)-1)*-10)-3,0),MSP!$D$5:$N$5,0)+1)
*INDEX(Learning!$E$6:$S$41,(MATCH(N$21,Dates,0)),(MATCH($C$151,Learning!$E$4:$S$4,0)+MATCH($C$162,Learning!$E$5:$S$5,0)-1))</f>
        <v>102.140581</v>
      </c>
      <c r="O163" s="778" cm="1">
        <f t="array" aca="1" ref="O163" ca="1">OFFSET(MSP!$C$1,
MATCH(OFFSET($C162,((MATCH($C162,EL_List,0)-1)*-10)-1,0),MSP!$C:$C,0)+MATCH($C162,EL_List,0)-1,
MATCH(OFFSET($C162,((MATCH($C162,EL_List,0)-1)*-10)-3,0),MSP!$D$5:$N$5,0)+1)
*INDEX(Learning!$E$6:$S$41,(MATCH(O$21,Dates,0)),(MATCH($C$151,Learning!$E$4:$S$4,0)+MATCH($C$162,Learning!$E$5:$S$5,0)-1))</f>
        <v>101.517139</v>
      </c>
      <c r="P163" s="778" cm="1">
        <f t="array" aca="1" ref="P163" ca="1">OFFSET(MSP!$C$1,
MATCH(OFFSET($C162,((MATCH($C162,EL_List,0)-1)*-10)-1,0),MSP!$C:$C,0)+MATCH($C162,EL_List,0)-1,
MATCH(OFFSET($C162,((MATCH($C162,EL_List,0)-1)*-10)-3,0),MSP!$D$5:$N$5,0)+1)
*INDEX(Learning!$E$6:$S$41,(MATCH(P$21,Dates,0)),(MATCH($C$151,Learning!$E$4:$S$4,0)+MATCH($C$162,Learning!$E$5:$S$5,0)-1))</f>
        <v>100.997604</v>
      </c>
      <c r="Q163" s="778" cm="1">
        <f t="array" aca="1" ref="Q163" ca="1">OFFSET(MSP!$C$1,
MATCH(OFFSET($C162,((MATCH($C162,EL_List,0)-1)*-10)-1,0),MSP!$C:$C,0)+MATCH($C162,EL_List,0)-1,
MATCH(OFFSET($C162,((MATCH($C162,EL_List,0)-1)*-10)-3,0),MSP!$D$5:$N$5,0)+1)
*INDEX(Learning!$E$6:$S$41,(MATCH(Q$21,Dates,0)),(MATCH($C$151,Learning!$E$4:$S$4,0)+MATCH($C$162,Learning!$E$5:$S$5,0)-1))</f>
        <v>100.47806899999999</v>
      </c>
      <c r="R163" s="778" cm="1">
        <f t="array" aca="1" ref="R163" ca="1">OFFSET(MSP!$C$1,
MATCH(OFFSET($C162,((MATCH($C162,EL_List,0)-1)*-10)-1,0),MSP!$C:$C,0)+MATCH($C162,EL_List,0)-1,
MATCH(OFFSET($C162,((MATCH($C162,EL_List,0)-1)*-10)-3,0),MSP!$D$5:$N$5,0)+1)
*INDEX(Learning!$E$6:$S$41,(MATCH(R$21,Dates,0)),(MATCH($C$151,Learning!$E$4:$S$4,0)+MATCH($C$162,Learning!$E$5:$S$5,0)-1))</f>
        <v>99.854626999999994</v>
      </c>
      <c r="S163" s="778" cm="1">
        <f t="array" aca="1" ref="S163" ca="1">OFFSET(MSP!$C$1,
MATCH(OFFSET($C162,((MATCH($C162,EL_List,0)-1)*-10)-1,0),MSP!$C:$C,0)+MATCH($C162,EL_List,0)-1,
MATCH(OFFSET($C162,((MATCH($C162,EL_List,0)-1)*-10)-3,0),MSP!$D$5:$N$5,0)+1)
*INDEX(Learning!$E$6:$S$41,(MATCH(S$21,Dates,0)),(MATCH($C$151,Learning!$E$4:$S$4,0)+MATCH($C$162,Learning!$E$5:$S$5,0)-1))</f>
        <v>99.438998999999995</v>
      </c>
      <c r="T163" s="778" cm="1">
        <f t="array" aca="1" ref="T163" ca="1">OFFSET(MSP!$C$1,
MATCH(OFFSET($C162,((MATCH($C162,EL_List,0)-1)*-10)-1,0),MSP!$C:$C,0)+MATCH($C162,EL_List,0)-1,
MATCH(OFFSET($C162,((MATCH($C162,EL_List,0)-1)*-10)-3,0),MSP!$D$5:$N$5,0)+1)
*INDEX(Learning!$E$6:$S$41,(MATCH(T$21,Dates,0)),(MATCH($C$151,Learning!$E$4:$S$4,0)+MATCH($C$162,Learning!$E$5:$S$5,0)-1))</f>
        <v>98.919463999999991</v>
      </c>
      <c r="U163" s="778" cm="1">
        <f t="array" aca="1" ref="U163" ca="1">OFFSET(MSP!$C$1,
MATCH(OFFSET($C162,((MATCH($C162,EL_List,0)-1)*-10)-1,0),MSP!$C:$C,0)+MATCH($C162,EL_List,0)-1,
MATCH(OFFSET($C162,((MATCH($C162,EL_List,0)-1)*-10)-3,0),MSP!$D$5:$N$5,0)+1)
*INDEX(Learning!$E$6:$S$41,(MATCH(U$21,Dates,0)),(MATCH($C$151,Learning!$E$4:$S$4,0)+MATCH($C$162,Learning!$E$5:$S$5,0)-1))</f>
        <v>98.399928999999986</v>
      </c>
      <c r="V163" s="778" cm="1">
        <f t="array" aca="1" ref="V163" ca="1">OFFSET(MSP!$C$1,
MATCH(OFFSET($C162,((MATCH($C162,EL_List,0)-1)*-10)-1,0),MSP!$C:$C,0)+MATCH($C162,EL_List,0)-1,
MATCH(OFFSET($C162,((MATCH($C162,EL_List,0)-1)*-10)-3,0),MSP!$D$5:$N$5,0)+1)
*INDEX(Learning!$E$6:$S$41,(MATCH(V$21,Dates,0)),(MATCH($C$151,Learning!$E$4:$S$4,0)+MATCH($C$162,Learning!$E$5:$S$5,0)-1))</f>
        <v>97.880393999999995</v>
      </c>
      <c r="W163" s="778" cm="1">
        <f t="array" aca="1" ref="W163" ca="1">OFFSET(MSP!$C$1,
MATCH(OFFSET($C162,((MATCH($C162,EL_List,0)-1)*-10)-1,0),MSP!$C:$C,0)+MATCH($C162,EL_List,0)-1,
MATCH(OFFSET($C162,((MATCH($C162,EL_List,0)-1)*-10)-3,0),MSP!$D$5:$N$5,0)+1)
*INDEX(Learning!$E$6:$S$41,(MATCH(W$21,Dates,0)),(MATCH($C$151,Learning!$E$4:$S$4,0)+MATCH($C$162,Learning!$E$5:$S$5,0)-1))</f>
        <v>97.464765999999997</v>
      </c>
      <c r="X163" s="778" cm="1">
        <f t="array" aca="1" ref="X163" ca="1">OFFSET(MSP!$C$1,
MATCH(OFFSET($C162,((MATCH($C162,EL_List,0)-1)*-10)-1,0),MSP!$C:$C,0)+MATCH($C162,EL_List,0)-1,
MATCH(OFFSET($C162,((MATCH($C162,EL_List,0)-1)*-10)-3,0),MSP!$D$5:$N$5,0)+1)
*INDEX(Learning!$E$6:$S$41,(MATCH(X$21,Dates,0)),(MATCH($C$151,Learning!$E$4:$S$4,0)+MATCH($C$162,Learning!$E$5:$S$5,0)-1))</f>
        <v>96.945231000000007</v>
      </c>
      <c r="Y163" s="778" cm="1">
        <f t="array" aca="1" ref="Y163" ca="1">OFFSET(MSP!$C$1,
MATCH(OFFSET($C162,((MATCH($C162,EL_List,0)-1)*-10)-1,0),MSP!$C:$C,0)+MATCH($C162,EL_List,0)-1,
MATCH(OFFSET($C162,((MATCH($C162,EL_List,0)-1)*-10)-3,0),MSP!$D$5:$N$5,0)+1)
*INDEX(Learning!$E$6:$S$41,(MATCH(Y$21,Dates,0)),(MATCH($C$151,Learning!$E$4:$S$4,0)+MATCH($C$162,Learning!$E$5:$S$5,0)-1))</f>
        <v>96.529603000000009</v>
      </c>
      <c r="Z163" s="778" cm="1">
        <f t="array" aca="1" ref="Z163" ca="1">OFFSET(MSP!$C$1,
MATCH(OFFSET($C162,((MATCH($C162,EL_List,0)-1)*-10)-1,0),MSP!$C:$C,0)+MATCH($C162,EL_List,0)-1,
MATCH(OFFSET($C162,((MATCH($C162,EL_List,0)-1)*-10)-3,0),MSP!$D$5:$N$5,0)+1)
*INDEX(Learning!$E$6:$S$41,(MATCH(Z$21,Dates,0)),(MATCH($C$151,Learning!$E$4:$S$4,0)+MATCH($C$162,Learning!$E$5:$S$5,0)-1))</f>
        <v>96.113974999999996</v>
      </c>
      <c r="AA163" s="778" cm="1">
        <f t="array" aca="1" ref="AA163" ca="1">OFFSET(MSP!$C$1,
MATCH(OFFSET($C162,((MATCH($C162,EL_List,0)-1)*-10)-1,0),MSP!$C:$C,0)+MATCH($C162,EL_List,0)-1,
MATCH(OFFSET($C162,((MATCH($C162,EL_List,0)-1)*-10)-3,0),MSP!$D$5:$N$5,0)+1)
*INDEX(Learning!$E$6:$S$41,(MATCH(AA$21,Dates,0)),(MATCH($C$151,Learning!$E$4:$S$4,0)+MATCH($C$162,Learning!$E$5:$S$5,0)-1))</f>
        <v>95.594440000000006</v>
      </c>
      <c r="AB163" s="778" cm="1">
        <f t="array" aca="1" ref="AB163" ca="1">OFFSET(MSP!$C$1,
MATCH(OFFSET($C162,((MATCH($C162,EL_List,0)-1)*-10)-1,0),MSP!$C:$C,0)+MATCH($C162,EL_List,0)-1,
MATCH(OFFSET($C162,((MATCH($C162,EL_List,0)-1)*-10)-3,0),MSP!$D$5:$N$5,0)+1)
*INDEX(Learning!$E$6:$S$41,(MATCH(AB$21,Dates,0)),(MATCH($C$151,Learning!$E$4:$S$4,0)+MATCH($C$162,Learning!$E$5:$S$5,0)-1))</f>
        <v>95.178811999999994</v>
      </c>
      <c r="AC163" s="778" cm="1">
        <f t="array" aca="1" ref="AC163" ca="1">OFFSET(MSP!$C$1,
MATCH(OFFSET($C162,((MATCH($C162,EL_List,0)-1)*-10)-1,0),MSP!$C:$C,0)+MATCH($C162,EL_List,0)-1,
MATCH(OFFSET($C162,((MATCH($C162,EL_List,0)-1)*-10)-3,0),MSP!$D$5:$N$5,0)+1)
*INDEX(Learning!$E$6:$S$41,(MATCH(AC$21,Dates,0)),(MATCH($C$151,Learning!$E$4:$S$4,0)+MATCH($C$162,Learning!$E$5:$S$5,0)-1))</f>
        <v>94.763183999999995</v>
      </c>
      <c r="AD163" s="778" cm="1">
        <f t="array" aca="1" ref="AD163" ca="1">OFFSET(MSP!$C$1,
MATCH(OFFSET($C162,((MATCH($C162,EL_List,0)-1)*-10)-1,0),MSP!$C:$C,0)+MATCH($C162,EL_List,0)-1,
MATCH(OFFSET($C162,((MATCH($C162,EL_List,0)-1)*-10)-3,0),MSP!$D$5:$N$5,0)+1)
*INDEX(Learning!$E$6:$S$41,(MATCH(AD$21,Dates,0)),(MATCH($C$151,Learning!$E$4:$S$4,0)+MATCH($C$162,Learning!$E$5:$S$5,0)-1))</f>
        <v>94.347555999999997</v>
      </c>
      <c r="AE163" s="778" cm="1">
        <f t="array" aca="1" ref="AE163" ca="1">OFFSET(MSP!$C$1,
MATCH(OFFSET($C162,((MATCH($C162,EL_List,0)-1)*-10)-1,0),MSP!$C:$C,0)+MATCH($C162,EL_List,0)-1,
MATCH(OFFSET($C162,((MATCH($C162,EL_List,0)-1)*-10)-3,0),MSP!$D$5:$N$5,0)+1)
*INDEX(Learning!$E$6:$S$41,(MATCH(AE$21,Dates,0)),(MATCH($C$151,Learning!$E$4:$S$4,0)+MATCH($C$162,Learning!$E$5:$S$5,0)-1))</f>
        <v>93.931927999999999</v>
      </c>
      <c r="AF163" s="778" cm="1">
        <f t="array" aca="1" ref="AF163" ca="1">OFFSET(MSP!$C$1,
MATCH(OFFSET($C162,((MATCH($C162,EL_List,0)-1)*-10)-1,0),MSP!$C:$C,0)+MATCH($C162,EL_List,0)-1,
MATCH(OFFSET($C162,((MATCH($C162,EL_List,0)-1)*-10)-3,0),MSP!$D$5:$N$5,0)+1)
*INDEX(Learning!$E$6:$S$41,(MATCH(AF$21,Dates,0)),(MATCH($C$151,Learning!$E$4:$S$4,0)+MATCH($C$162,Learning!$E$5:$S$5,0)-1))</f>
        <v>93.516300000000001</v>
      </c>
      <c r="AG163" s="778" cm="1">
        <f t="array" aca="1" ref="AG163" ca="1">OFFSET(MSP!$C$1,
MATCH(OFFSET($C162,((MATCH($C162,EL_List,0)-1)*-10)-1,0),MSP!$C:$C,0)+MATCH($C162,EL_List,0)-1,
MATCH(OFFSET($C162,((MATCH($C162,EL_List,0)-1)*-10)-3,0),MSP!$D$5:$N$5,0)+1)
*INDEX(Learning!$E$6:$S$41,(MATCH(AG$21,Dates,0)),(MATCH($C$151,Learning!$E$4:$S$4,0)+MATCH($C$162,Learning!$E$5:$S$5,0)-1))</f>
        <v>93.100672000000003</v>
      </c>
      <c r="AH163" s="778" cm="1">
        <f t="array" aca="1" ref="AH163" ca="1">OFFSET(MSP!$C$1,
MATCH(OFFSET($C162,((MATCH($C162,EL_List,0)-1)*-10)-1,0),MSP!$C:$C,0)+MATCH($C162,EL_List,0)-1,
MATCH(OFFSET($C162,((MATCH($C162,EL_List,0)-1)*-10)-3,0),MSP!$D$5:$N$5,0)+1)
*INDEX(Learning!$E$6:$S$41,(MATCH(AH$21,Dates,0)),(MATCH($C$151,Learning!$E$4:$S$4,0)+MATCH($C$162,Learning!$E$5:$S$5,0)-1))</f>
        <v>92.788950999999997</v>
      </c>
      <c r="AI163" s="778" cm="1">
        <f t="array" aca="1" ref="AI163" ca="1">OFFSET(MSP!$C$1,
MATCH(OFFSET($C162,((MATCH($C162,EL_List,0)-1)*-10)-1,0),MSP!$C:$C,0)+MATCH($C162,EL_List,0)-1,
MATCH(OFFSET($C162,((MATCH($C162,EL_List,0)-1)*-10)-3,0),MSP!$D$5:$N$5,0)+1)
*INDEX(Learning!$E$6:$S$41,(MATCH(AI$21,Dates,0)),(MATCH($C$151,Learning!$E$4:$S$4,0)+MATCH($C$162,Learning!$E$5:$S$5,0)-1))</f>
        <v>92.373322999999999</v>
      </c>
      <c r="AJ163" s="778" cm="1">
        <f t="array" aca="1" ref="AJ163" ca="1">OFFSET(MSP!$C$1,
MATCH(OFFSET($C162,((MATCH($C162,EL_List,0)-1)*-10)-1,0),MSP!$C:$C,0)+MATCH($C162,EL_List,0)-1,
MATCH(OFFSET($C162,((MATCH($C162,EL_List,0)-1)*-10)-3,0),MSP!$D$5:$N$5,0)+1)
*INDEX(Learning!$E$6:$S$41,(MATCH(AJ$21,Dates,0)),(MATCH($C$151,Learning!$E$4:$S$4,0)+MATCH($C$162,Learning!$E$5:$S$5,0)-1))</f>
        <v>91.957695000000001</v>
      </c>
      <c r="AK163" s="778" cm="1">
        <f t="array" aca="1" ref="AK163" ca="1">OFFSET(MSP!$C$1,
MATCH(OFFSET($C162,((MATCH($C162,EL_List,0)-1)*-10)-1,0),MSP!$C:$C,0)+MATCH($C162,EL_List,0)-1,
MATCH(OFFSET($C162,((MATCH($C162,EL_List,0)-1)*-10)-3,0),MSP!$D$5:$N$5,0)+1)
*INDEX(Learning!$E$6:$S$41,(MATCH(AK$21,Dates,0)),(MATCH($C$151,Learning!$E$4:$S$4,0)+MATCH($C$162,Learning!$E$5:$S$5,0)-1))</f>
        <v>91.542067000000003</v>
      </c>
      <c r="AL163" s="778" cm="1">
        <f t="array" aca="1" ref="AL163" ca="1">OFFSET(MSP!$C$1,
MATCH(OFFSET($C162,((MATCH($C162,EL_List,0)-1)*-10)-1,0),MSP!$C:$C,0)+MATCH($C162,EL_List,0)-1,
MATCH(OFFSET($C162,((MATCH($C162,EL_List,0)-1)*-10)-3,0),MSP!$D$5:$N$5,0)+1)
*INDEX(Learning!$E$6:$S$41,(MATCH(AL$21,Dates,0)),(MATCH($C$151,Learning!$E$4:$S$4,0)+MATCH($C$162,Learning!$E$5:$S$5,0)-1))</f>
        <v>91.230345999999997</v>
      </c>
      <c r="AM163" s="778" cm="1">
        <f t="array" aca="1" ref="AM163" ca="1">OFFSET(MSP!$C$1,
MATCH(OFFSET($C162,((MATCH($C162,EL_List,0)-1)*-10)-1,0),MSP!$C:$C,0)+MATCH($C162,EL_List,0)-1,
MATCH(OFFSET($C162,((MATCH($C162,EL_List,0)-1)*-10)-3,0),MSP!$D$5:$N$5,0)+1)
*INDEX(Learning!$E$6:$S$41,(MATCH(AM$21,Dates,0)),(MATCH($C$151,Learning!$E$4:$S$4,0)+MATCH($C$162,Learning!$E$5:$S$5,0)-1))</f>
        <v>90.814717999999999</v>
      </c>
      <c r="AN163" s="778" cm="1">
        <f t="array" aca="1" ref="AN163" ca="1">OFFSET(MSP!$C$1,
MATCH(OFFSET($C162,((MATCH($C162,EL_List,0)-1)*-10)-1,0),MSP!$C:$C,0)+MATCH($C162,EL_List,0)-1,
MATCH(OFFSET($C162,((MATCH($C162,EL_List,0)-1)*-10)-3,0),MSP!$D$5:$N$5,0)+1)
*INDEX(Learning!$E$6:$S$41,(MATCH(AN$21,Dates,0)),(MATCH($C$151,Learning!$E$4:$S$4,0)+MATCH($C$162,Learning!$E$5:$S$5,0)-1))</f>
        <v>90.444157729517215</v>
      </c>
      <c r="AO163" s="436"/>
      <c r="AP163" s="21"/>
    </row>
    <row r="164" spans="2:42" ht="15" customHeight="1" x14ac:dyDescent="0.35">
      <c r="B164" s="429"/>
      <c r="C164" s="777" t="s">
        <v>78</v>
      </c>
      <c r="D164" s="776"/>
      <c r="E164" s="530">
        <f ca="1">OFFSET(OFFSET(Shipments!$D$1,0,MATCH(E$7,Dates)),
MATCH(OFFSET($C162,((MATCH($C162,EL_List,0)-1)*-10)-3,0),Shipments!$C:$C,0)+
MATCH(OFFSET($C162,((MATCH($C162,EL_List,0)-1)*-10)-1,0),Shipments!$D:$D,0)+
MATCH($C162,EL_List,0)-10,
MATCH(Shipments_Scenario_X,Shipments!$F$5:$AQ$5,0))</f>
        <v>1.2596463121322954</v>
      </c>
      <c r="F164" s="530">
        <f ca="1">OFFSET(OFFSET(Shipments!$D$1,0,MATCH(F$7,Dates)),
MATCH(OFFSET($C162,((MATCH($C162,EL_List,0)-1)*-10)-3,0),Shipments!$C:$C,0)+
MATCH(OFFSET($C162,((MATCH($C162,EL_List,0)-1)*-10)-1,0),Shipments!$D:$D,0)+
MATCH($C162,EL_List,0)-10,
MATCH(Shipments_Scenario_X,Shipments!$F$5:$AQ$5,0))</f>
        <v>1.3159758749940762</v>
      </c>
      <c r="G164" s="530">
        <f ca="1">OFFSET(OFFSET(Shipments!$D$1,0,MATCH(G$7,Dates)),
MATCH(OFFSET($C162,((MATCH($C162,EL_List,0)-1)*-10)-3,0),Shipments!$C:$C,0)+
MATCH(OFFSET($C162,((MATCH($C162,EL_List,0)-1)*-10)-1,0),Shipments!$D:$D,0)+
MATCH($C162,EL_List,0)-10,
MATCH(Shipments_Scenario_X,Shipments!$F$5:$AQ$5,0))</f>
        <v>1.3664533130554282</v>
      </c>
      <c r="H164" s="530">
        <f ca="1">OFFSET(OFFSET(Shipments!$D$1,0,MATCH(H$7,Dates)),
MATCH(OFFSET($C162,((MATCH($C162,EL_List,0)-1)*-10)-3,0),Shipments!$C:$C,0)+
MATCH(OFFSET($C162,((MATCH($C162,EL_List,0)-1)*-10)-1,0),Shipments!$D:$D,0)+
MATCH($C162,EL_List,0)-10,
MATCH(Shipments_Scenario_X,Shipments!$F$5:$AQ$5,0))</f>
        <v>1.4306260577061578</v>
      </c>
      <c r="I164" s="530">
        <f ca="1">OFFSET(OFFSET(Shipments!$D$1,0,MATCH(I$7,Dates)),
MATCH(OFFSET($C162,((MATCH($C162,EL_List,0)-1)*-10)-3,0),Shipments!$C:$C,0)+
MATCH(OFFSET($C162,((MATCH($C162,EL_List,0)-1)*-10)-1,0),Shipments!$D:$D,0)+
MATCH($C162,EL_List,0)-10,
MATCH(Shipments_Scenario_X,Shipments!$F$5:$AQ$5,0))</f>
        <v>1.4994853166149049</v>
      </c>
      <c r="J164" s="530">
        <f ca="1">OFFSET(OFFSET(Shipments!$D$1,0,MATCH(J$7,Dates)),
MATCH(OFFSET($C162,((MATCH($C162,EL_List,0)-1)*-10)-3,0),Shipments!$C:$C,0)+
MATCH(OFFSET($C162,((MATCH($C162,EL_List,0)-1)*-10)-1,0),Shipments!$D:$D,0)+
MATCH($C162,EL_List,0)-10,
MATCH(Shipments_Scenario_X,Shipments!$F$5:$AQ$5,0))</f>
        <v>1.5756911971760348</v>
      </c>
      <c r="K164" s="530">
        <f ca="1">OFFSET(OFFSET(Shipments!$D$1,0,MATCH(K$7,Dates)),
MATCH(OFFSET($C162,((MATCH($C162,EL_List,0)-1)*-10)-3,0),Shipments!$C:$C,0)+
MATCH(OFFSET($C162,((MATCH($C162,EL_List,0)-1)*-10)-1,0),Shipments!$D:$D,0)+
MATCH($C162,EL_List,0)-10,
MATCH(Shipments_Scenario_X,Shipments!$F$5:$AQ$5,0))</f>
        <v>1.658347332674009</v>
      </c>
      <c r="L164" s="530">
        <f ca="1">OFFSET(OFFSET(Shipments!$D$1,0,MATCH(L$7,Dates)),
MATCH(OFFSET($C162,((MATCH($C162,EL_List,0)-1)*-10)-3,0),Shipments!$C:$C,0)+
MATCH(OFFSET($C162,((MATCH($C162,EL_List,0)-1)*-10)-1,0),Shipments!$D:$D,0)+
MATCH($C162,EL_List,0)-10,
MATCH(Shipments_Scenario_X,Shipments!$F$5:$AQ$5,0))</f>
        <v>1.7461083948964236</v>
      </c>
      <c r="M164" s="530">
        <f ca="1">OFFSET(OFFSET(Shipments!$D$1,0,MATCH(M$7,Dates)),
MATCH(OFFSET($C162,((MATCH($C162,EL_List,0)-1)*-10)-3,0),Shipments!$C:$C,0)+
MATCH(OFFSET($C162,((MATCH($C162,EL_List,0)-1)*-10)-1,0),Shipments!$D:$D,0)+
MATCH($C162,EL_List,0)-10,
MATCH(Shipments_Scenario_X,Shipments!$F$5:$AQ$5,0))</f>
        <v>1.8379245240467199</v>
      </c>
      <c r="N164" s="530">
        <f ca="1">OFFSET(OFFSET(Shipments!$D$1,0,MATCH(N$7,Dates)),
MATCH(OFFSET($C162,((MATCH($C162,EL_List,0)-1)*-10)-3,0),Shipments!$C:$C,0)+
MATCH(OFFSET($C162,((MATCH($C162,EL_List,0)-1)*-10)-1,0),Shipments!$D:$D,0)+
MATCH($C162,EL_List,0)-10,
MATCH(Shipments_Scenario_X,Shipments!$F$5:$AQ$5,0))</f>
        <v>1.9330962429397074</v>
      </c>
      <c r="O164" s="530">
        <f ca="1">OFFSET(OFFSET(Shipments!$D$1,0,MATCH(O$7,Dates)),
MATCH(OFFSET($C162,((MATCH($C162,EL_List,0)-1)*-10)-3,0),Shipments!$C:$C,0)+
MATCH(OFFSET($C162,((MATCH($C162,EL_List,0)-1)*-10)-1,0),Shipments!$D:$D,0)+
MATCH($C162,EL_List,0)-10,
MATCH(Shipments_Scenario_X,Shipments!$F$5:$AQ$5,0))</f>
        <v>2.0315824518586534</v>
      </c>
      <c r="P164" s="530">
        <f ca="1">OFFSET(OFFSET(Shipments!$D$1,0,MATCH(P$7,Dates)),
MATCH(OFFSET($C162,((MATCH($C162,EL_List,0)-1)*-10)-3,0),Shipments!$C:$C,0)+
MATCH(OFFSET($C162,((MATCH($C162,EL_List,0)-1)*-10)-1,0),Shipments!$D:$D,0)+
MATCH($C162,EL_List,0)-10,
MATCH(Shipments_Scenario_X,Shipments!$F$5:$AQ$5,0))</f>
        <v>2.1338049547241873</v>
      </c>
      <c r="Q164" s="530">
        <f ca="1">OFFSET(OFFSET(Shipments!$D$1,0,MATCH(Q$7,Dates)),
MATCH(OFFSET($C162,((MATCH($C162,EL_List,0)-1)*-10)-3,0),Shipments!$C:$C,0)+
MATCH(OFFSET($C162,((MATCH($C162,EL_List,0)-1)*-10)-1,0),Shipments!$D:$D,0)+
MATCH($C162,EL_List,0)-10,
MATCH(Shipments_Scenario_X,Shipments!$F$5:$AQ$5,0))</f>
        <v>2.2404082189537289</v>
      </c>
      <c r="R164" s="530">
        <f ca="1">OFFSET(OFFSET(Shipments!$D$1,0,MATCH(R$7,Dates)),
MATCH(OFFSET($C162,((MATCH($C162,EL_List,0)-1)*-10)-3,0),Shipments!$C:$C,0)+
MATCH(OFFSET($C162,((MATCH($C162,EL_List,0)-1)*-10)-1,0),Shipments!$D:$D,0)+
MATCH($C162,EL_List,0)-10,
MATCH(Shipments_Scenario_X,Shipments!$F$5:$AQ$5,0))</f>
        <v>2.3521445310658065</v>
      </c>
      <c r="S164" s="530">
        <f ca="1">OFFSET(OFFSET(Shipments!$D$1,0,MATCH(S$7,Dates)),
MATCH(OFFSET($C162,((MATCH($C162,EL_List,0)-1)*-10)-3,0),Shipments!$C:$C,0)+
MATCH(OFFSET($C162,((MATCH($C162,EL_List,0)-1)*-10)-1,0),Shipments!$D:$D,0)+
MATCH($C162,EL_List,0)-10,
MATCH(Shipments_Scenario_X,Shipments!$F$5:$AQ$5,0))</f>
        <v>2.4696461272500327</v>
      </c>
      <c r="T164" s="530">
        <f ca="1">OFFSET(OFFSET(Shipments!$D$1,0,MATCH(T$7,Dates)),
MATCH(OFFSET($C162,((MATCH($C162,EL_List,0)-1)*-10)-3,0),Shipments!$C:$C,0)+
MATCH(OFFSET($C162,((MATCH($C162,EL_List,0)-1)*-10)-1,0),Shipments!$D:$D,0)+
MATCH($C162,EL_List,0)-10,
MATCH(Shipments_Scenario_X,Shipments!$F$5:$AQ$5,0))</f>
        <v>2.5933130263524475</v>
      </c>
      <c r="U164" s="530">
        <f ca="1">OFFSET(OFFSET(Shipments!$D$1,0,MATCH(U$7,Dates)),
MATCH(OFFSET($C162,((MATCH($C162,EL_List,0)-1)*-10)-3,0),Shipments!$C:$C,0)+
MATCH(OFFSET($C162,((MATCH($C162,EL_List,0)-1)*-10)-1,0),Shipments!$D:$D,0)+
MATCH($C162,EL_List,0)-10,
MATCH(Shipments_Scenario_X,Shipments!$F$5:$AQ$5,0))</f>
        <v>2.7235898124103541</v>
      </c>
      <c r="V164" s="530">
        <f ca="1">OFFSET(OFFSET(Shipments!$D$1,0,MATCH(V$7,Dates)),
MATCH(OFFSET($C162,((MATCH($C162,EL_List,0)-1)*-10)-3,0),Shipments!$C:$C,0)+
MATCH(OFFSET($C162,((MATCH($C162,EL_List,0)-1)*-10)-1,0),Shipments!$D:$D,0)+
MATCH($C162,EL_List,0)-10,
MATCH(Shipments_Scenario_X,Shipments!$F$5:$AQ$5,0))</f>
        <v>2.8602154150801775</v>
      </c>
      <c r="W164" s="530">
        <f ca="1">OFFSET(OFFSET(Shipments!$D$1,0,MATCH(W$7,Dates)),
MATCH(OFFSET($C162,((MATCH($C162,EL_List,0)-1)*-10)-3,0),Shipments!$C:$C,0)+
MATCH(OFFSET($C162,((MATCH($C162,EL_List,0)-1)*-10)-1,0),Shipments!$D:$D,0)+
MATCH($C162,EL_List,0)-10,
MATCH(Shipments_Scenario_X,Shipments!$F$5:$AQ$5,0))</f>
        <v>3.0036050198854518</v>
      </c>
      <c r="X164" s="530">
        <f ca="1">OFFSET(OFFSET(Shipments!$D$1,0,MATCH(X$7,Dates)),
MATCH(OFFSET($C162,((MATCH($C162,EL_List,0)-1)*-10)-3,0),Shipments!$C:$C,0)+
MATCH(OFFSET($C162,((MATCH($C162,EL_List,0)-1)*-10)-1,0),Shipments!$D:$D,0)+
MATCH($C162,EL_List,0)-10,
MATCH(Shipments_Scenario_X,Shipments!$F$5:$AQ$5,0))</f>
        <v>3.1539317503937783</v>
      </c>
      <c r="Y164" s="530">
        <f ca="1">OFFSET(OFFSET(Shipments!$D$1,0,MATCH(Y$7,Dates)),
MATCH(OFFSET($C162,((MATCH($C162,EL_List,0)-1)*-10)-3,0),Shipments!$C:$C,0)+
MATCH(OFFSET($C162,((MATCH($C162,EL_List,0)-1)*-10)-1,0),Shipments!$D:$D,0)+
MATCH($C162,EL_List,0)-10,
MATCH(Shipments_Scenario_X,Shipments!$F$5:$AQ$5,0))</f>
        <v>3.3114516642813436</v>
      </c>
      <c r="Z164" s="530">
        <f ca="1">OFFSET(OFFSET(Shipments!$D$1,0,MATCH(Z$7,Dates)),
MATCH(OFFSET($C162,((MATCH($C162,EL_List,0)-1)*-10)-3,0),Shipments!$C:$C,0)+
MATCH(OFFSET($C162,((MATCH($C162,EL_List,0)-1)*-10)-1,0),Shipments!$D:$D,0)+
MATCH($C162,EL_List,0)-10,
MATCH(Shipments_Scenario_X,Shipments!$F$5:$AQ$5,0))</f>
        <v>3.4765080608069878</v>
      </c>
      <c r="AA164" s="530">
        <f ca="1">OFFSET(OFFSET(Shipments!$D$1,0,MATCH(AA$7,Dates)),
MATCH(OFFSET($C162,((MATCH($C162,EL_List,0)-1)*-10)-3,0),Shipments!$C:$C,0)+
MATCH(OFFSET($C162,((MATCH($C162,EL_List,0)-1)*-10)-1,0),Shipments!$D:$D,0)+
MATCH($C162,EL_List,0)-10,
MATCH(Shipments_Scenario_X,Shipments!$F$5:$AQ$5,0))</f>
        <v>3.6494969392981398</v>
      </c>
      <c r="AB164" s="530">
        <f ca="1">OFFSET(OFFSET(Shipments!$D$1,0,MATCH(AB$7,Dates)),
MATCH(OFFSET($C162,((MATCH($C162,EL_List,0)-1)*-10)-3,0),Shipments!$C:$C,0)+
MATCH(OFFSET($C162,((MATCH($C162,EL_List,0)-1)*-10)-1,0),Shipments!$D:$D,0)+
MATCH($C162,EL_List,0)-10,
MATCH(Shipments_Scenario_X,Shipments!$F$5:$AQ$5,0))</f>
        <v>3.8308722492146785</v>
      </c>
      <c r="AC164" s="530">
        <f ca="1">OFFSET(OFFSET(Shipments!$D$1,0,MATCH(AC$7,Dates)),
MATCH(OFFSET($C162,((MATCH($C162,EL_List,0)-1)*-10)-3,0),Shipments!$C:$C,0)+
MATCH(OFFSET($C162,((MATCH($C162,EL_List,0)-1)*-10)-1,0),Shipments!$D:$D,0)+
MATCH($C162,EL_List,0)-10,
MATCH(Shipments_Scenario_X,Shipments!$F$5:$AQ$5,0))</f>
        <v>4.0210925323224664</v>
      </c>
      <c r="AD164" s="530">
        <f ca="1">OFFSET(OFFSET(Shipments!$D$1,0,MATCH(AD$7,Dates)),
MATCH(OFFSET($C162,((MATCH($C162,EL_List,0)-1)*-10)-3,0),Shipments!$C:$C,0)+
MATCH(OFFSET($C162,((MATCH($C162,EL_List,0)-1)*-10)-1,0),Shipments!$D:$D,0)+
MATCH($C162,EL_List,0)-10,
MATCH(Shipments_Scenario_X,Shipments!$F$5:$AQ$5,0))</f>
        <v>4.2206188925622445</v>
      </c>
      <c r="AE164" s="530">
        <f ca="1">OFFSET(OFFSET(Shipments!$D$1,0,MATCH(AE$7,Dates)),
MATCH(OFFSET($C162,((MATCH($C162,EL_List,0)-1)*-10)-3,0),Shipments!$C:$C,0)+
MATCH(OFFSET($C162,((MATCH($C162,EL_List,0)-1)*-10)-1,0),Shipments!$D:$D,0)+
MATCH($C162,EL_List,0)-10,
MATCH(Shipments_Scenario_X,Shipments!$F$5:$AQ$5,0))</f>
        <v>4.4299125340740497</v>
      </c>
      <c r="AF164" s="530">
        <f ca="1">OFFSET(OFFSET(Shipments!$D$1,0,MATCH(AF$7,Dates)),
MATCH(OFFSET($C162,((MATCH($C162,EL_List,0)-1)*-10)-3,0),Shipments!$C:$C,0)+
MATCH(OFFSET($C162,((MATCH($C162,EL_List,0)-1)*-10)-1,0),Shipments!$D:$D,0)+
MATCH($C162,EL_List,0)-10,
MATCH(Shipments_Scenario_X,Shipments!$F$5:$AQ$5,0))</f>
        <v>4.6494392243149072</v>
      </c>
      <c r="AG164" s="530">
        <f ca="1">OFFSET(OFFSET(Shipments!$D$1,0,MATCH(AG$7,Dates)),
MATCH(OFFSET($C162,((MATCH($C162,EL_List,0)-1)*-10)-3,0),Shipments!$C:$C,0)+
MATCH(OFFSET($C162,((MATCH($C162,EL_List,0)-1)*-10)-1,0),Shipments!$D:$D,0)+
MATCH($C162,EL_List,0)-10,
MATCH(Shipments_Scenario_X,Shipments!$F$5:$AQ$5,0))</f>
        <v>4.8796791847561911</v>
      </c>
      <c r="AH164" s="530">
        <f ca="1">OFFSET(OFFSET(Shipments!$D$1,0,MATCH(AH$7,Dates)),
MATCH(OFFSET($C162,((MATCH($C162,EL_List,0)-1)*-10)-3,0),Shipments!$C:$C,0)+
MATCH(OFFSET($C162,((MATCH($C162,EL_List,0)-1)*-10)-1,0),Shipments!$D:$D,0)+
MATCH($C162,EL_List,0)-10,
MATCH(Shipments_Scenario_X,Shipments!$F$5:$AQ$5,0))</f>
        <v>5.1211360121990577</v>
      </c>
      <c r="AI164" s="530">
        <f ca="1">OFFSET(OFFSET(Shipments!$D$1,0,MATCH(AI$7,Dates)),
MATCH(OFFSET($C162,((MATCH($C162,EL_List,0)-1)*-10)-3,0),Shipments!$C:$C,0)+
MATCH(OFFSET($C162,((MATCH($C162,EL_List,0)-1)*-10)-1,0),Shipments!$D:$D,0)+
MATCH($C162,EL_List,0)-10,
MATCH(Shipments_Scenario_X,Shipments!$F$5:$AQ$5,0))</f>
        <v>5.374343416482148</v>
      </c>
      <c r="AJ164" s="530">
        <f ca="1">OFFSET(OFFSET(Shipments!$D$1,0,MATCH(AJ$7,Dates)),
MATCH(OFFSET($C162,((MATCH($C162,EL_List,0)-1)*-10)-3,0),Shipments!$C:$C,0)+
MATCH(OFFSET($C162,((MATCH($C162,EL_List,0)-1)*-10)-1,0),Shipments!$D:$D,0)+
MATCH($C162,EL_List,0)-10,
MATCH(Shipments_Scenario_X,Shipments!$F$5:$AQ$5,0))</f>
        <v>5.6398689001755669</v>
      </c>
      <c r="AK164" s="530">
        <f ca="1">OFFSET(OFFSET(Shipments!$D$1,0,MATCH(AK$7,Dates)),
MATCH(OFFSET($C162,((MATCH($C162,EL_List,0)-1)*-10)-3,0),Shipments!$C:$C,0)+
MATCH(OFFSET($C162,((MATCH($C162,EL_List,0)-1)*-10)-1,0),Shipments!$D:$D,0)+
MATCH($C162,EL_List,0)-10,
MATCH(Shipments_Scenario_X,Shipments!$F$5:$AQ$5,0))</f>
        <v>5.9183140838031472</v>
      </c>
      <c r="AL164" s="530">
        <f ca="1">OFFSET(OFFSET(Shipments!$D$1,0,MATCH(AL$7,Dates)),
MATCH(OFFSET($C162,((MATCH($C162,EL_List,0)-1)*-10)-3,0),Shipments!$C:$C,0)+
MATCH(OFFSET($C162,((MATCH($C162,EL_List,0)-1)*-10)-1,0),Shipments!$D:$D,0)+
MATCH($C162,EL_List,0)-10,
MATCH(Shipments_Scenario_X,Shipments!$F$5:$AQ$5,0))</f>
        <v>6.2103136000240404</v>
      </c>
      <c r="AM164" s="530">
        <f ca="1">OFFSET(OFFSET(Shipments!$D$1,0,MATCH(AM$7,Dates)),
MATCH(OFFSET($C162,((MATCH($C162,EL_List,0)-1)*-10)-3,0),Shipments!$C:$C,0)+
MATCH(OFFSET($C162,((MATCH($C162,EL_List,0)-1)*-10)-1,0),Shipments!$D:$D,0)+
MATCH($C162,EL_List,0)-10,
MATCH(Shipments_Scenario_X,Shipments!$F$5:$AQ$5,0))</f>
        <v>6.5165343582845612</v>
      </c>
      <c r="AN164" s="530">
        <f ca="1">OFFSET(OFFSET(Shipments!$D$1,0,MATCH(AN$7,Dates)),
MATCH(OFFSET($C162,((MATCH($C162,EL_List,0)-1)*-10)-3,0),Shipments!$C:$C,0)+
MATCH(OFFSET($C162,((MATCH($C162,EL_List,0)-1)*-10)-1,0),Shipments!$D:$D,0)+
MATCH($C162,EL_List,0)-10,
MATCH(Shipments_Scenario_X,Shipments!$F$5:$AQ$5,0))</f>
        <v>6.8376729006363863</v>
      </c>
      <c r="AO164" s="436"/>
      <c r="AP164" s="21"/>
    </row>
    <row r="165" spans="2:42" ht="15" customHeight="1" x14ac:dyDescent="0.35">
      <c r="B165" s="429"/>
      <c r="C165" s="777" t="s">
        <v>79</v>
      </c>
      <c r="D165" s="776"/>
      <c r="E165" s="531">
        <f t="shared" ref="E165:AN165" ca="1" si="37">E163*E164</f>
        <v>136.38328426762911</v>
      </c>
      <c r="F165" s="531">
        <f t="shared" ca="1" si="37"/>
        <v>141.38823482127179</v>
      </c>
      <c r="G165" s="531">
        <f t="shared" ca="1" si="37"/>
        <v>145.67565007404127</v>
      </c>
      <c r="H165" s="531">
        <f t="shared" ca="1" si="37"/>
        <v>151.47645095185712</v>
      </c>
      <c r="I165" s="531">
        <f t="shared" ca="1" si="37"/>
        <v>157.83251206382047</v>
      </c>
      <c r="J165" s="531">
        <f t="shared" ca="1" si="37"/>
        <v>164.70769729632005</v>
      </c>
      <c r="K165" s="531">
        <f t="shared" ca="1" si="37"/>
        <v>172.31389629615825</v>
      </c>
      <c r="L165" s="531">
        <f t="shared" ca="1" si="37"/>
        <v>180.34428767857167</v>
      </c>
      <c r="M165" s="531">
        <f t="shared" ca="1" si="37"/>
        <v>188.68154483788106</v>
      </c>
      <c r="N165" s="531">
        <f t="shared" ca="1" si="37"/>
        <v>197.44757338277884</v>
      </c>
      <c r="O165" s="531">
        <f t="shared" ca="1" si="37"/>
        <v>206.24043815529572</v>
      </c>
      <c r="P165" s="531">
        <f t="shared" ca="1" si="37"/>
        <v>215.50918783047138</v>
      </c>
      <c r="Q165" s="531">
        <f t="shared" ca="1" si="37"/>
        <v>225.11189161219986</v>
      </c>
      <c r="R165" s="531">
        <f t="shared" ca="1" si="37"/>
        <v>234.87251479966599</v>
      </c>
      <c r="S165" s="531">
        <f t="shared" ca="1" si="37"/>
        <v>245.57913877796986</v>
      </c>
      <c r="T165" s="531">
        <f t="shared" ca="1" si="37"/>
        <v>256.52913455100196</v>
      </c>
      <c r="U165" s="531">
        <f t="shared" ca="1" si="37"/>
        <v>268.00104416630211</v>
      </c>
      <c r="V165" s="531">
        <f t="shared" ca="1" si="37"/>
        <v>279.9590117529213</v>
      </c>
      <c r="W165" s="531">
        <f t="shared" ca="1" si="37"/>
        <v>292.74566041956092</v>
      </c>
      <c r="X165" s="531">
        <f t="shared" ca="1" si="37"/>
        <v>305.75864210015919</v>
      </c>
      <c r="Y165" s="531">
        <f t="shared" ca="1" si="37"/>
        <v>319.65311450676739</v>
      </c>
      <c r="Z165" s="531">
        <f t="shared" ca="1" si="37"/>
        <v>334.14100884370129</v>
      </c>
      <c r="AA165" s="531">
        <f t="shared" ca="1" si="37"/>
        <v>348.87161619391969</v>
      </c>
      <c r="AB165" s="531">
        <f t="shared" ca="1" si="37"/>
        <v>364.617869604021</v>
      </c>
      <c r="AC165" s="531">
        <f t="shared" ca="1" si="37"/>
        <v>381.05153152149984</v>
      </c>
      <c r="AD165" s="531">
        <f t="shared" ca="1" si="37"/>
        <v>398.20507732067432</v>
      </c>
      <c r="AE165" s="531">
        <f t="shared" ca="1" si="37"/>
        <v>416.1102251969412</v>
      </c>
      <c r="AF165" s="531">
        <f t="shared" ca="1" si="37"/>
        <v>434.79835333280016</v>
      </c>
      <c r="AG165" s="531">
        <f t="shared" ca="1" si="37"/>
        <v>454.30141124521356</v>
      </c>
      <c r="AH165" s="531">
        <f t="shared" ca="1" si="37"/>
        <v>475.18483850027377</v>
      </c>
      <c r="AI165" s="531">
        <f t="shared" ca="1" si="37"/>
        <v>496.44596032362898</v>
      </c>
      <c r="AJ165" s="531">
        <f t="shared" ca="1" si="37"/>
        <v>518.6293441623302</v>
      </c>
      <c r="AK165" s="531">
        <f t="shared" ca="1" si="37"/>
        <v>541.77470438655132</v>
      </c>
      <c r="AL165" s="531">
        <f t="shared" ca="1" si="37"/>
        <v>566.56905849869884</v>
      </c>
      <c r="AM165" s="531">
        <f t="shared" ref="AM165" ca="1" si="38">AM163*AM164</f>
        <v>591.7972300849234</v>
      </c>
      <c r="AN165" s="531">
        <f t="shared" ca="1" si="37"/>
        <v>618.42756632800285</v>
      </c>
      <c r="AO165" s="436"/>
      <c r="AP165" s="21"/>
    </row>
    <row r="166" spans="2:42" ht="15" customHeight="1" x14ac:dyDescent="0.35">
      <c r="B166" s="429"/>
      <c r="C166" s="777"/>
      <c r="D166" s="776"/>
      <c r="E166" s="776"/>
      <c r="F166" s="776"/>
      <c r="G166" s="776"/>
      <c r="H166" s="776"/>
      <c r="I166" s="776"/>
      <c r="J166" s="776"/>
      <c r="K166" s="776"/>
      <c r="L166" s="776"/>
      <c r="M166" s="776"/>
      <c r="N166" s="776"/>
      <c r="O166" s="776"/>
      <c r="P166" s="776"/>
      <c r="Q166" s="776"/>
      <c r="R166" s="776"/>
      <c r="S166" s="776"/>
      <c r="T166" s="776"/>
      <c r="U166" s="776"/>
      <c r="V166" s="776"/>
      <c r="W166" s="776"/>
      <c r="X166" s="776"/>
      <c r="Y166" s="776"/>
      <c r="Z166" s="776"/>
      <c r="AA166" s="776"/>
      <c r="AB166" s="776"/>
      <c r="AC166" s="776"/>
      <c r="AD166" s="776"/>
      <c r="AE166" s="776"/>
      <c r="AF166" s="776"/>
      <c r="AG166" s="776"/>
      <c r="AH166" s="776"/>
      <c r="AI166" s="776"/>
      <c r="AJ166" s="776"/>
      <c r="AK166" s="776"/>
      <c r="AL166" s="776"/>
      <c r="AM166" s="776"/>
      <c r="AN166" s="776"/>
      <c r="AO166" s="436"/>
      <c r="AP166" s="21"/>
    </row>
    <row r="167" spans="2:42" ht="15" customHeight="1" x14ac:dyDescent="0.35">
      <c r="B167" s="429"/>
      <c r="C167" s="777" t="s">
        <v>212</v>
      </c>
      <c r="D167" s="776"/>
      <c r="E167" s="532" cm="1">
        <f t="array" aca="1" ref="E167" ca="1">OFFSET(E167,-3,0)*
OFFSET(MSP!$D$1,
MATCH(OFFSET($C162,((MATCH($C162,EL_List,0)-1)*-10)-1,0),MSP!$C:$C,0)+MATCH($C162,EL_List,0)-1,0)
*INDEX(Learning!$E$6:$S$41,(MATCH(E$21,Dates,0)),(MATCH($C$151,Learning!$E$4:$S$4,0)+MATCH($C$162,Learning!$E$5:$S$5,0)-1))</f>
        <v>84.676495641929719</v>
      </c>
      <c r="F167" s="532" cm="1">
        <f t="array" aca="1" ref="F167" ca="1">OFFSET(F167,-3,0)*
OFFSET(MSP!$D$1,
MATCH(OFFSET($C162,((MATCH($C162,EL_List,0)-1)*-10)-1,0),MSP!$C:$C,0)+MATCH($C162,EL_List,0)-1,0)
*INDEX(Learning!$E$6:$S$41,(MATCH(F$21,Dates,0)),(MATCH($C$151,Learning!$E$4:$S$4,0)+MATCH($C$162,Learning!$E$5:$S$5,0)-1))</f>
        <v>87.78392684964254</v>
      </c>
      <c r="G167" s="532" cm="1">
        <f t="array" aca="1" ref="G167" ca="1">OFFSET(G167,-3,0)*
OFFSET(MSP!$D$1,
MATCH(OFFSET($C162,((MATCH($C162,EL_List,0)-1)*-10)-1,0),MSP!$C:$C,0)+MATCH($C162,EL_List,0)-1,0)
*INDEX(Learning!$E$6:$S$41,(MATCH(G$21,Dates,0)),(MATCH($C$151,Learning!$E$4:$S$4,0)+MATCH($C$162,Learning!$E$5:$S$5,0)-1))</f>
        <v>90.445860831624273</v>
      </c>
      <c r="H167" s="532" cm="1">
        <f t="array" aca="1" ref="H167" ca="1">OFFSET(H167,-3,0)*
OFFSET(MSP!$D$1,
MATCH(OFFSET($C162,((MATCH($C162,EL_List,0)-1)*-10)-1,0),MSP!$C:$C,0)+MATCH($C162,EL_List,0)-1,0)
*INDEX(Learning!$E$6:$S$41,(MATCH(H$21,Dates,0)),(MATCH($C$151,Learning!$E$4:$S$4,0)+MATCH($C$162,Learning!$E$5:$S$5,0)-1))</f>
        <v>94.047412831840049</v>
      </c>
      <c r="I167" s="532" cm="1">
        <f t="array" aca="1" ref="I167" ca="1">OFFSET(I167,-3,0)*
OFFSET(MSP!$D$1,
MATCH(OFFSET($C162,((MATCH($C162,EL_List,0)-1)*-10)-1,0),MSP!$C:$C,0)+MATCH($C162,EL_List,0)-1,0)
*INDEX(Learning!$E$6:$S$41,(MATCH(I$21,Dates,0)),(MATCH($C$151,Learning!$E$4:$S$4,0)+MATCH($C$162,Learning!$E$5:$S$5,0)-1))</f>
        <v>97.993710092073627</v>
      </c>
      <c r="J167" s="532" cm="1">
        <f t="array" aca="1" ref="J167" ca="1">OFFSET(J167,-3,0)*
OFFSET(MSP!$D$1,
MATCH(OFFSET($C162,((MATCH($C162,EL_List,0)-1)*-10)-1,0),MSP!$C:$C,0)+MATCH($C162,EL_List,0)-1,0)
*INDEX(Learning!$E$6:$S$41,(MATCH(J$21,Dates,0)),(MATCH($C$151,Learning!$E$4:$S$4,0)+MATCH($C$162,Learning!$E$5:$S$5,0)-1))</f>
        <v>102.26231672890171</v>
      </c>
      <c r="K167" s="532" cm="1">
        <f t="array" aca="1" ref="K167" ca="1">OFFSET(K167,-3,0)*
OFFSET(MSP!$D$1,
MATCH(OFFSET($C162,((MATCH($C162,EL_List,0)-1)*-10)-1,0),MSP!$C:$C,0)+MATCH($C162,EL_List,0)-1,0)
*INDEX(Learning!$E$6:$S$41,(MATCH(K$21,Dates,0)),(MATCH($C$151,Learning!$E$4:$S$4,0)+MATCH($C$162,Learning!$E$5:$S$5,0)-1))</f>
        <v>106.9847889872877</v>
      </c>
      <c r="L167" s="532" cm="1">
        <f t="array" aca="1" ref="L167" ca="1">OFFSET(L167,-3,0)*
OFFSET(MSP!$D$1,
MATCH(OFFSET($C162,((MATCH($C162,EL_List,0)-1)*-10)-1,0),MSP!$C:$C,0)+MATCH($C162,EL_List,0)-1,0)
*INDEX(Learning!$E$6:$S$41,(MATCH(L$21,Dates,0)),(MATCH($C$151,Learning!$E$4:$S$4,0)+MATCH($C$162,Learning!$E$5:$S$5,0)-1))</f>
        <v>111.97063021077344</v>
      </c>
      <c r="M167" s="532" cm="1">
        <f t="array" aca="1" ref="M167" ca="1">OFFSET(M167,-3,0)*
OFFSET(MSP!$D$1,
MATCH(OFFSET($C162,((MATCH($C162,EL_List,0)-1)*-10)-1,0),MSP!$C:$C,0)+MATCH($C162,EL_List,0)-1,0)
*INDEX(Learning!$E$6:$S$41,(MATCH(M$21,Dates,0)),(MATCH($C$151,Learning!$E$4:$S$4,0)+MATCH($C$162,Learning!$E$5:$S$5,0)-1))</f>
        <v>117.14699565252774</v>
      </c>
      <c r="N167" s="532" cm="1">
        <f t="array" aca="1" ref="N167" ca="1">OFFSET(N167,-3,0)*
OFFSET(MSP!$D$1,
MATCH(OFFSET($C162,((MATCH($C162,EL_List,0)-1)*-10)-1,0),MSP!$C:$C,0)+MATCH($C162,EL_List,0)-1,0)
*INDEX(Learning!$E$6:$S$41,(MATCH(N$21,Dates,0)),(MATCH($C$151,Learning!$E$4:$S$4,0)+MATCH($C$162,Learning!$E$5:$S$5,0)-1))</f>
        <v>122.58957303189689</v>
      </c>
      <c r="O167" s="532" cm="1">
        <f t="array" aca="1" ref="O167" ca="1">OFFSET(O167,-3,0)*
OFFSET(MSP!$D$1,
MATCH(OFFSET($C162,((MATCH($C162,EL_List,0)-1)*-10)-1,0),MSP!$C:$C,0)+MATCH($C162,EL_List,0)-1,0)
*INDEX(Learning!$E$6:$S$41,(MATCH(O$21,Dates,0)),(MATCH($C$151,Learning!$E$4:$S$4,0)+MATCH($C$162,Learning!$E$5:$S$5,0)-1))</f>
        <v>128.04881226043057</v>
      </c>
      <c r="P167" s="532" cm="1">
        <f t="array" aca="1" ref="P167" ca="1">OFFSET(P167,-3,0)*
OFFSET(MSP!$D$1,
MATCH(OFFSET($C162,((MATCH($C162,EL_List,0)-1)*-10)-1,0),MSP!$C:$C,0)+MATCH($C162,EL_List,0)-1,0)
*INDEX(Learning!$E$6:$S$41,(MATCH(P$21,Dates,0)),(MATCH($C$151,Learning!$E$4:$S$4,0)+MATCH($C$162,Learning!$E$5:$S$5,0)-1))</f>
        <v>133.80351486706397</v>
      </c>
      <c r="Q167" s="532" cm="1">
        <f t="array" aca="1" ref="Q167" ca="1">OFFSET(Q167,-3,0)*
OFFSET(MSP!$D$1,
MATCH(OFFSET($C162,((MATCH($C162,EL_List,0)-1)*-10)-1,0),MSP!$C:$C,0)+MATCH($C162,EL_List,0)-1,0)
*INDEX(Learning!$E$6:$S$41,(MATCH(Q$21,Dates,0)),(MATCH($C$151,Learning!$E$4:$S$4,0)+MATCH($C$162,Learning!$E$5:$S$5,0)-1))</f>
        <v>139.76556006410334</v>
      </c>
      <c r="R167" s="532" cm="1">
        <f t="array" aca="1" ref="R167" ca="1">OFFSET(R167,-3,0)*
OFFSET(MSP!$D$1,
MATCH(OFFSET($C162,((MATCH($C162,EL_List,0)-1)*-10)-1,0),MSP!$C:$C,0)+MATCH($C162,EL_List,0)-1,0)
*INDEX(Learning!$E$6:$S$41,(MATCH(R$21,Dates,0)),(MATCH($C$151,Learning!$E$4:$S$4,0)+MATCH($C$162,Learning!$E$5:$S$5,0)-1))</f>
        <v>145.82565292104127</v>
      </c>
      <c r="S167" s="532" cm="1">
        <f t="array" aca="1" ref="S167" ca="1">OFFSET(S167,-3,0)*
OFFSET(MSP!$D$1,
MATCH(OFFSET($C162,((MATCH($C162,EL_List,0)-1)*-10)-1,0),MSP!$C:$C,0)+MATCH($C162,EL_List,0)-1,0)
*INDEX(Learning!$E$6:$S$41,(MATCH(S$21,Dates,0)),(MATCH($C$151,Learning!$E$4:$S$4,0)+MATCH($C$162,Learning!$E$5:$S$5,0)-1))</f>
        <v>152.47309071744732</v>
      </c>
      <c r="T167" s="532" cm="1">
        <f t="array" aca="1" ref="T167" ca="1">OFFSET(T167,-3,0)*
OFFSET(MSP!$D$1,
MATCH(OFFSET($C162,((MATCH($C162,EL_List,0)-1)*-10)-1,0),MSP!$C:$C,0)+MATCH($C162,EL_List,0)-1,0)
*INDEX(Learning!$E$6:$S$41,(MATCH(T$21,Dates,0)),(MATCH($C$151,Learning!$E$4:$S$4,0)+MATCH($C$162,Learning!$E$5:$S$5,0)-1))</f>
        <v>159.27163112753757</v>
      </c>
      <c r="U167" s="532" cm="1">
        <f t="array" aca="1" ref="U167" ca="1">OFFSET(U167,-3,0)*
OFFSET(MSP!$D$1,
MATCH(OFFSET($C162,((MATCH($C162,EL_List,0)-1)*-10)-1,0),MSP!$C:$C,0)+MATCH($C162,EL_List,0)-1,0)
*INDEX(Learning!$E$6:$S$41,(MATCH(U$21,Dates,0)),(MATCH($C$151,Learning!$E$4:$S$4,0)+MATCH($C$162,Learning!$E$5:$S$5,0)-1))</f>
        <v>166.39421297296641</v>
      </c>
      <c r="V167" s="532" cm="1">
        <f t="array" aca="1" ref="V167" ca="1">OFFSET(V167,-3,0)*
OFFSET(MSP!$D$1,
MATCH(OFFSET($C162,((MATCH($C162,EL_List,0)-1)*-10)-1,0),MSP!$C:$C,0)+MATCH($C162,EL_List,0)-1,0)
*INDEX(Learning!$E$6:$S$41,(MATCH(V$21,Dates,0)),(MATCH($C$151,Learning!$E$4:$S$4,0)+MATCH($C$162,Learning!$E$5:$S$5,0)-1))</f>
        <v>173.81857436499536</v>
      </c>
      <c r="W167" s="532" cm="1">
        <f t="array" aca="1" ref="W167" ca="1">OFFSET(W167,-3,0)*
OFFSET(MSP!$D$1,
MATCH(OFFSET($C162,((MATCH($C162,EL_List,0)-1)*-10)-1,0),MSP!$C:$C,0)+MATCH($C162,EL_List,0)-1,0)
*INDEX(Learning!$E$6:$S$41,(MATCH(W$21,Dates,0)),(MATCH($C$151,Learning!$E$4:$S$4,0)+MATCH($C$162,Learning!$E$5:$S$5,0)-1))</f>
        <v>181.75744023048458</v>
      </c>
      <c r="X167" s="532" cm="1">
        <f t="array" aca="1" ref="X167" ca="1">OFFSET(X167,-3,0)*
OFFSET(MSP!$D$1,
MATCH(OFFSET($C162,((MATCH($C162,EL_List,0)-1)*-10)-1,0),MSP!$C:$C,0)+MATCH($C162,EL_List,0)-1,0)
*INDEX(Learning!$E$6:$S$41,(MATCH(X$21,Dates,0)),(MATCH($C$151,Learning!$E$4:$S$4,0)+MATCH($C$162,Learning!$E$5:$S$5,0)-1))</f>
        <v>189.83682981611307</v>
      </c>
      <c r="Y167" s="532" cm="1">
        <f t="array" aca="1" ref="Y167" ca="1">OFFSET(Y167,-3,0)*
OFFSET(MSP!$D$1,
MATCH(OFFSET($C162,((MATCH($C162,EL_List,0)-1)*-10)-1,0),MSP!$C:$C,0)+MATCH($C162,EL_List,0)-1,0)
*INDEX(Learning!$E$6:$S$41,(MATCH(Y$21,Dates,0)),(MATCH($C$151,Learning!$E$4:$S$4,0)+MATCH($C$162,Learning!$E$5:$S$5,0)-1))</f>
        <v>198.46351187984988</v>
      </c>
      <c r="Z167" s="532" cm="1">
        <f t="array" aca="1" ref="Z167" ca="1">OFFSET(Z167,-3,0)*
OFFSET(MSP!$D$1,
MATCH(OFFSET($C162,((MATCH($C162,EL_List,0)-1)*-10)-1,0),MSP!$C:$C,0)+MATCH($C162,EL_List,0)-1,0)
*INDEX(Learning!$E$6:$S$41,(MATCH(Z$21,Dates,0)),(MATCH($C$151,Learning!$E$4:$S$4,0)+MATCH($C$162,Learning!$E$5:$S$5,0)-1))</f>
        <v>207.45863271353477</v>
      </c>
      <c r="AA167" s="532" cm="1">
        <f t="array" aca="1" ref="AA167" ca="1">OFFSET(AA167,-3,0)*
OFFSET(MSP!$D$1,
MATCH(OFFSET($C162,((MATCH($C162,EL_List,0)-1)*-10)-1,0),MSP!$C:$C,0)+MATCH($C162,EL_List,0)-1,0)
*INDEX(Learning!$E$6:$S$41,(MATCH(AA$21,Dates,0)),(MATCH($C$151,Learning!$E$4:$S$4,0)+MATCH($C$162,Learning!$E$5:$S$5,0)-1))</f>
        <v>216.60444714227413</v>
      </c>
      <c r="AB167" s="532" cm="1">
        <f t="array" aca="1" ref="AB167" ca="1">OFFSET(AB167,-3,0)*
OFFSET(MSP!$D$1,
MATCH(OFFSET($C162,((MATCH($C162,EL_List,0)-1)*-10)-1,0),MSP!$C:$C,0)+MATCH($C162,EL_List,0)-1,0)
*INDEX(Learning!$E$6:$S$41,(MATCH(AB$21,Dates,0)),(MATCH($C$151,Learning!$E$4:$S$4,0)+MATCH($C$162,Learning!$E$5:$S$5,0)-1))</f>
        <v>226.38084727383807</v>
      </c>
      <c r="AC167" s="532" cm="1">
        <f t="array" aca="1" ref="AC167" ca="1">OFFSET(AC167,-3,0)*
OFFSET(MSP!$D$1,
MATCH(OFFSET($C162,((MATCH($C162,EL_List,0)-1)*-10)-1,0),MSP!$C:$C,0)+MATCH($C162,EL_List,0)-1,0)
*INDEX(Learning!$E$6:$S$41,(MATCH(AC$21,Dates,0)),(MATCH($C$151,Learning!$E$4:$S$4,0)+MATCH($C$162,Learning!$E$5:$S$5,0)-1))</f>
        <v>236.58403976336388</v>
      </c>
      <c r="AD167" s="532" cm="1">
        <f t="array" aca="1" ref="AD167" ca="1">OFFSET(AD167,-3,0)*
OFFSET(MSP!$D$1,
MATCH(OFFSET($C162,((MATCH($C162,EL_List,0)-1)*-10)-1,0),MSP!$C:$C,0)+MATCH($C162,EL_List,0)-1,0)
*INDEX(Learning!$E$6:$S$41,(MATCH(AD$21,Dates,0)),(MATCH($C$151,Learning!$E$4:$S$4,0)+MATCH($C$162,Learning!$E$5:$S$5,0)-1))</f>
        <v>247.23418764554242</v>
      </c>
      <c r="AE167" s="532" cm="1">
        <f t="array" aca="1" ref="AE167" ca="1">OFFSET(AE167,-3,0)*
OFFSET(MSP!$D$1,
MATCH(OFFSET($C162,((MATCH($C162,EL_List,0)-1)*-10)-1,0),MSP!$C:$C,0)+MATCH($C162,EL_List,0)-1,0)
*INDEX(Learning!$E$6:$S$41,(MATCH(AE$21,Dates,0)),(MATCH($C$151,Learning!$E$4:$S$4,0)+MATCH($C$162,Learning!$E$5:$S$5,0)-1))</f>
        <v>258.35098384424401</v>
      </c>
      <c r="AF167" s="532" cm="1">
        <f t="array" aca="1" ref="AF167" ca="1">OFFSET(AF167,-3,0)*
OFFSET(MSP!$D$1,
MATCH(OFFSET($C162,((MATCH($C162,EL_List,0)-1)*-10)-1,0),MSP!$C:$C,0)+MATCH($C162,EL_List,0)-1,0)
*INDEX(Learning!$E$6:$S$41,(MATCH(AF$21,Dates,0)),(MATCH($C$151,Learning!$E$4:$S$4,0)+MATCH($C$162,Learning!$E$5:$S$5,0)-1))</f>
        <v>269.95391017901829</v>
      </c>
      <c r="AG167" s="532" cm="1">
        <f t="array" aca="1" ref="AG167" ca="1">OFFSET(AG167,-3,0)*
OFFSET(MSP!$D$1,
MATCH(OFFSET($C162,((MATCH($C162,EL_List,0)-1)*-10)-1,0),MSP!$C:$C,0)+MATCH($C162,EL_List,0)-1,0)
*INDEX(Learning!$E$6:$S$41,(MATCH(AG$21,Dates,0)),(MATCH($C$151,Learning!$E$4:$S$4,0)+MATCH($C$162,Learning!$E$5:$S$5,0)-1))</f>
        <v>282.06280319470551</v>
      </c>
      <c r="AH167" s="532" cm="1">
        <f t="array" aca="1" ref="AH167" ca="1">OFFSET(AH167,-3,0)*
OFFSET(MSP!$D$1,
MATCH(OFFSET($C162,((MATCH($C162,EL_List,0)-1)*-10)-1,0),MSP!$C:$C,0)+MATCH($C162,EL_List,0)-1,0)
*INDEX(Learning!$E$6:$S$41,(MATCH(AH$21,Dates,0)),(MATCH($C$151,Learning!$E$4:$S$4,0)+MATCH($C$162,Learning!$E$5:$S$5,0)-1))</f>
        <v>295.02872820851883</v>
      </c>
      <c r="AI167" s="532" cm="1">
        <f t="array" aca="1" ref="AI167" ca="1">OFFSET(AI167,-3,0)*
OFFSET(MSP!$D$1,
MATCH(OFFSET($C162,((MATCH($C162,EL_List,0)-1)*-10)-1,0),MSP!$C:$C,0)+MATCH($C162,EL_List,0)-1,0)
*INDEX(Learning!$E$6:$S$41,(MATCH(AI$21,Dates,0)),(MATCH($C$151,Learning!$E$4:$S$4,0)+MATCH($C$162,Learning!$E$5:$S$5,0)-1))</f>
        <v>308.22915301926804</v>
      </c>
      <c r="AJ167" s="532" cm="1">
        <f t="array" aca="1" ref="AJ167" ca="1">OFFSET(AJ167,-3,0)*
OFFSET(MSP!$D$1,
MATCH(OFFSET($C162,((MATCH($C162,EL_List,0)-1)*-10)-1,0),MSP!$C:$C,0)+MATCH($C162,EL_List,0)-1,0)
*INDEX(Learning!$E$6:$S$41,(MATCH(AJ$21,Dates,0)),(MATCH($C$151,Learning!$E$4:$S$4,0)+MATCH($C$162,Learning!$E$5:$S$5,0)-1))</f>
        <v>322.0021840401003</v>
      </c>
      <c r="AK167" s="532" cm="1">
        <f t="array" aca="1" ref="AK167" ca="1">OFFSET(AK167,-3,0)*
OFFSET(MSP!$D$1,
MATCH(OFFSET($C162,((MATCH($C162,EL_List,0)-1)*-10)-1,0),MSP!$C:$C,0)+MATCH($C162,EL_List,0)-1,0)
*INDEX(Learning!$E$6:$S$41,(MATCH(AK$21,Dates,0)),(MATCH($C$151,Learning!$E$4:$S$4,0)+MATCH($C$162,Learning!$E$5:$S$5,0)-1))</f>
        <v>336.37247879199407</v>
      </c>
      <c r="AL167" s="532" cm="1">
        <f t="array" aca="1" ref="AL167" ca="1">OFFSET(AL167,-3,0)*
OFFSET(MSP!$D$1,
MATCH(OFFSET($C162,((MATCH($C162,EL_List,0)-1)*-10)-1,0),MSP!$C:$C,0)+MATCH($C162,EL_List,0)-1,0)
*INDEX(Learning!$E$6:$S$41,(MATCH(AL$21,Dates,0)),(MATCH($C$151,Learning!$E$4:$S$4,0)+MATCH($C$162,Learning!$E$5:$S$5,0)-1))</f>
        <v>351.76658686906467</v>
      </c>
      <c r="AM167" s="532" cm="1">
        <f t="array" aca="1" ref="AM167" ca="1">OFFSET(AM167,-3,0)*
OFFSET(MSP!$D$1,
MATCH(OFFSET($C162,((MATCH($C162,EL_List,0)-1)*-10)-1,0),MSP!$C:$C,0)+MATCH($C162,EL_List,0)-1,0)
*INDEX(Learning!$E$6:$S$41,(MATCH(AM$21,Dates,0)),(MATCH($C$151,Learning!$E$4:$S$4,0)+MATCH($C$162,Learning!$E$5:$S$5,0)-1))</f>
        <v>367.43003985632959</v>
      </c>
      <c r="AN167" s="532" cm="1">
        <f t="array" aca="1" ref="AN167" ca="1">OFFSET(AN167,-3,0)*
OFFSET(MSP!$D$1,
MATCH(OFFSET($C162,((MATCH($C162,EL_List,0)-1)*-10)-1,0),MSP!$C:$C,0)+MATCH($C162,EL_List,0)-1,0)
*INDEX(Learning!$E$6:$S$41,(MATCH(AN$21,Dates,0)),(MATCH($C$151,Learning!$E$4:$S$4,0)+MATCH($C$162,Learning!$E$5:$S$5,0)-1))</f>
        <v>383.96405693136393</v>
      </c>
      <c r="AO167" s="436"/>
      <c r="AP167" s="21"/>
    </row>
    <row r="168" spans="2:42" ht="15" customHeight="1" x14ac:dyDescent="0.35">
      <c r="B168" s="429"/>
      <c r="C168" s="777" t="s">
        <v>213</v>
      </c>
      <c r="D168" s="776"/>
      <c r="E168" s="533" cm="1">
        <f t="array" aca="1" ref="E168" ca="1">OFFSET(E168,-4,0)*
OFFSET(MSP!$E$1,
MATCH(OFFSET($C162,((MATCH($C162,EL_List,0)-1)*-10)-1,0),MSP!$C:$C,0)+MATCH($C162,EL_List,0)-1,0)
*INDEX(Learning!$E$6:$S$41,(MATCH(E$21,Dates,0)),(MATCH($C$151,Learning!$E$4:$S$4,0)+MATCH($C$162,Learning!$E$5:$S$5,0)-1))</f>
        <v>1.7344767220580486</v>
      </c>
      <c r="F168" s="533" cm="1">
        <f t="array" aca="1" ref="F168" ca="1">OFFSET(F168,-4,0)*
OFFSET(MSP!$E$1,
MATCH(OFFSET($C162,((MATCH($C162,EL_List,0)-1)*-10)-1,0),MSP!$C:$C,0)+MATCH($C162,EL_List,0)-1,0)
*INDEX(Learning!$E$6:$S$41,(MATCH(F$21,Dates,0)),(MATCH($C$151,Learning!$E$4:$S$4,0)+MATCH($C$162,Learning!$E$5:$S$5,0)-1))</f>
        <v>1.798127999243234</v>
      </c>
      <c r="G168" s="533" cm="1">
        <f t="array" aca="1" ref="G168" ca="1">OFFSET(G168,-4,0)*
OFFSET(MSP!$E$1,
MATCH(OFFSET($C162,((MATCH($C162,EL_List,0)-1)*-10)-1,0),MSP!$C:$C,0)+MATCH($C162,EL_List,0)-1,0)
*INDEX(Learning!$E$6:$S$41,(MATCH(G$21,Dates,0)),(MATCH($C$151,Learning!$E$4:$S$4,0)+MATCH($C$162,Learning!$E$5:$S$5,0)-1))</f>
        <v>1.8526539038924619</v>
      </c>
      <c r="H168" s="533" cm="1">
        <f t="array" aca="1" ref="H168" ca="1">OFFSET(H168,-4,0)*
OFFSET(MSP!$E$1,
MATCH(OFFSET($C162,((MATCH($C162,EL_List,0)-1)*-10)-1,0),MSP!$C:$C,0)+MATCH($C162,EL_List,0)-1,0)
*INDEX(Learning!$E$6:$S$41,(MATCH(H$21,Dates,0)),(MATCH($C$151,Learning!$E$4:$S$4,0)+MATCH($C$162,Learning!$E$5:$S$5,0)-1))</f>
        <v>1.9264265377302112</v>
      </c>
      <c r="I168" s="533" cm="1">
        <f t="array" aca="1" ref="I168" ca="1">OFFSET(I168,-4,0)*
OFFSET(MSP!$E$1,
MATCH(OFFSET($C162,((MATCH($C162,EL_List,0)-1)*-10)-1,0),MSP!$C:$C,0)+MATCH($C162,EL_List,0)-1,0)
*INDEX(Learning!$E$6:$S$41,(MATCH(I$21,Dates,0)),(MATCH($C$151,Learning!$E$4:$S$4,0)+MATCH($C$162,Learning!$E$5:$S$5,0)-1))</f>
        <v>2.0072607844040573</v>
      </c>
      <c r="J168" s="533" cm="1">
        <f t="array" aca="1" ref="J168" ca="1">OFFSET(J168,-4,0)*
OFFSET(MSP!$E$1,
MATCH(OFFSET($C162,((MATCH($C162,EL_List,0)-1)*-10)-1,0),MSP!$C:$C,0)+MATCH($C162,EL_List,0)-1,0)
*INDEX(Learning!$E$6:$S$41,(MATCH(J$21,Dates,0)),(MATCH($C$151,Learning!$E$4:$S$4,0)+MATCH($C$162,Learning!$E$5:$S$5,0)-1))</f>
        <v>2.0946970769793798</v>
      </c>
      <c r="K168" s="533" cm="1">
        <f t="array" aca="1" ref="K168" ca="1">OFFSET(K168,-4,0)*
OFFSET(MSP!$E$1,
MATCH(OFFSET($C162,((MATCH($C162,EL_List,0)-1)*-10)-1,0),MSP!$C:$C,0)+MATCH($C162,EL_List,0)-1,0)
*INDEX(Learning!$E$6:$S$41,(MATCH(K$21,Dates,0)),(MATCH($C$151,Learning!$E$4:$S$4,0)+MATCH($C$162,Learning!$E$5:$S$5,0)-1))</f>
        <v>2.1914301566922276</v>
      </c>
      <c r="L168" s="533" cm="1">
        <f t="array" aca="1" ref="L168" ca="1">OFFSET(L168,-4,0)*
OFFSET(MSP!$E$1,
MATCH(OFFSET($C162,((MATCH($C162,EL_List,0)-1)*-10)-1,0),MSP!$C:$C,0)+MATCH($C162,EL_List,0)-1,0)
*INDEX(Learning!$E$6:$S$41,(MATCH(L$21,Dates,0)),(MATCH($C$151,Learning!$E$4:$S$4,0)+MATCH($C$162,Learning!$E$5:$S$5,0)-1))</f>
        <v>2.2935579724037134</v>
      </c>
      <c r="M168" s="533" cm="1">
        <f t="array" aca="1" ref="M168" ca="1">OFFSET(M168,-4,0)*
OFFSET(MSP!$E$1,
MATCH(OFFSET($C162,((MATCH($C162,EL_List,0)-1)*-10)-1,0),MSP!$C:$C,0)+MATCH($C162,EL_List,0)-1,0)
*INDEX(Learning!$E$6:$S$41,(MATCH(M$21,Dates,0)),(MATCH($C$151,Learning!$E$4:$S$4,0)+MATCH($C$162,Learning!$E$5:$S$5,0)-1))</f>
        <v>2.3995884038182931</v>
      </c>
      <c r="N168" s="533" cm="1">
        <f t="array" aca="1" ref="N168" ca="1">OFFSET(N168,-4,0)*
OFFSET(MSP!$E$1,
MATCH(OFFSET($C162,((MATCH($C162,EL_List,0)-1)*-10)-1,0),MSP!$C:$C,0)+MATCH($C162,EL_List,0)-1,0)
*INDEX(Learning!$E$6:$S$41,(MATCH(N$21,Dates,0)),(MATCH($C$151,Learning!$E$4:$S$4,0)+MATCH($C$162,Learning!$E$5:$S$5,0)-1))</f>
        <v>2.5110718054511896</v>
      </c>
      <c r="O168" s="533" cm="1">
        <f t="array" aca="1" ref="O168" ca="1">OFFSET(O168,-4,0)*
OFFSET(MSP!$E$1,
MATCH(OFFSET($C162,((MATCH($C162,EL_List,0)-1)*-10)-1,0),MSP!$C:$C,0)+MATCH($C162,EL_List,0)-1,0)
*INDEX(Learning!$E$6:$S$41,(MATCH(O$21,Dates,0)),(MATCH($C$151,Learning!$E$4:$S$4,0)+MATCH($C$162,Learning!$E$5:$S$5,0)-1))</f>
        <v>2.6228965011976806</v>
      </c>
      <c r="P168" s="533" cm="1">
        <f t="array" aca="1" ref="P168" ca="1">OFFSET(P168,-4,0)*
OFFSET(MSP!$E$1,
MATCH(OFFSET($C162,((MATCH($C162,EL_List,0)-1)*-10)-1,0),MSP!$C:$C,0)+MATCH($C162,EL_List,0)-1,0)
*INDEX(Learning!$E$6:$S$41,(MATCH(P$21,Dates,0)),(MATCH($C$151,Learning!$E$4:$S$4,0)+MATCH($C$162,Learning!$E$5:$S$5,0)-1))</f>
        <v>2.7407733410208661</v>
      </c>
      <c r="Q168" s="533" cm="1">
        <f t="array" aca="1" ref="Q168" ca="1">OFFSET(Q168,-4,0)*
OFFSET(MSP!$E$1,
MATCH(OFFSET($C162,((MATCH($C162,EL_List,0)-1)*-10)-1,0),MSP!$C:$C,0)+MATCH($C162,EL_List,0)-1,0)
*INDEX(Learning!$E$6:$S$41,(MATCH(Q$21,Dates,0)),(MATCH($C$151,Learning!$E$4:$S$4,0)+MATCH($C$162,Learning!$E$5:$S$5,0)-1))</f>
        <v>2.8628972968096336</v>
      </c>
      <c r="R168" s="533" cm="1">
        <f t="array" aca="1" ref="R168" ca="1">OFFSET(R168,-4,0)*
OFFSET(MSP!$E$1,
MATCH(OFFSET($C162,((MATCH($C162,EL_List,0)-1)*-10)-1,0),MSP!$C:$C,0)+MATCH($C162,EL_List,0)-1,0)
*INDEX(Learning!$E$6:$S$41,(MATCH(R$21,Dates,0)),(MATCH($C$151,Learning!$E$4:$S$4,0)+MATCH($C$162,Learning!$E$5:$S$5,0)-1))</f>
        <v>2.9870296184673126</v>
      </c>
      <c r="S168" s="533" cm="1">
        <f t="array" aca="1" ref="S168" ca="1">OFFSET(S168,-4,0)*
OFFSET(MSP!$E$1,
MATCH(OFFSET($C162,((MATCH($C162,EL_List,0)-1)*-10)-1,0),MSP!$C:$C,0)+MATCH($C162,EL_List,0)-1,0)
*INDEX(Learning!$E$6:$S$41,(MATCH(S$21,Dates,0)),(MATCH($C$151,Learning!$E$4:$S$4,0)+MATCH($C$162,Learning!$E$5:$S$5,0)-1))</f>
        <v>3.1231928598932583</v>
      </c>
      <c r="T168" s="533" cm="1">
        <f t="array" aca="1" ref="T168" ca="1">OFFSET(T168,-4,0)*
OFFSET(MSP!$E$1,
MATCH(OFFSET($C162,((MATCH($C162,EL_List,0)-1)*-10)-1,0),MSP!$C:$C,0)+MATCH($C162,EL_List,0)-1,0)
*INDEX(Learning!$E$6:$S$41,(MATCH(T$21,Dates,0)),(MATCH($C$151,Learning!$E$4:$S$4,0)+MATCH($C$162,Learning!$E$5:$S$5,0)-1))</f>
        <v>3.262451221920152</v>
      </c>
      <c r="U168" s="533" cm="1">
        <f t="array" aca="1" ref="U168" ca="1">OFFSET(U168,-4,0)*
OFFSET(MSP!$E$1,
MATCH(OFFSET($C162,((MATCH($C162,EL_List,0)-1)*-10)-1,0),MSP!$C:$C,0)+MATCH($C162,EL_List,0)-1,0)
*INDEX(Learning!$E$6:$S$41,(MATCH(U$21,Dates,0)),(MATCH($C$151,Learning!$E$4:$S$4,0)+MATCH($C$162,Learning!$E$5:$S$5,0)-1))</f>
        <v>3.4083471085908825</v>
      </c>
      <c r="V168" s="533" cm="1">
        <f t="array" aca="1" ref="V168" ca="1">OFFSET(V168,-4,0)*
OFFSET(MSP!$E$1,
MATCH(OFFSET($C162,((MATCH($C162,EL_List,0)-1)*-10)-1,0),MSP!$C:$C,0)+MATCH($C162,EL_List,0)-1,0)
*INDEX(Learning!$E$6:$S$41,(MATCH(V$21,Dates,0)),(MATCH($C$151,Learning!$E$4:$S$4,0)+MATCH($C$162,Learning!$E$5:$S$5,0)-1))</f>
        <v>3.5604245170027173</v>
      </c>
      <c r="W168" s="533" cm="1">
        <f t="array" aca="1" ref="W168" ca="1">OFFSET(W168,-4,0)*
OFFSET(MSP!$E$1,
MATCH(OFFSET($C162,((MATCH($C162,EL_List,0)-1)*-10)-1,0),MSP!$C:$C,0)+MATCH($C162,EL_List,0)-1,0)
*INDEX(Learning!$E$6:$S$41,(MATCH(W$21,Dates,0)),(MATCH($C$151,Learning!$E$4:$S$4,0)+MATCH($C$162,Learning!$E$5:$S$5,0)-1))</f>
        <v>3.7230408125738088</v>
      </c>
      <c r="X168" s="533" cm="1">
        <f t="array" aca="1" ref="X168" ca="1">OFFSET(X168,-4,0)*
OFFSET(MSP!$E$1,
MATCH(OFFSET($C162,((MATCH($C162,EL_List,0)-1)*-10)-1,0),MSP!$C:$C,0)+MATCH($C162,EL_List,0)-1,0)
*INDEX(Learning!$E$6:$S$41,(MATCH(X$21,Dates,0)),(MATCH($C$151,Learning!$E$4:$S$4,0)+MATCH($C$162,Learning!$E$5:$S$5,0)-1))</f>
        <v>3.8885355352648561</v>
      </c>
      <c r="Y168" s="533" cm="1">
        <f t="array" aca="1" ref="Y168" ca="1">OFFSET(Y168,-4,0)*
OFFSET(MSP!$E$1,
MATCH(OFFSET($C162,((MATCH($C162,EL_List,0)-1)*-10)-1,0),MSP!$C:$C,0)+MATCH($C162,EL_List,0)-1,0)
*INDEX(Learning!$E$6:$S$41,(MATCH(Y$21,Dates,0)),(MATCH($C$151,Learning!$E$4:$S$4,0)+MATCH($C$162,Learning!$E$5:$S$5,0)-1))</f>
        <v>4.065240760424623</v>
      </c>
      <c r="Z168" s="533" cm="1">
        <f t="array" aca="1" ref="Z168" ca="1">OFFSET(Z168,-4,0)*
OFFSET(MSP!$E$1,
MATCH(OFFSET($C162,((MATCH($C162,EL_List,0)-1)*-10)-1,0),MSP!$C:$C,0)+MATCH($C162,EL_List,0)-1,0)
*INDEX(Learning!$E$6:$S$41,(MATCH(Z$21,Dates,0)),(MATCH($C$151,Learning!$E$4:$S$4,0)+MATCH($C$162,Learning!$E$5:$S$5,0)-1))</f>
        <v>4.2494929260326693</v>
      </c>
      <c r="AA168" s="533" cm="1">
        <f t="array" aca="1" ref="AA168" ca="1">OFFSET(AA168,-4,0)*
OFFSET(MSP!$E$1,
MATCH(OFFSET($C162,((MATCH($C162,EL_List,0)-1)*-10)-1,0),MSP!$C:$C,0)+MATCH($C162,EL_List,0)-1,0)
*INDEX(Learning!$E$6:$S$41,(MATCH(AA$21,Dates,0)),(MATCH($C$151,Learning!$E$4:$S$4,0)+MATCH($C$162,Learning!$E$5:$S$5,0)-1))</f>
        <v>4.4368318340809134</v>
      </c>
      <c r="AB168" s="533" cm="1">
        <f t="array" aca="1" ref="AB168" ca="1">OFFSET(AB168,-4,0)*
OFFSET(MSP!$E$1,
MATCH(OFFSET($C162,((MATCH($C162,EL_List,0)-1)*-10)-1,0),MSP!$C:$C,0)+MATCH($C162,EL_List,0)-1,0)
*INDEX(Learning!$E$6:$S$41,(MATCH(AB$21,Dates,0)),(MATCH($C$151,Learning!$E$4:$S$4,0)+MATCH($C$162,Learning!$E$5:$S$5,0)-1))</f>
        <v>4.6370873869964289</v>
      </c>
      <c r="AC168" s="533" cm="1">
        <f t="array" aca="1" ref="AC168" ca="1">OFFSET(AC168,-4,0)*
OFFSET(MSP!$E$1,
MATCH(OFFSET($C162,((MATCH($C162,EL_List,0)-1)*-10)-1,0),MSP!$C:$C,0)+MATCH($C162,EL_List,0)-1,0)
*INDEX(Learning!$E$6:$S$41,(MATCH(AC$21,Dates,0)),(MATCH($C$151,Learning!$E$4:$S$4,0)+MATCH($C$162,Learning!$E$5:$S$5,0)-1))</f>
        <v>4.8460851700246259</v>
      </c>
      <c r="AD168" s="533" cm="1">
        <f t="array" aca="1" ref="AD168" ca="1">OFFSET(AD168,-4,0)*
OFFSET(MSP!$E$1,
MATCH(OFFSET($C162,((MATCH($C162,EL_List,0)-1)*-10)-1,0),MSP!$C:$C,0)+MATCH($C162,EL_List,0)-1,0)
*INDEX(Learning!$E$6:$S$41,(MATCH(AD$21,Dates,0)),(MATCH($C$151,Learning!$E$4:$S$4,0)+MATCH($C$162,Learning!$E$5:$S$5,0)-1))</f>
        <v>5.0642381940494818</v>
      </c>
      <c r="AE168" s="533" cm="1">
        <f t="array" aca="1" ref="AE168" ca="1">OFFSET(AE168,-4,0)*
OFFSET(MSP!$E$1,
MATCH(OFFSET($C162,((MATCH($C162,EL_List,0)-1)*-10)-1,0),MSP!$C:$C,0)+MATCH($C162,EL_List,0)-1,0)
*INDEX(Learning!$E$6:$S$41,(MATCH(AE$21,Dates,0)),(MATCH($C$151,Learning!$E$4:$S$4,0)+MATCH($C$162,Learning!$E$5:$S$5,0)-1))</f>
        <v>5.2919498404082068</v>
      </c>
      <c r="AF168" s="533" cm="1">
        <f t="array" aca="1" ref="AF168" ca="1">OFFSET(AF168,-4,0)*
OFFSET(MSP!$E$1,
MATCH(OFFSET($C162,((MATCH($C162,EL_List,0)-1)*-10)-1,0),MSP!$C:$C,0)+MATCH($C162,EL_List,0)-1,0)
*INDEX(Learning!$E$6:$S$41,(MATCH(AF$21,Dates,0)),(MATCH($C$151,Learning!$E$4:$S$4,0)+MATCH($C$162,Learning!$E$5:$S$5,0)-1))</f>
        <v>5.5296191662683922</v>
      </c>
      <c r="AG168" s="533" cm="1">
        <f t="array" aca="1" ref="AG168" ca="1">OFFSET(AG168,-4,0)*
OFFSET(MSP!$E$1,
MATCH(OFFSET($C162,((MATCH($C162,EL_List,0)-1)*-10)-1,0),MSP!$C:$C,0)+MATCH($C162,EL_List,0)-1,0)
*INDEX(Learning!$E$6:$S$41,(MATCH(AG$21,Dates,0)),(MATCH($C$151,Learning!$E$4:$S$4,0)+MATCH($C$162,Learning!$E$5:$S$5,0)-1))</f>
        <v>5.7776524948370911</v>
      </c>
      <c r="AH168" s="533" cm="1">
        <f t="array" aca="1" ref="AH168" ca="1">OFFSET(AH168,-4,0)*
OFFSET(MSP!$E$1,
MATCH(OFFSET($C162,((MATCH($C162,EL_List,0)-1)*-10)-1,0),MSP!$C:$C,0)+MATCH($C162,EL_List,0)-1,0)
*INDEX(Learning!$E$6:$S$41,(MATCH(AH$21,Dates,0)),(MATCH($C$151,Learning!$E$4:$S$4,0)+MATCH($C$162,Learning!$E$5:$S$5,0)-1))</f>
        <v>6.0432408962691566</v>
      </c>
      <c r="AI168" s="533" cm="1">
        <f t="array" aca="1" ref="AI168" ca="1">OFFSET(AI168,-4,0)*
OFFSET(MSP!$E$1,
MATCH(OFFSET($C162,((MATCH($C162,EL_List,0)-1)*-10)-1,0),MSP!$C:$C,0)+MATCH($C162,EL_List,0)-1,0)
*INDEX(Learning!$E$6:$S$41,(MATCH(AI$21,Dates,0)),(MATCH($C$151,Learning!$E$4:$S$4,0)+MATCH($C$162,Learning!$E$5:$S$5,0)-1))</f>
        <v>6.3136326901424091</v>
      </c>
      <c r="AJ168" s="533" cm="1">
        <f t="array" aca="1" ref="AJ168" ca="1">OFFSET(AJ168,-4,0)*
OFFSET(MSP!$E$1,
MATCH(OFFSET($C162,((MATCH($C162,EL_List,0)-1)*-10)-1,0),MSP!$C:$C,0)+MATCH($C162,EL_List,0)-1,0)
*INDEX(Learning!$E$6:$S$41,(MATCH(AJ$21,Dates,0)),(MATCH($C$151,Learning!$E$4:$S$4,0)+MATCH($C$162,Learning!$E$5:$S$5,0)-1))</f>
        <v>6.5957535020243281</v>
      </c>
      <c r="AK168" s="533" cm="1">
        <f t="array" aca="1" ref="AK168" ca="1">OFFSET(AK168,-4,0)*
OFFSET(MSP!$E$1,
MATCH(OFFSET($C162,((MATCH($C162,EL_List,0)-1)*-10)-1,0),MSP!$C:$C,0)+MATCH($C162,EL_List,0)-1,0)
*INDEX(Learning!$E$6:$S$41,(MATCH(AK$21,Dates,0)),(MATCH($C$151,Learning!$E$4:$S$4,0)+MATCH($C$162,Learning!$E$5:$S$5,0)-1))</f>
        <v>6.8901084059125628</v>
      </c>
      <c r="AL168" s="533" cm="1">
        <f t="array" aca="1" ref="AL168" ca="1">OFFSET(AL168,-4,0)*
OFFSET(MSP!$E$1,
MATCH(OFFSET($C162,((MATCH($C162,EL_List,0)-1)*-10)-1,0),MSP!$C:$C,0)+MATCH($C162,EL_List,0)-1,0)
*INDEX(Learning!$E$6:$S$41,(MATCH(AL$21,Dates,0)),(MATCH($C$151,Learning!$E$4:$S$4,0)+MATCH($C$162,Learning!$E$5:$S$5,0)-1))</f>
        <v>7.2054346592501313</v>
      </c>
      <c r="AM168" s="533" cm="1">
        <f t="array" aca="1" ref="AM168" ca="1">OFFSET(AM168,-4,0)*
OFFSET(MSP!$E$1,
MATCH(OFFSET($C162,((MATCH($C162,EL_List,0)-1)*-10)-1,0),MSP!$C:$C,0)+MATCH($C162,EL_List,0)-1,0)
*INDEX(Learning!$E$6:$S$41,(MATCH(AM$21,Dates,0)),(MATCH($C$151,Learning!$E$4:$S$4,0)+MATCH($C$162,Learning!$E$5:$S$5,0)-1))</f>
        <v>7.526278057261619</v>
      </c>
      <c r="AN168" s="533" cm="1">
        <f t="array" aca="1" ref="AN168" ca="1">OFFSET(AN168,-4,0)*
OFFSET(MSP!$E$1,
MATCH(OFFSET($C162,((MATCH($C162,EL_List,0)-1)*-10)-1,0),MSP!$C:$C,0)+MATCH($C162,EL_List,0)-1,0)
*INDEX(Learning!$E$6:$S$41,(MATCH(AN$21,Dates,0)),(MATCH($C$151,Learning!$E$4:$S$4,0)+MATCH($C$162,Learning!$E$5:$S$5,0)-1))</f>
        <v>7.8649537136093617</v>
      </c>
      <c r="AO168" s="436"/>
      <c r="AP168" s="21"/>
    </row>
    <row r="169" spans="2:42" ht="15" customHeight="1" x14ac:dyDescent="0.35">
      <c r="B169" s="429"/>
      <c r="C169" s="777" t="s">
        <v>214</v>
      </c>
      <c r="D169" s="776"/>
      <c r="E169" s="533" cm="1">
        <f t="array" aca="1" ref="E169" ca="1">OFFSET(E169,-5,0)*
OFFSET(MSP!$F$1,
MATCH(OFFSET($C162,((MATCH($C162,EL_List,0)-1)*-10)-1,0),MSP!$C:$C,0)+MATCH($C162,EL_List,0)-1,0)
*INDEX(Learning!$E$6:$S$41,(MATCH(E$21,Dates,0)),(MATCH($C$151,Learning!$E$4:$S$4,0)+MATCH($C$162,Learning!$E$5:$S$5,0)-1))</f>
        <v>4.7734149493670186</v>
      </c>
      <c r="F169" s="533" cm="1">
        <f t="array" aca="1" ref="F169" ca="1">OFFSET(F169,-5,0)*
OFFSET(MSP!$F$1,
MATCH(OFFSET($C162,((MATCH($C162,EL_List,0)-1)*-10)-1,0),MSP!$C:$C,0)+MATCH($C162,EL_List,0)-1,0)
*INDEX(Learning!$E$6:$S$41,(MATCH(F$21,Dates,0)),(MATCH($C$151,Learning!$E$4:$S$4,0)+MATCH($C$162,Learning!$E$5:$S$5,0)-1))</f>
        <v>4.9485882187445123</v>
      </c>
      <c r="G169" s="533" cm="1">
        <f t="array" aca="1" ref="G169" ca="1">OFFSET(G169,-5,0)*
OFFSET(MSP!$F$1,
MATCH(OFFSET($C162,((MATCH($C162,EL_List,0)-1)*-10)-1,0),MSP!$C:$C,0)+MATCH($C162,EL_List,0)-1,0)
*INDEX(Learning!$E$6:$S$41,(MATCH(G$21,Dates,0)),(MATCH($C$151,Learning!$E$4:$S$4,0)+MATCH($C$162,Learning!$E$5:$S$5,0)-1))</f>
        <v>5.0986477525914449</v>
      </c>
      <c r="H169" s="533" cm="1">
        <f t="array" aca="1" ref="H169" ca="1">OFFSET(H169,-5,0)*
OFFSET(MSP!$F$1,
MATCH(OFFSET($C162,((MATCH($C162,EL_List,0)-1)*-10)-1,0),MSP!$C:$C,0)+MATCH($C162,EL_List,0)-1,0)
*INDEX(Learning!$E$6:$S$41,(MATCH(H$21,Dates,0)),(MATCH($C$151,Learning!$E$4:$S$4,0)+MATCH($C$162,Learning!$E$5:$S$5,0)-1))</f>
        <v>5.301675783314999</v>
      </c>
      <c r="I169" s="533" cm="1">
        <f t="array" aca="1" ref="I169" ca="1">OFFSET(I169,-5,0)*
OFFSET(MSP!$F$1,
MATCH(OFFSET($C162,((MATCH($C162,EL_List,0)-1)*-10)-1,0),MSP!$C:$C,0)+MATCH($C162,EL_List,0)-1,0)
*INDEX(Learning!$E$6:$S$41,(MATCH(I$21,Dates,0)),(MATCH($C$151,Learning!$E$4:$S$4,0)+MATCH($C$162,Learning!$E$5:$S$5,0)-1))</f>
        <v>5.5241379222337166</v>
      </c>
      <c r="J169" s="533" cm="1">
        <f t="array" aca="1" ref="J169" ca="1">OFFSET(J169,-5,0)*
OFFSET(MSP!$F$1,
MATCH(OFFSET($C162,((MATCH($C162,EL_List,0)-1)*-10)-1,0),MSP!$C:$C,0)+MATCH($C162,EL_List,0)-1,0)
*INDEX(Learning!$E$6:$S$41,(MATCH(J$21,Dates,0)),(MATCH($C$151,Learning!$E$4:$S$4,0)+MATCH($C$162,Learning!$E$5:$S$5,0)-1))</f>
        <v>5.7647694053712026</v>
      </c>
      <c r="K169" s="533" cm="1">
        <f t="array" aca="1" ref="K169" ca="1">OFFSET(K169,-5,0)*
OFFSET(MSP!$F$1,
MATCH(OFFSET($C162,((MATCH($C162,EL_List,0)-1)*-10)-1,0),MSP!$C:$C,0)+MATCH($C162,EL_List,0)-1,0)
*INDEX(Learning!$E$6:$S$41,(MATCH(K$21,Dates,0)),(MATCH($C$151,Learning!$E$4:$S$4,0)+MATCH($C$162,Learning!$E$5:$S$5,0)-1))</f>
        <v>6.0309863703655386</v>
      </c>
      <c r="L169" s="533" cm="1">
        <f t="array" aca="1" ref="L169" ca="1">OFFSET(L169,-5,0)*
OFFSET(MSP!$F$1,
MATCH(OFFSET($C162,((MATCH($C162,EL_List,0)-1)*-10)-1,0),MSP!$C:$C,0)+MATCH($C162,EL_List,0)-1,0)
*INDEX(Learning!$E$6:$S$41,(MATCH(L$21,Dates,0)),(MATCH($C$151,Learning!$E$4:$S$4,0)+MATCH($C$162,Learning!$E$5:$S$5,0)-1))</f>
        <v>6.3120500687500085</v>
      </c>
      <c r="M169" s="533" cm="1">
        <f t="array" aca="1" ref="M169" ca="1">OFFSET(M169,-5,0)*
OFFSET(MSP!$F$1,
MATCH(OFFSET($C162,((MATCH($C162,EL_List,0)-1)*-10)-1,0),MSP!$C:$C,0)+MATCH($C162,EL_List,0)-1,0)
*INDEX(Learning!$E$6:$S$41,(MATCH(M$21,Dates,0)),(MATCH($C$151,Learning!$E$4:$S$4,0)+MATCH($C$162,Learning!$E$5:$S$5,0)-1))</f>
        <v>6.6038540693258359</v>
      </c>
      <c r="N169" s="533" cm="1">
        <f t="array" aca="1" ref="N169" ca="1">OFFSET(N169,-5,0)*
OFFSET(MSP!$F$1,
MATCH(OFFSET($C162,((MATCH($C162,EL_List,0)-1)*-10)-1,0),MSP!$C:$C,0)+MATCH($C162,EL_List,0)-1,0)
*INDEX(Learning!$E$6:$S$41,(MATCH(N$21,Dates,0)),(MATCH($C$151,Learning!$E$4:$S$4,0)+MATCH($C$162,Learning!$E$5:$S$5,0)-1))</f>
        <v>6.9106650683972592</v>
      </c>
      <c r="O169" s="533" cm="1">
        <f t="array" aca="1" ref="O169" ca="1">OFFSET(O169,-5,0)*
OFFSET(MSP!$F$1,
MATCH(OFFSET($C162,((MATCH($C162,EL_List,0)-1)*-10)-1,0),MSP!$C:$C,0)+MATCH($C162,EL_List,0)-1,0)
*INDEX(Learning!$E$6:$S$41,(MATCH(O$21,Dates,0)),(MATCH($C$151,Learning!$E$4:$S$4,0)+MATCH($C$162,Learning!$E$5:$S$5,0)-1))</f>
        <v>7.21841533543535</v>
      </c>
      <c r="P169" s="533" cm="1">
        <f t="array" aca="1" ref="P169" ca="1">OFFSET(P169,-5,0)*
OFFSET(MSP!$F$1,
MATCH(OFFSET($C162,((MATCH($C162,EL_List,0)-1)*-10)-1,0),MSP!$C:$C,0)+MATCH($C162,EL_List,0)-1,0)
*INDEX(Learning!$E$6:$S$41,(MATCH(P$21,Dates,0)),(MATCH($C$151,Learning!$E$4:$S$4,0)+MATCH($C$162,Learning!$E$5:$S$5,0)-1))</f>
        <v>7.5428215740664983</v>
      </c>
      <c r="Q169" s="533" cm="1">
        <f t="array" aca="1" ref="Q169" ca="1">OFFSET(Q169,-5,0)*
OFFSET(MSP!$F$1,
MATCH(OFFSET($C162,((MATCH($C162,EL_List,0)-1)*-10)-1,0),MSP!$C:$C,0)+MATCH($C162,EL_List,0)-1,0)
*INDEX(Learning!$E$6:$S$41,(MATCH(Q$21,Dates,0)),(MATCH($C$151,Learning!$E$4:$S$4,0)+MATCH($C$162,Learning!$E$5:$S$5,0)-1))</f>
        <v>7.8789162064269957</v>
      </c>
      <c r="R169" s="533" cm="1">
        <f t="array" aca="1" ref="R169" ca="1">OFFSET(R169,-5,0)*
OFFSET(MSP!$F$1,
MATCH(OFFSET($C162,((MATCH($C162,EL_List,0)-1)*-10)-1,0),MSP!$C:$C,0)+MATCH($C162,EL_List,0)-1,0)
*INDEX(Learning!$E$6:$S$41,(MATCH(R$21,Dates,0)),(MATCH($C$151,Learning!$E$4:$S$4,0)+MATCH($C$162,Learning!$E$5:$S$5,0)-1))</f>
        <v>8.2205380179883107</v>
      </c>
      <c r="S169" s="533" cm="1">
        <f t="array" aca="1" ref="S169" ca="1">OFFSET(S169,-5,0)*
OFFSET(MSP!$F$1,
MATCH(OFFSET($C162,((MATCH($C162,EL_List,0)-1)*-10)-1,0),MSP!$C:$C,0)+MATCH($C162,EL_List,0)-1,0)
*INDEX(Learning!$E$6:$S$41,(MATCH(S$21,Dates,0)),(MATCH($C$151,Learning!$E$4:$S$4,0)+MATCH($C$162,Learning!$E$5:$S$5,0)-1))</f>
        <v>8.5952698572289439</v>
      </c>
      <c r="T169" s="533" cm="1">
        <f t="array" aca="1" ref="T169" ca="1">OFFSET(T169,-5,0)*
OFFSET(MSP!$F$1,
MATCH(OFFSET($C162,((MATCH($C162,EL_List,0)-1)*-10)-1,0),MSP!$C:$C,0)+MATCH($C162,EL_List,0)-1,0)
*INDEX(Learning!$E$6:$S$41,(MATCH(T$21,Dates,0)),(MATCH($C$151,Learning!$E$4:$S$4,0)+MATCH($C$162,Learning!$E$5:$S$5,0)-1))</f>
        <v>8.9785197092850684</v>
      </c>
      <c r="U169" s="533" cm="1">
        <f t="array" aca="1" ref="U169" ca="1">OFFSET(U169,-5,0)*
OFFSET(MSP!$F$1,
MATCH(OFFSET($C162,((MATCH($C162,EL_List,0)-1)*-10)-1,0),MSP!$C:$C,0)+MATCH($C162,EL_List,0)-1,0)
*INDEX(Learning!$E$6:$S$41,(MATCH(U$21,Dates,0)),(MATCH($C$151,Learning!$E$4:$S$4,0)+MATCH($C$162,Learning!$E$5:$S$5,0)-1))</f>
        <v>9.380036545820575</v>
      </c>
      <c r="V169" s="533" cm="1">
        <f t="array" aca="1" ref="V169" ca="1">OFFSET(V169,-5,0)*
OFFSET(MSP!$F$1,
MATCH(OFFSET($C162,((MATCH($C162,EL_List,0)-1)*-10)-1,0),MSP!$C:$C,0)+MATCH($C162,EL_List,0)-1,0)
*INDEX(Learning!$E$6:$S$41,(MATCH(V$21,Dates,0)),(MATCH($C$151,Learning!$E$4:$S$4,0)+MATCH($C$162,Learning!$E$5:$S$5,0)-1))</f>
        <v>9.7985654113522447</v>
      </c>
      <c r="W169" s="533" cm="1">
        <f t="array" aca="1" ref="W169" ca="1">OFFSET(W169,-5,0)*
OFFSET(MSP!$F$1,
MATCH(OFFSET($C162,((MATCH($C162,EL_List,0)-1)*-10)-1,0),MSP!$C:$C,0)+MATCH($C162,EL_List,0)-1,0)
*INDEX(Learning!$E$6:$S$41,(MATCH(W$21,Dates,0)),(MATCH($C$151,Learning!$E$4:$S$4,0)+MATCH($C$162,Learning!$E$5:$S$5,0)-1))</f>
        <v>10.246098114684631</v>
      </c>
      <c r="X169" s="533" cm="1">
        <f t="array" aca="1" ref="X169" ca="1">OFFSET(X169,-5,0)*
OFFSET(MSP!$F$1,
MATCH(OFFSET($C162,((MATCH($C162,EL_List,0)-1)*-10)-1,0),MSP!$C:$C,0)+MATCH($C162,EL_List,0)-1,0)
*INDEX(Learning!$E$6:$S$41,(MATCH(X$21,Dates,0)),(MATCH($C$151,Learning!$E$4:$S$4,0)+MATCH($C$162,Learning!$E$5:$S$5,0)-1))</f>
        <v>10.701552473505572</v>
      </c>
      <c r="Y169" s="533" cm="1">
        <f t="array" aca="1" ref="Y169" ca="1">OFFSET(Y169,-5,0)*
OFFSET(MSP!$F$1,
MATCH(OFFSET($C162,((MATCH($C162,EL_List,0)-1)*-10)-1,0),MSP!$C:$C,0)+MATCH($C162,EL_List,0)-1,0)
*INDEX(Learning!$E$6:$S$41,(MATCH(Y$21,Dates,0)),(MATCH($C$151,Learning!$E$4:$S$4,0)+MATCH($C$162,Learning!$E$5:$S$5,0)-1))</f>
        <v>11.18785900773686</v>
      </c>
      <c r="Z169" s="533" cm="1">
        <f t="array" aca="1" ref="Z169" ca="1">OFFSET(Z169,-5,0)*
OFFSET(MSP!$F$1,
MATCH(OFFSET($C162,((MATCH($C162,EL_List,0)-1)*-10)-1,0),MSP!$C:$C,0)+MATCH($C162,EL_List,0)-1,0)
*INDEX(Learning!$E$6:$S$41,(MATCH(Z$21,Dates,0)),(MATCH($C$151,Learning!$E$4:$S$4,0)+MATCH($C$162,Learning!$E$5:$S$5,0)-1))</f>
        <v>11.694935309529546</v>
      </c>
      <c r="AA169" s="533" cm="1">
        <f t="array" aca="1" ref="AA169" ca="1">OFFSET(AA169,-5,0)*
OFFSET(MSP!$F$1,
MATCH(OFFSET($C162,((MATCH($C162,EL_List,0)-1)*-10)-1,0),MSP!$C:$C,0)+MATCH($C162,EL_List,0)-1,0)
*INDEX(Learning!$E$6:$S$41,(MATCH(AA$21,Dates,0)),(MATCH($C$151,Learning!$E$4:$S$4,0)+MATCH($C$162,Learning!$E$5:$S$5,0)-1))</f>
        <v>12.210506566787188</v>
      </c>
      <c r="AB169" s="533" cm="1">
        <f t="array" aca="1" ref="AB169" ca="1">OFFSET(AB169,-5,0)*
OFFSET(MSP!$F$1,
MATCH(OFFSET($C162,((MATCH($C162,EL_List,0)-1)*-10)-1,0),MSP!$C:$C,0)+MATCH($C162,EL_List,0)-1,0)
*INDEX(Learning!$E$6:$S$41,(MATCH(AB$21,Dates,0)),(MATCH($C$151,Learning!$E$4:$S$4,0)+MATCH($C$162,Learning!$E$5:$S$5,0)-1))</f>
        <v>12.761625436140736</v>
      </c>
      <c r="AC169" s="533" cm="1">
        <f t="array" aca="1" ref="AC169" ca="1">OFFSET(AC169,-5,0)*
OFFSET(MSP!$F$1,
MATCH(OFFSET($C162,((MATCH($C162,EL_List,0)-1)*-10)-1,0),MSP!$C:$C,0)+MATCH($C162,EL_List,0)-1,0)
*INDEX(Learning!$E$6:$S$41,(MATCH(AC$21,Dates,0)),(MATCH($C$151,Learning!$E$4:$S$4,0)+MATCH($C$162,Learning!$E$5:$S$5,0)-1))</f>
        <v>13.336803603252495</v>
      </c>
      <c r="AD169" s="533" cm="1">
        <f t="array" aca="1" ref="AD169" ca="1">OFFSET(AD169,-5,0)*
OFFSET(MSP!$F$1,
MATCH(OFFSET($C162,((MATCH($C162,EL_List,0)-1)*-10)-1,0),MSP!$C:$C,0)+MATCH($C162,EL_List,0)-1,0)
*INDEX(Learning!$E$6:$S$41,(MATCH(AD$21,Dates,0)),(MATCH($C$151,Learning!$E$4:$S$4,0)+MATCH($C$162,Learning!$E$5:$S$5,0)-1))</f>
        <v>13.937177706223602</v>
      </c>
      <c r="AE169" s="533" cm="1">
        <f t="array" aca="1" ref="AE169" ca="1">OFFSET(AE169,-5,0)*
OFFSET(MSP!$F$1,
MATCH(OFFSET($C162,((MATCH($C162,EL_List,0)-1)*-10)-1,0),MSP!$C:$C,0)+MATCH($C162,EL_List,0)-1,0)
*INDEX(Learning!$E$6:$S$41,(MATCH(AE$21,Dates,0)),(MATCH($C$151,Learning!$E$4:$S$4,0)+MATCH($C$162,Learning!$E$5:$S$5,0)-1))</f>
        <v>14.563857881892941</v>
      </c>
      <c r="AF169" s="533" cm="1">
        <f t="array" aca="1" ref="AF169" ca="1">OFFSET(AF169,-5,0)*
OFFSET(MSP!$F$1,
MATCH(OFFSET($C162,((MATCH($C162,EL_List,0)-1)*-10)-1,0),MSP!$C:$C,0)+MATCH($C162,EL_List,0)-1,0)
*INDEX(Learning!$E$6:$S$41,(MATCH(AF$21,Dates,0)),(MATCH($C$151,Learning!$E$4:$S$4,0)+MATCH($C$162,Learning!$E$5:$S$5,0)-1))</f>
        <v>15.217942366648005</v>
      </c>
      <c r="AG169" s="533" cm="1">
        <f t="array" aca="1" ref="AG169" ca="1">OFFSET(AG169,-5,0)*
OFFSET(MSP!$F$1,
MATCH(OFFSET($C162,((MATCH($C162,EL_List,0)-1)*-10)-1,0),MSP!$C:$C,0)+MATCH($C162,EL_List,0)-1,0)
*INDEX(Learning!$E$6:$S$41,(MATCH(AG$21,Dates,0)),(MATCH($C$151,Learning!$E$4:$S$4,0)+MATCH($C$162,Learning!$E$5:$S$5,0)-1))</f>
        <v>15.900549393582473</v>
      </c>
      <c r="AH169" s="533" cm="1">
        <f t="array" aca="1" ref="AH169" ca="1">OFFSET(AH169,-5,0)*
OFFSET(MSP!$F$1,
MATCH(OFFSET($C162,((MATCH($C162,EL_List,0)-1)*-10)-1,0),MSP!$C:$C,0)+MATCH($C162,EL_List,0)-1,0)
*INDEX(Learning!$E$6:$S$41,(MATCH(AH$21,Dates,0)),(MATCH($C$151,Learning!$E$4:$S$4,0)+MATCH($C$162,Learning!$E$5:$S$5,0)-1))</f>
        <v>16.631469347509583</v>
      </c>
      <c r="AI169" s="533" cm="1">
        <f t="array" aca="1" ref="AI169" ca="1">OFFSET(AI169,-5,0)*
OFFSET(MSP!$F$1,
MATCH(OFFSET($C162,((MATCH($C162,EL_List,0)-1)*-10)-1,0),MSP!$C:$C,0)+MATCH($C162,EL_List,0)-1,0)
*INDEX(Learning!$E$6:$S$41,(MATCH(AI$21,Dates,0)),(MATCH($C$151,Learning!$E$4:$S$4,0)+MATCH($C$162,Learning!$E$5:$S$5,0)-1))</f>
        <v>17.375608611327014</v>
      </c>
      <c r="AJ169" s="533" cm="1">
        <f t="array" aca="1" ref="AJ169" ca="1">OFFSET(AJ169,-5,0)*
OFFSET(MSP!$F$1,
MATCH(OFFSET($C162,((MATCH($C162,EL_List,0)-1)*-10)-1,0),MSP!$C:$C,0)+MATCH($C162,EL_List,0)-1,0)
*INDEX(Learning!$E$6:$S$41,(MATCH(AJ$21,Dates,0)),(MATCH($C$151,Learning!$E$4:$S$4,0)+MATCH($C$162,Learning!$E$5:$S$5,0)-1))</f>
        <v>18.152027045681557</v>
      </c>
      <c r="AK169" s="533" cm="1">
        <f t="array" aca="1" ref="AK169" ca="1">OFFSET(AK169,-5,0)*
OFFSET(MSP!$F$1,
MATCH(OFFSET($C162,((MATCH($C162,EL_List,0)-1)*-10)-1,0),MSP!$C:$C,0)+MATCH($C162,EL_List,0)-1,0)
*INDEX(Learning!$E$6:$S$41,(MATCH(AK$21,Dates,0)),(MATCH($C$151,Learning!$E$4:$S$4,0)+MATCH($C$162,Learning!$E$5:$S$5,0)-1))</f>
        <v>18.962114653529294</v>
      </c>
      <c r="AL169" s="533" cm="1">
        <f t="array" aca="1" ref="AL169" ca="1">OFFSET(AL169,-5,0)*
OFFSET(MSP!$F$1,
MATCH(OFFSET($C162,((MATCH($C162,EL_List,0)-1)*-10)-1,0),MSP!$C:$C,0)+MATCH($C162,EL_List,0)-1,0)
*INDEX(Learning!$E$6:$S$41,(MATCH(AL$21,Dates,0)),(MATCH($C$151,Learning!$E$4:$S$4,0)+MATCH($C$162,Learning!$E$5:$S$5,0)-1))</f>
        <v>19.829917047454458</v>
      </c>
      <c r="AM169" s="533" cm="1">
        <f t="array" aca="1" ref="AM169" ca="1">OFFSET(AM169,-5,0)*
OFFSET(MSP!$F$1,
MATCH(OFFSET($C162,((MATCH($C162,EL_List,0)-1)*-10)-1,0),MSP!$C:$C,0)+MATCH($C162,EL_List,0)-1,0)
*INDEX(Learning!$E$6:$S$41,(MATCH(AM$21,Dates,0)),(MATCH($C$151,Learning!$E$4:$S$4,0)+MATCH($C$162,Learning!$E$5:$S$5,0)-1))</f>
        <v>20.712903052972319</v>
      </c>
      <c r="AN169" s="533" cm="1">
        <f t="array" aca="1" ref="AN169" ca="1">OFFSET(AN169,-5,0)*
OFFSET(MSP!$F$1,
MATCH(OFFSET($C162,((MATCH($C162,EL_List,0)-1)*-10)-1,0),MSP!$C:$C,0)+MATCH($C162,EL_List,0)-1,0)
*INDEX(Learning!$E$6:$S$41,(MATCH(AN$21,Dates,0)),(MATCH($C$151,Learning!$E$4:$S$4,0)+MATCH($C$162,Learning!$E$5:$S$5,0)-1))</f>
        <v>21.644964821480098</v>
      </c>
      <c r="AO169" s="436"/>
      <c r="AP169" s="21"/>
    </row>
    <row r="170" spans="2:42" ht="15" customHeight="1" collapsed="1" x14ac:dyDescent="0.35">
      <c r="B170" s="429"/>
      <c r="C170" s="777" t="s">
        <v>215</v>
      </c>
      <c r="D170" s="776"/>
      <c r="E170" s="531" cm="1">
        <f t="array" aca="1" ref="E170" ca="1">OFFSET(E170,-6,0)*
OFFSET(MSP!$G$1,
MATCH(OFFSET($C162,((MATCH($C162,EL_List,0)-1)*-10)-1,0),MSP!$C:$C,0)+MATCH($C162,EL_List,0)-1,0)
*INDEX(Learning!$E$6:$S$41,(MATCH(E$21,Dates,0)),(MATCH($C$151,Learning!$E$4:$S$4,0)+MATCH($C$162,Learning!$E$5:$S$5,0)-1))</f>
        <v>2.8730501125963337</v>
      </c>
      <c r="F170" s="531" cm="1">
        <f t="array" aca="1" ref="F170" ca="1">OFFSET(F170,-6,0)*
OFFSET(MSP!$G$1,
MATCH(OFFSET($C162,((MATCH($C162,EL_List,0)-1)*-10)-1,0),MSP!$C:$C,0)+MATCH($C162,EL_List,0)-1,0)
*INDEX(Learning!$E$6:$S$41,(MATCH(F$21,Dates,0)),(MATCH($C$151,Learning!$E$4:$S$4,0)+MATCH($C$162,Learning!$E$5:$S$5,0)-1))</f>
        <v>2.9784843953157978</v>
      </c>
      <c r="G170" s="531" cm="1">
        <f t="array" aca="1" ref="G170" ca="1">OFFSET(G170,-6,0)*
OFFSET(MSP!$G$1,
MATCH(OFFSET($C162,((MATCH($C162,EL_List,0)-1)*-10)-1,0),MSP!$C:$C,0)+MATCH($C162,EL_List,0)-1,0)
*INDEX(Learning!$E$6:$S$41,(MATCH(G$21,Dates,0)),(MATCH($C$151,Learning!$E$4:$S$4,0)+MATCH($C$162,Learning!$E$5:$S$5,0)-1))</f>
        <v>3.0688030801961581</v>
      </c>
      <c r="H170" s="531" cm="1">
        <f t="array" aca="1" ref="H170" ca="1">OFFSET(H170,-6,0)*
OFFSET(MSP!$G$1,
MATCH(OFFSET($C162,((MATCH($C162,EL_List,0)-1)*-10)-1,0),MSP!$C:$C,0)+MATCH($C162,EL_List,0)-1,0)
*INDEX(Learning!$E$6:$S$41,(MATCH(H$21,Dates,0)),(MATCH($C$151,Learning!$E$4:$S$4,0)+MATCH($C$162,Learning!$E$5:$S$5,0)-1))</f>
        <v>3.1910027449472542</v>
      </c>
      <c r="I170" s="531" cm="1">
        <f t="array" aca="1" ref="I170" ca="1">OFFSET(I170,-6,0)*
OFFSET(MSP!$G$1,
MATCH(OFFSET($C162,((MATCH($C162,EL_List,0)-1)*-10)-1,0),MSP!$C:$C,0)+MATCH($C162,EL_List,0)-1,0)
*INDEX(Learning!$E$6:$S$41,(MATCH(I$21,Dates,0)),(MATCH($C$151,Learning!$E$4:$S$4,0)+MATCH($C$162,Learning!$E$5:$S$5,0)-1))</f>
        <v>3.3248995211647911</v>
      </c>
      <c r="J170" s="531" cm="1">
        <f t="array" aca="1" ref="J170" ca="1">OFFSET(J170,-6,0)*
OFFSET(MSP!$G$1,
MATCH(OFFSET($C162,((MATCH($C162,EL_List,0)-1)*-10)-1,0),MSP!$C:$C,0)+MATCH($C162,EL_List,0)-1,0)
*INDEX(Learning!$E$6:$S$41,(MATCH(J$21,Dates,0)),(MATCH($C$151,Learning!$E$4:$S$4,0)+MATCH($C$162,Learning!$E$5:$S$5,0)-1))</f>
        <v>3.4697321655201816</v>
      </c>
      <c r="K170" s="531" cm="1">
        <f t="array" aca="1" ref="K170" ca="1">OFFSET(K170,-6,0)*
OFFSET(MSP!$G$1,
MATCH(OFFSET($C162,((MATCH($C162,EL_List,0)-1)*-10)-1,0),MSP!$C:$C,0)+MATCH($C162,EL_List,0)-1,0)
*INDEX(Learning!$E$6:$S$41,(MATCH(K$21,Dates,0)),(MATCH($C$151,Learning!$E$4:$S$4,0)+MATCH($C$162,Learning!$E$5:$S$5,0)-1))</f>
        <v>3.6299643450740366</v>
      </c>
      <c r="L170" s="531" cm="1">
        <f t="array" aca="1" ref="L170" ca="1">OFFSET(L170,-6,0)*
OFFSET(MSP!$G$1,
MATCH(OFFSET($C162,((MATCH($C162,EL_List,0)-1)*-10)-1,0),MSP!$C:$C,0)+MATCH($C162,EL_List,0)-1,0)
*INDEX(Learning!$E$6:$S$41,(MATCH(L$21,Dates,0)),(MATCH($C$151,Learning!$E$4:$S$4,0)+MATCH($C$162,Learning!$E$5:$S$5,0)-1))</f>
        <v>3.7991325608809032</v>
      </c>
      <c r="M170" s="531" cm="1">
        <f t="array" aca="1" ref="M170" ca="1">OFFSET(M170,-6,0)*
OFFSET(MSP!$G$1,
MATCH(OFFSET($C162,((MATCH($C162,EL_List,0)-1)*-10)-1,0),MSP!$C:$C,0)+MATCH($C162,EL_List,0)-1,0)
*INDEX(Learning!$E$6:$S$41,(MATCH(M$21,Dates,0)),(MATCH($C$151,Learning!$E$4:$S$4,0)+MATCH($C$162,Learning!$E$5:$S$5,0)-1))</f>
        <v>3.9747652107978384</v>
      </c>
      <c r="N170" s="531" cm="1">
        <f t="array" aca="1" ref="N170" ca="1">OFFSET(N170,-6,0)*
OFFSET(MSP!$G$1,
MATCH(OFFSET($C162,((MATCH($C162,EL_List,0)-1)*-10)-1,0),MSP!$C:$C,0)+MATCH($C162,EL_List,0)-1,0)
*INDEX(Learning!$E$6:$S$41,(MATCH(N$21,Dates,0)),(MATCH($C$151,Learning!$E$4:$S$4,0)+MATCH($C$162,Learning!$E$5:$S$5,0)-1))</f>
        <v>4.1594303582400975</v>
      </c>
      <c r="O170" s="531" cm="1">
        <f t="array" aca="1" ref="O170" ca="1">OFFSET(O170,-6,0)*
OFFSET(MSP!$G$1,
MATCH(OFFSET($C162,((MATCH($C162,EL_List,0)-1)*-10)-1,0),MSP!$C:$C,0)+MATCH($C162,EL_List,0)-1,0)
*INDEX(Learning!$E$6:$S$41,(MATCH(O$21,Dates,0)),(MATCH($C$151,Learning!$E$4:$S$4,0)+MATCH($C$162,Learning!$E$5:$S$5,0)-1))</f>
        <v>4.3446608376231204</v>
      </c>
      <c r="P170" s="531" cm="1">
        <f t="array" aca="1" ref="P170" ca="1">OFFSET(P170,-6,0)*
OFFSET(MSP!$G$1,
MATCH(OFFSET($C162,((MATCH($C162,EL_List,0)-1)*-10)-1,0),MSP!$C:$C,0)+MATCH($C162,EL_List,0)-1,0)
*INDEX(Learning!$E$6:$S$41,(MATCH(P$21,Dates,0)),(MATCH($C$151,Learning!$E$4:$S$4,0)+MATCH($C$162,Learning!$E$5:$S$5,0)-1))</f>
        <v>4.5399163078289453</v>
      </c>
      <c r="Q170" s="531" cm="1">
        <f t="array" aca="1" ref="Q170" ca="1">OFFSET(Q170,-6,0)*
OFFSET(MSP!$G$1,
MATCH(OFFSET($C162,((MATCH($C162,EL_List,0)-1)*-10)-1,0),MSP!$C:$C,0)+MATCH($C162,EL_List,0)-1,0)
*INDEX(Learning!$E$6:$S$41,(MATCH(Q$21,Dates,0)),(MATCH($C$151,Learning!$E$4:$S$4,0)+MATCH($C$162,Learning!$E$5:$S$5,0)-1))</f>
        <v>4.742206854866847</v>
      </c>
      <c r="R170" s="531" cm="1">
        <f t="array" aca="1" ref="R170" ca="1">OFFSET(R170,-6,0)*
OFFSET(MSP!$G$1,
MATCH(OFFSET($C162,((MATCH($C162,EL_List,0)-1)*-10)-1,0),MSP!$C:$C,0)+MATCH($C162,EL_List,0)-1,0)
*INDEX(Learning!$E$6:$S$41,(MATCH(R$21,Dates,0)),(MATCH($C$151,Learning!$E$4:$S$4,0)+MATCH($C$162,Learning!$E$5:$S$5,0)-1))</f>
        <v>4.9478241319279475</v>
      </c>
      <c r="S170" s="531" cm="1">
        <f t="array" aca="1" ref="S170" ca="1">OFFSET(S170,-6,0)*
OFFSET(MSP!$G$1,
MATCH(OFFSET($C162,((MATCH($C162,EL_List,0)-1)*-10)-1,0),MSP!$C:$C,0)+MATCH($C162,EL_List,0)-1,0)
*INDEX(Learning!$E$6:$S$41,(MATCH(S$21,Dates,0)),(MATCH($C$151,Learning!$E$4:$S$4,0)+MATCH($C$162,Learning!$E$5:$S$5,0)-1))</f>
        <v>5.1733698605821274</v>
      </c>
      <c r="T170" s="531" cm="1">
        <f t="array" aca="1" ref="T170" ca="1">OFFSET(T170,-6,0)*
OFFSET(MSP!$G$1,
MATCH(OFFSET($C162,((MATCH($C162,EL_List,0)-1)*-10)-1,0),MSP!$C:$C,0)+MATCH($C162,EL_List,0)-1,0)
*INDEX(Learning!$E$6:$S$41,(MATCH(T$21,Dates,0)),(MATCH($C$151,Learning!$E$4:$S$4,0)+MATCH($C$162,Learning!$E$5:$S$5,0)-1))</f>
        <v>5.4040424591896254</v>
      </c>
      <c r="U170" s="531" cm="1">
        <f t="array" aca="1" ref="U170" ca="1">OFFSET(U170,-6,0)*
OFFSET(MSP!$G$1,
MATCH(OFFSET($C162,((MATCH($C162,EL_List,0)-1)*-10)-1,0),MSP!$C:$C,0)+MATCH($C162,EL_List,0)-1,0)
*INDEX(Learning!$E$6:$S$41,(MATCH(U$21,Dates,0)),(MATCH($C$151,Learning!$E$4:$S$4,0)+MATCH($C$162,Learning!$E$5:$S$5,0)-1))</f>
        <v>5.6457096942098355</v>
      </c>
      <c r="V170" s="531" cm="1">
        <f t="array" aca="1" ref="V170" ca="1">OFFSET(V170,-6,0)*
OFFSET(MSP!$G$1,
MATCH(OFFSET($C162,((MATCH($C162,EL_List,0)-1)*-10)-1,0),MSP!$C:$C,0)+MATCH($C162,EL_List,0)-1,0)
*INDEX(Learning!$E$6:$S$41,(MATCH(V$21,Dates,0)),(MATCH($C$151,Learning!$E$4:$S$4,0)+MATCH($C$162,Learning!$E$5:$S$5,0)-1))</f>
        <v>5.8976162259057716</v>
      </c>
      <c r="W170" s="531" cm="1">
        <f t="array" aca="1" ref="W170" ca="1">OFFSET(W170,-6,0)*
OFFSET(MSP!$G$1,
MATCH(OFFSET($C162,((MATCH($C162,EL_List,0)-1)*-10)-1,0),MSP!$C:$C,0)+MATCH($C162,EL_List,0)-1,0)
*INDEX(Learning!$E$6:$S$41,(MATCH(W$21,Dates,0)),(MATCH($C$151,Learning!$E$4:$S$4,0)+MATCH($C$162,Learning!$E$5:$S$5,0)-1))</f>
        <v>6.1669797522990004</v>
      </c>
      <c r="X170" s="531" cm="1">
        <f t="array" aca="1" ref="X170" ca="1">OFFSET(X170,-6,0)*
OFFSET(MSP!$G$1,
MATCH(OFFSET($C162,((MATCH($C162,EL_List,0)-1)*-10)-1,0),MSP!$C:$C,0)+MATCH($C162,EL_List,0)-1,0)
*INDEX(Learning!$E$6:$S$41,(MATCH(X$21,Dates,0)),(MATCH($C$151,Learning!$E$4:$S$4,0)+MATCH($C$162,Learning!$E$5:$S$5,0)-1))</f>
        <v>6.4411112097090699</v>
      </c>
      <c r="Y170" s="531" cm="1">
        <f t="array" aca="1" ref="Y170" ca="1">OFFSET(Y170,-6,0)*
OFFSET(MSP!$G$1,
MATCH(OFFSET($C162,((MATCH($C162,EL_List,0)-1)*-10)-1,0),MSP!$C:$C,0)+MATCH($C162,EL_List,0)-1,0)
*INDEX(Learning!$E$6:$S$41,(MATCH(Y$21,Dates,0)),(MATCH($C$151,Learning!$E$4:$S$4,0)+MATCH($C$162,Learning!$E$5:$S$5,0)-1))</f>
        <v>6.7338121497592969</v>
      </c>
      <c r="Z170" s="531" cm="1">
        <f t="array" aca="1" ref="Z170" ca="1">OFFSET(Z170,-6,0)*
OFFSET(MSP!$G$1,
MATCH(OFFSET($C162,((MATCH($C162,EL_List,0)-1)*-10)-1,0),MSP!$C:$C,0)+MATCH($C162,EL_List,0)-1,0)
*INDEX(Learning!$E$6:$S$41,(MATCH(Z$21,Dates,0)),(MATCH($C$151,Learning!$E$4:$S$4,0)+MATCH($C$162,Learning!$E$5:$S$5,0)-1))</f>
        <v>7.0390141155246235</v>
      </c>
      <c r="AA170" s="531" cm="1">
        <f t="array" aca="1" ref="AA170" ca="1">OFFSET(AA170,-6,0)*
OFFSET(MSP!$G$1,
MATCH(OFFSET($C162,((MATCH($C162,EL_List,0)-1)*-10)-1,0),MSP!$C:$C,0)+MATCH($C162,EL_List,0)-1,0)
*INDEX(Learning!$E$6:$S$41,(MATCH(AA$21,Dates,0)),(MATCH($C$151,Learning!$E$4:$S$4,0)+MATCH($C$162,Learning!$E$5:$S$5,0)-1))</f>
        <v>7.3493290733541183</v>
      </c>
      <c r="AB170" s="531" cm="1">
        <f t="array" aca="1" ref="AB170" ca="1">OFFSET(AB170,-6,0)*
OFFSET(MSP!$G$1,
MATCH(OFFSET($C162,((MATCH($C162,EL_List,0)-1)*-10)-1,0),MSP!$C:$C,0)+MATCH($C162,EL_List,0)-1,0)
*INDEX(Learning!$E$6:$S$41,(MATCH(AB$21,Dates,0)),(MATCH($C$151,Learning!$E$4:$S$4,0)+MATCH($C$162,Learning!$E$5:$S$5,0)-1))</f>
        <v>7.6810396299358672</v>
      </c>
      <c r="AC170" s="531" cm="1">
        <f t="array" aca="1" ref="AC170" ca="1">OFFSET(AC170,-6,0)*
OFFSET(MSP!$G$1,
MATCH(OFFSET($C162,((MATCH($C162,EL_List,0)-1)*-10)-1,0),MSP!$C:$C,0)+MATCH($C162,EL_List,0)-1,0)
*INDEX(Learning!$E$6:$S$41,(MATCH(AC$21,Dates,0)),(MATCH($C$151,Learning!$E$4:$S$4,0)+MATCH($C$162,Learning!$E$5:$S$5,0)-1))</f>
        <v>8.0272311333589084</v>
      </c>
      <c r="AD170" s="531" cm="1">
        <f t="array" aca="1" ref="AD170" ca="1">OFFSET(AD170,-6,0)*
OFFSET(MSP!$G$1,
MATCH(OFFSET($C162,((MATCH($C162,EL_List,0)-1)*-10)-1,0),MSP!$C:$C,0)+MATCH($C162,EL_List,0)-1,0)
*INDEX(Learning!$E$6:$S$41,(MATCH(AD$21,Dates,0)),(MATCH($C$151,Learning!$E$4:$S$4,0)+MATCH($C$162,Learning!$E$5:$S$5,0)-1))</f>
        <v>8.3885877098220121</v>
      </c>
      <c r="AE170" s="531" cm="1">
        <f t="array" aca="1" ref="AE170" ca="1">OFFSET(AE170,-6,0)*
OFFSET(MSP!$G$1,
MATCH(OFFSET($C162,((MATCH($C162,EL_List,0)-1)*-10)-1,0),MSP!$C:$C,0)+MATCH($C162,EL_List,0)-1,0)
*INDEX(Learning!$E$6:$S$41,(MATCH(AE$21,Dates,0)),(MATCH($C$151,Learning!$E$4:$S$4,0)+MATCH($C$162,Learning!$E$5:$S$5,0)-1))</f>
        <v>8.7657775347936369</v>
      </c>
      <c r="AF170" s="531" cm="1">
        <f t="array" aca="1" ref="AF170" ca="1">OFFSET(AF170,-6,0)*
OFFSET(MSP!$G$1,
MATCH(OFFSET($C162,((MATCH($C162,EL_List,0)-1)*-10)-1,0),MSP!$C:$C,0)+MATCH($C162,EL_List,0)-1,0)
*INDEX(Learning!$E$6:$S$41,(MATCH(AF$21,Dates,0)),(MATCH($C$151,Learning!$E$4:$S$4,0)+MATCH($C$162,Learning!$E$5:$S$5,0)-1))</f>
        <v>9.1594616210309425</v>
      </c>
      <c r="AG170" s="531" cm="1">
        <f t="array" aca="1" ref="AG170" ca="1">OFFSET(AG170,-6,0)*
OFFSET(MSP!$G$1,
MATCH(OFFSET($C162,((MATCH($C162,EL_List,0)-1)*-10)-1,0),MSP!$C:$C,0)+MATCH($C162,EL_List,0)-1,0)
*INDEX(Learning!$E$6:$S$41,(MATCH(AG$21,Dates,0)),(MATCH($C$151,Learning!$E$4:$S$4,0)+MATCH($C$162,Learning!$E$5:$S$5,0)-1))</f>
        <v>9.5703130170222313</v>
      </c>
      <c r="AH170" s="531" cm="1">
        <f t="array" aca="1" ref="AH170" ca="1">OFFSET(AH170,-6,0)*
OFFSET(MSP!$G$1,
MATCH(OFFSET($C162,((MATCH($C162,EL_List,0)-1)*-10)-1,0),MSP!$C:$C,0)+MATCH($C162,EL_List,0)-1,0)
*INDEX(Learning!$E$6:$S$41,(MATCH(AH$21,Dates,0)),(MATCH($C$151,Learning!$E$4:$S$4,0)+MATCH($C$162,Learning!$E$5:$S$5,0)-1))</f>
        <v>10.010243272029214</v>
      </c>
      <c r="AI170" s="531" cm="1">
        <f t="array" aca="1" ref="AI170" ca="1">OFFSET(AI170,-6,0)*
OFFSET(MSP!$G$1,
MATCH(OFFSET($C162,((MATCH($C162,EL_List,0)-1)*-10)-1,0),MSP!$C:$C,0)+MATCH($C162,EL_List,0)-1,0)
*INDEX(Learning!$E$6:$S$41,(MATCH(AI$21,Dates,0)),(MATCH($C$151,Learning!$E$4:$S$4,0)+MATCH($C$162,Learning!$E$5:$S$5,0)-1))</f>
        <v>10.458130040386013</v>
      </c>
      <c r="AJ170" s="531" cm="1">
        <f t="array" aca="1" ref="AJ170" ca="1">OFFSET(AJ170,-6,0)*
OFFSET(MSP!$G$1,
MATCH(OFFSET($C162,((MATCH($C162,EL_List,0)-1)*-10)-1,0),MSP!$C:$C,0)+MATCH($C162,EL_List,0)-1,0)
*INDEX(Learning!$E$6:$S$41,(MATCH(AJ$21,Dates,0)),(MATCH($C$151,Learning!$E$4:$S$4,0)+MATCH($C$162,Learning!$E$5:$S$5,0)-1))</f>
        <v>10.925445179318151</v>
      </c>
      <c r="AK170" s="531" cm="1">
        <f t="array" aca="1" ref="AK170" ca="1">OFFSET(AK170,-6,0)*
OFFSET(MSP!$G$1,
MATCH(OFFSET($C162,((MATCH($C162,EL_List,0)-1)*-10)-1,0),MSP!$C:$C,0)+MATCH($C162,EL_List,0)-1,0)
*INDEX(Learning!$E$6:$S$41,(MATCH(AK$21,Dates,0)),(MATCH($C$151,Learning!$E$4:$S$4,0)+MATCH($C$162,Learning!$E$5:$S$5,0)-1))</f>
        <v>11.413025311702928</v>
      </c>
      <c r="AL170" s="531" cm="1">
        <f t="array" aca="1" ref="AL170" ca="1">OFFSET(AL170,-6,0)*
OFFSET(MSP!$G$1,
MATCH(OFFSET($C162,((MATCH($C162,EL_List,0)-1)*-10)-1,0),MSP!$C:$C,0)+MATCH($C162,EL_List,0)-1,0)
*INDEX(Learning!$E$6:$S$41,(MATCH(AL$21,Dates,0)),(MATCH($C$151,Learning!$E$4:$S$4,0)+MATCH($C$162,Learning!$E$5:$S$5,0)-1))</f>
        <v>11.935343147471359</v>
      </c>
      <c r="AM170" s="531" cm="1">
        <f t="array" aca="1" ref="AM170" ca="1">OFFSET(AM170,-6,0)*
OFFSET(MSP!$G$1,
MATCH(OFFSET($C162,((MATCH($C162,EL_List,0)-1)*-10)-1,0),MSP!$C:$C,0)+MATCH($C162,EL_List,0)-1,0)
*INDEX(Learning!$E$6:$S$41,(MATCH(AM$21,Dates,0)),(MATCH($C$151,Learning!$E$4:$S$4,0)+MATCH($C$162,Learning!$E$5:$S$5,0)-1))</f>
        <v>12.466799781659526</v>
      </c>
      <c r="AN170" s="531" cm="1">
        <f t="array" aca="1" ref="AN170" ca="1">OFFSET(AN170,-6,0)*
OFFSET(MSP!$G$1,
MATCH(OFFSET($C162,((MATCH($C162,EL_List,0)-1)*-10)-1,0),MSP!$C:$C,0)+MATCH($C162,EL_List,0)-1,0)
*INDEX(Learning!$E$6:$S$41,(MATCH(AN$21,Dates,0)),(MATCH($C$151,Learning!$E$4:$S$4,0)+MATCH($C$162,Learning!$E$5:$S$5,0)-1))</f>
        <v>13.02779441492792</v>
      </c>
      <c r="AO170" s="436"/>
      <c r="AP170" s="21"/>
    </row>
    <row r="171" spans="2:42" ht="15" customHeight="1" x14ac:dyDescent="0.35">
      <c r="B171" s="429"/>
      <c r="C171" s="776"/>
      <c r="D171" s="776"/>
      <c r="E171" s="776"/>
      <c r="F171" s="776"/>
      <c r="G171" s="776"/>
      <c r="H171" s="776"/>
      <c r="I171" s="776"/>
      <c r="J171" s="776"/>
      <c r="K171" s="776"/>
      <c r="L171" s="776"/>
      <c r="M171" s="776"/>
      <c r="N171" s="776"/>
      <c r="O171" s="776"/>
      <c r="P171" s="776"/>
      <c r="Q171" s="776"/>
      <c r="R171" s="776"/>
      <c r="S171" s="776"/>
      <c r="T171" s="776"/>
      <c r="U171" s="776"/>
      <c r="V171" s="776"/>
      <c r="W171" s="776"/>
      <c r="X171" s="776"/>
      <c r="Y171" s="776"/>
      <c r="Z171" s="776"/>
      <c r="AA171" s="776"/>
      <c r="AB171" s="776"/>
      <c r="AC171" s="776"/>
      <c r="AD171" s="776"/>
      <c r="AE171" s="776"/>
      <c r="AF171" s="776"/>
      <c r="AG171" s="776"/>
      <c r="AH171" s="776"/>
      <c r="AI171" s="776"/>
      <c r="AJ171" s="776"/>
      <c r="AK171" s="776"/>
      <c r="AL171" s="776"/>
      <c r="AM171" s="776"/>
      <c r="AN171" s="776"/>
      <c r="AO171" s="436"/>
      <c r="AP171" s="21"/>
    </row>
    <row r="172" spans="2:42" ht="15" customHeight="1" x14ac:dyDescent="0.35">
      <c r="B172" s="429"/>
      <c r="C172" s="772" t="s">
        <v>344</v>
      </c>
      <c r="D172" s="776"/>
      <c r="E172" s="776"/>
      <c r="F172" s="776"/>
      <c r="G172" s="776"/>
      <c r="H172" s="776"/>
      <c r="I172" s="776"/>
      <c r="J172" s="776"/>
      <c r="K172" s="776"/>
      <c r="L172" s="776"/>
      <c r="M172" s="776"/>
      <c r="N172" s="776"/>
      <c r="O172" s="776"/>
      <c r="P172" s="776"/>
      <c r="Q172" s="776"/>
      <c r="R172" s="776"/>
      <c r="S172" s="776"/>
      <c r="T172" s="776"/>
      <c r="U172" s="776"/>
      <c r="V172" s="776"/>
      <c r="W172" s="776"/>
      <c r="X172" s="776"/>
      <c r="Y172" s="776"/>
      <c r="Z172" s="776"/>
      <c r="AA172" s="776"/>
      <c r="AB172" s="776"/>
      <c r="AC172" s="776"/>
      <c r="AD172" s="776"/>
      <c r="AE172" s="776"/>
      <c r="AF172" s="776"/>
      <c r="AG172" s="776"/>
      <c r="AH172" s="776"/>
      <c r="AI172" s="776"/>
      <c r="AJ172" s="776"/>
      <c r="AK172" s="776"/>
      <c r="AL172" s="776"/>
      <c r="AM172" s="776"/>
      <c r="AN172" s="776"/>
      <c r="AO172" s="436"/>
      <c r="AP172" s="21"/>
    </row>
    <row r="173" spans="2:42" ht="15" customHeight="1" x14ac:dyDescent="0.35">
      <c r="B173" s="429"/>
      <c r="C173" s="777" t="s">
        <v>10</v>
      </c>
      <c r="D173" s="776"/>
      <c r="E173" s="778" cm="1">
        <f t="array" aca="1" ref="E173" ca="1">OFFSET(MSP!$C$1,
MATCH(OFFSET($C172,((MATCH($C172,EL_List,0)-1)*-10)-1,0),MSP!$C:$C,0)+MATCH($C172,EL_List,0)-1,
MATCH(OFFSET($C172,((MATCH($C172,EL_List,0)-1)*-10)-3,0),MSP!$D$5:$N$5,0)+1)
*INDEX(Learning!$E$6:$S$41,(MATCH(E$21,Dates,0)),(MATCH($C$151,Learning!$E$4:$S$4,0)+MATCH($C$172,Learning!$E$5:$S$5,0)-1))</f>
        <v>109.54025</v>
      </c>
      <c r="F173" s="778" cm="1">
        <f t="array" aca="1" ref="F173" ca="1">OFFSET(MSP!$C$1,
MATCH(OFFSET($C172,((MATCH($C172,EL_List,0)-1)*-10)-1,0),MSP!$C:$C,0)+MATCH($C172,EL_List,0)-1,
MATCH(OFFSET($C172,((MATCH($C172,EL_List,0)-1)*-10)-3,0),MSP!$D$5:$N$5,0)+1)
*INDEX(Learning!$E$6:$S$41,(MATCH(F$21,Dates,0)),(MATCH($C$151,Learning!$E$4:$S$4,0)+MATCH($C$172,Learning!$E$5:$S$5,0)-1))</f>
        <v>108.69925000000001</v>
      </c>
      <c r="G173" s="778" cm="1">
        <f t="array" aca="1" ref="G173" ca="1">OFFSET(MSP!$C$1,
MATCH(OFFSET($C172,((MATCH($C172,EL_List,0)-1)*-10)-1,0),MSP!$C:$C,0)+MATCH($C172,EL_List,0)-1,
MATCH(OFFSET($C172,((MATCH($C172,EL_List,0)-1)*-10)-3,0),MSP!$D$5:$N$5,0)+1)
*INDEX(Learning!$E$6:$S$41,(MATCH(G$21,Dates,0)),(MATCH($C$151,Learning!$E$4:$S$4,0)+MATCH($C$172,Learning!$E$5:$S$5,0)-1))</f>
        <v>107.96337499999998</v>
      </c>
      <c r="H173" s="778" cm="1">
        <f t="array" aca="1" ref="H173" ca="1">OFFSET(MSP!$C$1,
MATCH(OFFSET($C172,((MATCH($C172,EL_List,0)-1)*-10)-1,0),MSP!$C:$C,0)+MATCH($C172,EL_List,0)-1,
MATCH(OFFSET($C172,((MATCH($C172,EL_List,0)-1)*-10)-3,0),MSP!$D$5:$N$5,0)+1)
*INDEX(Learning!$E$6:$S$41,(MATCH(H$21,Dates,0)),(MATCH($C$151,Learning!$E$4:$S$4,0)+MATCH($C$172,Learning!$E$5:$S$5,0)-1))</f>
        <v>107.12237499999999</v>
      </c>
      <c r="I173" s="778" cm="1">
        <f t="array" aca="1" ref="I173" ca="1">OFFSET(MSP!$C$1,
MATCH(OFFSET($C172,((MATCH($C172,EL_List,0)-1)*-10)-1,0),MSP!$C:$C,0)+MATCH($C172,EL_List,0)-1,
MATCH(OFFSET($C172,((MATCH($C172,EL_List,0)-1)*-10)-3,0),MSP!$D$5:$N$5,0)+1)
*INDEX(Learning!$E$6:$S$41,(MATCH(I$21,Dates,0)),(MATCH($C$151,Learning!$E$4:$S$4,0)+MATCH($C$172,Learning!$E$5:$S$5,0)-1))</f>
        <v>106.49162499999998</v>
      </c>
      <c r="J173" s="778" cm="1">
        <f t="array" aca="1" ref="J173" ca="1">OFFSET(MSP!$C$1,
MATCH(OFFSET($C172,((MATCH($C172,EL_List,0)-1)*-10)-1,0),MSP!$C:$C,0)+MATCH($C172,EL_List,0)-1,
MATCH(OFFSET($C172,((MATCH($C172,EL_List,0)-1)*-10)-3,0),MSP!$D$5:$N$5,0)+1)
*INDEX(Learning!$E$6:$S$41,(MATCH(J$21,Dates,0)),(MATCH($C$151,Learning!$E$4:$S$4,0)+MATCH($C$172,Learning!$E$5:$S$5,0)-1))</f>
        <v>105.75575000000001</v>
      </c>
      <c r="K173" s="778" cm="1">
        <f t="array" aca="1" ref="K173" ca="1">OFFSET(MSP!$C$1,
MATCH(OFFSET($C172,((MATCH($C172,EL_List,0)-1)*-10)-1,0),MSP!$C:$C,0)+MATCH($C172,EL_List,0)-1,
MATCH(OFFSET($C172,((MATCH($C172,EL_List,0)-1)*-10)-3,0),MSP!$D$5:$N$5,0)+1)
*INDEX(Learning!$E$6:$S$41,(MATCH(K$21,Dates,0)),(MATCH($C$151,Learning!$E$4:$S$4,0)+MATCH($C$172,Learning!$E$5:$S$5,0)-1))</f>
        <v>105.125</v>
      </c>
      <c r="L173" s="778" cm="1">
        <f t="array" aca="1" ref="L173" ca="1">OFFSET(MSP!$C$1,
MATCH(OFFSET($C172,((MATCH($C172,EL_List,0)-1)*-10)-1,0),MSP!$C:$C,0)+MATCH($C172,EL_List,0)-1,
MATCH(OFFSET($C172,((MATCH($C172,EL_List,0)-1)*-10)-3,0),MSP!$D$5:$N$5,0)+1)
*INDEX(Learning!$E$6:$S$41,(MATCH(L$21,Dates,0)),(MATCH($C$151,Learning!$E$4:$S$4,0)+MATCH($C$172,Learning!$E$5:$S$5,0)-1))</f>
        <v>104.49424999999999</v>
      </c>
      <c r="M173" s="778" cm="1">
        <f t="array" aca="1" ref="M173" ca="1">OFFSET(MSP!$C$1,
MATCH(OFFSET($C172,((MATCH($C172,EL_List,0)-1)*-10)-1,0),MSP!$C:$C,0)+MATCH($C172,EL_List,0)-1,
MATCH(OFFSET($C172,((MATCH($C172,EL_List,0)-1)*-10)-3,0),MSP!$D$5:$N$5,0)+1)
*INDEX(Learning!$E$6:$S$41,(MATCH(M$21,Dates,0)),(MATCH($C$151,Learning!$E$4:$S$4,0)+MATCH($C$172,Learning!$E$5:$S$5,0)-1))</f>
        <v>103.8635</v>
      </c>
      <c r="N173" s="778" cm="1">
        <f t="array" aca="1" ref="N173" ca="1">OFFSET(MSP!$C$1,
MATCH(OFFSET($C172,((MATCH($C172,EL_List,0)-1)*-10)-1,0),MSP!$C:$C,0)+MATCH($C172,EL_List,0)-1,
MATCH(OFFSET($C172,((MATCH($C172,EL_List,0)-1)*-10)-3,0),MSP!$D$5:$N$5,0)+1)
*INDEX(Learning!$E$6:$S$41,(MATCH(N$21,Dates,0)),(MATCH($C$151,Learning!$E$4:$S$4,0)+MATCH($C$172,Learning!$E$5:$S$5,0)-1))</f>
        <v>103.23275</v>
      </c>
      <c r="O173" s="778" cm="1">
        <f t="array" aca="1" ref="O173" ca="1">OFFSET(MSP!$C$1,
MATCH(OFFSET($C172,((MATCH($C172,EL_List,0)-1)*-10)-1,0),MSP!$C:$C,0)+MATCH($C172,EL_List,0)-1,
MATCH(OFFSET($C172,((MATCH($C172,EL_List,0)-1)*-10)-3,0),MSP!$D$5:$N$5,0)+1)
*INDEX(Learning!$E$6:$S$41,(MATCH(O$21,Dates,0)),(MATCH($C$151,Learning!$E$4:$S$4,0)+MATCH($C$172,Learning!$E$5:$S$5,0)-1))</f>
        <v>102.707125</v>
      </c>
      <c r="P173" s="778" cm="1">
        <f t="array" aca="1" ref="P173" ca="1">OFFSET(MSP!$C$1,
MATCH(OFFSET($C172,((MATCH($C172,EL_List,0)-1)*-10)-1,0),MSP!$C:$C,0)+MATCH($C172,EL_List,0)-1,
MATCH(OFFSET($C172,((MATCH($C172,EL_List,0)-1)*-10)-3,0),MSP!$D$5:$N$5,0)+1)
*INDEX(Learning!$E$6:$S$41,(MATCH(P$21,Dates,0)),(MATCH($C$151,Learning!$E$4:$S$4,0)+MATCH($C$172,Learning!$E$5:$S$5,0)-1))</f>
        <v>102.1815</v>
      </c>
      <c r="Q173" s="778" cm="1">
        <f t="array" aca="1" ref="Q173" ca="1">OFFSET(MSP!$C$1,
MATCH(OFFSET($C172,((MATCH($C172,EL_List,0)-1)*-10)-1,0),MSP!$C:$C,0)+MATCH($C172,EL_List,0)-1,
MATCH(OFFSET($C172,((MATCH($C172,EL_List,0)-1)*-10)-3,0),MSP!$D$5:$N$5,0)+1)
*INDEX(Learning!$E$6:$S$41,(MATCH(Q$21,Dates,0)),(MATCH($C$151,Learning!$E$4:$S$4,0)+MATCH($C$172,Learning!$E$5:$S$5,0)-1))</f>
        <v>101.55074999999999</v>
      </c>
      <c r="R173" s="778" cm="1">
        <f t="array" aca="1" ref="R173" ca="1">OFFSET(MSP!$C$1,
MATCH(OFFSET($C172,((MATCH($C172,EL_List,0)-1)*-10)-1,0),MSP!$C:$C,0)+MATCH($C172,EL_List,0)-1,
MATCH(OFFSET($C172,((MATCH($C172,EL_List,0)-1)*-10)-3,0),MSP!$D$5:$N$5,0)+1)
*INDEX(Learning!$E$6:$S$41,(MATCH(R$21,Dates,0)),(MATCH($C$151,Learning!$E$4:$S$4,0)+MATCH($C$172,Learning!$E$5:$S$5,0)-1))</f>
        <v>101.025125</v>
      </c>
      <c r="S173" s="778" cm="1">
        <f t="array" aca="1" ref="S173" ca="1">OFFSET(MSP!$C$1,
MATCH(OFFSET($C172,((MATCH($C172,EL_List,0)-1)*-10)-1,0),MSP!$C:$C,0)+MATCH($C172,EL_List,0)-1,
MATCH(OFFSET($C172,((MATCH($C172,EL_List,0)-1)*-10)-3,0),MSP!$D$5:$N$5,0)+1)
*INDEX(Learning!$E$6:$S$41,(MATCH(S$21,Dates,0)),(MATCH($C$151,Learning!$E$4:$S$4,0)+MATCH($C$172,Learning!$E$5:$S$5,0)-1))</f>
        <v>100.4995</v>
      </c>
      <c r="T173" s="778" cm="1">
        <f t="array" aca="1" ref="T173" ca="1">OFFSET(MSP!$C$1,
MATCH(OFFSET($C172,((MATCH($C172,EL_List,0)-1)*-10)-1,0),MSP!$C:$C,0)+MATCH($C172,EL_List,0)-1,
MATCH(OFFSET($C172,((MATCH($C172,EL_List,0)-1)*-10)-3,0),MSP!$D$5:$N$5,0)+1)
*INDEX(Learning!$E$6:$S$41,(MATCH(T$21,Dates,0)),(MATCH($C$151,Learning!$E$4:$S$4,0)+MATCH($C$172,Learning!$E$5:$S$5,0)-1))</f>
        <v>99.973874999999992</v>
      </c>
      <c r="U173" s="778" cm="1">
        <f t="array" aca="1" ref="U173" ca="1">OFFSET(MSP!$C$1,
MATCH(OFFSET($C172,((MATCH($C172,EL_List,0)-1)*-10)-1,0),MSP!$C:$C,0)+MATCH($C172,EL_List,0)-1,
MATCH(OFFSET($C172,((MATCH($C172,EL_List,0)-1)*-10)-3,0),MSP!$D$5:$N$5,0)+1)
*INDEX(Learning!$E$6:$S$41,(MATCH(U$21,Dates,0)),(MATCH($C$151,Learning!$E$4:$S$4,0)+MATCH($C$172,Learning!$E$5:$S$5,0)-1))</f>
        <v>99.553374999999988</v>
      </c>
      <c r="V173" s="778" cm="1">
        <f t="array" aca="1" ref="V173" ca="1">OFFSET(MSP!$C$1,
MATCH(OFFSET($C172,((MATCH($C172,EL_List,0)-1)*-10)-1,0),MSP!$C:$C,0)+MATCH($C172,EL_List,0)-1,
MATCH(OFFSET($C172,((MATCH($C172,EL_List,0)-1)*-10)-3,0),MSP!$D$5:$N$5,0)+1)
*INDEX(Learning!$E$6:$S$41,(MATCH(V$21,Dates,0)),(MATCH($C$151,Learning!$E$4:$S$4,0)+MATCH($C$172,Learning!$E$5:$S$5,0)-1))</f>
        <v>99.027749999999997</v>
      </c>
      <c r="W173" s="778" cm="1">
        <f t="array" aca="1" ref="W173" ca="1">OFFSET(MSP!$C$1,
MATCH(OFFSET($C172,((MATCH($C172,EL_List,0)-1)*-10)-1,0),MSP!$C:$C,0)+MATCH($C172,EL_List,0)-1,
MATCH(OFFSET($C172,((MATCH($C172,EL_List,0)-1)*-10)-3,0),MSP!$D$5:$N$5,0)+1)
*INDEX(Learning!$E$6:$S$41,(MATCH(W$21,Dates,0)),(MATCH($C$151,Learning!$E$4:$S$4,0)+MATCH($C$172,Learning!$E$5:$S$5,0)-1))</f>
        <v>98.502125000000007</v>
      </c>
      <c r="X173" s="778" cm="1">
        <f t="array" aca="1" ref="X173" ca="1">OFFSET(MSP!$C$1,
MATCH(OFFSET($C172,((MATCH($C172,EL_List,0)-1)*-10)-1,0),MSP!$C:$C,0)+MATCH($C172,EL_List,0)-1,
MATCH(OFFSET($C172,((MATCH($C172,EL_List,0)-1)*-10)-3,0),MSP!$D$5:$N$5,0)+1)
*INDEX(Learning!$E$6:$S$41,(MATCH(X$21,Dates,0)),(MATCH($C$151,Learning!$E$4:$S$4,0)+MATCH($C$172,Learning!$E$5:$S$5,0)-1))</f>
        <v>98.081625000000003</v>
      </c>
      <c r="Y173" s="778" cm="1">
        <f t="array" aca="1" ref="Y173" ca="1">OFFSET(MSP!$C$1,
MATCH(OFFSET($C172,((MATCH($C172,EL_List,0)-1)*-10)-1,0),MSP!$C:$C,0)+MATCH($C172,EL_List,0)-1,
MATCH(OFFSET($C172,((MATCH($C172,EL_List,0)-1)*-10)-3,0),MSP!$D$5:$N$5,0)+1)
*INDEX(Learning!$E$6:$S$41,(MATCH(Y$21,Dates,0)),(MATCH($C$151,Learning!$E$4:$S$4,0)+MATCH($C$172,Learning!$E$5:$S$5,0)-1))</f>
        <v>97.661124999999998</v>
      </c>
      <c r="Z173" s="778" cm="1">
        <f t="array" aca="1" ref="Z173" ca="1">OFFSET(MSP!$C$1,
MATCH(OFFSET($C172,((MATCH($C172,EL_List,0)-1)*-10)-1,0),MSP!$C:$C,0)+MATCH($C172,EL_List,0)-1,
MATCH(OFFSET($C172,((MATCH($C172,EL_List,0)-1)*-10)-3,0),MSP!$D$5:$N$5,0)+1)
*INDEX(Learning!$E$6:$S$41,(MATCH(Z$21,Dates,0)),(MATCH($C$151,Learning!$E$4:$S$4,0)+MATCH($C$172,Learning!$E$5:$S$5,0)-1))</f>
        <v>97.135500000000008</v>
      </c>
      <c r="AA173" s="778" cm="1">
        <f t="array" aca="1" ref="AA173" ca="1">OFFSET(MSP!$C$1,
MATCH(OFFSET($C172,((MATCH($C172,EL_List,0)-1)*-10)-1,0),MSP!$C:$C,0)+MATCH($C172,EL_List,0)-1,
MATCH(OFFSET($C172,((MATCH($C172,EL_List,0)-1)*-10)-3,0),MSP!$D$5:$N$5,0)+1)
*INDEX(Learning!$E$6:$S$41,(MATCH(AA$21,Dates,0)),(MATCH($C$151,Learning!$E$4:$S$4,0)+MATCH($C$172,Learning!$E$5:$S$5,0)-1))</f>
        <v>96.715000000000003</v>
      </c>
      <c r="AB173" s="778" cm="1">
        <f t="array" aca="1" ref="AB173" ca="1">OFFSET(MSP!$C$1,
MATCH(OFFSET($C172,((MATCH($C172,EL_List,0)-1)*-10)-1,0),MSP!$C:$C,0)+MATCH($C172,EL_List,0)-1,
MATCH(OFFSET($C172,((MATCH($C172,EL_List,0)-1)*-10)-3,0),MSP!$D$5:$N$5,0)+1)
*INDEX(Learning!$E$6:$S$41,(MATCH(AB$21,Dates,0)),(MATCH($C$151,Learning!$E$4:$S$4,0)+MATCH($C$172,Learning!$E$5:$S$5,0)-1))</f>
        <v>96.294499999999999</v>
      </c>
      <c r="AC173" s="778" cm="1">
        <f t="array" aca="1" ref="AC173" ca="1">OFFSET(MSP!$C$1,
MATCH(OFFSET($C172,((MATCH($C172,EL_List,0)-1)*-10)-1,0),MSP!$C:$C,0)+MATCH($C172,EL_List,0)-1,
MATCH(OFFSET($C172,((MATCH($C172,EL_List,0)-1)*-10)-3,0),MSP!$D$5:$N$5,0)+1)
*INDEX(Learning!$E$6:$S$41,(MATCH(AC$21,Dates,0)),(MATCH($C$151,Learning!$E$4:$S$4,0)+MATCH($C$172,Learning!$E$5:$S$5,0)-1))</f>
        <v>95.874000000000009</v>
      </c>
      <c r="AD173" s="778" cm="1">
        <f t="array" aca="1" ref="AD173" ca="1">OFFSET(MSP!$C$1,
MATCH(OFFSET($C172,((MATCH($C172,EL_List,0)-1)*-10)-1,0),MSP!$C:$C,0)+MATCH($C172,EL_List,0)-1,
MATCH(OFFSET($C172,((MATCH($C172,EL_List,0)-1)*-10)-3,0),MSP!$D$5:$N$5,0)+1)
*INDEX(Learning!$E$6:$S$41,(MATCH(AD$21,Dates,0)),(MATCH($C$151,Learning!$E$4:$S$4,0)+MATCH($C$172,Learning!$E$5:$S$5,0)-1))</f>
        <v>95.453500000000005</v>
      </c>
      <c r="AE173" s="778" cm="1">
        <f t="array" aca="1" ref="AE173" ca="1">OFFSET(MSP!$C$1,
MATCH(OFFSET($C172,((MATCH($C172,EL_List,0)-1)*-10)-1,0),MSP!$C:$C,0)+MATCH($C172,EL_List,0)-1,
MATCH(OFFSET($C172,((MATCH($C172,EL_List,0)-1)*-10)-3,0),MSP!$D$5:$N$5,0)+1)
*INDEX(Learning!$E$6:$S$41,(MATCH(AE$21,Dates,0)),(MATCH($C$151,Learning!$E$4:$S$4,0)+MATCH($C$172,Learning!$E$5:$S$5,0)-1))</f>
        <v>95.033000000000001</v>
      </c>
      <c r="AF173" s="778" cm="1">
        <f t="array" aca="1" ref="AF173" ca="1">OFFSET(MSP!$C$1,
MATCH(OFFSET($C172,((MATCH($C172,EL_List,0)-1)*-10)-1,0),MSP!$C:$C,0)+MATCH($C172,EL_List,0)-1,
MATCH(OFFSET($C172,((MATCH($C172,EL_List,0)-1)*-10)-3,0),MSP!$D$5:$N$5,0)+1)
*INDEX(Learning!$E$6:$S$41,(MATCH(AF$21,Dates,0)),(MATCH($C$151,Learning!$E$4:$S$4,0)+MATCH($C$172,Learning!$E$5:$S$5,0)-1))</f>
        <v>94.612499999999997</v>
      </c>
      <c r="AG173" s="778" cm="1">
        <f t="array" aca="1" ref="AG173" ca="1">OFFSET(MSP!$C$1,
MATCH(OFFSET($C172,((MATCH($C172,EL_List,0)-1)*-10)-1,0),MSP!$C:$C,0)+MATCH($C172,EL_List,0)-1,
MATCH(OFFSET($C172,((MATCH($C172,EL_List,0)-1)*-10)-3,0),MSP!$D$5:$N$5,0)+1)
*INDEX(Learning!$E$6:$S$41,(MATCH(AG$21,Dates,0)),(MATCH($C$151,Learning!$E$4:$S$4,0)+MATCH($C$172,Learning!$E$5:$S$5,0)-1))</f>
        <v>94.192000000000007</v>
      </c>
      <c r="AH173" s="778" cm="1">
        <f t="array" aca="1" ref="AH173" ca="1">OFFSET(MSP!$C$1,
MATCH(OFFSET($C172,((MATCH($C172,EL_List,0)-1)*-10)-1,0),MSP!$C:$C,0)+MATCH($C172,EL_List,0)-1,
MATCH(OFFSET($C172,((MATCH($C172,EL_List,0)-1)*-10)-3,0),MSP!$D$5:$N$5,0)+1)
*INDEX(Learning!$E$6:$S$41,(MATCH(AH$21,Dates,0)),(MATCH($C$151,Learning!$E$4:$S$4,0)+MATCH($C$172,Learning!$E$5:$S$5,0)-1))</f>
        <v>93.771500000000003</v>
      </c>
      <c r="AI173" s="778" cm="1">
        <f t="array" aca="1" ref="AI173" ca="1">OFFSET(MSP!$C$1,
MATCH(OFFSET($C172,((MATCH($C172,EL_List,0)-1)*-10)-1,0),MSP!$C:$C,0)+MATCH($C172,EL_List,0)-1,
MATCH(OFFSET($C172,((MATCH($C172,EL_List,0)-1)*-10)-3,0),MSP!$D$5:$N$5,0)+1)
*INDEX(Learning!$E$6:$S$41,(MATCH(AI$21,Dates,0)),(MATCH($C$151,Learning!$E$4:$S$4,0)+MATCH($C$172,Learning!$E$5:$S$5,0)-1))</f>
        <v>93.350999999999999</v>
      </c>
      <c r="AJ173" s="778" cm="1">
        <f t="array" aca="1" ref="AJ173" ca="1">OFFSET(MSP!$C$1,
MATCH(OFFSET($C172,((MATCH($C172,EL_List,0)-1)*-10)-1,0),MSP!$C:$C,0)+MATCH($C172,EL_List,0)-1,
MATCH(OFFSET($C172,((MATCH($C172,EL_List,0)-1)*-10)-3,0),MSP!$D$5:$N$5,0)+1)
*INDEX(Learning!$E$6:$S$41,(MATCH(AJ$21,Dates,0)),(MATCH($C$151,Learning!$E$4:$S$4,0)+MATCH($C$172,Learning!$E$5:$S$5,0)-1))</f>
        <v>92.930499999999995</v>
      </c>
      <c r="AK173" s="778" cm="1">
        <f t="array" aca="1" ref="AK173" ca="1">OFFSET(MSP!$C$1,
MATCH(OFFSET($C172,((MATCH($C172,EL_List,0)-1)*-10)-1,0),MSP!$C:$C,0)+MATCH($C172,EL_List,0)-1,
MATCH(OFFSET($C172,((MATCH($C172,EL_List,0)-1)*-10)-3,0),MSP!$D$5:$N$5,0)+1)
*INDEX(Learning!$E$6:$S$41,(MATCH(AK$21,Dates,0)),(MATCH($C$151,Learning!$E$4:$S$4,0)+MATCH($C$172,Learning!$E$5:$S$5,0)-1))</f>
        <v>92.615125000000006</v>
      </c>
      <c r="AL173" s="778" cm="1">
        <f t="array" aca="1" ref="AL173" ca="1">OFFSET(MSP!$C$1,
MATCH(OFFSET($C172,((MATCH($C172,EL_List,0)-1)*-10)-1,0),MSP!$C:$C,0)+MATCH($C172,EL_List,0)-1,
MATCH(OFFSET($C172,((MATCH($C172,EL_List,0)-1)*-10)-3,0),MSP!$D$5:$N$5,0)+1)
*INDEX(Learning!$E$6:$S$41,(MATCH(AL$21,Dates,0)),(MATCH($C$151,Learning!$E$4:$S$4,0)+MATCH($C$172,Learning!$E$5:$S$5,0)-1))</f>
        <v>92.194625000000002</v>
      </c>
      <c r="AM173" s="778" cm="1">
        <f t="array" aca="1" ref="AM173" ca="1">OFFSET(MSP!$C$1,
MATCH(OFFSET($C172,((MATCH($C172,EL_List,0)-1)*-10)-1,0),MSP!$C:$C,0)+MATCH($C172,EL_List,0)-1,
MATCH(OFFSET($C172,((MATCH($C172,EL_List,0)-1)*-10)-3,0),MSP!$D$5:$N$5,0)+1)
*INDEX(Learning!$E$6:$S$41,(MATCH(AM$21,Dates,0)),(MATCH($C$151,Learning!$E$4:$S$4,0)+MATCH($C$172,Learning!$E$5:$S$5,0)-1))</f>
        <v>91.774124999999998</v>
      </c>
      <c r="AN173" s="778" cm="1">
        <f t="array" aca="1" ref="AN173" ca="1">OFFSET(MSP!$C$1,
MATCH(OFFSET($C172,((MATCH($C172,EL_List,0)-1)*-10)-1,0),MSP!$C:$C,0)+MATCH($C172,EL_List,0)-1,
MATCH(OFFSET($C172,((MATCH($C172,EL_List,0)-1)*-10)-3,0),MSP!$D$5:$N$5,0)+1)
*INDEX(Learning!$E$6:$S$41,(MATCH(AN$21,Dates,0)),(MATCH($C$151,Learning!$E$4:$S$4,0)+MATCH($C$172,Learning!$E$5:$S$5,0)-1))</f>
        <v>91.415644258134549</v>
      </c>
      <c r="AO173" s="436"/>
      <c r="AP173" s="21"/>
    </row>
    <row r="174" spans="2:42" ht="15" customHeight="1" x14ac:dyDescent="0.35">
      <c r="B174" s="429"/>
      <c r="C174" s="777" t="s">
        <v>78</v>
      </c>
      <c r="D174" s="776"/>
      <c r="E174" s="530">
        <f ca="1">OFFSET(OFFSET(Shipments!$D$1,0,MATCH(E$7,Dates)),
MATCH(OFFSET($C172,((MATCH($C172,EL_List,0)-1)*-10)-3,0),Shipments!$C:$C,0)+
MATCH(OFFSET($C172,((MATCH($C172,EL_List,0)-1)*-10)-1,0),Shipments!$D:$D,0)+
MATCH($C172,EL_List,0)-10,
MATCH(Shipments_Scenario_X,Shipments!$F$5:$AQ$5,0))</f>
        <v>1.4275991537499348</v>
      </c>
      <c r="F174" s="530">
        <f ca="1">OFFSET(OFFSET(Shipments!$D$1,0,MATCH(F$7,Dates)),
MATCH(OFFSET($C172,((MATCH($C172,EL_List,0)-1)*-10)-3,0),Shipments!$C:$C,0)+
MATCH(OFFSET($C172,((MATCH($C172,EL_List,0)-1)*-10)-1,0),Shipments!$D:$D,0)+
MATCH($C172,EL_List,0)-10,
MATCH(Shipments_Scenario_X,Shipments!$F$5:$AQ$5,0))</f>
        <v>1.4914393249932862</v>
      </c>
      <c r="G174" s="530">
        <f ca="1">OFFSET(OFFSET(Shipments!$D$1,0,MATCH(G$7,Dates)),
MATCH(OFFSET($C172,((MATCH($C172,EL_List,0)-1)*-10)-3,0),Shipments!$C:$C,0)+
MATCH(OFFSET($C172,((MATCH($C172,EL_List,0)-1)*-10)-1,0),Shipments!$D:$D,0)+
MATCH($C172,EL_List,0)-10,
MATCH(Shipments_Scenario_X,Shipments!$F$5:$AQ$5,0))</f>
        <v>1.5486470881294851</v>
      </c>
      <c r="H174" s="530">
        <f ca="1">OFFSET(OFFSET(Shipments!$D$1,0,MATCH(H$7,Dates)),
MATCH(OFFSET($C172,((MATCH($C172,EL_List,0)-1)*-10)-3,0),Shipments!$C:$C,0)+
MATCH(OFFSET($C172,((MATCH($C172,EL_List,0)-1)*-10)-1,0),Shipments!$D:$D,0)+
MATCH($C172,EL_List,0)-10,
MATCH(Shipments_Scenario_X,Shipments!$F$5:$AQ$5,0))</f>
        <v>1.6213761987336452</v>
      </c>
      <c r="I174" s="530">
        <f ca="1">OFFSET(OFFSET(Shipments!$D$1,0,MATCH(I$7,Dates)),
MATCH(OFFSET($C172,((MATCH($C172,EL_List,0)-1)*-10)-3,0),Shipments!$C:$C,0)+
MATCH(OFFSET($C172,((MATCH($C172,EL_List,0)-1)*-10)-1,0),Shipments!$D:$D,0)+
MATCH($C172,EL_List,0)-10,
MATCH(Shipments_Scenario_X,Shipments!$F$5:$AQ$5,0))</f>
        <v>1.699416692163559</v>
      </c>
      <c r="J174" s="530">
        <f ca="1">OFFSET(OFFSET(Shipments!$D$1,0,MATCH(J$7,Dates)),
MATCH(OFFSET($C172,((MATCH($C172,EL_List,0)-1)*-10)-3,0),Shipments!$C:$C,0)+
MATCH(OFFSET($C172,((MATCH($C172,EL_List,0)-1)*-10)-1,0),Shipments!$D:$D,0)+
MATCH($C172,EL_List,0)-10,
MATCH(Shipments_Scenario_X,Shipments!$F$5:$AQ$5,0))</f>
        <v>1.7857833567995061</v>
      </c>
      <c r="K174" s="530">
        <f ca="1">OFFSET(OFFSET(Shipments!$D$1,0,MATCH(K$7,Dates)),
MATCH(OFFSET($C172,((MATCH($C172,EL_List,0)-1)*-10)-3,0),Shipments!$C:$C,0)+
MATCH(OFFSET($C172,((MATCH($C172,EL_List,0)-1)*-10)-1,0),Shipments!$D:$D,0)+
MATCH($C172,EL_List,0)-10,
MATCH(Shipments_Scenario_X,Shipments!$F$5:$AQ$5,0))</f>
        <v>1.8794603103638767</v>
      </c>
      <c r="L174" s="530">
        <f ca="1">OFFSET(OFFSET(Shipments!$D$1,0,MATCH(L$7,Dates)),
MATCH(OFFSET($C172,((MATCH($C172,EL_List,0)-1)*-10)-3,0),Shipments!$C:$C,0)+
MATCH(OFFSET($C172,((MATCH($C172,EL_List,0)-1)*-10)-1,0),Shipments!$D:$D,0)+
MATCH($C172,EL_List,0)-10,
MATCH(Shipments_Scenario_X,Shipments!$F$5:$AQ$5,0))</f>
        <v>1.9789228475492799</v>
      </c>
      <c r="M174" s="530">
        <f ca="1">OFFSET(OFFSET(Shipments!$D$1,0,MATCH(M$7,Dates)),
MATCH(OFFSET($C172,((MATCH($C172,EL_List,0)-1)*-10)-3,0),Shipments!$C:$C,0)+
MATCH(OFFSET($C172,((MATCH($C172,EL_List,0)-1)*-10)-1,0),Shipments!$D:$D,0)+
MATCH($C172,EL_List,0)-10,
MATCH(Shipments_Scenario_X,Shipments!$F$5:$AQ$5,0))</f>
        <v>2.0829811272529488</v>
      </c>
      <c r="N174" s="530">
        <f ca="1">OFFSET(OFFSET(Shipments!$D$1,0,MATCH(N$7,Dates)),
MATCH(OFFSET($C172,((MATCH($C172,EL_List,0)-1)*-10)-3,0),Shipments!$C:$C,0)+
MATCH(OFFSET($C172,((MATCH($C172,EL_List,0)-1)*-10)-1,0),Shipments!$D:$D,0)+
MATCH($C172,EL_List,0)-10,
MATCH(Shipments_Scenario_X,Shipments!$F$5:$AQ$5,0))</f>
        <v>2.1908424086650018</v>
      </c>
      <c r="O174" s="530">
        <f ca="1">OFFSET(OFFSET(Shipments!$D$1,0,MATCH(O$7,Dates)),
MATCH(OFFSET($C172,((MATCH($C172,EL_List,0)-1)*-10)-3,0),Shipments!$C:$C,0)+
MATCH(OFFSET($C172,((MATCH($C172,EL_List,0)-1)*-10)-1,0),Shipments!$D:$D,0)+
MATCH($C172,EL_List,0)-10,
MATCH(Shipments_Scenario_X,Shipments!$F$5:$AQ$5,0))</f>
        <v>2.3024601121064738</v>
      </c>
      <c r="P174" s="530">
        <f ca="1">OFFSET(OFFSET(Shipments!$D$1,0,MATCH(P$7,Dates)),
MATCH(OFFSET($C172,((MATCH($C172,EL_List,0)-1)*-10)-3,0),Shipments!$C:$C,0)+
MATCH(OFFSET($C172,((MATCH($C172,EL_List,0)-1)*-10)-1,0),Shipments!$D:$D,0)+
MATCH($C172,EL_List,0)-10,
MATCH(Shipments_Scenario_X,Shipments!$F$5:$AQ$5,0))</f>
        <v>2.4183122820207457</v>
      </c>
      <c r="Q174" s="530">
        <f ca="1">OFFSET(OFFSET(Shipments!$D$1,0,MATCH(Q$7,Dates)),
MATCH(OFFSET($C172,((MATCH($C172,EL_List,0)-1)*-10)-3,0),Shipments!$C:$C,0)+
MATCH(OFFSET($C172,((MATCH($C172,EL_List,0)-1)*-10)-1,0),Shipments!$D:$D,0)+
MATCH($C172,EL_List,0)-10,
MATCH(Shipments_Scenario_X,Shipments!$F$5:$AQ$5,0))</f>
        <v>2.5391293148142258</v>
      </c>
      <c r="R174" s="530">
        <f ca="1">OFFSET(OFFSET(Shipments!$D$1,0,MATCH(R$7,Dates)),
MATCH(OFFSET($C172,((MATCH($C172,EL_List,0)-1)*-10)-3,0),Shipments!$C:$C,0)+
MATCH(OFFSET($C172,((MATCH($C172,EL_List,0)-1)*-10)-1,0),Shipments!$D:$D,0)+
MATCH($C172,EL_List,0)-10,
MATCH(Shipments_Scenario_X,Shipments!$F$5:$AQ$5,0))</f>
        <v>2.6657638018745802</v>
      </c>
      <c r="S174" s="530">
        <f ca="1">OFFSET(OFFSET(Shipments!$D$1,0,MATCH(S$7,Dates)),
MATCH(OFFSET($C172,((MATCH($C172,EL_List,0)-1)*-10)-3,0),Shipments!$C:$C,0)+
MATCH(OFFSET($C172,((MATCH($C172,EL_List,0)-1)*-10)-1,0),Shipments!$D:$D,0)+
MATCH($C172,EL_List,0)-10,
MATCH(Shipments_Scenario_X,Shipments!$F$5:$AQ$5,0))</f>
        <v>2.7989322775500369</v>
      </c>
      <c r="T174" s="530">
        <f ca="1">OFFSET(OFFSET(Shipments!$D$1,0,MATCH(T$7,Dates)),
MATCH(OFFSET($C172,((MATCH($C172,EL_List,0)-1)*-10)-3,0),Shipments!$C:$C,0)+
MATCH(OFFSET($C172,((MATCH($C172,EL_List,0)-1)*-10)-1,0),Shipments!$D:$D,0)+
MATCH($C172,EL_List,0)-10,
MATCH(Shipments_Scenario_X,Shipments!$F$5:$AQ$5,0))</f>
        <v>2.9390880965327737</v>
      </c>
      <c r="U174" s="530">
        <f ca="1">OFFSET(OFFSET(Shipments!$D$1,0,MATCH(U$7,Dates)),
MATCH(OFFSET($C172,((MATCH($C172,EL_List,0)-1)*-10)-3,0),Shipments!$C:$C,0)+
MATCH(OFFSET($C172,((MATCH($C172,EL_List,0)-1)*-10)-1,0),Shipments!$D:$D,0)+
MATCH($C172,EL_List,0)-10,
MATCH(Shipments_Scenario_X,Shipments!$F$5:$AQ$5,0))</f>
        <v>3.0867351207317348</v>
      </c>
      <c r="V174" s="530">
        <f ca="1">OFFSET(OFFSET(Shipments!$D$1,0,MATCH(V$7,Dates)),
MATCH(OFFSET($C172,((MATCH($C172,EL_List,0)-1)*-10)-3,0),Shipments!$C:$C,0)+
MATCH(OFFSET($C172,((MATCH($C172,EL_List,0)-1)*-10)-1,0),Shipments!$D:$D,0)+
MATCH($C172,EL_List,0)-10,
MATCH(Shipments_Scenario_X,Shipments!$F$5:$AQ$5,0))</f>
        <v>3.2415774704242013</v>
      </c>
      <c r="W174" s="530">
        <f ca="1">OFFSET(OFFSET(Shipments!$D$1,0,MATCH(W$7,Dates)),
MATCH(OFFSET($C172,((MATCH($C172,EL_List,0)-1)*-10)-3,0),Shipments!$C:$C,0)+
MATCH(OFFSET($C172,((MATCH($C172,EL_List,0)-1)*-10)-1,0),Shipments!$D:$D,0)+
MATCH($C172,EL_List,0)-10,
MATCH(Shipments_Scenario_X,Shipments!$F$5:$AQ$5,0))</f>
        <v>3.4040856892035118</v>
      </c>
      <c r="X174" s="530">
        <f ca="1">OFFSET(OFFSET(Shipments!$D$1,0,MATCH(X$7,Dates)),
MATCH(OFFSET($C172,((MATCH($C172,EL_List,0)-1)*-10)-3,0),Shipments!$C:$C,0)+
MATCH(OFFSET($C172,((MATCH($C172,EL_List,0)-1)*-10)-1,0),Shipments!$D:$D,0)+
MATCH($C172,EL_List,0)-10,
MATCH(Shipments_Scenario_X,Shipments!$F$5:$AQ$5,0))</f>
        <v>3.574455983779615</v>
      </c>
      <c r="Y174" s="530">
        <f ca="1">OFFSET(OFFSET(Shipments!$D$1,0,MATCH(Y$7,Dates)),
MATCH(OFFSET($C172,((MATCH($C172,EL_List,0)-1)*-10)-3,0),Shipments!$C:$C,0)+
MATCH(OFFSET($C172,((MATCH($C172,EL_List,0)-1)*-10)-1,0),Shipments!$D:$D,0)+
MATCH($C172,EL_List,0)-10,
MATCH(Shipments_Scenario_X,Shipments!$F$5:$AQ$5,0))</f>
        <v>3.7529785528521895</v>
      </c>
      <c r="Z174" s="530">
        <f ca="1">OFFSET(OFFSET(Shipments!$D$1,0,MATCH(Z$7,Dates)),
MATCH(OFFSET($C172,((MATCH($C172,EL_List,0)-1)*-10)-3,0),Shipments!$C:$C,0)+
MATCH(OFFSET($C172,((MATCH($C172,EL_List,0)-1)*-10)-1,0),Shipments!$D:$D,0)+
MATCH($C172,EL_List,0)-10,
MATCH(Shipments_Scenario_X,Shipments!$F$5:$AQ$5,0))</f>
        <v>3.9400424689145859</v>
      </c>
      <c r="AA174" s="530">
        <f ca="1">OFFSET(OFFSET(Shipments!$D$1,0,MATCH(AA$7,Dates)),
MATCH(OFFSET($C172,((MATCH($C172,EL_List,0)-1)*-10)-3,0),Shipments!$C:$C,0)+
MATCH(OFFSET($C172,((MATCH($C172,EL_List,0)-1)*-10)-1,0),Shipments!$D:$D,0)+
MATCH($C172,EL_List,0)-10,
MATCH(Shipments_Scenario_X,Shipments!$F$5:$AQ$5,0))</f>
        <v>4.1360965312045579</v>
      </c>
      <c r="AB174" s="530">
        <f ca="1">OFFSET(OFFSET(Shipments!$D$1,0,MATCH(AB$7,Dates)),
MATCH(OFFSET($C172,((MATCH($C172,EL_List,0)-1)*-10)-3,0),Shipments!$C:$C,0)+
MATCH(OFFSET($C172,((MATCH($C172,EL_List,0)-1)*-10)-1,0),Shipments!$D:$D,0)+
MATCH($C172,EL_List,0)-10,
MATCH(Shipments_Scenario_X,Shipments!$F$5:$AQ$5,0))</f>
        <v>4.341655215776635</v>
      </c>
      <c r="AC174" s="530">
        <f ca="1">OFFSET(OFFSET(Shipments!$D$1,0,MATCH(AC$7,Dates)),
MATCH(OFFSET($C172,((MATCH($C172,EL_List,0)-1)*-10)-3,0),Shipments!$C:$C,0)+
MATCH(OFFSET($C172,((MATCH($C172,EL_List,0)-1)*-10)-1,0),Shipments!$D:$D,0)+
MATCH($C172,EL_List,0)-10,
MATCH(Shipments_Scenario_X,Shipments!$F$5:$AQ$5,0))</f>
        <v>4.5572382032987955</v>
      </c>
      <c r="AD174" s="530">
        <f ca="1">OFFSET(OFFSET(Shipments!$D$1,0,MATCH(AD$7,Dates)),
MATCH(OFFSET($C172,((MATCH($C172,EL_List,0)-1)*-10)-3,0),Shipments!$C:$C,0)+
MATCH(OFFSET($C172,((MATCH($C172,EL_List,0)-1)*-10)-1,0),Shipments!$D:$D,0)+
MATCH($C172,EL_List,0)-10,
MATCH(Shipments_Scenario_X,Shipments!$F$5:$AQ$5,0))</f>
        <v>4.7833680782372108</v>
      </c>
      <c r="AE174" s="530">
        <f ca="1">OFFSET(OFFSET(Shipments!$D$1,0,MATCH(AE$7,Dates)),
MATCH(OFFSET($C172,((MATCH($C172,EL_List,0)-1)*-10)-3,0),Shipments!$C:$C,0)+
MATCH(OFFSET($C172,((MATCH($C172,EL_List,0)-1)*-10)-1,0),Shipments!$D:$D,0)+
MATCH($C172,EL_List,0)-10,
MATCH(Shipments_Scenario_X,Shipments!$F$5:$AQ$5,0))</f>
        <v>5.0205675386172564</v>
      </c>
      <c r="AF174" s="530">
        <f ca="1">OFFSET(OFFSET(Shipments!$D$1,0,MATCH(AF$7,Dates)),
MATCH(OFFSET($C172,((MATCH($C172,EL_List,0)-1)*-10)-3,0),Shipments!$C:$C,0)+
MATCH(OFFSET($C172,((MATCH($C172,EL_List,0)-1)*-10)-1,0),Shipments!$D:$D,0)+
MATCH($C172,EL_List,0)-10,
MATCH(Shipments_Scenario_X,Shipments!$F$5:$AQ$5,0))</f>
        <v>5.2693644542235614</v>
      </c>
      <c r="AG174" s="530">
        <f ca="1">OFFSET(OFFSET(Shipments!$D$1,0,MATCH(AG$7,Dates)),
MATCH(OFFSET($C172,((MATCH($C172,EL_List,0)-1)*-10)-3,0),Shipments!$C:$C,0)+
MATCH(OFFSET($C172,((MATCH($C172,EL_List,0)-1)*-10)-1,0),Shipments!$D:$D,0)+
MATCH($C172,EL_List,0)-10,
MATCH(Shipments_Scenario_X,Shipments!$F$5:$AQ$5,0))</f>
        <v>5.5303030760570158</v>
      </c>
      <c r="AH174" s="530">
        <f ca="1">OFFSET(OFFSET(Shipments!$D$1,0,MATCH(AH$7,Dates)),
MATCH(OFFSET($C172,((MATCH($C172,EL_List,0)-1)*-10)-3,0),Shipments!$C:$C,0)+
MATCH(OFFSET($C172,((MATCH($C172,EL_List,0)-1)*-10)-1,0),Shipments!$D:$D,0)+
MATCH($C172,EL_List,0)-10,
MATCH(Shipments_Scenario_X,Shipments!$F$5:$AQ$5,0))</f>
        <v>5.8039541471589331</v>
      </c>
      <c r="AI174" s="530">
        <f ca="1">OFFSET(OFFSET(Shipments!$D$1,0,MATCH(AI$7,Dates)),
MATCH(OFFSET($C172,((MATCH($C172,EL_List,0)-1)*-10)-3,0),Shipments!$C:$C,0)+
MATCH(OFFSET($C172,((MATCH($C172,EL_List,0)-1)*-10)-1,0),Shipments!$D:$D,0)+
MATCH($C172,EL_List,0)-10,
MATCH(Shipments_Scenario_X,Shipments!$F$5:$AQ$5,0))</f>
        <v>6.0909225386797665</v>
      </c>
      <c r="AJ174" s="530">
        <f ca="1">OFFSET(OFFSET(Shipments!$D$1,0,MATCH(AJ$7,Dates)),
MATCH(OFFSET($C172,((MATCH($C172,EL_List,0)-1)*-10)-3,0),Shipments!$C:$C,0)+
MATCH(OFFSET($C172,((MATCH($C172,EL_List,0)-1)*-10)-1,0),Shipments!$D:$D,0)+
MATCH($C172,EL_List,0)-10,
MATCH(Shipments_Scenario_X,Shipments!$F$5:$AQ$5,0))</f>
        <v>6.3918514201989751</v>
      </c>
      <c r="AK174" s="530">
        <f ca="1">OFFSET(OFFSET(Shipments!$D$1,0,MATCH(AK$7,Dates)),
MATCH(OFFSET($C172,((MATCH($C172,EL_List,0)-1)*-10)-3,0),Shipments!$C:$C,0)+
MATCH(OFFSET($C172,((MATCH($C172,EL_List,0)-1)*-10)-1,0),Shipments!$D:$D,0)+
MATCH($C172,EL_List,0)-10,
MATCH(Shipments_Scenario_X,Shipments!$F$5:$AQ$5,0))</f>
        <v>6.7074226283102334</v>
      </c>
      <c r="AL174" s="530">
        <f ca="1">OFFSET(OFFSET(Shipments!$D$1,0,MATCH(AL$7,Dates)),
MATCH(OFFSET($C172,((MATCH($C172,EL_List,0)-1)*-10)-3,0),Shipments!$C:$C,0)+
MATCH(OFFSET($C172,((MATCH($C172,EL_List,0)-1)*-10)-1,0),Shipments!$D:$D,0)+
MATCH($C172,EL_List,0)-10,
MATCH(Shipments_Scenario_X,Shipments!$F$5:$AQ$5,0))</f>
        <v>7.0383554133605797</v>
      </c>
      <c r="AM174" s="530">
        <f ca="1">OFFSET(OFFSET(Shipments!$D$1,0,MATCH(AM$7,Dates)),
MATCH(OFFSET($C172,((MATCH($C172,EL_List,0)-1)*-10)-3,0),Shipments!$C:$C,0)+
MATCH(OFFSET($C172,((MATCH($C172,EL_List,0)-1)*-10)-1,0),Shipments!$D:$D,0)+
MATCH($C172,EL_List,0)-10,
MATCH(Shipments_Scenario_X,Shipments!$F$5:$AQ$5,0))</f>
        <v>7.3854056060558353</v>
      </c>
      <c r="AN174" s="530">
        <f ca="1">OFFSET(OFFSET(Shipments!$D$1,0,MATCH(AN$7,Dates)),
MATCH(OFFSET($C172,((MATCH($C172,EL_List,0)-1)*-10)-3,0),Shipments!$C:$C,0)+
MATCH(OFFSET($C172,((MATCH($C172,EL_List,0)-1)*-10)-1,0),Shipments!$D:$D,0)+
MATCH($C172,EL_List,0)-10,
MATCH(Shipments_Scenario_X,Shipments!$F$5:$AQ$5,0))</f>
        <v>7.7493626207212394</v>
      </c>
      <c r="AO174" s="436"/>
      <c r="AP174" s="21"/>
    </row>
    <row r="175" spans="2:42" ht="15" customHeight="1" x14ac:dyDescent="0.35">
      <c r="B175" s="429"/>
      <c r="C175" s="777" t="s">
        <v>79</v>
      </c>
      <c r="D175" s="776"/>
      <c r="E175" s="531">
        <f t="shared" ref="E175:AN175" ca="1" si="39">E173*E174</f>
        <v>156.37956820155631</v>
      </c>
      <c r="F175" s="531">
        <f t="shared" ca="1" si="39"/>
        <v>162.11833604727647</v>
      </c>
      <c r="G175" s="531">
        <f t="shared" ca="1" si="39"/>
        <v>167.19716631838162</v>
      </c>
      <c r="H175" s="531">
        <f t="shared" ca="1" si="39"/>
        <v>173.68566917682006</v>
      </c>
      <c r="I175" s="531">
        <f t="shared" ca="1" si="39"/>
        <v>180.97364510062212</v>
      </c>
      <c r="J175" s="531">
        <f t="shared" ca="1" si="39"/>
        <v>188.85685823584939</v>
      </c>
      <c r="K175" s="531">
        <f t="shared" ca="1" si="39"/>
        <v>197.57826512700254</v>
      </c>
      <c r="L175" s="531">
        <f t="shared" ca="1" si="39"/>
        <v>206.78605876252632</v>
      </c>
      <c r="M175" s="531">
        <f t="shared" ca="1" si="39"/>
        <v>216.34571031043666</v>
      </c>
      <c r="N175" s="531">
        <f t="shared" ca="1" si="39"/>
        <v>226.16668666311196</v>
      </c>
      <c r="O175" s="531">
        <f t="shared" ca="1" si="39"/>
        <v>236.47905854163363</v>
      </c>
      <c r="P175" s="531">
        <f t="shared" ca="1" si="39"/>
        <v>247.10677644530281</v>
      </c>
      <c r="Q175" s="531">
        <f t="shared" ca="1" si="39"/>
        <v>257.85048626637069</v>
      </c>
      <c r="R175" s="531">
        <f t="shared" ca="1" si="39"/>
        <v>269.30912130485473</v>
      </c>
      <c r="S175" s="531">
        <f t="shared" ca="1" si="39"/>
        <v>281.29129442763991</v>
      </c>
      <c r="T175" s="531">
        <f t="shared" ca="1" si="39"/>
        <v>293.8320259767554</v>
      </c>
      <c r="U175" s="531">
        <f t="shared" ca="1" si="39"/>
        <v>307.29489899987664</v>
      </c>
      <c r="V175" s="531">
        <f t="shared" ca="1" si="39"/>
        <v>321.00612334680017</v>
      </c>
      <c r="W175" s="531">
        <f t="shared" ca="1" si="39"/>
        <v>335.3096740686355</v>
      </c>
      <c r="X175" s="531">
        <f t="shared" ca="1" si="39"/>
        <v>350.58845138007831</v>
      </c>
      <c r="Y175" s="531">
        <f t="shared" ca="1" si="39"/>
        <v>366.5201075724168</v>
      </c>
      <c r="Z175" s="531">
        <f t="shared" ca="1" si="39"/>
        <v>382.71799523925279</v>
      </c>
      <c r="AA175" s="531">
        <f t="shared" ca="1" si="39"/>
        <v>400.02257601544881</v>
      </c>
      <c r="AB175" s="531">
        <f t="shared" ca="1" si="39"/>
        <v>418.07751817560319</v>
      </c>
      <c r="AC175" s="531">
        <f t="shared" ca="1" si="39"/>
        <v>436.92065550306876</v>
      </c>
      <c r="AD175" s="531">
        <f t="shared" ca="1" si="39"/>
        <v>456.58922485601562</v>
      </c>
      <c r="AE175" s="531">
        <f t="shared" ca="1" si="39"/>
        <v>477.11959489741372</v>
      </c>
      <c r="AF175" s="531">
        <f t="shared" ca="1" si="39"/>
        <v>498.54774442522671</v>
      </c>
      <c r="AG175" s="531">
        <f t="shared" ca="1" si="39"/>
        <v>520.91030733996251</v>
      </c>
      <c r="AH175" s="531">
        <f t="shared" ca="1" si="39"/>
        <v>544.24548631031394</v>
      </c>
      <c r="AI175" s="531">
        <f t="shared" ca="1" si="39"/>
        <v>568.59370990829484</v>
      </c>
      <c r="AJ175" s="531">
        <f t="shared" ca="1" si="39"/>
        <v>593.99794840480081</v>
      </c>
      <c r="AK175" s="531">
        <f t="shared" ca="1" si="39"/>
        <v>621.20878514878086</v>
      </c>
      <c r="AL175" s="531">
        <f t="shared" ca="1" si="39"/>
        <v>648.89853795149861</v>
      </c>
      <c r="AM175" s="531">
        <f t="shared" ref="AM175" ca="1" si="40">AM173*AM174</f>
        <v>677.78913726586893</v>
      </c>
      <c r="AN175" s="531">
        <f t="shared" ca="1" si="39"/>
        <v>708.41297656313805</v>
      </c>
      <c r="AO175" s="436"/>
      <c r="AP175" s="21"/>
    </row>
    <row r="176" spans="2:42" ht="15" customHeight="1" x14ac:dyDescent="0.35">
      <c r="B176" s="429"/>
      <c r="C176" s="777"/>
      <c r="D176" s="776"/>
      <c r="E176" s="776"/>
      <c r="F176" s="776"/>
      <c r="G176" s="776"/>
      <c r="H176" s="776"/>
      <c r="I176" s="776"/>
      <c r="J176" s="776"/>
      <c r="K176" s="776"/>
      <c r="L176" s="776"/>
      <c r="M176" s="776"/>
      <c r="N176" s="776"/>
      <c r="O176" s="776"/>
      <c r="P176" s="776"/>
      <c r="Q176" s="776"/>
      <c r="R176" s="776"/>
      <c r="S176" s="776"/>
      <c r="T176" s="776"/>
      <c r="U176" s="776"/>
      <c r="V176" s="776"/>
      <c r="W176" s="776"/>
      <c r="X176" s="776"/>
      <c r="Y176" s="776"/>
      <c r="Z176" s="776"/>
      <c r="AA176" s="776"/>
      <c r="AB176" s="776"/>
      <c r="AC176" s="776"/>
      <c r="AD176" s="776"/>
      <c r="AE176" s="776"/>
      <c r="AF176" s="776"/>
      <c r="AG176" s="776"/>
      <c r="AH176" s="776"/>
      <c r="AI176" s="776"/>
      <c r="AJ176" s="776"/>
      <c r="AK176" s="776"/>
      <c r="AL176" s="776"/>
      <c r="AM176" s="776"/>
      <c r="AN176" s="776"/>
      <c r="AO176" s="436"/>
      <c r="AP176" s="21"/>
    </row>
    <row r="177" spans="2:42" ht="15" customHeight="1" x14ac:dyDescent="0.35">
      <c r="B177" s="429"/>
      <c r="C177" s="777" t="s">
        <v>212</v>
      </c>
      <c r="D177" s="776"/>
      <c r="E177" s="532" cm="1">
        <f t="array" aca="1" ref="E177" ca="1">OFFSET(E177,-3,0)*
OFFSET(MSP!$D$1,
MATCH(OFFSET($C172,((MATCH($C172,EL_List,0)-1)*-10)-1,0),MSP!$C:$C,0)+MATCH($C172,EL_List,0)-1,0)
*INDEX(Learning!$E$6:$S$41,(MATCH(E$21,Dates,0)),(MATCH($C$151,Learning!$E$4:$S$4,0)+MATCH($C$172,Learning!$E$5:$S$5,0)-1))</f>
        <v>96.897524638818155</v>
      </c>
      <c r="F177" s="532" cm="1">
        <f t="array" aca="1" ref="F177" ca="1">OFFSET(F177,-3,0)*
OFFSET(MSP!$D$1,
MATCH(OFFSET($C172,((MATCH($C172,EL_List,0)-1)*-10)-1,0),MSP!$C:$C,0)+MATCH($C172,EL_List,0)-1,0)
*INDEX(Learning!$E$6:$S$41,(MATCH(F$21,Dates,0)),(MATCH($C$151,Learning!$E$4:$S$4,0)+MATCH($C$172,Learning!$E$5:$S$5,0)-1))</f>
        <v>100.45343929648244</v>
      </c>
      <c r="G177" s="532" cm="1">
        <f t="array" aca="1" ref="G177" ca="1">OFFSET(G177,-3,0)*
OFFSET(MSP!$D$1,
MATCH(OFFSET($C172,((MATCH($C172,EL_List,0)-1)*-10)-1,0),MSP!$C:$C,0)+MATCH($C172,EL_List,0)-1,0)
*INDEX(Learning!$E$6:$S$41,(MATCH(G$21,Dates,0)),(MATCH($C$151,Learning!$E$4:$S$4,0)+MATCH($C$172,Learning!$E$5:$S$5,0)-1))</f>
        <v>103.60043661199167</v>
      </c>
      <c r="H177" s="532" cm="1">
        <f t="array" aca="1" ref="H177" ca="1">OFFSET(H177,-3,0)*
OFFSET(MSP!$D$1,
MATCH(OFFSET($C172,((MATCH($C172,EL_List,0)-1)*-10)-1,0),MSP!$C:$C,0)+MATCH($C172,EL_List,0)-1,0)
*INDEX(Learning!$E$6:$S$41,(MATCH(H$21,Dates,0)),(MATCH($C$151,Learning!$E$4:$S$4,0)+MATCH($C$172,Learning!$E$5:$S$5,0)-1))</f>
        <v>107.62090982869877</v>
      </c>
      <c r="I177" s="532" cm="1">
        <f t="array" aca="1" ref="I177" ca="1">OFFSET(I177,-3,0)*
OFFSET(MSP!$D$1,
MATCH(OFFSET($C172,((MATCH($C172,EL_List,0)-1)*-10)-1,0),MSP!$C:$C,0)+MATCH($C172,EL_List,0)-1,0)
*INDEX(Learning!$E$6:$S$41,(MATCH(I$21,Dates,0)),(MATCH($C$151,Learning!$E$4:$S$4,0)+MATCH($C$172,Learning!$E$5:$S$5,0)-1))</f>
        <v>112.13676081080104</v>
      </c>
      <c r="J177" s="532" cm="1">
        <f t="array" aca="1" ref="J177" ca="1">OFFSET(J177,-3,0)*
OFFSET(MSP!$D$1,
MATCH(OFFSET($C172,((MATCH($C172,EL_List,0)-1)*-10)-1,0),MSP!$C:$C,0)+MATCH($C172,EL_List,0)-1,0)
*INDEX(Learning!$E$6:$S$41,(MATCH(J$21,Dates,0)),(MATCH($C$151,Learning!$E$4:$S$4,0)+MATCH($C$172,Learning!$E$5:$S$5,0)-1))</f>
        <v>117.02143882717206</v>
      </c>
      <c r="K177" s="532" cm="1">
        <f t="array" aca="1" ref="K177" ca="1">OFFSET(K177,-3,0)*
OFFSET(MSP!$D$1,
MATCH(OFFSET($C172,((MATCH($C172,EL_List,0)-1)*-10)-1,0),MSP!$C:$C,0)+MATCH($C172,EL_List,0)-1,0)
*INDEX(Learning!$E$6:$S$41,(MATCH(K$21,Dates,0)),(MATCH($C$151,Learning!$E$4:$S$4,0)+MATCH($C$172,Learning!$E$5:$S$5,0)-1))</f>
        <v>122.42548712350354</v>
      </c>
      <c r="L177" s="532" cm="1">
        <f t="array" aca="1" ref="L177" ca="1">OFFSET(L177,-3,0)*
OFFSET(MSP!$D$1,
MATCH(OFFSET($C172,((MATCH($C172,EL_List,0)-1)*-10)-1,0),MSP!$C:$C,0)+MATCH($C172,EL_List,0)-1,0)
*INDEX(Learning!$E$6:$S$41,(MATCH(L$21,Dates,0)),(MATCH($C$151,Learning!$E$4:$S$4,0)+MATCH($C$172,Learning!$E$5:$S$5,0)-1))</f>
        <v>128.13091540245463</v>
      </c>
      <c r="M177" s="532" cm="1">
        <f t="array" aca="1" ref="M177" ca="1">OFFSET(M177,-3,0)*
OFFSET(MSP!$D$1,
MATCH(OFFSET($C172,((MATCH($C172,EL_List,0)-1)*-10)-1,0),MSP!$C:$C,0)+MATCH($C172,EL_List,0)-1,0)
*INDEX(Learning!$E$6:$S$41,(MATCH(M$21,Dates,0)),(MATCH($C$151,Learning!$E$4:$S$4,0)+MATCH($C$172,Learning!$E$5:$S$5,0)-1))</f>
        <v>134.05436551844576</v>
      </c>
      <c r="N177" s="532" cm="1">
        <f t="array" aca="1" ref="N177" ca="1">OFFSET(N177,-3,0)*
OFFSET(MSP!$D$1,
MATCH(OFFSET($C172,((MATCH($C172,EL_List,0)-1)*-10)-1,0),MSP!$C:$C,0)+MATCH($C172,EL_List,0)-1,0)
*INDEX(Learning!$E$6:$S$41,(MATCH(N$21,Dates,0)),(MATCH($C$151,Learning!$E$4:$S$4,0)+MATCH($C$172,Learning!$E$5:$S$5,0)-1))</f>
        <v>140.13974041143732</v>
      </c>
      <c r="O177" s="532" cm="1">
        <f t="array" aca="1" ref="O177" ca="1">OFFSET(O177,-3,0)*
OFFSET(MSP!$D$1,
MATCH(OFFSET($C172,((MATCH($C172,EL_List,0)-1)*-10)-1,0),MSP!$C:$C,0)+MATCH($C172,EL_List,0)-1,0)
*INDEX(Learning!$E$6:$S$41,(MATCH(O$21,Dates,0)),(MATCH($C$151,Learning!$E$4:$S$4,0)+MATCH($C$172,Learning!$E$5:$S$5,0)-1))</f>
        <v>146.52959888000521</v>
      </c>
      <c r="P177" s="532" cm="1">
        <f t="array" aca="1" ref="P177" ca="1">OFFSET(P177,-3,0)*
OFFSET(MSP!$D$1,
MATCH(OFFSET($C172,((MATCH($C172,EL_List,0)-1)*-10)-1,0),MSP!$C:$C,0)+MATCH($C172,EL_List,0)-1,0)
*INDEX(Learning!$E$6:$S$41,(MATCH(P$21,Dates,0)),(MATCH($C$151,Learning!$E$4:$S$4,0)+MATCH($C$172,Learning!$E$5:$S$5,0)-1))</f>
        <v>153.1148553125968</v>
      </c>
      <c r="Q177" s="532" cm="1">
        <f t="array" aca="1" ref="Q177" ca="1">OFFSET(Q177,-3,0)*
OFFSET(MSP!$D$1,
MATCH(OFFSET($C172,((MATCH($C172,EL_List,0)-1)*-10)-1,0),MSP!$C:$C,0)+MATCH($C172,EL_List,0)-1,0)
*INDEX(Learning!$E$6:$S$41,(MATCH(Q$21,Dates,0)),(MATCH($C$151,Learning!$E$4:$S$4,0)+MATCH($C$172,Learning!$E$5:$S$5,0)-1))</f>
        <v>159.7719838561253</v>
      </c>
      <c r="R177" s="532" cm="1">
        <f t="array" aca="1" ref="R177" ca="1">OFFSET(R177,-3,0)*
OFFSET(MSP!$D$1,
MATCH(OFFSET($C172,((MATCH($C172,EL_List,0)-1)*-10)-1,0),MSP!$C:$C,0)+MATCH($C172,EL_List,0)-1,0)
*INDEX(Learning!$E$6:$S$41,(MATCH(R$21,Dates,0)),(MATCH($C$151,Learning!$E$4:$S$4,0)+MATCH($C$172,Learning!$E$5:$S$5,0)-1))</f>
        <v>166.87210175348162</v>
      </c>
      <c r="S177" s="532" cm="1">
        <f t="array" aca="1" ref="S177" ca="1">OFFSET(S177,-3,0)*
OFFSET(MSP!$D$1,
MATCH(OFFSET($C172,((MATCH($C172,EL_List,0)-1)*-10)-1,0),MSP!$C:$C,0)+MATCH($C172,EL_List,0)-1,0)
*INDEX(Learning!$E$6:$S$41,(MATCH(S$21,Dates,0)),(MATCH($C$151,Learning!$E$4:$S$4,0)+MATCH($C$172,Learning!$E$5:$S$5,0)-1))</f>
        <v>174.29661973076119</v>
      </c>
      <c r="T177" s="532" cm="1">
        <f t="array" aca="1" ref="T177" ca="1">OFFSET(T177,-3,0)*
OFFSET(MSP!$D$1,
MATCH(OFFSET($C172,((MATCH($C172,EL_List,0)-1)*-10)-1,0),MSP!$C:$C,0)+MATCH($C172,EL_List,0)-1,0)
*INDEX(Learning!$E$6:$S$41,(MATCH(T$21,Dates,0)),(MATCH($C$151,Learning!$E$4:$S$4,0)+MATCH($C$172,Learning!$E$5:$S$5,0)-1))</f>
        <v>182.0672374543183</v>
      </c>
      <c r="U177" s="532" cm="1">
        <f t="array" aca="1" ref="U177" ca="1">OFFSET(U177,-3,0)*
OFFSET(MSP!$D$1,
MATCH(OFFSET($C172,((MATCH($C172,EL_List,0)-1)*-10)-1,0),MSP!$C:$C,0)+MATCH($C172,EL_List,0)-1,0)
*INDEX(Learning!$E$6:$S$41,(MATCH(U$21,Dates,0)),(MATCH($C$151,Learning!$E$4:$S$4,0)+MATCH($C$172,Learning!$E$5:$S$5,0)-1))</f>
        <v>190.40924201073059</v>
      </c>
      <c r="V177" s="532" cm="1">
        <f t="array" aca="1" ref="V177" ca="1">OFFSET(V177,-3,0)*
OFFSET(MSP!$D$1,
MATCH(OFFSET($C172,((MATCH($C172,EL_List,0)-1)*-10)-1,0),MSP!$C:$C,0)+MATCH($C172,EL_List,0)-1,0)
*INDEX(Learning!$E$6:$S$41,(MATCH(V$21,Dates,0)),(MATCH($C$151,Learning!$E$4:$S$4,0)+MATCH($C$172,Learning!$E$5:$S$5,0)-1))</f>
        <v>198.90513258175446</v>
      </c>
      <c r="W177" s="532" cm="1">
        <f t="array" aca="1" ref="W177" ca="1">OFFSET(W177,-3,0)*
OFFSET(MSP!$D$1,
MATCH(OFFSET($C172,((MATCH($C172,EL_List,0)-1)*-10)-1,0),MSP!$C:$C,0)+MATCH($C172,EL_List,0)-1,0)
*INDEX(Learning!$E$6:$S$41,(MATCH(W$21,Dates,0)),(MATCH($C$151,Learning!$E$4:$S$4,0)+MATCH($C$172,Learning!$E$5:$S$5,0)-1))</f>
        <v>207.76804654443563</v>
      </c>
      <c r="X177" s="532" cm="1">
        <f t="array" aca="1" ref="X177" ca="1">OFFSET(X177,-3,0)*
OFFSET(MSP!$D$1,
MATCH(OFFSET($C172,((MATCH($C172,EL_List,0)-1)*-10)-1,0),MSP!$C:$C,0)+MATCH($C172,EL_List,0)-1,0)
*INDEX(Learning!$E$6:$S$41,(MATCH(X$21,Dates,0)),(MATCH($C$151,Learning!$E$4:$S$4,0)+MATCH($C$172,Learning!$E$5:$S$5,0)-1))</f>
        <v>217.23524048807391</v>
      </c>
      <c r="Y177" s="532" cm="1">
        <f t="array" aca="1" ref="Y177" ca="1">OFFSET(Y177,-3,0)*
OFFSET(MSP!$D$1,
MATCH(OFFSET($C172,((MATCH($C172,EL_List,0)-1)*-10)-1,0),MSP!$C:$C,0)+MATCH($C172,EL_List,0)-1,0)
*INDEX(Learning!$E$6:$S$41,(MATCH(Y$21,Dates,0)),(MATCH($C$151,Learning!$E$4:$S$4,0)+MATCH($C$172,Learning!$E$5:$S$5,0)-1))</f>
        <v>227.10697799309494</v>
      </c>
      <c r="Z177" s="532" cm="1">
        <f t="array" aca="1" ref="Z177" ca="1">OFFSET(Z177,-3,0)*
OFFSET(MSP!$D$1,
MATCH(OFFSET($C172,((MATCH($C172,EL_List,0)-1)*-10)-1,0),MSP!$C:$C,0)+MATCH($C172,EL_List,0)-1,0)
*INDEX(Learning!$E$6:$S$41,(MATCH(Z$21,Dates,0)),(MATCH($C$151,Learning!$E$4:$S$4,0)+MATCH($C$172,Learning!$E$5:$S$5,0)-1))</f>
        <v>237.14368059653921</v>
      </c>
      <c r="AA177" s="532" cm="1">
        <f t="array" aca="1" ref="AA177" ca="1">OFFSET(AA177,-3,0)*
OFFSET(MSP!$D$1,
MATCH(OFFSET($C172,((MATCH($C172,EL_List,0)-1)*-10)-1,0),MSP!$C:$C,0)+MATCH($C172,EL_List,0)-1,0)
*INDEX(Learning!$E$6:$S$41,(MATCH(AA$21,Dates,0)),(MATCH($C$151,Learning!$E$4:$S$4,0)+MATCH($C$172,Learning!$E$5:$S$5,0)-1))</f>
        <v>247.86612382495829</v>
      </c>
      <c r="AB177" s="532" cm="1">
        <f t="array" aca="1" ref="AB177" ca="1">OFFSET(AB177,-3,0)*
OFFSET(MSP!$D$1,
MATCH(OFFSET($C172,((MATCH($C172,EL_List,0)-1)*-10)-1,0),MSP!$C:$C,0)+MATCH($C172,EL_List,0)-1,0)
*INDEX(Learning!$E$6:$S$41,(MATCH(AB$21,Dates,0)),(MATCH($C$151,Learning!$E$4:$S$4,0)+MATCH($C$172,Learning!$E$5:$S$5,0)-1))</f>
        <v>259.0535137310431</v>
      </c>
      <c r="AC177" s="532" cm="1">
        <f t="array" aca="1" ref="AC177" ca="1">OFFSET(AC177,-3,0)*
OFFSET(MSP!$D$1,
MATCH(OFFSET($C172,((MATCH($C172,EL_List,0)-1)*-10)-1,0),MSP!$C:$C,0)+MATCH($C172,EL_List,0)-1,0)
*INDEX(Learning!$E$6:$S$41,(MATCH(AC$21,Dates,0)),(MATCH($C$151,Learning!$E$4:$S$4,0)+MATCH($C$172,Learning!$E$5:$S$5,0)-1))</f>
        <v>270.72929327474537</v>
      </c>
      <c r="AD177" s="532" cm="1">
        <f t="array" aca="1" ref="AD177" ca="1">OFFSET(AD177,-3,0)*
OFFSET(MSP!$D$1,
MATCH(OFFSET($C172,((MATCH($C172,EL_List,0)-1)*-10)-1,0),MSP!$C:$C,0)+MATCH($C172,EL_List,0)-1,0)
*INDEX(Learning!$E$6:$S$41,(MATCH(AD$21,Dates,0)),(MATCH($C$151,Learning!$E$4:$S$4,0)+MATCH($C$172,Learning!$E$5:$S$5,0)-1))</f>
        <v>282.91653554306436</v>
      </c>
      <c r="AE177" s="532" cm="1">
        <f t="array" aca="1" ref="AE177" ca="1">OFFSET(AE177,-3,0)*
OFFSET(MSP!$D$1,
MATCH(OFFSET($C172,((MATCH($C172,EL_List,0)-1)*-10)-1,0),MSP!$C:$C,0)+MATCH($C172,EL_List,0)-1,0)
*INDEX(Learning!$E$6:$S$41,(MATCH(AE$21,Dates,0)),(MATCH($C$151,Learning!$E$4:$S$4,0)+MATCH($C$172,Learning!$E$5:$S$5,0)-1))</f>
        <v>295.63777566291412</v>
      </c>
      <c r="AF177" s="532" cm="1">
        <f t="array" aca="1" ref="AF177" ca="1">OFFSET(AF177,-3,0)*
OFFSET(MSP!$D$1,
MATCH(OFFSET($C172,((MATCH($C172,EL_List,0)-1)*-10)-1,0),MSP!$C:$C,0)+MATCH($C172,EL_List,0)-1,0)
*INDEX(Learning!$E$6:$S$41,(MATCH(AF$21,Dates,0)),(MATCH($C$151,Learning!$E$4:$S$4,0)+MATCH($C$172,Learning!$E$5:$S$5,0)-1))</f>
        <v>308.91530718902357</v>
      </c>
      <c r="AG177" s="532" cm="1">
        <f t="array" aca="1" ref="AG177" ca="1">OFFSET(AG177,-3,0)*
OFFSET(MSP!$D$1,
MATCH(OFFSET($C172,((MATCH($C172,EL_List,0)-1)*-10)-1,0),MSP!$C:$C,0)+MATCH($C172,EL_List,0)-1,0)
*INDEX(Learning!$E$6:$S$41,(MATCH(AG$21,Dates,0)),(MATCH($C$151,Learning!$E$4:$S$4,0)+MATCH($C$172,Learning!$E$5:$S$5,0)-1))</f>
        <v>322.77182959753191</v>
      </c>
      <c r="AH177" s="532" cm="1">
        <f t="array" aca="1" ref="AH177" ca="1">OFFSET(AH177,-3,0)*
OFFSET(MSP!$D$1,
MATCH(OFFSET($C172,((MATCH($C172,EL_List,0)-1)*-10)-1,0),MSP!$C:$C,0)+MATCH($C172,EL_List,0)-1,0)
*INDEX(Learning!$E$6:$S$41,(MATCH(AH$21,Dates,0)),(MATCH($C$151,Learning!$E$4:$S$4,0)+MATCH($C$172,Learning!$E$5:$S$5,0)-1))</f>
        <v>337.23101442093878</v>
      </c>
      <c r="AI177" s="532" cm="1">
        <f t="array" aca="1" ref="AI177" ca="1">OFFSET(AI177,-3,0)*
OFFSET(MSP!$D$1,
MATCH(OFFSET($C172,((MATCH($C172,EL_List,0)-1)*-10)-1,0),MSP!$C:$C,0)+MATCH($C172,EL_List,0)-1,0)
*INDEX(Learning!$E$6:$S$41,(MATCH(AI$21,Dates,0)),(MATCH($C$151,Learning!$E$4:$S$4,0)+MATCH($C$172,Learning!$E$5:$S$5,0)-1))</f>
        <v>352.31791242896986</v>
      </c>
      <c r="AJ177" s="532" cm="1">
        <f t="array" aca="1" ref="AJ177" ca="1">OFFSET(AJ177,-3,0)*
OFFSET(MSP!$D$1,
MATCH(OFFSET($C172,((MATCH($C172,EL_List,0)-1)*-10)-1,0),MSP!$C:$C,0)+MATCH($C172,EL_List,0)-1,0)
*INDEX(Learning!$E$6:$S$41,(MATCH(AJ$21,Dates,0)),(MATCH($C$151,Learning!$E$4:$S$4,0)+MATCH($C$172,Learning!$E$5:$S$5,0)-1))</f>
        <v>368.05914930508686</v>
      </c>
      <c r="AK177" s="532" cm="1">
        <f t="array" aca="1" ref="AK177" ca="1">OFFSET(AK177,-3,0)*
OFFSET(MSP!$D$1,
MATCH(OFFSET($C172,((MATCH($C172,EL_List,0)-1)*-10)-1,0),MSP!$C:$C,0)+MATCH($C172,EL_List,0)-1,0)
*INDEX(Learning!$E$6:$S$41,(MATCH(AK$21,Dates,0)),(MATCH($C$151,Learning!$E$4:$S$4,0)+MATCH($C$172,Learning!$E$5:$S$5,0)-1))</f>
        <v>384.91980926319775</v>
      </c>
      <c r="AL177" s="532" cm="1">
        <f t="array" aca="1" ref="AL177" ca="1">OFFSET(AL177,-3,0)*
OFFSET(MSP!$D$1,
MATCH(OFFSET($C172,((MATCH($C172,EL_List,0)-1)*-10)-1,0),MSP!$C:$C,0)+MATCH($C172,EL_List,0)-1,0)
*INDEX(Learning!$E$6:$S$41,(MATCH(AL$21,Dates,0)),(MATCH($C$151,Learning!$E$4:$S$4,0)+MATCH($C$172,Learning!$E$5:$S$5,0)-1))</f>
        <v>402.07722014046755</v>
      </c>
      <c r="AM177" s="532" cm="1">
        <f t="array" aca="1" ref="AM177" ca="1">OFFSET(AM177,-3,0)*
OFFSET(MSP!$D$1,
MATCH(OFFSET($C172,((MATCH($C172,EL_List,0)-1)*-10)-1,0),MSP!$C:$C,0)+MATCH($C172,EL_List,0)-1,0)
*INDEX(Learning!$E$6:$S$41,(MATCH(AM$21,Dates,0)),(MATCH($C$151,Learning!$E$4:$S$4,0)+MATCH($C$172,Learning!$E$5:$S$5,0)-1))</f>
        <v>419.97871194716106</v>
      </c>
      <c r="AN177" s="532" cm="1">
        <f t="array" aca="1" ref="AN177" ca="1">OFFSET(AN177,-3,0)*
OFFSET(MSP!$D$1,
MATCH(OFFSET($C172,((MATCH($C172,EL_List,0)-1)*-10)-1,0),MSP!$C:$C,0)+MATCH($C172,EL_List,0)-1,0)
*INDEX(Learning!$E$6:$S$41,(MATCH(AN$21,Dates,0)),(MATCH($C$151,Learning!$E$4:$S$4,0)+MATCH($C$172,Learning!$E$5:$S$5,0)-1))</f>
        <v>438.95417182960375</v>
      </c>
      <c r="AO177" s="436"/>
      <c r="AP177" s="21"/>
    </row>
    <row r="178" spans="2:42" ht="15" customHeight="1" x14ac:dyDescent="0.35">
      <c r="B178" s="429"/>
      <c r="C178" s="777" t="s">
        <v>213</v>
      </c>
      <c r="D178" s="776"/>
      <c r="E178" s="533" cm="1">
        <f t="array" aca="1" ref="E178" ca="1">OFFSET(E178,-4,0)*
OFFSET(MSP!$E$1,
MATCH(OFFSET($C172,((MATCH($C172,EL_List,0)-1)*-10)-1,0),MSP!$C:$C,0)+MATCH($C172,EL_List,0)-1,0)
*INDEX(Learning!$E$6:$S$41,(MATCH(E$21,Dates,0)),(MATCH($C$151,Learning!$E$4:$S$4,0)+MATCH($C$172,Learning!$E$5:$S$5,0)-1))</f>
        <v>2.2030711773441261</v>
      </c>
      <c r="F178" s="533" cm="1">
        <f t="array" aca="1" ref="F178" ca="1">OFFSET(F178,-4,0)*
OFFSET(MSP!$E$1,
MATCH(OFFSET($C172,((MATCH($C172,EL_List,0)-1)*-10)-1,0),MSP!$C:$C,0)+MATCH($C172,EL_List,0)-1,0)
*INDEX(Learning!$E$6:$S$41,(MATCH(F$21,Dates,0)),(MATCH($C$151,Learning!$E$4:$S$4,0)+MATCH($C$172,Learning!$E$5:$S$5,0)-1))</f>
        <v>2.2839187853774208</v>
      </c>
      <c r="G178" s="533" cm="1">
        <f t="array" aca="1" ref="G178" ca="1">OFFSET(G178,-4,0)*
OFFSET(MSP!$E$1,
MATCH(OFFSET($C172,((MATCH($C172,EL_List,0)-1)*-10)-1,0),MSP!$C:$C,0)+MATCH($C172,EL_List,0)-1,0)
*INDEX(Learning!$E$6:$S$41,(MATCH(G$21,Dates,0)),(MATCH($C$151,Learning!$E$4:$S$4,0)+MATCH($C$172,Learning!$E$5:$S$5,0)-1))</f>
        <v>2.3554692104973651</v>
      </c>
      <c r="H178" s="533" cm="1">
        <f t="array" aca="1" ref="H178" ca="1">OFFSET(H178,-4,0)*
OFFSET(MSP!$E$1,
MATCH(OFFSET($C172,((MATCH($C172,EL_List,0)-1)*-10)-1,0),MSP!$C:$C,0)+MATCH($C172,EL_List,0)-1,0)
*INDEX(Learning!$E$6:$S$41,(MATCH(H$21,Dates,0)),(MATCH($C$151,Learning!$E$4:$S$4,0)+MATCH($C$172,Learning!$E$5:$S$5,0)-1))</f>
        <v>2.446879065352038</v>
      </c>
      <c r="I178" s="533" cm="1">
        <f t="array" aca="1" ref="I178" ca="1">OFFSET(I178,-4,0)*
OFFSET(MSP!$E$1,
MATCH(OFFSET($C172,((MATCH($C172,EL_List,0)-1)*-10)-1,0),MSP!$C:$C,0)+MATCH($C172,EL_List,0)-1,0)
*INDEX(Learning!$E$6:$S$41,(MATCH(I$21,Dates,0)),(MATCH($C$151,Learning!$E$4:$S$4,0)+MATCH($C$172,Learning!$E$5:$S$5,0)-1))</f>
        <v>2.5495518753844326</v>
      </c>
      <c r="J178" s="533" cm="1">
        <f t="array" aca="1" ref="J178" ca="1">OFFSET(J178,-4,0)*
OFFSET(MSP!$E$1,
MATCH(OFFSET($C172,((MATCH($C172,EL_List,0)-1)*-10)-1,0),MSP!$C:$C,0)+MATCH($C172,EL_List,0)-1,0)
*INDEX(Learning!$E$6:$S$41,(MATCH(J$21,Dates,0)),(MATCH($C$151,Learning!$E$4:$S$4,0)+MATCH($C$172,Learning!$E$5:$S$5,0)-1))</f>
        <v>2.660610371342774</v>
      </c>
      <c r="K178" s="533" cm="1">
        <f t="array" aca="1" ref="K178" ca="1">OFFSET(K178,-4,0)*
OFFSET(MSP!$E$1,
MATCH(OFFSET($C172,((MATCH($C172,EL_List,0)-1)*-10)-1,0),MSP!$C:$C,0)+MATCH($C172,EL_List,0)-1,0)
*INDEX(Learning!$E$6:$S$41,(MATCH(K$21,Dates,0)),(MATCH($C$151,Learning!$E$4:$S$4,0)+MATCH($C$172,Learning!$E$5:$S$5,0)-1))</f>
        <v>2.78347731853261</v>
      </c>
      <c r="L178" s="533" cm="1">
        <f t="array" aca="1" ref="L178" ca="1">OFFSET(L178,-4,0)*
OFFSET(MSP!$E$1,
MATCH(OFFSET($C172,((MATCH($C172,EL_List,0)-1)*-10)-1,0),MSP!$C:$C,0)+MATCH($C172,EL_List,0)-1,0)
*INDEX(Learning!$E$6:$S$41,(MATCH(L$21,Dates,0)),(MATCH($C$151,Learning!$E$4:$S$4,0)+MATCH($C$172,Learning!$E$5:$S$5,0)-1))</f>
        <v>2.9131964691777217</v>
      </c>
      <c r="M178" s="533" cm="1">
        <f t="array" aca="1" ref="M178" ca="1">OFFSET(M178,-4,0)*
OFFSET(MSP!$E$1,
MATCH(OFFSET($C172,((MATCH($C172,EL_List,0)-1)*-10)-1,0),MSP!$C:$C,0)+MATCH($C172,EL_List,0)-1,0)
*INDEX(Learning!$E$6:$S$41,(MATCH(M$21,Dates,0)),(MATCH($C$151,Learning!$E$4:$S$4,0)+MATCH($C$172,Learning!$E$5:$S$5,0)-1))</f>
        <v>3.0478725846886019</v>
      </c>
      <c r="N178" s="533" cm="1">
        <f t="array" aca="1" ref="N178" ca="1">OFFSET(N178,-4,0)*
OFFSET(MSP!$E$1,
MATCH(OFFSET($C172,((MATCH($C172,EL_List,0)-1)*-10)-1,0),MSP!$C:$C,0)+MATCH($C172,EL_List,0)-1,0)
*INDEX(Learning!$E$6:$S$41,(MATCH(N$21,Dates,0)),(MATCH($C$151,Learning!$E$4:$S$4,0)+MATCH($C$172,Learning!$E$5:$S$5,0)-1))</f>
        <v>3.1862302370647124</v>
      </c>
      <c r="O178" s="533" cm="1">
        <f t="array" aca="1" ref="O178" ca="1">OFFSET(O178,-4,0)*
OFFSET(MSP!$E$1,
MATCH(OFFSET($C172,((MATCH($C172,EL_List,0)-1)*-10)-1,0),MSP!$C:$C,0)+MATCH($C172,EL_List,0)-1,0)
*INDEX(Learning!$E$6:$S$41,(MATCH(O$21,Dates,0)),(MATCH($C$151,Learning!$E$4:$S$4,0)+MATCH($C$172,Learning!$E$5:$S$5,0)-1))</f>
        <v>3.3315106564756611</v>
      </c>
      <c r="P178" s="533" cm="1">
        <f t="array" aca="1" ref="P178" ca="1">OFFSET(P178,-4,0)*
OFFSET(MSP!$E$1,
MATCH(OFFSET($C172,((MATCH($C172,EL_List,0)-1)*-10)-1,0),MSP!$C:$C,0)+MATCH($C172,EL_List,0)-1,0)
*INDEX(Learning!$E$6:$S$41,(MATCH(P$21,Dates,0)),(MATCH($C$151,Learning!$E$4:$S$4,0)+MATCH($C$172,Learning!$E$5:$S$5,0)-1))</f>
        <v>3.4812336622607916</v>
      </c>
      <c r="Q178" s="533" cm="1">
        <f t="array" aca="1" ref="Q178" ca="1">OFFSET(Q178,-4,0)*
OFFSET(MSP!$E$1,
MATCH(OFFSET($C172,((MATCH($C172,EL_List,0)-1)*-10)-1,0),MSP!$C:$C,0)+MATCH($C172,EL_List,0)-1,0)
*INDEX(Learning!$E$6:$S$41,(MATCH(Q$21,Dates,0)),(MATCH($C$151,Learning!$E$4:$S$4,0)+MATCH($C$172,Learning!$E$5:$S$5,0)-1))</f>
        <v>3.6325907590781759</v>
      </c>
      <c r="R178" s="533" cm="1">
        <f t="array" aca="1" ref="R178" ca="1">OFFSET(R178,-4,0)*
OFFSET(MSP!$E$1,
MATCH(OFFSET($C172,((MATCH($C172,EL_List,0)-1)*-10)-1,0),MSP!$C:$C,0)+MATCH($C172,EL_List,0)-1,0)
*INDEX(Learning!$E$6:$S$41,(MATCH(R$21,Dates,0)),(MATCH($C$151,Learning!$E$4:$S$4,0)+MATCH($C$172,Learning!$E$5:$S$5,0)-1))</f>
        <v>3.7940197032510645</v>
      </c>
      <c r="S178" s="533" cm="1">
        <f t="array" aca="1" ref="S178" ca="1">OFFSET(S178,-4,0)*
OFFSET(MSP!$E$1,
MATCH(OFFSET($C172,((MATCH($C172,EL_List,0)-1)*-10)-1,0),MSP!$C:$C,0)+MATCH($C172,EL_List,0)-1,0)
*INDEX(Learning!$E$6:$S$41,(MATCH(S$21,Dates,0)),(MATCH($C$151,Learning!$E$4:$S$4,0)+MATCH($C$172,Learning!$E$5:$S$5,0)-1))</f>
        <v>3.9628242379632463</v>
      </c>
      <c r="T178" s="533" cm="1">
        <f t="array" aca="1" ref="T178" ca="1">OFFSET(T178,-4,0)*
OFFSET(MSP!$E$1,
MATCH(OFFSET($C172,((MATCH($C172,EL_List,0)-1)*-10)-1,0),MSP!$C:$C,0)+MATCH($C172,EL_List,0)-1,0)
*INDEX(Learning!$E$6:$S$41,(MATCH(T$21,Dates,0)),(MATCH($C$151,Learning!$E$4:$S$4,0)+MATCH($C$172,Learning!$E$5:$S$5,0)-1))</f>
        <v>4.139497728857255</v>
      </c>
      <c r="U178" s="533" cm="1">
        <f t="array" aca="1" ref="U178" ca="1">OFFSET(U178,-4,0)*
OFFSET(MSP!$E$1,
MATCH(OFFSET($C172,((MATCH($C172,EL_List,0)-1)*-10)-1,0),MSP!$C:$C,0)+MATCH($C172,EL_List,0)-1,0)
*INDEX(Learning!$E$6:$S$41,(MATCH(U$21,Dates,0)),(MATCH($C$151,Learning!$E$4:$S$4,0)+MATCH($C$172,Learning!$E$5:$S$5,0)-1))</f>
        <v>4.3291623241914357</v>
      </c>
      <c r="V178" s="533" cm="1">
        <f t="array" aca="1" ref="V178" ca="1">OFFSET(V178,-4,0)*
OFFSET(MSP!$E$1,
MATCH(OFFSET($C172,((MATCH($C172,EL_List,0)-1)*-10)-1,0),MSP!$C:$C,0)+MATCH($C172,EL_List,0)-1,0)
*INDEX(Learning!$E$6:$S$41,(MATCH(V$21,Dates,0)),(MATCH($C$151,Learning!$E$4:$S$4,0)+MATCH($C$172,Learning!$E$5:$S$5,0)-1))</f>
        <v>4.5223256863377808</v>
      </c>
      <c r="W178" s="533" cm="1">
        <f t="array" aca="1" ref="W178" ca="1">OFFSET(W178,-4,0)*
OFFSET(MSP!$E$1,
MATCH(OFFSET($C172,((MATCH($C172,EL_List,0)-1)*-10)-1,0),MSP!$C:$C,0)+MATCH($C172,EL_List,0)-1,0)
*INDEX(Learning!$E$6:$S$41,(MATCH(W$21,Dates,0)),(MATCH($C$151,Learning!$E$4:$S$4,0)+MATCH($C$172,Learning!$E$5:$S$5,0)-1))</f>
        <v>4.7238337266230683</v>
      </c>
      <c r="X178" s="533" cm="1">
        <f t="array" aca="1" ref="X178" ca="1">OFFSET(X178,-4,0)*
OFFSET(MSP!$E$1,
MATCH(OFFSET($C172,((MATCH($C172,EL_List,0)-1)*-10)-1,0),MSP!$C:$C,0)+MATCH($C172,EL_List,0)-1,0)
*INDEX(Learning!$E$6:$S$41,(MATCH(X$21,Dates,0)),(MATCH($C$151,Learning!$E$4:$S$4,0)+MATCH($C$172,Learning!$E$5:$S$5,0)-1))</f>
        <v>4.9390807330383479</v>
      </c>
      <c r="Y178" s="533" cm="1">
        <f t="array" aca="1" ref="Y178" ca="1">OFFSET(Y178,-4,0)*
OFFSET(MSP!$E$1,
MATCH(OFFSET($C172,((MATCH($C172,EL_List,0)-1)*-10)-1,0),MSP!$C:$C,0)+MATCH($C172,EL_List,0)-1,0)
*INDEX(Learning!$E$6:$S$41,(MATCH(Y$21,Dates,0)),(MATCH($C$151,Learning!$E$4:$S$4,0)+MATCH($C$172,Learning!$E$5:$S$5,0)-1))</f>
        <v>5.1635254796785146</v>
      </c>
      <c r="Z178" s="533" cm="1">
        <f t="array" aca="1" ref="Z178" ca="1">OFFSET(Z178,-4,0)*
OFFSET(MSP!$E$1,
MATCH(OFFSET($C172,((MATCH($C172,EL_List,0)-1)*-10)-1,0),MSP!$C:$C,0)+MATCH($C172,EL_List,0)-1,0)
*INDEX(Learning!$E$6:$S$41,(MATCH(Z$21,Dates,0)),(MATCH($C$151,Learning!$E$4:$S$4,0)+MATCH($C$172,Learning!$E$5:$S$5,0)-1))</f>
        <v>5.3917208882159651</v>
      </c>
      <c r="AA178" s="533" cm="1">
        <f t="array" aca="1" ref="AA178" ca="1">OFFSET(AA178,-4,0)*
OFFSET(MSP!$E$1,
MATCH(OFFSET($C172,((MATCH($C172,EL_List,0)-1)*-10)-1,0),MSP!$C:$C,0)+MATCH($C172,EL_List,0)-1,0)
*INDEX(Learning!$E$6:$S$41,(MATCH(AA$21,Dates,0)),(MATCH($C$151,Learning!$E$4:$S$4,0)+MATCH($C$172,Learning!$E$5:$S$5,0)-1))</f>
        <v>5.6355073597000409</v>
      </c>
      <c r="AB178" s="533" cm="1">
        <f t="array" aca="1" ref="AB178" ca="1">OFFSET(AB178,-4,0)*
OFFSET(MSP!$E$1,
MATCH(OFFSET($C172,((MATCH($C172,EL_List,0)-1)*-10)-1,0),MSP!$C:$C,0)+MATCH($C172,EL_List,0)-1,0)
*INDEX(Learning!$E$6:$S$41,(MATCH(AB$21,Dates,0)),(MATCH($C$151,Learning!$E$4:$S$4,0)+MATCH($C$172,Learning!$E$5:$S$5,0)-1))</f>
        <v>5.8898649023067833</v>
      </c>
      <c r="AC178" s="533" cm="1">
        <f t="array" aca="1" ref="AC178" ca="1">OFFSET(AC178,-4,0)*
OFFSET(MSP!$E$1,
MATCH(OFFSET($C172,((MATCH($C172,EL_List,0)-1)*-10)-1,0),MSP!$C:$C,0)+MATCH($C172,EL_List,0)-1,0)
*INDEX(Learning!$E$6:$S$41,(MATCH(AC$21,Dates,0)),(MATCH($C$151,Learning!$E$4:$S$4,0)+MATCH($C$172,Learning!$E$5:$S$5,0)-1))</f>
        <v>6.1553265173649034</v>
      </c>
      <c r="AD178" s="533" cm="1">
        <f t="array" aca="1" ref="AD178" ca="1">OFFSET(AD178,-4,0)*
OFFSET(MSP!$E$1,
MATCH(OFFSET($C172,((MATCH($C172,EL_List,0)-1)*-10)-1,0),MSP!$C:$C,0)+MATCH($C172,EL_List,0)-1,0)
*INDEX(Learning!$E$6:$S$41,(MATCH(AD$21,Dates,0)),(MATCH($C$151,Learning!$E$4:$S$4,0)+MATCH($C$172,Learning!$E$5:$S$5,0)-1))</f>
        <v>6.4324167967370913</v>
      </c>
      <c r="AE178" s="533" cm="1">
        <f t="array" aca="1" ref="AE178" ca="1">OFFSET(AE178,-4,0)*
OFFSET(MSP!$E$1,
MATCH(OFFSET($C172,((MATCH($C172,EL_List,0)-1)*-10)-1,0),MSP!$C:$C,0)+MATCH($C172,EL_List,0)-1,0)
*INDEX(Learning!$E$6:$S$41,(MATCH(AE$21,Dates,0)),(MATCH($C$151,Learning!$E$4:$S$4,0)+MATCH($C$172,Learning!$E$5:$S$5,0)-1))</f>
        <v>6.7216481011752585</v>
      </c>
      <c r="AF178" s="533" cm="1">
        <f t="array" aca="1" ref="AF178" ca="1">OFFSET(AF178,-4,0)*
OFFSET(MSP!$E$1,
MATCH(OFFSET($C172,((MATCH($C172,EL_List,0)-1)*-10)-1,0),MSP!$C:$C,0)+MATCH($C172,EL_List,0)-1,0)
*INDEX(Learning!$E$6:$S$41,(MATCH(AF$21,Dates,0)),(MATCH($C$151,Learning!$E$4:$S$4,0)+MATCH($C$172,Learning!$E$5:$S$5,0)-1))</f>
        <v>7.02352729902353</v>
      </c>
      <c r="AG178" s="533" cm="1">
        <f t="array" aca="1" ref="AG178" ca="1">OFFSET(AG178,-4,0)*
OFFSET(MSP!$E$1,
MATCH(OFFSET($C172,((MATCH($C172,EL_List,0)-1)*-10)-1,0),MSP!$C:$C,0)+MATCH($C172,EL_List,0)-1,0)
*INDEX(Learning!$E$6:$S$41,(MATCH(AG$21,Dates,0)),(MATCH($C$151,Learning!$E$4:$S$4,0)+MATCH($C$172,Learning!$E$5:$S$5,0)-1))</f>
        <v>7.3385704876931657</v>
      </c>
      <c r="AH178" s="533" cm="1">
        <f t="array" aca="1" ref="AH178" ca="1">OFFSET(AH178,-4,0)*
OFFSET(MSP!$E$1,
MATCH(OFFSET($C172,((MATCH($C172,EL_List,0)-1)*-10)-1,0),MSP!$C:$C,0)+MATCH($C172,EL_List,0)-1,0)
*INDEX(Learning!$E$6:$S$41,(MATCH(AH$21,Dates,0)),(MATCH($C$151,Learning!$E$4:$S$4,0)+MATCH($C$172,Learning!$E$5:$S$5,0)-1))</f>
        <v>7.6673158653596865</v>
      </c>
      <c r="AI178" s="533" cm="1">
        <f t="array" aca="1" ref="AI178" ca="1">OFFSET(AI178,-4,0)*
OFFSET(MSP!$E$1,
MATCH(OFFSET($C172,((MATCH($C172,EL_List,0)-1)*-10)-1,0),MSP!$C:$C,0)+MATCH($C172,EL_List,0)-1,0)
*INDEX(Learning!$E$6:$S$41,(MATCH(AI$21,Dates,0)),(MATCH($C$151,Learning!$E$4:$S$4,0)+MATCH($C$172,Learning!$E$5:$S$5,0)-1))</f>
        <v>8.0103329886651089</v>
      </c>
      <c r="AJ178" s="533" cm="1">
        <f t="array" aca="1" ref="AJ178" ca="1">OFFSET(AJ178,-4,0)*
OFFSET(MSP!$E$1,
MATCH(OFFSET($C172,((MATCH($C172,EL_List,0)-1)*-10)-1,0),MSP!$C:$C,0)+MATCH($C172,EL_List,0)-1,0)
*INDEX(Learning!$E$6:$S$41,(MATCH(AJ$21,Dates,0)),(MATCH($C$151,Learning!$E$4:$S$4,0)+MATCH($C$172,Learning!$E$5:$S$5,0)-1))</f>
        <v>8.3682272216373637</v>
      </c>
      <c r="AK178" s="533" cm="1">
        <f t="array" aca="1" ref="AK178" ca="1">OFFSET(AK178,-4,0)*
OFFSET(MSP!$E$1,
MATCH(OFFSET($C172,((MATCH($C172,EL_List,0)-1)*-10)-1,0),MSP!$C:$C,0)+MATCH($C172,EL_List,0)-1,0)
*INDEX(Learning!$E$6:$S$41,(MATCH(AK$21,Dates,0)),(MATCH($C$151,Learning!$E$4:$S$4,0)+MATCH($C$172,Learning!$E$5:$S$5,0)-1))</f>
        <v>8.7515727624359734</v>
      </c>
      <c r="AL178" s="533" cm="1">
        <f t="array" aca="1" ref="AL178" ca="1">OFFSET(AL178,-4,0)*
OFFSET(MSP!$E$1,
MATCH(OFFSET($C172,((MATCH($C172,EL_List,0)-1)*-10)-1,0),MSP!$C:$C,0)+MATCH($C172,EL_List,0)-1,0)
*INDEX(Learning!$E$6:$S$41,(MATCH(AL$21,Dates,0)),(MATCH($C$151,Learning!$E$4:$S$4,0)+MATCH($C$172,Learning!$E$5:$S$5,0)-1))</f>
        <v>9.1416652598703294</v>
      </c>
      <c r="AM178" s="533" cm="1">
        <f t="array" aca="1" ref="AM178" ca="1">OFFSET(AM178,-4,0)*
OFFSET(MSP!$E$1,
MATCH(OFFSET($C172,((MATCH($C172,EL_List,0)-1)*-10)-1,0),MSP!$C:$C,0)+MATCH($C172,EL_List,0)-1,0)
*INDEX(Learning!$E$6:$S$41,(MATCH(AM$21,Dates,0)),(MATCH($C$151,Learning!$E$4:$S$4,0)+MATCH($C$172,Learning!$E$5:$S$5,0)-1))</f>
        <v>9.548675250866415</v>
      </c>
      <c r="AN178" s="533" cm="1">
        <f t="array" aca="1" ref="AN178" ca="1">OFFSET(AN178,-4,0)*
OFFSET(MSP!$E$1,
MATCH(OFFSET($C172,((MATCH($C172,EL_List,0)-1)*-10)-1,0),MSP!$C:$C,0)+MATCH($C172,EL_List,0)-1,0)
*INDEX(Learning!$E$6:$S$41,(MATCH(AN$21,Dates,0)),(MATCH($C$151,Learning!$E$4:$S$4,0)+MATCH($C$172,Learning!$E$5:$S$5,0)-1))</f>
        <v>9.9801030804181323</v>
      </c>
      <c r="AO178" s="436"/>
      <c r="AP178" s="21"/>
    </row>
    <row r="179" spans="2:42" ht="15" customHeight="1" x14ac:dyDescent="0.35">
      <c r="B179" s="429"/>
      <c r="C179" s="777" t="s">
        <v>214</v>
      </c>
      <c r="D179" s="776"/>
      <c r="E179" s="533" cm="1">
        <f t="array" aca="1" ref="E179" ca="1">OFFSET(E179,-5,0)*
OFFSET(MSP!$F$1,
MATCH(OFFSET($C172,((MATCH($C172,EL_List,0)-1)*-10)-1,0),MSP!$C:$C,0)+MATCH($C172,EL_List,0)-1,0)
*INDEX(Learning!$E$6:$S$41,(MATCH(E$21,Dates,0)),(MATCH($C$151,Learning!$E$4:$S$4,0)+MATCH($C$172,Learning!$E$5:$S$5,0)-1))</f>
        <v>5.4732848870544712</v>
      </c>
      <c r="F179" s="533" cm="1">
        <f t="array" aca="1" ref="F179" ca="1">OFFSET(F179,-5,0)*
OFFSET(MSP!$F$1,
MATCH(OFFSET($C172,((MATCH($C172,EL_List,0)-1)*-10)-1,0),MSP!$C:$C,0)+MATCH($C172,EL_List,0)-1,0)
*INDEX(Learning!$E$6:$S$41,(MATCH(F$21,Dates,0)),(MATCH($C$151,Learning!$E$4:$S$4,0)+MATCH($C$172,Learning!$E$5:$S$5,0)-1))</f>
        <v>5.6741417616546768</v>
      </c>
      <c r="G179" s="533" cm="1">
        <f t="array" aca="1" ref="G179" ca="1">OFFSET(G179,-5,0)*
OFFSET(MSP!$F$1,
MATCH(OFFSET($C172,((MATCH($C172,EL_List,0)-1)*-10)-1,0),MSP!$C:$C,0)+MATCH($C172,EL_List,0)-1,0)
*INDEX(Learning!$E$6:$S$41,(MATCH(G$21,Dates,0)),(MATCH($C$151,Learning!$E$4:$S$4,0)+MATCH($C$172,Learning!$E$5:$S$5,0)-1))</f>
        <v>5.8519008211433583</v>
      </c>
      <c r="H179" s="533" cm="1">
        <f t="array" aca="1" ref="H179" ca="1">OFFSET(H179,-5,0)*
OFFSET(MSP!$F$1,
MATCH(OFFSET($C172,((MATCH($C172,EL_List,0)-1)*-10)-1,0),MSP!$C:$C,0)+MATCH($C172,EL_List,0)-1,0)
*INDEX(Learning!$E$6:$S$41,(MATCH(H$21,Dates,0)),(MATCH($C$151,Learning!$E$4:$S$4,0)+MATCH($C$172,Learning!$E$5:$S$5,0)-1))</f>
        <v>6.078998421188702</v>
      </c>
      <c r="I179" s="533" cm="1">
        <f t="array" aca="1" ref="I179" ca="1">OFFSET(I179,-5,0)*
OFFSET(MSP!$F$1,
MATCH(OFFSET($C172,((MATCH($C172,EL_List,0)-1)*-10)-1,0),MSP!$C:$C,0)+MATCH($C172,EL_List,0)-1,0)
*INDEX(Learning!$E$6:$S$41,(MATCH(I$21,Dates,0)),(MATCH($C$151,Learning!$E$4:$S$4,0)+MATCH($C$172,Learning!$E$5:$S$5,0)-1))</f>
        <v>6.3340775785217751</v>
      </c>
      <c r="J179" s="533" cm="1">
        <f t="array" aca="1" ref="J179" ca="1">OFFSET(J179,-5,0)*
OFFSET(MSP!$F$1,
MATCH(OFFSET($C172,((MATCH($C172,EL_List,0)-1)*-10)-1,0),MSP!$C:$C,0)+MATCH($C172,EL_List,0)-1,0)
*INDEX(Learning!$E$6:$S$41,(MATCH(J$21,Dates,0)),(MATCH($C$151,Learning!$E$4:$S$4,0)+MATCH($C$172,Learning!$E$5:$S$5,0)-1))</f>
        <v>6.6099900382547281</v>
      </c>
      <c r="K179" s="533" cm="1">
        <f t="array" aca="1" ref="K179" ca="1">OFFSET(K179,-5,0)*
OFFSET(MSP!$F$1,
MATCH(OFFSET($C172,((MATCH($C172,EL_List,0)-1)*-10)-1,0),MSP!$C:$C,0)+MATCH($C172,EL_List,0)-1,0)
*INDEX(Learning!$E$6:$S$41,(MATCH(K$21,Dates,0)),(MATCH($C$151,Learning!$E$4:$S$4,0)+MATCH($C$172,Learning!$E$5:$S$5,0)-1))</f>
        <v>6.9152392794450899</v>
      </c>
      <c r="L179" s="533" cm="1">
        <f t="array" aca="1" ref="L179" ca="1">OFFSET(L179,-5,0)*
OFFSET(MSP!$F$1,
MATCH(OFFSET($C172,((MATCH($C172,EL_List,0)-1)*-10)-1,0),MSP!$C:$C,0)+MATCH($C172,EL_List,0)-1,0)
*INDEX(Learning!$E$6:$S$41,(MATCH(L$21,Dates,0)),(MATCH($C$151,Learning!$E$4:$S$4,0)+MATCH($C$172,Learning!$E$5:$S$5,0)-1))</f>
        <v>7.2375120566884226</v>
      </c>
      <c r="M179" s="533" cm="1">
        <f t="array" aca="1" ref="M179" ca="1">OFFSET(M179,-5,0)*
OFFSET(MSP!$F$1,
MATCH(OFFSET($C172,((MATCH($C172,EL_List,0)-1)*-10)-1,0),MSP!$C:$C,0)+MATCH($C172,EL_List,0)-1,0)
*INDEX(Learning!$E$6:$S$41,(MATCH(M$21,Dates,0)),(MATCH($C$151,Learning!$E$4:$S$4,0)+MATCH($C$172,Learning!$E$5:$S$5,0)-1))</f>
        <v>7.5720998608652836</v>
      </c>
      <c r="N179" s="533" cm="1">
        <f t="array" aca="1" ref="N179" ca="1">OFFSET(N179,-5,0)*
OFFSET(MSP!$F$1,
MATCH(OFFSET($C172,((MATCH($C172,EL_List,0)-1)*-10)-1,0),MSP!$C:$C,0)+MATCH($C172,EL_List,0)-1,0)
*INDEX(Learning!$E$6:$S$41,(MATCH(N$21,Dates,0)),(MATCH($C$151,Learning!$E$4:$S$4,0)+MATCH($C$172,Learning!$E$5:$S$5,0)-1))</f>
        <v>7.9158340332089185</v>
      </c>
      <c r="O179" s="533" cm="1">
        <f t="array" aca="1" ref="O179" ca="1">OFFSET(O179,-5,0)*
OFFSET(MSP!$F$1,
MATCH(OFFSET($C172,((MATCH($C172,EL_List,0)-1)*-10)-1,0),MSP!$C:$C,0)+MATCH($C172,EL_List,0)-1,0)
*INDEX(Learning!$E$6:$S$41,(MATCH(O$21,Dates,0)),(MATCH($C$151,Learning!$E$4:$S$4,0)+MATCH($C$172,Learning!$E$5:$S$5,0)-1))</f>
        <v>8.2767670489571774</v>
      </c>
      <c r="P179" s="533" cm="1">
        <f t="array" aca="1" ref="P179" ca="1">OFFSET(P179,-5,0)*
OFFSET(MSP!$F$1,
MATCH(OFFSET($C172,((MATCH($C172,EL_List,0)-1)*-10)-1,0),MSP!$C:$C,0)+MATCH($C172,EL_List,0)-1,0)
*INDEX(Learning!$E$6:$S$41,(MATCH(P$21,Dates,0)),(MATCH($C$151,Learning!$E$4:$S$4,0)+MATCH($C$172,Learning!$E$5:$S$5,0)-1))</f>
        <v>8.6487371755855982</v>
      </c>
      <c r="Q179" s="533" cm="1">
        <f t="array" aca="1" ref="Q179" ca="1">OFFSET(Q179,-5,0)*
OFFSET(MSP!$F$1,
MATCH(OFFSET($C172,((MATCH($C172,EL_List,0)-1)*-10)-1,0),MSP!$C:$C,0)+MATCH($C172,EL_List,0)-1,0)
*INDEX(Learning!$E$6:$S$41,(MATCH(Q$21,Dates,0)),(MATCH($C$151,Learning!$E$4:$S$4,0)+MATCH($C$172,Learning!$E$5:$S$5,0)-1))</f>
        <v>9.0247670193229776</v>
      </c>
      <c r="R179" s="533" cm="1">
        <f t="array" aca="1" ref="R179" ca="1">OFFSET(R179,-5,0)*
OFFSET(MSP!$F$1,
MATCH(OFFSET($C172,((MATCH($C172,EL_List,0)-1)*-10)-1,0),MSP!$C:$C,0)+MATCH($C172,EL_List,0)-1,0)
*INDEX(Learning!$E$6:$S$41,(MATCH(R$21,Dates,0)),(MATCH($C$151,Learning!$E$4:$S$4,0)+MATCH($C$172,Learning!$E$5:$S$5,0)-1))</f>
        <v>9.4258192456699152</v>
      </c>
      <c r="S179" s="533" cm="1">
        <f t="array" aca="1" ref="S179" ca="1">OFFSET(S179,-5,0)*
OFFSET(MSP!$F$1,
MATCH(OFFSET($C172,((MATCH($C172,EL_List,0)-1)*-10)-1,0),MSP!$C:$C,0)+MATCH($C172,EL_List,0)-1,0)
*INDEX(Learning!$E$6:$S$41,(MATCH(S$21,Dates,0)),(MATCH($C$151,Learning!$E$4:$S$4,0)+MATCH($C$172,Learning!$E$5:$S$5,0)-1))</f>
        <v>9.8451953049673993</v>
      </c>
      <c r="T179" s="533" cm="1">
        <f t="array" aca="1" ref="T179" ca="1">OFFSET(T179,-5,0)*
OFFSET(MSP!$F$1,
MATCH(OFFSET($C172,((MATCH($C172,EL_List,0)-1)*-10)-1,0),MSP!$C:$C,0)+MATCH($C172,EL_List,0)-1,0)
*INDEX(Learning!$E$6:$S$41,(MATCH(T$21,Dates,0)),(MATCH($C$151,Learning!$E$4:$S$4,0)+MATCH($C$172,Learning!$E$5:$S$5,0)-1))</f>
        <v>10.28412090918644</v>
      </c>
      <c r="U179" s="533" cm="1">
        <f t="array" aca="1" ref="U179" ca="1">OFFSET(U179,-5,0)*
OFFSET(MSP!$F$1,
MATCH(OFFSET($C172,((MATCH($C172,EL_List,0)-1)*-10)-1,0),MSP!$C:$C,0)+MATCH($C172,EL_List,0)-1,0)
*INDEX(Learning!$E$6:$S$41,(MATCH(U$21,Dates,0)),(MATCH($C$151,Learning!$E$4:$S$4,0)+MATCH($C$172,Learning!$E$5:$S$5,0)-1))</f>
        <v>10.755321464995683</v>
      </c>
      <c r="V179" s="533" cm="1">
        <f t="array" aca="1" ref="V179" ca="1">OFFSET(V179,-5,0)*
OFFSET(MSP!$F$1,
MATCH(OFFSET($C172,((MATCH($C172,EL_List,0)-1)*-10)-1,0),MSP!$C:$C,0)+MATCH($C172,EL_List,0)-1,0)
*INDEX(Learning!$E$6:$S$41,(MATCH(V$21,Dates,0)),(MATCH($C$151,Learning!$E$4:$S$4,0)+MATCH($C$172,Learning!$E$5:$S$5,0)-1))</f>
        <v>11.235214317138007</v>
      </c>
      <c r="W179" s="533" cm="1">
        <f t="array" aca="1" ref="W179" ca="1">OFFSET(W179,-5,0)*
OFFSET(MSP!$F$1,
MATCH(OFFSET($C172,((MATCH($C172,EL_List,0)-1)*-10)-1,0),MSP!$C:$C,0)+MATCH($C172,EL_List,0)-1,0)
*INDEX(Learning!$E$6:$S$41,(MATCH(W$21,Dates,0)),(MATCH($C$151,Learning!$E$4:$S$4,0)+MATCH($C$172,Learning!$E$5:$S$5,0)-1))</f>
        <v>11.735838592402244</v>
      </c>
      <c r="X179" s="533" cm="1">
        <f t="array" aca="1" ref="X179" ca="1">OFFSET(X179,-5,0)*
OFFSET(MSP!$F$1,
MATCH(OFFSET($C172,((MATCH($C172,EL_List,0)-1)*-10)-1,0),MSP!$C:$C,0)+MATCH($C172,EL_List,0)-1,0)
*INDEX(Learning!$E$6:$S$41,(MATCH(X$21,Dates,0)),(MATCH($C$151,Learning!$E$4:$S$4,0)+MATCH($C$172,Learning!$E$5:$S$5,0)-1))</f>
        <v>12.270595798302741</v>
      </c>
      <c r="Y179" s="533" cm="1">
        <f t="array" aca="1" ref="Y179" ca="1">OFFSET(Y179,-5,0)*
OFFSET(MSP!$F$1,
MATCH(OFFSET($C172,((MATCH($C172,EL_List,0)-1)*-10)-1,0),MSP!$C:$C,0)+MATCH($C172,EL_List,0)-1,0)
*INDEX(Learning!$E$6:$S$41,(MATCH(Y$21,Dates,0)),(MATCH($C$151,Learning!$E$4:$S$4,0)+MATCH($C$172,Learning!$E$5:$S$5,0)-1))</f>
        <v>12.828203765034591</v>
      </c>
      <c r="Z179" s="533" cm="1">
        <f t="array" aca="1" ref="Z179" ca="1">OFFSET(Z179,-5,0)*
OFFSET(MSP!$F$1,
MATCH(OFFSET($C172,((MATCH($C172,EL_List,0)-1)*-10)-1,0),MSP!$C:$C,0)+MATCH($C172,EL_List,0)-1,0)
*INDEX(Learning!$E$6:$S$41,(MATCH(Z$21,Dates,0)),(MATCH($C$151,Learning!$E$4:$S$4,0)+MATCH($C$172,Learning!$E$5:$S$5,0)-1))</f>
        <v>13.395129833373847</v>
      </c>
      <c r="AA179" s="533" cm="1">
        <f t="array" aca="1" ref="AA179" ca="1">OFFSET(AA179,-5,0)*
OFFSET(MSP!$F$1,
MATCH(OFFSET($C172,((MATCH($C172,EL_List,0)-1)*-10)-1,0),MSP!$C:$C,0)+MATCH($C172,EL_List,0)-1,0)
*INDEX(Learning!$E$6:$S$41,(MATCH(AA$21,Dates,0)),(MATCH($C$151,Learning!$E$4:$S$4,0)+MATCH($C$172,Learning!$E$5:$S$5,0)-1))</f>
        <v>14.00079016054071</v>
      </c>
      <c r="AB179" s="533" cm="1">
        <f t="array" aca="1" ref="AB179" ca="1">OFFSET(AB179,-5,0)*
OFFSET(MSP!$F$1,
MATCH(OFFSET($C172,((MATCH($C172,EL_List,0)-1)*-10)-1,0),MSP!$C:$C,0)+MATCH($C172,EL_List,0)-1,0)
*INDEX(Learning!$E$6:$S$41,(MATCH(AB$21,Dates,0)),(MATCH($C$151,Learning!$E$4:$S$4,0)+MATCH($C$172,Learning!$E$5:$S$5,0)-1))</f>
        <v>14.632713136146114</v>
      </c>
      <c r="AC179" s="533" cm="1">
        <f t="array" aca="1" ref="AC179" ca="1">OFFSET(AC179,-5,0)*
OFFSET(MSP!$F$1,
MATCH(OFFSET($C172,((MATCH($C172,EL_List,0)-1)*-10)-1,0),MSP!$C:$C,0)+MATCH($C172,EL_List,0)-1,0)
*INDEX(Learning!$E$6:$S$41,(MATCH(AC$21,Dates,0)),(MATCH($C$151,Learning!$E$4:$S$4,0)+MATCH($C$172,Learning!$E$5:$S$5,0)-1))</f>
        <v>15.292222942607406</v>
      </c>
      <c r="AD179" s="533" cm="1">
        <f t="array" aca="1" ref="AD179" ca="1">OFFSET(AD179,-5,0)*
OFFSET(MSP!$F$1,
MATCH(OFFSET($C172,((MATCH($C172,EL_List,0)-1)*-10)-1,0),MSP!$C:$C,0)+MATCH($C172,EL_List,0)-1,0)
*INDEX(Learning!$E$6:$S$41,(MATCH(AD$21,Dates,0)),(MATCH($C$151,Learning!$E$4:$S$4,0)+MATCH($C$172,Learning!$E$5:$S$5,0)-1))</f>
        <v>15.980622869960547</v>
      </c>
      <c r="AE179" s="533" cm="1">
        <f t="array" aca="1" ref="AE179" ca="1">OFFSET(AE179,-5,0)*
OFFSET(MSP!$F$1,
MATCH(OFFSET($C172,((MATCH($C172,EL_List,0)-1)*-10)-1,0),MSP!$C:$C,0)+MATCH($C172,EL_List,0)-1,0)
*INDEX(Learning!$E$6:$S$41,(MATCH(AE$21,Dates,0)),(MATCH($C$151,Learning!$E$4:$S$4,0)+MATCH($C$172,Learning!$E$5:$S$5,0)-1))</f>
        <v>16.699185821409483</v>
      </c>
      <c r="AF179" s="533" cm="1">
        <f t="array" aca="1" ref="AF179" ca="1">OFFSET(AF179,-5,0)*
OFFSET(MSP!$F$1,
MATCH(OFFSET($C172,((MATCH($C172,EL_List,0)-1)*-10)-1,0),MSP!$C:$C,0)+MATCH($C172,EL_List,0)-1,0)
*INDEX(Learning!$E$6:$S$41,(MATCH(AF$21,Dates,0)),(MATCH($C$151,Learning!$E$4:$S$4,0)+MATCH($C$172,Learning!$E$5:$S$5,0)-1))</f>
        <v>17.449171054882939</v>
      </c>
      <c r="AG179" s="533" cm="1">
        <f t="array" aca="1" ref="AG179" ca="1">OFFSET(AG179,-5,0)*
OFFSET(MSP!$F$1,
MATCH(OFFSET($C172,((MATCH($C172,EL_List,0)-1)*-10)-1,0),MSP!$C:$C,0)+MATCH($C172,EL_List,0)-1,0)
*INDEX(Learning!$E$6:$S$41,(MATCH(AG$21,Dates,0)),(MATCH($C$151,Learning!$E$4:$S$4,0)+MATCH($C$172,Learning!$E$5:$S$5,0)-1))</f>
        <v>18.231860756898687</v>
      </c>
      <c r="AH179" s="533" cm="1">
        <f t="array" aca="1" ref="AH179" ca="1">OFFSET(AH179,-5,0)*
OFFSET(MSP!$F$1,
MATCH(OFFSET($C172,((MATCH($C172,EL_List,0)-1)*-10)-1,0),MSP!$C:$C,0)+MATCH($C172,EL_List,0)-1,0)
*INDEX(Learning!$E$6:$S$41,(MATCH(AH$21,Dates,0)),(MATCH($C$151,Learning!$E$4:$S$4,0)+MATCH($C$172,Learning!$E$5:$S$5,0)-1))</f>
        <v>19.048592020860987</v>
      </c>
      <c r="AI179" s="533" cm="1">
        <f t="array" aca="1" ref="AI179" ca="1">OFFSET(AI179,-5,0)*
OFFSET(MSP!$F$1,
MATCH(OFFSET($C172,((MATCH($C172,EL_List,0)-1)*-10)-1,0),MSP!$C:$C,0)+MATCH($C172,EL_List,0)-1,0)
*INDEX(Learning!$E$6:$S$41,(MATCH(AI$21,Dates,0)),(MATCH($C$151,Learning!$E$4:$S$4,0)+MATCH($C$172,Learning!$E$5:$S$5,0)-1))</f>
        <v>19.900779846790325</v>
      </c>
      <c r="AJ179" s="533" cm="1">
        <f t="array" aca="1" ref="AJ179" ca="1">OFFSET(AJ179,-5,0)*
OFFSET(MSP!$F$1,
MATCH(OFFSET($C172,((MATCH($C172,EL_List,0)-1)*-10)-1,0),MSP!$C:$C,0)+MATCH($C172,EL_List,0)-1,0)
*INDEX(Learning!$E$6:$S$41,(MATCH(AJ$21,Dates,0)),(MATCH($C$151,Learning!$E$4:$S$4,0)+MATCH($C$172,Learning!$E$5:$S$5,0)-1))</f>
        <v>20.789928194168031</v>
      </c>
      <c r="AK179" s="533" cm="1">
        <f t="array" aca="1" ref="AK179" ca="1">OFFSET(AK179,-5,0)*
OFFSET(MSP!$F$1,
MATCH(OFFSET($C172,((MATCH($C172,EL_List,0)-1)*-10)-1,0),MSP!$C:$C,0)+MATCH($C172,EL_List,0)-1,0)
*INDEX(Learning!$E$6:$S$41,(MATCH(AK$21,Dates,0)),(MATCH($C$151,Learning!$E$4:$S$4,0)+MATCH($C$172,Learning!$E$5:$S$5,0)-1))</f>
        <v>21.74230748020733</v>
      </c>
      <c r="AL179" s="533" cm="1">
        <f t="array" aca="1" ref="AL179" ca="1">OFFSET(AL179,-5,0)*
OFFSET(MSP!$F$1,
MATCH(OFFSET($C172,((MATCH($C172,EL_List,0)-1)*-10)-1,0),MSP!$C:$C,0)+MATCH($C172,EL_List,0)-1,0)
*INDEX(Learning!$E$6:$S$41,(MATCH(AL$21,Dates,0)),(MATCH($C$151,Learning!$E$4:$S$4,0)+MATCH($C$172,Learning!$E$5:$S$5,0)-1))</f>
        <v>22.711448828302455</v>
      </c>
      <c r="AM179" s="533" cm="1">
        <f t="array" aca="1" ref="AM179" ca="1">OFFSET(AM179,-5,0)*
OFFSET(MSP!$F$1,
MATCH(OFFSET($C172,((MATCH($C172,EL_List,0)-1)*-10)-1,0),MSP!$C:$C,0)+MATCH($C172,EL_List,0)-1,0)
*INDEX(Learning!$E$6:$S$41,(MATCH(AM$21,Dates,0)),(MATCH($C$151,Learning!$E$4:$S$4,0)+MATCH($C$172,Learning!$E$5:$S$5,0)-1))</f>
        <v>23.722619804305417</v>
      </c>
      <c r="AN179" s="533" cm="1">
        <f t="array" aca="1" ref="AN179" ca="1">OFFSET(AN179,-5,0)*
OFFSET(MSP!$F$1,
MATCH(OFFSET($C172,((MATCH($C172,EL_List,0)-1)*-10)-1,0),MSP!$C:$C,0)+MATCH($C172,EL_List,0)-1,0)
*INDEX(Learning!$E$6:$S$41,(MATCH(AN$21,Dates,0)),(MATCH($C$151,Learning!$E$4:$S$4,0)+MATCH($C$172,Learning!$E$5:$S$5,0)-1))</f>
        <v>24.794454179709835</v>
      </c>
      <c r="AO179" s="436"/>
      <c r="AP179" s="21"/>
    </row>
    <row r="180" spans="2:42" ht="15" customHeight="1" collapsed="1" x14ac:dyDescent="0.35">
      <c r="B180" s="429"/>
      <c r="C180" s="777" t="s">
        <v>215</v>
      </c>
      <c r="D180" s="776"/>
      <c r="E180" s="531" cm="1">
        <f t="array" aca="1" ref="E180" ca="1">OFFSET(E180,-6,0)*
OFFSET(MSP!$G$1,
MATCH(OFFSET($C172,((MATCH($C172,EL_List,0)-1)*-10)-1,0),MSP!$C:$C,0)+MATCH($C172,EL_List,0)-1,0)
*INDEX(Learning!$E$6:$S$41,(MATCH(E$21,Dates,0)),(MATCH($C$151,Learning!$E$4:$S$4,0)+MATCH($C$172,Learning!$E$5:$S$5,0)-1))</f>
        <v>3.2740973668220779</v>
      </c>
      <c r="F180" s="531" cm="1">
        <f t="array" aca="1" ref="F180" ca="1">OFFSET(F180,-6,0)*
OFFSET(MSP!$G$1,
MATCH(OFFSET($C172,((MATCH($C172,EL_List,0)-1)*-10)-1,0),MSP!$C:$C,0)+MATCH($C172,EL_List,0)-1,0)
*INDEX(Learning!$E$6:$S$41,(MATCH(F$21,Dates,0)),(MATCH($C$151,Learning!$E$4:$S$4,0)+MATCH($C$172,Learning!$E$5:$S$5,0)-1))</f>
        <v>3.3942491546071567</v>
      </c>
      <c r="G180" s="531" cm="1">
        <f t="array" aca="1" ref="G180" ca="1">OFFSET(G180,-6,0)*
OFFSET(MSP!$G$1,
MATCH(OFFSET($C172,((MATCH($C172,EL_List,0)-1)*-10)-1,0),MSP!$C:$C,0)+MATCH($C172,EL_List,0)-1,0)
*INDEX(Learning!$E$6:$S$41,(MATCH(G$21,Dates,0)),(MATCH($C$151,Learning!$E$4:$S$4,0)+MATCH($C$172,Learning!$E$5:$S$5,0)-1))</f>
        <v>3.5005839207687388</v>
      </c>
      <c r="H180" s="531" cm="1">
        <f t="array" aca="1" ref="H180" ca="1">OFFSET(H180,-6,0)*
OFFSET(MSP!$G$1,
MATCH(OFFSET($C172,((MATCH($C172,EL_List,0)-1)*-10)-1,0),MSP!$C:$C,0)+MATCH($C172,EL_List,0)-1,0)
*INDEX(Learning!$E$6:$S$41,(MATCH(H$21,Dates,0)),(MATCH($C$151,Learning!$E$4:$S$4,0)+MATCH($C$172,Learning!$E$5:$S$5,0)-1))</f>
        <v>3.6364328067053564</v>
      </c>
      <c r="I180" s="531" cm="1">
        <f t="array" aca="1" ref="I180" ca="1">OFFSET(I180,-6,0)*
OFFSET(MSP!$G$1,
MATCH(OFFSET($C172,((MATCH($C172,EL_List,0)-1)*-10)-1,0),MSP!$C:$C,0)+MATCH($C172,EL_List,0)-1,0)
*INDEX(Learning!$E$6:$S$41,(MATCH(I$21,Dates,0)),(MATCH($C$151,Learning!$E$4:$S$4,0)+MATCH($C$172,Learning!$E$5:$S$5,0)-1))</f>
        <v>3.7890201495149247</v>
      </c>
      <c r="J180" s="531" cm="1">
        <f t="array" aca="1" ref="J180" ca="1">OFFSET(J180,-6,0)*
OFFSET(MSP!$G$1,
MATCH(OFFSET($C172,((MATCH($C172,EL_List,0)-1)*-10)-1,0),MSP!$C:$C,0)+MATCH($C172,EL_List,0)-1,0)
*INDEX(Learning!$E$6:$S$41,(MATCH(J$21,Dates,0)),(MATCH($C$151,Learning!$E$4:$S$4,0)+MATCH($C$172,Learning!$E$5:$S$5,0)-1))</f>
        <v>3.954069891402419</v>
      </c>
      <c r="K180" s="531" cm="1">
        <f t="array" aca="1" ref="K180" ca="1">OFFSET(K180,-6,0)*
OFFSET(MSP!$G$1,
MATCH(OFFSET($C172,((MATCH($C172,EL_List,0)-1)*-10)-1,0),MSP!$C:$C,0)+MATCH($C172,EL_List,0)-1,0)
*INDEX(Learning!$E$6:$S$41,(MATCH(K$21,Dates,0)),(MATCH($C$151,Learning!$E$4:$S$4,0)+MATCH($C$172,Learning!$E$5:$S$5,0)-1))</f>
        <v>4.136668779899825</v>
      </c>
      <c r="L180" s="531" cm="1">
        <f t="array" aca="1" ref="L180" ca="1">OFFSET(L180,-6,0)*
OFFSET(MSP!$G$1,
MATCH(OFFSET($C172,((MATCH($C172,EL_List,0)-1)*-10)-1,0),MSP!$C:$C,0)+MATCH($C172,EL_List,0)-1,0)
*INDEX(Learning!$E$6:$S$41,(MATCH(L$21,Dates,0)),(MATCH($C$151,Learning!$E$4:$S$4,0)+MATCH($C$172,Learning!$E$5:$S$5,0)-1))</f>
        <v>4.3294510803180808</v>
      </c>
      <c r="M180" s="531" cm="1">
        <f t="array" aca="1" ref="M180" ca="1">OFFSET(M180,-6,0)*
OFFSET(MSP!$G$1,
MATCH(OFFSET($C172,((MATCH($C172,EL_List,0)-1)*-10)-1,0),MSP!$C:$C,0)+MATCH($C172,EL_List,0)-1,0)
*INDEX(Learning!$E$6:$S$41,(MATCH(M$21,Dates,0)),(MATCH($C$151,Learning!$E$4:$S$4,0)+MATCH($C$172,Learning!$E$5:$S$5,0)-1))</f>
        <v>4.5296001811290543</v>
      </c>
      <c r="N180" s="531" cm="1">
        <f t="array" aca="1" ref="N180" ca="1">OFFSET(N180,-6,0)*
OFFSET(MSP!$G$1,
MATCH(OFFSET($C172,((MATCH($C172,EL_List,0)-1)*-10)-1,0),MSP!$C:$C,0)+MATCH($C172,EL_List,0)-1,0)
*INDEX(Learning!$E$6:$S$41,(MATCH(N$21,Dates,0)),(MATCH($C$151,Learning!$E$4:$S$4,0)+MATCH($C$172,Learning!$E$5:$S$5,0)-1))</f>
        <v>4.7352206031938602</v>
      </c>
      <c r="O180" s="531" cm="1">
        <f t="array" aca="1" ref="O180" ca="1">OFFSET(O180,-6,0)*
OFFSET(MSP!$G$1,
MATCH(OFFSET($C172,((MATCH($C172,EL_List,0)-1)*-10)-1,0),MSP!$C:$C,0)+MATCH($C172,EL_List,0)-1,0)
*INDEX(Learning!$E$6:$S$41,(MATCH(O$21,Dates,0)),(MATCH($C$151,Learning!$E$4:$S$4,0)+MATCH($C$172,Learning!$E$5:$S$5,0)-1))</f>
        <v>4.9511293053437475</v>
      </c>
      <c r="P180" s="531" cm="1">
        <f t="array" aca="1" ref="P180" ca="1">OFFSET(P180,-6,0)*
OFFSET(MSP!$G$1,
MATCH(OFFSET($C172,((MATCH($C172,EL_List,0)-1)*-10)-1,0),MSP!$C:$C,0)+MATCH($C172,EL_List,0)-1,0)
*INDEX(Learning!$E$6:$S$41,(MATCH(P$21,Dates,0)),(MATCH($C$151,Learning!$E$4:$S$4,0)+MATCH($C$172,Learning!$E$5:$S$5,0)-1))</f>
        <v>5.1736403635587349</v>
      </c>
      <c r="Q180" s="531" cm="1">
        <f t="array" aca="1" ref="Q180" ca="1">OFFSET(Q180,-6,0)*
OFFSET(MSP!$G$1,
MATCH(OFFSET($C172,((MATCH($C172,EL_List,0)-1)*-10)-1,0),MSP!$C:$C,0)+MATCH($C172,EL_List,0)-1,0)
*INDEX(Learning!$E$6:$S$41,(MATCH(Q$21,Dates,0)),(MATCH($C$151,Learning!$E$4:$S$4,0)+MATCH($C$172,Learning!$E$5:$S$5,0)-1))</f>
        <v>5.3985799284878375</v>
      </c>
      <c r="R180" s="531" cm="1">
        <f t="array" aca="1" ref="R180" ca="1">OFFSET(R180,-6,0)*
OFFSET(MSP!$G$1,
MATCH(OFFSET($C172,((MATCH($C172,EL_List,0)-1)*-10)-1,0),MSP!$C:$C,0)+MATCH($C172,EL_List,0)-1,0)
*INDEX(Learning!$E$6:$S$41,(MATCH(R$21,Dates,0)),(MATCH($C$151,Learning!$E$4:$S$4,0)+MATCH($C$172,Learning!$E$5:$S$5,0)-1))</f>
        <v>5.6384877837040674</v>
      </c>
      <c r="S180" s="531" cm="1">
        <f t="array" aca="1" ref="S180" ca="1">OFFSET(S180,-6,0)*
OFFSET(MSP!$G$1,
MATCH(OFFSET($C172,((MATCH($C172,EL_List,0)-1)*-10)-1,0),MSP!$C:$C,0)+MATCH($C172,EL_List,0)-1,0)
*INDEX(Learning!$E$6:$S$41,(MATCH(S$21,Dates,0)),(MATCH($C$151,Learning!$E$4:$S$4,0)+MATCH($C$172,Learning!$E$5:$S$5,0)-1))</f>
        <v>5.8893568833012298</v>
      </c>
      <c r="T180" s="531" cm="1">
        <f t="array" aca="1" ref="T180" ca="1">OFFSET(T180,-6,0)*
OFFSET(MSP!$G$1,
MATCH(OFFSET($C172,((MATCH($C172,EL_List,0)-1)*-10)-1,0),MSP!$C:$C,0)+MATCH($C172,EL_List,0)-1,0)
*INDEX(Learning!$E$6:$S$41,(MATCH(T$21,Dates,0)),(MATCH($C$151,Learning!$E$4:$S$4,0)+MATCH($C$172,Learning!$E$5:$S$5,0)-1))</f>
        <v>6.1519204433314014</v>
      </c>
      <c r="U180" s="531" cm="1">
        <f t="array" aca="1" ref="U180" ca="1">OFFSET(U180,-6,0)*
OFFSET(MSP!$G$1,
MATCH(OFFSET($C172,((MATCH($C172,EL_List,0)-1)*-10)-1,0),MSP!$C:$C,0)+MATCH($C172,EL_List,0)-1,0)
*INDEX(Learning!$E$6:$S$41,(MATCH(U$21,Dates,0)),(MATCH($C$151,Learning!$E$4:$S$4,0)+MATCH($C$172,Learning!$E$5:$S$5,0)-1))</f>
        <v>6.4337907517213591</v>
      </c>
      <c r="V180" s="531" cm="1">
        <f t="array" aca="1" ref="V180" ca="1">OFFSET(V180,-6,0)*
OFFSET(MSP!$G$1,
MATCH(OFFSET($C172,((MATCH($C172,EL_List,0)-1)*-10)-1,0),MSP!$C:$C,0)+MATCH($C172,EL_List,0)-1,0)
*INDEX(Learning!$E$6:$S$41,(MATCH(V$21,Dates,0)),(MATCH($C$151,Learning!$E$4:$S$4,0)+MATCH($C$172,Learning!$E$5:$S$5,0)-1))</f>
        <v>6.7208607573905681</v>
      </c>
      <c r="W180" s="531" cm="1">
        <f t="array" aca="1" ref="W180" ca="1">OFFSET(W180,-6,0)*
OFFSET(MSP!$G$1,
MATCH(OFFSET($C172,((MATCH($C172,EL_List,0)-1)*-10)-1,0),MSP!$C:$C,0)+MATCH($C172,EL_List,0)-1,0)
*INDEX(Learning!$E$6:$S$41,(MATCH(W$21,Dates,0)),(MATCH($C$151,Learning!$E$4:$S$4,0)+MATCH($C$172,Learning!$E$5:$S$5,0)-1))</f>
        <v>7.0203322183566623</v>
      </c>
      <c r="X180" s="531" cm="1">
        <f t="array" aca="1" ref="X180" ca="1">OFFSET(X180,-6,0)*
OFFSET(MSP!$G$1,
MATCH(OFFSET($C172,((MATCH($C172,EL_List,0)-1)*-10)-1,0),MSP!$C:$C,0)+MATCH($C172,EL_List,0)-1,0)
*INDEX(Learning!$E$6:$S$41,(MATCH(X$21,Dates,0)),(MATCH($C$151,Learning!$E$4:$S$4,0)+MATCH($C$172,Learning!$E$5:$S$5,0)-1))</f>
        <v>7.3402218633976304</v>
      </c>
      <c r="Y180" s="531" cm="1">
        <f t="array" aca="1" ref="Y180" ca="1">OFFSET(Y180,-6,0)*
OFFSET(MSP!$G$1,
MATCH(OFFSET($C172,((MATCH($C172,EL_List,0)-1)*-10)-1,0),MSP!$C:$C,0)+MATCH($C172,EL_List,0)-1,0)
*INDEX(Learning!$E$6:$S$41,(MATCH(Y$21,Dates,0)),(MATCH($C$151,Learning!$E$4:$S$4,0)+MATCH($C$172,Learning!$E$5:$S$5,0)-1))</f>
        <v>7.673780743169055</v>
      </c>
      <c r="Z180" s="531" cm="1">
        <f t="array" aca="1" ref="Z180" ca="1">OFFSET(Z180,-6,0)*
OFFSET(MSP!$G$1,
MATCH(OFFSET($C172,((MATCH($C172,EL_List,0)-1)*-10)-1,0),MSP!$C:$C,0)+MATCH($C172,EL_List,0)-1,0)
*INDEX(Learning!$E$6:$S$41,(MATCH(Z$21,Dates,0)),(MATCH($C$151,Learning!$E$4:$S$4,0)+MATCH($C$172,Learning!$E$5:$S$5,0)-1))</f>
        <v>8.0129136744591136</v>
      </c>
      <c r="AA180" s="531" cm="1">
        <f t="array" aca="1" ref="AA180" ca="1">OFFSET(AA180,-6,0)*
OFFSET(MSP!$G$1,
MATCH(OFFSET($C172,((MATCH($C172,EL_List,0)-1)*-10)-1,0),MSP!$C:$C,0)+MATCH($C172,EL_List,0)-1,0)
*INDEX(Learning!$E$6:$S$41,(MATCH(AA$21,Dates,0)),(MATCH($C$151,Learning!$E$4:$S$4,0)+MATCH($C$172,Learning!$E$5:$S$5,0)-1))</f>
        <v>8.375217286145002</v>
      </c>
      <c r="AB180" s="531" cm="1">
        <f t="array" aca="1" ref="AB180" ca="1">OFFSET(AB180,-6,0)*
OFFSET(MSP!$G$1,
MATCH(OFFSET($C172,((MATCH($C172,EL_List,0)-1)*-10)-1,0),MSP!$C:$C,0)+MATCH($C172,EL_List,0)-1,0)
*INDEX(Learning!$E$6:$S$41,(MATCH(AB$21,Dates,0)),(MATCH($C$151,Learning!$E$4:$S$4,0)+MATCH($C$172,Learning!$E$5:$S$5,0)-1))</f>
        <v>8.7532311102303524</v>
      </c>
      <c r="AC180" s="531" cm="1">
        <f t="array" aca="1" ref="AC180" ca="1">OFFSET(AC180,-6,0)*
OFFSET(MSP!$G$1,
MATCH(OFFSET($C172,((MATCH($C172,EL_List,0)-1)*-10)-1,0),MSP!$C:$C,0)+MATCH($C172,EL_List,0)-1,0)
*INDEX(Learning!$E$6:$S$41,(MATCH(AC$21,Dates,0)),(MATCH($C$151,Learning!$E$4:$S$4,0)+MATCH($C$172,Learning!$E$5:$S$5,0)-1))</f>
        <v>9.1477472673986888</v>
      </c>
      <c r="AD180" s="531" cm="1">
        <f t="array" aca="1" ref="AD180" ca="1">OFFSET(AD180,-6,0)*
OFFSET(MSP!$G$1,
MATCH(OFFSET($C172,((MATCH($C172,EL_List,0)-1)*-10)-1,0),MSP!$C:$C,0)+MATCH($C172,EL_List,0)-1,0)
*INDEX(Learning!$E$6:$S$41,(MATCH(AD$21,Dates,0)),(MATCH($C$151,Learning!$E$4:$S$4,0)+MATCH($C$172,Learning!$E$5:$S$5,0)-1))</f>
        <v>9.5595453805936312</v>
      </c>
      <c r="AE180" s="531" cm="1">
        <f t="array" aca="1" ref="AE180" ca="1">OFFSET(AE180,-6,0)*
OFFSET(MSP!$G$1,
MATCH(OFFSET($C172,((MATCH($C172,EL_List,0)-1)*-10)-1,0),MSP!$C:$C,0)+MATCH($C172,EL_List,0)-1,0)
*INDEX(Learning!$E$6:$S$41,(MATCH(AE$21,Dates,0)),(MATCH($C$151,Learning!$E$4:$S$4,0)+MATCH($C$172,Learning!$E$5:$S$5,0)-1))</f>
        <v>9.9893868954761071</v>
      </c>
      <c r="AF180" s="531" cm="1">
        <f t="array" aca="1" ref="AF180" ca="1">OFFSET(AF180,-6,0)*
OFFSET(MSP!$G$1,
MATCH(OFFSET($C172,((MATCH($C172,EL_List,0)-1)*-10)-1,0),MSP!$C:$C,0)+MATCH($C172,EL_List,0)-1,0)
*INDEX(Learning!$E$6:$S$41,(MATCH(AF$21,Dates,0)),(MATCH($C$151,Learning!$E$4:$S$4,0)+MATCH($C$172,Learning!$E$5:$S$5,0)-1))</f>
        <v>10.438025095157389</v>
      </c>
      <c r="AG180" s="531" cm="1">
        <f t="array" aca="1" ref="AG180" ca="1">OFFSET(AG180,-6,0)*
OFFSET(MSP!$G$1,
MATCH(OFFSET($C172,((MATCH($C172,EL_List,0)-1)*-10)-1,0),MSP!$C:$C,0)+MATCH($C172,EL_List,0)-1,0)
*INDEX(Learning!$E$6:$S$41,(MATCH(AG$21,Dates,0)),(MATCH($C$151,Learning!$E$4:$S$4,0)+MATCH($C$172,Learning!$E$5:$S$5,0)-1))</f>
        <v>10.906226978540007</v>
      </c>
      <c r="AH180" s="531" cm="1">
        <f t="array" aca="1" ref="AH180" ca="1">OFFSET(AH180,-6,0)*
OFFSET(MSP!$G$1,
MATCH(OFFSET($C172,((MATCH($C172,EL_List,0)-1)*-10)-1,0),MSP!$C:$C,0)+MATCH($C172,EL_List,0)-1,0)
*INDEX(Learning!$E$6:$S$41,(MATCH(AH$21,Dates,0)),(MATCH($C$151,Learning!$E$4:$S$4,0)+MATCH($C$172,Learning!$E$5:$S$5,0)-1))</f>
        <v>11.394792389608774</v>
      </c>
      <c r="AI180" s="531" cm="1">
        <f t="array" aca="1" ref="AI180" ca="1">OFFSET(AI180,-6,0)*
OFFSET(MSP!$G$1,
MATCH(OFFSET($C172,((MATCH($C172,EL_List,0)-1)*-10)-1,0),MSP!$C:$C,0)+MATCH($C172,EL_List,0)-1,0)
*INDEX(Learning!$E$6:$S$41,(MATCH(AI$21,Dates,0)),(MATCH($C$151,Learning!$E$4:$S$4,0)+MATCH($C$172,Learning!$E$5:$S$5,0)-1))</f>
        <v>11.904567775778126</v>
      </c>
      <c r="AJ180" s="531" cm="1">
        <f t="array" aca="1" ref="AJ180" ca="1">OFFSET(AJ180,-6,0)*
OFFSET(MSP!$G$1,
MATCH(OFFSET($C172,((MATCH($C172,EL_List,0)-1)*-10)-1,0),MSP!$C:$C,0)+MATCH($C172,EL_List,0)-1,0)
*INDEX(Learning!$E$6:$S$41,(MATCH(AJ$21,Dates,0)),(MATCH($C$151,Learning!$E$4:$S$4,0)+MATCH($C$172,Learning!$E$5:$S$5,0)-1))</f>
        <v>12.436452799660053</v>
      </c>
      <c r="AK180" s="531" cm="1">
        <f t="array" aca="1" ref="AK180" ca="1">OFFSET(AK180,-6,0)*
OFFSET(MSP!$G$1,
MATCH(OFFSET($C172,((MATCH($C172,EL_List,0)-1)*-10)-1,0),MSP!$C:$C,0)+MATCH($C172,EL_List,0)-1,0)
*INDEX(Learning!$E$6:$S$41,(MATCH(AK$21,Dates,0)),(MATCH($C$151,Learning!$E$4:$S$4,0)+MATCH($C$172,Learning!$E$5:$S$5,0)-1))</f>
        <v>13.006162320904297</v>
      </c>
      <c r="AL180" s="531" cm="1">
        <f t="array" aca="1" ref="AL180" ca="1">OFFSET(AL180,-6,0)*
OFFSET(MSP!$G$1,
MATCH(OFFSET($C172,((MATCH($C172,EL_List,0)-1)*-10)-1,0),MSP!$C:$C,0)+MATCH($C172,EL_List,0)-1,0)
*INDEX(Learning!$E$6:$S$41,(MATCH(AL$21,Dates,0)),(MATCH($C$151,Learning!$E$4:$S$4,0)+MATCH($C$172,Learning!$E$5:$S$5,0)-1))</f>
        <v>13.5858988413587</v>
      </c>
      <c r="AM180" s="531" cm="1">
        <f t="array" aca="1" ref="AM180" ca="1">OFFSET(AM180,-6,0)*
OFFSET(MSP!$G$1,
MATCH(OFFSET($C172,((MATCH($C172,EL_List,0)-1)*-10)-1,0),MSP!$C:$C,0)+MATCH($C172,EL_List,0)-1,0)
*INDEX(Learning!$E$6:$S$41,(MATCH(AM$21,Dates,0)),(MATCH($C$151,Learning!$E$4:$S$4,0)+MATCH($C$172,Learning!$E$5:$S$5,0)-1))</f>
        <v>14.190777318956073</v>
      </c>
      <c r="AN180" s="531" cm="1">
        <f t="array" aca="1" ref="AN180" ca="1">OFFSET(AN180,-6,0)*
OFFSET(MSP!$G$1,
MATCH(OFFSET($C172,((MATCH($C172,EL_List,0)-1)*-10)-1,0),MSP!$C:$C,0)+MATCH($C172,EL_List,0)-1,0)
*INDEX(Learning!$E$6:$S$41,(MATCH(AN$21,Dates,0)),(MATCH($C$151,Learning!$E$4:$S$4,0)+MATCH($C$172,Learning!$E$5:$S$5,0)-1))</f>
        <v>14.831944402087677</v>
      </c>
      <c r="AO180" s="436"/>
      <c r="AP180" s="21"/>
    </row>
    <row r="181" spans="2:42" ht="15" customHeight="1" x14ac:dyDescent="0.35">
      <c r="B181" s="429"/>
      <c r="C181" s="776"/>
      <c r="D181" s="776"/>
      <c r="E181" s="776"/>
      <c r="F181" s="776"/>
      <c r="G181" s="776"/>
      <c r="H181" s="776"/>
      <c r="I181" s="776"/>
      <c r="J181" s="776"/>
      <c r="K181" s="776"/>
      <c r="L181" s="776"/>
      <c r="M181" s="776"/>
      <c r="N181" s="776"/>
      <c r="O181" s="776"/>
      <c r="P181" s="776"/>
      <c r="Q181" s="776"/>
      <c r="R181" s="776"/>
      <c r="S181" s="776"/>
      <c r="T181" s="776"/>
      <c r="U181" s="776"/>
      <c r="V181" s="776"/>
      <c r="W181" s="776"/>
      <c r="X181" s="776"/>
      <c r="Y181" s="776"/>
      <c r="Z181" s="776"/>
      <c r="AA181" s="776"/>
      <c r="AB181" s="776"/>
      <c r="AC181" s="776"/>
      <c r="AD181" s="776"/>
      <c r="AE181" s="776"/>
      <c r="AF181" s="776"/>
      <c r="AG181" s="776"/>
      <c r="AH181" s="776"/>
      <c r="AI181" s="776"/>
      <c r="AJ181" s="776"/>
      <c r="AK181" s="776"/>
      <c r="AL181" s="776"/>
      <c r="AM181" s="776"/>
      <c r="AN181" s="776"/>
      <c r="AO181" s="436"/>
      <c r="AP181" s="21"/>
    </row>
    <row r="182" spans="2:42" ht="15" customHeight="1" x14ac:dyDescent="0.35">
      <c r="B182" s="429"/>
      <c r="C182" s="772" t="s">
        <v>343</v>
      </c>
      <c r="D182" s="776"/>
      <c r="E182" s="776"/>
      <c r="F182" s="776"/>
      <c r="G182" s="776"/>
      <c r="H182" s="776"/>
      <c r="I182" s="776"/>
      <c r="J182" s="776"/>
      <c r="K182" s="776"/>
      <c r="L182" s="776"/>
      <c r="M182" s="776"/>
      <c r="N182" s="776"/>
      <c r="O182" s="776"/>
      <c r="P182" s="776"/>
      <c r="Q182" s="776"/>
      <c r="R182" s="776"/>
      <c r="S182" s="776"/>
      <c r="T182" s="776"/>
      <c r="U182" s="776"/>
      <c r="V182" s="776"/>
      <c r="W182" s="776"/>
      <c r="X182" s="776"/>
      <c r="Y182" s="776"/>
      <c r="Z182" s="776"/>
      <c r="AA182" s="776"/>
      <c r="AB182" s="776"/>
      <c r="AC182" s="776"/>
      <c r="AD182" s="776"/>
      <c r="AE182" s="776"/>
      <c r="AF182" s="776"/>
      <c r="AG182" s="776"/>
      <c r="AH182" s="776"/>
      <c r="AI182" s="776"/>
      <c r="AJ182" s="776"/>
      <c r="AK182" s="776"/>
      <c r="AL182" s="776"/>
      <c r="AM182" s="776"/>
      <c r="AN182" s="776"/>
      <c r="AO182" s="436"/>
      <c r="AP182" s="21"/>
    </row>
    <row r="183" spans="2:42" ht="15" customHeight="1" x14ac:dyDescent="0.35">
      <c r="B183" s="429"/>
      <c r="C183" s="777" t="s">
        <v>10</v>
      </c>
      <c r="D183" s="776"/>
      <c r="E183" s="778" cm="1">
        <f t="array" aca="1" ref="E183" ca="1">OFFSET(MSP!$C$1,
MATCH(OFFSET($C182,((MATCH($C182,EL_List,0)-1)*-10)-1,0),MSP!$C:$C,0)+MATCH($C182,EL_List,0)-1,
MATCH(OFFSET($C182,((MATCH($C182,EL_List,0)-1)*-10)-3,0),MSP!$D$5:$N$5,0)+1)
*INDEX(Learning!$E$6:$S$41,(MATCH(E$21,Dates,0)),(MATCH($C$151,Learning!$E$4:$S$4,0)+MATCH($C$182,Learning!$E$5:$S$5,0)-1))</f>
        <v>112.08964</v>
      </c>
      <c r="F183" s="778" cm="1">
        <f t="array" aca="1" ref="F183" ca="1">OFFSET(MSP!$C$1,
MATCH(OFFSET($C182,((MATCH($C182,EL_List,0)-1)*-10)-1,0),MSP!$C:$C,0)+MATCH($C182,EL_List,0)-1,
MATCH(OFFSET($C182,((MATCH($C182,EL_List,0)-1)*-10)-3,0),MSP!$D$5:$N$5,0)+1)
*INDEX(Learning!$E$6:$S$41,(MATCH(F$21,Dates,0)),(MATCH($C$151,Learning!$E$4:$S$4,0)+MATCH($C$182,Learning!$E$5:$S$5,0)-1))</f>
        <v>111.227412</v>
      </c>
      <c r="G183" s="778" cm="1">
        <f t="array" aca="1" ref="G183" ca="1">OFFSET(MSP!$C$1,
MATCH(OFFSET($C182,((MATCH($C182,EL_List,0)-1)*-10)-1,0),MSP!$C:$C,0)+MATCH($C182,EL_List,0)-1,
MATCH(OFFSET($C182,((MATCH($C182,EL_List,0)-1)*-10)-3,0),MSP!$D$5:$N$5,0)+1)
*INDEX(Learning!$E$6:$S$41,(MATCH(G$21,Dates,0)),(MATCH($C$151,Learning!$E$4:$S$4,0)+MATCH($C$182,Learning!$E$5:$S$5,0)-1))</f>
        <v>110.47296249999998</v>
      </c>
      <c r="H183" s="778" cm="1">
        <f t="array" aca="1" ref="H183" ca="1">OFFSET(MSP!$C$1,
MATCH(OFFSET($C182,((MATCH($C182,EL_List,0)-1)*-10)-1,0),MSP!$C:$C,0)+MATCH($C182,EL_List,0)-1,
MATCH(OFFSET($C182,((MATCH($C182,EL_List,0)-1)*-10)-3,0),MSP!$D$5:$N$5,0)+1)
*INDEX(Learning!$E$6:$S$41,(MATCH(H$21,Dates,0)),(MATCH($C$151,Learning!$E$4:$S$4,0)+MATCH($C$182,Learning!$E$5:$S$5,0)-1))</f>
        <v>109.82629149999998</v>
      </c>
      <c r="I183" s="778" cm="1">
        <f t="array" aca="1" ref="I183" ca="1">OFFSET(MSP!$C$1,
MATCH(OFFSET($C182,((MATCH($C182,EL_List,0)-1)*-10)-1,0),MSP!$C:$C,0)+MATCH($C182,EL_List,0)-1,
MATCH(OFFSET($C182,((MATCH($C182,EL_List,0)-1)*-10)-3,0),MSP!$D$5:$N$5,0)+1)
*INDEX(Learning!$E$6:$S$41,(MATCH(I$21,Dates,0)),(MATCH($C$151,Learning!$E$4:$S$4,0)+MATCH($C$182,Learning!$E$5:$S$5,0)-1))</f>
        <v>109.07184199999999</v>
      </c>
      <c r="J183" s="778" cm="1">
        <f t="array" aca="1" ref="J183" ca="1">OFFSET(MSP!$C$1,
MATCH(OFFSET($C182,((MATCH($C182,EL_List,0)-1)*-10)-1,0),MSP!$C:$C,0)+MATCH($C182,EL_List,0)-1,
MATCH(OFFSET($C182,((MATCH($C182,EL_List,0)-1)*-10)-3,0),MSP!$D$5:$N$5,0)+1)
*INDEX(Learning!$E$6:$S$41,(MATCH(J$21,Dates,0)),(MATCH($C$151,Learning!$E$4:$S$4,0)+MATCH($C$182,Learning!$E$5:$S$5,0)-1))</f>
        <v>108.42517099999999</v>
      </c>
      <c r="K183" s="778" cm="1">
        <f t="array" aca="1" ref="K183" ca="1">OFFSET(MSP!$C$1,
MATCH(OFFSET($C182,((MATCH($C182,EL_List,0)-1)*-10)-1,0),MSP!$C:$C,0)+MATCH($C182,EL_List,0)-1,
MATCH(OFFSET($C182,((MATCH($C182,EL_List,0)-1)*-10)-3,0),MSP!$D$5:$N$5,0)+1)
*INDEX(Learning!$E$6:$S$41,(MATCH(K$21,Dates,0)),(MATCH($C$151,Learning!$E$4:$S$4,0)+MATCH($C$182,Learning!$E$5:$S$5,0)-1))</f>
        <v>107.77849999999999</v>
      </c>
      <c r="L183" s="778" cm="1">
        <f t="array" aca="1" ref="L183" ca="1">OFFSET(MSP!$C$1,
MATCH(OFFSET($C182,((MATCH($C182,EL_List,0)-1)*-10)-1,0),MSP!$C:$C,0)+MATCH($C182,EL_List,0)-1,
MATCH(OFFSET($C182,((MATCH($C182,EL_List,0)-1)*-10)-3,0),MSP!$D$5:$N$5,0)+1)
*INDEX(Learning!$E$6:$S$41,(MATCH(L$21,Dates,0)),(MATCH($C$151,Learning!$E$4:$S$4,0)+MATCH($C$182,Learning!$E$5:$S$5,0)-1))</f>
        <v>107.131829</v>
      </c>
      <c r="M183" s="778" cm="1">
        <f t="array" aca="1" ref="M183" ca="1">OFFSET(MSP!$C$1,
MATCH(OFFSET($C182,((MATCH($C182,EL_List,0)-1)*-10)-1,0),MSP!$C:$C,0)+MATCH($C182,EL_List,0)-1,
MATCH(OFFSET($C182,((MATCH($C182,EL_List,0)-1)*-10)-3,0),MSP!$D$5:$N$5,0)+1)
*INDEX(Learning!$E$6:$S$41,(MATCH(M$21,Dates,0)),(MATCH($C$151,Learning!$E$4:$S$4,0)+MATCH($C$182,Learning!$E$5:$S$5,0)-1))</f>
        <v>106.59293649999999</v>
      </c>
      <c r="N183" s="778" cm="1">
        <f t="array" aca="1" ref="N183" ca="1">OFFSET(MSP!$C$1,
MATCH(OFFSET($C182,((MATCH($C182,EL_List,0)-1)*-10)-1,0),MSP!$C:$C,0)+MATCH($C182,EL_List,0)-1,
MATCH(OFFSET($C182,((MATCH($C182,EL_List,0)-1)*-10)-3,0),MSP!$D$5:$N$5,0)+1)
*INDEX(Learning!$E$6:$S$41,(MATCH(N$21,Dates,0)),(MATCH($C$151,Learning!$E$4:$S$4,0)+MATCH($C$182,Learning!$E$5:$S$5,0)-1))</f>
        <v>105.9462655</v>
      </c>
      <c r="O183" s="778" cm="1">
        <f t="array" aca="1" ref="O183" ca="1">OFFSET(MSP!$C$1,
MATCH(OFFSET($C182,((MATCH($C182,EL_List,0)-1)*-10)-1,0),MSP!$C:$C,0)+MATCH($C182,EL_List,0)-1,
MATCH(OFFSET($C182,((MATCH($C182,EL_List,0)-1)*-10)-3,0),MSP!$D$5:$N$5,0)+1)
*INDEX(Learning!$E$6:$S$41,(MATCH(O$21,Dates,0)),(MATCH($C$151,Learning!$E$4:$S$4,0)+MATCH($C$182,Learning!$E$5:$S$5,0)-1))</f>
        <v>105.40737299999999</v>
      </c>
      <c r="P183" s="778" cm="1">
        <f t="array" aca="1" ref="P183" ca="1">OFFSET(MSP!$C$1,
MATCH(OFFSET($C182,((MATCH($C182,EL_List,0)-1)*-10)-1,0),MSP!$C:$C,0)+MATCH($C182,EL_List,0)-1,
MATCH(OFFSET($C182,((MATCH($C182,EL_List,0)-1)*-10)-3,0),MSP!$D$5:$N$5,0)+1)
*INDEX(Learning!$E$6:$S$41,(MATCH(P$21,Dates,0)),(MATCH($C$151,Learning!$E$4:$S$4,0)+MATCH($C$182,Learning!$E$5:$S$5,0)-1))</f>
        <v>104.86848049999999</v>
      </c>
      <c r="Q183" s="778" cm="1">
        <f t="array" aca="1" ref="Q183" ca="1">OFFSET(MSP!$C$1,
MATCH(OFFSET($C182,((MATCH($C182,EL_List,0)-1)*-10)-1,0),MSP!$C:$C,0)+MATCH($C182,EL_List,0)-1,
MATCH(OFFSET($C182,((MATCH($C182,EL_List,0)-1)*-10)-3,0),MSP!$D$5:$N$5,0)+1)
*INDEX(Learning!$E$6:$S$41,(MATCH(Q$21,Dates,0)),(MATCH($C$151,Learning!$E$4:$S$4,0)+MATCH($C$182,Learning!$E$5:$S$5,0)-1))</f>
        <v>104.32958799999999</v>
      </c>
      <c r="R183" s="778" cm="1">
        <f t="array" aca="1" ref="R183" ca="1">OFFSET(MSP!$C$1,
MATCH(OFFSET($C182,((MATCH($C182,EL_List,0)-1)*-10)-1,0),MSP!$C:$C,0)+MATCH($C182,EL_List,0)-1,
MATCH(OFFSET($C182,((MATCH($C182,EL_List,0)-1)*-10)-3,0),MSP!$D$5:$N$5,0)+1)
*INDEX(Learning!$E$6:$S$41,(MATCH(R$21,Dates,0)),(MATCH($C$151,Learning!$E$4:$S$4,0)+MATCH($C$182,Learning!$E$5:$S$5,0)-1))</f>
        <v>103.79069549999998</v>
      </c>
      <c r="S183" s="778" cm="1">
        <f t="array" aca="1" ref="S183" ca="1">OFFSET(MSP!$C$1,
MATCH(OFFSET($C182,((MATCH($C182,EL_List,0)-1)*-10)-1,0),MSP!$C:$C,0)+MATCH($C182,EL_List,0)-1,
MATCH(OFFSET($C182,((MATCH($C182,EL_List,0)-1)*-10)-3,0),MSP!$D$5:$N$5,0)+1)
*INDEX(Learning!$E$6:$S$41,(MATCH(S$21,Dates,0)),(MATCH($C$151,Learning!$E$4:$S$4,0)+MATCH($C$182,Learning!$E$5:$S$5,0)-1))</f>
        <v>103.251803</v>
      </c>
      <c r="T183" s="778" cm="1">
        <f t="array" aca="1" ref="T183" ca="1">OFFSET(MSP!$C$1,
MATCH(OFFSET($C182,((MATCH($C182,EL_List,0)-1)*-10)-1,0),MSP!$C:$C,0)+MATCH($C182,EL_List,0)-1,
MATCH(OFFSET($C182,((MATCH($C182,EL_List,0)-1)*-10)-3,0),MSP!$D$5:$N$5,0)+1)
*INDEX(Learning!$E$6:$S$41,(MATCH(T$21,Dates,0)),(MATCH($C$151,Learning!$E$4:$S$4,0)+MATCH($C$182,Learning!$E$5:$S$5,0)-1))</f>
        <v>102.82068899999999</v>
      </c>
      <c r="U183" s="778" cm="1">
        <f t="array" aca="1" ref="U183" ca="1">OFFSET(MSP!$C$1,
MATCH(OFFSET($C182,((MATCH($C182,EL_List,0)-1)*-10)-1,0),MSP!$C:$C,0)+MATCH($C182,EL_List,0)-1,
MATCH(OFFSET($C182,((MATCH($C182,EL_List,0)-1)*-10)-3,0),MSP!$D$5:$N$5,0)+1)
*INDEX(Learning!$E$6:$S$41,(MATCH(U$21,Dates,0)),(MATCH($C$151,Learning!$E$4:$S$4,0)+MATCH($C$182,Learning!$E$5:$S$5,0)-1))</f>
        <v>102.28179649999998</v>
      </c>
      <c r="V183" s="778" cm="1">
        <f t="array" aca="1" ref="V183" ca="1">OFFSET(MSP!$C$1,
MATCH(OFFSET($C182,((MATCH($C182,EL_List,0)-1)*-10)-1,0),MSP!$C:$C,0)+MATCH($C182,EL_List,0)-1,
MATCH(OFFSET($C182,((MATCH($C182,EL_List,0)-1)*-10)-3,0),MSP!$D$5:$N$5,0)+1)
*INDEX(Learning!$E$6:$S$41,(MATCH(V$21,Dates,0)),(MATCH($C$151,Learning!$E$4:$S$4,0)+MATCH($C$182,Learning!$E$5:$S$5,0)-1))</f>
        <v>101.85068249999999</v>
      </c>
      <c r="W183" s="778" cm="1">
        <f t="array" aca="1" ref="W183" ca="1">OFFSET(MSP!$C$1,
MATCH(OFFSET($C182,((MATCH($C182,EL_List,0)-1)*-10)-1,0),MSP!$C:$C,0)+MATCH($C182,EL_List,0)-1,
MATCH(OFFSET($C182,((MATCH($C182,EL_List,0)-1)*-10)-3,0),MSP!$D$5:$N$5,0)+1)
*INDEX(Learning!$E$6:$S$41,(MATCH(W$21,Dates,0)),(MATCH($C$151,Learning!$E$4:$S$4,0)+MATCH($C$182,Learning!$E$5:$S$5,0)-1))</f>
        <v>101.31178999999999</v>
      </c>
      <c r="X183" s="778" cm="1">
        <f t="array" aca="1" ref="X183" ca="1">OFFSET(MSP!$C$1,
MATCH(OFFSET($C182,((MATCH($C182,EL_List,0)-1)*-10)-1,0),MSP!$C:$C,0)+MATCH($C182,EL_List,0)-1,
MATCH(OFFSET($C182,((MATCH($C182,EL_List,0)-1)*-10)-3,0),MSP!$D$5:$N$5,0)+1)
*INDEX(Learning!$E$6:$S$41,(MATCH(X$21,Dates,0)),(MATCH($C$151,Learning!$E$4:$S$4,0)+MATCH($C$182,Learning!$E$5:$S$5,0)-1))</f>
        <v>100.88067599999999</v>
      </c>
      <c r="Y183" s="778" cm="1">
        <f t="array" aca="1" ref="Y183" ca="1">OFFSET(MSP!$C$1,
MATCH(OFFSET($C182,((MATCH($C182,EL_List,0)-1)*-10)-1,0),MSP!$C:$C,0)+MATCH($C182,EL_List,0)-1,
MATCH(OFFSET($C182,((MATCH($C182,EL_List,0)-1)*-10)-3,0),MSP!$D$5:$N$5,0)+1)
*INDEX(Learning!$E$6:$S$41,(MATCH(Y$21,Dates,0)),(MATCH($C$151,Learning!$E$4:$S$4,0)+MATCH($C$182,Learning!$E$5:$S$5,0)-1))</f>
        <v>100.449562</v>
      </c>
      <c r="Z183" s="778" cm="1">
        <f t="array" aca="1" ref="Z183" ca="1">OFFSET(MSP!$C$1,
MATCH(OFFSET($C182,((MATCH($C182,EL_List,0)-1)*-10)-1,0),MSP!$C:$C,0)+MATCH($C182,EL_List,0)-1,
MATCH(OFFSET($C182,((MATCH($C182,EL_List,0)-1)*-10)-3,0),MSP!$D$5:$N$5,0)+1)
*INDEX(Learning!$E$6:$S$41,(MATCH(Z$21,Dates,0)),(MATCH($C$151,Learning!$E$4:$S$4,0)+MATCH($C$182,Learning!$E$5:$S$5,0)-1))</f>
        <v>100.01844800000001</v>
      </c>
      <c r="AA183" s="778" cm="1">
        <f t="array" aca="1" ref="AA183" ca="1">OFFSET(MSP!$C$1,
MATCH(OFFSET($C182,((MATCH($C182,EL_List,0)-1)*-10)-1,0),MSP!$C:$C,0)+MATCH($C182,EL_List,0)-1,
MATCH(OFFSET($C182,((MATCH($C182,EL_List,0)-1)*-10)-3,0),MSP!$D$5:$N$5,0)+1)
*INDEX(Learning!$E$6:$S$41,(MATCH(AA$21,Dates,0)),(MATCH($C$151,Learning!$E$4:$S$4,0)+MATCH($C$182,Learning!$E$5:$S$5,0)-1))</f>
        <v>99.587333999999998</v>
      </c>
      <c r="AB183" s="778" cm="1">
        <f t="array" aca="1" ref="AB183" ca="1">OFFSET(MSP!$C$1,
MATCH(OFFSET($C182,((MATCH($C182,EL_List,0)-1)*-10)-1,0),MSP!$C:$C,0)+MATCH($C182,EL_List,0)-1,
MATCH(OFFSET($C182,((MATCH($C182,EL_List,0)-1)*-10)-3,0),MSP!$D$5:$N$5,0)+1)
*INDEX(Learning!$E$6:$S$41,(MATCH(AB$21,Dates,0)),(MATCH($C$151,Learning!$E$4:$S$4,0)+MATCH($C$182,Learning!$E$5:$S$5,0)-1))</f>
        <v>99.156220000000005</v>
      </c>
      <c r="AC183" s="778" cm="1">
        <f t="array" aca="1" ref="AC183" ca="1">OFFSET(MSP!$C$1,
MATCH(OFFSET($C182,((MATCH($C182,EL_List,0)-1)*-10)-1,0),MSP!$C:$C,0)+MATCH($C182,EL_List,0)-1,
MATCH(OFFSET($C182,((MATCH($C182,EL_List,0)-1)*-10)-3,0),MSP!$D$5:$N$5,0)+1)
*INDEX(Learning!$E$6:$S$41,(MATCH(AC$21,Dates,0)),(MATCH($C$151,Learning!$E$4:$S$4,0)+MATCH($C$182,Learning!$E$5:$S$5,0)-1))</f>
        <v>98.725105999999997</v>
      </c>
      <c r="AD183" s="778" cm="1">
        <f t="array" aca="1" ref="AD183" ca="1">OFFSET(MSP!$C$1,
MATCH(OFFSET($C182,((MATCH($C182,EL_List,0)-1)*-10)-1,0),MSP!$C:$C,0)+MATCH($C182,EL_List,0)-1,
MATCH(OFFSET($C182,((MATCH($C182,EL_List,0)-1)*-10)-3,0),MSP!$D$5:$N$5,0)+1)
*INDEX(Learning!$E$6:$S$41,(MATCH(AD$21,Dates,0)),(MATCH($C$151,Learning!$E$4:$S$4,0)+MATCH($C$182,Learning!$E$5:$S$5,0)-1))</f>
        <v>98.293992000000003</v>
      </c>
      <c r="AE183" s="778" cm="1">
        <f t="array" aca="1" ref="AE183" ca="1">OFFSET(MSP!$C$1,
MATCH(OFFSET($C182,((MATCH($C182,EL_List,0)-1)*-10)-1,0),MSP!$C:$C,0)+MATCH($C182,EL_List,0)-1,
MATCH(OFFSET($C182,((MATCH($C182,EL_List,0)-1)*-10)-3,0),MSP!$D$5:$N$5,0)+1)
*INDEX(Learning!$E$6:$S$41,(MATCH(AE$21,Dates,0)),(MATCH($C$151,Learning!$E$4:$S$4,0)+MATCH($C$182,Learning!$E$5:$S$5,0)-1))</f>
        <v>97.862877999999995</v>
      </c>
      <c r="AF183" s="778" cm="1">
        <f t="array" aca="1" ref="AF183" ca="1">OFFSET(MSP!$C$1,
MATCH(OFFSET($C182,((MATCH($C182,EL_List,0)-1)*-10)-1,0),MSP!$C:$C,0)+MATCH($C182,EL_List,0)-1,
MATCH(OFFSET($C182,((MATCH($C182,EL_List,0)-1)*-10)-3,0),MSP!$D$5:$N$5,0)+1)
*INDEX(Learning!$E$6:$S$41,(MATCH(AF$21,Dates,0)),(MATCH($C$151,Learning!$E$4:$S$4,0)+MATCH($C$182,Learning!$E$5:$S$5,0)-1))</f>
        <v>97.431764000000001</v>
      </c>
      <c r="AG183" s="778" cm="1">
        <f t="array" aca="1" ref="AG183" ca="1">OFFSET(MSP!$C$1,
MATCH(OFFSET($C182,((MATCH($C182,EL_List,0)-1)*-10)-1,0),MSP!$C:$C,0)+MATCH($C182,EL_List,0)-1,
MATCH(OFFSET($C182,((MATCH($C182,EL_List,0)-1)*-10)-3,0),MSP!$D$5:$N$5,0)+1)
*INDEX(Learning!$E$6:$S$41,(MATCH(AG$21,Dates,0)),(MATCH($C$151,Learning!$E$4:$S$4,0)+MATCH($C$182,Learning!$E$5:$S$5,0)-1))</f>
        <v>97.108428500000002</v>
      </c>
      <c r="AH183" s="778" cm="1">
        <f t="array" aca="1" ref="AH183" ca="1">OFFSET(MSP!$C$1,
MATCH(OFFSET($C182,((MATCH($C182,EL_List,0)-1)*-10)-1,0),MSP!$C:$C,0)+MATCH($C182,EL_List,0)-1,
MATCH(OFFSET($C182,((MATCH($C182,EL_List,0)-1)*-10)-3,0),MSP!$D$5:$N$5,0)+1)
*INDEX(Learning!$E$6:$S$41,(MATCH(AH$21,Dates,0)),(MATCH($C$151,Learning!$E$4:$S$4,0)+MATCH($C$182,Learning!$E$5:$S$5,0)-1))</f>
        <v>96.677314499999994</v>
      </c>
      <c r="AI183" s="778" cm="1">
        <f t="array" aca="1" ref="AI183" ca="1">OFFSET(MSP!$C$1,
MATCH(OFFSET($C182,((MATCH($C182,EL_List,0)-1)*-10)-1,0),MSP!$C:$C,0)+MATCH($C182,EL_List,0)-1,
MATCH(OFFSET($C182,((MATCH($C182,EL_List,0)-1)*-10)-3,0),MSP!$D$5:$N$5,0)+1)
*INDEX(Learning!$E$6:$S$41,(MATCH(AI$21,Dates,0)),(MATCH($C$151,Learning!$E$4:$S$4,0)+MATCH($C$182,Learning!$E$5:$S$5,0)-1))</f>
        <v>96.2462005</v>
      </c>
      <c r="AJ183" s="778" cm="1">
        <f t="array" aca="1" ref="AJ183" ca="1">OFFSET(MSP!$C$1,
MATCH(OFFSET($C182,((MATCH($C182,EL_List,0)-1)*-10)-1,0),MSP!$C:$C,0)+MATCH($C182,EL_List,0)-1,
MATCH(OFFSET($C182,((MATCH($C182,EL_List,0)-1)*-10)-3,0),MSP!$D$5:$N$5,0)+1)
*INDEX(Learning!$E$6:$S$41,(MATCH(AJ$21,Dates,0)),(MATCH($C$151,Learning!$E$4:$S$4,0)+MATCH($C$182,Learning!$E$5:$S$5,0)-1))</f>
        <v>95.922865000000002</v>
      </c>
      <c r="AK183" s="778" cm="1">
        <f t="array" aca="1" ref="AK183" ca="1">OFFSET(MSP!$C$1,
MATCH(OFFSET($C182,((MATCH($C182,EL_List,0)-1)*-10)-1,0),MSP!$C:$C,0)+MATCH($C182,EL_List,0)-1,
MATCH(OFFSET($C182,((MATCH($C182,EL_List,0)-1)*-10)-3,0),MSP!$D$5:$N$5,0)+1)
*INDEX(Learning!$E$6:$S$41,(MATCH(AK$21,Dates,0)),(MATCH($C$151,Learning!$E$4:$S$4,0)+MATCH($C$182,Learning!$E$5:$S$5,0)-1))</f>
        <v>95.491750999999994</v>
      </c>
      <c r="AL183" s="778" cm="1">
        <f t="array" aca="1" ref="AL183" ca="1">OFFSET(MSP!$C$1,
MATCH(OFFSET($C182,((MATCH($C182,EL_List,0)-1)*-10)-1,0),MSP!$C:$C,0)+MATCH($C182,EL_List,0)-1,
MATCH(OFFSET($C182,((MATCH($C182,EL_List,0)-1)*-10)-3,0),MSP!$D$5:$N$5,0)+1)
*INDEX(Learning!$E$6:$S$41,(MATCH(AL$21,Dates,0)),(MATCH($C$151,Learning!$E$4:$S$4,0)+MATCH($C$182,Learning!$E$5:$S$5,0)-1))</f>
        <v>95.168415499999995</v>
      </c>
      <c r="AM183" s="778" cm="1">
        <f t="array" aca="1" ref="AM183" ca="1">OFFSET(MSP!$C$1,
MATCH(OFFSET($C182,((MATCH($C182,EL_List,0)-1)*-10)-1,0),MSP!$C:$C,0)+MATCH($C182,EL_List,0)-1,
MATCH(OFFSET($C182,((MATCH($C182,EL_List,0)-1)*-10)-3,0),MSP!$D$5:$N$5,0)+1)
*INDEX(Learning!$E$6:$S$41,(MATCH(AM$21,Dates,0)),(MATCH($C$151,Learning!$E$4:$S$4,0)+MATCH($C$182,Learning!$E$5:$S$5,0)-1))</f>
        <v>94.737301500000001</v>
      </c>
      <c r="AN183" s="778" cm="1">
        <f t="array" aca="1" ref="AN183" ca="1">OFFSET(MSP!$C$1,
MATCH(OFFSET($C182,((MATCH($C182,EL_List,0)-1)*-10)-1,0),MSP!$C:$C,0)+MATCH($C182,EL_List,0)-1,
MATCH(OFFSET($C182,((MATCH($C182,EL_List,0)-1)*-10)-3,0),MSP!$D$5:$N$5,0)+1)
*INDEX(Learning!$E$6:$S$41,(MATCH(AN$21,Dates,0)),(MATCH($C$151,Learning!$E$4:$S$4,0)+MATCH($C$182,Learning!$E$5:$S$5,0)-1))</f>
        <v>94.375328618973683</v>
      </c>
      <c r="AO183" s="436"/>
      <c r="AP183" s="21"/>
    </row>
    <row r="184" spans="2:42" ht="15" customHeight="1" x14ac:dyDescent="0.35">
      <c r="B184" s="429"/>
      <c r="C184" s="777" t="s">
        <v>78</v>
      </c>
      <c r="D184" s="776"/>
      <c r="E184" s="530">
        <f ca="1">OFFSET(OFFSET(Shipments!$D$1,0,MATCH(E$7,Dates)),
MATCH(OFFSET($C182,((MATCH($C182,EL_List,0)-1)*-10)-3,0),Shipments!$C:$C,0)+
MATCH(OFFSET($C182,((MATCH($C182,EL_List,0)-1)*-10)-1,0),Shipments!$D:$D,0)+
MATCH($C182,EL_List,0)-10,
MATCH(Shipments_Scenario_X,Shipments!$F$5:$AQ$5,0))</f>
        <v>0.11627504419682727</v>
      </c>
      <c r="F184" s="530">
        <f ca="1">OFFSET(OFFSET(Shipments!$D$1,0,MATCH(F$7,Dates)),
MATCH(OFFSET($C182,((MATCH($C182,EL_List,0)-1)*-10)-3,0),Shipments!$C:$C,0)+
MATCH(OFFSET($C182,((MATCH($C182,EL_List,0)-1)*-10)-1,0),Shipments!$D:$D,0)+
MATCH($C182,EL_List,0)-10,
MATCH(Shipments_Scenario_X,Shipments!$F$5:$AQ$5,0))</f>
        <v>0.12147469615329934</v>
      </c>
      <c r="G184" s="530">
        <f ca="1">OFFSET(OFFSET(Shipments!$D$1,0,MATCH(G$7,Dates)),
MATCH(OFFSET($C182,((MATCH($C182,EL_List,0)-1)*-10)-3,0),Shipments!$C:$C,0)+
MATCH(OFFSET($C182,((MATCH($C182,EL_List,0)-1)*-10)-1,0),Shipments!$D:$D,0)+
MATCH($C182,EL_List,0)-10,
MATCH(Shipments_Scenario_X,Shipments!$F$5:$AQ$5,0))</f>
        <v>0.12613415197434721</v>
      </c>
      <c r="H184" s="530">
        <f ca="1">OFFSET(OFFSET(Shipments!$D$1,0,MATCH(H$7,Dates)),
MATCH(OFFSET($C182,((MATCH($C182,EL_List,0)-1)*-10)-3,0),Shipments!$C:$C,0)+
MATCH(OFFSET($C182,((MATCH($C182,EL_List,0)-1)*-10)-1,0),Shipments!$D:$D,0)+
MATCH($C182,EL_List,0)-10,
MATCH(Shipments_Scenario_X,Shipments!$F$5:$AQ$5,0))</f>
        <v>0.13205778994210687</v>
      </c>
      <c r="I184" s="530">
        <f ca="1">OFFSET(OFFSET(Shipments!$D$1,0,MATCH(I$7,Dates)),
MATCH(OFFSET($C182,((MATCH($C182,EL_List,0)-1)*-10)-3,0),Shipments!$C:$C,0)+
MATCH(OFFSET($C182,((MATCH($C182,EL_List,0)-1)*-10)-1,0),Shipments!$D:$D,0)+
MATCH($C182,EL_List,0)-10,
MATCH(Shipments_Scenario_X,Shipments!$F$5:$AQ$5,0))</f>
        <v>0.13841402922599122</v>
      </c>
      <c r="J184" s="530">
        <f ca="1">OFFSET(OFFSET(Shipments!$D$1,0,MATCH(J$7,Dates)),
MATCH(OFFSET($C182,((MATCH($C182,EL_List,0)-1)*-10)-3,0),Shipments!$C:$C,0)+
MATCH(OFFSET($C182,((MATCH($C182,EL_List,0)-1)*-10)-1,0),Shipments!$D:$D,0)+
MATCH($C182,EL_List,0)-10,
MATCH(Shipments_Scenario_X,Shipments!$F$5:$AQ$5,0))</f>
        <v>0.14544841820086474</v>
      </c>
      <c r="K184" s="530">
        <f ca="1">OFFSET(OFFSET(Shipments!$D$1,0,MATCH(K$7,Dates)),
MATCH(OFFSET($C182,((MATCH($C182,EL_List,0)-1)*-10)-3,0),Shipments!$C:$C,0)+
MATCH(OFFSET($C182,((MATCH($C182,EL_List,0)-1)*-10)-1,0),Shipments!$D:$D,0)+
MATCH($C182,EL_List,0)-10,
MATCH(Shipments_Scenario_X,Shipments!$F$5:$AQ$5,0))</f>
        <v>0.15307821532375465</v>
      </c>
      <c r="L184" s="530">
        <f ca="1">OFFSET(OFFSET(Shipments!$D$1,0,MATCH(L$7,Dates)),
MATCH(OFFSET($C182,((MATCH($C182,EL_List,0)-1)*-10)-3,0),Shipments!$C:$C,0)+
MATCH(OFFSET($C182,((MATCH($C182,EL_List,0)-1)*-10)-1,0),Shipments!$D:$D,0)+
MATCH($C182,EL_List,0)-10,
MATCH(Shipments_Scenario_X,Shipments!$F$5:$AQ$5,0))</f>
        <v>0.16117923645197757</v>
      </c>
      <c r="M184" s="530">
        <f ca="1">OFFSET(OFFSET(Shipments!$D$1,0,MATCH(M$7,Dates)),
MATCH(OFFSET($C182,((MATCH($C182,EL_List,0)-1)*-10)-3,0),Shipments!$C:$C,0)+
MATCH(OFFSET($C182,((MATCH($C182,EL_List,0)-1)*-10)-1,0),Shipments!$D:$D,0)+
MATCH($C182,EL_List,0)-10,
MATCH(Shipments_Scenario_X,Shipments!$F$5:$AQ$5,0))</f>
        <v>0.16965457145046642</v>
      </c>
      <c r="N184" s="530">
        <f ca="1">OFFSET(OFFSET(Shipments!$D$1,0,MATCH(N$7,Dates)),
MATCH(OFFSET($C182,((MATCH($C182,EL_List,0)-1)*-10)-3,0),Shipments!$C:$C,0)+
MATCH(OFFSET($C182,((MATCH($C182,EL_List,0)-1)*-10)-1,0),Shipments!$D:$D,0)+
MATCH($C182,EL_List,0)-10,
MATCH(Shipments_Scenario_X,Shipments!$F$5:$AQ$5,0))</f>
        <v>0.1784396531944345</v>
      </c>
      <c r="O184" s="530">
        <f ca="1">OFFSET(OFFSET(Shipments!$D$1,0,MATCH(O$7,Dates)),
MATCH(OFFSET($C182,((MATCH($C182,EL_List,0)-1)*-10)-3,0),Shipments!$C:$C,0)+
MATCH(OFFSET($C182,((MATCH($C182,EL_List,0)-1)*-10)-1,0),Shipments!$D:$D,0)+
MATCH($C182,EL_List,0)-10,
MATCH(Shipments_Scenario_X,Shipments!$F$5:$AQ$5,0))</f>
        <v>0.18753068786387572</v>
      </c>
      <c r="P184" s="530">
        <f ca="1">OFFSET(OFFSET(Shipments!$D$1,0,MATCH(P$7,Dates)),
MATCH(OFFSET($C182,((MATCH($C182,EL_List,0)-1)*-10)-3,0),Shipments!$C:$C,0)+
MATCH(OFFSET($C182,((MATCH($C182,EL_List,0)-1)*-10)-1,0),Shipments!$D:$D,0)+
MATCH($C182,EL_List,0)-10,
MATCH(Shipments_Scenario_X,Shipments!$F$5:$AQ$5,0))</f>
        <v>0.19696661120530962</v>
      </c>
      <c r="Q184" s="530">
        <f ca="1">OFFSET(OFFSET(Shipments!$D$1,0,MATCH(Q$7,Dates)),
MATCH(OFFSET($C182,((MATCH($C182,EL_List,0)-1)*-10)-3,0),Shipments!$C:$C,0)+
MATCH(OFFSET($C182,((MATCH($C182,EL_List,0)-1)*-10)-1,0),Shipments!$D:$D,0)+
MATCH($C182,EL_List,0)-10,
MATCH(Shipments_Scenario_X,Shipments!$F$5:$AQ$5,0))</f>
        <v>0.20680691251880573</v>
      </c>
      <c r="R184" s="530">
        <f ca="1">OFFSET(OFFSET(Shipments!$D$1,0,MATCH(R$7,Dates)),
MATCH(OFFSET($C182,((MATCH($C182,EL_List,0)-1)*-10)-3,0),Shipments!$C:$C,0)+
MATCH(OFFSET($C182,((MATCH($C182,EL_List,0)-1)*-10)-1,0),Shipments!$D:$D,0)+
MATCH($C182,EL_List,0)-10,
MATCH(Shipments_Scenario_X,Shipments!$F$5:$AQ$5,0))</f>
        <v>0.21712103363684362</v>
      </c>
      <c r="S184" s="530">
        <f ca="1">OFFSET(OFFSET(Shipments!$D$1,0,MATCH(S$7,Dates)),
MATCH(OFFSET($C182,((MATCH($C182,EL_List,0)-1)*-10)-3,0),Shipments!$C:$C,0)+
MATCH(OFFSET($C182,((MATCH($C182,EL_List,0)-1)*-10)-1,0),Shipments!$D:$D,0)+
MATCH($C182,EL_List,0)-10,
MATCH(Shipments_Scenario_X,Shipments!$F$5:$AQ$5,0))</f>
        <v>0.22796733482307996</v>
      </c>
      <c r="T184" s="530">
        <f ca="1">OFFSET(OFFSET(Shipments!$D$1,0,MATCH(T$7,Dates)),
MATCH(OFFSET($C182,((MATCH($C182,EL_List,0)-1)*-10)-3,0),Shipments!$C:$C,0)+
MATCH(OFFSET($C182,((MATCH($C182,EL_List,0)-1)*-10)-1,0),Shipments!$D:$D,0)+
MATCH($C182,EL_List,0)-10,
MATCH(Shipments_Scenario_X,Shipments!$F$5:$AQ$5,0))</f>
        <v>0.23938274089407202</v>
      </c>
      <c r="U184" s="530">
        <f ca="1">OFFSET(OFFSET(Shipments!$D$1,0,MATCH(U$7,Dates)),
MATCH(OFFSET($C182,((MATCH($C182,EL_List,0)-1)*-10)-3,0),Shipments!$C:$C,0)+
MATCH(OFFSET($C182,((MATCH($C182,EL_List,0)-1)*-10)-1,0),Shipments!$D:$D,0)+
MATCH($C182,EL_List,0)-10,
MATCH(Shipments_Scenario_X,Shipments!$F$5:$AQ$5,0))</f>
        <v>0.25140829037634038</v>
      </c>
      <c r="V184" s="530">
        <f ca="1">OFFSET(OFFSET(Shipments!$D$1,0,MATCH(V$7,Dates)),
MATCH(OFFSET($C182,((MATCH($C182,EL_List,0)-1)*-10)-3,0),Shipments!$C:$C,0)+
MATCH(OFFSET($C182,((MATCH($C182,EL_List,0)-1)*-10)-1,0),Shipments!$D:$D,0)+
MATCH($C182,EL_List,0)-10,
MATCH(Shipments_Scenario_X,Shipments!$F$5:$AQ$5,0))</f>
        <v>0.26401988446893943</v>
      </c>
      <c r="W184" s="530">
        <f ca="1">OFFSET(OFFSET(Shipments!$D$1,0,MATCH(W$7,Dates)),
MATCH(OFFSET($C182,((MATCH($C182,EL_List,0)-1)*-10)-3,0),Shipments!$C:$C,0)+
MATCH(OFFSET($C182,((MATCH($C182,EL_List,0)-1)*-10)-1,0),Shipments!$D:$D,0)+
MATCH($C182,EL_List,0)-10,
MATCH(Shipments_Scenario_X,Shipments!$F$5:$AQ$5,0))</f>
        <v>0.27725584798942626</v>
      </c>
      <c r="X184" s="530">
        <f ca="1">OFFSET(OFFSET(Shipments!$D$1,0,MATCH(X$7,Dates)),
MATCH(OFFSET($C182,((MATCH($C182,EL_List,0)-1)*-10)-3,0),Shipments!$C:$C,0)+
MATCH(OFFSET($C182,((MATCH($C182,EL_List,0)-1)*-10)-1,0),Shipments!$D:$D,0)+
MATCH($C182,EL_List,0)-10,
MATCH(Shipments_Scenario_X,Shipments!$F$5:$AQ$5,0))</f>
        <v>0.29113216157481026</v>
      </c>
      <c r="Y184" s="530">
        <f ca="1">OFFSET(OFFSET(Shipments!$D$1,0,MATCH(Y$7,Dates)),
MATCH(OFFSET($C182,((MATCH($C182,EL_List,0)-1)*-10)-3,0),Shipments!$C:$C,0)+
MATCH(OFFSET($C182,((MATCH($C182,EL_List,0)-1)*-10)-1,0),Shipments!$D:$D,0)+
MATCH($C182,EL_List,0)-10,
MATCH(Shipments_Scenario_X,Shipments!$F$5:$AQ$5,0))</f>
        <v>0.30567246131827785</v>
      </c>
      <c r="Z184" s="530">
        <f ca="1">OFFSET(OFFSET(Shipments!$D$1,0,MATCH(Z$7,Dates)),
MATCH(OFFSET($C182,((MATCH($C182,EL_List,0)-1)*-10)-3,0),Shipments!$C:$C,0)+
MATCH(OFFSET($C182,((MATCH($C182,EL_List,0)-1)*-10)-1,0),Shipments!$D:$D,0)+
MATCH($C182,EL_List,0)-10,
MATCH(Shipments_Scenario_X,Shipments!$F$5:$AQ$5,0))</f>
        <v>0.32090843638218347</v>
      </c>
      <c r="AA184" s="530">
        <f ca="1">OFFSET(OFFSET(Shipments!$D$1,0,MATCH(AA$7,Dates)),
MATCH(OFFSET($C182,((MATCH($C182,EL_List,0)-1)*-10)-3,0),Shipments!$C:$C,0)+
MATCH(OFFSET($C182,((MATCH($C182,EL_List,0)-1)*-10)-1,0),Shipments!$D:$D,0)+
MATCH($C182,EL_List,0)-10,
MATCH(Shipments_Scenario_X,Shipments!$F$5:$AQ$5,0))</f>
        <v>0.33687664055059746</v>
      </c>
      <c r="AB184" s="530">
        <f ca="1">OFFSET(OFFSET(Shipments!$D$1,0,MATCH(AB$7,Dates)),
MATCH(OFFSET($C182,((MATCH($C182,EL_List,0)-1)*-10)-3,0),Shipments!$C:$C,0)+
MATCH(OFFSET($C182,((MATCH($C182,EL_List,0)-1)*-10)-1,0),Shipments!$D:$D,0)+
MATCH($C182,EL_List,0)-10,
MATCH(Shipments_Scenario_X,Shipments!$F$5:$AQ$5,0))</f>
        <v>0.35361897685058569</v>
      </c>
      <c r="AC184" s="530">
        <f ca="1">OFFSET(OFFSET(Shipments!$D$1,0,MATCH(AC$7,Dates)),
MATCH(OFFSET($C182,((MATCH($C182,EL_List,0)-1)*-10)-3,0),Shipments!$C:$C,0)+
MATCH(OFFSET($C182,((MATCH($C182,EL_List,0)-1)*-10)-1,0),Shipments!$D:$D,0)+
MATCH($C182,EL_List,0)-10,
MATCH(Shipments_Scenario_X,Shipments!$F$5:$AQ$5,0))</f>
        <v>0.37117777221438153</v>
      </c>
      <c r="AD184" s="530">
        <f ca="1">OFFSET(OFFSET(Shipments!$D$1,0,MATCH(AD$7,Dates)),
MATCH(OFFSET($C182,((MATCH($C182,EL_List,0)-1)*-10)-3,0),Shipments!$C:$C,0)+
MATCH(OFFSET($C182,((MATCH($C182,EL_List,0)-1)*-10)-1,0),Shipments!$D:$D,0)+
MATCH($C182,EL_List,0)-10,
MATCH(Shipments_Scenario_X,Shipments!$F$5:$AQ$5,0))</f>
        <v>0.3895955900826687</v>
      </c>
      <c r="AE184" s="530">
        <f ca="1">OFFSET(OFFSET(Shipments!$D$1,0,MATCH(AE$7,Dates)),
MATCH(OFFSET($C182,((MATCH($C182,EL_List,0)-1)*-10)-3,0),Shipments!$C:$C,0)+
MATCH(OFFSET($C182,((MATCH($C182,EL_List,0)-1)*-10)-1,0),Shipments!$D:$D,0)+
MATCH($C182,EL_List,0)-10,
MATCH(Shipments_Scenario_X,Shipments!$F$5:$AQ$5,0))</f>
        <v>0.40891500314529688</v>
      </c>
      <c r="AF184" s="530">
        <f ca="1">OFFSET(OFFSET(Shipments!$D$1,0,MATCH(AF$7,Dates)),
MATCH(OFFSET($C182,((MATCH($C182,EL_List,0)-1)*-10)-3,0),Shipments!$C:$C,0)+
MATCH(OFFSET($C182,((MATCH($C182,EL_List,0)-1)*-10)-1,0),Shipments!$D:$D,0)+
MATCH($C182,EL_List,0)-10,
MATCH(Shipments_Scenario_X,Shipments!$F$5:$AQ$5,0))</f>
        <v>0.42917900532137598</v>
      </c>
      <c r="AG184" s="530">
        <f ca="1">OFFSET(OFFSET(Shipments!$D$1,0,MATCH(AG$7,Dates)),
MATCH(OFFSET($C182,((MATCH($C182,EL_List,0)-1)*-10)-3,0),Shipments!$C:$C,0)+
MATCH(OFFSET($C182,((MATCH($C182,EL_List,0)-1)*-10)-1,0),Shipments!$D:$D,0)+
MATCH($C182,EL_List,0)-10,
MATCH(Shipments_Scenario_X,Shipments!$F$5:$AQ$5,0))</f>
        <v>0.45043192474672522</v>
      </c>
      <c r="AH184" s="530">
        <f ca="1">OFFSET(OFFSET(Shipments!$D$1,0,MATCH(AH$7,Dates)),
MATCH(OFFSET($C182,((MATCH($C182,EL_List,0)-1)*-10)-3,0),Shipments!$C:$C,0)+
MATCH(OFFSET($C182,((MATCH($C182,EL_List,0)-1)*-10)-1,0),Shipments!$D:$D,0)+
MATCH($C182,EL_List,0)-10,
MATCH(Shipments_Scenario_X,Shipments!$F$5:$AQ$5,0))</f>
        <v>0.47272024727991302</v>
      </c>
      <c r="AI184" s="530">
        <f ca="1">OFFSET(OFFSET(Shipments!$D$1,0,MATCH(AI$7,Dates)),
MATCH(OFFSET($C182,((MATCH($C182,EL_List,0)-1)*-10)-3,0),Shipments!$C:$C,0)+
MATCH(OFFSET($C182,((MATCH($C182,EL_List,0)-1)*-10)-1,0),Shipments!$D:$D,0)+
MATCH($C182,EL_List,0)-10,
MATCH(Shipments_Scenario_X,Shipments!$F$5:$AQ$5,0))</f>
        <v>0.49609323844450592</v>
      </c>
      <c r="AJ184" s="530">
        <f ca="1">OFFSET(OFFSET(Shipments!$D$1,0,MATCH(AJ$7,Dates)),
MATCH(OFFSET($C182,((MATCH($C182,EL_List,0)-1)*-10)-3,0),Shipments!$C:$C,0)+
MATCH(OFFSET($C182,((MATCH($C182,EL_List,0)-1)*-10)-1,0),Shipments!$D:$D,0)+
MATCH($C182,EL_List,0)-10,
MATCH(Shipments_Scenario_X,Shipments!$F$5:$AQ$5,0))</f>
        <v>0.5206032830931292</v>
      </c>
      <c r="AK184" s="530">
        <f ca="1">OFFSET(OFFSET(Shipments!$D$1,0,MATCH(AK$7,Dates)),
MATCH(OFFSET($C182,((MATCH($C182,EL_List,0)-1)*-10)-3,0),Shipments!$C:$C,0)+
MATCH(OFFSET($C182,((MATCH($C182,EL_List,0)-1)*-10)-1,0),Shipments!$D:$D,0)+
MATCH($C182,EL_List,0)-10,
MATCH(Shipments_Scenario_X,Shipments!$F$5:$AQ$5,0))</f>
        <v>0.54630591542798279</v>
      </c>
      <c r="AL184" s="530">
        <f ca="1">OFFSET(OFFSET(Shipments!$D$1,0,MATCH(AL$7,Dates)),
MATCH(OFFSET($C182,((MATCH($C182,EL_List,0)-1)*-10)-3,0),Shipments!$C:$C,0)+
MATCH(OFFSET($C182,((MATCH($C182,EL_List,0)-1)*-10)-1,0),Shipments!$D:$D,0)+
MATCH($C182,EL_List,0)-10,
MATCH(Shipments_Scenario_X,Shipments!$F$5:$AQ$5,0))</f>
        <v>0.57325971692529598</v>
      </c>
      <c r="AM184" s="530">
        <f ca="1">OFFSET(OFFSET(Shipments!$D$1,0,MATCH(AM$7,Dates)),
MATCH(OFFSET($C182,((MATCH($C182,EL_List,0)-1)*-10)-3,0),Shipments!$C:$C,0)+
MATCH(OFFSET($C182,((MATCH($C182,EL_List,0)-1)*-10)-1,0),Shipments!$D:$D,0)+
MATCH($C182,EL_List,0)-10,
MATCH(Shipments_Scenario_X,Shipments!$F$5:$AQ$5,0))</f>
        <v>0.60152624845703628</v>
      </c>
      <c r="AN184" s="530">
        <f ca="1">OFFSET(OFFSET(Shipments!$D$1,0,MATCH(AN$7,Dates)),
MATCH(OFFSET($C182,((MATCH($C182,EL_List,0)-1)*-10)-3,0),Shipments!$C:$C,0)+
MATCH(OFFSET($C182,((MATCH($C182,EL_List,0)-1)*-10)-1,0),Shipments!$D:$D,0)+
MATCH($C182,EL_List,0)-10,
MATCH(Shipments_Scenario_X,Shipments!$F$5:$AQ$5,0))</f>
        <v>0.63116980621258956</v>
      </c>
      <c r="AO184" s="436"/>
      <c r="AP184" s="21"/>
    </row>
    <row r="185" spans="2:42" ht="15" customHeight="1" x14ac:dyDescent="0.35">
      <c r="B185" s="429"/>
      <c r="C185" s="777" t="s">
        <v>79</v>
      </c>
      <c r="D185" s="776"/>
      <c r="E185" s="531">
        <f t="shared" ref="E185:AN185" ca="1" si="41">E183*E184</f>
        <v>13.033227845006458</v>
      </c>
      <c r="F185" s="531">
        <f t="shared" ca="1" si="41"/>
        <v>13.51131607661784</v>
      </c>
      <c r="G185" s="531">
        <f t="shared" ca="1" si="41"/>
        <v>13.934413441031358</v>
      </c>
      <c r="H185" s="531">
        <f t="shared" ca="1" si="41"/>
        <v>14.503417333027596</v>
      </c>
      <c r="I185" s="531">
        <f t="shared" ca="1" si="41"/>
        <v>15.097073126320694</v>
      </c>
      <c r="J185" s="531">
        <f t="shared" ca="1" si="41"/>
        <v>15.770269615108271</v>
      </c>
      <c r="K185" s="531">
        <f t="shared" ca="1" si="41"/>
        <v>16.498540430271291</v>
      </c>
      <c r="L185" s="531">
        <f t="shared" ca="1" si="41"/>
        <v>17.267426397923828</v>
      </c>
      <c r="M185" s="531">
        <f t="shared" ca="1" si="41"/>
        <v>18.08397896155428</v>
      </c>
      <c r="N185" s="531">
        <f t="shared" ca="1" si="41"/>
        <v>18.905014873065479</v>
      </c>
      <c r="O185" s="531">
        <f t="shared" ca="1" si="41"/>
        <v>19.76711716461412</v>
      </c>
      <c r="P185" s="531">
        <f t="shared" ca="1" si="41"/>
        <v>20.655589226335092</v>
      </c>
      <c r="Q185" s="531">
        <f t="shared" ca="1" si="41"/>
        <v>21.57607997863904</v>
      </c>
      <c r="R185" s="531">
        <f t="shared" ca="1" si="41"/>
        <v>22.53514308884689</v>
      </c>
      <c r="S185" s="531">
        <f t="shared" ca="1" si="41"/>
        <v>23.53803834558769</v>
      </c>
      <c r="T185" s="531">
        <f t="shared" ca="1" si="41"/>
        <v>24.61349835343696</v>
      </c>
      <c r="U185" s="531">
        <f t="shared" ca="1" si="41"/>
        <v>25.71449159468575</v>
      </c>
      <c r="V185" s="531">
        <f t="shared" ca="1" si="41"/>
        <v>26.890605426732627</v>
      </c>
      <c r="W185" s="531">
        <f t="shared" ca="1" si="41"/>
        <v>28.089286247776673</v>
      </c>
      <c r="X185" s="531">
        <f t="shared" ca="1" si="41"/>
        <v>29.36960926500808</v>
      </c>
      <c r="Y185" s="531">
        <f t="shared" ca="1" si="41"/>
        <v>30.704664854882953</v>
      </c>
      <c r="Z185" s="531">
        <f t="shared" ca="1" si="41"/>
        <v>32.096763757052727</v>
      </c>
      <c r="AA185" s="531">
        <f t="shared" ca="1" si="41"/>
        <v>33.548646519310296</v>
      </c>
      <c r="AB185" s="531">
        <f t="shared" ca="1" si="41"/>
        <v>35.063521064771585</v>
      </c>
      <c r="AC185" s="531">
        <f t="shared" ca="1" si="41"/>
        <v>36.644564906708673</v>
      </c>
      <c r="AD185" s="531">
        <f t="shared" ca="1" si="41"/>
        <v>38.294905814821121</v>
      </c>
      <c r="AE185" s="531">
        <f t="shared" ca="1" si="41"/>
        <v>40.017599065177805</v>
      </c>
      <c r="AF185" s="531">
        <f t="shared" ca="1" si="41"/>
        <v>41.815667560227048</v>
      </c>
      <c r="AG185" s="531">
        <f t="shared" ca="1" si="41"/>
        <v>43.740736358384751</v>
      </c>
      <c r="AH185" s="531">
        <f t="shared" ca="1" si="41"/>
        <v>45.701324016797919</v>
      </c>
      <c r="AI185" s="531">
        <f t="shared" ca="1" si="41"/>
        <v>47.747089294024228</v>
      </c>
      <c r="AJ185" s="531">
        <f t="shared" ca="1" si="41"/>
        <v>49.937758442699014</v>
      </c>
      <c r="AK185" s="531">
        <f t="shared" ca="1" si="41"/>
        <v>52.167708445875988</v>
      </c>
      <c r="AL185" s="531">
        <f t="shared" ca="1" si="41"/>
        <v>54.556218929758948</v>
      </c>
      <c r="AM185" s="531">
        <f t="shared" ref="AM185" ca="1" si="42">AM183*AM184</f>
        <v>56.986973560238155</v>
      </c>
      <c r="AN185" s="531">
        <f t="shared" ca="1" si="41"/>
        <v>59.566857875687077</v>
      </c>
      <c r="AO185" s="436"/>
      <c r="AP185" s="21"/>
    </row>
    <row r="186" spans="2:42" ht="15" customHeight="1" x14ac:dyDescent="0.35">
      <c r="B186" s="429"/>
      <c r="C186" s="777"/>
      <c r="D186" s="776"/>
      <c r="E186" s="776"/>
      <c r="F186" s="776"/>
      <c r="G186" s="776"/>
      <c r="H186" s="776"/>
      <c r="I186" s="776"/>
      <c r="J186" s="776"/>
      <c r="K186" s="776"/>
      <c r="L186" s="776"/>
      <c r="M186" s="776"/>
      <c r="N186" s="776"/>
      <c r="O186" s="776"/>
      <c r="P186" s="776"/>
      <c r="Q186" s="776"/>
      <c r="R186" s="776"/>
      <c r="S186" s="776"/>
      <c r="T186" s="776"/>
      <c r="U186" s="776"/>
      <c r="V186" s="776"/>
      <c r="W186" s="776"/>
      <c r="X186" s="776"/>
      <c r="Y186" s="776"/>
      <c r="Z186" s="776"/>
      <c r="AA186" s="776"/>
      <c r="AB186" s="776"/>
      <c r="AC186" s="776"/>
      <c r="AD186" s="776"/>
      <c r="AE186" s="776"/>
      <c r="AF186" s="776"/>
      <c r="AG186" s="776"/>
      <c r="AH186" s="776"/>
      <c r="AI186" s="776"/>
      <c r="AJ186" s="776"/>
      <c r="AK186" s="776"/>
      <c r="AL186" s="776"/>
      <c r="AM186" s="776"/>
      <c r="AN186" s="776"/>
      <c r="AO186" s="436"/>
      <c r="AP186" s="21"/>
    </row>
    <row r="187" spans="2:42" ht="15" customHeight="1" x14ac:dyDescent="0.35">
      <c r="B187" s="429"/>
      <c r="C187" s="777" t="s">
        <v>212</v>
      </c>
      <c r="D187" s="776"/>
      <c r="E187" s="532" cm="1">
        <f t="array" aca="1" ref="E187" ca="1">OFFSET(E187,-3,0)*
OFFSET(MSP!$D$1,
MATCH(OFFSET($C182,((MATCH($C182,EL_List,0)-1)*-10)-1,0),MSP!$C:$C,0)+MATCH($C182,EL_List,0)-1,0)
*INDEX(Learning!$E$6:$S$41,(MATCH(E$21,Dates,0)),(MATCH($C$151,Learning!$E$4:$S$4,0)+MATCH($C$182,Learning!$E$5:$S$5,0)-1))</f>
        <v>7.9641218544891617</v>
      </c>
      <c r="F187" s="532" cm="1">
        <f t="array" aca="1" ref="F187" ca="1">OFFSET(F187,-3,0)*
OFFSET(MSP!$D$1,
MATCH(OFFSET($C182,((MATCH($C182,EL_List,0)-1)*-10)-1,0),MSP!$C:$C,0)+MATCH($C182,EL_List,0)-1,0)
*INDEX(Learning!$E$6:$S$41,(MATCH(F$21,Dates,0)),(MATCH($C$151,Learning!$E$4:$S$4,0)+MATCH($C$182,Learning!$E$5:$S$5,0)-1))</f>
        <v>8.2562638302936513</v>
      </c>
      <c r="G187" s="532" cm="1">
        <f t="array" aca="1" ref="G187" ca="1">OFFSET(G187,-3,0)*
OFFSET(MSP!$D$1,
MATCH(OFFSET($C182,((MATCH($C182,EL_List,0)-1)*-10)-1,0),MSP!$C:$C,0)+MATCH($C182,EL_List,0)-1,0)
*INDEX(Learning!$E$6:$S$41,(MATCH(G$21,Dates,0)),(MATCH($C$151,Learning!$E$4:$S$4,0)+MATCH($C$182,Learning!$E$5:$S$5,0)-1))</f>
        <v>8.5148029279427035</v>
      </c>
      <c r="H187" s="532" cm="1">
        <f t="array" aca="1" ref="H187" ca="1">OFFSET(H187,-3,0)*
OFFSET(MSP!$D$1,
MATCH(OFFSET($C182,((MATCH($C182,EL_List,0)-1)*-10)-1,0),MSP!$C:$C,0)+MATCH($C182,EL_List,0)-1,0)
*INDEX(Learning!$E$6:$S$41,(MATCH(H$21,Dates,0)),(MATCH($C$151,Learning!$E$4:$S$4,0)+MATCH($C$182,Learning!$E$5:$S$5,0)-1))</f>
        <v>8.8625000897991093</v>
      </c>
      <c r="I187" s="532" cm="1">
        <f t="array" aca="1" ref="I187" ca="1">OFFSET(I187,-3,0)*
OFFSET(MSP!$D$1,
MATCH(OFFSET($C182,((MATCH($C182,EL_List,0)-1)*-10)-1,0),MSP!$C:$C,0)+MATCH($C182,EL_List,0)-1,0)
*INDEX(Learning!$E$6:$S$41,(MATCH(I$21,Dates,0)),(MATCH($C$151,Learning!$E$4:$S$4,0)+MATCH($C$182,Learning!$E$5:$S$5,0)-1))</f>
        <v>9.2252611136709621</v>
      </c>
      <c r="J187" s="532" cm="1">
        <f t="array" aca="1" ref="J187" ca="1">OFFSET(J187,-3,0)*
OFFSET(MSP!$D$1,
MATCH(OFFSET($C182,((MATCH($C182,EL_List,0)-1)*-10)-1,0),MSP!$C:$C,0)+MATCH($C182,EL_List,0)-1,0)
*INDEX(Learning!$E$6:$S$41,(MATCH(J$21,Dates,0)),(MATCH($C$151,Learning!$E$4:$S$4,0)+MATCH($C$182,Learning!$E$5:$S$5,0)-1))</f>
        <v>9.6366265046913195</v>
      </c>
      <c r="K187" s="532" cm="1">
        <f t="array" aca="1" ref="K187" ca="1">OFFSET(K187,-3,0)*
OFFSET(MSP!$D$1,
MATCH(OFFSET($C182,((MATCH($C182,EL_List,0)-1)*-10)-1,0),MSP!$C:$C,0)+MATCH($C182,EL_List,0)-1,0)
*INDEX(Learning!$E$6:$S$41,(MATCH(K$21,Dates,0)),(MATCH($C$151,Learning!$E$4:$S$4,0)+MATCH($C$182,Learning!$E$5:$S$5,0)-1))</f>
        <v>10.081645772673246</v>
      </c>
      <c r="L187" s="532" cm="1">
        <f t="array" aca="1" ref="L187" ca="1">OFFSET(L187,-3,0)*
OFFSET(MSP!$D$1,
MATCH(OFFSET($C182,((MATCH($C182,EL_List,0)-1)*-10)-1,0),MSP!$C:$C,0)+MATCH($C182,EL_List,0)-1,0)
*INDEX(Learning!$E$6:$S$41,(MATCH(L$21,Dates,0)),(MATCH($C$151,Learning!$E$4:$S$4,0)+MATCH($C$182,Learning!$E$5:$S$5,0)-1))</f>
        <v>10.55148345305553</v>
      </c>
      <c r="M187" s="532" cm="1">
        <f t="array" aca="1" ref="M187" ca="1">OFFSET(M187,-3,0)*
OFFSET(MSP!$D$1,
MATCH(OFFSET($C182,((MATCH($C182,EL_List,0)-1)*-10)-1,0),MSP!$C:$C,0)+MATCH($C182,EL_List,0)-1,0)
*INDEX(Learning!$E$6:$S$41,(MATCH(M$21,Dates,0)),(MATCH($C$151,Learning!$E$4:$S$4,0)+MATCH($C$182,Learning!$E$5:$S$5,0)-1))</f>
        <v>11.050448421264846</v>
      </c>
      <c r="N187" s="532" cm="1">
        <f t="array" aca="1" ref="N187" ca="1">OFFSET(N187,-3,0)*
OFFSET(MSP!$D$1,
MATCH(OFFSET($C182,((MATCH($C182,EL_List,0)-1)*-10)-1,0),MSP!$C:$C,0)+MATCH($C182,EL_List,0)-1,0)
*INDEX(Learning!$E$6:$S$41,(MATCH(N$21,Dates,0)),(MATCH($C$151,Learning!$E$4:$S$4,0)+MATCH($C$182,Learning!$E$5:$S$5,0)-1))</f>
        <v>11.552152996980682</v>
      </c>
      <c r="O187" s="532" cm="1">
        <f t="array" aca="1" ref="O187" ca="1">OFFSET(O187,-3,0)*
OFFSET(MSP!$D$1,
MATCH(OFFSET($C182,((MATCH($C182,EL_List,0)-1)*-10)-1,0),MSP!$C:$C,0)+MATCH($C182,EL_List,0)-1,0)
*INDEX(Learning!$E$6:$S$41,(MATCH(O$21,Dates,0)),(MATCH($C$151,Learning!$E$4:$S$4,0)+MATCH($C$182,Learning!$E$5:$S$5,0)-1))</f>
        <v>12.078951713505715</v>
      </c>
      <c r="P187" s="532" cm="1">
        <f t="array" aca="1" ref="P187" ca="1">OFFSET(P187,-3,0)*
OFFSET(MSP!$D$1,
MATCH(OFFSET($C182,((MATCH($C182,EL_List,0)-1)*-10)-1,0),MSP!$C:$C,0)+MATCH($C182,EL_List,0)-1,0)
*INDEX(Learning!$E$6:$S$41,(MATCH(P$21,Dates,0)),(MATCH($C$151,Learning!$E$4:$S$4,0)+MATCH($C$182,Learning!$E$5:$S$5,0)-1))</f>
        <v>12.621864017963439</v>
      </c>
      <c r="Q187" s="532" cm="1">
        <f t="array" aca="1" ref="Q187" ca="1">OFFSET(Q187,-3,0)*
OFFSET(MSP!$D$1,
MATCH(OFFSET($C182,((MATCH($C182,EL_List,0)-1)*-10)-1,0),MSP!$C:$C,0)+MATCH($C182,EL_List,0)-1,0)
*INDEX(Learning!$E$6:$S$41,(MATCH(Q$21,Dates,0)),(MATCH($C$151,Learning!$E$4:$S$4,0)+MATCH($C$182,Learning!$E$5:$S$5,0)-1))</f>
        <v>13.184341755977343</v>
      </c>
      <c r="R187" s="532" cm="1">
        <f t="array" aca="1" ref="R187" ca="1">OFFSET(R187,-3,0)*
OFFSET(MSP!$D$1,
MATCH(OFFSET($C182,((MATCH($C182,EL_List,0)-1)*-10)-1,0),MSP!$C:$C,0)+MATCH($C182,EL_List,0)-1,0)
*INDEX(Learning!$E$6:$S$41,(MATCH(R$21,Dates,0)),(MATCH($C$151,Learning!$E$4:$S$4,0)+MATCH($C$182,Learning!$E$5:$S$5,0)-1))</f>
        <v>13.770389630431341</v>
      </c>
      <c r="S187" s="532" cm="1">
        <f t="array" aca="1" ref="S187" ca="1">OFFSET(S187,-3,0)*
OFFSET(MSP!$D$1,
MATCH(OFFSET($C182,((MATCH($C182,EL_List,0)-1)*-10)-1,0),MSP!$C:$C,0)+MATCH($C182,EL_List,0)-1,0)
*INDEX(Learning!$E$6:$S$41,(MATCH(S$21,Dates,0)),(MATCH($C$151,Learning!$E$4:$S$4,0)+MATCH($C$182,Learning!$E$5:$S$5,0)-1))</f>
        <v>14.383221702958416</v>
      </c>
      <c r="T187" s="532" cm="1">
        <f t="array" aca="1" ref="T187" ca="1">OFFSET(T187,-3,0)*
OFFSET(MSP!$D$1,
MATCH(OFFSET($C182,((MATCH($C182,EL_List,0)-1)*-10)-1,0),MSP!$C:$C,0)+MATCH($C182,EL_List,0)-1,0)
*INDEX(Learning!$E$6:$S$41,(MATCH(T$21,Dates,0)),(MATCH($C$151,Learning!$E$4:$S$4,0)+MATCH($C$182,Learning!$E$5:$S$5,0)-1))</f>
        <v>15.040395401906913</v>
      </c>
      <c r="U187" s="532" cm="1">
        <f t="array" aca="1" ref="U187" ca="1">OFFSET(U187,-3,0)*
OFFSET(MSP!$D$1,
MATCH(OFFSET($C182,((MATCH($C182,EL_List,0)-1)*-10)-1,0),MSP!$C:$C,0)+MATCH($C182,EL_List,0)-1,0)
*INDEX(Learning!$E$6:$S$41,(MATCH(U$21,Dates,0)),(MATCH($C$151,Learning!$E$4:$S$4,0)+MATCH($C$182,Learning!$E$5:$S$5,0)-1))</f>
        <v>15.713171512211311</v>
      </c>
      <c r="V187" s="532" cm="1">
        <f t="array" aca="1" ref="V187" ca="1">OFFSET(V187,-3,0)*
OFFSET(MSP!$D$1,
MATCH(OFFSET($C182,((MATCH($C182,EL_List,0)-1)*-10)-1,0),MSP!$C:$C,0)+MATCH($C182,EL_List,0)-1,0)
*INDEX(Learning!$E$6:$S$41,(MATCH(V$21,Dates,0)),(MATCH($C$151,Learning!$E$4:$S$4,0)+MATCH($C$182,Learning!$E$5:$S$5,0)-1))</f>
        <v>16.431851027720604</v>
      </c>
      <c r="W187" s="532" cm="1">
        <f t="array" aca="1" ref="W187" ca="1">OFFSET(W187,-3,0)*
OFFSET(MSP!$D$1,
MATCH(OFFSET($C182,((MATCH($C182,EL_List,0)-1)*-10)-1,0),MSP!$C:$C,0)+MATCH($C182,EL_List,0)-1,0)
*INDEX(Learning!$E$6:$S$41,(MATCH(W$21,Dates,0)),(MATCH($C$151,Learning!$E$4:$S$4,0)+MATCH($C$182,Learning!$E$5:$S$5,0)-1))</f>
        <v>17.164320392713066</v>
      </c>
      <c r="X187" s="532" cm="1">
        <f t="array" aca="1" ref="X187" ca="1">OFFSET(X187,-3,0)*
OFFSET(MSP!$D$1,
MATCH(OFFSET($C182,((MATCH($C182,EL_List,0)-1)*-10)-1,0),MSP!$C:$C,0)+MATCH($C182,EL_List,0)-1,0)
*INDEX(Learning!$E$6:$S$41,(MATCH(X$21,Dates,0)),(MATCH($C$151,Learning!$E$4:$S$4,0)+MATCH($C$182,Learning!$E$5:$S$5,0)-1))</f>
        <v>17.946678273937774</v>
      </c>
      <c r="Y187" s="532" cm="1">
        <f t="array" aca="1" ref="Y187" ca="1">OFFSET(Y187,-3,0)*
OFFSET(MSP!$D$1,
MATCH(OFFSET($C182,((MATCH($C182,EL_List,0)-1)*-10)-1,0),MSP!$C:$C,0)+MATCH($C182,EL_List,0)-1,0)
*INDEX(Learning!$E$6:$S$41,(MATCH(Y$21,Dates,0)),(MATCH($C$151,Learning!$E$4:$S$4,0)+MATCH($C$182,Learning!$E$5:$S$5,0)-1))</f>
        <v>18.762481199101408</v>
      </c>
      <c r="Z187" s="532" cm="1">
        <f t="array" aca="1" ref="Z187" ca="1">OFFSET(Z187,-3,0)*
OFFSET(MSP!$D$1,
MATCH(OFFSET($C182,((MATCH($C182,EL_List,0)-1)*-10)-1,0),MSP!$C:$C,0)+MATCH($C182,EL_List,0)-1,0)
*INDEX(Learning!$E$6:$S$41,(MATCH(Z$21,Dates,0)),(MATCH($C$151,Learning!$E$4:$S$4,0)+MATCH($C$182,Learning!$E$5:$S$5,0)-1))</f>
        <v>19.613141175450124</v>
      </c>
      <c r="AA187" s="532" cm="1">
        <f t="array" aca="1" ref="AA187" ca="1">OFFSET(AA187,-3,0)*
OFFSET(MSP!$D$1,
MATCH(OFFSET($C182,((MATCH($C182,EL_List,0)-1)*-10)-1,0),MSP!$C:$C,0)+MATCH($C182,EL_List,0)-1,0)
*INDEX(Learning!$E$6:$S$41,(MATCH(AA$21,Dates,0)),(MATCH($C$151,Learning!$E$4:$S$4,0)+MATCH($C$182,Learning!$E$5:$S$5,0)-1))</f>
        <v>20.500332850034546</v>
      </c>
      <c r="AB187" s="532" cm="1">
        <f t="array" aca="1" ref="AB187" ca="1">OFFSET(AB187,-3,0)*
OFFSET(MSP!$D$1,
MATCH(OFFSET($C182,((MATCH($C182,EL_List,0)-1)*-10)-1,0),MSP!$C:$C,0)+MATCH($C182,EL_List,0)-1,0)
*INDEX(Learning!$E$6:$S$41,(MATCH(AB$21,Dates,0)),(MATCH($C$151,Learning!$E$4:$S$4,0)+MATCH($C$182,Learning!$E$5:$S$5,0)-1))</f>
        <v>21.426016465620229</v>
      </c>
      <c r="AC187" s="532" cm="1">
        <f t="array" aca="1" ref="AC187" ca="1">OFFSET(AC187,-3,0)*
OFFSET(MSP!$D$1,
MATCH(OFFSET($C182,((MATCH($C182,EL_List,0)-1)*-10)-1,0),MSP!$C:$C,0)+MATCH($C182,EL_List,0)-1,0)
*INDEX(Learning!$E$6:$S$41,(MATCH(AC$21,Dates,0)),(MATCH($C$151,Learning!$E$4:$S$4,0)+MATCH($C$182,Learning!$E$5:$S$5,0)-1))</f>
        <v>22.392133682645714</v>
      </c>
      <c r="AD187" s="532" cm="1">
        <f t="array" aca="1" ref="AD187" ca="1">OFFSET(AD187,-3,0)*
OFFSET(MSP!$D$1,
MATCH(OFFSET($C182,((MATCH($C182,EL_List,0)-1)*-10)-1,0),MSP!$C:$C,0)+MATCH($C182,EL_List,0)-1,0)
*INDEX(Learning!$E$6:$S$41,(MATCH(AD$21,Dates,0)),(MATCH($C$151,Learning!$E$4:$S$4,0)+MATCH($C$182,Learning!$E$5:$S$5,0)-1))</f>
        <v>23.400595765098423</v>
      </c>
      <c r="AE187" s="532" cm="1">
        <f t="array" aca="1" ref="AE187" ca="1">OFFSET(AE187,-3,0)*
OFFSET(MSP!$D$1,
MATCH(OFFSET($C182,((MATCH($C182,EL_List,0)-1)*-10)-1,0),MSP!$C:$C,0)+MATCH($C182,EL_List,0)-1,0)
*INDEX(Learning!$E$6:$S$41,(MATCH(AE$21,Dates,0)),(MATCH($C$151,Learning!$E$4:$S$4,0)+MATCH($C$182,Learning!$E$5:$S$5,0)-1))</f>
        <v>24.453269678798414</v>
      </c>
      <c r="AF187" s="532" cm="1">
        <f t="array" aca="1" ref="AF187" ca="1">OFFSET(AF187,-3,0)*
OFFSET(MSP!$D$1,
MATCH(OFFSET($C182,((MATCH($C182,EL_List,0)-1)*-10)-1,0),MSP!$C:$C,0)+MATCH($C182,EL_List,0)-1,0)
*INDEX(Learning!$E$6:$S$41,(MATCH(AF$21,Dates,0)),(MATCH($C$151,Learning!$E$4:$S$4,0)+MATCH($C$182,Learning!$E$5:$S$5,0)-1))</f>
        <v>25.552002607247655</v>
      </c>
      <c r="AG187" s="532" cm="1">
        <f t="array" aca="1" ref="AG187" ca="1">OFFSET(AG187,-3,0)*
OFFSET(MSP!$D$1,
MATCH(OFFSET($C182,((MATCH($C182,EL_List,0)-1)*-10)-1,0),MSP!$C:$C,0)+MATCH($C182,EL_List,0)-1,0)
*INDEX(Learning!$E$6:$S$41,(MATCH(AG$21,Dates,0)),(MATCH($C$151,Learning!$E$4:$S$4,0)+MATCH($C$182,Learning!$E$5:$S$5,0)-1))</f>
        <v>26.728340707764861</v>
      </c>
      <c r="AH187" s="532" cm="1">
        <f t="array" aca="1" ref="AH187" ca="1">OFFSET(AH187,-3,0)*
OFFSET(MSP!$D$1,
MATCH(OFFSET($C182,((MATCH($C182,EL_List,0)-1)*-10)-1,0),MSP!$C:$C,0)+MATCH($C182,EL_List,0)-1,0)
*INDEX(Learning!$E$6:$S$41,(MATCH(AH$21,Dates,0)),(MATCH($C$151,Learning!$E$4:$S$4,0)+MATCH($C$182,Learning!$E$5:$S$5,0)-1))</f>
        <v>27.926383065628851</v>
      </c>
      <c r="AI187" s="532" cm="1">
        <f t="array" aca="1" ref="AI187" ca="1">OFFSET(AI187,-3,0)*
OFFSET(MSP!$D$1,
MATCH(OFFSET($C182,((MATCH($C182,EL_List,0)-1)*-10)-1,0),MSP!$C:$C,0)+MATCH($C182,EL_List,0)-1,0)
*INDEX(Learning!$E$6:$S$41,(MATCH(AI$21,Dates,0)),(MATCH($C$151,Learning!$E$4:$S$4,0)+MATCH($C$182,Learning!$E$5:$S$5,0)-1))</f>
        <v>29.176474305287137</v>
      </c>
      <c r="AJ187" s="532" cm="1">
        <f t="array" aca="1" ref="AJ187" ca="1">OFFSET(AJ187,-3,0)*
OFFSET(MSP!$D$1,
MATCH(OFFSET($C182,((MATCH($C182,EL_List,0)-1)*-10)-1,0),MSP!$C:$C,0)+MATCH($C182,EL_List,0)-1,0)
*INDEX(Learning!$E$6:$S$41,(MATCH(AJ$21,Dates,0)),(MATCH($C$151,Learning!$E$4:$S$4,0)+MATCH($C$182,Learning!$E$5:$S$5,0)-1))</f>
        <v>30.515110923199146</v>
      </c>
      <c r="AK187" s="532" cm="1">
        <f t="array" aca="1" ref="AK187" ca="1">OFFSET(AK187,-3,0)*
OFFSET(MSP!$D$1,
MATCH(OFFSET($C182,((MATCH($C182,EL_List,0)-1)*-10)-1,0),MSP!$C:$C,0)+MATCH($C182,EL_List,0)-1,0)
*INDEX(Learning!$E$6:$S$41,(MATCH(AK$21,Dates,0)),(MATCH($C$151,Learning!$E$4:$S$4,0)+MATCH($C$182,Learning!$E$5:$S$5,0)-1))</f>
        <v>31.877750613529148</v>
      </c>
      <c r="AL187" s="532" cm="1">
        <f t="array" aca="1" ref="AL187" ca="1">OFFSET(AL187,-3,0)*
OFFSET(MSP!$D$1,
MATCH(OFFSET($C182,((MATCH($C182,EL_List,0)-1)*-10)-1,0),MSP!$C:$C,0)+MATCH($C182,EL_List,0)-1,0)
*INDEX(Learning!$E$6:$S$41,(MATCH(AL$21,Dates,0)),(MATCH($C$151,Learning!$E$4:$S$4,0)+MATCH($C$182,Learning!$E$5:$S$5,0)-1))</f>
        <v>33.337280729213958</v>
      </c>
      <c r="AM187" s="532" cm="1">
        <f t="array" aca="1" ref="AM187" ca="1">OFFSET(AM187,-3,0)*
OFFSET(MSP!$D$1,
MATCH(OFFSET($C182,((MATCH($C182,EL_List,0)-1)*-10)-1,0),MSP!$C:$C,0)+MATCH($C182,EL_List,0)-1,0)
*INDEX(Learning!$E$6:$S$41,(MATCH(AM$21,Dates,0)),(MATCH($C$151,Learning!$E$4:$S$4,0)+MATCH($C$182,Learning!$E$5:$S$5,0)-1))</f>
        <v>34.822624675143459</v>
      </c>
      <c r="AN187" s="532" cm="1">
        <f t="array" aca="1" ref="AN187" ca="1">OFFSET(AN187,-3,0)*
OFFSET(MSP!$D$1,
MATCH(OFFSET($C182,((MATCH($C182,EL_List,0)-1)*-10)-1,0),MSP!$C:$C,0)+MATCH($C182,EL_List,0)-1,0)
*INDEX(Learning!$E$6:$S$41,(MATCH(AN$21,Dates,0)),(MATCH($C$151,Learning!$E$4:$S$4,0)+MATCH($C$182,Learning!$E$5:$S$5,0)-1))</f>
        <v>36.399096237143567</v>
      </c>
      <c r="AO187" s="436"/>
      <c r="AP187" s="21"/>
    </row>
    <row r="188" spans="2:42" ht="15" customHeight="1" x14ac:dyDescent="0.35">
      <c r="B188" s="429"/>
      <c r="C188" s="777" t="s">
        <v>213</v>
      </c>
      <c r="D188" s="776"/>
      <c r="E188" s="533" cm="1">
        <f t="array" aca="1" ref="E188" ca="1">OFFSET(E188,-4,0)*
OFFSET(MSP!$E$1,
MATCH(OFFSET($C182,((MATCH($C182,EL_List,0)-1)*-10)-1,0),MSP!$C:$C,0)+MATCH($C182,EL_List,0)-1,0)
*INDEX(Learning!$E$6:$S$41,(MATCH(E$21,Dates,0)),(MATCH($C$151,Learning!$E$4:$S$4,0)+MATCH($C$182,Learning!$E$5:$S$5,0)-1))</f>
        <v>0.28677981428761085</v>
      </c>
      <c r="F188" s="533" cm="1">
        <f t="array" aca="1" ref="F188" ca="1">OFFSET(F188,-4,0)*
OFFSET(MSP!$E$1,
MATCH(OFFSET($C182,((MATCH($C182,EL_List,0)-1)*-10)-1,0),MSP!$C:$C,0)+MATCH($C182,EL_List,0)-1,0)
*INDEX(Learning!$E$6:$S$41,(MATCH(F$21,Dates,0)),(MATCH($C$151,Learning!$E$4:$S$4,0)+MATCH($C$182,Learning!$E$5:$S$5,0)-1))</f>
        <v>0.29729954553953825</v>
      </c>
      <c r="G188" s="533" cm="1">
        <f t="array" aca="1" ref="G188" ca="1">OFFSET(G188,-4,0)*
OFFSET(MSP!$E$1,
MATCH(OFFSET($C182,((MATCH($C182,EL_List,0)-1)*-10)-1,0),MSP!$C:$C,0)+MATCH($C182,EL_List,0)-1,0)
*INDEX(Learning!$E$6:$S$41,(MATCH(G$21,Dates,0)),(MATCH($C$151,Learning!$E$4:$S$4,0)+MATCH($C$182,Learning!$E$5:$S$5,0)-1))</f>
        <v>0.3066092718049756</v>
      </c>
      <c r="H188" s="533" cm="1">
        <f t="array" aca="1" ref="H188" ca="1">OFFSET(H188,-4,0)*
OFFSET(MSP!$E$1,
MATCH(OFFSET($C182,((MATCH($C182,EL_List,0)-1)*-10)-1,0),MSP!$C:$C,0)+MATCH($C182,EL_List,0)-1,0)
*INDEX(Learning!$E$6:$S$41,(MATCH(H$21,Dates,0)),(MATCH($C$151,Learning!$E$4:$S$4,0)+MATCH($C$182,Learning!$E$5:$S$5,0)-1))</f>
        <v>0.31912948801052049</v>
      </c>
      <c r="I188" s="533" cm="1">
        <f t="array" aca="1" ref="I188" ca="1">OFFSET(I188,-4,0)*
OFFSET(MSP!$E$1,
MATCH(OFFSET($C182,((MATCH($C182,EL_List,0)-1)*-10)-1,0),MSP!$C:$C,0)+MATCH($C182,EL_List,0)-1,0)
*INDEX(Learning!$E$6:$S$41,(MATCH(I$21,Dates,0)),(MATCH($C$151,Learning!$E$4:$S$4,0)+MATCH($C$182,Learning!$E$5:$S$5,0)-1))</f>
        <v>0.33219213835132527</v>
      </c>
      <c r="J188" s="533" cm="1">
        <f t="array" aca="1" ref="J188" ca="1">OFFSET(J188,-4,0)*
OFFSET(MSP!$E$1,
MATCH(OFFSET($C182,((MATCH($C182,EL_List,0)-1)*-10)-1,0),MSP!$C:$C,0)+MATCH($C182,EL_List,0)-1,0)
*INDEX(Learning!$E$6:$S$41,(MATCH(J$21,Dates,0)),(MATCH($C$151,Learning!$E$4:$S$4,0)+MATCH($C$182,Learning!$E$5:$S$5,0)-1))</f>
        <v>0.34700498182567152</v>
      </c>
      <c r="K188" s="533" cm="1">
        <f t="array" aca="1" ref="K188" ca="1">OFFSET(K188,-4,0)*
OFFSET(MSP!$E$1,
MATCH(OFFSET($C182,((MATCH($C182,EL_List,0)-1)*-10)-1,0),MSP!$C:$C,0)+MATCH($C182,EL_List,0)-1,0)
*INDEX(Learning!$E$6:$S$41,(MATCH(K$21,Dates,0)),(MATCH($C$151,Learning!$E$4:$S$4,0)+MATCH($C$182,Learning!$E$5:$S$5,0)-1))</f>
        <v>0.36302966670091968</v>
      </c>
      <c r="L188" s="533" cm="1">
        <f t="array" aca="1" ref="L188" ca="1">OFFSET(L188,-4,0)*
OFFSET(MSP!$E$1,
MATCH(OFFSET($C182,((MATCH($C182,EL_List,0)-1)*-10)-1,0),MSP!$C:$C,0)+MATCH($C182,EL_List,0)-1,0)
*INDEX(Learning!$E$6:$S$41,(MATCH(L$21,Dates,0)),(MATCH($C$151,Learning!$E$4:$S$4,0)+MATCH($C$182,Learning!$E$5:$S$5,0)-1))</f>
        <v>0.37994803701056074</v>
      </c>
      <c r="M188" s="533" cm="1">
        <f t="array" aca="1" ref="M188" ca="1">OFFSET(M188,-4,0)*
OFFSET(MSP!$E$1,
MATCH(OFFSET($C182,((MATCH($C182,EL_List,0)-1)*-10)-1,0),MSP!$C:$C,0)+MATCH($C182,EL_List,0)-1,0)
*INDEX(Learning!$E$6:$S$41,(MATCH(M$21,Dates,0)),(MATCH($C$151,Learning!$E$4:$S$4,0)+MATCH($C$182,Learning!$E$5:$S$5,0)-1))</f>
        <v>0.39791525091480728</v>
      </c>
      <c r="N188" s="533" cm="1">
        <f t="array" aca="1" ref="N188" ca="1">OFFSET(N188,-4,0)*
OFFSET(MSP!$E$1,
MATCH(OFFSET($C182,((MATCH($C182,EL_List,0)-1)*-10)-1,0),MSP!$C:$C,0)+MATCH($C182,EL_List,0)-1,0)
*INDEX(Learning!$E$6:$S$41,(MATCH(N$21,Dates,0)),(MATCH($C$151,Learning!$E$4:$S$4,0)+MATCH($C$182,Learning!$E$5:$S$5,0)-1))</f>
        <v>0.41598111525990539</v>
      </c>
      <c r="O188" s="533" cm="1">
        <f t="array" aca="1" ref="O188" ca="1">OFFSET(O188,-4,0)*
OFFSET(MSP!$E$1,
MATCH(OFFSET($C182,((MATCH($C182,EL_List,0)-1)*-10)-1,0),MSP!$C:$C,0)+MATCH($C182,EL_List,0)-1,0)
*INDEX(Learning!$E$6:$S$41,(MATCH(O$21,Dates,0)),(MATCH($C$151,Learning!$E$4:$S$4,0)+MATCH($C$182,Learning!$E$5:$S$5,0)-1))</f>
        <v>0.43495059373502987</v>
      </c>
      <c r="P188" s="533" cm="1">
        <f t="array" aca="1" ref="P188" ca="1">OFFSET(P188,-4,0)*
OFFSET(MSP!$E$1,
MATCH(OFFSET($C182,((MATCH($C182,EL_List,0)-1)*-10)-1,0),MSP!$C:$C,0)+MATCH($C182,EL_List,0)-1,0)
*INDEX(Learning!$E$6:$S$41,(MATCH(P$21,Dates,0)),(MATCH($C$151,Learning!$E$4:$S$4,0)+MATCH($C$182,Learning!$E$5:$S$5,0)-1))</f>
        <v>0.45450030589307311</v>
      </c>
      <c r="Q188" s="533" cm="1">
        <f t="array" aca="1" ref="Q188" ca="1">OFFSET(Q188,-4,0)*
OFFSET(MSP!$E$1,
MATCH(OFFSET($C182,((MATCH($C182,EL_List,0)-1)*-10)-1,0),MSP!$C:$C,0)+MATCH($C182,EL_List,0)-1,0)
*INDEX(Learning!$E$6:$S$41,(MATCH(Q$21,Dates,0)),(MATCH($C$151,Learning!$E$4:$S$4,0)+MATCH($C$182,Learning!$E$5:$S$5,0)-1))</f>
        <v>0.47475454913492132</v>
      </c>
      <c r="R188" s="533" cm="1">
        <f t="array" aca="1" ref="R188" ca="1">OFFSET(R188,-4,0)*
OFFSET(MSP!$E$1,
MATCH(OFFSET($C182,((MATCH($C182,EL_List,0)-1)*-10)-1,0),MSP!$C:$C,0)+MATCH($C182,EL_List,0)-1,0)
*INDEX(Learning!$E$6:$S$41,(MATCH(R$21,Dates,0)),(MATCH($C$151,Learning!$E$4:$S$4,0)+MATCH($C$182,Learning!$E$5:$S$5,0)-1))</f>
        <v>0.49585752868122651</v>
      </c>
      <c r="S188" s="533" cm="1">
        <f t="array" aca="1" ref="S188" ca="1">OFFSET(S188,-4,0)*
OFFSET(MSP!$E$1,
MATCH(OFFSET($C182,((MATCH($C182,EL_List,0)-1)*-10)-1,0),MSP!$C:$C,0)+MATCH($C182,EL_List,0)-1,0)
*INDEX(Learning!$E$6:$S$41,(MATCH(S$21,Dates,0)),(MATCH($C$151,Learning!$E$4:$S$4,0)+MATCH($C$182,Learning!$E$5:$S$5,0)-1))</f>
        <v>0.51792497957661199</v>
      </c>
      <c r="T188" s="533" cm="1">
        <f t="array" aca="1" ref="T188" ca="1">OFFSET(T188,-4,0)*
OFFSET(MSP!$E$1,
MATCH(OFFSET($C182,((MATCH($C182,EL_List,0)-1)*-10)-1,0),MSP!$C:$C,0)+MATCH($C182,EL_List,0)-1,0)
*INDEX(Learning!$E$6:$S$41,(MATCH(T$21,Dates,0)),(MATCH($C$151,Learning!$E$4:$S$4,0)+MATCH($C$182,Learning!$E$5:$S$5,0)-1))</f>
        <v>0.54158912670827863</v>
      </c>
      <c r="U188" s="533" cm="1">
        <f t="array" aca="1" ref="U188" ca="1">OFFSET(U188,-4,0)*
OFFSET(MSP!$E$1,
MATCH(OFFSET($C182,((MATCH($C182,EL_List,0)-1)*-10)-1,0),MSP!$C:$C,0)+MATCH($C182,EL_List,0)-1,0)
*INDEX(Learning!$E$6:$S$41,(MATCH(U$21,Dates,0)),(MATCH($C$151,Learning!$E$4:$S$4,0)+MATCH($C$182,Learning!$E$5:$S$5,0)-1))</f>
        <v>0.56581510058152873</v>
      </c>
      <c r="V188" s="533" cm="1">
        <f t="array" aca="1" ref="V188" ca="1">OFFSET(V188,-4,0)*
OFFSET(MSP!$E$1,
MATCH(OFFSET($C182,((MATCH($C182,EL_List,0)-1)*-10)-1,0),MSP!$C:$C,0)+MATCH($C182,EL_List,0)-1,0)
*INDEX(Learning!$E$6:$S$41,(MATCH(V$21,Dates,0)),(MATCH($C$151,Learning!$E$4:$S$4,0)+MATCH($C$182,Learning!$E$5:$S$5,0)-1))</f>
        <v>0.59169400873433309</v>
      </c>
      <c r="W188" s="533" cm="1">
        <f t="array" aca="1" ref="W188" ca="1">OFFSET(W188,-4,0)*
OFFSET(MSP!$E$1,
MATCH(OFFSET($C182,((MATCH($C182,EL_List,0)-1)*-10)-1,0),MSP!$C:$C,0)+MATCH($C182,EL_List,0)-1,0)
*INDEX(Learning!$E$6:$S$41,(MATCH(W$21,Dates,0)),(MATCH($C$151,Learning!$E$4:$S$4,0)+MATCH($C$182,Learning!$E$5:$S$5,0)-1))</f>
        <v>0.61806947514504562</v>
      </c>
      <c r="X188" s="533" cm="1">
        <f t="array" aca="1" ref="X188" ca="1">OFFSET(X188,-4,0)*
OFFSET(MSP!$E$1,
MATCH(OFFSET($C182,((MATCH($C182,EL_List,0)-1)*-10)-1,0),MSP!$C:$C,0)+MATCH($C182,EL_List,0)-1,0)
*INDEX(Learning!$E$6:$S$41,(MATCH(X$21,Dates,0)),(MATCH($C$151,Learning!$E$4:$S$4,0)+MATCH($C$182,Learning!$E$5:$S$5,0)-1))</f>
        <v>0.64624137557341532</v>
      </c>
      <c r="Y188" s="533" cm="1">
        <f t="array" aca="1" ref="Y188" ca="1">OFFSET(Y188,-4,0)*
OFFSET(MSP!$E$1,
MATCH(OFFSET($C182,((MATCH($C182,EL_List,0)-1)*-10)-1,0),MSP!$C:$C,0)+MATCH($C182,EL_List,0)-1,0)
*INDEX(Learning!$E$6:$S$41,(MATCH(Y$21,Dates,0)),(MATCH($C$151,Learning!$E$4:$S$4,0)+MATCH($C$182,Learning!$E$5:$S$5,0)-1))</f>
        <v>0.67561759754091844</v>
      </c>
      <c r="Z188" s="533" cm="1">
        <f t="array" aca="1" ref="Z188" ca="1">OFFSET(Z188,-4,0)*
OFFSET(MSP!$E$1,
MATCH(OFFSET($C182,((MATCH($C182,EL_List,0)-1)*-10)-1,0),MSP!$C:$C,0)+MATCH($C182,EL_List,0)-1,0)
*INDEX(Learning!$E$6:$S$41,(MATCH(Z$21,Dates,0)),(MATCH($C$151,Learning!$E$4:$S$4,0)+MATCH($C$182,Learning!$E$5:$S$5,0)-1))</f>
        <v>0.70624898597223429</v>
      </c>
      <c r="AA188" s="533" cm="1">
        <f t="array" aca="1" ref="AA188" ca="1">OFFSET(AA188,-4,0)*
OFFSET(MSP!$E$1,
MATCH(OFFSET($C182,((MATCH($C182,EL_List,0)-1)*-10)-1,0),MSP!$C:$C,0)+MATCH($C182,EL_List,0)-1,0)
*INDEX(Learning!$E$6:$S$41,(MATCH(AA$21,Dates,0)),(MATCH($C$151,Learning!$E$4:$S$4,0)+MATCH($C$182,Learning!$E$5:$S$5,0)-1))</f>
        <v>0.73819584318053033</v>
      </c>
      <c r="AB188" s="533" cm="1">
        <f t="array" aca="1" ref="AB188" ca="1">OFFSET(AB188,-4,0)*
OFFSET(MSP!$E$1,
MATCH(OFFSET($C182,((MATCH($C182,EL_List,0)-1)*-10)-1,0),MSP!$C:$C,0)+MATCH($C182,EL_List,0)-1,0)
*INDEX(Learning!$E$6:$S$41,(MATCH(AB$21,Dates,0)),(MATCH($C$151,Learning!$E$4:$S$4,0)+MATCH($C$182,Learning!$E$5:$S$5,0)-1))</f>
        <v>0.77152875548612365</v>
      </c>
      <c r="AC188" s="533" cm="1">
        <f t="array" aca="1" ref="AC188" ca="1">OFFSET(AC188,-4,0)*
OFFSET(MSP!$E$1,
MATCH(OFFSET($C182,((MATCH($C182,EL_List,0)-1)*-10)-1,0),MSP!$C:$C,0)+MATCH($C182,EL_List,0)-1,0)
*INDEX(Learning!$E$6:$S$41,(MATCH(AC$21,Dates,0)),(MATCH($C$151,Learning!$E$4:$S$4,0)+MATCH($C$182,Learning!$E$5:$S$5,0)-1))</f>
        <v>0.80631764007890006</v>
      </c>
      <c r="AD188" s="533" cm="1">
        <f t="array" aca="1" ref="AD188" ca="1">OFFSET(AD188,-4,0)*
OFFSET(MSP!$E$1,
MATCH(OFFSET($C182,((MATCH($C182,EL_List,0)-1)*-10)-1,0),MSP!$C:$C,0)+MATCH($C182,EL_List,0)-1,0)
*INDEX(Learning!$E$6:$S$41,(MATCH(AD$21,Dates,0)),(MATCH($C$151,Learning!$E$4:$S$4,0)+MATCH($C$182,Learning!$E$5:$S$5,0)-1))</f>
        <v>0.84263131960388948</v>
      </c>
      <c r="AE188" s="533" cm="1">
        <f t="array" aca="1" ref="AE188" ca="1">OFFSET(AE188,-4,0)*
OFFSET(MSP!$E$1,
MATCH(OFFSET($C182,((MATCH($C182,EL_List,0)-1)*-10)-1,0),MSP!$C:$C,0)+MATCH($C182,EL_List,0)-1,0)
*INDEX(Learning!$E$6:$S$41,(MATCH(AE$21,Dates,0)),(MATCH($C$151,Learning!$E$4:$S$4,0)+MATCH($C$182,Learning!$E$5:$S$5,0)-1))</f>
        <v>0.88053702157480196</v>
      </c>
      <c r="AF188" s="533" cm="1">
        <f t="array" aca="1" ref="AF188" ca="1">OFFSET(AF188,-4,0)*
OFFSET(MSP!$E$1,
MATCH(OFFSET($C182,((MATCH($C182,EL_List,0)-1)*-10)-1,0),MSP!$C:$C,0)+MATCH($C182,EL_List,0)-1,0)
*INDEX(Learning!$E$6:$S$41,(MATCH(AF$21,Dates,0)),(MATCH($C$151,Learning!$E$4:$S$4,0)+MATCH($C$182,Learning!$E$5:$S$5,0)-1))</f>
        <v>0.92010126116447433</v>
      </c>
      <c r="AG188" s="533" cm="1">
        <f t="array" aca="1" ref="AG188" ca="1">OFFSET(AG188,-4,0)*
OFFSET(MSP!$E$1,
MATCH(OFFSET($C182,((MATCH($C182,EL_List,0)-1)*-10)-1,0),MSP!$C:$C,0)+MATCH($C182,EL_List,0)-1,0)
*INDEX(Learning!$E$6:$S$41,(MATCH(AG$21,Dates,0)),(MATCH($C$151,Learning!$E$4:$S$4,0)+MATCH($C$182,Learning!$E$5:$S$5,0)-1))</f>
        <v>0.96245998296323887</v>
      </c>
      <c r="AH188" s="533" cm="1">
        <f t="array" aca="1" ref="AH188" ca="1">OFFSET(AH188,-4,0)*
OFFSET(MSP!$E$1,
MATCH(OFFSET($C182,((MATCH($C182,EL_List,0)-1)*-10)-1,0),MSP!$C:$C,0)+MATCH($C182,EL_List,0)-1,0)
*INDEX(Learning!$E$6:$S$41,(MATCH(AH$21,Dates,0)),(MATCH($C$151,Learning!$E$4:$S$4,0)+MATCH($C$182,Learning!$E$5:$S$5,0)-1))</f>
        <v>1.0056002526846597</v>
      </c>
      <c r="AI188" s="533" cm="1">
        <f t="array" aca="1" ref="AI188" ca="1">OFFSET(AI188,-4,0)*
OFFSET(MSP!$E$1,
MATCH(OFFSET($C182,((MATCH($C182,EL_List,0)-1)*-10)-1,0),MSP!$C:$C,0)+MATCH($C182,EL_List,0)-1,0)
*INDEX(Learning!$E$6:$S$41,(MATCH(AI$21,Dates,0)),(MATCH($C$151,Learning!$E$4:$S$4,0)+MATCH($C$182,Learning!$E$5:$S$5,0)-1))</f>
        <v>1.0506147489595625</v>
      </c>
      <c r="AJ188" s="533" cm="1">
        <f t="array" aca="1" ref="AJ188" ca="1">OFFSET(AJ188,-4,0)*
OFFSET(MSP!$E$1,
MATCH(OFFSET($C182,((MATCH($C182,EL_List,0)-1)*-10)-1,0),MSP!$C:$C,0)+MATCH($C182,EL_List,0)-1,0)
*INDEX(Learning!$E$6:$S$41,(MATCH(AJ$21,Dates,0)),(MATCH($C$151,Learning!$E$4:$S$4,0)+MATCH($C$182,Learning!$E$5:$S$5,0)-1))</f>
        <v>1.0988176729852679</v>
      </c>
      <c r="AK188" s="533" cm="1">
        <f t="array" aca="1" ref="AK188" ca="1">OFFSET(AK188,-4,0)*
OFFSET(MSP!$E$1,
MATCH(OFFSET($C182,((MATCH($C182,EL_List,0)-1)*-10)-1,0),MSP!$C:$C,0)+MATCH($C182,EL_List,0)-1,0)
*INDEX(Learning!$E$6:$S$41,(MATCH(AK$21,Dates,0)),(MATCH($C$151,Learning!$E$4:$S$4,0)+MATCH($C$182,Learning!$E$5:$S$5,0)-1))</f>
        <v>1.1478849228934915</v>
      </c>
      <c r="AL188" s="533" cm="1">
        <f t="array" aca="1" ref="AL188" ca="1">OFFSET(AL188,-4,0)*
OFFSET(MSP!$E$1,
MATCH(OFFSET($C182,((MATCH($C182,EL_List,0)-1)*-10)-1,0),MSP!$C:$C,0)+MATCH($C182,EL_List,0)-1,0)
*INDEX(Learning!$E$6:$S$41,(MATCH(AL$21,Dates,0)),(MATCH($C$151,Learning!$E$4:$S$4,0)+MATCH($C$182,Learning!$E$5:$S$5,0)-1))</f>
        <v>1.2004410970920734</v>
      </c>
      <c r="AM188" s="533" cm="1">
        <f t="array" aca="1" ref="AM188" ca="1">OFFSET(AM188,-4,0)*
OFFSET(MSP!$E$1,
MATCH(OFFSET($C182,((MATCH($C182,EL_List,0)-1)*-10)-1,0),MSP!$C:$C,0)+MATCH($C182,EL_List,0)-1,0)
*INDEX(Learning!$E$6:$S$41,(MATCH(AM$21,Dates,0)),(MATCH($C$151,Learning!$E$4:$S$4,0)+MATCH($C$182,Learning!$E$5:$S$5,0)-1))</f>
        <v>1.2539268006950115</v>
      </c>
      <c r="AN188" s="533" cm="1">
        <f t="array" aca="1" ref="AN188" ca="1">OFFSET(AN188,-4,0)*
OFFSET(MSP!$E$1,
MATCH(OFFSET($C182,((MATCH($C182,EL_List,0)-1)*-10)-1,0),MSP!$C:$C,0)+MATCH($C182,EL_List,0)-1,0)
*INDEX(Learning!$E$6:$S$41,(MATCH(AN$21,Dates,0)),(MATCH($C$151,Learning!$E$4:$S$4,0)+MATCH($C$182,Learning!$E$5:$S$5,0)-1))</f>
        <v>1.3106939157693813</v>
      </c>
      <c r="AO188" s="436"/>
      <c r="AP188" s="21"/>
    </row>
    <row r="189" spans="2:42" ht="15" customHeight="1" x14ac:dyDescent="0.35">
      <c r="B189" s="429"/>
      <c r="C189" s="777" t="s">
        <v>214</v>
      </c>
      <c r="D189" s="776"/>
      <c r="E189" s="533" cm="1">
        <f t="array" aca="1" ref="E189" ca="1">OFFSET(E189,-5,0)*
OFFSET(MSP!$F$1,
MATCH(OFFSET($C182,((MATCH($C182,EL_List,0)-1)*-10)-1,0),MSP!$C:$C,0)+MATCH($C182,EL_List,0)-1,0)
*INDEX(Learning!$E$6:$S$41,(MATCH(E$21,Dates,0)),(MATCH($C$151,Learning!$E$4:$S$4,0)+MATCH($C$182,Learning!$E$5:$S$5,0)-1))</f>
        <v>0.45616297457522603</v>
      </c>
      <c r="F189" s="533" cm="1">
        <f t="array" aca="1" ref="F189" ca="1">OFFSET(F189,-5,0)*
OFFSET(MSP!$F$1,
MATCH(OFFSET($C182,((MATCH($C182,EL_List,0)-1)*-10)-1,0),MSP!$C:$C,0)+MATCH($C182,EL_List,0)-1,0)
*INDEX(Learning!$E$6:$S$41,(MATCH(F$21,Dates,0)),(MATCH($C$151,Learning!$E$4:$S$4,0)+MATCH($C$182,Learning!$E$5:$S$5,0)-1))</f>
        <v>0.47289606268162448</v>
      </c>
      <c r="G189" s="533" cm="1">
        <f t="array" aca="1" ref="G189" ca="1">OFFSET(G189,-5,0)*
OFFSET(MSP!$F$1,
MATCH(OFFSET($C182,((MATCH($C182,EL_List,0)-1)*-10)-1,0),MSP!$C:$C,0)+MATCH($C182,EL_List,0)-1,0)
*INDEX(Learning!$E$6:$S$41,(MATCH(G$21,Dates,0)),(MATCH($C$151,Learning!$E$4:$S$4,0)+MATCH($C$182,Learning!$E$5:$S$5,0)-1))</f>
        <v>0.4877044704360976</v>
      </c>
      <c r="H189" s="533" cm="1">
        <f t="array" aca="1" ref="H189" ca="1">OFFSET(H189,-5,0)*
OFFSET(MSP!$F$1,
MATCH(OFFSET($C182,((MATCH($C182,EL_List,0)-1)*-10)-1,0),MSP!$C:$C,0)+MATCH($C182,EL_List,0)-1,0)
*INDEX(Learning!$E$6:$S$41,(MATCH(H$21,Dates,0)),(MATCH($C$151,Learning!$E$4:$S$4,0)+MATCH($C$182,Learning!$E$5:$S$5,0)-1))</f>
        <v>0.50761960665596584</v>
      </c>
      <c r="I189" s="533" cm="1">
        <f t="array" aca="1" ref="I189" ca="1">OFFSET(I189,-5,0)*
OFFSET(MSP!$F$1,
MATCH(OFFSET($C182,((MATCH($C182,EL_List,0)-1)*-10)-1,0),MSP!$C:$C,0)+MATCH($C182,EL_List,0)-1,0)
*INDEX(Learning!$E$6:$S$41,(MATCH(I$21,Dates,0)),(MATCH($C$151,Learning!$E$4:$S$4,0)+MATCH($C$182,Learning!$E$5:$S$5,0)-1))</f>
        <v>0.52839755942122446</v>
      </c>
      <c r="J189" s="533" cm="1">
        <f t="array" aca="1" ref="J189" ca="1">OFFSET(J189,-5,0)*
OFFSET(MSP!$F$1,
MATCH(OFFSET($C182,((MATCH($C182,EL_List,0)-1)*-10)-1,0),MSP!$C:$C,0)+MATCH($C182,EL_List,0)-1,0)
*INDEX(Learning!$E$6:$S$41,(MATCH(J$21,Dates,0)),(MATCH($C$151,Learning!$E$4:$S$4,0)+MATCH($C$182,Learning!$E$5:$S$5,0)-1))</f>
        <v>0.55195943652878954</v>
      </c>
      <c r="K189" s="533" cm="1">
        <f t="array" aca="1" ref="K189" ca="1">OFFSET(K189,-5,0)*
OFFSET(MSP!$F$1,
MATCH(OFFSET($C182,((MATCH($C182,EL_List,0)-1)*-10)-1,0),MSP!$C:$C,0)+MATCH($C182,EL_List,0)-1,0)
*INDEX(Learning!$E$6:$S$41,(MATCH(K$21,Dates,0)),(MATCH($C$151,Learning!$E$4:$S$4,0)+MATCH($C$182,Learning!$E$5:$S$5,0)-1))</f>
        <v>0.57744891505949525</v>
      </c>
      <c r="L189" s="533" cm="1">
        <f t="array" aca="1" ref="L189" ca="1">OFFSET(L189,-5,0)*
OFFSET(MSP!$F$1,
MATCH(OFFSET($C182,((MATCH($C182,EL_List,0)-1)*-10)-1,0),MSP!$C:$C,0)+MATCH($C182,EL_List,0)-1,0)
*INDEX(Learning!$E$6:$S$41,(MATCH(L$21,Dates,0)),(MATCH($C$151,Learning!$E$4:$S$4,0)+MATCH($C$182,Learning!$E$5:$S$5,0)-1))</f>
        <v>0.60435992392733395</v>
      </c>
      <c r="M189" s="533" cm="1">
        <f t="array" aca="1" ref="M189" ca="1">OFFSET(M189,-5,0)*
OFFSET(MSP!$F$1,
MATCH(OFFSET($C182,((MATCH($C182,EL_List,0)-1)*-10)-1,0),MSP!$C:$C,0)+MATCH($C182,EL_List,0)-1,0)
*INDEX(Learning!$E$6:$S$41,(MATCH(M$21,Dates,0)),(MATCH($C$151,Learning!$E$4:$S$4,0)+MATCH($C$182,Learning!$E$5:$S$5,0)-1))</f>
        <v>0.6329392636543999</v>
      </c>
      <c r="N189" s="533" cm="1">
        <f t="array" aca="1" ref="N189" ca="1">OFFSET(N189,-5,0)*
OFFSET(MSP!$F$1,
MATCH(OFFSET($C182,((MATCH($C182,EL_List,0)-1)*-10)-1,0),MSP!$C:$C,0)+MATCH($C182,EL_List,0)-1,0)
*INDEX(Learning!$E$6:$S$41,(MATCH(N$21,Dates,0)),(MATCH($C$151,Learning!$E$4:$S$4,0)+MATCH($C$182,Learning!$E$5:$S$5,0)-1))</f>
        <v>0.66167552055729184</v>
      </c>
      <c r="O189" s="533" cm="1">
        <f t="array" aca="1" ref="O189" ca="1">OFFSET(O189,-5,0)*
OFFSET(MSP!$F$1,
MATCH(OFFSET($C182,((MATCH($C182,EL_List,0)-1)*-10)-1,0),MSP!$C:$C,0)+MATCH($C182,EL_List,0)-1,0)
*INDEX(Learning!$E$6:$S$41,(MATCH(O$21,Dates,0)),(MATCH($C$151,Learning!$E$4:$S$4,0)+MATCH($C$182,Learning!$E$5:$S$5,0)-1))</f>
        <v>0.6918491007614942</v>
      </c>
      <c r="P189" s="533" cm="1">
        <f t="array" aca="1" ref="P189" ca="1">OFFSET(P189,-5,0)*
OFFSET(MSP!$F$1,
MATCH(OFFSET($C182,((MATCH($C182,EL_List,0)-1)*-10)-1,0),MSP!$C:$C,0)+MATCH($C182,EL_List,0)-1,0)
*INDEX(Learning!$E$6:$S$41,(MATCH(P$21,Dates,0)),(MATCH($C$151,Learning!$E$4:$S$4,0)+MATCH($C$182,Learning!$E$5:$S$5,0)-1))</f>
        <v>0.72294562292172826</v>
      </c>
      <c r="Q189" s="533" cm="1">
        <f t="array" aca="1" ref="Q189" ca="1">OFFSET(Q189,-5,0)*
OFFSET(MSP!$F$1,
MATCH(OFFSET($C182,((MATCH($C182,EL_List,0)-1)*-10)-1,0),MSP!$C:$C,0)+MATCH($C182,EL_List,0)-1,0)
*INDEX(Learning!$E$6:$S$41,(MATCH(Q$21,Dates,0)),(MATCH($C$151,Learning!$E$4:$S$4,0)+MATCH($C$182,Learning!$E$5:$S$5,0)-1))</f>
        <v>0.75516279925236662</v>
      </c>
      <c r="R189" s="533" cm="1">
        <f t="array" aca="1" ref="R189" ca="1">OFFSET(R189,-5,0)*
OFFSET(MSP!$F$1,
MATCH(OFFSET($C182,((MATCH($C182,EL_List,0)-1)*-10)-1,0),MSP!$C:$C,0)+MATCH($C182,EL_List,0)-1,0)
*INDEX(Learning!$E$6:$S$41,(MATCH(R$21,Dates,0)),(MATCH($C$151,Learning!$E$4:$S$4,0)+MATCH($C$182,Learning!$E$5:$S$5,0)-1))</f>
        <v>0.78873000810964122</v>
      </c>
      <c r="S189" s="533" cm="1">
        <f t="array" aca="1" ref="S189" ca="1">OFFSET(S189,-5,0)*
OFFSET(MSP!$F$1,
MATCH(OFFSET($C182,((MATCH($C182,EL_List,0)-1)*-10)-1,0),MSP!$C:$C,0)+MATCH($C182,EL_List,0)-1,0)
*INDEX(Learning!$E$6:$S$41,(MATCH(S$21,Dates,0)),(MATCH($C$151,Learning!$E$4:$S$4,0)+MATCH($C$182,Learning!$E$5:$S$5,0)-1))</f>
        <v>0.8238313420955693</v>
      </c>
      <c r="T189" s="533" cm="1">
        <f t="array" aca="1" ref="T189" ca="1">OFFSET(T189,-5,0)*
OFFSET(MSP!$F$1,
MATCH(OFFSET($C182,((MATCH($C182,EL_List,0)-1)*-10)-1,0),MSP!$C:$C,0)+MATCH($C182,EL_List,0)-1,0)
*INDEX(Learning!$E$6:$S$41,(MATCH(T$21,Dates,0)),(MATCH($C$151,Learning!$E$4:$S$4,0)+MATCH($C$182,Learning!$E$5:$S$5,0)-1))</f>
        <v>0.86147244237029363</v>
      </c>
      <c r="U189" s="533" cm="1">
        <f t="array" aca="1" ref="U189" ca="1">OFFSET(U189,-5,0)*
OFFSET(MSP!$F$1,
MATCH(OFFSET($C182,((MATCH($C182,EL_List,0)-1)*-10)-1,0),MSP!$C:$C,0)+MATCH($C182,EL_List,0)-1,0)
*INDEX(Learning!$E$6:$S$41,(MATCH(U$21,Dates,0)),(MATCH($C$151,Learning!$E$4:$S$4,0)+MATCH($C$182,Learning!$E$5:$S$5,0)-1))</f>
        <v>0.9000072058140014</v>
      </c>
      <c r="V189" s="533" cm="1">
        <f t="array" aca="1" ref="V189" ca="1">OFFSET(V189,-5,0)*
OFFSET(MSP!$F$1,
MATCH(OFFSET($C182,((MATCH($C182,EL_List,0)-1)*-10)-1,0),MSP!$C:$C,0)+MATCH($C182,EL_List,0)-1,0)
*INDEX(Learning!$E$6:$S$41,(MATCH(V$21,Dates,0)),(MATCH($C$151,Learning!$E$4:$S$4,0)+MATCH($C$182,Learning!$E$5:$S$5,0)-1))</f>
        <v>0.94117118993564208</v>
      </c>
      <c r="W189" s="533" cm="1">
        <f t="array" aca="1" ref="W189" ca="1">OFFSET(W189,-5,0)*
OFFSET(MSP!$F$1,
MATCH(OFFSET($C182,((MATCH($C182,EL_List,0)-1)*-10)-1,0),MSP!$C:$C,0)+MATCH($C182,EL_List,0)-1,0)
*INDEX(Learning!$E$6:$S$41,(MATCH(W$21,Dates,0)),(MATCH($C$151,Learning!$E$4:$S$4,0)+MATCH($C$182,Learning!$E$5:$S$5,0)-1))</f>
        <v>0.98312501867218349</v>
      </c>
      <c r="X189" s="533" cm="1">
        <f t="array" aca="1" ref="X189" ca="1">OFFSET(X189,-5,0)*
OFFSET(MSP!$F$1,
MATCH(OFFSET($C182,((MATCH($C182,EL_List,0)-1)*-10)-1,0),MSP!$C:$C,0)+MATCH($C182,EL_List,0)-1,0)
*INDEX(Learning!$E$6:$S$41,(MATCH(X$21,Dates,0)),(MATCH($C$151,Learning!$E$4:$S$4,0)+MATCH($C$182,Learning!$E$5:$S$5,0)-1))</f>
        <v>1.027936324275283</v>
      </c>
      <c r="Y189" s="533" cm="1">
        <f t="array" aca="1" ref="Y189" ca="1">OFFSET(Y189,-5,0)*
OFFSET(MSP!$F$1,
MATCH(OFFSET($C182,((MATCH($C182,EL_List,0)-1)*-10)-1,0),MSP!$C:$C,0)+MATCH($C182,EL_List,0)-1,0)
*INDEX(Learning!$E$6:$S$41,(MATCH(Y$21,Dates,0)),(MATCH($C$151,Learning!$E$4:$S$4,0)+MATCH($C$182,Learning!$E$5:$S$5,0)-1))</f>
        <v>1.0746632699209033</v>
      </c>
      <c r="Z189" s="533" cm="1">
        <f t="array" aca="1" ref="Z189" ca="1">OFFSET(Z189,-5,0)*
OFFSET(MSP!$F$1,
MATCH(OFFSET($C182,((MATCH($C182,EL_List,0)-1)*-10)-1,0),MSP!$C:$C,0)+MATCH($C182,EL_List,0)-1,0)
*INDEX(Learning!$E$6:$S$41,(MATCH(Z$21,Dates,0)),(MATCH($C$151,Learning!$E$4:$S$4,0)+MATCH($C$182,Learning!$E$5:$S$5,0)-1))</f>
        <v>1.1233867314968455</v>
      </c>
      <c r="AA189" s="533" cm="1">
        <f t="array" aca="1" ref="AA189" ca="1">OFFSET(AA189,-5,0)*
OFFSET(MSP!$F$1,
MATCH(OFFSET($C182,((MATCH($C182,EL_List,0)-1)*-10)-1,0),MSP!$C:$C,0)+MATCH($C182,EL_List,0)-1,0)
*INDEX(Learning!$E$6:$S$41,(MATCH(AA$21,Dates,0)),(MATCH($C$151,Learning!$E$4:$S$4,0)+MATCH($C$182,Learning!$E$5:$S$5,0)-1))</f>
        <v>1.1742026281758604</v>
      </c>
      <c r="AB189" s="533" cm="1">
        <f t="array" aca="1" ref="AB189" ca="1">OFFSET(AB189,-5,0)*
OFFSET(MSP!$F$1,
MATCH(OFFSET($C182,((MATCH($C182,EL_List,0)-1)*-10)-1,0),MSP!$C:$C,0)+MATCH($C182,EL_List,0)-1,0)
*INDEX(Learning!$E$6:$S$41,(MATCH(AB$21,Dates,0)),(MATCH($C$151,Learning!$E$4:$S$4,0)+MATCH($C$182,Learning!$E$5:$S$5,0)-1))</f>
        <v>1.2272232372670053</v>
      </c>
      <c r="AC189" s="533" cm="1">
        <f t="array" aca="1" ref="AC189" ca="1">OFFSET(AC189,-5,0)*
OFFSET(MSP!$F$1,
MATCH(OFFSET($C182,((MATCH($C182,EL_List,0)-1)*-10)-1,0),MSP!$C:$C,0)+MATCH($C182,EL_List,0)-1,0)
*INDEX(Learning!$E$6:$S$41,(MATCH(AC$21,Dates,0)),(MATCH($C$151,Learning!$E$4:$S$4,0)+MATCH($C$182,Learning!$E$5:$S$5,0)-1))</f>
        <v>1.2825597717348036</v>
      </c>
      <c r="AD189" s="533" cm="1">
        <f t="array" aca="1" ref="AD189" ca="1">OFFSET(AD189,-5,0)*
OFFSET(MSP!$F$1,
MATCH(OFFSET($C182,((MATCH($C182,EL_List,0)-1)*-10)-1,0),MSP!$C:$C,0)+MATCH($C182,EL_List,0)-1,0)
*INDEX(Learning!$E$6:$S$41,(MATCH(AD$21,Dates,0)),(MATCH($C$151,Learning!$E$4:$S$4,0)+MATCH($C$182,Learning!$E$5:$S$5,0)-1))</f>
        <v>1.3403217035187391</v>
      </c>
      <c r="AE189" s="533" cm="1">
        <f t="array" aca="1" ref="AE189" ca="1">OFFSET(AE189,-5,0)*
OFFSET(MSP!$F$1,
MATCH(OFFSET($C182,((MATCH($C182,EL_List,0)-1)*-10)-1,0),MSP!$C:$C,0)+MATCH($C182,EL_List,0)-1,0)
*INDEX(Learning!$E$6:$S$41,(MATCH(AE$21,Dates,0)),(MATCH($C$151,Learning!$E$4:$S$4,0)+MATCH($C$182,Learning!$E$5:$S$5,0)-1))</f>
        <v>1.4006159672812233</v>
      </c>
      <c r="AF189" s="533" cm="1">
        <f t="array" aca="1" ref="AF189" ca="1">OFFSET(AF189,-5,0)*
OFFSET(MSP!$F$1,
MATCH(OFFSET($C182,((MATCH($C182,EL_List,0)-1)*-10)-1,0),MSP!$C:$C,0)+MATCH($C182,EL_List,0)-1,0)
*INDEX(Learning!$E$6:$S$41,(MATCH(AF$21,Dates,0)),(MATCH($C$151,Learning!$E$4:$S$4,0)+MATCH($C$182,Learning!$E$5:$S$5,0)-1))</f>
        <v>1.4635483646079468</v>
      </c>
      <c r="AG189" s="533" cm="1">
        <f t="array" aca="1" ref="AG189" ca="1">OFFSET(AG189,-5,0)*
OFFSET(MSP!$F$1,
MATCH(OFFSET($C182,((MATCH($C182,EL_List,0)-1)*-10)-1,0),MSP!$C:$C,0)+MATCH($C182,EL_List,0)-1,0)
*INDEX(Learning!$E$6:$S$41,(MATCH(AG$21,Dates,0)),(MATCH($C$151,Learning!$E$4:$S$4,0)+MATCH($C$182,Learning!$E$5:$S$5,0)-1))</f>
        <v>1.5309257725434664</v>
      </c>
      <c r="AH189" s="533" cm="1">
        <f t="array" aca="1" ref="AH189" ca="1">OFFSET(AH189,-5,0)*
OFFSET(MSP!$F$1,
MATCH(OFFSET($C182,((MATCH($C182,EL_List,0)-1)*-10)-1,0),MSP!$C:$C,0)+MATCH($C182,EL_List,0)-1,0)
*INDEX(Learning!$E$6:$S$41,(MATCH(AH$21,Dates,0)),(MATCH($C$151,Learning!$E$4:$S$4,0)+MATCH($C$182,Learning!$E$5:$S$5,0)-1))</f>
        <v>1.5995463405879273</v>
      </c>
      <c r="AI189" s="533" cm="1">
        <f t="array" aca="1" ref="AI189" ca="1">OFFSET(AI189,-5,0)*
OFFSET(MSP!$F$1,
MATCH(OFFSET($C182,((MATCH($C182,EL_List,0)-1)*-10)-1,0),MSP!$C:$C,0)+MATCH($C182,EL_List,0)-1,0)
*INDEX(Learning!$E$6:$S$41,(MATCH(AI$21,Dates,0)),(MATCH($C$151,Learning!$E$4:$S$4,0)+MATCH($C$182,Learning!$E$5:$S$5,0)-1))</f>
        <v>1.671148125290848</v>
      </c>
      <c r="AJ189" s="533" cm="1">
        <f t="array" aca="1" ref="AJ189" ca="1">OFFSET(AJ189,-5,0)*
OFFSET(MSP!$F$1,
MATCH(OFFSET($C182,((MATCH($C182,EL_List,0)-1)*-10)-1,0),MSP!$C:$C,0)+MATCH($C182,EL_List,0)-1,0)
*INDEX(Learning!$E$6:$S$41,(MATCH(AJ$21,Dates,0)),(MATCH($C$151,Learning!$E$4:$S$4,0)+MATCH($C$182,Learning!$E$5:$S$5,0)-1))</f>
        <v>1.7478215454944657</v>
      </c>
      <c r="AK189" s="533" cm="1">
        <f t="array" aca="1" ref="AK189" ca="1">OFFSET(AK189,-5,0)*
OFFSET(MSP!$F$1,
MATCH(OFFSET($C182,((MATCH($C182,EL_List,0)-1)*-10)-1,0),MSP!$C:$C,0)+MATCH($C182,EL_List,0)-1,0)
*INDEX(Learning!$E$6:$S$41,(MATCH(AK$21,Dates,0)),(MATCH($C$151,Learning!$E$4:$S$4,0)+MATCH($C$182,Learning!$E$5:$S$5,0)-1))</f>
        <v>1.8258697956056598</v>
      </c>
      <c r="AL189" s="533" cm="1">
        <f t="array" aca="1" ref="AL189" ca="1">OFFSET(AL189,-5,0)*
OFFSET(MSP!$F$1,
MATCH(OFFSET($C182,((MATCH($C182,EL_List,0)-1)*-10)-1,0),MSP!$C:$C,0)+MATCH($C182,EL_List,0)-1,0)
*INDEX(Learning!$E$6:$S$41,(MATCH(AL$21,Dates,0)),(MATCH($C$151,Learning!$E$4:$S$4,0)+MATCH($C$182,Learning!$E$5:$S$5,0)-1))</f>
        <v>1.9094676625415632</v>
      </c>
      <c r="AM189" s="533" cm="1">
        <f t="array" aca="1" ref="AM189" ca="1">OFFSET(AM189,-5,0)*
OFFSET(MSP!$F$1,
MATCH(OFFSET($C182,((MATCH($C182,EL_List,0)-1)*-10)-1,0),MSP!$C:$C,0)+MATCH($C182,EL_List,0)-1,0)
*INDEX(Learning!$E$6:$S$41,(MATCH(AM$21,Dates,0)),(MATCH($C$151,Learning!$E$4:$S$4,0)+MATCH($C$182,Learning!$E$5:$S$5,0)-1))</f>
        <v>1.9945440746083356</v>
      </c>
      <c r="AN189" s="533" cm="1">
        <f t="array" aca="1" ref="AN189" ca="1">OFFSET(AN189,-5,0)*
OFFSET(MSP!$F$1,
MATCH(OFFSET($C182,((MATCH($C182,EL_List,0)-1)*-10)-1,0),MSP!$C:$C,0)+MATCH($C182,EL_List,0)-1,0)
*INDEX(Learning!$E$6:$S$41,(MATCH(AN$21,Dates,0)),(MATCH($C$151,Learning!$E$4:$S$4,0)+MATCH($C$182,Learning!$E$5:$S$5,0)-1))</f>
        <v>2.0848400256490476</v>
      </c>
      <c r="AO189" s="436"/>
      <c r="AP189" s="21"/>
    </row>
    <row r="190" spans="2:42" ht="15" customHeight="1" collapsed="1" x14ac:dyDescent="0.35">
      <c r="B190" s="429"/>
      <c r="C190" s="777" t="s">
        <v>215</v>
      </c>
      <c r="D190" s="776"/>
      <c r="E190" s="531" cm="1">
        <f t="array" aca="1" ref="E190" ca="1">OFFSET(E190,-6,0)*
OFFSET(MSP!$G$1,
MATCH(OFFSET($C182,((MATCH($C182,EL_List,0)-1)*-10)-1,0),MSP!$C:$C,0)+MATCH($C182,EL_List,0)-1,0)
*INDEX(Learning!$E$6:$S$41,(MATCH(E$21,Dates,0)),(MATCH($C$151,Learning!$E$4:$S$4,0)+MATCH($C$182,Learning!$E$5:$S$5,0)-1))</f>
        <v>0.28136835320417947</v>
      </c>
      <c r="F190" s="531" cm="1">
        <f t="array" aca="1" ref="F190" ca="1">OFFSET(F190,-6,0)*
OFFSET(MSP!$G$1,
MATCH(OFFSET($C182,((MATCH($C182,EL_List,0)-1)*-10)-1,0),MSP!$C:$C,0)+MATCH($C182,EL_List,0)-1,0)
*INDEX(Learning!$E$6:$S$41,(MATCH(F$21,Dates,0)),(MATCH($C$151,Learning!$E$4:$S$4,0)+MATCH($C$182,Learning!$E$5:$S$5,0)-1))</f>
        <v>0.29168957984231675</v>
      </c>
      <c r="G190" s="531" cm="1">
        <f t="array" aca="1" ref="G190" ca="1">OFFSET(G190,-6,0)*
OFFSET(MSP!$G$1,
MATCH(OFFSET($C182,((MATCH($C182,EL_List,0)-1)*-10)-1,0),MSP!$C:$C,0)+MATCH($C182,EL_List,0)-1,0)
*INDEX(Learning!$E$6:$S$41,(MATCH(G$21,Dates,0)),(MATCH($C$151,Learning!$E$4:$S$4,0)+MATCH($C$182,Learning!$E$5:$S$5,0)-1))</f>
        <v>0.30082363397578077</v>
      </c>
      <c r="H190" s="531" cm="1">
        <f t="array" aca="1" ref="H190" ca="1">OFFSET(H190,-6,0)*
OFFSET(MSP!$G$1,
MATCH(OFFSET($C182,((MATCH($C182,EL_List,0)-1)*-10)-1,0),MSP!$C:$C,0)+MATCH($C182,EL_List,0)-1,0)
*INDEX(Learning!$E$6:$S$41,(MATCH(H$21,Dates,0)),(MATCH($C$151,Learning!$E$4:$S$4,0)+MATCH($C$182,Learning!$E$5:$S$5,0)-1))</f>
        <v>0.31310759693274626</v>
      </c>
      <c r="I190" s="531" cm="1">
        <f t="array" aca="1" ref="I190" ca="1">OFFSET(I190,-6,0)*
OFFSET(MSP!$G$1,
MATCH(OFFSET($C182,((MATCH($C182,EL_List,0)-1)*-10)-1,0),MSP!$C:$C,0)+MATCH($C182,EL_List,0)-1,0)
*INDEX(Learning!$E$6:$S$41,(MATCH(I$21,Dates,0)),(MATCH($C$151,Learning!$E$4:$S$4,0)+MATCH($C$182,Learning!$E$5:$S$5,0)-1))</f>
        <v>0.32592375843283067</v>
      </c>
      <c r="J190" s="531" cm="1">
        <f t="array" aca="1" ref="J190" ca="1">OFFSET(J190,-6,0)*
OFFSET(MSP!$G$1,
MATCH(OFFSET($C182,((MATCH($C182,EL_List,0)-1)*-10)-1,0),MSP!$C:$C,0)+MATCH($C182,EL_List,0)-1,0)
*INDEX(Learning!$E$6:$S$41,(MATCH(J$21,Dates,0)),(MATCH($C$151,Learning!$E$4:$S$4,0)+MATCH($C$182,Learning!$E$5:$S$5,0)-1))</f>
        <v>0.34045708737371688</v>
      </c>
      <c r="K190" s="531" cm="1">
        <f t="array" aca="1" ref="K190" ca="1">OFFSET(K190,-6,0)*
OFFSET(MSP!$G$1,
MATCH(OFFSET($C182,((MATCH($C182,EL_List,0)-1)*-10)-1,0),MSP!$C:$C,0)+MATCH($C182,EL_List,0)-1,0)
*INDEX(Learning!$E$6:$S$41,(MATCH(K$21,Dates,0)),(MATCH($C$151,Learning!$E$4:$S$4,0)+MATCH($C$182,Learning!$E$5:$S$5,0)-1))</f>
        <v>0.35617939058102205</v>
      </c>
      <c r="L190" s="531" cm="1">
        <f t="array" aca="1" ref="L190" ca="1">OFFSET(L190,-6,0)*
OFFSET(MSP!$G$1,
MATCH(OFFSET($C182,((MATCH($C182,EL_List,0)-1)*-10)-1,0),MSP!$C:$C,0)+MATCH($C182,EL_List,0)-1,0)
*INDEX(Learning!$E$6:$S$41,(MATCH(L$21,Dates,0)),(MATCH($C$151,Learning!$E$4:$S$4,0)+MATCH($C$182,Learning!$E$5:$S$5,0)-1))</f>
        <v>0.37277851560921565</v>
      </c>
      <c r="M190" s="531" cm="1">
        <f t="array" aca="1" ref="M190" ca="1">OFFSET(M190,-6,0)*
OFFSET(MSP!$G$1,
MATCH(OFFSET($C182,((MATCH($C182,EL_List,0)-1)*-10)-1,0),MSP!$C:$C,0)+MATCH($C182,EL_List,0)-1,0)
*INDEX(Learning!$E$6:$S$41,(MATCH(M$21,Dates,0)),(MATCH($C$151,Learning!$E$4:$S$4,0)+MATCH($C$182,Learning!$E$5:$S$5,0)-1))</f>
        <v>0.3904066928240702</v>
      </c>
      <c r="N190" s="531" cm="1">
        <f t="array" aca="1" ref="N190" ca="1">OFFSET(N190,-6,0)*
OFFSET(MSP!$G$1,
MATCH(OFFSET($C182,((MATCH($C182,EL_List,0)-1)*-10)-1,0),MSP!$C:$C,0)+MATCH($C182,EL_List,0)-1,0)
*INDEX(Learning!$E$6:$S$41,(MATCH(N$21,Dates,0)),(MATCH($C$151,Learning!$E$4:$S$4,0)+MATCH($C$182,Learning!$E$5:$S$5,0)-1))</f>
        <v>0.40813165897141712</v>
      </c>
      <c r="O190" s="531" cm="1">
        <f t="array" aca="1" ref="O190" ca="1">OFFSET(O190,-6,0)*
OFFSET(MSP!$G$1,
MATCH(OFFSET($C182,((MATCH($C182,EL_List,0)-1)*-10)-1,0),MSP!$C:$C,0)+MATCH($C182,EL_List,0)-1,0)
*INDEX(Learning!$E$6:$S$41,(MATCH(O$21,Dates,0)),(MATCH($C$151,Learning!$E$4:$S$4,0)+MATCH($C$182,Learning!$E$5:$S$5,0)-1))</f>
        <v>0.42674318828336177</v>
      </c>
      <c r="P190" s="531" cm="1">
        <f t="array" aca="1" ref="P190" ca="1">OFFSET(P190,-6,0)*
OFFSET(MSP!$G$1,
MATCH(OFFSET($C182,((MATCH($C182,EL_List,0)-1)*-10)-1,0),MSP!$C:$C,0)+MATCH($C182,EL_List,0)-1,0)
*INDEX(Learning!$E$6:$S$41,(MATCH(P$21,Dates,0)),(MATCH($C$151,Learning!$E$4:$S$4,0)+MATCH($C$182,Learning!$E$5:$S$5,0)-1))</f>
        <v>0.44592400241837532</v>
      </c>
      <c r="Q190" s="531" cm="1">
        <f t="array" aca="1" ref="Q190" ca="1">OFFSET(Q190,-6,0)*
OFFSET(MSP!$G$1,
MATCH(OFFSET($C182,((MATCH($C182,EL_List,0)-1)*-10)-1,0),MSP!$C:$C,0)+MATCH($C182,EL_List,0)-1,0)
*INDEX(Learning!$E$6:$S$41,(MATCH(Q$21,Dates,0)),(MATCH($C$151,Learning!$E$4:$S$4,0)+MATCH($C$182,Learning!$E$5:$S$5,0)-1))</f>
        <v>0.46579605331746787</v>
      </c>
      <c r="R190" s="531" cm="1">
        <f t="array" aca="1" ref="R190" ca="1">OFFSET(R190,-6,0)*
OFFSET(MSP!$G$1,
MATCH(OFFSET($C182,((MATCH($C182,EL_List,0)-1)*-10)-1,0),MSP!$C:$C,0)+MATCH($C182,EL_List,0)-1,0)
*INDEX(Learning!$E$6:$S$41,(MATCH(R$21,Dates,0)),(MATCH($C$151,Learning!$E$4:$S$4,0)+MATCH($C$182,Learning!$E$5:$S$5,0)-1))</f>
        <v>0.48650082508599424</v>
      </c>
      <c r="S190" s="531" cm="1">
        <f t="array" aca="1" ref="S190" ca="1">OFFSET(S190,-6,0)*
OFFSET(MSP!$G$1,
MATCH(OFFSET($C182,((MATCH($C182,EL_List,0)-1)*-10)-1,0),MSP!$C:$C,0)+MATCH($C182,EL_List,0)-1,0)
*INDEX(Learning!$E$6:$S$41,(MATCH(S$21,Dates,0)),(MATCH($C$151,Learning!$E$4:$S$4,0)+MATCH($C$182,Learning!$E$5:$S$5,0)-1))</f>
        <v>0.50815186887815478</v>
      </c>
      <c r="T190" s="531" cm="1">
        <f t="array" aca="1" ref="T190" ca="1">OFFSET(T190,-6,0)*
OFFSET(MSP!$G$1,
MATCH(OFFSET($C182,((MATCH($C182,EL_List,0)-1)*-10)-1,0),MSP!$C:$C,0)+MATCH($C182,EL_List,0)-1,0)
*INDEX(Learning!$E$6:$S$41,(MATCH(T$21,Dates,0)),(MATCH($C$151,Learning!$E$4:$S$4,0)+MATCH($C$182,Learning!$E$5:$S$5,0)-1))</f>
        <v>0.53136947966069326</v>
      </c>
      <c r="U190" s="531" cm="1">
        <f t="array" aca="1" ref="U190" ca="1">OFFSET(U190,-6,0)*
OFFSET(MSP!$G$1,
MATCH(OFFSET($C182,((MATCH($C182,EL_List,0)-1)*-10)-1,0),MSP!$C:$C,0)+MATCH($C182,EL_List,0)-1,0)
*INDEX(Learning!$E$6:$S$41,(MATCH(U$21,Dates,0)),(MATCH($C$151,Learning!$E$4:$S$4,0)+MATCH($C$182,Learning!$E$5:$S$5,0)-1))</f>
        <v>0.55513831565919813</v>
      </c>
      <c r="V190" s="531" cm="1">
        <f t="array" aca="1" ref="V190" ca="1">OFFSET(V190,-6,0)*
OFFSET(MSP!$G$1,
MATCH(OFFSET($C182,((MATCH($C182,EL_List,0)-1)*-10)-1,0),MSP!$C:$C,0)+MATCH($C182,EL_List,0)-1,0)
*INDEX(Learning!$E$6:$S$41,(MATCH(V$21,Dates,0)),(MATCH($C$151,Learning!$E$4:$S$4,0)+MATCH($C$182,Learning!$E$5:$S$5,0)-1))</f>
        <v>0.58052889549399123</v>
      </c>
      <c r="W190" s="531" cm="1">
        <f t="array" aca="1" ref="W190" ca="1">OFFSET(W190,-6,0)*
OFFSET(MSP!$G$1,
MATCH(OFFSET($C182,((MATCH($C182,EL_List,0)-1)*-10)-1,0),MSP!$C:$C,0)+MATCH($C182,EL_List,0)-1,0)
*INDEX(Learning!$E$6:$S$41,(MATCH(W$21,Dates,0)),(MATCH($C$151,Learning!$E$4:$S$4,0)+MATCH($C$182,Learning!$E$5:$S$5,0)-1))</f>
        <v>0.60640666366051788</v>
      </c>
      <c r="X190" s="531" cm="1">
        <f t="array" aca="1" ref="X190" ca="1">OFFSET(X190,-6,0)*
OFFSET(MSP!$G$1,
MATCH(OFFSET($C182,((MATCH($C182,EL_List,0)-1)*-10)-1,0),MSP!$C:$C,0)+MATCH($C182,EL_List,0)-1,0)
*INDEX(Learning!$E$6:$S$41,(MATCH(X$21,Dates,0)),(MATCH($C$151,Learning!$E$4:$S$4,0)+MATCH($C$182,Learning!$E$5:$S$5,0)-1))</f>
        <v>0.63404696759841239</v>
      </c>
      <c r="Y190" s="531" cm="1">
        <f t="array" aca="1" ref="Y190" ca="1">OFFSET(Y190,-6,0)*
OFFSET(MSP!$G$1,
MATCH(OFFSET($C182,((MATCH($C182,EL_List,0)-1)*-10)-1,0),MSP!$C:$C,0)+MATCH($C182,EL_List,0)-1,0)
*INDEX(Learning!$E$6:$S$41,(MATCH(Y$21,Dates,0)),(MATCH($C$151,Learning!$E$4:$S$4,0)+MATCH($C$182,Learning!$E$5:$S$5,0)-1))</f>
        <v>0.66286886783880838</v>
      </c>
      <c r="Z190" s="531" cm="1">
        <f t="array" aca="1" ref="Z190" ca="1">OFFSET(Z190,-6,0)*
OFFSET(MSP!$G$1,
MATCH(OFFSET($C182,((MATCH($C182,EL_List,0)-1)*-10)-1,0),MSP!$C:$C,0)+MATCH($C182,EL_List,0)-1,0)
*INDEX(Learning!$E$6:$S$41,(MATCH(Z$21,Dates,0)),(MATCH($C$151,Learning!$E$4:$S$4,0)+MATCH($C$182,Learning!$E$5:$S$5,0)-1))</f>
        <v>0.69292224987577833</v>
      </c>
      <c r="AA190" s="531" cm="1">
        <f t="array" aca="1" ref="AA190" ca="1">OFFSET(AA190,-6,0)*
OFFSET(MSP!$G$1,
MATCH(OFFSET($C182,((MATCH($C182,EL_List,0)-1)*-10)-1,0),MSP!$C:$C,0)+MATCH($C182,EL_List,0)-1,0)
*INDEX(Learning!$E$6:$S$41,(MATCH(AA$21,Dates,0)),(MATCH($C$151,Learning!$E$4:$S$4,0)+MATCH($C$182,Learning!$E$5:$S$5,0)-1))</f>
        <v>0.72426627813340327</v>
      </c>
      <c r="AB190" s="531" cm="1">
        <f t="array" aca="1" ref="AB190" ca="1">OFFSET(AB190,-6,0)*
OFFSET(MSP!$G$1,
MATCH(OFFSET($C182,((MATCH($C182,EL_List,0)-1)*-10)-1,0),MSP!$C:$C,0)+MATCH($C182,EL_List,0)-1,0)
*INDEX(Learning!$E$6:$S$41,(MATCH(AB$21,Dates,0)),(MATCH($C$151,Learning!$E$4:$S$4,0)+MATCH($C$182,Learning!$E$5:$S$5,0)-1))</f>
        <v>0.75697020698635287</v>
      </c>
      <c r="AC190" s="531" cm="1">
        <f t="array" aca="1" ref="AC190" ca="1">OFFSET(AC190,-6,0)*
OFFSET(MSP!$G$1,
MATCH(OFFSET($C182,((MATCH($C182,EL_List,0)-1)*-10)-1,0),MSP!$C:$C,0)+MATCH($C182,EL_List,0)-1,0)
*INDEX(Learning!$E$6:$S$41,(MATCH(AC$21,Dates,0)),(MATCH($C$151,Learning!$E$4:$S$4,0)+MATCH($C$182,Learning!$E$5:$S$5,0)-1))</f>
        <v>0.79110263430518402</v>
      </c>
      <c r="AD190" s="531" cm="1">
        <f t="array" aca="1" ref="AD190" ca="1">OFFSET(AD190,-6,0)*
OFFSET(MSP!$G$1,
MATCH(OFFSET($C182,((MATCH($C182,EL_List,0)-1)*-10)-1,0),MSP!$C:$C,0)+MATCH($C182,EL_List,0)-1,0)
*INDEX(Learning!$E$6:$S$41,(MATCH(AD$21,Dates,0)),(MATCH($C$151,Learning!$E$4:$S$4,0)+MATCH($C$182,Learning!$E$5:$S$5,0)-1))</f>
        <v>0.82673108406937668</v>
      </c>
      <c r="AE190" s="531" cm="1">
        <f t="array" aca="1" ref="AE190" ca="1">OFFSET(AE190,-6,0)*
OFFSET(MSP!$G$1,
MATCH(OFFSET($C182,((MATCH($C182,EL_List,0)-1)*-10)-1,0),MSP!$C:$C,0)+MATCH($C182,EL_List,0)-1,0)
*INDEX(Learning!$E$6:$S$41,(MATCH(AE$21,Dates,0)),(MATCH($C$151,Learning!$E$4:$S$4,0)+MATCH($C$182,Learning!$E$5:$S$5,0)-1))</f>
        <v>0.86392151522680694</v>
      </c>
      <c r="AF190" s="531" cm="1">
        <f t="array" aca="1" ref="AF190" ca="1">OFFSET(AF190,-6,0)*
OFFSET(MSP!$G$1,
MATCH(OFFSET($C182,((MATCH($C182,EL_List,0)-1)*-10)-1,0),MSP!$C:$C,0)+MATCH($C182,EL_List,0)-1,0)
*INDEX(Learning!$E$6:$S$41,(MATCH(AF$21,Dates,0)),(MATCH($C$151,Learning!$E$4:$S$4,0)+MATCH($C$182,Learning!$E$5:$S$5,0)-1))</f>
        <v>0.90273918782616691</v>
      </c>
      <c r="AG190" s="531" cm="1">
        <f t="array" aca="1" ref="AG190" ca="1">OFFSET(AG190,-6,0)*
OFFSET(MSP!$G$1,
MATCH(OFFSET($C182,((MATCH($C182,EL_List,0)-1)*-10)-1,0),MSP!$C:$C,0)+MATCH($C182,EL_List,0)-1,0)
*INDEX(Learning!$E$6:$S$41,(MATCH(AG$21,Dates,0)),(MATCH($C$151,Learning!$E$4:$S$4,0)+MATCH($C$182,Learning!$E$5:$S$5,0)-1))</f>
        <v>0.94429861147653371</v>
      </c>
      <c r="AH190" s="531" cm="1">
        <f t="array" aca="1" ref="AH190" ca="1">OFFSET(AH190,-6,0)*
OFFSET(MSP!$G$1,
MATCH(OFFSET($C182,((MATCH($C182,EL_List,0)-1)*-10)-1,0),MSP!$C:$C,0)+MATCH($C182,EL_List,0)-1,0)
*INDEX(Learning!$E$6:$S$41,(MATCH(AH$21,Dates,0)),(MATCH($C$151,Learning!$E$4:$S$4,0)+MATCH($C$182,Learning!$E$5:$S$5,0)-1))</f>
        <v>0.98662483544195834</v>
      </c>
      <c r="AI190" s="531" cm="1">
        <f t="array" aca="1" ref="AI190" ca="1">OFFSET(AI190,-6,0)*
OFFSET(MSP!$G$1,
MATCH(OFFSET($C182,((MATCH($C182,EL_List,0)-1)*-10)-1,0),MSP!$C:$C,0)+MATCH($C182,EL_List,0)-1,0)
*INDEX(Learning!$E$6:$S$41,(MATCH(AI$21,Dates,0)),(MATCH($C$151,Learning!$E$4:$S$4,0)+MATCH($C$182,Learning!$E$5:$S$5,0)-1))</f>
        <v>1.0307899197895014</v>
      </c>
      <c r="AJ190" s="531" cm="1">
        <f t="array" aca="1" ref="AJ190" ca="1">OFFSET(AJ190,-6,0)*
OFFSET(MSP!$G$1,
MATCH(OFFSET($C182,((MATCH($C182,EL_List,0)-1)*-10)-1,0),MSP!$C:$C,0)+MATCH($C182,EL_List,0)-1,0)
*INDEX(Learning!$E$6:$S$41,(MATCH(AJ$21,Dates,0)),(MATCH($C$151,Learning!$E$4:$S$4,0)+MATCH($C$182,Learning!$E$5:$S$5,0)-1))</f>
        <v>1.0780832670790594</v>
      </c>
      <c r="AK190" s="531" cm="1">
        <f t="array" aca="1" ref="AK190" ca="1">OFFSET(AK190,-6,0)*
OFFSET(MSP!$G$1,
MATCH(OFFSET($C182,((MATCH($C182,EL_List,0)-1)*-10)-1,0),MSP!$C:$C,0)+MATCH($C182,EL_List,0)-1,0)
*INDEX(Learning!$E$6:$S$41,(MATCH(AK$21,Dates,0)),(MATCH($C$151,Learning!$E$4:$S$4,0)+MATCH($C$182,Learning!$E$5:$S$5,0)-1))</f>
        <v>1.1262246306447978</v>
      </c>
      <c r="AL190" s="531" cm="1">
        <f t="array" aca="1" ref="AL190" ca="1">OFFSET(AL190,-6,0)*
OFFSET(MSP!$G$1,
MATCH(OFFSET($C182,((MATCH($C182,EL_List,0)-1)*-10)-1,0),MSP!$C:$C,0)+MATCH($C182,EL_List,0)-1,0)
*INDEX(Learning!$E$6:$S$41,(MATCH(AL$21,Dates,0)),(MATCH($C$151,Learning!$E$4:$S$4,0)+MATCH($C$182,Learning!$E$5:$S$5,0)-1))</f>
        <v>1.1777890833999574</v>
      </c>
      <c r="AM190" s="531" cm="1">
        <f t="array" aca="1" ref="AM190" ca="1">OFFSET(AM190,-6,0)*
OFFSET(MSP!$G$1,
MATCH(OFFSET($C182,((MATCH($C182,EL_List,0)-1)*-10)-1,0),MSP!$C:$C,0)+MATCH($C182,EL_List,0)-1,0)
*INDEX(Learning!$E$6:$S$41,(MATCH(AM$21,Dates,0)),(MATCH($C$151,Learning!$E$4:$S$4,0)+MATCH($C$182,Learning!$E$5:$S$5,0)-1))</f>
        <v>1.2302655255795063</v>
      </c>
      <c r="AN190" s="531" cm="1">
        <f t="array" aca="1" ref="AN190" ca="1">OFFSET(AN190,-6,0)*
OFFSET(MSP!$G$1,
MATCH(OFFSET($C182,((MATCH($C182,EL_List,0)-1)*-10)-1,0),MSP!$C:$C,0)+MATCH($C182,EL_List,0)-1,0)
*INDEX(Learning!$E$6:$S$41,(MATCH(AN$21,Dates,0)),(MATCH($C$151,Learning!$E$4:$S$4,0)+MATCH($C$182,Learning!$E$5:$S$5,0)-1))</f>
        <v>1.2859614598428879</v>
      </c>
      <c r="AO190" s="436"/>
      <c r="AP190" s="21"/>
    </row>
    <row r="191" spans="2:42" ht="15" customHeight="1" x14ac:dyDescent="0.35">
      <c r="B191" s="429"/>
      <c r="C191" s="776"/>
      <c r="D191" s="776"/>
      <c r="E191" s="776"/>
      <c r="F191" s="776"/>
      <c r="G191" s="776"/>
      <c r="H191" s="776"/>
      <c r="I191" s="776"/>
      <c r="J191" s="776"/>
      <c r="K191" s="776"/>
      <c r="L191" s="776"/>
      <c r="M191" s="776"/>
      <c r="N191" s="776"/>
      <c r="O191" s="776"/>
      <c r="P191" s="776"/>
      <c r="Q191" s="776"/>
      <c r="R191" s="776"/>
      <c r="S191" s="776"/>
      <c r="T191" s="776"/>
      <c r="U191" s="776"/>
      <c r="V191" s="776"/>
      <c r="W191" s="776"/>
      <c r="X191" s="776"/>
      <c r="Y191" s="776"/>
      <c r="Z191" s="776"/>
      <c r="AA191" s="776"/>
      <c r="AB191" s="776"/>
      <c r="AC191" s="776"/>
      <c r="AD191" s="776"/>
      <c r="AE191" s="776"/>
      <c r="AF191" s="776"/>
      <c r="AG191" s="776"/>
      <c r="AH191" s="776"/>
      <c r="AI191" s="776"/>
      <c r="AJ191" s="776"/>
      <c r="AK191" s="776"/>
      <c r="AL191" s="776"/>
      <c r="AM191" s="776"/>
      <c r="AN191" s="776"/>
      <c r="AO191" s="436"/>
      <c r="AP191" s="21"/>
    </row>
    <row r="192" spans="2:42" ht="15" customHeight="1" x14ac:dyDescent="0.35">
      <c r="B192" s="429"/>
      <c r="C192" s="772" t="s">
        <v>342</v>
      </c>
      <c r="D192" s="776"/>
      <c r="E192" s="776"/>
      <c r="F192" s="776"/>
      <c r="G192" s="776"/>
      <c r="H192" s="776"/>
      <c r="I192" s="776"/>
      <c r="J192" s="776"/>
      <c r="K192" s="776"/>
      <c r="L192" s="776"/>
      <c r="M192" s="776"/>
      <c r="N192" s="776"/>
      <c r="O192" s="776"/>
      <c r="P192" s="776"/>
      <c r="Q192" s="776"/>
      <c r="R192" s="776"/>
      <c r="S192" s="776"/>
      <c r="T192" s="776"/>
      <c r="U192" s="776"/>
      <c r="V192" s="776"/>
      <c r="W192" s="776"/>
      <c r="X192" s="776"/>
      <c r="Y192" s="776"/>
      <c r="Z192" s="776"/>
      <c r="AA192" s="776"/>
      <c r="AB192" s="776"/>
      <c r="AC192" s="776"/>
      <c r="AD192" s="776"/>
      <c r="AE192" s="776"/>
      <c r="AF192" s="776"/>
      <c r="AG192" s="776"/>
      <c r="AH192" s="776"/>
      <c r="AI192" s="776"/>
      <c r="AJ192" s="776"/>
      <c r="AK192" s="776"/>
      <c r="AL192" s="776"/>
      <c r="AM192" s="776"/>
      <c r="AN192" s="776"/>
      <c r="AO192" s="436"/>
      <c r="AP192" s="21"/>
    </row>
    <row r="193" spans="2:42" ht="15" customHeight="1" x14ac:dyDescent="0.35">
      <c r="B193" s="429"/>
      <c r="C193" s="777" t="s">
        <v>10</v>
      </c>
      <c r="D193" s="776"/>
      <c r="E193" s="778" cm="1">
        <f t="array" aca="1" ref="E193" ca="1">OFFSET(MSP!$C$1,
MATCH(OFFSET($C192,((MATCH($C192,EL_List,0)-1)*-10)-1,0),MSP!$C:$C,0)+MATCH($C192,EL_List,0)-1,
MATCH(OFFSET($C192,((MATCH($C192,EL_List,0)-1)*-10)-3,0),MSP!$D$5:$N$5,0)+1)
*INDEX(Learning!$E$6:$S$41,(MATCH(E$21,Dates,0)),(MATCH($C$151,Learning!$E$4:$S$4,0)+MATCH($C$192,Learning!$E$5:$S$5,0)-1))</f>
        <v>112.51188</v>
      </c>
      <c r="F193" s="778" cm="1">
        <f t="array" aca="1" ref="F193" ca="1">OFFSET(MSP!$C$1,
MATCH(OFFSET($C192,((MATCH($C192,EL_List,0)-1)*-10)-1,0),MSP!$C:$C,0)+MATCH($C192,EL_List,0)-1,
MATCH(OFFSET($C192,((MATCH($C192,EL_List,0)-1)*-10)-3,0),MSP!$D$5:$N$5,0)+1)
*INDEX(Learning!$E$6:$S$41,(MATCH(F$21,Dates,0)),(MATCH($C$151,Learning!$E$4:$S$4,0)+MATCH($C$192,Learning!$E$5:$S$5,0)-1))</f>
        <v>111.646404</v>
      </c>
      <c r="G193" s="778" cm="1">
        <f t="array" aca="1" ref="G193" ca="1">OFFSET(MSP!$C$1,
MATCH(OFFSET($C192,((MATCH($C192,EL_List,0)-1)*-10)-1,0),MSP!$C:$C,0)+MATCH($C192,EL_List,0)-1,
MATCH(OFFSET($C192,((MATCH($C192,EL_List,0)-1)*-10)-3,0),MSP!$D$5:$N$5,0)+1)
*INDEX(Learning!$E$6:$S$41,(MATCH(G$21,Dates,0)),(MATCH($C$151,Learning!$E$4:$S$4,0)+MATCH($C$192,Learning!$E$5:$S$5,0)-1))</f>
        <v>110.8891125</v>
      </c>
      <c r="H193" s="778" cm="1">
        <f t="array" aca="1" ref="H193" ca="1">OFFSET(MSP!$C$1,
MATCH(OFFSET($C192,((MATCH($C192,EL_List,0)-1)*-10)-1,0),MSP!$C:$C,0)+MATCH($C192,EL_List,0)-1,
MATCH(OFFSET($C192,((MATCH($C192,EL_List,0)-1)*-10)-3,0),MSP!$D$5:$N$5,0)+1)
*INDEX(Learning!$E$6:$S$41,(MATCH(H$21,Dates,0)),(MATCH($C$151,Learning!$E$4:$S$4,0)+MATCH($C$192,Learning!$E$5:$S$5,0)-1))</f>
        <v>110.131821</v>
      </c>
      <c r="I193" s="778" cm="1">
        <f t="array" aca="1" ref="I193" ca="1">OFFSET(MSP!$C$1,
MATCH(OFFSET($C192,((MATCH($C192,EL_List,0)-1)*-10)-1,0),MSP!$C:$C,0)+MATCH($C192,EL_List,0)-1,
MATCH(OFFSET($C192,((MATCH($C192,EL_List,0)-1)*-10)-3,0),MSP!$D$5:$N$5,0)+1)
*INDEX(Learning!$E$6:$S$41,(MATCH(I$21,Dates,0)),(MATCH($C$151,Learning!$E$4:$S$4,0)+MATCH($C$192,Learning!$E$5:$S$5,0)-1))</f>
        <v>109.482714</v>
      </c>
      <c r="J193" s="778" cm="1">
        <f t="array" aca="1" ref="J193" ca="1">OFFSET(MSP!$C$1,
MATCH(OFFSET($C192,((MATCH($C192,EL_List,0)-1)*-10)-1,0),MSP!$C:$C,0)+MATCH($C192,EL_List,0)-1,
MATCH(OFFSET($C192,((MATCH($C192,EL_List,0)-1)*-10)-3,0),MSP!$D$5:$N$5,0)+1)
*INDEX(Learning!$E$6:$S$41,(MATCH(J$21,Dates,0)),(MATCH($C$151,Learning!$E$4:$S$4,0)+MATCH($C$192,Learning!$E$5:$S$5,0)-1))</f>
        <v>108.833607</v>
      </c>
      <c r="K193" s="778" cm="1">
        <f t="array" aca="1" ref="K193" ca="1">OFFSET(MSP!$C$1,
MATCH(OFFSET($C192,((MATCH($C192,EL_List,0)-1)*-10)-1,0),MSP!$C:$C,0)+MATCH($C192,EL_List,0)-1,
MATCH(OFFSET($C192,((MATCH($C192,EL_List,0)-1)*-10)-3,0),MSP!$D$5:$N$5,0)+1)
*INDEX(Learning!$E$6:$S$41,(MATCH(K$21,Dates,0)),(MATCH($C$151,Learning!$E$4:$S$4,0)+MATCH($C$192,Learning!$E$5:$S$5,0)-1))</f>
        <v>108.1845</v>
      </c>
      <c r="L193" s="778" cm="1">
        <f t="array" aca="1" ref="L193" ca="1">OFFSET(MSP!$C$1,
MATCH(OFFSET($C192,((MATCH($C192,EL_List,0)-1)*-10)-1,0),MSP!$C:$C,0)+MATCH($C192,EL_List,0)-1,
MATCH(OFFSET($C192,((MATCH($C192,EL_List,0)-1)*-10)-3,0),MSP!$D$5:$N$5,0)+1)
*INDEX(Learning!$E$6:$S$41,(MATCH(L$21,Dates,0)),(MATCH($C$151,Learning!$E$4:$S$4,0)+MATCH($C$192,Learning!$E$5:$S$5,0)-1))</f>
        <v>107.535393</v>
      </c>
      <c r="M193" s="778" cm="1">
        <f t="array" aca="1" ref="M193" ca="1">OFFSET(MSP!$C$1,
MATCH(OFFSET($C192,((MATCH($C192,EL_List,0)-1)*-10)-1,0),MSP!$C:$C,0)+MATCH($C192,EL_List,0)-1,
MATCH(OFFSET($C192,((MATCH($C192,EL_List,0)-1)*-10)-3,0),MSP!$D$5:$N$5,0)+1)
*INDEX(Learning!$E$6:$S$41,(MATCH(M$21,Dates,0)),(MATCH($C$151,Learning!$E$4:$S$4,0)+MATCH($C$192,Learning!$E$5:$S$5,0)-1))</f>
        <v>106.99447050000001</v>
      </c>
      <c r="N193" s="778" cm="1">
        <f t="array" aca="1" ref="N193" ca="1">OFFSET(MSP!$C$1,
MATCH(OFFSET($C192,((MATCH($C192,EL_List,0)-1)*-10)-1,0),MSP!$C:$C,0)+MATCH($C192,EL_List,0)-1,
MATCH(OFFSET($C192,((MATCH($C192,EL_List,0)-1)*-10)-3,0),MSP!$D$5:$N$5,0)+1)
*INDEX(Learning!$E$6:$S$41,(MATCH(N$21,Dates,0)),(MATCH($C$151,Learning!$E$4:$S$4,0)+MATCH($C$192,Learning!$E$5:$S$5,0)-1))</f>
        <v>106.3453635</v>
      </c>
      <c r="O193" s="778" cm="1">
        <f t="array" aca="1" ref="O193" ca="1">OFFSET(MSP!$C$1,
MATCH(OFFSET($C192,((MATCH($C192,EL_List,0)-1)*-10)-1,0),MSP!$C:$C,0)+MATCH($C192,EL_List,0)-1,
MATCH(OFFSET($C192,((MATCH($C192,EL_List,0)-1)*-10)-3,0),MSP!$D$5:$N$5,0)+1)
*INDEX(Learning!$E$6:$S$41,(MATCH(O$21,Dates,0)),(MATCH($C$151,Learning!$E$4:$S$4,0)+MATCH($C$192,Learning!$E$5:$S$5,0)-1))</f>
        <v>105.804441</v>
      </c>
      <c r="P193" s="778" cm="1">
        <f t="array" aca="1" ref="P193" ca="1">OFFSET(MSP!$C$1,
MATCH(OFFSET($C192,((MATCH($C192,EL_List,0)-1)*-10)-1,0),MSP!$C:$C,0)+MATCH($C192,EL_List,0)-1,
MATCH(OFFSET($C192,((MATCH($C192,EL_List,0)-1)*-10)-3,0),MSP!$D$5:$N$5,0)+1)
*INDEX(Learning!$E$6:$S$41,(MATCH(P$21,Dates,0)),(MATCH($C$151,Learning!$E$4:$S$4,0)+MATCH($C$192,Learning!$E$5:$S$5,0)-1))</f>
        <v>105.2635185</v>
      </c>
      <c r="Q193" s="778" cm="1">
        <f t="array" aca="1" ref="Q193" ca="1">OFFSET(MSP!$C$1,
MATCH(OFFSET($C192,((MATCH($C192,EL_List,0)-1)*-10)-1,0),MSP!$C:$C,0)+MATCH($C192,EL_List,0)-1,
MATCH(OFFSET($C192,((MATCH($C192,EL_List,0)-1)*-10)-3,0),MSP!$D$5:$N$5,0)+1)
*INDEX(Learning!$E$6:$S$41,(MATCH(Q$21,Dates,0)),(MATCH($C$151,Learning!$E$4:$S$4,0)+MATCH($C$192,Learning!$E$5:$S$5,0)-1))</f>
        <v>104.722596</v>
      </c>
      <c r="R193" s="778" cm="1">
        <f t="array" aca="1" ref="R193" ca="1">OFFSET(MSP!$C$1,
MATCH(OFFSET($C192,((MATCH($C192,EL_List,0)-1)*-10)-1,0),MSP!$C:$C,0)+MATCH($C192,EL_List,0)-1,
MATCH(OFFSET($C192,((MATCH($C192,EL_List,0)-1)*-10)-3,0),MSP!$D$5:$N$5,0)+1)
*INDEX(Learning!$E$6:$S$41,(MATCH(R$21,Dates,0)),(MATCH($C$151,Learning!$E$4:$S$4,0)+MATCH($C$192,Learning!$E$5:$S$5,0)-1))</f>
        <v>104.1816735</v>
      </c>
      <c r="S193" s="778" cm="1">
        <f t="array" aca="1" ref="S193" ca="1">OFFSET(MSP!$C$1,
MATCH(OFFSET($C192,((MATCH($C192,EL_List,0)-1)*-10)-1,0),MSP!$C:$C,0)+MATCH($C192,EL_List,0)-1,
MATCH(OFFSET($C192,((MATCH($C192,EL_List,0)-1)*-10)-3,0),MSP!$D$5:$N$5,0)+1)
*INDEX(Learning!$E$6:$S$41,(MATCH(S$21,Dates,0)),(MATCH($C$151,Learning!$E$4:$S$4,0)+MATCH($C$192,Learning!$E$5:$S$5,0)-1))</f>
        <v>103.7489355</v>
      </c>
      <c r="T193" s="778" cm="1">
        <f t="array" aca="1" ref="T193" ca="1">OFFSET(MSP!$C$1,
MATCH(OFFSET($C192,((MATCH($C192,EL_List,0)-1)*-10)-1,0),MSP!$C:$C,0)+MATCH($C192,EL_List,0)-1,
MATCH(OFFSET($C192,((MATCH($C192,EL_List,0)-1)*-10)-3,0),MSP!$D$5:$N$5,0)+1)
*INDEX(Learning!$E$6:$S$41,(MATCH(T$21,Dates,0)),(MATCH($C$151,Learning!$E$4:$S$4,0)+MATCH($C$192,Learning!$E$5:$S$5,0)-1))</f>
        <v>103.20801299999999</v>
      </c>
      <c r="U193" s="778" cm="1">
        <f t="array" aca="1" ref="U193" ca="1">OFFSET(MSP!$C$1,
MATCH(OFFSET($C192,((MATCH($C192,EL_List,0)-1)*-10)-1,0),MSP!$C:$C,0)+MATCH($C192,EL_List,0)-1,
MATCH(OFFSET($C192,((MATCH($C192,EL_List,0)-1)*-10)-3,0),MSP!$D$5:$N$5,0)+1)
*INDEX(Learning!$E$6:$S$41,(MATCH(U$21,Dates,0)),(MATCH($C$151,Learning!$E$4:$S$4,0)+MATCH($C$192,Learning!$E$5:$S$5,0)-1))</f>
        <v>102.77527499999999</v>
      </c>
      <c r="V193" s="778" cm="1">
        <f t="array" aca="1" ref="V193" ca="1">OFFSET(MSP!$C$1,
MATCH(OFFSET($C192,((MATCH($C192,EL_List,0)-1)*-10)-1,0),MSP!$C:$C,0)+MATCH($C192,EL_List,0)-1,
MATCH(OFFSET($C192,((MATCH($C192,EL_List,0)-1)*-10)-3,0),MSP!$D$5:$N$5,0)+1)
*INDEX(Learning!$E$6:$S$41,(MATCH(V$21,Dates,0)),(MATCH($C$151,Learning!$E$4:$S$4,0)+MATCH($C$192,Learning!$E$5:$S$5,0)-1))</f>
        <v>102.2343525</v>
      </c>
      <c r="W193" s="778" cm="1">
        <f t="array" aca="1" ref="W193" ca="1">OFFSET(MSP!$C$1,
MATCH(OFFSET($C192,((MATCH($C192,EL_List,0)-1)*-10)-1,0),MSP!$C:$C,0)+MATCH($C192,EL_List,0)-1,
MATCH(OFFSET($C192,((MATCH($C192,EL_List,0)-1)*-10)-3,0),MSP!$D$5:$N$5,0)+1)
*INDEX(Learning!$E$6:$S$41,(MATCH(W$21,Dates,0)),(MATCH($C$151,Learning!$E$4:$S$4,0)+MATCH($C$192,Learning!$E$5:$S$5,0)-1))</f>
        <v>101.8016145</v>
      </c>
      <c r="X193" s="778" cm="1">
        <f t="array" aca="1" ref="X193" ca="1">OFFSET(MSP!$C$1,
MATCH(OFFSET($C192,((MATCH($C192,EL_List,0)-1)*-10)-1,0),MSP!$C:$C,0)+MATCH($C192,EL_List,0)-1,
MATCH(OFFSET($C192,((MATCH($C192,EL_List,0)-1)*-10)-3,0),MSP!$D$5:$N$5,0)+1)
*INDEX(Learning!$E$6:$S$41,(MATCH(X$21,Dates,0)),(MATCH($C$151,Learning!$E$4:$S$4,0)+MATCH($C$192,Learning!$E$5:$S$5,0)-1))</f>
        <v>101.3688765</v>
      </c>
      <c r="Y193" s="778" cm="1">
        <f t="array" aca="1" ref="Y193" ca="1">OFFSET(MSP!$C$1,
MATCH(OFFSET($C192,((MATCH($C192,EL_List,0)-1)*-10)-1,0),MSP!$C:$C,0)+MATCH($C192,EL_List,0)-1,
MATCH(OFFSET($C192,((MATCH($C192,EL_List,0)-1)*-10)-3,0),MSP!$D$5:$N$5,0)+1)
*INDEX(Learning!$E$6:$S$41,(MATCH(Y$21,Dates,0)),(MATCH($C$151,Learning!$E$4:$S$4,0)+MATCH($C$192,Learning!$E$5:$S$5,0)-1))</f>
        <v>100.82795400000001</v>
      </c>
      <c r="Z193" s="778" cm="1">
        <f t="array" aca="1" ref="Z193" ca="1">OFFSET(MSP!$C$1,
MATCH(OFFSET($C192,((MATCH($C192,EL_List,0)-1)*-10)-1,0),MSP!$C:$C,0)+MATCH($C192,EL_List,0)-1,
MATCH(OFFSET($C192,((MATCH($C192,EL_List,0)-1)*-10)-3,0),MSP!$D$5:$N$5,0)+1)
*INDEX(Learning!$E$6:$S$41,(MATCH(Z$21,Dates,0)),(MATCH($C$151,Learning!$E$4:$S$4,0)+MATCH($C$192,Learning!$E$5:$S$5,0)-1))</f>
        <v>100.395216</v>
      </c>
      <c r="AA193" s="778" cm="1">
        <f t="array" aca="1" ref="AA193" ca="1">OFFSET(MSP!$C$1,
MATCH(OFFSET($C192,((MATCH($C192,EL_List,0)-1)*-10)-1,0),MSP!$C:$C,0)+MATCH($C192,EL_List,0)-1,
MATCH(OFFSET($C192,((MATCH($C192,EL_List,0)-1)*-10)-3,0),MSP!$D$5:$N$5,0)+1)
*INDEX(Learning!$E$6:$S$41,(MATCH(AA$21,Dates,0)),(MATCH($C$151,Learning!$E$4:$S$4,0)+MATCH($C$192,Learning!$E$5:$S$5,0)-1))</f>
        <v>99.962478000000004</v>
      </c>
      <c r="AB193" s="778" cm="1">
        <f t="array" aca="1" ref="AB193" ca="1">OFFSET(MSP!$C$1,
MATCH(OFFSET($C192,((MATCH($C192,EL_List,0)-1)*-10)-1,0),MSP!$C:$C,0)+MATCH($C192,EL_List,0)-1,
MATCH(OFFSET($C192,((MATCH($C192,EL_List,0)-1)*-10)-3,0),MSP!$D$5:$N$5,0)+1)
*INDEX(Learning!$E$6:$S$41,(MATCH(AB$21,Dates,0)),(MATCH($C$151,Learning!$E$4:$S$4,0)+MATCH($C$192,Learning!$E$5:$S$5,0)-1))</f>
        <v>99.529740000000004</v>
      </c>
      <c r="AC193" s="778" cm="1">
        <f t="array" aca="1" ref="AC193" ca="1">OFFSET(MSP!$C$1,
MATCH(OFFSET($C192,((MATCH($C192,EL_List,0)-1)*-10)-1,0),MSP!$C:$C,0)+MATCH($C192,EL_List,0)-1,
MATCH(OFFSET($C192,((MATCH($C192,EL_List,0)-1)*-10)-3,0),MSP!$D$5:$N$5,0)+1)
*INDEX(Learning!$E$6:$S$41,(MATCH(AC$21,Dates,0)),(MATCH($C$151,Learning!$E$4:$S$4,0)+MATCH($C$192,Learning!$E$5:$S$5,0)-1))</f>
        <v>99.097002000000003</v>
      </c>
      <c r="AD193" s="778" cm="1">
        <f t="array" aca="1" ref="AD193" ca="1">OFFSET(MSP!$C$1,
MATCH(OFFSET($C192,((MATCH($C192,EL_List,0)-1)*-10)-1,0),MSP!$C:$C,0)+MATCH($C192,EL_List,0)-1,
MATCH(OFFSET($C192,((MATCH($C192,EL_List,0)-1)*-10)-3,0),MSP!$D$5:$N$5,0)+1)
*INDEX(Learning!$E$6:$S$41,(MATCH(AD$21,Dates,0)),(MATCH($C$151,Learning!$E$4:$S$4,0)+MATCH($C$192,Learning!$E$5:$S$5,0)-1))</f>
        <v>98.77244850000001</v>
      </c>
      <c r="AE193" s="778" cm="1">
        <f t="array" aca="1" ref="AE193" ca="1">OFFSET(MSP!$C$1,
MATCH(OFFSET($C192,((MATCH($C192,EL_List,0)-1)*-10)-1,0),MSP!$C:$C,0)+MATCH($C192,EL_List,0)-1,
MATCH(OFFSET($C192,((MATCH($C192,EL_List,0)-1)*-10)-3,0),MSP!$D$5:$N$5,0)+1)
*INDEX(Learning!$E$6:$S$41,(MATCH(AE$21,Dates,0)),(MATCH($C$151,Learning!$E$4:$S$4,0)+MATCH($C$192,Learning!$E$5:$S$5,0)-1))</f>
        <v>98.33971050000001</v>
      </c>
      <c r="AF193" s="778" cm="1">
        <f t="array" aca="1" ref="AF193" ca="1">OFFSET(MSP!$C$1,
MATCH(OFFSET($C192,((MATCH($C192,EL_List,0)-1)*-10)-1,0),MSP!$C:$C,0)+MATCH($C192,EL_List,0)-1,
MATCH(OFFSET($C192,((MATCH($C192,EL_List,0)-1)*-10)-3,0),MSP!$D$5:$N$5,0)+1)
*INDEX(Learning!$E$6:$S$41,(MATCH(AF$21,Dates,0)),(MATCH($C$151,Learning!$E$4:$S$4,0)+MATCH($C$192,Learning!$E$5:$S$5,0)-1))</f>
        <v>97.906972500000009</v>
      </c>
      <c r="AG193" s="778" cm="1">
        <f t="array" aca="1" ref="AG193" ca="1">OFFSET(MSP!$C$1,
MATCH(OFFSET($C192,((MATCH($C192,EL_List,0)-1)*-10)-1,0),MSP!$C:$C,0)+MATCH($C192,EL_List,0)-1,
MATCH(OFFSET($C192,((MATCH($C192,EL_List,0)-1)*-10)-3,0),MSP!$D$5:$N$5,0)+1)
*INDEX(Learning!$E$6:$S$41,(MATCH(AG$21,Dates,0)),(MATCH($C$151,Learning!$E$4:$S$4,0)+MATCH($C$192,Learning!$E$5:$S$5,0)-1))</f>
        <v>97.474234500000009</v>
      </c>
      <c r="AH193" s="778" cm="1">
        <f t="array" aca="1" ref="AH193" ca="1">OFFSET(MSP!$C$1,
MATCH(OFFSET($C192,((MATCH($C192,EL_List,0)-1)*-10)-1,0),MSP!$C:$C,0)+MATCH($C192,EL_List,0)-1,
MATCH(OFFSET($C192,((MATCH($C192,EL_List,0)-1)*-10)-3,0),MSP!$D$5:$N$5,0)+1)
*INDEX(Learning!$E$6:$S$41,(MATCH(AH$21,Dates,0)),(MATCH($C$151,Learning!$E$4:$S$4,0)+MATCH($C$192,Learning!$E$5:$S$5,0)-1))</f>
        <v>97.149681000000001</v>
      </c>
      <c r="AI193" s="778" cm="1">
        <f t="array" aca="1" ref="AI193" ca="1">OFFSET(MSP!$C$1,
MATCH(OFFSET($C192,((MATCH($C192,EL_List,0)-1)*-10)-1,0),MSP!$C:$C,0)+MATCH($C192,EL_List,0)-1,
MATCH(OFFSET($C192,((MATCH($C192,EL_List,0)-1)*-10)-3,0),MSP!$D$5:$N$5,0)+1)
*INDEX(Learning!$E$6:$S$41,(MATCH(AI$21,Dates,0)),(MATCH($C$151,Learning!$E$4:$S$4,0)+MATCH($C$192,Learning!$E$5:$S$5,0)-1))</f>
        <v>96.716943000000001</v>
      </c>
      <c r="AJ193" s="778" cm="1">
        <f t="array" aca="1" ref="AJ193" ca="1">OFFSET(MSP!$C$1,
MATCH(OFFSET($C192,((MATCH($C192,EL_List,0)-1)*-10)-1,0),MSP!$C:$C,0)+MATCH($C192,EL_List,0)-1,
MATCH(OFFSET($C192,((MATCH($C192,EL_List,0)-1)*-10)-3,0),MSP!$D$5:$N$5,0)+1)
*INDEX(Learning!$E$6:$S$41,(MATCH(AJ$21,Dates,0)),(MATCH($C$151,Learning!$E$4:$S$4,0)+MATCH($C$192,Learning!$E$5:$S$5,0)-1))</f>
        <v>96.284205</v>
      </c>
      <c r="AK193" s="778" cm="1">
        <f t="array" aca="1" ref="AK193" ca="1">OFFSET(MSP!$C$1,
MATCH(OFFSET($C192,((MATCH($C192,EL_List,0)-1)*-10)-1,0),MSP!$C:$C,0)+MATCH($C192,EL_List,0)-1,
MATCH(OFFSET($C192,((MATCH($C192,EL_List,0)-1)*-10)-3,0),MSP!$D$5:$N$5,0)+1)
*INDEX(Learning!$E$6:$S$41,(MATCH(AK$21,Dates,0)),(MATCH($C$151,Learning!$E$4:$S$4,0)+MATCH($C$192,Learning!$E$5:$S$5,0)-1))</f>
        <v>95.959651500000007</v>
      </c>
      <c r="AL193" s="778" cm="1">
        <f t="array" aca="1" ref="AL193" ca="1">OFFSET(MSP!$C$1,
MATCH(OFFSET($C192,((MATCH($C192,EL_List,0)-1)*-10)-1,0),MSP!$C:$C,0)+MATCH($C192,EL_List,0)-1,
MATCH(OFFSET($C192,((MATCH($C192,EL_List,0)-1)*-10)-3,0),MSP!$D$5:$N$5,0)+1)
*INDEX(Learning!$E$6:$S$41,(MATCH(AL$21,Dates,0)),(MATCH($C$151,Learning!$E$4:$S$4,0)+MATCH($C$192,Learning!$E$5:$S$5,0)-1))</f>
        <v>95.526913500000006</v>
      </c>
      <c r="AM193" s="778" cm="1">
        <f t="array" aca="1" ref="AM193" ca="1">OFFSET(MSP!$C$1,
MATCH(OFFSET($C192,((MATCH($C192,EL_List,0)-1)*-10)-1,0),MSP!$C:$C,0)+MATCH($C192,EL_List,0)-1,
MATCH(OFFSET($C192,((MATCH($C192,EL_List,0)-1)*-10)-3,0),MSP!$D$5:$N$5,0)+1)
*INDEX(Learning!$E$6:$S$41,(MATCH(AM$21,Dates,0)),(MATCH($C$151,Learning!$E$4:$S$4,0)+MATCH($C$192,Learning!$E$5:$S$5,0)-1))</f>
        <v>95.202359999999999</v>
      </c>
      <c r="AN193" s="778" cm="1">
        <f t="array" aca="1" ref="AN193" ca="1">OFFSET(MSP!$C$1,
MATCH(OFFSET($C192,((MATCH($C192,EL_List,0)-1)*-10)-1,0),MSP!$C:$C,0)+MATCH($C192,EL_List,0)-1,
MATCH(OFFSET($C192,((MATCH($C192,EL_List,0)-1)*-10)-3,0),MSP!$D$5:$N$5,0)+1)
*INDEX(Learning!$E$6:$S$41,(MATCH(AN$21,Dates,0)),(MATCH($C$151,Learning!$E$4:$S$4,0)+MATCH($C$192,Learning!$E$5:$S$5,0)-1))</f>
        <v>94.831298498543305</v>
      </c>
      <c r="AO193" s="436"/>
      <c r="AP193" s="21"/>
    </row>
    <row r="194" spans="2:42" ht="15" customHeight="1" x14ac:dyDescent="0.35">
      <c r="B194" s="429"/>
      <c r="C194" s="777" t="s">
        <v>78</v>
      </c>
      <c r="D194" s="776"/>
      <c r="E194" s="530">
        <f ca="1">OFFSET(OFFSET(Shipments!$D$1,0,MATCH(E$7,Dates)),
MATCH(OFFSET($C192,((MATCH($C192,EL_List,0)-1)*-10)-3,0),Shipments!$C:$C,0)+
MATCH(OFFSET($C192,((MATCH($C192,EL_List,0)-1)*-10)-1,0),Shipments!$D:$D,0)+
MATCH($C192,EL_List,0)-10,
MATCH(Shipments_Scenario_X,Shipments!$F$5:$AQ$5,0))</f>
        <v>0.14211394290723334</v>
      </c>
      <c r="F194" s="530">
        <f ca="1">OFFSET(OFFSET(Shipments!$D$1,0,MATCH(F$7,Dates)),
MATCH(OFFSET($C192,((MATCH($C192,EL_List,0)-1)*-10)-3,0),Shipments!$C:$C,0)+
MATCH(OFFSET($C192,((MATCH($C192,EL_List,0)-1)*-10)-1,0),Shipments!$D:$D,0)+
MATCH($C192,EL_List,0)-10,
MATCH(Shipments_Scenario_X,Shipments!$F$5:$AQ$5,0))</f>
        <v>0.14846907307625476</v>
      </c>
      <c r="G194" s="530">
        <f ca="1">OFFSET(OFFSET(Shipments!$D$1,0,MATCH(G$7,Dates)),
MATCH(OFFSET($C192,((MATCH($C192,EL_List,0)-1)*-10)-3,0),Shipments!$C:$C,0)+
MATCH(OFFSET($C192,((MATCH($C192,EL_List,0)-1)*-10)-1,0),Shipments!$D:$D,0)+
MATCH($C192,EL_List,0)-10,
MATCH(Shipments_Scenario_X,Shipments!$F$5:$AQ$5,0))</f>
        <v>0.15416396352420217</v>
      </c>
      <c r="H194" s="530">
        <f ca="1">OFFSET(OFFSET(Shipments!$D$1,0,MATCH(H$7,Dates)),
MATCH(OFFSET($C192,((MATCH($C192,EL_List,0)-1)*-10)-3,0),Shipments!$C:$C,0)+
MATCH(OFFSET($C192,((MATCH($C192,EL_List,0)-1)*-10)-1,0),Shipments!$D:$D,0)+
MATCH($C192,EL_List,0)-10,
MATCH(Shipments_Scenario_X,Shipments!$F$5:$AQ$5,0))</f>
        <v>0.1614039654847973</v>
      </c>
      <c r="I194" s="530">
        <f ca="1">OFFSET(OFFSET(Shipments!$D$1,0,MATCH(I$7,Dates)),
MATCH(OFFSET($C192,((MATCH($C192,EL_List,0)-1)*-10)-3,0),Shipments!$C:$C,0)+
MATCH(OFFSET($C192,((MATCH($C192,EL_List,0)-1)*-10)-1,0),Shipments!$D:$D,0)+
MATCH($C192,EL_List,0)-10,
MATCH(Shipments_Scenario_X,Shipments!$F$5:$AQ$5,0))</f>
        <v>0.16917270238732263</v>
      </c>
      <c r="J194" s="530">
        <f ca="1">OFFSET(OFFSET(Shipments!$D$1,0,MATCH(J$7,Dates)),
MATCH(OFFSET($C192,((MATCH($C192,EL_List,0)-1)*-10)-3,0),Shipments!$C:$C,0)+
MATCH(OFFSET($C192,((MATCH($C192,EL_List,0)-1)*-10)-1,0),Shipments!$D:$D,0)+
MATCH($C192,EL_List,0)-10,
MATCH(Shipments_Scenario_X,Shipments!$F$5:$AQ$5,0))</f>
        <v>0.17777028891216803</v>
      </c>
      <c r="K194" s="530">
        <f ca="1">OFFSET(OFFSET(Shipments!$D$1,0,MATCH(K$7,Dates)),
MATCH(OFFSET($C192,((MATCH($C192,EL_List,0)-1)*-10)-3,0),Shipments!$C:$C,0)+
MATCH(OFFSET($C192,((MATCH($C192,EL_List,0)-1)*-10)-1,0),Shipments!$D:$D,0)+
MATCH($C192,EL_List,0)-10,
MATCH(Shipments_Scenario_X,Shipments!$F$5:$AQ$5,0))</f>
        <v>0.18709559650681129</v>
      </c>
      <c r="L194" s="530">
        <f ca="1">OFFSET(OFFSET(Shipments!$D$1,0,MATCH(L$7,Dates)),
MATCH(OFFSET($C192,((MATCH($C192,EL_List,0)-1)*-10)-3,0),Shipments!$C:$C,0)+
MATCH(OFFSET($C192,((MATCH($C192,EL_List,0)-1)*-10)-1,0),Shipments!$D:$D,0)+
MATCH($C192,EL_List,0)-10,
MATCH(Shipments_Scenario_X,Shipments!$F$5:$AQ$5,0))</f>
        <v>0.19699684455241703</v>
      </c>
      <c r="M194" s="530">
        <f ca="1">OFFSET(OFFSET(Shipments!$D$1,0,MATCH(M$7,Dates)),
MATCH(OFFSET($C192,((MATCH($C192,EL_List,0)-1)*-10)-3,0),Shipments!$C:$C,0)+
MATCH(OFFSET($C192,((MATCH($C192,EL_List,0)-1)*-10)-1,0),Shipments!$D:$D,0)+
MATCH($C192,EL_List,0)-10,
MATCH(Shipments_Scenario_X,Shipments!$F$5:$AQ$5,0))</f>
        <v>0.20735558732834788</v>
      </c>
      <c r="N194" s="530">
        <f ca="1">OFFSET(OFFSET(Shipments!$D$1,0,MATCH(N$7,Dates)),
MATCH(OFFSET($C192,((MATCH($C192,EL_List,0)-1)*-10)-3,0),Shipments!$C:$C,0)+
MATCH(OFFSET($C192,((MATCH($C192,EL_List,0)-1)*-10)-1,0),Shipments!$D:$D,0)+
MATCH($C192,EL_List,0)-10,
MATCH(Shipments_Scenario_X,Shipments!$F$5:$AQ$5,0))</f>
        <v>0.21809290945986445</v>
      </c>
      <c r="O194" s="530">
        <f ca="1">OFFSET(OFFSET(Shipments!$D$1,0,MATCH(O$7,Dates)),
MATCH(OFFSET($C192,((MATCH($C192,EL_List,0)-1)*-10)-3,0),Shipments!$C:$C,0)+
MATCH(OFFSET($C192,((MATCH($C192,EL_List,0)-1)*-10)-1,0),Shipments!$D:$D,0)+
MATCH($C192,EL_List,0)-10,
MATCH(Shipments_Scenario_X,Shipments!$F$5:$AQ$5,0))</f>
        <v>0.22920417405584809</v>
      </c>
      <c r="P194" s="530">
        <f ca="1">OFFSET(OFFSET(Shipments!$D$1,0,MATCH(P$7,Dates)),
MATCH(OFFSET($C192,((MATCH($C192,EL_List,0)-1)*-10)-3,0),Shipments!$C:$C,0)+
MATCH(OFFSET($C192,((MATCH($C192,EL_List,0)-1)*-10)-1,0),Shipments!$D:$D,0)+
MATCH($C192,EL_List,0)-10,
MATCH(Shipments_Scenario_X,Shipments!$F$5:$AQ$5,0))</f>
        <v>0.24073696925093402</v>
      </c>
      <c r="Q194" s="530">
        <f ca="1">OFFSET(OFFSET(Shipments!$D$1,0,MATCH(Q$7,Dates)),
MATCH(OFFSET($C192,((MATCH($C192,EL_List,0)-1)*-10)-3,0),Shipments!$C:$C,0)+
MATCH(OFFSET($C192,((MATCH($C192,EL_List,0)-1)*-10)-1,0),Shipments!$D:$D,0)+
MATCH($C192,EL_List,0)-10,
MATCH(Shipments_Scenario_X,Shipments!$F$5:$AQ$5,0))</f>
        <v>0.2527640041896515</v>
      </c>
      <c r="R194" s="530">
        <f ca="1">OFFSET(OFFSET(Shipments!$D$1,0,MATCH(R$7,Dates)),
MATCH(OFFSET($C192,((MATCH($C192,EL_List,0)-1)*-10)-3,0),Shipments!$C:$C,0)+
MATCH(OFFSET($C192,((MATCH($C192,EL_List,0)-1)*-10)-1,0),Shipments!$D:$D,0)+
MATCH($C192,EL_List,0)-10,
MATCH(Shipments_Scenario_X,Shipments!$F$5:$AQ$5,0))</f>
        <v>0.26537015222280891</v>
      </c>
      <c r="S194" s="530">
        <f ca="1">OFFSET(OFFSET(Shipments!$D$1,0,MATCH(S$7,Dates)),
MATCH(OFFSET($C192,((MATCH($C192,EL_List,0)-1)*-10)-3,0),Shipments!$C:$C,0)+
MATCH(OFFSET($C192,((MATCH($C192,EL_List,0)-1)*-10)-1,0),Shipments!$D:$D,0)+
MATCH($C192,EL_List,0)-10,
MATCH(Shipments_Scenario_X,Shipments!$F$5:$AQ$5,0))</f>
        <v>0.27862674256154218</v>
      </c>
      <c r="T194" s="530">
        <f ca="1">OFFSET(OFFSET(Shipments!$D$1,0,MATCH(T$7,Dates)),
MATCH(OFFSET($C192,((MATCH($C192,EL_List,0)-1)*-10)-3,0),Shipments!$C:$C,0)+
MATCH(OFFSET($C192,((MATCH($C192,EL_List,0)-1)*-10)-1,0),Shipments!$D:$D,0)+
MATCH($C192,EL_List,0)-10,
MATCH(Shipments_Scenario_X,Shipments!$F$5:$AQ$5,0))</f>
        <v>0.29257890553719923</v>
      </c>
      <c r="U194" s="530">
        <f ca="1">OFFSET(OFFSET(Shipments!$D$1,0,MATCH(U$7,Dates)),
MATCH(OFFSET($C192,((MATCH($C192,EL_List,0)-1)*-10)-3,0),Shipments!$C:$C,0)+
MATCH(OFFSET($C192,((MATCH($C192,EL_List,0)-1)*-10)-1,0),Shipments!$D:$D,0)+
MATCH($C192,EL_List,0)-10,
MATCH(Shipments_Scenario_X,Shipments!$F$5:$AQ$5,0))</f>
        <v>0.30727679934886049</v>
      </c>
      <c r="V194" s="530">
        <f ca="1">OFFSET(OFFSET(Shipments!$D$1,0,MATCH(V$7,Dates)),
MATCH(OFFSET($C192,((MATCH($C192,EL_List,0)-1)*-10)-3,0),Shipments!$C:$C,0)+
MATCH(OFFSET($C192,((MATCH($C192,EL_List,0)-1)*-10)-1,0),Shipments!$D:$D,0)+
MATCH($C192,EL_List,0)-10,
MATCH(Shipments_Scenario_X,Shipments!$F$5:$AQ$5,0))</f>
        <v>0.32269096990648161</v>
      </c>
      <c r="W194" s="530">
        <f ca="1">OFFSET(OFFSET(Shipments!$D$1,0,MATCH(W$7,Dates)),
MATCH(OFFSET($C192,((MATCH($C192,EL_List,0)-1)*-10)-3,0),Shipments!$C:$C,0)+
MATCH(OFFSET($C192,((MATCH($C192,EL_List,0)-1)*-10)-1,0),Shipments!$D:$D,0)+
MATCH($C192,EL_List,0)-10,
MATCH(Shipments_Scenario_X,Shipments!$F$5:$AQ$5,0))</f>
        <v>0.33886825865374326</v>
      </c>
      <c r="X194" s="530">
        <f ca="1">OFFSET(OFFSET(Shipments!$D$1,0,MATCH(X$7,Dates)),
MATCH(OFFSET($C192,((MATCH($C192,EL_List,0)-1)*-10)-3,0),Shipments!$C:$C,0)+
MATCH(OFFSET($C192,((MATCH($C192,EL_List,0)-1)*-10)-1,0),Shipments!$D:$D,0)+
MATCH($C192,EL_List,0)-10,
MATCH(Shipments_Scenario_X,Shipments!$F$5:$AQ$5,0))</f>
        <v>0.35582819748032368</v>
      </c>
      <c r="Y194" s="530">
        <f ca="1">OFFSET(OFFSET(Shipments!$D$1,0,MATCH(Y$7,Dates)),
MATCH(OFFSET($C192,((MATCH($C192,EL_List,0)-1)*-10)-3,0),Shipments!$C:$C,0)+
MATCH(OFFSET($C192,((MATCH($C192,EL_List,0)-1)*-10)-1,0),Shipments!$D:$D,0)+
MATCH($C192,EL_List,0)-10,
MATCH(Shipments_Scenario_X,Shipments!$F$5:$AQ$5,0))</f>
        <v>0.37359967494456187</v>
      </c>
      <c r="Z194" s="530">
        <f ca="1">OFFSET(OFFSET(Shipments!$D$1,0,MATCH(Z$7,Dates)),
MATCH(OFFSET($C192,((MATCH($C192,EL_List,0)-1)*-10)-3,0),Shipments!$C:$C,0)+
MATCH(OFFSET($C192,((MATCH($C192,EL_List,0)-1)*-10)-1,0),Shipments!$D:$D,0)+
MATCH($C192,EL_List,0)-10,
MATCH(Shipments_Scenario_X,Shipments!$F$5:$AQ$5,0))</f>
        <v>0.39222142224489093</v>
      </c>
      <c r="AA194" s="530">
        <f ca="1">OFFSET(OFFSET(Shipments!$D$1,0,MATCH(AA$7,Dates)),
MATCH(OFFSET($C192,((MATCH($C192,EL_List,0)-1)*-10)-3,0),Shipments!$C:$C,0)+
MATCH(OFFSET($C192,((MATCH($C192,EL_List,0)-1)*-10)-1,0),Shipments!$D:$D,0)+
MATCH($C192,EL_List,0)-10,
MATCH(Shipments_Scenario_X,Shipments!$F$5:$AQ$5,0))</f>
        <v>0.41173811622850809</v>
      </c>
      <c r="AB194" s="530">
        <f ca="1">OFFSET(OFFSET(Shipments!$D$1,0,MATCH(AB$7,Dates)),
MATCH(OFFSET($C192,((MATCH($C192,EL_List,0)-1)*-10)-3,0),Shipments!$C:$C,0)+
MATCH(OFFSET($C192,((MATCH($C192,EL_List,0)-1)*-10)-1,0),Shipments!$D:$D,0)+
MATCH($C192,EL_List,0)-10,
MATCH(Shipments_Scenario_X,Shipments!$F$5:$AQ$5,0))</f>
        <v>0.43220097170627148</v>
      </c>
      <c r="AC194" s="530">
        <f ca="1">OFFSET(OFFSET(Shipments!$D$1,0,MATCH(AC$7,Dates)),
MATCH(OFFSET($C192,((MATCH($C192,EL_List,0)-1)*-10)-3,0),Shipments!$C:$C,0)+
MATCH(OFFSET($C192,((MATCH($C192,EL_List,0)-1)*-10)-1,0),Shipments!$D:$D,0)+
MATCH($C192,EL_List,0)-10,
MATCH(Shipments_Scenario_X,Shipments!$F$5:$AQ$5,0))</f>
        <v>0.45366172159535523</v>
      </c>
      <c r="AD194" s="530">
        <f ca="1">OFFSET(OFFSET(Shipments!$D$1,0,MATCH(AD$7,Dates)),
MATCH(OFFSET($C192,((MATCH($C192,EL_List,0)-1)*-10)-3,0),Shipments!$C:$C,0)+
MATCH(OFFSET($C192,((MATCH($C192,EL_List,0)-1)*-10)-1,0),Shipments!$D:$D,0)+
MATCH($C192,EL_List,0)-10,
MATCH(Shipments_Scenario_X,Shipments!$F$5:$AQ$5,0))</f>
        <v>0.47617238787881738</v>
      </c>
      <c r="AE194" s="530">
        <f ca="1">OFFSET(OFFSET(Shipments!$D$1,0,MATCH(AE$7,Dates)),
MATCH(OFFSET($C192,((MATCH($C192,EL_List,0)-1)*-10)-3,0),Shipments!$C:$C,0)+
MATCH(OFFSET($C192,((MATCH($C192,EL_List,0)-1)*-10)-1,0),Shipments!$D:$D,0)+
MATCH($C192,EL_List,0)-10,
MATCH(Shipments_Scenario_X,Shipments!$F$5:$AQ$5,0))</f>
        <v>0.49978500384425184</v>
      </c>
      <c r="AF194" s="530">
        <f ca="1">OFFSET(OFFSET(Shipments!$D$1,0,MATCH(AF$7,Dates)),
MATCH(OFFSET($C192,((MATCH($C192,EL_List,0)-1)*-10)-3,0),Shipments!$C:$C,0)+
MATCH(OFFSET($C192,((MATCH($C192,EL_List,0)-1)*-10)-1,0),Shipments!$D:$D,0)+
MATCH($C192,EL_List,0)-10,
MATCH(Shipments_Scenario_X,Shipments!$F$5:$AQ$5,0))</f>
        <v>0.52455211761501519</v>
      </c>
      <c r="AG194" s="530">
        <f ca="1">OFFSET(OFFSET(Shipments!$D$1,0,MATCH(AG$7,Dates)),
MATCH(OFFSET($C192,((MATCH($C192,EL_List,0)-1)*-10)-3,0),Shipments!$C:$C,0)+
MATCH(OFFSET($C192,((MATCH($C192,EL_List,0)-1)*-10)-1,0),Shipments!$D:$D,0)+
MATCH($C192,EL_List,0)-10,
MATCH(Shipments_Scenario_X,Shipments!$F$5:$AQ$5,0))</f>
        <v>0.55052790802377538</v>
      </c>
      <c r="AH194" s="530">
        <f ca="1">OFFSET(OFFSET(Shipments!$D$1,0,MATCH(AH$7,Dates)),
MATCH(OFFSET($C192,((MATCH($C192,EL_List,0)-1)*-10)-3,0),Shipments!$C:$C,0)+
MATCH(OFFSET($C192,((MATCH($C192,EL_List,0)-1)*-10)-1,0),Shipments!$D:$D,0)+
MATCH($C192,EL_List,0)-10,
MATCH(Shipments_Scenario_X,Shipments!$F$5:$AQ$5,0))</f>
        <v>0.57776919111989378</v>
      </c>
      <c r="AI194" s="530">
        <f ca="1">OFFSET(OFFSET(Shipments!$D$1,0,MATCH(AI$7,Dates)),
MATCH(OFFSET($C192,((MATCH($C192,EL_List,0)-1)*-10)-3,0),Shipments!$C:$C,0)+
MATCH(OFFSET($C192,((MATCH($C192,EL_List,0)-1)*-10)-1,0),Shipments!$D:$D,0)+
MATCH($C192,EL_List,0)-10,
MATCH(Shipments_Scenario_X,Shipments!$F$5:$AQ$5,0))</f>
        <v>0.60633618032106285</v>
      </c>
      <c r="AJ194" s="530">
        <f ca="1">OFFSET(OFFSET(Shipments!$D$1,0,MATCH(AJ$7,Dates)),
MATCH(OFFSET($C192,((MATCH($C192,EL_List,0)-1)*-10)-3,0),Shipments!$C:$C,0)+
MATCH(OFFSET($C192,((MATCH($C192,EL_List,0)-1)*-10)-1,0),Shipments!$D:$D,0)+
MATCH($C192,EL_List,0)-10,
MATCH(Shipments_Scenario_X,Shipments!$F$5:$AQ$5,0))</f>
        <v>0.63629290155826923</v>
      </c>
      <c r="AK194" s="530">
        <f ca="1">OFFSET(OFFSET(Shipments!$D$1,0,MATCH(AK$7,Dates)),
MATCH(OFFSET($C192,((MATCH($C192,EL_List,0)-1)*-10)-3,0),Shipments!$C:$C,0)+
MATCH(OFFSET($C192,((MATCH($C192,EL_List,0)-1)*-10)-1,0),Shipments!$D:$D,0)+
MATCH($C192,EL_List,0)-10,
MATCH(Shipments_Scenario_X,Shipments!$F$5:$AQ$5,0))</f>
        <v>0.66770722996753462</v>
      </c>
      <c r="AL194" s="530">
        <f ca="1">OFFSET(OFFSET(Shipments!$D$1,0,MATCH(AL$7,Dates)),
MATCH(OFFSET($C192,((MATCH($C192,EL_List,0)-1)*-10)-3,0),Shipments!$C:$C,0)+
MATCH(OFFSET($C192,((MATCH($C192,EL_List,0)-1)*-10)-1,0),Shipments!$D:$D,0)+
MATCH($C192,EL_List,0)-10,
MATCH(Shipments_Scenario_X,Shipments!$F$5:$AQ$5,0))</f>
        <v>0.70065076513091751</v>
      </c>
      <c r="AM194" s="530">
        <f ca="1">OFFSET(OFFSET(Shipments!$D$1,0,MATCH(AM$7,Dates)),
MATCH(OFFSET($C192,((MATCH($C192,EL_List,0)-1)*-10)-3,0),Shipments!$C:$C,0)+
MATCH(OFFSET($C192,((MATCH($C192,EL_List,0)-1)*-10)-1,0),Shipments!$D:$D,0)+
MATCH($C192,EL_List,0)-10,
MATCH(Shipments_Scenario_X,Shipments!$F$5:$AQ$5,0))</f>
        <v>0.73519874811415564</v>
      </c>
      <c r="AN194" s="530">
        <f ca="1">OFFSET(OFFSET(Shipments!$D$1,0,MATCH(AN$7,Dates)),
MATCH(OFFSET($C192,((MATCH($C192,EL_List,0)-1)*-10)-3,0),Shipments!$C:$C,0)+
MATCH(OFFSET($C192,((MATCH($C192,EL_List,0)-1)*-10)-1,0),Shipments!$D:$D,0)+
MATCH($C192,EL_List,0)-10,
MATCH(Shipments_Scenario_X,Shipments!$F$5:$AQ$5,0))</f>
        <v>0.77142976314872069</v>
      </c>
      <c r="AO194" s="436"/>
      <c r="AP194" s="21"/>
    </row>
    <row r="195" spans="2:42" ht="15" customHeight="1" x14ac:dyDescent="0.35">
      <c r="B195" s="429"/>
      <c r="C195" s="777" t="s">
        <v>79</v>
      </c>
      <c r="D195" s="776"/>
      <c r="E195" s="531">
        <f t="shared" ref="E195:AN195" ca="1" si="43">E193*E194</f>
        <v>15.989506890705488</v>
      </c>
      <c r="F195" s="531">
        <f t="shared" ca="1" si="43"/>
        <v>16.576038114177063</v>
      </c>
      <c r="G195" s="531">
        <f t="shared" ca="1" si="43"/>
        <v>17.095105094681148</v>
      </c>
      <c r="H195" s="531">
        <f t="shared" ca="1" si="43"/>
        <v>17.775712635461876</v>
      </c>
      <c r="I195" s="531">
        <f t="shared" ca="1" si="43"/>
        <v>18.521486592078361</v>
      </c>
      <c r="J195" s="531">
        <f t="shared" ca="1" si="43"/>
        <v>19.347381759743353</v>
      </c>
      <c r="K195" s="531">
        <f t="shared" ca="1" si="43"/>
        <v>20.240843560291125</v>
      </c>
      <c r="L195" s="531">
        <f t="shared" ca="1" si="43"/>
        <v>21.184133098704073</v>
      </c>
      <c r="M195" s="531">
        <f t="shared" ca="1" si="43"/>
        <v>22.185901271413094</v>
      </c>
      <c r="N195" s="531">
        <f t="shared" ca="1" si="43"/>
        <v>23.193169733281874</v>
      </c>
      <c r="O195" s="531">
        <f t="shared" ca="1" si="43"/>
        <v>24.250819510845709</v>
      </c>
      <c r="P195" s="531">
        <f t="shared" ca="1" si="43"/>
        <v>25.340820416379625</v>
      </c>
      <c r="Q195" s="531">
        <f t="shared" ca="1" si="43"/>
        <v>26.470102694095182</v>
      </c>
      <c r="R195" s="531">
        <f t="shared" ca="1" si="43"/>
        <v>27.646706555521977</v>
      </c>
      <c r="S195" s="531">
        <f t="shared" ca="1" si="43"/>
        <v>28.907227942592545</v>
      </c>
      <c r="T195" s="531">
        <f t="shared" ca="1" si="43"/>
        <v>30.19648748620903</v>
      </c>
      <c r="U195" s="531">
        <f t="shared" ca="1" si="43"/>
        <v>31.580457554198954</v>
      </c>
      <c r="V195" s="531">
        <f t="shared" ca="1" si="43"/>
        <v>32.990102365986132</v>
      </c>
      <c r="W195" s="531">
        <f t="shared" ca="1" si="43"/>
        <v>34.497335833754661</v>
      </c>
      <c r="X195" s="531">
        <f t="shared" ca="1" si="43"/>
        <v>36.069904605600541</v>
      </c>
      <c r="Y195" s="531">
        <f t="shared" ca="1" si="43"/>
        <v>37.669290839725235</v>
      </c>
      <c r="Z195" s="531">
        <f t="shared" ca="1" si="43"/>
        <v>39.377154406103031</v>
      </c>
      <c r="AA195" s="531">
        <f t="shared" ca="1" si="43"/>
        <v>41.158362385253682</v>
      </c>
      <c r="AB195" s="531">
        <f t="shared" ca="1" si="43"/>
        <v>43.016850341672558</v>
      </c>
      <c r="AC195" s="531">
        <f t="shared" ca="1" si="43"/>
        <v>44.956516532258362</v>
      </c>
      <c r="AD195" s="531">
        <f t="shared" ca="1" si="43"/>
        <v>47.032712658882517</v>
      </c>
      <c r="AE195" s="531">
        <f t="shared" ca="1" si="43"/>
        <v>49.148712590285115</v>
      </c>
      <c r="AF195" s="531">
        <f t="shared" ca="1" si="43"/>
        <v>51.357309754150066</v>
      </c>
      <c r="AG195" s="531">
        <f t="shared" ca="1" si="43"/>
        <v>53.66228640550392</v>
      </c>
      <c r="AH195" s="531">
        <f t="shared" ca="1" si="43"/>
        <v>56.130092608925715</v>
      </c>
      <c r="AI195" s="531">
        <f t="shared" ca="1" si="43"/>
        <v>58.64298179094996</v>
      </c>
      <c r="AJ195" s="531">
        <f t="shared" ca="1" si="43"/>
        <v>61.264956173681213</v>
      </c>
      <c r="AK195" s="531">
        <f t="shared" ca="1" si="43"/>
        <v>64.072953091714979</v>
      </c>
      <c r="AL195" s="531">
        <f t="shared" ca="1" si="43"/>
        <v>66.931005034369974</v>
      </c>
      <c r="AM195" s="531">
        <f t="shared" ref="AM195" ca="1" si="44">AM193*AM194</f>
        <v>69.992655889513159</v>
      </c>
      <c r="AN195" s="531">
        <f t="shared" ca="1" si="43"/>
        <v>73.155686139816893</v>
      </c>
      <c r="AO195" s="436"/>
      <c r="AP195" s="21"/>
    </row>
    <row r="196" spans="2:42" ht="15" customHeight="1" x14ac:dyDescent="0.35">
      <c r="B196" s="429"/>
      <c r="C196" s="777"/>
      <c r="D196" s="776"/>
      <c r="E196" s="776"/>
      <c r="F196" s="776"/>
      <c r="G196" s="776"/>
      <c r="H196" s="776"/>
      <c r="I196" s="776"/>
      <c r="J196" s="776"/>
      <c r="K196" s="776"/>
      <c r="L196" s="776"/>
      <c r="M196" s="776"/>
      <c r="N196" s="776"/>
      <c r="O196" s="776"/>
      <c r="P196" s="776"/>
      <c r="Q196" s="776"/>
      <c r="R196" s="776"/>
      <c r="S196" s="776"/>
      <c r="T196" s="776"/>
      <c r="U196" s="776"/>
      <c r="V196" s="776"/>
      <c r="W196" s="776"/>
      <c r="X196" s="776"/>
      <c r="Y196" s="776"/>
      <c r="Z196" s="776"/>
      <c r="AA196" s="776"/>
      <c r="AB196" s="776"/>
      <c r="AC196" s="776"/>
      <c r="AD196" s="776"/>
      <c r="AE196" s="776"/>
      <c r="AF196" s="776"/>
      <c r="AG196" s="776"/>
      <c r="AH196" s="776"/>
      <c r="AI196" s="776"/>
      <c r="AJ196" s="776"/>
      <c r="AK196" s="776"/>
      <c r="AL196" s="776"/>
      <c r="AM196" s="776"/>
      <c r="AN196" s="776"/>
      <c r="AO196" s="436"/>
      <c r="AP196" s="21"/>
    </row>
    <row r="197" spans="2:42" ht="15" customHeight="1" x14ac:dyDescent="0.35">
      <c r="B197" s="429"/>
      <c r="C197" s="777" t="s">
        <v>212</v>
      </c>
      <c r="D197" s="776"/>
      <c r="E197" s="532" cm="1">
        <f t="array" aca="1" ref="E197" ca="1">OFFSET(E197,-3,0)*
OFFSET(MSP!$D$1,
MATCH(OFFSET($C192,((MATCH($C192,EL_List,0)-1)*-10)-1,0),MSP!$C:$C,0)+MATCH($C192,EL_List,0)-1,0)
*INDEX(Learning!$E$6:$S$41,(MATCH(E$21,Dates,0)),(MATCH($C$151,Learning!$E$4:$S$4,0)+MATCH($C$192,Learning!$E$5:$S$5,0)-1))</f>
        <v>9.792029078664152</v>
      </c>
      <c r="F197" s="532" cm="1">
        <f t="array" aca="1" ref="F197" ca="1">OFFSET(F197,-3,0)*
OFFSET(MSP!$D$1,
MATCH(OFFSET($C192,((MATCH($C192,EL_List,0)-1)*-10)-1,0),MSP!$C:$C,0)+MATCH($C192,EL_List,0)-1,0)
*INDEX(Learning!$E$6:$S$41,(MATCH(F$21,Dates,0)),(MATCH($C$151,Learning!$E$4:$S$4,0)+MATCH($C$192,Learning!$E$5:$S$5,0)-1))</f>
        <v>10.151222819599129</v>
      </c>
      <c r="G197" s="532" cm="1">
        <f t="array" aca="1" ref="G197" ca="1">OFFSET(G197,-3,0)*
OFFSET(MSP!$D$1,
MATCH(OFFSET($C192,((MATCH($C192,EL_List,0)-1)*-10)-1,0),MSP!$C:$C,0)+MATCH($C192,EL_List,0)-1,0)
*INDEX(Learning!$E$6:$S$41,(MATCH(G$21,Dates,0)),(MATCH($C$151,Learning!$E$4:$S$4,0)+MATCH($C$192,Learning!$E$5:$S$5,0)-1))</f>
        <v>10.469101225832215</v>
      </c>
      <c r="H197" s="532" cm="1">
        <f t="array" aca="1" ref="H197" ca="1">OFFSET(H197,-3,0)*
OFFSET(MSP!$D$1,
MATCH(OFFSET($C192,((MATCH($C192,EL_List,0)-1)*-10)-1,0),MSP!$C:$C,0)+MATCH($C192,EL_List,0)-1,0)
*INDEX(Learning!$E$6:$S$41,(MATCH(H$21,Dates,0)),(MATCH($C$151,Learning!$E$4:$S$4,0)+MATCH($C$192,Learning!$E$5:$S$5,0)-1))</f>
        <v>10.885907627432816</v>
      </c>
      <c r="I197" s="532" cm="1">
        <f t="array" aca="1" ref="I197" ca="1">OFFSET(I197,-3,0)*
OFFSET(MSP!$D$1,
MATCH(OFFSET($C192,((MATCH($C192,EL_List,0)-1)*-10)-1,0),MSP!$C:$C,0)+MATCH($C192,EL_List,0)-1,0)
*INDEX(Learning!$E$6:$S$41,(MATCH(I$21,Dates,0)),(MATCH($C$151,Learning!$E$4:$S$4,0)+MATCH($C$192,Learning!$E$5:$S$5,0)-1))</f>
        <v>11.342622166487425</v>
      </c>
      <c r="J197" s="532" cm="1">
        <f t="array" aca="1" ref="J197" ca="1">OFFSET(J197,-3,0)*
OFFSET(MSP!$D$1,
MATCH(OFFSET($C192,((MATCH($C192,EL_List,0)-1)*-10)-1,0),MSP!$C:$C,0)+MATCH($C192,EL_List,0)-1,0)
*INDEX(Learning!$E$6:$S$41,(MATCH(J$21,Dates,0)),(MATCH($C$151,Learning!$E$4:$S$4,0)+MATCH($C$192,Learning!$E$5:$S$5,0)-1))</f>
        <v>11.848403211080162</v>
      </c>
      <c r="K197" s="532" cm="1">
        <f t="array" aca="1" ref="K197" ca="1">OFFSET(K197,-3,0)*
OFFSET(MSP!$D$1,
MATCH(OFFSET($C192,((MATCH($C192,EL_List,0)-1)*-10)-1,0),MSP!$C:$C,0)+MATCH($C192,EL_List,0)-1,0)
*INDEX(Learning!$E$6:$S$41,(MATCH(K$21,Dates,0)),(MATCH($C$151,Learning!$E$4:$S$4,0)+MATCH($C$192,Learning!$E$5:$S$5,0)-1))</f>
        <v>12.395562294311491</v>
      </c>
      <c r="L197" s="532" cm="1">
        <f t="array" aca="1" ref="L197" ca="1">OFFSET(L197,-3,0)*
OFFSET(MSP!$D$1,
MATCH(OFFSET($C192,((MATCH($C192,EL_List,0)-1)*-10)-1,0),MSP!$C:$C,0)+MATCH($C192,EL_List,0)-1,0)
*INDEX(Learning!$E$6:$S$41,(MATCH(L$21,Dates,0)),(MATCH($C$151,Learning!$E$4:$S$4,0)+MATCH($C$192,Learning!$E$5:$S$5,0)-1))</f>
        <v>12.973236055789931</v>
      </c>
      <c r="M197" s="532" cm="1">
        <f t="array" aca="1" ref="M197" ca="1">OFFSET(M197,-3,0)*
OFFSET(MSP!$D$1,
MATCH(OFFSET($C192,((MATCH($C192,EL_List,0)-1)*-10)-1,0),MSP!$C:$C,0)+MATCH($C192,EL_List,0)-1,0)
*INDEX(Learning!$E$6:$S$41,(MATCH(M$21,Dates,0)),(MATCH($C$151,Learning!$E$4:$S$4,0)+MATCH($C$192,Learning!$E$5:$S$5,0)-1))</f>
        <v>13.586722334278544</v>
      </c>
      <c r="N197" s="532" cm="1">
        <f t="array" aca="1" ref="N197" ca="1">OFFSET(N197,-3,0)*
OFFSET(MSP!$D$1,
MATCH(OFFSET($C192,((MATCH($C192,EL_List,0)-1)*-10)-1,0),MSP!$C:$C,0)+MATCH($C192,EL_List,0)-1,0)
*INDEX(Learning!$E$6:$S$41,(MATCH(N$21,Dates,0)),(MATCH($C$151,Learning!$E$4:$S$4,0)+MATCH($C$192,Learning!$E$5:$S$5,0)-1))</f>
        <v>14.203577008788475</v>
      </c>
      <c r="O197" s="532" cm="1">
        <f t="array" aca="1" ref="O197" ca="1">OFFSET(O197,-3,0)*
OFFSET(MSP!$D$1,
MATCH(OFFSET($C192,((MATCH($C192,EL_List,0)-1)*-10)-1,0),MSP!$C:$C,0)+MATCH($C192,EL_List,0)-1,0)
*INDEX(Learning!$E$6:$S$41,(MATCH(O$21,Dates,0)),(MATCH($C$151,Learning!$E$4:$S$4,0)+MATCH($C$192,Learning!$E$5:$S$5,0)-1))</f>
        <v>14.851285374514742</v>
      </c>
      <c r="P197" s="532" cm="1">
        <f t="array" aca="1" ref="P197" ca="1">OFFSET(P197,-3,0)*
OFFSET(MSP!$D$1,
MATCH(OFFSET($C192,((MATCH($C192,EL_List,0)-1)*-10)-1,0),MSP!$C:$C,0)+MATCH($C192,EL_List,0)-1,0)
*INDEX(Learning!$E$6:$S$41,(MATCH(P$21,Dates,0)),(MATCH($C$151,Learning!$E$4:$S$4,0)+MATCH($C$192,Learning!$E$5:$S$5,0)-1))</f>
        <v>15.518805682408829</v>
      </c>
      <c r="Q197" s="532" cm="1">
        <f t="array" aca="1" ref="Q197" ca="1">OFFSET(Q197,-3,0)*
OFFSET(MSP!$D$1,
MATCH(OFFSET($C192,((MATCH($C192,EL_List,0)-1)*-10)-1,0),MSP!$C:$C,0)+MATCH($C192,EL_List,0)-1,0)
*INDEX(Learning!$E$6:$S$41,(MATCH(Q$21,Dates,0)),(MATCH($C$151,Learning!$E$4:$S$4,0)+MATCH($C$192,Learning!$E$5:$S$5,0)-1))</f>
        <v>16.210382037889726</v>
      </c>
      <c r="R197" s="532" cm="1">
        <f t="array" aca="1" ref="R197" ca="1">OFFSET(R197,-3,0)*
OFFSET(MSP!$D$1,
MATCH(OFFSET($C192,((MATCH($C192,EL_List,0)-1)*-10)-1,0),MSP!$C:$C,0)+MATCH($C192,EL_List,0)-1,0)
*INDEX(Learning!$E$6:$S$41,(MATCH(R$21,Dates,0)),(MATCH($C$151,Learning!$E$4:$S$4,0)+MATCH($C$192,Learning!$E$5:$S$5,0)-1))</f>
        <v>16.930938294184095</v>
      </c>
      <c r="S197" s="532" cm="1">
        <f t="array" aca="1" ref="S197" ca="1">OFFSET(S197,-3,0)*
OFFSET(MSP!$D$1,
MATCH(OFFSET($C192,((MATCH($C192,EL_List,0)-1)*-10)-1,0),MSP!$C:$C,0)+MATCH($C192,EL_List,0)-1,0)
*INDEX(Learning!$E$6:$S$41,(MATCH(S$21,Dates,0)),(MATCH($C$151,Learning!$E$4:$S$4,0)+MATCH($C$192,Learning!$E$5:$S$5,0)-1))</f>
        <v>17.702885932147083</v>
      </c>
      <c r="T197" s="532" cm="1">
        <f t="array" aca="1" ref="T197" ca="1">OFFSET(T197,-3,0)*
OFFSET(MSP!$D$1,
MATCH(OFFSET($C192,((MATCH($C192,EL_List,0)-1)*-10)-1,0),MSP!$C:$C,0)+MATCH($C192,EL_List,0)-1,0)
*INDEX(Learning!$E$6:$S$41,(MATCH(T$21,Dates,0)),(MATCH($C$151,Learning!$E$4:$S$4,0)+MATCH($C$192,Learning!$E$5:$S$5,0)-1))</f>
        <v>18.49243291613671</v>
      </c>
      <c r="U197" s="532" cm="1">
        <f t="array" aca="1" ref="U197" ca="1">OFFSET(U197,-3,0)*
OFFSET(MSP!$D$1,
MATCH(OFFSET($C192,((MATCH($C192,EL_List,0)-1)*-10)-1,0),MSP!$C:$C,0)+MATCH($C192,EL_List,0)-1,0)
*INDEX(Learning!$E$6:$S$41,(MATCH(U$21,Dates,0)),(MATCH($C$151,Learning!$E$4:$S$4,0)+MATCH($C$192,Learning!$E$5:$S$5,0)-1))</f>
        <v>19.339980951381985</v>
      </c>
      <c r="V197" s="532" cm="1">
        <f t="array" aca="1" ref="V197" ca="1">OFFSET(V197,-3,0)*
OFFSET(MSP!$D$1,
MATCH(OFFSET($C192,((MATCH($C192,EL_List,0)-1)*-10)-1,0),MSP!$C:$C,0)+MATCH($C192,EL_List,0)-1,0)
*INDEX(Learning!$E$6:$S$41,(MATCH(V$21,Dates,0)),(MATCH($C$151,Learning!$E$4:$S$4,0)+MATCH($C$192,Learning!$E$5:$S$5,0)-1))</f>
        <v>20.20325228813795</v>
      </c>
      <c r="W197" s="532" cm="1">
        <f t="array" aca="1" ref="W197" ca="1">OFFSET(W197,-3,0)*
OFFSET(MSP!$D$1,
MATCH(OFFSET($C192,((MATCH($C192,EL_List,0)-1)*-10)-1,0),MSP!$C:$C,0)+MATCH($C192,EL_List,0)-1,0)
*INDEX(Learning!$E$6:$S$41,(MATCH(W$21,Dates,0)),(MATCH($C$151,Learning!$E$4:$S$4,0)+MATCH($C$192,Learning!$E$5:$S$5,0)-1))</f>
        <v>21.126287253856898</v>
      </c>
      <c r="X197" s="532" cm="1">
        <f t="array" aca="1" ref="X197" ca="1">OFFSET(X197,-3,0)*
OFFSET(MSP!$D$1,
MATCH(OFFSET($C192,((MATCH($C192,EL_List,0)-1)*-10)-1,0),MSP!$C:$C,0)+MATCH($C192,EL_List,0)-1,0)
*INDEX(Learning!$E$6:$S$41,(MATCH(X$21,Dates,0)),(MATCH($C$151,Learning!$E$4:$S$4,0)+MATCH($C$192,Learning!$E$5:$S$5,0)-1))</f>
        <v>22.089333784770567</v>
      </c>
      <c r="Y197" s="532" cm="1">
        <f t="array" aca="1" ref="Y197" ca="1">OFFSET(Y197,-3,0)*
OFFSET(MSP!$D$1,
MATCH(OFFSET($C192,((MATCH($C192,EL_List,0)-1)*-10)-1,0),MSP!$C:$C,0)+MATCH($C192,EL_List,0)-1,0)
*INDEX(Learning!$E$6:$S$41,(MATCH(Y$21,Dates,0)),(MATCH($C$151,Learning!$E$4:$S$4,0)+MATCH($C$192,Learning!$E$5:$S$5,0)-1))</f>
        <v>23.06880342192791</v>
      </c>
      <c r="Z197" s="532" cm="1">
        <f t="array" aca="1" ref="Z197" ca="1">OFFSET(Z197,-3,0)*
OFFSET(MSP!$D$1,
MATCH(OFFSET($C192,((MATCH($C192,EL_List,0)-1)*-10)-1,0),MSP!$C:$C,0)+MATCH($C192,EL_List,0)-1,0)
*INDEX(Learning!$E$6:$S$41,(MATCH(Z$21,Dates,0)),(MATCH($C$151,Learning!$E$4:$S$4,0)+MATCH($C$192,Learning!$E$5:$S$5,0)-1))</f>
        <v>24.114704950891479</v>
      </c>
      <c r="AA197" s="532" cm="1">
        <f t="array" aca="1" ref="AA197" ca="1">OFFSET(AA197,-3,0)*
OFFSET(MSP!$D$1,
MATCH(OFFSET($C192,((MATCH($C192,EL_List,0)-1)*-10)-1,0),MSP!$C:$C,0)+MATCH($C192,EL_List,0)-1,0)
*INDEX(Learning!$E$6:$S$41,(MATCH(AA$21,Dates,0)),(MATCH($C$151,Learning!$E$4:$S$4,0)+MATCH($C$192,Learning!$E$5:$S$5,0)-1))</f>
        <v>25.205522850793724</v>
      </c>
      <c r="AB197" s="532" cm="1">
        <f t="array" aca="1" ref="AB197" ca="1">OFFSET(AB197,-3,0)*
OFFSET(MSP!$D$1,
MATCH(OFFSET($C192,((MATCH($C192,EL_List,0)-1)*-10)-1,0),MSP!$C:$C,0)+MATCH($C192,EL_List,0)-1,0)
*INDEX(Learning!$E$6:$S$41,(MATCH(AB$21,Dates,0)),(MATCH($C$151,Learning!$E$4:$S$4,0)+MATCH($C$192,Learning!$E$5:$S$5,0)-1))</f>
        <v>26.343667274883448</v>
      </c>
      <c r="AC197" s="532" cm="1">
        <f t="array" aca="1" ref="AC197" ca="1">OFFSET(AC197,-3,0)*
OFFSET(MSP!$D$1,
MATCH(OFFSET($C192,((MATCH($C192,EL_List,0)-1)*-10)-1,0),MSP!$C:$C,0)+MATCH($C192,EL_List,0)-1,0)
*INDEX(Learning!$E$6:$S$41,(MATCH(AC$21,Dates,0)),(MATCH($C$151,Learning!$E$4:$S$4,0)+MATCH($C$192,Learning!$E$5:$S$5,0)-1))</f>
        <v>27.531525529108816</v>
      </c>
      <c r="AD197" s="532" cm="1">
        <f t="array" aca="1" ref="AD197" ca="1">OFFSET(AD197,-3,0)*
OFFSET(MSP!$D$1,
MATCH(OFFSET($C192,((MATCH($C192,EL_List,0)-1)*-10)-1,0),MSP!$C:$C,0)+MATCH($C192,EL_List,0)-1,0)
*INDEX(Learning!$E$6:$S$41,(MATCH(AD$21,Dates,0)),(MATCH($C$151,Learning!$E$4:$S$4,0)+MATCH($C$192,Learning!$E$5:$S$5,0)-1))</f>
        <v>28.802995186295764</v>
      </c>
      <c r="AE197" s="532" cm="1">
        <f t="array" aca="1" ref="AE197" ca="1">OFFSET(AE197,-3,0)*
OFFSET(MSP!$D$1,
MATCH(OFFSET($C192,((MATCH($C192,EL_List,0)-1)*-10)-1,0),MSP!$C:$C,0)+MATCH($C192,EL_List,0)-1,0)
*INDEX(Learning!$E$6:$S$41,(MATCH(AE$21,Dates,0)),(MATCH($C$151,Learning!$E$4:$S$4,0)+MATCH($C$192,Learning!$E$5:$S$5,0)-1))</f>
        <v>30.09884083059076</v>
      </c>
      <c r="AF197" s="532" cm="1">
        <f t="array" aca="1" ref="AF197" ca="1">OFFSET(AF197,-3,0)*
OFFSET(MSP!$D$1,
MATCH(OFFSET($C192,((MATCH($C192,EL_List,0)-1)*-10)-1,0),MSP!$C:$C,0)+MATCH($C192,EL_List,0)-1,0)
*INDEX(Learning!$E$6:$S$41,(MATCH(AF$21,Dates,0)),(MATCH($C$151,Learning!$E$4:$S$4,0)+MATCH($C$192,Learning!$E$5:$S$5,0)-1))</f>
        <v>31.451393338898068</v>
      </c>
      <c r="AG197" s="532" cm="1">
        <f t="array" aca="1" ref="AG197" ca="1">OFFSET(AG197,-3,0)*
OFFSET(MSP!$D$1,
MATCH(OFFSET($C192,((MATCH($C192,EL_List,0)-1)*-10)-1,0),MSP!$C:$C,0)+MATCH($C192,EL_List,0)-1,0)
*INDEX(Learning!$E$6:$S$41,(MATCH(AG$21,Dates,0)),(MATCH($C$151,Learning!$E$4:$S$4,0)+MATCH($C$192,Learning!$E$5:$S$5,0)-1))</f>
        <v>32.8629689772199</v>
      </c>
      <c r="AH197" s="532" cm="1">
        <f t="array" aca="1" ref="AH197" ca="1">OFFSET(AH197,-3,0)*
OFFSET(MSP!$D$1,
MATCH(OFFSET($C192,((MATCH($C192,EL_List,0)-1)*-10)-1,0),MSP!$C:$C,0)+MATCH($C192,EL_List,0)-1,0)
*INDEX(Learning!$E$6:$S$41,(MATCH(AH$21,Dates,0)),(MATCH($C$151,Learning!$E$4:$S$4,0)+MATCH($C$192,Learning!$E$5:$S$5,0)-1))</f>
        <v>34.37426199392079</v>
      </c>
      <c r="AI197" s="532" cm="1">
        <f t="array" aca="1" ref="AI197" ca="1">OFFSET(AI197,-3,0)*
OFFSET(MSP!$D$1,
MATCH(OFFSET($C192,((MATCH($C192,EL_List,0)-1)*-10)-1,0),MSP!$C:$C,0)+MATCH($C192,EL_List,0)-1,0)
*INDEX(Learning!$E$6:$S$41,(MATCH(AI$21,Dates,0)),(MATCH($C$151,Learning!$E$4:$S$4,0)+MATCH($C$192,Learning!$E$5:$S$5,0)-1))</f>
        <v>35.913163981958043</v>
      </c>
      <c r="AJ197" s="532" cm="1">
        <f t="array" aca="1" ref="AJ197" ca="1">OFFSET(AJ197,-3,0)*
OFFSET(MSP!$D$1,
MATCH(OFFSET($C192,((MATCH($C192,EL_List,0)-1)*-10)-1,0),MSP!$C:$C,0)+MATCH($C192,EL_List,0)-1,0)
*INDEX(Learning!$E$6:$S$41,(MATCH(AJ$21,Dates,0)),(MATCH($C$151,Learning!$E$4:$S$4,0)+MATCH($C$192,Learning!$E$5:$S$5,0)-1))</f>
        <v>37.518870122535851</v>
      </c>
      <c r="AK197" s="532" cm="1">
        <f t="array" aca="1" ref="AK197" ca="1">OFFSET(AK197,-3,0)*
OFFSET(MSP!$D$1,
MATCH(OFFSET($C192,((MATCH($C192,EL_List,0)-1)*-10)-1,0),MSP!$C:$C,0)+MATCH($C192,EL_List,0)-1,0)
*INDEX(Learning!$E$6:$S$41,(MATCH(AK$21,Dates,0)),(MATCH($C$151,Learning!$E$4:$S$4,0)+MATCH($C$192,Learning!$E$5:$S$5,0)-1))</f>
        <v>39.238497104289053</v>
      </c>
      <c r="AL197" s="532" cm="1">
        <f t="array" aca="1" ref="AL197" ca="1">OFFSET(AL197,-3,0)*
OFFSET(MSP!$D$1,
MATCH(OFFSET($C192,((MATCH($C192,EL_List,0)-1)*-10)-1,0),MSP!$C:$C,0)+MATCH($C192,EL_List,0)-1,0)
*INDEX(Learning!$E$6:$S$41,(MATCH(AL$21,Dates,0)),(MATCH($C$151,Learning!$E$4:$S$4,0)+MATCH($C$192,Learning!$E$5:$S$5,0)-1))</f>
        <v>40.988777955481424</v>
      </c>
      <c r="AM197" s="532" cm="1">
        <f t="array" aca="1" ref="AM197" ca="1">OFFSET(AM197,-3,0)*
OFFSET(MSP!$D$1,
MATCH(OFFSET($C192,((MATCH($C192,EL_List,0)-1)*-10)-1,0),MSP!$C:$C,0)+MATCH($C192,EL_List,0)-1,0)
*INDEX(Learning!$E$6:$S$41,(MATCH(AM$21,Dates,0)),(MATCH($C$151,Learning!$E$4:$S$4,0)+MATCH($C$192,Learning!$E$5:$S$5,0)-1))</f>
        <v>42.863743481760785</v>
      </c>
      <c r="AN197" s="532" cm="1">
        <f t="array" aca="1" ref="AN197" ca="1">OFFSET(AN197,-3,0)*
OFFSET(MSP!$D$1,
MATCH(OFFSET($C192,((MATCH($C192,EL_List,0)-1)*-10)-1,0),MSP!$C:$C,0)+MATCH($C192,EL_List,0)-1,0)
*INDEX(Learning!$E$6:$S$41,(MATCH(AN$21,Dates,0)),(MATCH($C$151,Learning!$E$4:$S$4,0)+MATCH($C$192,Learning!$E$5:$S$5,0)-1))</f>
        <v>44.800794098729618</v>
      </c>
      <c r="AO197" s="436"/>
      <c r="AP197" s="21"/>
    </row>
    <row r="198" spans="2:42" ht="15" customHeight="1" x14ac:dyDescent="0.35">
      <c r="B198" s="429"/>
      <c r="C198" s="777" t="s">
        <v>213</v>
      </c>
      <c r="D198" s="776"/>
      <c r="E198" s="533" cm="1">
        <f t="array" aca="1" ref="E198" ca="1">OFFSET(E198,-4,0)*
OFFSET(MSP!$E$1,
MATCH(OFFSET($C192,((MATCH($C192,EL_List,0)-1)*-10)-1,0),MSP!$C:$C,0)+MATCH($C192,EL_List,0)-1,0)
*INDEX(Learning!$E$6:$S$41,(MATCH(E$21,Dates,0)),(MATCH($C$151,Learning!$E$4:$S$4,0)+MATCH($C$192,Learning!$E$5:$S$5,0)-1))</f>
        <v>0.34215113882582865</v>
      </c>
      <c r="F198" s="533" cm="1">
        <f t="array" aca="1" ref="F198" ca="1">OFFSET(F198,-4,0)*
OFFSET(MSP!$E$1,
MATCH(OFFSET($C192,((MATCH($C192,EL_List,0)-1)*-10)-1,0),MSP!$C:$C,0)+MATCH($C192,EL_List,0)-1,0)
*INDEX(Learning!$E$6:$S$41,(MATCH(F$21,Dates,0)),(MATCH($C$151,Learning!$E$4:$S$4,0)+MATCH($C$192,Learning!$E$5:$S$5,0)-1))</f>
        <v>0.35470201531248002</v>
      </c>
      <c r="G198" s="533" cm="1">
        <f t="array" aca="1" ref="G198" ca="1">OFFSET(G198,-4,0)*
OFFSET(MSP!$E$1,
MATCH(OFFSET($C192,((MATCH($C192,EL_List,0)-1)*-10)-1,0),MSP!$C:$C,0)+MATCH($C192,EL_List,0)-1,0)
*INDEX(Learning!$E$6:$S$41,(MATCH(G$21,Dates,0)),(MATCH($C$151,Learning!$E$4:$S$4,0)+MATCH($C$192,Learning!$E$5:$S$5,0)-1))</f>
        <v>0.36580925956462101</v>
      </c>
      <c r="H198" s="533" cm="1">
        <f t="array" aca="1" ref="H198" ca="1">OFFSET(H198,-4,0)*
OFFSET(MSP!$E$1,
MATCH(OFFSET($C192,((MATCH($C192,EL_List,0)-1)*-10)-1,0),MSP!$C:$C,0)+MATCH($C192,EL_List,0)-1,0)
*INDEX(Learning!$E$6:$S$41,(MATCH(H$21,Dates,0)),(MATCH($C$151,Learning!$E$4:$S$4,0)+MATCH($C$192,Learning!$E$5:$S$5,0)-1))</f>
        <v>0.38037322621871067</v>
      </c>
      <c r="I198" s="533" cm="1">
        <f t="array" aca="1" ref="I198" ca="1">OFFSET(I198,-4,0)*
OFFSET(MSP!$E$1,
MATCH(OFFSET($C192,((MATCH($C192,EL_List,0)-1)*-10)-1,0),MSP!$C:$C,0)+MATCH($C192,EL_List,0)-1,0)
*INDEX(Learning!$E$6:$S$41,(MATCH(I$21,Dates,0)),(MATCH($C$151,Learning!$E$4:$S$4,0)+MATCH($C$192,Learning!$E$5:$S$5,0)-1))</f>
        <v>0.39633165510004786</v>
      </c>
      <c r="J198" s="533" cm="1">
        <f t="array" aca="1" ref="J198" ca="1">OFFSET(J198,-4,0)*
OFFSET(MSP!$E$1,
MATCH(OFFSET($C192,((MATCH($C192,EL_List,0)-1)*-10)-1,0),MSP!$C:$C,0)+MATCH($C192,EL_List,0)-1,0)
*INDEX(Learning!$E$6:$S$41,(MATCH(J$21,Dates,0)),(MATCH($C$151,Learning!$E$4:$S$4,0)+MATCH($C$192,Learning!$E$5:$S$5,0)-1))</f>
        <v>0.41400455609060854</v>
      </c>
      <c r="K198" s="533" cm="1">
        <f t="array" aca="1" ref="K198" ca="1">OFFSET(K198,-4,0)*
OFFSET(MSP!$E$1,
MATCH(OFFSET($C192,((MATCH($C192,EL_List,0)-1)*-10)-1,0),MSP!$C:$C,0)+MATCH($C192,EL_List,0)-1,0)
*INDEX(Learning!$E$6:$S$41,(MATCH(K$21,Dates,0)),(MATCH($C$151,Learning!$E$4:$S$4,0)+MATCH($C$192,Learning!$E$5:$S$5,0)-1))</f>
        <v>0.43312328030420488</v>
      </c>
      <c r="L198" s="533" cm="1">
        <f t="array" aca="1" ref="L198" ca="1">OFFSET(L198,-4,0)*
OFFSET(MSP!$E$1,
MATCH(OFFSET($C192,((MATCH($C192,EL_List,0)-1)*-10)-1,0),MSP!$C:$C,0)+MATCH($C192,EL_List,0)-1,0)
*INDEX(Learning!$E$6:$S$41,(MATCH(L$21,Dates,0)),(MATCH($C$151,Learning!$E$4:$S$4,0)+MATCH($C$192,Learning!$E$5:$S$5,0)-1))</f>
        <v>0.45330824235566686</v>
      </c>
      <c r="M198" s="533" cm="1">
        <f t="array" aca="1" ref="M198" ca="1">OFFSET(M198,-4,0)*
OFFSET(MSP!$E$1,
MATCH(OFFSET($C192,((MATCH($C192,EL_List,0)-1)*-10)-1,0),MSP!$C:$C,0)+MATCH($C192,EL_List,0)-1,0)
*INDEX(Learning!$E$6:$S$41,(MATCH(M$21,Dates,0)),(MATCH($C$151,Learning!$E$4:$S$4,0)+MATCH($C$192,Learning!$E$5:$S$5,0)-1))</f>
        <v>0.47474455827677259</v>
      </c>
      <c r="N198" s="533" cm="1">
        <f t="array" aca="1" ref="N198" ca="1">OFFSET(N198,-4,0)*
OFFSET(MSP!$E$1,
MATCH(OFFSET($C192,((MATCH($C192,EL_List,0)-1)*-10)-1,0),MSP!$C:$C,0)+MATCH($C192,EL_List,0)-1,0)
*INDEX(Learning!$E$6:$S$41,(MATCH(N$21,Dates,0)),(MATCH($C$151,Learning!$E$4:$S$4,0)+MATCH($C$192,Learning!$E$5:$S$5,0)-1))</f>
        <v>0.49629857202388067</v>
      </c>
      <c r="O198" s="533" cm="1">
        <f t="array" aca="1" ref="O198" ca="1">OFFSET(O198,-4,0)*
OFFSET(MSP!$E$1,
MATCH(OFFSET($C192,((MATCH($C192,EL_List,0)-1)*-10)-1,0),MSP!$C:$C,0)+MATCH($C192,EL_List,0)-1,0)
*INDEX(Learning!$E$6:$S$41,(MATCH(O$21,Dates,0)),(MATCH($C$151,Learning!$E$4:$S$4,0)+MATCH($C$192,Learning!$E$5:$S$5,0)-1))</f>
        <v>0.51893066933281662</v>
      </c>
      <c r="P198" s="533" cm="1">
        <f t="array" aca="1" ref="P198" ca="1">OFFSET(P198,-4,0)*
OFFSET(MSP!$E$1,
MATCH(OFFSET($C192,((MATCH($C192,EL_List,0)-1)*-10)-1,0),MSP!$C:$C,0)+MATCH($C192,EL_List,0)-1,0)
*INDEX(Learning!$E$6:$S$41,(MATCH(P$21,Dates,0)),(MATCH($C$151,Learning!$E$4:$S$4,0)+MATCH($C$192,Learning!$E$5:$S$5,0)-1))</f>
        <v>0.54225503159732169</v>
      </c>
      <c r="Q198" s="533" cm="1">
        <f t="array" aca="1" ref="Q198" ca="1">OFFSET(Q198,-4,0)*
OFFSET(MSP!$E$1,
MATCH(OFFSET($C192,((MATCH($C192,EL_List,0)-1)*-10)-1,0),MSP!$C:$C,0)+MATCH($C192,EL_List,0)-1,0)
*INDEX(Learning!$E$6:$S$41,(MATCH(Q$21,Dates,0)),(MATCH($C$151,Learning!$E$4:$S$4,0)+MATCH($C$192,Learning!$E$5:$S$5,0)-1))</f>
        <v>0.56641995550756463</v>
      </c>
      <c r="R198" s="533" cm="1">
        <f t="array" aca="1" ref="R198" ca="1">OFFSET(R198,-4,0)*
OFFSET(MSP!$E$1,
MATCH(OFFSET($C192,((MATCH($C192,EL_List,0)-1)*-10)-1,0),MSP!$C:$C,0)+MATCH($C192,EL_List,0)-1,0)
*INDEX(Learning!$E$6:$S$41,(MATCH(R$21,Dates,0)),(MATCH($C$151,Learning!$E$4:$S$4,0)+MATCH($C$192,Learning!$E$5:$S$5,0)-1))</f>
        <v>0.59159748936685186</v>
      </c>
      <c r="S198" s="533" cm="1">
        <f t="array" aca="1" ref="S198" ca="1">OFFSET(S198,-4,0)*
OFFSET(MSP!$E$1,
MATCH(OFFSET($C192,((MATCH($C192,EL_List,0)-1)*-10)-1,0),MSP!$C:$C,0)+MATCH($C192,EL_List,0)-1,0)
*INDEX(Learning!$E$6:$S$41,(MATCH(S$21,Dates,0)),(MATCH($C$151,Learning!$E$4:$S$4,0)+MATCH($C$192,Learning!$E$5:$S$5,0)-1))</f>
        <v>0.61857073069621471</v>
      </c>
      <c r="T198" s="533" cm="1">
        <f t="array" aca="1" ref="T198" ca="1">OFFSET(T198,-4,0)*
OFFSET(MSP!$E$1,
MATCH(OFFSET($C192,((MATCH($C192,EL_List,0)-1)*-10)-1,0),MSP!$C:$C,0)+MATCH($C192,EL_List,0)-1,0)
*INDEX(Learning!$E$6:$S$41,(MATCH(T$21,Dates,0)),(MATCH($C$151,Learning!$E$4:$S$4,0)+MATCH($C$192,Learning!$E$5:$S$5,0)-1))</f>
        <v>0.64615892488542181</v>
      </c>
      <c r="U198" s="533" cm="1">
        <f t="array" aca="1" ref="U198" ca="1">OFFSET(U198,-4,0)*
OFFSET(MSP!$E$1,
MATCH(OFFSET($C192,((MATCH($C192,EL_List,0)-1)*-10)-1,0),MSP!$C:$C,0)+MATCH($C192,EL_List,0)-1,0)
*INDEX(Learning!$E$6:$S$41,(MATCH(U$21,Dates,0)),(MATCH($C$151,Learning!$E$4:$S$4,0)+MATCH($C$192,Learning!$E$5:$S$5,0)-1))</f>
        <v>0.67577378030906643</v>
      </c>
      <c r="V198" s="533" cm="1">
        <f t="array" aca="1" ref="V198" ca="1">OFFSET(V198,-4,0)*
OFFSET(MSP!$E$1,
MATCH(OFFSET($C192,((MATCH($C192,EL_List,0)-1)*-10)-1,0),MSP!$C:$C,0)+MATCH($C192,EL_List,0)-1,0)
*INDEX(Learning!$E$6:$S$41,(MATCH(V$21,Dates,0)),(MATCH($C$151,Learning!$E$4:$S$4,0)+MATCH($C$192,Learning!$E$5:$S$5,0)-1))</f>
        <v>0.70593803621699969</v>
      </c>
      <c r="W198" s="533" cm="1">
        <f t="array" aca="1" ref="W198" ca="1">OFFSET(W198,-4,0)*
OFFSET(MSP!$E$1,
MATCH(OFFSET($C192,((MATCH($C192,EL_List,0)-1)*-10)-1,0),MSP!$C:$C,0)+MATCH($C192,EL_List,0)-1,0)
*INDEX(Learning!$E$6:$S$41,(MATCH(W$21,Dates,0)),(MATCH($C$151,Learning!$E$4:$S$4,0)+MATCH($C$192,Learning!$E$5:$S$5,0)-1))</f>
        <v>0.73819054100019454</v>
      </c>
      <c r="X198" s="533" cm="1">
        <f t="array" aca="1" ref="X198" ca="1">OFFSET(X198,-4,0)*
OFFSET(MSP!$E$1,
MATCH(OFFSET($C192,((MATCH($C192,EL_List,0)-1)*-10)-1,0),MSP!$C:$C,0)+MATCH($C192,EL_List,0)-1,0)
*INDEX(Learning!$E$6:$S$41,(MATCH(X$21,Dates,0)),(MATCH($C$151,Learning!$E$4:$S$4,0)+MATCH($C$192,Learning!$E$5:$S$5,0)-1))</f>
        <v>0.77184112196224841</v>
      </c>
      <c r="Y198" s="533" cm="1">
        <f t="array" aca="1" ref="Y198" ca="1">OFFSET(Y198,-4,0)*
OFFSET(MSP!$E$1,
MATCH(OFFSET($C192,((MATCH($C192,EL_List,0)-1)*-10)-1,0),MSP!$C:$C,0)+MATCH($C192,EL_List,0)-1,0)
*INDEX(Learning!$E$6:$S$41,(MATCH(Y$21,Dates,0)),(MATCH($C$151,Learning!$E$4:$S$4,0)+MATCH($C$192,Learning!$E$5:$S$5,0)-1))</f>
        <v>0.8060655558468367</v>
      </c>
      <c r="Z198" s="533" cm="1">
        <f t="array" aca="1" ref="Z198" ca="1">OFFSET(Z198,-4,0)*
OFFSET(MSP!$E$1,
MATCH(OFFSET($C192,((MATCH($C192,EL_List,0)-1)*-10)-1,0),MSP!$C:$C,0)+MATCH($C192,EL_List,0)-1,0)
*INDEX(Learning!$E$6:$S$41,(MATCH(Z$21,Dates,0)),(MATCH($C$151,Learning!$E$4:$S$4,0)+MATCH($C$192,Learning!$E$5:$S$5,0)-1))</f>
        <v>0.84261123972499163</v>
      </c>
      <c r="AA198" s="533" cm="1">
        <f t="array" aca="1" ref="AA198" ca="1">OFFSET(AA198,-4,0)*
OFFSET(MSP!$E$1,
MATCH(OFFSET($C192,((MATCH($C192,EL_List,0)-1)*-10)-1,0),MSP!$C:$C,0)+MATCH($C192,EL_List,0)-1,0)
*INDEX(Learning!$E$6:$S$41,(MATCH(AA$21,Dates,0)),(MATCH($C$151,Learning!$E$4:$S$4,0)+MATCH($C$192,Learning!$E$5:$S$5,0)-1))</f>
        <v>0.88072638253194779</v>
      </c>
      <c r="AB198" s="533" cm="1">
        <f t="array" aca="1" ref="AB198" ca="1">OFFSET(AB198,-4,0)*
OFFSET(MSP!$E$1,
MATCH(OFFSET($C192,((MATCH($C192,EL_List,0)-1)*-10)-1,0),MSP!$C:$C,0)+MATCH($C192,EL_List,0)-1,0)
*INDEX(Learning!$E$6:$S$41,(MATCH(AB$21,Dates,0)),(MATCH($C$151,Learning!$E$4:$S$4,0)+MATCH($C$192,Learning!$E$5:$S$5,0)-1))</f>
        <v>0.92049519936471935</v>
      </c>
      <c r="AC198" s="533" cm="1">
        <f t="array" aca="1" ref="AC198" ca="1">OFFSET(AC198,-4,0)*
OFFSET(MSP!$E$1,
MATCH(OFFSET($C192,((MATCH($C192,EL_List,0)-1)*-10)-1,0),MSP!$C:$C,0)+MATCH($C192,EL_List,0)-1,0)
*INDEX(Learning!$E$6:$S$41,(MATCH(AC$21,Dates,0)),(MATCH($C$151,Learning!$E$4:$S$4,0)+MATCH($C$192,Learning!$E$5:$S$5,0)-1))</f>
        <v>0.96200110699447039</v>
      </c>
      <c r="AD198" s="533" cm="1">
        <f t="array" aca="1" ref="AD198" ca="1">OFFSET(AD198,-4,0)*
OFFSET(MSP!$E$1,
MATCH(OFFSET($C192,((MATCH($C192,EL_List,0)-1)*-10)-1,0),MSP!$C:$C,0)+MATCH($C192,EL_List,0)-1,0)
*INDEX(Learning!$E$6:$S$41,(MATCH(AD$21,Dates,0)),(MATCH($C$151,Learning!$E$4:$S$4,0)+MATCH($C$192,Learning!$E$5:$S$5,0)-1))</f>
        <v>1.0064285476907908</v>
      </c>
      <c r="AE198" s="533" cm="1">
        <f t="array" aca="1" ref="AE198" ca="1">OFFSET(AE198,-4,0)*
OFFSET(MSP!$E$1,
MATCH(OFFSET($C192,((MATCH($C192,EL_List,0)-1)*-10)-1,0),MSP!$C:$C,0)+MATCH($C192,EL_List,0)-1,0)
*INDEX(Learning!$E$6:$S$41,(MATCH(AE$21,Dates,0)),(MATCH($C$151,Learning!$E$4:$S$4,0)+MATCH($C$192,Learning!$E$5:$S$5,0)-1))</f>
        <v>1.0517077292961738</v>
      </c>
      <c r="AF198" s="533" cm="1">
        <f t="array" aca="1" ref="AF198" ca="1">OFFSET(AF198,-4,0)*
OFFSET(MSP!$E$1,
MATCH(OFFSET($C192,((MATCH($C192,EL_List,0)-1)*-10)-1,0),MSP!$C:$C,0)+MATCH($C192,EL_List,0)-1,0)
*INDEX(Learning!$E$6:$S$41,(MATCH(AF$21,Dates,0)),(MATCH($C$151,Learning!$E$4:$S$4,0)+MATCH($C$192,Learning!$E$5:$S$5,0)-1))</f>
        <v>1.0989683509019064</v>
      </c>
      <c r="AG198" s="533" cm="1">
        <f t="array" aca="1" ref="AG198" ca="1">OFFSET(AG198,-4,0)*
OFFSET(MSP!$E$1,
MATCH(OFFSET($C192,((MATCH($C192,EL_List,0)-1)*-10)-1,0),MSP!$C:$C,0)+MATCH($C192,EL_List,0)-1,0)
*INDEX(Learning!$E$6:$S$41,(MATCH(AG$21,Dates,0)),(MATCH($C$151,Learning!$E$4:$S$4,0)+MATCH($C$192,Learning!$E$5:$S$5,0)-1))</f>
        <v>1.148291347015445</v>
      </c>
      <c r="AH198" s="533" cm="1">
        <f t="array" aca="1" ref="AH198" ca="1">OFFSET(AH198,-4,0)*
OFFSET(MSP!$E$1,
MATCH(OFFSET($C192,((MATCH($C192,EL_List,0)-1)*-10)-1,0),MSP!$C:$C,0)+MATCH($C192,EL_List,0)-1,0)
*INDEX(Learning!$E$6:$S$41,(MATCH(AH$21,Dates,0)),(MATCH($C$151,Learning!$E$4:$S$4,0)+MATCH($C$192,Learning!$E$5:$S$5,0)-1))</f>
        <v>1.2010986479956292</v>
      </c>
      <c r="AI198" s="533" cm="1">
        <f t="array" aca="1" ref="AI198" ca="1">OFFSET(AI198,-4,0)*
OFFSET(MSP!$E$1,
MATCH(OFFSET($C192,((MATCH($C192,EL_List,0)-1)*-10)-1,0),MSP!$C:$C,0)+MATCH($C192,EL_List,0)-1,0)
*INDEX(Learning!$E$6:$S$41,(MATCH(AI$21,Dates,0)),(MATCH($C$151,Learning!$E$4:$S$4,0)+MATCH($C$192,Learning!$E$5:$S$5,0)-1))</f>
        <v>1.2548706561788512</v>
      </c>
      <c r="AJ198" s="533" cm="1">
        <f t="array" aca="1" ref="AJ198" ca="1">OFFSET(AJ198,-4,0)*
OFFSET(MSP!$E$1,
MATCH(OFFSET($C192,((MATCH($C192,EL_List,0)-1)*-10)-1,0),MSP!$C:$C,0)+MATCH($C192,EL_List,0)-1,0)
*INDEX(Learning!$E$6:$S$41,(MATCH(AJ$21,Dates,0)),(MATCH($C$151,Learning!$E$4:$S$4,0)+MATCH($C$192,Learning!$E$5:$S$5,0)-1))</f>
        <v>1.3109769218164193</v>
      </c>
      <c r="AK198" s="533" cm="1">
        <f t="array" aca="1" ref="AK198" ca="1">OFFSET(AK198,-4,0)*
OFFSET(MSP!$E$1,
MATCH(OFFSET($C192,((MATCH($C192,EL_List,0)-1)*-10)-1,0),MSP!$C:$C,0)+MATCH($C192,EL_List,0)-1,0)
*INDEX(Learning!$E$6:$S$41,(MATCH(AK$21,Dates,0)),(MATCH($C$151,Learning!$E$4:$S$4,0)+MATCH($C$192,Learning!$E$5:$S$5,0)-1))</f>
        <v>1.3710637869018678</v>
      </c>
      <c r="AL198" s="533" cm="1">
        <f t="array" aca="1" ref="AL198" ca="1">OFFSET(AL198,-4,0)*
OFFSET(MSP!$E$1,
MATCH(OFFSET($C192,((MATCH($C192,EL_List,0)-1)*-10)-1,0),MSP!$C:$C,0)+MATCH($C192,EL_List,0)-1,0)
*INDEX(Learning!$E$6:$S$41,(MATCH(AL$21,Dates,0)),(MATCH($C$151,Learning!$E$4:$S$4,0)+MATCH($C$192,Learning!$E$5:$S$5,0)-1))</f>
        <v>1.4322217534162205</v>
      </c>
      <c r="AM198" s="533" cm="1">
        <f t="array" aca="1" ref="AM198" ca="1">OFFSET(AM198,-4,0)*
OFFSET(MSP!$E$1,
MATCH(OFFSET($C192,((MATCH($C192,EL_List,0)-1)*-10)-1,0),MSP!$C:$C,0)+MATCH($C192,EL_List,0)-1,0)
*INDEX(Learning!$E$6:$S$41,(MATCH(AM$21,Dates,0)),(MATCH($C$151,Learning!$E$4:$S$4,0)+MATCH($C$192,Learning!$E$5:$S$5,0)-1))</f>
        <v>1.4977364271290943</v>
      </c>
      <c r="AN198" s="533" cm="1">
        <f t="array" aca="1" ref="AN198" ca="1">OFFSET(AN198,-4,0)*
OFFSET(MSP!$E$1,
MATCH(OFFSET($C192,((MATCH($C192,EL_List,0)-1)*-10)-1,0),MSP!$C:$C,0)+MATCH($C192,EL_List,0)-1,0)
*INDEX(Learning!$E$6:$S$41,(MATCH(AN$21,Dates,0)),(MATCH($C$151,Learning!$E$4:$S$4,0)+MATCH($C$192,Learning!$E$5:$S$5,0)-1))</f>
        <v>1.5654204657726534</v>
      </c>
      <c r="AO198" s="436"/>
      <c r="AP198" s="21"/>
    </row>
    <row r="199" spans="2:42" ht="15" customHeight="1" x14ac:dyDescent="0.35">
      <c r="B199" s="429"/>
      <c r="C199" s="777" t="s">
        <v>214</v>
      </c>
      <c r="D199" s="776"/>
      <c r="E199" s="533" cm="1">
        <f t="array" aca="1" ref="E199" ca="1">OFFSET(E199,-5,0)*
OFFSET(MSP!$F$1,
MATCH(OFFSET($C192,((MATCH($C192,EL_List,0)-1)*-10)-1,0),MSP!$C:$C,0)+MATCH($C192,EL_List,0)-1,0)
*INDEX(Learning!$E$6:$S$41,(MATCH(E$21,Dates,0)),(MATCH($C$151,Learning!$E$4:$S$4,0)+MATCH($C$192,Learning!$E$5:$S$5,0)-1))</f>
        <v>0.55963274117469208</v>
      </c>
      <c r="F199" s="533" cm="1">
        <f t="array" aca="1" ref="F199" ca="1">OFFSET(F199,-5,0)*
OFFSET(MSP!$F$1,
MATCH(OFFSET($C192,((MATCH($C192,EL_List,0)-1)*-10)-1,0),MSP!$C:$C,0)+MATCH($C192,EL_List,0)-1,0)
*INDEX(Learning!$E$6:$S$41,(MATCH(F$21,Dates,0)),(MATCH($C$151,Learning!$E$4:$S$4,0)+MATCH($C$192,Learning!$E$5:$S$5,0)-1))</f>
        <v>0.58016133399619718</v>
      </c>
      <c r="G199" s="533" cm="1">
        <f t="array" aca="1" ref="G199" ca="1">OFFSET(G199,-5,0)*
OFFSET(MSP!$F$1,
MATCH(OFFSET($C192,((MATCH($C192,EL_List,0)-1)*-10)-1,0),MSP!$C:$C,0)+MATCH($C192,EL_List,0)-1,0)
*INDEX(Learning!$E$6:$S$41,(MATCH(G$21,Dates,0)),(MATCH($C$151,Learning!$E$4:$S$4,0)+MATCH($C$192,Learning!$E$5:$S$5,0)-1))</f>
        <v>0.59832867831384029</v>
      </c>
      <c r="H199" s="533" cm="1">
        <f t="array" aca="1" ref="H199" ca="1">OFFSET(H199,-5,0)*
OFFSET(MSP!$F$1,
MATCH(OFFSET($C192,((MATCH($C192,EL_List,0)-1)*-10)-1,0),MSP!$C:$C,0)+MATCH($C192,EL_List,0)-1,0)
*INDEX(Learning!$E$6:$S$41,(MATCH(H$21,Dates,0)),(MATCH($C$151,Learning!$E$4:$S$4,0)+MATCH($C$192,Learning!$E$5:$S$5,0)-1))</f>
        <v>0.6221499422411656</v>
      </c>
      <c r="I199" s="533" cm="1">
        <f t="array" aca="1" ref="I199" ca="1">OFFSET(I199,-5,0)*
OFFSET(MSP!$F$1,
MATCH(OFFSET($C192,((MATCH($C192,EL_List,0)-1)*-10)-1,0),MSP!$C:$C,0)+MATCH($C192,EL_List,0)-1,0)
*INDEX(Learning!$E$6:$S$41,(MATCH(I$21,Dates,0)),(MATCH($C$151,Learning!$E$4:$S$4,0)+MATCH($C$192,Learning!$E$5:$S$5,0)-1))</f>
        <v>0.64825203072274262</v>
      </c>
      <c r="J199" s="533" cm="1">
        <f t="array" aca="1" ref="J199" ca="1">OFFSET(J199,-5,0)*
OFFSET(MSP!$F$1,
MATCH(OFFSET($C192,((MATCH($C192,EL_List,0)-1)*-10)-1,0),MSP!$C:$C,0)+MATCH($C192,EL_List,0)-1,0)
*INDEX(Learning!$E$6:$S$41,(MATCH(J$21,Dates,0)),(MATCH($C$151,Learning!$E$4:$S$4,0)+MATCH($C$192,Learning!$E$5:$S$5,0)-1))</f>
        <v>0.67715836159101739</v>
      </c>
      <c r="K199" s="533" cm="1">
        <f t="array" aca="1" ref="K199" ca="1">OFFSET(K199,-5,0)*
OFFSET(MSP!$F$1,
MATCH(OFFSET($C192,((MATCH($C192,EL_List,0)-1)*-10)-1,0),MSP!$C:$C,0)+MATCH($C192,EL_List,0)-1,0)
*INDEX(Learning!$E$6:$S$41,(MATCH(K$21,Dates,0)),(MATCH($C$151,Learning!$E$4:$S$4,0)+MATCH($C$192,Learning!$E$5:$S$5,0)-1))</f>
        <v>0.70842952461018938</v>
      </c>
      <c r="L199" s="533" cm="1">
        <f t="array" aca="1" ref="L199" ca="1">OFFSET(L199,-5,0)*
OFFSET(MSP!$F$1,
MATCH(OFFSET($C192,((MATCH($C192,EL_List,0)-1)*-10)-1,0),MSP!$C:$C,0)+MATCH($C192,EL_List,0)-1,0)
*INDEX(Learning!$E$6:$S$41,(MATCH(L$21,Dates,0)),(MATCH($C$151,Learning!$E$4:$S$4,0)+MATCH($C$192,Learning!$E$5:$S$5,0)-1))</f>
        <v>0.74144465845464269</v>
      </c>
      <c r="M199" s="533" cm="1">
        <f t="array" aca="1" ref="M199" ca="1">OFFSET(M199,-5,0)*
OFFSET(MSP!$F$1,
MATCH(OFFSET($C192,((MATCH($C192,EL_List,0)-1)*-10)-1,0),MSP!$C:$C,0)+MATCH($C192,EL_List,0)-1,0)
*INDEX(Learning!$E$6:$S$41,(MATCH(M$21,Dates,0)),(MATCH($C$151,Learning!$E$4:$S$4,0)+MATCH($C$192,Learning!$E$5:$S$5,0)-1))</f>
        <v>0.77650654449945822</v>
      </c>
      <c r="N199" s="533" cm="1">
        <f t="array" aca="1" ref="N199" ca="1">OFFSET(N199,-5,0)*
OFFSET(MSP!$F$1,
MATCH(OFFSET($C192,((MATCH($C192,EL_List,0)-1)*-10)-1,0),MSP!$C:$C,0)+MATCH($C192,EL_List,0)-1,0)
*INDEX(Learning!$E$6:$S$41,(MATCH(N$21,Dates,0)),(MATCH($C$151,Learning!$E$4:$S$4,0)+MATCH($C$192,Learning!$E$5:$S$5,0)-1))</f>
        <v>0.81176094066486559</v>
      </c>
      <c r="O199" s="533" cm="1">
        <f t="array" aca="1" ref="O199" ca="1">OFFSET(O199,-5,0)*
OFFSET(MSP!$F$1,
MATCH(OFFSET($C192,((MATCH($C192,EL_List,0)-1)*-10)-1,0),MSP!$C:$C,0)+MATCH($C192,EL_List,0)-1,0)
*INDEX(Learning!$E$6:$S$41,(MATCH(O$21,Dates,0)),(MATCH($C$151,Learning!$E$4:$S$4,0)+MATCH($C$192,Learning!$E$5:$S$5,0)-1))</f>
        <v>0.84877868287959979</v>
      </c>
      <c r="P199" s="533" cm="1">
        <f t="array" aca="1" ref="P199" ca="1">OFFSET(P199,-5,0)*
OFFSET(MSP!$F$1,
MATCH(OFFSET($C192,((MATCH($C192,EL_List,0)-1)*-10)-1,0),MSP!$C:$C,0)+MATCH($C192,EL_List,0)-1,0)
*INDEX(Learning!$E$6:$S$41,(MATCH(P$21,Dates,0)),(MATCH($C$151,Learning!$E$4:$S$4,0)+MATCH($C$192,Learning!$E$5:$S$5,0)-1))</f>
        <v>0.88692871457328692</v>
      </c>
      <c r="Q199" s="533" cm="1">
        <f t="array" aca="1" ref="Q199" ca="1">OFFSET(Q199,-5,0)*
OFFSET(MSP!$F$1,
MATCH(OFFSET($C192,((MATCH($C192,EL_List,0)-1)*-10)-1,0),MSP!$C:$C,0)+MATCH($C192,EL_List,0)-1,0)
*INDEX(Learning!$E$6:$S$41,(MATCH(Q$21,Dates,0)),(MATCH($C$151,Learning!$E$4:$S$4,0)+MATCH($C$192,Learning!$E$5:$S$5,0)-1))</f>
        <v>0.9264535942933313</v>
      </c>
      <c r="R199" s="533" cm="1">
        <f t="array" aca="1" ref="R199" ca="1">OFFSET(R199,-5,0)*
OFFSET(MSP!$F$1,
MATCH(OFFSET($C192,((MATCH($C192,EL_List,0)-1)*-10)-1,0),MSP!$C:$C,0)+MATCH($C192,EL_List,0)-1,0)
*INDEX(Learning!$E$6:$S$41,(MATCH(R$21,Dates,0)),(MATCH($C$151,Learning!$E$4:$S$4,0)+MATCH($C$192,Learning!$E$5:$S$5,0)-1))</f>
        <v>0.96763472944326911</v>
      </c>
      <c r="S199" s="533" cm="1">
        <f t="array" aca="1" ref="S199" ca="1">OFFSET(S199,-5,0)*
OFFSET(MSP!$F$1,
MATCH(OFFSET($C192,((MATCH($C192,EL_List,0)-1)*-10)-1,0),MSP!$C:$C,0)+MATCH($C192,EL_List,0)-1,0)
*INDEX(Learning!$E$6:$S$41,(MATCH(S$21,Dates,0)),(MATCH($C$151,Learning!$E$4:$S$4,0)+MATCH($C$192,Learning!$E$5:$S$5,0)-1))</f>
        <v>1.011752977990739</v>
      </c>
      <c r="T199" s="533" cm="1">
        <f t="array" aca="1" ref="T199" ca="1">OFFSET(T199,-5,0)*
OFFSET(MSP!$F$1,
MATCH(OFFSET($C192,((MATCH($C192,EL_List,0)-1)*-10)-1,0),MSP!$C:$C,0)+MATCH($C192,EL_List,0)-1,0)
*INDEX(Learning!$E$6:$S$41,(MATCH(T$21,Dates,0)),(MATCH($C$151,Learning!$E$4:$S$4,0)+MATCH($C$192,Learning!$E$5:$S$5,0)-1))</f>
        <v>1.056877062017316</v>
      </c>
      <c r="U199" s="533" cm="1">
        <f t="array" aca="1" ref="U199" ca="1">OFFSET(U199,-5,0)*
OFFSET(MSP!$F$1,
MATCH(OFFSET($C192,((MATCH($C192,EL_List,0)-1)*-10)-1,0),MSP!$C:$C,0)+MATCH($C192,EL_List,0)-1,0)
*INDEX(Learning!$E$6:$S$41,(MATCH(U$21,Dates,0)),(MATCH($C$151,Learning!$E$4:$S$4,0)+MATCH($C$192,Learning!$E$5:$S$5,0)-1))</f>
        <v>1.1053160143969634</v>
      </c>
      <c r="V199" s="533" cm="1">
        <f t="array" aca="1" ref="V199" ca="1">OFFSET(V199,-5,0)*
OFFSET(MSP!$F$1,
MATCH(OFFSET($C192,((MATCH($C192,EL_List,0)-1)*-10)-1,0),MSP!$C:$C,0)+MATCH($C192,EL_List,0)-1,0)
*INDEX(Learning!$E$6:$S$41,(MATCH(V$21,Dates,0)),(MATCH($C$151,Learning!$E$4:$S$4,0)+MATCH($C$192,Learning!$E$5:$S$5,0)-1))</f>
        <v>1.1546535828095146</v>
      </c>
      <c r="W199" s="533" cm="1">
        <f t="array" aca="1" ref="W199" ca="1">OFFSET(W199,-5,0)*
OFFSET(MSP!$F$1,
MATCH(OFFSET($C192,((MATCH($C192,EL_List,0)-1)*-10)-1,0),MSP!$C:$C,0)+MATCH($C192,EL_List,0)-1,0)
*INDEX(Learning!$E$6:$S$41,(MATCH(W$21,Dates,0)),(MATCH($C$151,Learning!$E$4:$S$4,0)+MATCH($C$192,Learning!$E$5:$S$5,0)-1))</f>
        <v>1.2074067541814131</v>
      </c>
      <c r="X199" s="533" cm="1">
        <f t="array" aca="1" ref="X199" ca="1">OFFSET(X199,-5,0)*
OFFSET(MSP!$F$1,
MATCH(OFFSET($C192,((MATCH($C192,EL_List,0)-1)*-10)-1,0),MSP!$C:$C,0)+MATCH($C192,EL_List,0)-1,0)
*INDEX(Learning!$E$6:$S$41,(MATCH(X$21,Dates,0)),(MATCH($C$151,Learning!$E$4:$S$4,0)+MATCH($C$192,Learning!$E$5:$S$5,0)-1))</f>
        <v>1.2624466611960192</v>
      </c>
      <c r="Y199" s="533" cm="1">
        <f t="array" aca="1" ref="Y199" ca="1">OFFSET(Y199,-5,0)*
OFFSET(MSP!$F$1,
MATCH(OFFSET($C192,((MATCH($C192,EL_List,0)-1)*-10)-1,0),MSP!$C:$C,0)+MATCH($C192,EL_List,0)-1,0)
*INDEX(Learning!$E$6:$S$41,(MATCH(Y$21,Dates,0)),(MATCH($C$151,Learning!$E$4:$S$4,0)+MATCH($C$192,Learning!$E$5:$S$5,0)-1))</f>
        <v>1.3184251793903834</v>
      </c>
      <c r="Z199" s="533" cm="1">
        <f t="array" aca="1" ref="Z199" ca="1">OFFSET(Z199,-5,0)*
OFFSET(MSP!$F$1,
MATCH(OFFSET($C192,((MATCH($C192,EL_List,0)-1)*-10)-1,0),MSP!$C:$C,0)+MATCH($C192,EL_List,0)-1,0)
*INDEX(Learning!$E$6:$S$41,(MATCH(Z$21,Dates,0)),(MATCH($C$151,Learning!$E$4:$S$4,0)+MATCH($C$192,Learning!$E$5:$S$5,0)-1))</f>
        <v>1.378200404213606</v>
      </c>
      <c r="AA199" s="533" cm="1">
        <f t="array" aca="1" ref="AA199" ca="1">OFFSET(AA199,-5,0)*
OFFSET(MSP!$F$1,
MATCH(OFFSET($C192,((MATCH($C192,EL_List,0)-1)*-10)-1,0),MSP!$C:$C,0)+MATCH($C192,EL_List,0)-1,0)
*INDEX(Learning!$E$6:$S$41,(MATCH(AA$21,Dates,0)),(MATCH($C$151,Learning!$E$4:$S$4,0)+MATCH($C$192,Learning!$E$5:$S$5,0)-1))</f>
        <v>1.440542683483879</v>
      </c>
      <c r="AB199" s="533" cm="1">
        <f t="array" aca="1" ref="AB199" ca="1">OFFSET(AB199,-5,0)*
OFFSET(MSP!$F$1,
MATCH(OFFSET($C192,((MATCH($C192,EL_List,0)-1)*-10)-1,0),MSP!$C:$C,0)+MATCH($C192,EL_List,0)-1,0)
*INDEX(Learning!$E$6:$S$41,(MATCH(AB$21,Dates,0)),(MATCH($C$151,Learning!$E$4:$S$4,0)+MATCH($C$192,Learning!$E$5:$S$5,0)-1))</f>
        <v>1.5055897619585394</v>
      </c>
      <c r="AC199" s="533" cm="1">
        <f t="array" aca="1" ref="AC199" ca="1">OFFSET(AC199,-5,0)*
OFFSET(MSP!$F$1,
MATCH(OFFSET($C192,((MATCH($C192,EL_List,0)-1)*-10)-1,0),MSP!$C:$C,0)+MATCH($C192,EL_List,0)-1,0)
*INDEX(Learning!$E$6:$S$41,(MATCH(AC$21,Dates,0)),(MATCH($C$151,Learning!$E$4:$S$4,0)+MATCH($C$192,Learning!$E$5:$S$5,0)-1))</f>
        <v>1.5734780786290425</v>
      </c>
      <c r="AD199" s="533" cm="1">
        <f t="array" aca="1" ref="AD199" ca="1">OFFSET(AD199,-5,0)*
OFFSET(MSP!$F$1,
MATCH(OFFSET($C192,((MATCH($C192,EL_List,0)-1)*-10)-1,0),MSP!$C:$C,0)+MATCH($C192,EL_List,0)-1,0)
*INDEX(Learning!$E$6:$S$41,(MATCH(AD$21,Dates,0)),(MATCH($C$151,Learning!$E$4:$S$4,0)+MATCH($C$192,Learning!$E$5:$S$5,0)-1))</f>
        <v>1.6461449430608881</v>
      </c>
      <c r="AE199" s="533" cm="1">
        <f t="array" aca="1" ref="AE199" ca="1">OFFSET(AE199,-5,0)*
OFFSET(MSP!$F$1,
MATCH(OFFSET($C192,((MATCH($C192,EL_List,0)-1)*-10)-1,0),MSP!$C:$C,0)+MATCH($C192,EL_List,0)-1,0)
*INDEX(Learning!$E$6:$S$41,(MATCH(AE$21,Dates,0)),(MATCH($C$151,Learning!$E$4:$S$4,0)+MATCH($C$192,Learning!$E$5:$S$5,0)-1))</f>
        <v>1.7202049406599791</v>
      </c>
      <c r="AF199" s="533" cm="1">
        <f t="array" aca="1" ref="AF199" ca="1">OFFSET(AF199,-5,0)*
OFFSET(MSP!$F$1,
MATCH(OFFSET($C192,((MATCH($C192,EL_List,0)-1)*-10)-1,0),MSP!$C:$C,0)+MATCH($C192,EL_List,0)-1,0)
*INDEX(Learning!$E$6:$S$41,(MATCH(AF$21,Dates,0)),(MATCH($C$151,Learning!$E$4:$S$4,0)+MATCH($C$192,Learning!$E$5:$S$5,0)-1))</f>
        <v>1.797505841395252</v>
      </c>
      <c r="AG199" s="533" cm="1">
        <f t="array" aca="1" ref="AG199" ca="1">OFFSET(AG199,-5,0)*
OFFSET(MSP!$F$1,
MATCH(OFFSET($C192,((MATCH($C192,EL_List,0)-1)*-10)-1,0),MSP!$C:$C,0)+MATCH($C192,EL_List,0)-1,0)
*INDEX(Learning!$E$6:$S$41,(MATCH(AG$21,Dates,0)),(MATCH($C$151,Learning!$E$4:$S$4,0)+MATCH($C$192,Learning!$E$5:$S$5,0)-1))</f>
        <v>1.878180024192637</v>
      </c>
      <c r="AH199" s="533" cm="1">
        <f t="array" aca="1" ref="AH199" ca="1">OFFSET(AH199,-5,0)*
OFFSET(MSP!$F$1,
MATCH(OFFSET($C192,((MATCH($C192,EL_List,0)-1)*-10)-1,0),MSP!$C:$C,0)+MATCH($C192,EL_List,0)-1,0)
*INDEX(Learning!$E$6:$S$41,(MATCH(AH$21,Dates,0)),(MATCH($C$151,Learning!$E$4:$S$4,0)+MATCH($C$192,Learning!$E$5:$S$5,0)-1))</f>
        <v>1.9645532413124001</v>
      </c>
      <c r="AI199" s="533" cm="1">
        <f t="array" aca="1" ref="AI199" ca="1">OFFSET(AI199,-5,0)*
OFFSET(MSP!$F$1,
MATCH(OFFSET($C192,((MATCH($C192,EL_List,0)-1)*-10)-1,0),MSP!$C:$C,0)+MATCH($C192,EL_List,0)-1,0)
*INDEX(Learning!$E$6:$S$41,(MATCH(AI$21,Dates,0)),(MATCH($C$151,Learning!$E$4:$S$4,0)+MATCH($C$192,Learning!$E$5:$S$5,0)-1))</f>
        <v>2.0525043626832487</v>
      </c>
      <c r="AJ199" s="533" cm="1">
        <f t="array" aca="1" ref="AJ199" ca="1">OFFSET(AJ199,-5,0)*
OFFSET(MSP!$F$1,
MATCH(OFFSET($C192,((MATCH($C192,EL_List,0)-1)*-10)-1,0),MSP!$C:$C,0)+MATCH($C192,EL_List,0)-1,0)
*INDEX(Learning!$E$6:$S$41,(MATCH(AJ$21,Dates,0)),(MATCH($C$151,Learning!$E$4:$S$4,0)+MATCH($C$192,Learning!$E$5:$S$5,0)-1))</f>
        <v>2.1442734660788427</v>
      </c>
      <c r="AK199" s="533" cm="1">
        <f t="array" aca="1" ref="AK199" ca="1">OFFSET(AK199,-5,0)*
OFFSET(MSP!$F$1,
MATCH(OFFSET($C192,((MATCH($C192,EL_List,0)-1)*-10)-1,0),MSP!$C:$C,0)+MATCH($C192,EL_List,0)-1,0)
*INDEX(Learning!$E$6:$S$41,(MATCH(AK$21,Dates,0)),(MATCH($C$151,Learning!$E$4:$S$4,0)+MATCH($C$192,Learning!$E$5:$S$5,0)-1))</f>
        <v>2.2425533582100243</v>
      </c>
      <c r="AL199" s="533" cm="1">
        <f t="array" aca="1" ref="AL199" ca="1">OFFSET(AL199,-5,0)*
OFFSET(MSP!$F$1,
MATCH(OFFSET($C192,((MATCH($C192,EL_List,0)-1)*-10)-1,0),MSP!$C:$C,0)+MATCH($C192,EL_List,0)-1,0)
*INDEX(Learning!$E$6:$S$41,(MATCH(AL$21,Dates,0)),(MATCH($C$151,Learning!$E$4:$S$4,0)+MATCH($C$192,Learning!$E$5:$S$5,0)-1))</f>
        <v>2.3425851762029493</v>
      </c>
      <c r="AM199" s="533" cm="1">
        <f t="array" aca="1" ref="AM199" ca="1">OFFSET(AM199,-5,0)*
OFFSET(MSP!$F$1,
MATCH(OFFSET($C192,((MATCH($C192,EL_List,0)-1)*-10)-1,0),MSP!$C:$C,0)+MATCH($C192,EL_List,0)-1,0)
*INDEX(Learning!$E$6:$S$41,(MATCH(AM$21,Dates,0)),(MATCH($C$151,Learning!$E$4:$S$4,0)+MATCH($C$192,Learning!$E$5:$S$5,0)-1))</f>
        <v>2.4497429561329609</v>
      </c>
      <c r="AN199" s="533" cm="1">
        <f t="array" aca="1" ref="AN199" ca="1">OFFSET(AN199,-5,0)*
OFFSET(MSP!$F$1,
MATCH(OFFSET($C192,((MATCH($C192,EL_List,0)-1)*-10)-1,0),MSP!$C:$C,0)+MATCH($C192,EL_List,0)-1,0)
*INDEX(Learning!$E$6:$S$41,(MATCH(AN$21,Dates,0)),(MATCH($C$151,Learning!$E$4:$S$4,0)+MATCH($C$192,Learning!$E$5:$S$5,0)-1))</f>
        <v>2.5604490148935914</v>
      </c>
      <c r="AO199" s="436"/>
      <c r="AP199" s="21"/>
    </row>
    <row r="200" spans="2:42" ht="15" customHeight="1" collapsed="1" x14ac:dyDescent="0.35">
      <c r="B200" s="429"/>
      <c r="C200" s="777" t="s">
        <v>215</v>
      </c>
      <c r="D200" s="776"/>
      <c r="E200" s="531" cm="1">
        <f t="array" aca="1" ref="E200" ca="1">OFFSET(E200,-6,0)*
OFFSET(MSP!$G$1,
MATCH(OFFSET($C192,((MATCH($C192,EL_List,0)-1)*-10)-1,0),MSP!$C:$C,0)+MATCH($C192,EL_List,0)-1,0)
*INDEX(Learning!$E$6:$S$41,(MATCH(E$21,Dates,0)),(MATCH($C$151,Learning!$E$4:$S$4,0)+MATCH($C$192,Learning!$E$5:$S$5,0)-1))</f>
        <v>0.33343317285635471</v>
      </c>
      <c r="F200" s="531" cm="1">
        <f t="array" aca="1" ref="F200" ca="1">OFFSET(F200,-6,0)*
OFFSET(MSP!$G$1,
MATCH(OFFSET($C192,((MATCH($C192,EL_List,0)-1)*-10)-1,0),MSP!$C:$C,0)+MATCH($C192,EL_List,0)-1,0)
*INDEX(Learning!$E$6:$S$41,(MATCH(F$21,Dates,0)),(MATCH($C$151,Learning!$E$4:$S$4,0)+MATCH($C$192,Learning!$E$5:$S$5,0)-1))</f>
        <v>0.34566425466258155</v>
      </c>
      <c r="G200" s="531" cm="1">
        <f t="array" aca="1" ref="G200" ca="1">OFFSET(G200,-6,0)*
OFFSET(MSP!$G$1,
MATCH(OFFSET($C192,((MATCH($C192,EL_List,0)-1)*-10)-1,0),MSP!$C:$C,0)+MATCH($C192,EL_List,0)-1,0)
*INDEX(Learning!$E$6:$S$41,(MATCH(G$21,Dates,0)),(MATCH($C$151,Learning!$E$4:$S$4,0)+MATCH($C$192,Learning!$E$5:$S$5,0)-1))</f>
        <v>0.3564884877935639</v>
      </c>
      <c r="H200" s="531" cm="1">
        <f t="array" aca="1" ref="H200" ca="1">OFFSET(H200,-6,0)*
OFFSET(MSP!$G$1,
MATCH(OFFSET($C192,((MATCH($C192,EL_List,0)-1)*-10)-1,0),MSP!$C:$C,0)+MATCH($C192,EL_List,0)-1,0)
*INDEX(Learning!$E$6:$S$41,(MATCH(H$21,Dates,0)),(MATCH($C$151,Learning!$E$4:$S$4,0)+MATCH($C$192,Learning!$E$5:$S$5,0)-1))</f>
        <v>0.37068136649480726</v>
      </c>
      <c r="I200" s="531" cm="1">
        <f t="array" aca="1" ref="I200" ca="1">OFFSET(I200,-6,0)*
OFFSET(MSP!$G$1,
MATCH(OFFSET($C192,((MATCH($C192,EL_List,0)-1)*-10)-1,0),MSP!$C:$C,0)+MATCH($C192,EL_List,0)-1,0)
*INDEX(Learning!$E$6:$S$41,(MATCH(I$21,Dates,0)),(MATCH($C$151,Learning!$E$4:$S$4,0)+MATCH($C$192,Learning!$E$5:$S$5,0)-1))</f>
        <v>0.38623317670934365</v>
      </c>
      <c r="J200" s="531" cm="1">
        <f t="array" aca="1" ref="J200" ca="1">OFFSET(J200,-6,0)*
OFFSET(MSP!$G$1,
MATCH(OFFSET($C192,((MATCH($C192,EL_List,0)-1)*-10)-1,0),MSP!$C:$C,0)+MATCH($C192,EL_List,0)-1,0)
*INDEX(Learning!$E$6:$S$41,(MATCH(J$21,Dates,0)),(MATCH($C$151,Learning!$E$4:$S$4,0)+MATCH($C$192,Learning!$E$5:$S$5,0)-1))</f>
        <v>0.40345577450948872</v>
      </c>
      <c r="K200" s="531" cm="1">
        <f t="array" aca="1" ref="K200" ca="1">OFFSET(K200,-6,0)*
OFFSET(MSP!$G$1,
MATCH(OFFSET($C192,((MATCH($C192,EL_List,0)-1)*-10)-1,0),MSP!$C:$C,0)+MATCH($C192,EL_List,0)-1,0)
*INDEX(Learning!$E$6:$S$41,(MATCH(K$21,Dates,0)),(MATCH($C$151,Learning!$E$4:$S$4,0)+MATCH($C$192,Learning!$E$5:$S$5,0)-1))</f>
        <v>0.42208735614730442</v>
      </c>
      <c r="L200" s="531" cm="1">
        <f t="array" aca="1" ref="L200" ca="1">OFFSET(L200,-6,0)*
OFFSET(MSP!$G$1,
MATCH(OFFSET($C192,((MATCH($C192,EL_List,0)-1)*-10)-1,0),MSP!$C:$C,0)+MATCH($C192,EL_List,0)-1,0)
*INDEX(Learning!$E$6:$S$41,(MATCH(L$21,Dates,0)),(MATCH($C$151,Learning!$E$4:$S$4,0)+MATCH($C$192,Learning!$E$5:$S$5,0)-1))</f>
        <v>0.44175800802325843</v>
      </c>
      <c r="M200" s="531" cm="1">
        <f t="array" aca="1" ref="M200" ca="1">OFFSET(M200,-6,0)*
OFFSET(MSP!$G$1,
MATCH(OFFSET($C192,((MATCH($C192,EL_List,0)-1)*-10)-1,0),MSP!$C:$C,0)+MATCH($C192,EL_List,0)-1,0)
*INDEX(Learning!$E$6:$S$41,(MATCH(M$21,Dates,0)),(MATCH($C$151,Learning!$E$4:$S$4,0)+MATCH($C$192,Learning!$E$5:$S$5,0)-1))</f>
        <v>0.46264812943701156</v>
      </c>
      <c r="N200" s="531" cm="1">
        <f t="array" aca="1" ref="N200" ca="1">OFFSET(N200,-6,0)*
OFFSET(MSP!$G$1,
MATCH(OFFSET($C192,((MATCH($C192,EL_List,0)-1)*-10)-1,0),MSP!$C:$C,0)+MATCH($C192,EL_List,0)-1,0)
*INDEX(Learning!$E$6:$S$41,(MATCH(N$21,Dates,0)),(MATCH($C$151,Learning!$E$4:$S$4,0)+MATCH($C$192,Learning!$E$5:$S$5,0)-1))</f>
        <v>0.48365294975165662</v>
      </c>
      <c r="O200" s="531" cm="1">
        <f t="array" aca="1" ref="O200" ca="1">OFFSET(O200,-6,0)*
OFFSET(MSP!$G$1,
MATCH(OFFSET($C192,((MATCH($C192,EL_List,0)-1)*-10)-1,0),MSP!$C:$C,0)+MATCH($C192,EL_List,0)-1,0)
*INDEX(Learning!$E$6:$S$41,(MATCH(O$21,Dates,0)),(MATCH($C$151,Learning!$E$4:$S$4,0)+MATCH($C$192,Learning!$E$5:$S$5,0)-1))</f>
        <v>0.50570838420091557</v>
      </c>
      <c r="P200" s="531" cm="1">
        <f t="array" aca="1" ref="P200" ca="1">OFFSET(P200,-6,0)*
OFFSET(MSP!$G$1,
MATCH(OFFSET($C192,((MATCH($C192,EL_List,0)-1)*-10)-1,0),MSP!$C:$C,0)+MATCH($C192,EL_List,0)-1,0)
*INDEX(Learning!$E$6:$S$41,(MATCH(P$21,Dates,0)),(MATCH($C$151,Learning!$E$4:$S$4,0)+MATCH($C$192,Learning!$E$5:$S$5,0)-1))</f>
        <v>0.52843844478581936</v>
      </c>
      <c r="Q200" s="531" cm="1">
        <f t="array" aca="1" ref="Q200" ca="1">OFFSET(Q200,-6,0)*
OFFSET(MSP!$G$1,
MATCH(OFFSET($C192,((MATCH($C192,EL_List,0)-1)*-10)-1,0),MSP!$C:$C,0)+MATCH($C192,EL_List,0)-1,0)
*INDEX(Learning!$E$6:$S$41,(MATCH(Q$21,Dates,0)),(MATCH($C$151,Learning!$E$4:$S$4,0)+MATCH($C$192,Learning!$E$5:$S$5,0)-1))</f>
        <v>0.55198764961639657</v>
      </c>
      <c r="R200" s="531" cm="1">
        <f t="array" aca="1" ref="R200" ca="1">OFFSET(R200,-6,0)*
OFFSET(MSP!$G$1,
MATCH(OFFSET($C192,((MATCH($C192,EL_List,0)-1)*-10)-1,0),MSP!$C:$C,0)+MATCH($C192,EL_List,0)-1,0)
*INDEX(Learning!$E$6:$S$41,(MATCH(R$21,Dates,0)),(MATCH($C$151,Learning!$E$4:$S$4,0)+MATCH($C$192,Learning!$E$5:$S$5,0)-1))</f>
        <v>0.57652366322783721</v>
      </c>
      <c r="S200" s="531" cm="1">
        <f t="array" aca="1" ref="S200" ca="1">OFFSET(S200,-6,0)*
OFFSET(MSP!$G$1,
MATCH(OFFSET($C192,((MATCH($C192,EL_List,0)-1)*-10)-1,0),MSP!$C:$C,0)+MATCH($C192,EL_List,0)-1,0)
*INDEX(Learning!$E$6:$S$41,(MATCH(S$21,Dates,0)),(MATCH($C$151,Learning!$E$4:$S$4,0)+MATCH($C$192,Learning!$E$5:$S$5,0)-1))</f>
        <v>0.60280962991943976</v>
      </c>
      <c r="T200" s="531" cm="1">
        <f t="array" aca="1" ref="T200" ca="1">OFFSET(T200,-6,0)*
OFFSET(MSP!$G$1,
MATCH(OFFSET($C192,((MATCH($C192,EL_List,0)-1)*-10)-1,0),MSP!$C:$C,0)+MATCH($C192,EL_List,0)-1,0)
*INDEX(Learning!$E$6:$S$41,(MATCH(T$21,Dates,0)),(MATCH($C$151,Learning!$E$4:$S$4,0)+MATCH($C$192,Learning!$E$5:$S$5,0)-1))</f>
        <v>0.62969488055298273</v>
      </c>
      <c r="U200" s="531" cm="1">
        <f t="array" aca="1" ref="U200" ca="1">OFFSET(U200,-6,0)*
OFFSET(MSP!$G$1,
MATCH(OFFSET($C192,((MATCH($C192,EL_List,0)-1)*-10)-1,0),MSP!$C:$C,0)+MATCH($C192,EL_List,0)-1,0)
*INDEX(Learning!$E$6:$S$41,(MATCH(U$21,Dates,0)),(MATCH($C$151,Learning!$E$4:$S$4,0)+MATCH($C$192,Learning!$E$5:$S$5,0)-1))</f>
        <v>0.65855515335954118</v>
      </c>
      <c r="V200" s="531" cm="1">
        <f t="array" aca="1" ref="V200" ca="1">OFFSET(V200,-6,0)*
OFFSET(MSP!$G$1,
MATCH(OFFSET($C192,((MATCH($C192,EL_List,0)-1)*-10)-1,0),MSP!$C:$C,0)+MATCH($C192,EL_List,0)-1,0)
*INDEX(Learning!$E$6:$S$41,(MATCH(V$21,Dates,0)),(MATCH($C$151,Learning!$E$4:$S$4,0)+MATCH($C$192,Learning!$E$5:$S$5,0)-1))</f>
        <v>0.68795082799838292</v>
      </c>
      <c r="W200" s="531" cm="1">
        <f t="array" aca="1" ref="W200" ca="1">OFFSET(W200,-6,0)*
OFFSET(MSP!$G$1,
MATCH(OFFSET($C192,((MATCH($C192,EL_List,0)-1)*-10)-1,0),MSP!$C:$C,0)+MATCH($C192,EL_List,0)-1,0)
*INDEX(Learning!$E$6:$S$41,(MATCH(W$21,Dates,0)),(MATCH($C$151,Learning!$E$4:$S$4,0)+MATCH($C$192,Learning!$E$5:$S$5,0)-1))</f>
        <v>0.71938154320608461</v>
      </c>
      <c r="X200" s="531" cm="1">
        <f t="array" aca="1" ref="X200" ca="1">OFFSET(X200,-6,0)*
OFFSET(MSP!$G$1,
MATCH(OFFSET($C192,((MATCH($C192,EL_List,0)-1)*-10)-1,0),MSP!$C:$C,0)+MATCH($C192,EL_List,0)-1,0)
*INDEX(Learning!$E$6:$S$41,(MATCH(X$21,Dates,0)),(MATCH($C$151,Learning!$E$4:$S$4,0)+MATCH($C$192,Learning!$E$5:$S$5,0)-1))</f>
        <v>0.75217471179567952</v>
      </c>
      <c r="Y200" s="531" cm="1">
        <f t="array" aca="1" ref="Y200" ca="1">OFFSET(Y200,-6,0)*
OFFSET(MSP!$G$1,
MATCH(OFFSET($C192,((MATCH($C192,EL_List,0)-1)*-10)-1,0),MSP!$C:$C,0)+MATCH($C192,EL_List,0)-1,0)
*INDEX(Learning!$E$6:$S$41,(MATCH(Y$21,Dates,0)),(MATCH($C$151,Learning!$E$4:$S$4,0)+MATCH($C$192,Learning!$E$5:$S$5,0)-1))</f>
        <v>0.78552711161089628</v>
      </c>
      <c r="Z200" s="531" cm="1">
        <f t="array" aca="1" ref="Z200" ca="1">OFFSET(Z200,-6,0)*
OFFSET(MSP!$G$1,
MATCH(OFFSET($C192,((MATCH($C192,EL_List,0)-1)*-10)-1,0),MSP!$C:$C,0)+MATCH($C192,EL_List,0)-1,0)
*INDEX(Learning!$E$6:$S$41,(MATCH(Z$21,Dates,0)),(MATCH($C$151,Learning!$E$4:$S$4,0)+MATCH($C$192,Learning!$E$5:$S$5,0)-1))</f>
        <v>0.82114161627546078</v>
      </c>
      <c r="AA200" s="531" cm="1">
        <f t="array" aca="1" ref="AA200" ca="1">OFFSET(AA200,-6,0)*
OFFSET(MSP!$G$1,
MATCH(OFFSET($C192,((MATCH($C192,EL_List,0)-1)*-10)-1,0),MSP!$C:$C,0)+MATCH($C192,EL_List,0)-1,0)
*INDEX(Learning!$E$6:$S$41,(MATCH(AA$21,Dates,0)),(MATCH($C$151,Learning!$E$4:$S$4,0)+MATCH($C$192,Learning!$E$5:$S$5,0)-1))</f>
        <v>0.8582855902619565</v>
      </c>
      <c r="AB200" s="531" cm="1">
        <f t="array" aca="1" ref="AB200" ca="1">OFFSET(AB200,-6,0)*
OFFSET(MSP!$G$1,
MATCH(OFFSET($C192,((MATCH($C192,EL_List,0)-1)*-10)-1,0),MSP!$C:$C,0)+MATCH($C192,EL_List,0)-1,0)
*INDEX(Learning!$E$6:$S$41,(MATCH(AB$21,Dates,0)),(MATCH($C$151,Learning!$E$4:$S$4,0)+MATCH($C$192,Learning!$E$5:$S$5,0)-1))</f>
        <v>0.89704110287781336</v>
      </c>
      <c r="AC200" s="531" cm="1">
        <f t="array" aca="1" ref="AC200" ca="1">OFFSET(AC200,-6,0)*
OFFSET(MSP!$G$1,
MATCH(OFFSET($C192,((MATCH($C192,EL_List,0)-1)*-10)-1,0),MSP!$C:$C,0)+MATCH($C192,EL_List,0)-1,0)
*INDEX(Learning!$E$6:$S$41,(MATCH(AC$21,Dates,0)),(MATCH($C$151,Learning!$E$4:$S$4,0)+MATCH($C$192,Learning!$E$5:$S$5,0)-1))</f>
        <v>0.93748944544584911</v>
      </c>
      <c r="AD200" s="531" cm="1">
        <f t="array" aca="1" ref="AD200" ca="1">OFFSET(AD200,-6,0)*
OFFSET(MSP!$G$1,
MATCH(OFFSET($C192,((MATCH($C192,EL_List,0)-1)*-10)-1,0),MSP!$C:$C,0)+MATCH($C192,EL_List,0)-1,0)
*INDEX(Learning!$E$6:$S$41,(MATCH(AD$21,Dates,0)),(MATCH($C$151,Learning!$E$4:$S$4,0)+MATCH($C$192,Learning!$E$5:$S$5,0)-1))</f>
        <v>0.98078488080256887</v>
      </c>
      <c r="AE200" s="531" cm="1">
        <f t="array" aca="1" ref="AE200" ca="1">OFFSET(AE200,-6,0)*
OFFSET(MSP!$G$1,
MATCH(OFFSET($C192,((MATCH($C192,EL_List,0)-1)*-10)-1,0),MSP!$C:$C,0)+MATCH($C192,EL_List,0)-1,0)
*INDEX(Learning!$E$6:$S$41,(MATCH(AE$21,Dates,0)),(MATCH($C$151,Learning!$E$4:$S$4,0)+MATCH($C$192,Learning!$E$5:$S$5,0)-1))</f>
        <v>1.0249103548221288</v>
      </c>
      <c r="AF200" s="531" cm="1">
        <f t="array" aca="1" ref="AF200" ca="1">OFFSET(AF200,-6,0)*
OFFSET(MSP!$G$1,
MATCH(OFFSET($C192,((MATCH($C192,EL_List,0)-1)*-10)-1,0),MSP!$C:$C,0)+MATCH($C192,EL_List,0)-1,0)
*INDEX(Learning!$E$6:$S$41,(MATCH(AF$21,Dates,0)),(MATCH($C$151,Learning!$E$4:$S$4,0)+MATCH($C$192,Learning!$E$5:$S$5,0)-1))</f>
        <v>1.0709667820117068</v>
      </c>
      <c r="AG200" s="531" cm="1">
        <f t="array" aca="1" ref="AG200" ca="1">OFFSET(AG200,-6,0)*
OFFSET(MSP!$G$1,
MATCH(OFFSET($C192,((MATCH($C192,EL_List,0)-1)*-10)-1,0),MSP!$C:$C,0)+MATCH($C192,EL_List,0)-1,0)
*INDEX(Learning!$E$6:$S$41,(MATCH(AG$21,Dates,0)),(MATCH($C$151,Learning!$E$4:$S$4,0)+MATCH($C$192,Learning!$E$5:$S$5,0)-1))</f>
        <v>1.1190330346781654</v>
      </c>
      <c r="AH200" s="531" cm="1">
        <f t="array" aca="1" ref="AH200" ca="1">OFFSET(AH200,-6,0)*
OFFSET(MSP!$G$1,
MATCH(OFFSET($C192,((MATCH($C192,EL_List,0)-1)*-10)-1,0),MSP!$C:$C,0)+MATCH($C192,EL_List,0)-1,0)
*INDEX(Learning!$E$6:$S$41,(MATCH(AH$21,Dates,0)),(MATCH($C$151,Learning!$E$4:$S$4,0)+MATCH($C$192,Learning!$E$5:$S$5,0)-1))</f>
        <v>1.1704948125820129</v>
      </c>
      <c r="AI200" s="531" cm="1">
        <f t="array" aca="1" ref="AI200" ca="1">OFFSET(AI200,-6,0)*
OFFSET(MSP!$G$1,
MATCH(OFFSET($C192,((MATCH($C192,EL_List,0)-1)*-10)-1,0),MSP!$C:$C,0)+MATCH($C192,EL_List,0)-1,0)
*INDEX(Learning!$E$6:$S$41,(MATCH(AI$21,Dates,0)),(MATCH($C$151,Learning!$E$4:$S$4,0)+MATCH($C$192,Learning!$E$5:$S$5,0)-1))</f>
        <v>1.2228967170763789</v>
      </c>
      <c r="AJ200" s="531" cm="1">
        <f t="array" aca="1" ref="AJ200" ca="1">OFFSET(AJ200,-6,0)*
OFFSET(MSP!$G$1,
MATCH(OFFSET($C192,((MATCH($C192,EL_List,0)-1)*-10)-1,0),MSP!$C:$C,0)+MATCH($C192,EL_List,0)-1,0)
*INDEX(Learning!$E$6:$S$41,(MATCH(AJ$21,Dates,0)),(MATCH($C$151,Learning!$E$4:$S$4,0)+MATCH($C$192,Learning!$E$5:$S$5,0)-1))</f>
        <v>1.2775734024524839</v>
      </c>
      <c r="AK200" s="531" cm="1">
        <f t="array" aca="1" ref="AK200" ca="1">OFFSET(AK200,-6,0)*
OFFSET(MSP!$G$1,
MATCH(OFFSET($C192,((MATCH($C192,EL_List,0)-1)*-10)-1,0),MSP!$C:$C,0)+MATCH($C192,EL_List,0)-1,0)
*INDEX(Learning!$E$6:$S$41,(MATCH(AK$21,Dates,0)),(MATCH($C$151,Learning!$E$4:$S$4,0)+MATCH($C$192,Learning!$E$5:$S$5,0)-1))</f>
        <v>1.336129262126625</v>
      </c>
      <c r="AL200" s="531" cm="1">
        <f t="array" aca="1" ref="AL200" ca="1">OFFSET(AL200,-6,0)*
OFFSET(MSP!$G$1,
MATCH(OFFSET($C192,((MATCH($C192,EL_List,0)-1)*-10)-1,0),MSP!$C:$C,0)+MATCH($C192,EL_List,0)-1,0)
*INDEX(Learning!$E$6:$S$41,(MATCH(AL$21,Dates,0)),(MATCH($C$151,Learning!$E$4:$S$4,0)+MATCH($C$192,Learning!$E$5:$S$5,0)-1))</f>
        <v>1.3957289317062835</v>
      </c>
      <c r="AM200" s="531" cm="1">
        <f t="array" aca="1" ref="AM200" ca="1">OFFSET(AM200,-6,0)*
OFFSET(MSP!$G$1,
MATCH(OFFSET($C192,((MATCH($C192,EL_List,0)-1)*-10)-1,0),MSP!$C:$C,0)+MATCH($C192,EL_List,0)-1,0)
*INDEX(Learning!$E$6:$S$41,(MATCH(AM$21,Dates,0)),(MATCH($C$151,Learning!$E$4:$S$4,0)+MATCH($C$192,Learning!$E$5:$S$5,0)-1))</f>
        <v>1.4595743001586514</v>
      </c>
      <c r="AN200" s="531" cm="1">
        <f t="array" aca="1" ref="AN200" ca="1">OFFSET(AN200,-6,0)*
OFFSET(MSP!$G$1,
MATCH(OFFSET($C192,((MATCH($C192,EL_List,0)-1)*-10)-1,0),MSP!$C:$C,0)+MATCH($C192,EL_List,0)-1,0)
*INDEX(Learning!$E$6:$S$41,(MATCH(AN$21,Dates,0)),(MATCH($C$151,Learning!$E$4:$S$4,0)+MATCH($C$192,Learning!$E$5:$S$5,0)-1))</f>
        <v>1.5255337584088906</v>
      </c>
      <c r="AO200" s="436"/>
      <c r="AP200" s="21"/>
    </row>
    <row r="201" spans="2:42" ht="15" customHeight="1" x14ac:dyDescent="0.35">
      <c r="B201" s="429"/>
      <c r="C201" s="776"/>
      <c r="D201" s="776"/>
      <c r="E201" s="776"/>
      <c r="F201" s="776"/>
      <c r="G201" s="776"/>
      <c r="H201" s="776"/>
      <c r="I201" s="776"/>
      <c r="J201" s="776"/>
      <c r="K201" s="776"/>
      <c r="L201" s="776"/>
      <c r="M201" s="776"/>
      <c r="N201" s="776"/>
      <c r="O201" s="776"/>
      <c r="P201" s="776"/>
      <c r="Q201" s="776"/>
      <c r="R201" s="776"/>
      <c r="S201" s="776"/>
      <c r="T201" s="776"/>
      <c r="U201" s="776"/>
      <c r="V201" s="776"/>
      <c r="W201" s="776"/>
      <c r="X201" s="776"/>
      <c r="Y201" s="776"/>
      <c r="Z201" s="776"/>
      <c r="AA201" s="776"/>
      <c r="AB201" s="776"/>
      <c r="AC201" s="776"/>
      <c r="AD201" s="776"/>
      <c r="AE201" s="776"/>
      <c r="AF201" s="776"/>
      <c r="AG201" s="776"/>
      <c r="AH201" s="776"/>
      <c r="AI201" s="776"/>
      <c r="AJ201" s="776"/>
      <c r="AK201" s="776"/>
      <c r="AL201" s="776"/>
      <c r="AM201" s="776"/>
      <c r="AN201" s="776"/>
      <c r="AO201" s="436"/>
      <c r="AP201" s="21"/>
    </row>
    <row r="202" spans="2:42" ht="15" customHeight="1" x14ac:dyDescent="0.35">
      <c r="B202" s="429"/>
      <c r="C202" s="776"/>
      <c r="D202" s="776"/>
      <c r="E202" s="776"/>
      <c r="F202" s="776"/>
      <c r="G202" s="776"/>
      <c r="H202" s="776"/>
      <c r="I202" s="776"/>
      <c r="J202" s="776"/>
      <c r="K202" s="776"/>
      <c r="L202" s="776"/>
      <c r="M202" s="776"/>
      <c r="N202" s="776"/>
      <c r="O202" s="776"/>
      <c r="P202" s="776"/>
      <c r="Q202" s="776"/>
      <c r="R202" s="776"/>
      <c r="S202" s="776"/>
      <c r="T202" s="776"/>
      <c r="U202" s="776"/>
      <c r="V202" s="776"/>
      <c r="W202" s="776"/>
      <c r="X202" s="776"/>
      <c r="Y202" s="776"/>
      <c r="Z202" s="776"/>
      <c r="AA202" s="776"/>
      <c r="AB202" s="776"/>
      <c r="AC202" s="776"/>
      <c r="AD202" s="776"/>
      <c r="AE202" s="776"/>
      <c r="AF202" s="776"/>
      <c r="AG202" s="776"/>
      <c r="AH202" s="776"/>
      <c r="AI202" s="776"/>
      <c r="AJ202" s="776"/>
      <c r="AK202" s="776"/>
      <c r="AL202" s="776"/>
      <c r="AM202" s="776"/>
      <c r="AN202" s="776"/>
      <c r="AO202" s="436"/>
      <c r="AP202" s="21"/>
    </row>
    <row r="203" spans="2:42" ht="15" customHeight="1" collapsed="1" x14ac:dyDescent="0.35">
      <c r="B203" s="429"/>
      <c r="C203" s="772" t="s">
        <v>57</v>
      </c>
      <c r="D203" s="779"/>
      <c r="E203" s="772">
        <f>Reference_Year -1</f>
        <v>2022</v>
      </c>
      <c r="F203" s="772">
        <f ca="1">OFFSET(F203,0,-1)+1</f>
        <v>2023</v>
      </c>
      <c r="G203" s="772">
        <f t="shared" ref="G203:AN203" ca="1" si="45">OFFSET(G203,0,-1)+1</f>
        <v>2024</v>
      </c>
      <c r="H203" s="772">
        <f t="shared" ca="1" si="45"/>
        <v>2025</v>
      </c>
      <c r="I203" s="772">
        <f t="shared" ca="1" si="45"/>
        <v>2026</v>
      </c>
      <c r="J203" s="772">
        <f t="shared" ca="1" si="45"/>
        <v>2027</v>
      </c>
      <c r="K203" s="772">
        <f t="shared" ca="1" si="45"/>
        <v>2028</v>
      </c>
      <c r="L203" s="772">
        <f t="shared" ca="1" si="45"/>
        <v>2029</v>
      </c>
      <c r="M203" s="772">
        <f t="shared" ca="1" si="45"/>
        <v>2030</v>
      </c>
      <c r="N203" s="772">
        <f t="shared" ca="1" si="45"/>
        <v>2031</v>
      </c>
      <c r="O203" s="772">
        <f t="shared" ca="1" si="45"/>
        <v>2032</v>
      </c>
      <c r="P203" s="772">
        <f t="shared" ca="1" si="45"/>
        <v>2033</v>
      </c>
      <c r="Q203" s="772">
        <f t="shared" ca="1" si="45"/>
        <v>2034</v>
      </c>
      <c r="R203" s="772">
        <f t="shared" ca="1" si="45"/>
        <v>2035</v>
      </c>
      <c r="S203" s="772">
        <f t="shared" ca="1" si="45"/>
        <v>2036</v>
      </c>
      <c r="T203" s="772">
        <f t="shared" ca="1" si="45"/>
        <v>2037</v>
      </c>
      <c r="U203" s="772">
        <f t="shared" ca="1" si="45"/>
        <v>2038</v>
      </c>
      <c r="V203" s="772">
        <f t="shared" ca="1" si="45"/>
        <v>2039</v>
      </c>
      <c r="W203" s="772">
        <f t="shared" ca="1" si="45"/>
        <v>2040</v>
      </c>
      <c r="X203" s="772">
        <f t="shared" ca="1" si="45"/>
        <v>2041</v>
      </c>
      <c r="Y203" s="772">
        <f t="shared" ca="1" si="45"/>
        <v>2042</v>
      </c>
      <c r="Z203" s="772">
        <f t="shared" ca="1" si="45"/>
        <v>2043</v>
      </c>
      <c r="AA203" s="772">
        <f t="shared" ca="1" si="45"/>
        <v>2044</v>
      </c>
      <c r="AB203" s="772">
        <f t="shared" ca="1" si="45"/>
        <v>2045</v>
      </c>
      <c r="AC203" s="772">
        <f t="shared" ca="1" si="45"/>
        <v>2046</v>
      </c>
      <c r="AD203" s="772">
        <f t="shared" ca="1" si="45"/>
        <v>2047</v>
      </c>
      <c r="AE203" s="772">
        <f t="shared" ca="1" si="45"/>
        <v>2048</v>
      </c>
      <c r="AF203" s="772">
        <f t="shared" ca="1" si="45"/>
        <v>2049</v>
      </c>
      <c r="AG203" s="772">
        <f t="shared" ca="1" si="45"/>
        <v>2050</v>
      </c>
      <c r="AH203" s="772">
        <f t="shared" ca="1" si="45"/>
        <v>2051</v>
      </c>
      <c r="AI203" s="772">
        <f t="shared" ca="1" si="45"/>
        <v>2052</v>
      </c>
      <c r="AJ203" s="772">
        <f t="shared" ca="1" si="45"/>
        <v>2053</v>
      </c>
      <c r="AK203" s="772">
        <f t="shared" ca="1" si="45"/>
        <v>2054</v>
      </c>
      <c r="AL203" s="772">
        <f t="shared" ca="1" si="45"/>
        <v>2055</v>
      </c>
      <c r="AM203" s="772">
        <f t="shared" ca="1" si="45"/>
        <v>2056</v>
      </c>
      <c r="AN203" s="772">
        <f t="shared" ca="1" si="45"/>
        <v>2057</v>
      </c>
      <c r="AO203" s="436"/>
      <c r="AP203" s="21"/>
    </row>
    <row r="204" spans="2:42" ht="15" customHeight="1" x14ac:dyDescent="0.35">
      <c r="B204" s="429"/>
      <c r="C204" s="777" t="s">
        <v>141</v>
      </c>
      <c r="D204" s="777"/>
      <c r="E204" s="534">
        <f ca="1">IF(OFFSET(NAMES!$G$1,MATCH($C151,NAMES!$D:$D,0)-1,0)=TRUE,
(SUMIF($C152:$C201,"Unit Sales (MM)",E152:E201)),
0)</f>
        <v>3.7853986610744879</v>
      </c>
      <c r="F204" s="534">
        <f ca="1">IF(OFFSET(NAMES!$G$1,MATCH($C151,NAMES!$D:$D,0)-1,0)=TRUE,
(SUMIF($C152:$C201,"Unit Sales (MM)",F152:F201)),
0)</f>
        <v>3.9546762192129674</v>
      </c>
      <c r="G204" s="534">
        <f ca="1">IF(OFFSET(NAMES!$G$1,MATCH($C151,NAMES!$D:$D,0)-1,0)=TRUE,
(SUMIF($C152:$C201,"Unit Sales (MM)",G152:G201)),
0)</f>
        <v>4.1063673920537482</v>
      </c>
      <c r="H204" s="534">
        <f ca="1">IF(OFFSET(NAMES!$G$1,MATCH($C151,NAMES!$D:$D,0)-1,0)=TRUE,
(SUMIF($C152:$C201,"Unit Sales (MM)",H152:H201)),
0)</f>
        <v>4.2992147170041459</v>
      </c>
      <c r="I204" s="534">
        <f ca="1">IF(OFFSET(NAMES!$G$1,MATCH($C151,NAMES!$D:$D,0)-1,0)=TRUE,
(SUMIF($C152:$C201,"Unit Sales (MM)",I152:I201)),
0)</f>
        <v>4.5061456181350472</v>
      </c>
      <c r="J204" s="534">
        <f ca="1">IF(OFFSET(NAMES!$G$1,MATCH($C151,NAMES!$D:$D,0)-1,0)=TRUE,
(SUMIF($C152:$C201,"Unit Sales (MM)",J152:J201)),
0)</f>
        <v>4.7351540592059296</v>
      </c>
      <c r="K204" s="534">
        <f ca="1">IF(OFFSET(NAMES!$G$1,MATCH($C151,NAMES!$D:$D,0)-1,0)=TRUE,
(SUMIF($C152:$C201,"Unit Sales (MM)",K152:K201)),
0)</f>
        <v>4.9835463433177907</v>
      </c>
      <c r="L204" s="534">
        <f ca="1">IF(OFFSET(NAMES!$G$1,MATCH($C151,NAMES!$D:$D,0)-1,0)=TRUE,
(SUMIF($C152:$C201,"Unit Sales (MM)",L152:L201)),
0)</f>
        <v>5.2472795867143809</v>
      </c>
      <c r="M204" s="534">
        <f ca="1">IF(OFFSET(NAMES!$G$1,MATCH($C151,NAMES!$D:$D,0)-1,0)=TRUE,
(SUMIF($C152:$C201,"Unit Sales (MM)",M152:M201)),
0)</f>
        <v>5.5231988261096285</v>
      </c>
      <c r="N204" s="534">
        <f ca="1">IF(OFFSET(NAMES!$G$1,MATCH($C151,NAMES!$D:$D,0)-1,0)=TRUE,
(SUMIF($C152:$C201,"Unit Sales (MM)",N152:N201)),
0)</f>
        <v>5.8092020428854791</v>
      </c>
      <c r="O204" s="534">
        <f ca="1">IF(OFFSET(NAMES!$G$1,MATCH($C151,NAMES!$D:$D,0)-1,0)=TRUE,
(SUMIF($C152:$C201,"Unit Sales (MM)",O152:O201)),
0)</f>
        <v>6.1051657271239534</v>
      </c>
      <c r="P204" s="534">
        <f ca="1">IF(OFFSET(NAMES!$G$1,MATCH($C151,NAMES!$D:$D,0)-1,0)=TRUE,
(SUMIF($C152:$C201,"Unit Sales (MM)",P152:P201)),
0)</f>
        <v>6.4123574536839678</v>
      </c>
      <c r="Q204" s="534">
        <f ca="1">IF(OFFSET(NAMES!$G$1,MATCH($C151,NAMES!$D:$D,0)-1,0)=TRUE,
(SUMIF($C152:$C201,"Unit Sales (MM)",Q152:Q201)),
0)</f>
        <v>6.7327139297788969</v>
      </c>
      <c r="R204" s="534">
        <f ca="1">IF(OFFSET(NAMES!$G$1,MATCH($C151,NAMES!$D:$D,0)-1,0)=TRUE,
(SUMIF($C152:$C201,"Unit Sales (MM)",R152:R201)),
0)</f>
        <v>7.0684958728439096</v>
      </c>
      <c r="S204" s="534">
        <f ca="1">IF(OFFSET(NAMES!$G$1,MATCH($C151,NAMES!$D:$D,0)-1,0)=TRUE,
(SUMIF($C152:$C201,"Unit Sales (MM)",S152:S201)),
0)</f>
        <v>7.4216032336847135</v>
      </c>
      <c r="T204" s="534">
        <f ca="1">IF(OFFSET(NAMES!$G$1,MATCH($C151,NAMES!$D:$D,0)-1,0)=TRUE,
(SUMIF($C152:$C201,"Unit Sales (MM)",T152:T201)),
0)</f>
        <v>7.793238120218124</v>
      </c>
      <c r="U204" s="534">
        <f ca="1">IF(OFFSET(NAMES!$G$1,MATCH($C151,NAMES!$D:$D,0)-1,0)=TRUE,
(SUMIF($C152:$C201,"Unit Sales (MM)",U152:U201)),
0)</f>
        <v>8.1847365644741927</v>
      </c>
      <c r="V204" s="534">
        <f ca="1">IF(OFFSET(NAMES!$G$1,MATCH($C151,NAMES!$D:$D,0)-1,0)=TRUE,
(SUMIF($C152:$C201,"Unit Sales (MM)",V152:V201)),
0)</f>
        <v>8.595314016599918</v>
      </c>
      <c r="W204" s="534">
        <f ca="1">IF(OFFSET(NAMES!$G$1,MATCH($C151,NAMES!$D:$D,0)-1,0)=TRUE,
(SUMIF($C152:$C201,"Unit Sales (MM)",W152:W201)),
0)</f>
        <v>9.0262181623224347</v>
      </c>
      <c r="X204" s="534">
        <f ca="1">IF(OFFSET(NAMES!$G$1,MATCH($C151,NAMES!$D:$D,0)-1,0)=TRUE,
(SUMIF($C152:$C201,"Unit Sales (MM)",X152:X201)),
0)</f>
        <v>9.4779692601577121</v>
      </c>
      <c r="Y204" s="534">
        <f ca="1">IF(OFFSET(NAMES!$G$1,MATCH($C151,NAMES!$D:$D,0)-1,0)=TRUE,
(SUMIF($C152:$C201,"Unit Sales (MM)",Y152:Y201)),
0)</f>
        <v>9.951336796250601</v>
      </c>
      <c r="Z204" s="534">
        <f ca="1">IF(OFFSET(NAMES!$G$1,MATCH($C151,NAMES!$D:$D,0)-1,0)=TRUE,
(SUMIF($C152:$C201,"Unit Sales (MM)",Z152:Z201)),
0)</f>
        <v>10.447352428886639</v>
      </c>
      <c r="AA204" s="534">
        <f ca="1">IF(OFFSET(NAMES!$G$1,MATCH($C151,NAMES!$D:$D,0)-1,0)=TRUE,
(SUMIF($C152:$C201,"Unit Sales (MM)",AA152:AA201)),
0)</f>
        <v>10.967206186813895</v>
      </c>
      <c r="AB204" s="534">
        <f ca="1">IF(OFFSET(NAMES!$G$1,MATCH($C151,NAMES!$D:$D,0)-1,0)=TRUE,
(SUMIF($C152:$C201,"Unit Sales (MM)",AB152:AB201)),
0)</f>
        <v>11.512262246357956</v>
      </c>
      <c r="AC204" s="534">
        <f ca="1">IF(OFFSET(NAMES!$G$1,MATCH($C151,NAMES!$D:$D,0)-1,0)=TRUE,
(SUMIF($C152:$C201,"Unit Sales (MM)",AC152:AC201)),
0)</f>
        <v>12.083898584312641</v>
      </c>
      <c r="AD204" s="534">
        <f ca="1">IF(OFFSET(NAMES!$G$1,MATCH($C151,NAMES!$D:$D,0)-1,0)=TRUE,
(SUMIF($C152:$C201,"Unit Sales (MM)",AD152:AD201)),
0)</f>
        <v>12.683500877135771</v>
      </c>
      <c r="AE204" s="534">
        <f ca="1">IF(OFFSET(NAMES!$G$1,MATCH($C151,NAMES!$D:$D,0)-1,0)=TRUE,
(SUMIF($C152:$C201,"Unit Sales (MM)",AE152:AE201)),
0)</f>
        <v>13.312455102396889</v>
      </c>
      <c r="AF204" s="534">
        <f ca="1">IF(OFFSET(NAMES!$G$1,MATCH($C151,NAMES!$D:$D,0)-1,0)=TRUE,
(SUMIF($C152:$C201,"Unit Sales (MM)",AF152:AF201)),
0)</f>
        <v>13.972160951018131</v>
      </c>
      <c r="AG204" s="534">
        <f ca="1">IF(OFFSET(NAMES!$G$1,MATCH($C151,NAMES!$D:$D,0)-1,0)=TRUE,
(SUMIF($C152:$C201,"Unit Sales (MM)",AG152:AG201)),
0)</f>
        <v>14.664061550087837</v>
      </c>
      <c r="AH204" s="534">
        <f ca="1">IF(OFFSET(NAMES!$G$1,MATCH($C151,NAMES!$D:$D,0)-1,0)=TRUE,
(SUMIF($C152:$C201,"Unit Sales (MM)",AH152:AH201)),
0)</f>
        <v>15.389670272557169</v>
      </c>
      <c r="AI204" s="534">
        <f ca="1">IF(OFFSET(NAMES!$G$1,MATCH($C151,NAMES!$D:$D,0)-1,0)=TRUE,
(SUMIF($C152:$C201,"Unit Sales (MM)",AI152:AI201)),
0)</f>
        <v>16.150590984915581</v>
      </c>
      <c r="AJ204" s="534">
        <f ca="1">IF(OFFSET(NAMES!$G$1,MATCH($C151,NAMES!$D:$D,0)-1,0)=TRUE,
(SUMIF($C152:$C201,"Unit Sales (MM)",AJ152:AJ201)),
0)</f>
        <v>16.948529105142988</v>
      </c>
      <c r="AK204" s="534">
        <f ca="1">IF(OFFSET(NAMES!$G$1,MATCH($C151,NAMES!$D:$D,0)-1,0)=TRUE,
(SUMIF($C152:$C201,"Unit Sales (MM)",AK152:AK201)),
0)</f>
        <v>17.785292580044327</v>
      </c>
      <c r="AL204" s="534">
        <f ca="1">IF(OFFSET(NAMES!$G$1,MATCH($C151,NAMES!$D:$D,0)-1,0)=TRUE,
(SUMIF($C152:$C201,"Unit Sales (MM)",AL152:AL201)),
0)</f>
        <v>18.662788562123527</v>
      </c>
      <c r="AM204" s="534">
        <f ca="1">IF(OFFSET(NAMES!$G$1,MATCH($C151,NAMES!$D:$D,0)-1,0)=TRUE,
(SUMIF($C152:$C201,"Unit Sales (MM)",AM152:AM201)),
0)</f>
        <v>19.583021199767963</v>
      </c>
      <c r="AN204" s="534">
        <f ca="1">IF(OFFSET(NAMES!$G$1,MATCH($C151,NAMES!$D:$D,0)-1,0)=TRUE,
(SUMIF($C152:$C201,"Unit Sales (MM)",AN152:AN201)),
0)</f>
        <v>20.548083691143194</v>
      </c>
      <c r="AO204" s="436"/>
      <c r="AP204" s="21"/>
    </row>
    <row r="205" spans="2:42" ht="15" customHeight="1" x14ac:dyDescent="0.35">
      <c r="B205" s="429"/>
      <c r="C205" s="777" t="s">
        <v>142</v>
      </c>
      <c r="D205" s="777"/>
      <c r="E205" s="535">
        <f ca="1">IF(OFFSET(NAMES!$G$1,MATCH($C151,NAMES!$D:$D,0)-1,0)=TRUE,
(SUMIF($C152:$C201,"Revenues (MM)",E152:E201)),
0)</f>
        <v>411.15012411975778</v>
      </c>
      <c r="F205" s="535">
        <f ca="1">IF(OFFSET(NAMES!$G$1,MATCH($C151,NAMES!$D:$D,0)-1,0)=TRUE,
(SUMIF($C152:$C201,"Revenues (MM)",F152:F201)),
0)</f>
        <v>426.32692864013819</v>
      </c>
      <c r="G205" s="535">
        <f ca="1">IF(OFFSET(NAMES!$G$1,MATCH($C151,NAMES!$D:$D,0)-1,0)=TRUE,
(SUMIF($C152:$C201,"Revenues (MM)",G152:G201)),
0)</f>
        <v>439.44734683826579</v>
      </c>
      <c r="H205" s="535">
        <f ca="1">IF(OFFSET(NAMES!$G$1,MATCH($C151,NAMES!$D:$D,0)-1,0)=TRUE,
(SUMIF($C152:$C201,"Revenues (MM)",H152:H201)),
0)</f>
        <v>456.79086208066212</v>
      </c>
      <c r="I205" s="535">
        <f ca="1">IF(OFFSET(NAMES!$G$1,MATCH($C151,NAMES!$D:$D,0)-1,0)=TRUE,
(SUMIF($C152:$C201,"Revenues (MM)",I152:I201)),
0)</f>
        <v>475.94311022640238</v>
      </c>
      <c r="J205" s="535">
        <f ca="1">IF(OFFSET(NAMES!$G$1,MATCH($C151,NAMES!$D:$D,0)-1,0)=TRUE,
(SUMIF($C152:$C201,"Revenues (MM)",J152:J201)),
0)</f>
        <v>496.70986212509303</v>
      </c>
      <c r="K205" s="535">
        <f ca="1">IF(OFFSET(NAMES!$G$1,MATCH($C151,NAMES!$D:$D,0)-1,0)=TRUE,
(SUMIF($C152:$C201,"Revenues (MM)",K152:K201)),
0)</f>
        <v>519.64791613545685</v>
      </c>
      <c r="L205" s="535">
        <f ca="1">IF(OFFSET(NAMES!$G$1,MATCH($C151,NAMES!$D:$D,0)-1,0)=TRUE,
(SUMIF($C152:$C201,"Revenues (MM)",L152:L201)),
0)</f>
        <v>543.86520932724397</v>
      </c>
      <c r="M205" s="535">
        <f ca="1">IF(OFFSET(NAMES!$G$1,MATCH($C151,NAMES!$D:$D,0)-1,0)=TRUE,
(SUMIF($C152:$C201,"Revenues (MM)",M152:M201)),
0)</f>
        <v>569.04863701930356</v>
      </c>
      <c r="N205" s="535">
        <f ca="1">IF(OFFSET(NAMES!$G$1,MATCH($C151,NAMES!$D:$D,0)-1,0)=TRUE,
(SUMIF($C152:$C201,"Revenues (MM)",N152:N201)),
0)</f>
        <v>595.21336495632136</v>
      </c>
      <c r="O205" s="535">
        <f ca="1">IF(OFFSET(NAMES!$G$1,MATCH($C151,NAMES!$D:$D,0)-1,0)=TRUE,
(SUMIF($C152:$C201,"Revenues (MM)",O152:O201)),
0)</f>
        <v>622.00537355239055</v>
      </c>
      <c r="P205" s="535">
        <f ca="1">IF(OFFSET(NAMES!$G$1,MATCH($C151,NAMES!$D:$D,0)-1,0)=TRUE,
(SUMIF($C152:$C201,"Revenues (MM)",P152:P201)),
0)</f>
        <v>649.95945496833758</v>
      </c>
      <c r="Q205" s="535">
        <f ca="1">IF(OFFSET(NAMES!$G$1,MATCH($C151,NAMES!$D:$D,0)-1,0)=TRUE,
(SUMIF($C152:$C201,"Revenues (MM)",Q152:Q201)),
0)</f>
        <v>678.6538146089855</v>
      </c>
      <c r="R205" s="535">
        <f ca="1">IF(OFFSET(NAMES!$G$1,MATCH($C151,NAMES!$D:$D,0)-1,0)=TRUE,
(SUMIF($C152:$C201,"Revenues (MM)",R152:R201)),
0)</f>
        <v>708.57078684892315</v>
      </c>
      <c r="S205" s="535">
        <f ca="1">IF(OFFSET(NAMES!$G$1,MATCH($C151,NAMES!$D:$D,0)-1,0)=TRUE,
(SUMIF($C152:$C201,"Revenues (MM)",S152:S201)),
0)</f>
        <v>740.38490857227976</v>
      </c>
      <c r="T205" s="535">
        <f ca="1">IF(OFFSET(NAMES!$G$1,MATCH($C151,NAMES!$D:$D,0)-1,0)=TRUE,
(SUMIF($C152:$C201,"Revenues (MM)",T152:T201)),
0)</f>
        <v>773.42218354151839</v>
      </c>
      <c r="U205" s="535">
        <f ca="1">IF(OFFSET(NAMES!$G$1,MATCH($C151,NAMES!$D:$D,0)-1,0)=TRUE,
(SUMIF($C152:$C201,"Revenues (MM)",U152:U201)),
0)</f>
        <v>808.3660678078935</v>
      </c>
      <c r="V205" s="535">
        <f ca="1">IF(OFFSET(NAMES!$G$1,MATCH($C151,NAMES!$D:$D,0)-1,0)=TRUE,
(SUMIF($C152:$C201,"Revenues (MM)",V152:V201)),
0)</f>
        <v>844.65887363950458</v>
      </c>
      <c r="W205" s="535">
        <f ca="1">IF(OFFSET(NAMES!$G$1,MATCH($C151,NAMES!$D:$D,0)-1,0)=TRUE,
(SUMIF($C152:$C201,"Revenues (MM)",W152:W201)),
0)</f>
        <v>882.64650638439923</v>
      </c>
      <c r="X205" s="535">
        <f ca="1">IF(OFFSET(NAMES!$G$1,MATCH($C151,NAMES!$D:$D,0)-1,0)=TRUE,
(SUMIF($C152:$C201,"Revenues (MM)",X152:X201)),
0)</f>
        <v>922.54098652008588</v>
      </c>
      <c r="Y205" s="535">
        <f ca="1">IF(OFFSET(NAMES!$G$1,MATCH($C151,NAMES!$D:$D,0)-1,0)=TRUE,
(SUMIF($C152:$C201,"Revenues (MM)",Y152:Y201)),
0)</f>
        <v>964.1996530991911</v>
      </c>
      <c r="Z205" s="535">
        <f ca="1">IF(OFFSET(NAMES!$G$1,MATCH($C151,NAMES!$D:$D,0)-1,0)=TRUE,
(SUMIF($C152:$C201,"Revenues (MM)",Z152:Z201)),
0)</f>
        <v>1007.4876447643063</v>
      </c>
      <c r="AA205" s="535">
        <f ca="1">IF(OFFSET(NAMES!$G$1,MATCH($C151,NAMES!$D:$D,0)-1,0)=TRUE,
(SUMIF($C152:$C201,"Revenues (MM)",AA152:AA201)),
0)</f>
        <v>1052.6660734304603</v>
      </c>
      <c r="AB205" s="535">
        <f ca="1">IF(OFFSET(NAMES!$G$1,MATCH($C151,NAMES!$D:$D,0)-1,0)=TRUE,
(SUMIF($C152:$C201,"Revenues (MM)",AB152:AB201)),
0)</f>
        <v>1100.1805656359782</v>
      </c>
      <c r="AC205" s="535">
        <f ca="1">IF(OFFSET(NAMES!$G$1,MATCH($C151,NAMES!$D:$D,0)-1,0)=TRUE,
(SUMIF($C152:$C201,"Revenues (MM)",AC152:AC201)),
0)</f>
        <v>1149.7694658625451</v>
      </c>
      <c r="AD205" s="535">
        <f ca="1">IF(OFFSET(NAMES!$G$1,MATCH($C151,NAMES!$D:$D,0)-1,0)=TRUE,
(SUMIF($C152:$C201,"Revenues (MM)",AD152:AD201)),
0)</f>
        <v>1201.5822970234517</v>
      </c>
      <c r="AE205" s="535">
        <f ca="1">IF(OFFSET(NAMES!$G$1,MATCH($C151,NAMES!$D:$D,0)-1,0)=TRUE,
(SUMIF($C152:$C201,"Revenues (MM)",AE152:AE201)),
0)</f>
        <v>1255.6143097232355</v>
      </c>
      <c r="AF205" s="535">
        <f ca="1">IF(OFFSET(NAMES!$G$1,MATCH($C151,NAMES!$D:$D,0)-1,0)=TRUE,
(SUMIF($C152:$C201,"Revenues (MM)",AF152:AF201)),
0)</f>
        <v>1312.0092891788959</v>
      </c>
      <c r="AG205" s="535">
        <f ca="1">IF(OFFSET(NAMES!$G$1,MATCH($C151,NAMES!$D:$D,0)-1,0)=TRUE,
(SUMIF($C152:$C201,"Revenues (MM)",AG152:AG201)),
0)</f>
        <v>1370.9122137367622</v>
      </c>
      <c r="AH205" s="535">
        <f ca="1">IF(OFFSET(NAMES!$G$1,MATCH($C151,NAMES!$D:$D,0)-1,0)=TRUE,
(SUMIF($C152:$C201,"Revenues (MM)",AH152:AH201)),
0)</f>
        <v>1432.9235808099211</v>
      </c>
      <c r="AI205" s="535">
        <f ca="1">IF(OFFSET(NAMES!$G$1,MATCH($C151,NAMES!$D:$D,0)-1,0)=TRUE,
(SUMIF($C152:$C201,"Revenues (MM)",AI152:AI201)),
0)</f>
        <v>1497.4024797284978</v>
      </c>
      <c r="AJ205" s="535">
        <f ca="1">IF(OFFSET(NAMES!$G$1,MATCH($C151,NAMES!$D:$D,0)-1,0)=TRUE,
(SUMIF($C152:$C201,"Revenues (MM)",AJ152:AJ201)),
0)</f>
        <v>1564.3703672581221</v>
      </c>
      <c r="AK205" s="535">
        <f ca="1">IF(OFFSET(NAMES!$G$1,MATCH($C151,NAMES!$D:$D,0)-1,0)=TRUE,
(SUMIF($C152:$C201,"Revenues (MM)",AK152:AK201)),
0)</f>
        <v>1634.9639495163879</v>
      </c>
      <c r="AL205" s="535">
        <f ca="1">IF(OFFSET(NAMES!$G$1,MATCH($C151,NAMES!$D:$D,0)-1,0)=TRUE,
(SUMIF($C152:$C201,"Revenues (MM)",AL152:AL201)),
0)</f>
        <v>1708.5532818912848</v>
      </c>
      <c r="AM205" s="535">
        <f ca="1">IF(OFFSET(NAMES!$G$1,MATCH($C151,NAMES!$D:$D,0)-1,0)=TRUE,
(SUMIF($C152:$C201,"Revenues (MM)",AM152:AM201)),
0)</f>
        <v>1785.1550862529998</v>
      </c>
      <c r="AN205" s="535">
        <f ca="1">IF(OFFSET(NAMES!$G$1,MATCH($C151,NAMES!$D:$D,0)-1,0)=TRUE,
(SUMIF($C152:$C201,"Revenues (MM)",AN152:AN201)),
0)</f>
        <v>1865.6014069374226</v>
      </c>
      <c r="AO205" s="436"/>
      <c r="AP205" s="21"/>
    </row>
    <row r="206" spans="2:42" ht="15" customHeight="1" x14ac:dyDescent="0.35">
      <c r="B206" s="429"/>
      <c r="C206" s="777"/>
      <c r="D206" s="776"/>
      <c r="E206" s="468"/>
      <c r="F206" s="468"/>
      <c r="G206" s="468"/>
      <c r="H206" s="468"/>
      <c r="I206" s="468"/>
      <c r="J206" s="468"/>
      <c r="K206" s="468"/>
      <c r="L206" s="468"/>
      <c r="M206" s="468"/>
      <c r="N206" s="468"/>
      <c r="O206" s="468"/>
      <c r="P206" s="468"/>
      <c r="Q206" s="468"/>
      <c r="R206" s="468"/>
      <c r="S206" s="468"/>
      <c r="T206" s="468"/>
      <c r="U206" s="468"/>
      <c r="V206" s="468"/>
      <c r="W206" s="468"/>
      <c r="X206" s="468"/>
      <c r="Y206" s="468"/>
      <c r="Z206" s="468"/>
      <c r="AA206" s="468"/>
      <c r="AB206" s="468"/>
      <c r="AC206" s="468"/>
      <c r="AD206" s="468"/>
      <c r="AE206" s="468"/>
      <c r="AF206" s="468"/>
      <c r="AG206" s="468"/>
      <c r="AH206" s="468"/>
      <c r="AI206" s="468"/>
      <c r="AJ206" s="468"/>
      <c r="AK206" s="468"/>
      <c r="AL206" s="468"/>
      <c r="AM206" s="468"/>
      <c r="AN206" s="468"/>
      <c r="AO206" s="436"/>
      <c r="AP206" s="21"/>
    </row>
    <row r="207" spans="2:42" ht="15" customHeight="1" x14ac:dyDescent="0.35">
      <c r="B207" s="429"/>
      <c r="C207" s="777" t="s">
        <v>216</v>
      </c>
      <c r="D207" s="776"/>
      <c r="E207" s="536">
        <f ca="1">IF(OFFSET(NAMES!$G$1,MATCH($C151,NAMES!$D:$D,0)-1,0)=TRUE,
(SUMIF($C152:$C202,"Materials (MM)",E152:E202)),
0)</f>
        <v>254.43599736276312</v>
      </c>
      <c r="F207" s="536">
        <f ca="1">IF(OFFSET(NAMES!$G$1,MATCH($C151,NAMES!$D:$D,0)-1,0)=TRUE,
(SUMIF($C152:$C202,"Materials (MM)",F152:F202)),
0)</f>
        <v>263.82781317384217</v>
      </c>
      <c r="G207" s="536">
        <f ca="1">IF(OFFSET(NAMES!$G$1,MATCH($C151,NAMES!$D:$D,0)-1,0)=TRUE,
(SUMIF($C152:$C202,"Materials (MM)",G152:G202)),
0)</f>
        <v>271.94716124914572</v>
      </c>
      <c r="H207" s="536">
        <f ca="1">IF(OFFSET(NAMES!$G$1,MATCH($C151,NAMES!$D:$D,0)-1,0)=TRUE,
(SUMIF($C152:$C202,"Materials (MM)",H152:H202)),
0)</f>
        <v>282.67976194403172</v>
      </c>
      <c r="I207" s="536">
        <f ca="1">IF(OFFSET(NAMES!$G$1,MATCH($C151,NAMES!$D:$D,0)-1,0)=TRUE,
(SUMIF($C152:$C202,"Materials (MM)",I152:I202)),
0)</f>
        <v>294.53202673072991</v>
      </c>
      <c r="J207" s="536">
        <f ca="1">IF(OFFSET(NAMES!$G$1,MATCH($C151,NAMES!$D:$D,0)-1,0)=TRUE,
(SUMIF($C152:$C202,"Materials (MM)",J152:J202)),
0)</f>
        <v>307.38305300298998</v>
      </c>
      <c r="K207" s="536">
        <f ca="1">IF(OFFSET(NAMES!$G$1,MATCH($C151,NAMES!$D:$D,0)-1,0)=TRUE,
(SUMIF($C152:$C202,"Materials (MM)",K152:K202)),
0)</f>
        <v>321.57799779729618</v>
      </c>
      <c r="L207" s="536">
        <f ca="1">IF(OFFSET(NAMES!$G$1,MATCH($C151,NAMES!$D:$D,0)-1,0)=TRUE,
(SUMIF($C152:$C202,"Materials (MM)",L152:L202)),
0)</f>
        <v>336.56458470521886</v>
      </c>
      <c r="M207" s="536">
        <f ca="1">IF(OFFSET(NAMES!$G$1,MATCH($C151,NAMES!$D:$D,0)-1,0)=TRUE,
(SUMIF($C152:$C202,"Materials (MM)",M152:M202)),
0)</f>
        <v>352.14876605688869</v>
      </c>
      <c r="N207" s="536">
        <f ca="1">IF(OFFSET(NAMES!$G$1,MATCH($C151,NAMES!$D:$D,0)-1,0)=TRUE,
(SUMIF($C152:$C202,"Materials (MM)",N152:N202)),
0)</f>
        <v>368.34060413077856</v>
      </c>
      <c r="O207" s="536">
        <f ca="1">IF(OFFSET(NAMES!$G$1,MATCH($C151,NAMES!$D:$D,0)-1,0)=TRUE,
(SUMIF($C152:$C202,"Materials (MM)",O152:O202)),
0)</f>
        <v>384.92038908686249</v>
      </c>
      <c r="P207" s="536">
        <f ca="1">IF(OFFSET(NAMES!$G$1,MATCH($C151,NAMES!$D:$D,0)-1,0)=TRUE,
(SUMIF($C152:$C202,"Materials (MM)",P152:P202)),
0)</f>
        <v>402.21942747766428</v>
      </c>
      <c r="Q207" s="536">
        <f ca="1">IF(OFFSET(NAMES!$G$1,MATCH($C151,NAMES!$D:$D,0)-1,0)=TRUE,
(SUMIF($C152:$C202,"Materials (MM)",Q152:Q202)),
0)</f>
        <v>419.97636621995559</v>
      </c>
      <c r="R207" s="536">
        <f ca="1">IF(OFFSET(NAMES!$G$1,MATCH($C151,NAMES!$D:$D,0)-1,0)=TRUE,
(SUMIF($C152:$C202,"Materials (MM)",R152:R202)),
0)</f>
        <v>438.48960752850297</v>
      </c>
      <c r="S207" s="536">
        <f ca="1">IF(OFFSET(NAMES!$G$1,MATCH($C151,NAMES!$D:$D,0)-1,0)=TRUE,
(SUMIF($C152:$C202,"Materials (MM)",S152:S202)),
0)</f>
        <v>458.17767594590418</v>
      </c>
      <c r="T207" s="536">
        <f ca="1">IF(OFFSET(NAMES!$G$1,MATCH($C151,NAMES!$D:$D,0)-1,0)=TRUE,
(SUMIF($C152:$C202,"Materials (MM)",T152:T202)),
0)</f>
        <v>478.6221635163804</v>
      </c>
      <c r="U207" s="536">
        <f ca="1">IF(OFFSET(NAMES!$G$1,MATCH($C151,NAMES!$D:$D,0)-1,0)=TRUE,
(SUMIF($C152:$C202,"Materials (MM)",U152:U202)),
0)</f>
        <v>500.24676529281112</v>
      </c>
      <c r="V207" s="536">
        <f ca="1">IF(OFFSET(NAMES!$G$1,MATCH($C151,NAMES!$D:$D,0)-1,0)=TRUE,
(SUMIF($C152:$C202,"Materials (MM)",V152:V202)),
0)</f>
        <v>522.70543819728266</v>
      </c>
      <c r="W207" s="536">
        <f ca="1">IF(OFFSET(NAMES!$G$1,MATCH($C151,NAMES!$D:$D,0)-1,0)=TRUE,
(SUMIF($C152:$C202,"Materials (MM)",W152:W202)),
0)</f>
        <v>546.21394783350001</v>
      </c>
      <c r="X207" s="536">
        <f ca="1">IF(OFFSET(NAMES!$G$1,MATCH($C151,NAMES!$D:$D,0)-1,0)=TRUE,
(SUMIF($C152:$C202,"Materials (MM)",X152:X202)),
0)</f>
        <v>570.9014381955626</v>
      </c>
      <c r="Y207" s="536">
        <f ca="1">IF(OFFSET(NAMES!$G$1,MATCH($C151,NAMES!$D:$D,0)-1,0)=TRUE,
(SUMIF($C152:$C202,"Materials (MM)",Y152:Y202)),
0)</f>
        <v>596.68206011741847</v>
      </c>
      <c r="Z207" s="536">
        <f ca="1">IF(OFFSET(NAMES!$G$1,MATCH($C151,NAMES!$D:$D,0)-1,0)=TRUE,
(SUMIF($C152:$C202,"Materials (MM)",Z152:Z202)),
0)</f>
        <v>623.46991907390532</v>
      </c>
      <c r="AA207" s="536">
        <f ca="1">IF(OFFSET(NAMES!$G$1,MATCH($C151,NAMES!$D:$D,0)-1,0)=TRUE,
(SUMIF($C152:$C202,"Materials (MM)",AA152:AA202)),
0)</f>
        <v>651.42718973878391</v>
      </c>
      <c r="AB207" s="536">
        <f ca="1">IF(OFFSET(NAMES!$G$1,MATCH($C151,NAMES!$D:$D,0)-1,0)=TRUE,
(SUMIF($C152:$C202,"Materials (MM)",AB152:AB202)),
0)</f>
        <v>680.83083383734402</v>
      </c>
      <c r="AC207" s="536">
        <f ca="1">IF(OFFSET(NAMES!$G$1,MATCH($C151,NAMES!$D:$D,0)-1,0)=TRUE,
(SUMIF($C152:$C202,"Materials (MM)",AC152:AC202)),
0)</f>
        <v>711.51819408848132</v>
      </c>
      <c r="AD207" s="536">
        <f ca="1">IF(OFFSET(NAMES!$G$1,MATCH($C151,NAMES!$D:$D,0)-1,0)=TRUE,
(SUMIF($C152:$C202,"Materials (MM)",AD152:AD202)),
0)</f>
        <v>743.5814691462042</v>
      </c>
      <c r="AE207" s="536">
        <f ca="1">IF(OFFSET(NAMES!$G$1,MATCH($C151,NAMES!$D:$D,0)-1,0)=TRUE,
(SUMIF($C152:$C202,"Materials (MM)",AE152:AE202)),
0)</f>
        <v>777.01836607805637</v>
      </c>
      <c r="AF207" s="536">
        <f ca="1">IF(OFFSET(NAMES!$G$1,MATCH($C151,NAMES!$D:$D,0)-1,0)=TRUE,
(SUMIF($C152:$C202,"Materials (MM)",AF152:AF202)),
0)</f>
        <v>811.91754846270305</v>
      </c>
      <c r="AG207" s="536">
        <f ca="1">IF(OFFSET(NAMES!$G$1,MATCH($C151,NAMES!$D:$D,0)-1,0)=TRUE,
(SUMIF($C152:$C202,"Materials (MM)",AG152:AG202)),
0)</f>
        <v>848.36835656595849</v>
      </c>
      <c r="AH207" s="536">
        <f ca="1">IF(OFFSET(NAMES!$G$1,MATCH($C151,NAMES!$D:$D,0)-1,0)=TRUE,
(SUMIF($C152:$C202,"Materials (MM)",AH152:AH202)),
0)</f>
        <v>886.74381671655419</v>
      </c>
      <c r="AI207" s="536">
        <f ca="1">IF(OFFSET(NAMES!$G$1,MATCH($C151,NAMES!$D:$D,0)-1,0)=TRUE,
(SUMIF($C152:$C202,"Materials (MM)",AI152:AI202)),
0)</f>
        <v>926.64481805371452</v>
      </c>
      <c r="AJ207" s="536">
        <f ca="1">IF(OFFSET(NAMES!$G$1,MATCH($C151,NAMES!$D:$D,0)-1,0)=TRUE,
(SUMIF($C152:$C202,"Materials (MM)",AJ152:AJ202)),
0)</f>
        <v>968.08641966370965</v>
      </c>
      <c r="AK207" s="536">
        <f ca="1">IF(OFFSET(NAMES!$G$1,MATCH($C151,NAMES!$D:$D,0)-1,0)=TRUE,
(SUMIF($C152:$C202,"Materials (MM)",AK152:AK202)),
0)</f>
        <v>1011.77223600606</v>
      </c>
      <c r="AL207" s="536">
        <f ca="1">IF(OFFSET(NAMES!$G$1,MATCH($C151,NAMES!$D:$D,0)-1,0)=TRUE,
(SUMIF($C152:$C202,"Materials (MM)",AL152:AL202)),
0)</f>
        <v>1057.3126657609139</v>
      </c>
      <c r="AM207" s="536">
        <f ca="1">IF(OFFSET(NAMES!$G$1,MATCH($C151,NAMES!$D:$D,0)-1,0)=TRUE,
(SUMIF($C152:$C202,"Materials (MM)",AM152:AM202)),
0)</f>
        <v>1104.7150357119058</v>
      </c>
      <c r="AN207" s="536">
        <f ca="1">IF(OFFSET(NAMES!$G$1,MATCH($C151,NAMES!$D:$D,0)-1,0)=TRUE,
(SUMIF($C152:$C202,"Materials (MM)",AN152:AN202)),
0)</f>
        <v>1154.4979436430058</v>
      </c>
      <c r="AO207" s="436"/>
      <c r="AP207" s="21"/>
    </row>
    <row r="208" spans="2:42" ht="15" customHeight="1" x14ac:dyDescent="0.35">
      <c r="B208" s="429"/>
      <c r="C208" s="777" t="s">
        <v>217</v>
      </c>
      <c r="D208" s="776"/>
      <c r="E208" s="537">
        <f ca="1">IF(OFFSET(NAMES!$G$1,MATCH($C151,NAMES!$D:$D,0)-1,0)=TRUE,
(SUMIF($C152:$C202,"Labor (MM)",E152:E202)),
0)</f>
        <v>5.886635270832004</v>
      </c>
      <c r="F208" s="537">
        <f ca="1">IF(OFFSET(NAMES!$G$1,MATCH($C151,NAMES!$D:$D,0)-1,0)=TRUE,
(SUMIF($C152:$C202,"Labor (MM)",F152:F202)),
0)</f>
        <v>6.103966146127509</v>
      </c>
      <c r="G208" s="537">
        <f ca="1">IF(OFFSET(NAMES!$G$1,MATCH($C151,NAMES!$D:$D,0)-1,0)=TRUE,
(SUMIF($C152:$C202,"Labor (MM)",G152:G202)),
0)</f>
        <v>6.2920004309310578</v>
      </c>
      <c r="H208" s="537">
        <f ca="1">IF(OFFSET(NAMES!$G$1,MATCH($C151,NAMES!$D:$D,0)-1,0)=TRUE,
(SUMIF($C152:$C202,"Labor (MM)",H152:H202)),
0)</f>
        <v>6.5404713573181752</v>
      </c>
      <c r="I208" s="537">
        <f ca="1">IF(OFFSET(NAMES!$G$1,MATCH($C151,NAMES!$D:$D,0)-1,0)=TRUE,
(SUMIF($C152:$C202,"Labor (MM)",I152:I202)),
0)</f>
        <v>6.8145836927404932</v>
      </c>
      <c r="J208" s="537">
        <f ca="1">IF(OFFSET(NAMES!$G$1,MATCH($C151,NAMES!$D:$D,0)-1,0)=TRUE,
(SUMIF($C152:$C202,"Labor (MM)",J152:J202)),
0)</f>
        <v>7.1121782452485807</v>
      </c>
      <c r="K208" s="537">
        <f ca="1">IF(OFFSET(NAMES!$G$1,MATCH($C151,NAMES!$D:$D,0)-1,0)=TRUE,
(SUMIF($C152:$C202,"Labor (MM)",K152:K202)),
0)</f>
        <v>7.44061853033348</v>
      </c>
      <c r="L208" s="537">
        <f ca="1">IF(OFFSET(NAMES!$G$1,MATCH($C151,NAMES!$D:$D,0)-1,0)=TRUE,
(SUMIF($C152:$C202,"Labor (MM)",L152:L202)),
0)</f>
        <v>7.7873756997211458</v>
      </c>
      <c r="M208" s="537">
        <f ca="1">IF(OFFSET(NAMES!$G$1,MATCH($C151,NAMES!$D:$D,0)-1,0)=TRUE,
(SUMIF($C152:$C202,"Labor (MM)",M152:M202)),
0)</f>
        <v>8.1482658852668131</v>
      </c>
      <c r="N208" s="537">
        <f ca="1">IF(OFFSET(NAMES!$G$1,MATCH($C151,NAMES!$D:$D,0)-1,0)=TRUE,
(SUMIF($C152:$C202,"Labor (MM)",N152:N202)),
0)</f>
        <v>8.5226613139326375</v>
      </c>
      <c r="O208" s="537">
        <f ca="1">IF(OFFSET(NAMES!$G$1,MATCH($C151,NAMES!$D:$D,0)-1,0)=TRUE,
(SUMIF($C152:$C202,"Labor (MM)",O152:O202)),
0)</f>
        <v>8.9065625190135105</v>
      </c>
      <c r="P208" s="537">
        <f ca="1">IF(OFFSET(NAMES!$G$1,MATCH($C151,NAMES!$D:$D,0)-1,0)=TRUE,
(SUMIF($C152:$C202,"Labor (MM)",P152:P202)),
0)</f>
        <v>9.3068418262174148</v>
      </c>
      <c r="Q208" s="537">
        <f ca="1">IF(OFFSET(NAMES!$G$1,MATCH($C151,NAMES!$D:$D,0)-1,0)=TRUE,
(SUMIF($C152:$C202,"Labor (MM)",Q152:Q202)),
0)</f>
        <v>9.717783131477816</v>
      </c>
      <c r="R208" s="537">
        <f ca="1">IF(OFFSET(NAMES!$G$1,MATCH($C151,NAMES!$D:$D,0)-1,0)=TRUE,
(SUMIF($C152:$C202,"Labor (MM)",R152:R202)),
0)</f>
        <v>10.146564130893784</v>
      </c>
      <c r="S208" s="537">
        <f ca="1">IF(OFFSET(NAMES!$G$1,MATCH($C151,NAMES!$D:$D,0)-1,0)=TRUE,
(SUMIF($C152:$C202,"Labor (MM)",S152:S202)),
0)</f>
        <v>10.601941578187153</v>
      </c>
      <c r="T208" s="537">
        <f ca="1">IF(OFFSET(NAMES!$G$1,MATCH($C151,NAMES!$D:$D,0)-1,0)=TRUE,
(SUMIF($C152:$C202,"Labor (MM)",T152:T202)),
0)</f>
        <v>11.075220838581595</v>
      </c>
      <c r="U208" s="537">
        <f ca="1">IF(OFFSET(NAMES!$G$1,MATCH($C151,NAMES!$D:$D,0)-1,0)=TRUE,
(SUMIF($C152:$C202,"Labor (MM)",U152:U202)),
0)</f>
        <v>11.575774065807447</v>
      </c>
      <c r="V208" s="537">
        <f ca="1">IF(OFFSET(NAMES!$G$1,MATCH($C151,NAMES!$D:$D,0)-1,0)=TRUE,
(SUMIF($C152:$C202,"Labor (MM)",V152:V202)),
0)</f>
        <v>12.095798907834467</v>
      </c>
      <c r="W208" s="537">
        <f ca="1">IF(OFFSET(NAMES!$G$1,MATCH($C151,NAMES!$D:$D,0)-1,0)=TRUE,
(SUMIF($C152:$C202,"Labor (MM)",W152:W202)),
0)</f>
        <v>12.639562153297222</v>
      </c>
      <c r="X208" s="537">
        <f ca="1">IF(OFFSET(NAMES!$G$1,MATCH($C151,NAMES!$D:$D,0)-1,0)=TRUE,
(SUMIF($C152:$C202,"Labor (MM)",X152:X202)),
0)</f>
        <v>13.211385058354338</v>
      </c>
      <c r="Y208" s="537">
        <f ca="1">IF(OFFSET(NAMES!$G$1,MATCH($C151,NAMES!$D:$D,0)-1,0)=TRUE,
(SUMIF($C152:$C202,"Labor (MM)",Y152:Y202)),
0)</f>
        <v>13.807584683079341</v>
      </c>
      <c r="Z208" s="537">
        <f ca="1">IF(OFFSET(NAMES!$G$1,MATCH($C151,NAMES!$D:$D,0)-1,0)=TRUE,
(SUMIF($C152:$C202,"Labor (MM)",Z152:Z202)),
0)</f>
        <v>14.427583274871846</v>
      </c>
      <c r="AA208" s="537">
        <f ca="1">IF(OFFSET(NAMES!$G$1,MATCH($C151,NAMES!$D:$D,0)-1,0)=TRUE,
(SUMIF($C152:$C202,"Labor (MM)",AA152:AA202)),
0)</f>
        <v>15.075170426794545</v>
      </c>
      <c r="AB208" s="537">
        <f ca="1">IF(OFFSET(NAMES!$G$1,MATCH($C151,NAMES!$D:$D,0)-1,0)=TRUE,
(SUMIF($C152:$C202,"Labor (MM)",AB152:AB202)),
0)</f>
        <v>15.755634103319725</v>
      </c>
      <c r="AC208" s="537">
        <f ca="1">IF(OFFSET(NAMES!$G$1,MATCH($C151,NAMES!$D:$D,0)-1,0)=TRUE,
(SUMIF($C152:$C202,"Labor (MM)",AC152:AC202)),
0)</f>
        <v>16.465806386261761</v>
      </c>
      <c r="AD208" s="537">
        <f ca="1">IF(OFFSET(NAMES!$G$1,MATCH($C151,NAMES!$D:$D,0)-1,0)=TRUE,
(SUMIF($C152:$C202,"Labor (MM)",AD152:AD202)),
0)</f>
        <v>17.208193263057066</v>
      </c>
      <c r="AE208" s="537">
        <f ca="1">IF(OFFSET(NAMES!$G$1,MATCH($C151,NAMES!$D:$D,0)-1,0)=TRUE,
(SUMIF($C152:$C202,"Labor (MM)",AE152:AE202)),
0)</f>
        <v>17.982015694681881</v>
      </c>
      <c r="AF208" s="537">
        <f ca="1">IF(OFFSET(NAMES!$G$1,MATCH($C151,NAMES!$D:$D,0)-1,0)=TRUE,
(SUMIF($C152:$C202,"Labor (MM)",AF152:AF202)),
0)</f>
        <v>18.789680314634875</v>
      </c>
      <c r="AG208" s="537">
        <f ca="1">IF(OFFSET(NAMES!$G$1,MATCH($C151,NAMES!$D:$D,0)-1,0)=TRUE,
(SUMIF($C152:$C202,"Labor (MM)",AG152:AG202)),
0)</f>
        <v>19.63363646659537</v>
      </c>
      <c r="AH208" s="537">
        <f ca="1">IF(OFFSET(NAMES!$G$1,MATCH($C151,NAMES!$D:$D,0)-1,0)=TRUE,
(SUMIF($C152:$C202,"Labor (MM)",AH152:AH202)),
0)</f>
        <v>20.521345738726726</v>
      </c>
      <c r="AI208" s="537">
        <f ca="1">IF(OFFSET(NAMES!$G$1,MATCH($C151,NAMES!$D:$D,0)-1,0)=TRUE,
(SUMIF($C152:$C202,"Labor (MM)",AI152:AI202)),
0)</f>
        <v>21.444951926525505</v>
      </c>
      <c r="AJ208" s="537">
        <f ca="1">IF(OFFSET(NAMES!$G$1,MATCH($C151,NAMES!$D:$D,0)-1,0)=TRUE,
(SUMIF($C152:$C202,"Labor (MM)",AJ152:AJ202)),
0)</f>
        <v>22.404479416181516</v>
      </c>
      <c r="AK208" s="537">
        <f ca="1">IF(OFFSET(NAMES!$G$1,MATCH($C151,NAMES!$D:$D,0)-1,0)=TRUE,
(SUMIF($C152:$C202,"Labor (MM)",AK152:AK202)),
0)</f>
        <v>23.415870876182616</v>
      </c>
      <c r="AL208" s="537">
        <f ca="1">IF(OFFSET(NAMES!$G$1,MATCH($C151,NAMES!$D:$D,0)-1,0)=TRUE,
(SUMIF($C152:$C202,"Labor (MM)",AL152:AL202)),
0)</f>
        <v>24.469279203006327</v>
      </c>
      <c r="AM208" s="537">
        <f ca="1">IF(OFFSET(NAMES!$G$1,MATCH($C151,NAMES!$D:$D,0)-1,0)=TRUE,
(SUMIF($C152:$C202,"Labor (MM)",AM152:AM202)),
0)</f>
        <v>25.567130594869351</v>
      </c>
      <c r="AN208" s="537">
        <f ca="1">IF(OFFSET(NAMES!$G$1,MATCH($C151,NAMES!$D:$D,0)-1,0)=TRUE,
(SUMIF($C152:$C202,"Labor (MM)",AN152:AN202)),
0)</f>
        <v>26.71945766343806</v>
      </c>
      <c r="AO208" s="436"/>
      <c r="AP208" s="21"/>
    </row>
    <row r="209" spans="2:42" ht="15" customHeight="1" x14ac:dyDescent="0.35">
      <c r="B209" s="429"/>
      <c r="C209" s="777" t="s">
        <v>218</v>
      </c>
      <c r="D209" s="776"/>
      <c r="E209" s="537">
        <f ca="1">IF(OFFSET(NAMES!$G$1,MATCH($C151,NAMES!$D:$D,0)-1,0)=TRUE,
(SUMIF($C152:$C202,"Depreciation (MM)",E152:E202)),
0)</f>
        <v>14.390254344191522</v>
      </c>
      <c r="F209" s="537">
        <f ca="1">IF(OFFSET(NAMES!$G$1,MATCH($C151,NAMES!$D:$D,0)-1,0)=TRUE,
(SUMIF($C152:$C202,"Depreciation (MM)",F152:F202)),
0)</f>
        <v>14.921442502404838</v>
      </c>
      <c r="G209" s="537">
        <f ca="1">IF(OFFSET(NAMES!$G$1,MATCH($C151,NAMES!$D:$D,0)-1,0)=TRUE,
(SUMIF($C152:$C202,"Depreciation (MM)",G152:G202)),
0)</f>
        <v>15.380657139339304</v>
      </c>
      <c r="H209" s="537">
        <f ca="1">IF(OFFSET(NAMES!$G$1,MATCH($C151,NAMES!$D:$D,0)-1,0)=TRUE,
(SUMIF($C152:$C202,"Depreciation (MM)",H152:H202)),
0)</f>
        <v>15.987680172823174</v>
      </c>
      <c r="I209" s="537">
        <f ca="1">IF(OFFSET(NAMES!$G$1,MATCH($C151,NAMES!$D:$D,0)-1,0)=TRUE,
(SUMIF($C152:$C202,"Depreciation (MM)",I152:I202)),
0)</f>
        <v>16.658008857924084</v>
      </c>
      <c r="J209" s="537">
        <f ca="1">IF(OFFSET(NAMES!$G$1,MATCH($C151,NAMES!$D:$D,0)-1,0)=TRUE,
(SUMIF($C152:$C202,"Depreciation (MM)",J152:J202)),
0)</f>
        <v>17.38484517437826</v>
      </c>
      <c r="K209" s="537">
        <f ca="1">IF(OFFSET(NAMES!$G$1,MATCH($C151,NAMES!$D:$D,0)-1,0)=TRUE,
(SUMIF($C152:$C202,"Depreciation (MM)",K152:K202)),
0)</f>
        <v>18.187677064740992</v>
      </c>
      <c r="L209" s="537">
        <f ca="1">IF(OFFSET(NAMES!$G$1,MATCH($C151,NAMES!$D:$D,0)-1,0)=TRUE,
(SUMIF($C152:$C202,"Depreciation (MM)",L152:L202)),
0)</f>
        <v>19.035282326453544</v>
      </c>
      <c r="M209" s="537">
        <f ca="1">IF(OFFSET(NAMES!$G$1,MATCH($C151,NAMES!$D:$D,0)-1,0)=TRUE,
(SUMIF($C152:$C202,"Depreciation (MM)",M152:M202)),
0)</f>
        <v>19.916702295675627</v>
      </c>
      <c r="N209" s="537">
        <f ca="1">IF(OFFSET(NAMES!$G$1,MATCH($C151,NAMES!$D:$D,0)-1,0)=TRUE,
(SUMIF($C152:$C202,"Depreciation (MM)",N152:N202)),
0)</f>
        <v>20.832467773471251</v>
      </c>
      <c r="O209" s="537">
        <f ca="1">IF(OFFSET(NAMES!$G$1,MATCH($C151,NAMES!$D:$D,0)-1,0)=TRUE,
(SUMIF($C152:$C202,"Depreciation (MM)",O152:O202)),
0)</f>
        <v>21.770188074333671</v>
      </c>
      <c r="P209" s="537">
        <f ca="1">IF(OFFSET(NAMES!$G$1,MATCH($C151,NAMES!$D:$D,0)-1,0)=TRUE,
(SUMIF($C152:$C202,"Depreciation (MM)",P152:P202)),
0)</f>
        <v>22.748580923891815</v>
      </c>
      <c r="Q209" s="537">
        <f ca="1">IF(OFFSET(NAMES!$G$1,MATCH($C151,NAMES!$D:$D,0)-1,0)=TRUE,
(SUMIF($C152:$C202,"Depreciation (MM)",Q152:Q202)),
0)</f>
        <v>23.752883511314497</v>
      </c>
      <c r="R209" s="537">
        <f ca="1">IF(OFFSET(NAMES!$G$1,MATCH($C151,NAMES!$D:$D,0)-1,0)=TRUE,
(SUMIF($C152:$C202,"Depreciation (MM)",R152:R202)),
0)</f>
        <v>24.799977539712312</v>
      </c>
      <c r="S209" s="537">
        <f ca="1">IF(OFFSET(NAMES!$G$1,MATCH($C151,NAMES!$D:$D,0)-1,0)=TRUE,
(SUMIF($C152:$C202,"Depreciation (MM)",S152:S202)),
0)</f>
        <v>25.913471800029797</v>
      </c>
      <c r="T209" s="537">
        <f ca="1">IF(OFFSET(NAMES!$G$1,MATCH($C151,NAMES!$D:$D,0)-1,0)=TRUE,
(SUMIF($C152:$C202,"Depreciation (MM)",T152:T202)),
0)</f>
        <v>27.069776423953147</v>
      </c>
      <c r="U209" s="537">
        <f ca="1">IF(OFFSET(NAMES!$G$1,MATCH($C151,NAMES!$D:$D,0)-1,0)=TRUE,
(SUMIF($C152:$C202,"Depreciation (MM)",U152:U202)),
0)</f>
        <v>28.292812373276274</v>
      </c>
      <c r="V209" s="537">
        <f ca="1">IF(OFFSET(NAMES!$G$1,MATCH($C151,NAMES!$D:$D,0)-1,0)=TRUE,
(SUMIF($C152:$C202,"Depreciation (MM)",V152:V202)),
0)</f>
        <v>29.563060577382661</v>
      </c>
      <c r="W209" s="537">
        <f ca="1">IF(OFFSET(NAMES!$G$1,MATCH($C151,NAMES!$D:$D,0)-1,0)=TRUE,
(SUMIF($C152:$C202,"Depreciation (MM)",W152:W202)),
0)</f>
        <v>30.892627723453977</v>
      </c>
      <c r="X209" s="537">
        <f ca="1">IF(OFFSET(NAMES!$G$1,MATCH($C151,NAMES!$D:$D,0)-1,0)=TRUE,
(SUMIF($C152:$C202,"Depreciation (MM)",X152:X202)),
0)</f>
        <v>32.288934528203008</v>
      </c>
      <c r="Y209" s="537">
        <f ca="1">IF(OFFSET(NAMES!$G$1,MATCH($C151,NAMES!$D:$D,0)-1,0)=TRUE,
(SUMIF($C152:$C202,"Depreciation (MM)",Y152:Y202)),
0)</f>
        <v>33.746987858471684</v>
      </c>
      <c r="Z209" s="537">
        <f ca="1">IF(OFFSET(NAMES!$G$1,MATCH($C151,NAMES!$D:$D,0)-1,0)=TRUE,
(SUMIF($C152:$C202,"Depreciation (MM)",Z152:Z202)),
0)</f>
        <v>35.262067566750723</v>
      </c>
      <c r="AA209" s="537">
        <f ca="1">IF(OFFSET(NAMES!$G$1,MATCH($C151,NAMES!$D:$D,0)-1,0)=TRUE,
(SUMIF($C152:$C202,"Depreciation (MM)",AA152:AA202)),
0)</f>
        <v>36.843312570066111</v>
      </c>
      <c r="AB209" s="537">
        <f ca="1">IF(OFFSET(NAMES!$G$1,MATCH($C151,NAMES!$D:$D,0)-1,0)=TRUE,
(SUMIF($C152:$C202,"Depreciation (MM)",AB152:AB202)),
0)</f>
        <v>38.506319797259245</v>
      </c>
      <c r="AC209" s="537">
        <f ca="1">IF(OFFSET(NAMES!$G$1,MATCH($C151,NAMES!$D:$D,0)-1,0)=TRUE,
(SUMIF($C152:$C202,"Depreciation (MM)",AC152:AC202)),
0)</f>
        <v>40.241931305189084</v>
      </c>
      <c r="AD209" s="537">
        <f ca="1">IF(OFFSET(NAMES!$G$1,MATCH($C151,NAMES!$D:$D,0)-1,0)=TRUE,
(SUMIF($C152:$C202,"Depreciation (MM)",AD152:AD202)),
0)</f>
        <v>42.055380395820819</v>
      </c>
      <c r="AE209" s="537">
        <f ca="1">IF(OFFSET(NAMES!$G$1,MATCH($C151,NAMES!$D:$D,0)-1,0)=TRUE,
(SUMIF($C152:$C202,"Depreciation (MM)",AE152:AE202)),
0)</f>
        <v>43.946500840313249</v>
      </c>
      <c r="AF209" s="537">
        <f ca="1">IF(OFFSET(NAMES!$G$1,MATCH($C151,NAMES!$D:$D,0)-1,0)=TRUE,
(SUMIF($C152:$C202,"Depreciation (MM)",AF152:AF202)),
0)</f>
        <v>45.920325121261357</v>
      </c>
      <c r="AG209" s="537">
        <f ca="1">IF(OFFSET(NAMES!$G$1,MATCH($C151,NAMES!$D:$D,0)-1,0)=TRUE,
(SUMIF($C152:$C202,"Depreciation (MM)",AG152:AG202)),
0)</f>
        <v>47.98192748078668</v>
      </c>
      <c r="AH209" s="537">
        <f ca="1">IF(OFFSET(NAMES!$G$1,MATCH($C151,NAMES!$D:$D,0)-1,0)=TRUE,
(SUMIF($C152:$C202,"Depreciation (MM)",AH152:AH202)),
0)</f>
        <v>50.152325328347239</v>
      </c>
      <c r="AI209" s="537">
        <f ca="1">IF(OFFSET(NAMES!$G$1,MATCH($C151,NAMES!$D:$D,0)-1,0)=TRUE,
(SUMIF($C152:$C202,"Depreciation (MM)",AI152:AI202)),
0)</f>
        <v>52.409086790497433</v>
      </c>
      <c r="AJ209" s="537">
        <f ca="1">IF(OFFSET(NAMES!$G$1,MATCH($C151,NAMES!$D:$D,0)-1,0)=TRUE,
(SUMIF($C152:$C202,"Depreciation (MM)",AJ152:AJ202)),
0)</f>
        <v>54.75296285403428</v>
      </c>
      <c r="AK209" s="537">
        <f ca="1">IF(OFFSET(NAMES!$G$1,MATCH($C151,NAMES!$D:$D,0)-1,0)=TRUE,
(SUMIF($C152:$C202,"Depreciation (MM)",AK152:AK202)),
0)</f>
        <v>57.223738233073576</v>
      </c>
      <c r="AL209" s="537">
        <f ca="1">IF(OFFSET(NAMES!$G$1,MATCH($C151,NAMES!$D:$D,0)-1,0)=TRUE,
(SUMIF($C152:$C202,"Depreciation (MM)",AL152:AL202)),
0)</f>
        <v>59.799364866194978</v>
      </c>
      <c r="AM209" s="537">
        <f ca="1">IF(OFFSET(NAMES!$G$1,MATCH($C151,NAMES!$D:$D,0)-1,0)=TRUE,
(SUMIF($C152:$C202,"Depreciation (MM)",AM152:AM202)),
0)</f>
        <v>62.480428018855001</v>
      </c>
      <c r="AN209" s="537">
        <f ca="1">IF(OFFSET(NAMES!$G$1,MATCH($C151,NAMES!$D:$D,0)-1,0)=TRUE,
(SUMIF($C152:$C202,"Depreciation (MM)",AN152:AN202)),
0)</f>
        <v>65.296049242809801</v>
      </c>
      <c r="AO209" s="436"/>
      <c r="AP209" s="21"/>
    </row>
    <row r="210" spans="2:42" ht="15" customHeight="1" x14ac:dyDescent="0.35">
      <c r="B210" s="429"/>
      <c r="C210" s="777" t="s">
        <v>219</v>
      </c>
      <c r="D210" s="776"/>
      <c r="E210" s="535">
        <f ca="1">IF(OFFSET(NAMES!$G$1,MATCH($C151,NAMES!$D:$D,0)-1,0)=TRUE,
(SUMIF($C152:$C202,"Overhead (MM)",E152:E202)),
0)</f>
        <v>8.8389227599773204</v>
      </c>
      <c r="F210" s="535">
        <f ca="1">IF(OFFSET(NAMES!$G$1,MATCH($C151,NAMES!$D:$D,0)-1,0)=TRUE,
(SUMIF($C152:$C202,"Overhead (MM)",F152:F202)),
0)</f>
        <v>9.1653496535829362</v>
      </c>
      <c r="G210" s="535">
        <f ca="1">IF(OFFSET(NAMES!$G$1,MATCH($C151,NAMES!$D:$D,0)-1,0)=TRUE,
(SUMIF($C152:$C202,"Overhead (MM)",G152:G202)),
0)</f>
        <v>9.4473169311120557</v>
      </c>
      <c r="H210" s="535">
        <f ca="1">IF(OFFSET(NAMES!$G$1,MATCH($C151,NAMES!$D:$D,0)-1,0)=TRUE,
(SUMIF($C152:$C202,"Overhead (MM)",H152:H202)),
0)</f>
        <v>9.8202672711110974</v>
      </c>
      <c r="I210" s="535">
        <f ca="1">IF(OFFSET(NAMES!$G$1,MATCH($C151,NAMES!$D:$D,0)-1,0)=TRUE,
(SUMIF($C152:$C202,"Overhead (MM)",I152:I202)),
0)</f>
        <v>10.232008460952018</v>
      </c>
      <c r="J210" s="535">
        <f ca="1">IF(OFFSET(NAMES!$G$1,MATCH($C151,NAMES!$D:$D,0)-1,0)=TRUE,
(SUMIF($C152:$C202,"Overhead (MM)",J152:J202)),
0)</f>
        <v>10.678449180895678</v>
      </c>
      <c r="K210" s="535">
        <f ca="1">IF(OFFSET(NAMES!$G$1,MATCH($C151,NAMES!$D:$D,0)-1,0)=TRUE,
(SUMIF($C152:$C202,"Overhead (MM)",K152:K202)),
0)</f>
        <v>11.171579804496268</v>
      </c>
      <c r="L210" s="535">
        <f ca="1">IF(OFFSET(NAMES!$G$1,MATCH($C151,NAMES!$D:$D,0)-1,0)=TRUE,
(SUMIF($C152:$C202,"Overhead (MM)",L152:L202)),
0)</f>
        <v>11.692211977050599</v>
      </c>
      <c r="M210" s="535">
        <f ca="1">IF(OFFSET(NAMES!$G$1,MATCH($C151,NAMES!$D:$D,0)-1,0)=TRUE,
(SUMIF($C152:$C202,"Overhead (MM)",M152:M202)),
0)</f>
        <v>12.233601637550624</v>
      </c>
      <c r="N210" s="535">
        <f ca="1">IF(OFFSET(NAMES!$G$1,MATCH($C151,NAMES!$D:$D,0)-1,0)=TRUE,
(SUMIF($C152:$C202,"Overhead (MM)",N152:N202)),
0)</f>
        <v>12.796242613763384</v>
      </c>
      <c r="O210" s="535">
        <f ca="1">IF(OFFSET(NAMES!$G$1,MATCH($C151,NAMES!$D:$D,0)-1,0)=TRUE,
(SUMIF($C152:$C202,"Overhead (MM)",O152:O202)),
0)</f>
        <v>13.372083459370041</v>
      </c>
      <c r="P210" s="535">
        <f ca="1">IF(OFFSET(NAMES!$G$1,MATCH($C151,NAMES!$D:$D,0)-1,0)=TRUE,
(SUMIF($C152:$C202,"Overhead (MM)",P152:P202)),
0)</f>
        <v>13.973049750390315</v>
      </c>
      <c r="Q210" s="535">
        <f ca="1">IF(OFFSET(NAMES!$G$1,MATCH($C151,NAMES!$D:$D,0)-1,0)=TRUE,
(SUMIF($C152:$C202,"Overhead (MM)",Q152:Q202)),
0)</f>
        <v>14.590080660690337</v>
      </c>
      <c r="R210" s="535">
        <f ca="1">IF(OFFSET(NAMES!$G$1,MATCH($C151,NAMES!$D:$D,0)-1,0)=TRUE,
(SUMIF($C152:$C202,"Overhead (MM)",R152:R202)),
0)</f>
        <v>15.233358972562078</v>
      </c>
      <c r="S210" s="535">
        <f ca="1">IF(OFFSET(NAMES!$G$1,MATCH($C151,NAMES!$D:$D,0)-1,0)=TRUE,
(SUMIF($C152:$C202,"Overhead (MM)",S152:S202)),
0)</f>
        <v>15.917192449865011</v>
      </c>
      <c r="T210" s="535">
        <f ca="1">IF(OFFSET(NAMES!$G$1,MATCH($C151,NAMES!$D:$D,0)-1,0)=TRUE,
(SUMIF($C152:$C202,"Overhead (MM)",T152:T202)),
0)</f>
        <v>16.627448560063186</v>
      </c>
      <c r="U210" s="535">
        <f ca="1">IF(OFFSET(NAMES!$G$1,MATCH($C151,NAMES!$D:$D,0)-1,0)=TRUE,
(SUMIF($C152:$C202,"Overhead (MM)",U152:U202)),
0)</f>
        <v>17.378488135617964</v>
      </c>
      <c r="V210" s="535">
        <f ca="1">IF(OFFSET(NAMES!$G$1,MATCH($C151,NAMES!$D:$D,0)-1,0)=TRUE,
(SUMIF($C152:$C202,"Overhead (MM)",V152:V202)),
0)</f>
        <v>18.159063448193091</v>
      </c>
      <c r="W210" s="535">
        <f ca="1">IF(OFFSET(NAMES!$G$1,MATCH($C151,NAMES!$D:$D,0)-1,0)=TRUE,
(SUMIF($C152:$C202,"Overhead (MM)",W152:W202)),
0)</f>
        <v>18.975590830713735</v>
      </c>
      <c r="X210" s="535">
        <f ca="1">IF(OFFSET(NAMES!$G$1,MATCH($C151,NAMES!$D:$D,0)-1,0)=TRUE,
(SUMIF($C152:$C202,"Overhead (MM)",X152:X202)),
0)</f>
        <v>19.833405335180753</v>
      </c>
      <c r="Y210" s="535">
        <f ca="1">IF(OFFSET(NAMES!$G$1,MATCH($C151,NAMES!$D:$D,0)-1,0)=TRUE,
(SUMIF($C152:$C202,"Overhead (MM)",Y152:Y202)),
0)</f>
        <v>20.728645340472639</v>
      </c>
      <c r="Z210" s="535">
        <f ca="1">IF(OFFSET(NAMES!$G$1,MATCH($C151,NAMES!$D:$D,0)-1,0)=TRUE,
(SUMIF($C152:$C202,"Overhead (MM)",Z152:Z202)),
0)</f>
        <v>21.659495439166125</v>
      </c>
      <c r="AA210" s="535">
        <f ca="1">IF(OFFSET(NAMES!$G$1,MATCH($C151,NAMES!$D:$D,0)-1,0)=TRUE,
(SUMIF($C152:$C202,"Overhead (MM)",AA152:AA202)),
0)</f>
        <v>22.630929630190213</v>
      </c>
      <c r="AB210" s="535">
        <f ca="1">IF(OFFSET(NAMES!$G$1,MATCH($C151,NAMES!$D:$D,0)-1,0)=TRUE,
(SUMIF($C152:$C202,"Overhead (MM)",AB152:AB202)),
0)</f>
        <v>23.652429942062277</v>
      </c>
      <c r="AC210" s="535">
        <f ca="1">IF(OFFSET(NAMES!$G$1,MATCH($C151,NAMES!$D:$D,0)-1,0)=TRUE,
(SUMIF($C152:$C202,"Overhead (MM)",AC152:AC202)),
0)</f>
        <v>24.718527435616231</v>
      </c>
      <c r="AD210" s="535">
        <f ca="1">IF(OFFSET(NAMES!$G$1,MATCH($C151,NAMES!$D:$D,0)-1,0)=TRUE,
(SUMIF($C152:$C202,"Overhead (MM)",AD152:AD202)),
0)</f>
        <v>25.832403417988331</v>
      </c>
      <c r="AE210" s="535">
        <f ca="1">IF(OFFSET(NAMES!$G$1,MATCH($C151,NAMES!$D:$D,0)-1,0)=TRUE,
(SUMIF($C152:$C202,"Overhead (MM)",AE152:AE202)),
0)</f>
        <v>26.9940206443523</v>
      </c>
      <c r="AF210" s="535">
        <f ca="1">IF(OFFSET(NAMES!$G$1,MATCH($C151,NAMES!$D:$D,0)-1,0)=TRUE,
(SUMIF($C152:$C202,"Overhead (MM)",AF152:AF202)),
0)</f>
        <v>28.206438638570308</v>
      </c>
      <c r="AG210" s="535">
        <f ca="1">IF(OFFSET(NAMES!$G$1,MATCH($C151,NAMES!$D:$D,0)-1,0)=TRUE,
(SUMIF($C152:$C202,"Overhead (MM)",AG152:AG202)),
0)</f>
        <v>29.472778615461078</v>
      </c>
      <c r="AH210" s="535">
        <f ca="1">IF(OFFSET(NAMES!$G$1,MATCH($C151,NAMES!$D:$D,0)-1,0)=TRUE,
(SUMIF($C152:$C202,"Overhead (MM)",AH152:AH202)),
0)</f>
        <v>30.805671395627758</v>
      </c>
      <c r="AI210" s="535">
        <f ca="1">IF(OFFSET(NAMES!$G$1,MATCH($C151,NAMES!$D:$D,0)-1,0)=TRUE,
(SUMIF($C152:$C202,"Overhead (MM)",AI152:AI202)),
0)</f>
        <v>32.192508559261171</v>
      </c>
      <c r="AJ210" s="535">
        <f ca="1">IF(OFFSET(NAMES!$G$1,MATCH($C151,NAMES!$D:$D,0)-1,0)=TRUE,
(SUMIF($C152:$C202,"Overhead (MM)",AJ152:AJ202)),
0)</f>
        <v>33.632253416503673</v>
      </c>
      <c r="AK210" s="535">
        <f ca="1">IF(OFFSET(NAMES!$G$1,MATCH($C151,NAMES!$D:$D,0)-1,0)=TRUE,
(SUMIF($C152:$C202,"Overhead (MM)",AK152:AK202)),
0)</f>
        <v>35.149499378744451</v>
      </c>
      <c r="AL210" s="535">
        <f ca="1">IF(OFFSET(NAMES!$G$1,MATCH($C151,NAMES!$D:$D,0)-1,0)=TRUE,
(SUMIF($C152:$C202,"Overhead (MM)",AL152:AL202)),
0)</f>
        <v>36.731298370771114</v>
      </c>
      <c r="AM210" s="535">
        <f ca="1">IF(OFFSET(NAMES!$G$1,MATCH($C151,NAMES!$D:$D,0)-1,0)=TRUE,
(SUMIF($C152:$C202,"Overhead (MM)",AM152:AM202)),
0)</f>
        <v>38.37884446954245</v>
      </c>
      <c r="AN210" s="535">
        <f ca="1">IF(OFFSET(NAMES!$G$1,MATCH($C151,NAMES!$D:$D,0)-1,0)=TRUE,
(SUMIF($C152:$C202,"Overhead (MM)",AN152:AN202)),
0)</f>
        <v>40.108209407589825</v>
      </c>
      <c r="AO210" s="436"/>
      <c r="AP210" s="21"/>
    </row>
    <row r="211" spans="2:42" ht="15" customHeight="1" thickBot="1" x14ac:dyDescent="0.4">
      <c r="B211" s="465"/>
      <c r="C211" s="466"/>
      <c r="D211" s="466"/>
      <c r="E211" s="466"/>
      <c r="F211" s="466"/>
      <c r="G211" s="466"/>
      <c r="H211" s="466"/>
      <c r="I211" s="466"/>
      <c r="J211" s="466"/>
      <c r="K211" s="466"/>
      <c r="L211" s="466"/>
      <c r="M211" s="466"/>
      <c r="N211" s="466"/>
      <c r="O211" s="466"/>
      <c r="P211" s="466"/>
      <c r="Q211" s="466"/>
      <c r="R211" s="466"/>
      <c r="S211" s="466"/>
      <c r="T211" s="466"/>
      <c r="U211" s="466"/>
      <c r="V211" s="466"/>
      <c r="W211" s="466"/>
      <c r="X211" s="466"/>
      <c r="Y211" s="466"/>
      <c r="Z211" s="466"/>
      <c r="AA211" s="466"/>
      <c r="AB211" s="466"/>
      <c r="AC211" s="466"/>
      <c r="AD211" s="466"/>
      <c r="AE211" s="466"/>
      <c r="AF211" s="466"/>
      <c r="AG211" s="466"/>
      <c r="AH211" s="466"/>
      <c r="AI211" s="466"/>
      <c r="AJ211" s="466"/>
      <c r="AK211" s="466"/>
      <c r="AL211" s="466"/>
      <c r="AM211" s="466"/>
      <c r="AN211" s="466"/>
      <c r="AO211" s="467"/>
      <c r="AP211" s="21"/>
    </row>
    <row r="212" spans="2:42" ht="15" customHeight="1" x14ac:dyDescent="0.35"/>
    <row r="213" spans="2:42" ht="15" customHeight="1" x14ac:dyDescent="0.35"/>
    <row r="214" spans="2:42" ht="15" customHeight="1" x14ac:dyDescent="0.35"/>
    <row r="215" spans="2:42" ht="15" customHeight="1" x14ac:dyDescent="0.35"/>
    <row r="216" spans="2:42" ht="15" customHeight="1" x14ac:dyDescent="0.35"/>
    <row r="217" spans="2:42" ht="15" customHeight="1" x14ac:dyDescent="0.35"/>
    <row r="218" spans="2:42" ht="15" customHeight="1" x14ac:dyDescent="0.35"/>
    <row r="219" spans="2:42" ht="15" customHeight="1" x14ac:dyDescent="0.35"/>
    <row r="220" spans="2:42" ht="15" customHeight="1" x14ac:dyDescent="0.35"/>
    <row r="221" spans="2:42" ht="15" customHeight="1" x14ac:dyDescent="0.35"/>
    <row r="222" spans="2:42" ht="15" customHeight="1" x14ac:dyDescent="0.35"/>
    <row r="223" spans="2:42" ht="15" customHeight="1" x14ac:dyDescent="0.35"/>
    <row r="224" spans="2:42" ht="15" customHeight="1" x14ac:dyDescent="0.35"/>
    <row r="225" ht="15" customHeight="1" x14ac:dyDescent="0.35"/>
    <row r="226" ht="15" customHeight="1" x14ac:dyDescent="0.35"/>
    <row r="227" ht="15" customHeight="1" x14ac:dyDescent="0.35"/>
    <row r="228" ht="15" customHeight="1" x14ac:dyDescent="0.35"/>
    <row r="229" ht="15" customHeight="1" x14ac:dyDescent="0.35"/>
    <row r="230" ht="15" customHeight="1" x14ac:dyDescent="0.35"/>
    <row r="231" ht="15" customHeight="1" x14ac:dyDescent="0.35"/>
    <row r="232" ht="15" customHeight="1" x14ac:dyDescent="0.35"/>
    <row r="233" ht="15" customHeight="1" x14ac:dyDescent="0.35"/>
    <row r="234" ht="15" customHeight="1" x14ac:dyDescent="0.35"/>
    <row r="235" ht="15" customHeight="1" x14ac:dyDescent="0.35"/>
    <row r="236" ht="15" customHeight="1" x14ac:dyDescent="0.35"/>
    <row r="237" ht="15" customHeight="1" x14ac:dyDescent="0.35"/>
    <row r="238" ht="15" customHeight="1" x14ac:dyDescent="0.35"/>
    <row r="239" ht="15" customHeight="1" x14ac:dyDescent="0.35"/>
    <row r="240" ht="15" customHeight="1" x14ac:dyDescent="0.35"/>
    <row r="241" ht="15" customHeight="1" x14ac:dyDescent="0.35"/>
    <row r="242" ht="15" customHeight="1" x14ac:dyDescent="0.35"/>
    <row r="243" ht="15" customHeight="1" x14ac:dyDescent="0.35"/>
    <row r="244" ht="15" customHeight="1" x14ac:dyDescent="0.35"/>
    <row r="245" ht="15" customHeight="1" x14ac:dyDescent="0.35"/>
    <row r="246" ht="15" customHeight="1" x14ac:dyDescent="0.35"/>
    <row r="247" ht="15" customHeight="1" x14ac:dyDescent="0.35"/>
    <row r="248" ht="15" customHeight="1" x14ac:dyDescent="0.35"/>
    <row r="249" ht="15" customHeight="1" x14ac:dyDescent="0.35"/>
    <row r="250" ht="15" customHeight="1" x14ac:dyDescent="0.35"/>
    <row r="251" ht="15" customHeight="1" x14ac:dyDescent="0.35"/>
    <row r="252" ht="15" customHeight="1" x14ac:dyDescent="0.35"/>
    <row r="253" ht="15" customHeight="1" x14ac:dyDescent="0.35"/>
    <row r="254" ht="15" customHeight="1" x14ac:dyDescent="0.35"/>
    <row r="255" ht="15" customHeight="1" x14ac:dyDescent="0.35"/>
    <row r="256" ht="15" customHeight="1" x14ac:dyDescent="0.35"/>
    <row r="257" ht="15" customHeight="1" x14ac:dyDescent="0.35"/>
    <row r="258" ht="15" customHeight="1" x14ac:dyDescent="0.35"/>
    <row r="259" ht="15" customHeight="1" x14ac:dyDescent="0.35"/>
    <row r="260" ht="15" customHeight="1" x14ac:dyDescent="0.35"/>
    <row r="261" ht="15" customHeight="1" x14ac:dyDescent="0.35"/>
    <row r="262" ht="15" customHeight="1" x14ac:dyDescent="0.35"/>
    <row r="263" ht="15" customHeight="1" x14ac:dyDescent="0.35"/>
    <row r="264" ht="15" customHeight="1" x14ac:dyDescent="0.35"/>
    <row r="265" ht="15" customHeight="1" x14ac:dyDescent="0.35"/>
    <row r="266" ht="15" customHeight="1" x14ac:dyDescent="0.35"/>
    <row r="267" ht="15" customHeight="1" x14ac:dyDescent="0.35"/>
    <row r="268" ht="15" customHeight="1" x14ac:dyDescent="0.35"/>
    <row r="269" ht="15" customHeight="1" x14ac:dyDescent="0.35"/>
    <row r="270" ht="15" customHeight="1" x14ac:dyDescent="0.35"/>
    <row r="271" ht="15" customHeight="1" x14ac:dyDescent="0.35"/>
    <row r="272" ht="15" customHeight="1" x14ac:dyDescent="0.35"/>
    <row r="273" ht="15" customHeight="1" x14ac:dyDescent="0.35"/>
    <row r="274" ht="15" customHeight="1" x14ac:dyDescent="0.35"/>
    <row r="275" ht="15" customHeight="1" x14ac:dyDescent="0.35"/>
    <row r="276" ht="15" customHeight="1" x14ac:dyDescent="0.35"/>
    <row r="277" ht="15" customHeight="1" x14ac:dyDescent="0.35"/>
    <row r="278" ht="15" customHeight="1" x14ac:dyDescent="0.35"/>
    <row r="279" ht="15" customHeight="1" x14ac:dyDescent="0.35"/>
    <row r="280" ht="15" customHeight="1" x14ac:dyDescent="0.35"/>
    <row r="281" ht="15" customHeight="1" x14ac:dyDescent="0.35"/>
    <row r="282" ht="15" customHeight="1" x14ac:dyDescent="0.35"/>
    <row r="283" ht="15" customHeight="1" x14ac:dyDescent="0.35"/>
    <row r="284" ht="15" customHeight="1" x14ac:dyDescent="0.35"/>
    <row r="285" ht="15" customHeight="1" x14ac:dyDescent="0.35"/>
    <row r="286" ht="15" customHeight="1" x14ac:dyDescent="0.35"/>
    <row r="287" ht="15" customHeight="1" x14ac:dyDescent="0.35"/>
    <row r="288" ht="15" customHeight="1" x14ac:dyDescent="0.35"/>
    <row r="289" ht="15" customHeight="1" x14ac:dyDescent="0.35"/>
    <row r="290" ht="15" customHeight="1" x14ac:dyDescent="0.35"/>
    <row r="291" ht="15" customHeight="1" x14ac:dyDescent="0.35"/>
    <row r="292" ht="15" customHeight="1" x14ac:dyDescent="0.35"/>
    <row r="293" ht="15" customHeight="1" x14ac:dyDescent="0.35"/>
    <row r="294" ht="15" customHeight="1" x14ac:dyDescent="0.35"/>
    <row r="295" ht="15" customHeight="1" x14ac:dyDescent="0.35"/>
    <row r="296" ht="15" customHeight="1" x14ac:dyDescent="0.35"/>
    <row r="297" ht="15" customHeight="1" x14ac:dyDescent="0.35"/>
    <row r="298" ht="15" customHeight="1" x14ac:dyDescent="0.35"/>
    <row r="299" ht="15" customHeight="1" x14ac:dyDescent="0.35"/>
    <row r="300" ht="15" customHeight="1" x14ac:dyDescent="0.35"/>
    <row r="301" ht="15" customHeight="1" x14ac:dyDescent="0.35"/>
    <row r="302" ht="15" customHeight="1" x14ac:dyDescent="0.35"/>
    <row r="303" ht="15" customHeight="1" x14ac:dyDescent="0.35"/>
    <row r="304" ht="15" customHeight="1" x14ac:dyDescent="0.35"/>
    <row r="305" ht="15" customHeight="1" x14ac:dyDescent="0.35"/>
    <row r="306" ht="15" customHeight="1" x14ac:dyDescent="0.35"/>
    <row r="307" ht="15" customHeight="1" x14ac:dyDescent="0.35"/>
    <row r="308" ht="15" customHeight="1" x14ac:dyDescent="0.35"/>
    <row r="309" ht="15" customHeight="1" x14ac:dyDescent="0.35"/>
    <row r="310" ht="15" customHeight="1" x14ac:dyDescent="0.35"/>
    <row r="311" ht="15" customHeight="1" x14ac:dyDescent="0.35"/>
    <row r="312" ht="15" customHeight="1" x14ac:dyDescent="0.35"/>
    <row r="313" ht="15" customHeight="1" x14ac:dyDescent="0.35"/>
    <row r="314" ht="15" customHeight="1" x14ac:dyDescent="0.35"/>
    <row r="315" ht="15" customHeight="1" x14ac:dyDescent="0.35"/>
    <row r="316" ht="15" customHeight="1" x14ac:dyDescent="0.35"/>
    <row r="317" ht="15" customHeight="1" x14ac:dyDescent="0.35"/>
    <row r="318" ht="15" customHeight="1" x14ac:dyDescent="0.35"/>
    <row r="319" ht="15" customHeight="1" x14ac:dyDescent="0.35"/>
    <row r="320" ht="15" customHeight="1" x14ac:dyDescent="0.35"/>
    <row r="321" ht="15" customHeight="1" x14ac:dyDescent="0.35"/>
    <row r="322" ht="15" customHeight="1" x14ac:dyDescent="0.35"/>
    <row r="323" ht="15" customHeight="1" x14ac:dyDescent="0.35"/>
    <row r="324" ht="15" customHeight="1" x14ac:dyDescent="0.35"/>
    <row r="325" ht="15" customHeight="1" x14ac:dyDescent="0.35"/>
    <row r="326" ht="15" customHeight="1" x14ac:dyDescent="0.35"/>
    <row r="327" ht="15" customHeight="1" x14ac:dyDescent="0.35"/>
    <row r="328" ht="15" customHeight="1" x14ac:dyDescent="0.35"/>
    <row r="329" ht="15" customHeight="1" x14ac:dyDescent="0.35"/>
    <row r="330" ht="15" customHeight="1" x14ac:dyDescent="0.35"/>
    <row r="331" ht="15" customHeight="1" x14ac:dyDescent="0.35"/>
    <row r="332" ht="15" customHeight="1" x14ac:dyDescent="0.35"/>
    <row r="333" ht="15" customHeight="1" x14ac:dyDescent="0.35"/>
    <row r="334" ht="15" customHeight="1" x14ac:dyDescent="0.35"/>
    <row r="335" ht="15" customHeight="1" x14ac:dyDescent="0.35"/>
    <row r="336" ht="15" customHeight="1" x14ac:dyDescent="0.35"/>
    <row r="337" ht="15" customHeight="1" x14ac:dyDescent="0.35"/>
    <row r="338" ht="15" customHeight="1" x14ac:dyDescent="0.35"/>
    <row r="339" ht="15" customHeight="1" x14ac:dyDescent="0.35"/>
    <row r="340" ht="15" customHeight="1" x14ac:dyDescent="0.35"/>
    <row r="341" ht="15" customHeight="1" x14ac:dyDescent="0.35"/>
    <row r="342" ht="15" customHeight="1" x14ac:dyDescent="0.35"/>
    <row r="343" ht="15" customHeight="1" x14ac:dyDescent="0.35"/>
    <row r="344" ht="15" customHeight="1" x14ac:dyDescent="0.35"/>
    <row r="345" ht="15" customHeight="1" x14ac:dyDescent="0.35"/>
    <row r="346" ht="15" customHeight="1" x14ac:dyDescent="0.35"/>
    <row r="347" ht="15" customHeight="1" x14ac:dyDescent="0.35"/>
    <row r="348" ht="15" customHeight="1" x14ac:dyDescent="0.35"/>
    <row r="349" ht="15" customHeight="1" x14ac:dyDescent="0.35"/>
    <row r="350" ht="15" customHeight="1" x14ac:dyDescent="0.35"/>
    <row r="351" ht="15" customHeight="1" x14ac:dyDescent="0.35"/>
    <row r="352" ht="15" customHeight="1" x14ac:dyDescent="0.35"/>
    <row r="353" ht="15" customHeight="1" x14ac:dyDescent="0.35"/>
    <row r="354" ht="15" customHeight="1" x14ac:dyDescent="0.35"/>
    <row r="355" ht="15" customHeight="1" x14ac:dyDescent="0.35"/>
    <row r="356" ht="15" customHeight="1" x14ac:dyDescent="0.35"/>
    <row r="357" ht="15" customHeight="1" x14ac:dyDescent="0.35"/>
    <row r="358" ht="15" customHeight="1" x14ac:dyDescent="0.35"/>
    <row r="359" ht="15" customHeight="1" x14ac:dyDescent="0.35"/>
    <row r="360" ht="15" customHeight="1" x14ac:dyDescent="0.35"/>
    <row r="361" ht="15" customHeight="1" x14ac:dyDescent="0.35"/>
    <row r="362" ht="15" customHeight="1" x14ac:dyDescent="0.35"/>
    <row r="363" ht="15" customHeight="1" x14ac:dyDescent="0.35"/>
    <row r="364" ht="15" customHeight="1" x14ac:dyDescent="0.35"/>
    <row r="365" ht="15" customHeight="1" x14ac:dyDescent="0.35"/>
    <row r="366" ht="15" customHeight="1" x14ac:dyDescent="0.35"/>
    <row r="367" ht="15" customHeight="1" x14ac:dyDescent="0.35"/>
    <row r="368" ht="15" customHeight="1" x14ac:dyDescent="0.35"/>
    <row r="369" ht="15" customHeight="1" x14ac:dyDescent="0.35"/>
    <row r="370" ht="15" customHeight="1" x14ac:dyDescent="0.35"/>
    <row r="371" ht="15" customHeight="1" x14ac:dyDescent="0.35"/>
    <row r="372" ht="15" customHeight="1" x14ac:dyDescent="0.35"/>
    <row r="373" ht="15" customHeight="1" x14ac:dyDescent="0.35"/>
    <row r="374" ht="15" customHeight="1" x14ac:dyDescent="0.35"/>
    <row r="375" ht="15" customHeight="1" x14ac:dyDescent="0.35"/>
    <row r="376" ht="15" customHeight="1" x14ac:dyDescent="0.35"/>
    <row r="377" ht="15" customHeight="1" x14ac:dyDescent="0.35"/>
    <row r="378" ht="15" customHeight="1" x14ac:dyDescent="0.35"/>
    <row r="379" ht="15" customHeight="1" x14ac:dyDescent="0.35"/>
    <row r="380" ht="15" customHeight="1" x14ac:dyDescent="0.35"/>
    <row r="381" ht="15" customHeight="1" x14ac:dyDescent="0.35"/>
    <row r="382" ht="15" customHeight="1" x14ac:dyDescent="0.35"/>
    <row r="383" ht="15" customHeight="1" x14ac:dyDescent="0.35"/>
    <row r="384" ht="15" customHeight="1" x14ac:dyDescent="0.35"/>
    <row r="385" ht="15" customHeight="1" x14ac:dyDescent="0.35"/>
    <row r="386" ht="15" customHeight="1" x14ac:dyDescent="0.35"/>
    <row r="387" ht="15" customHeight="1" x14ac:dyDescent="0.35"/>
    <row r="388" ht="15" customHeight="1" x14ac:dyDescent="0.35"/>
    <row r="389" ht="15" customHeight="1" x14ac:dyDescent="0.35"/>
    <row r="390" ht="15" customHeight="1" x14ac:dyDescent="0.35"/>
    <row r="391" ht="15" customHeight="1" x14ac:dyDescent="0.35"/>
    <row r="392" ht="15" customHeight="1" x14ac:dyDescent="0.35"/>
    <row r="393" ht="15" customHeight="1" x14ac:dyDescent="0.35"/>
    <row r="394" ht="15" customHeight="1" x14ac:dyDescent="0.35"/>
    <row r="395" ht="15" customHeight="1" x14ac:dyDescent="0.35"/>
    <row r="396" ht="15" customHeight="1" x14ac:dyDescent="0.35"/>
    <row r="397" ht="15" customHeight="1" x14ac:dyDescent="0.35"/>
    <row r="398" ht="15" customHeight="1" x14ac:dyDescent="0.35"/>
    <row r="399" ht="15" customHeight="1" x14ac:dyDescent="0.35"/>
    <row r="400" ht="15" customHeight="1" x14ac:dyDescent="0.35"/>
    <row r="401" ht="15" customHeight="1" x14ac:dyDescent="0.35"/>
    <row r="402" ht="15" customHeight="1" x14ac:dyDescent="0.35"/>
    <row r="403" ht="15" customHeight="1" x14ac:dyDescent="0.35"/>
    <row r="404" ht="15" customHeight="1" x14ac:dyDescent="0.35"/>
    <row r="405" ht="15" customHeight="1" x14ac:dyDescent="0.35"/>
    <row r="406" ht="15" customHeight="1" x14ac:dyDescent="0.35"/>
    <row r="407" ht="15" customHeight="1" x14ac:dyDescent="0.35"/>
    <row r="408" ht="15" customHeight="1" x14ac:dyDescent="0.35"/>
    <row r="409" ht="15" customHeight="1" x14ac:dyDescent="0.35"/>
    <row r="410" ht="15" customHeight="1" x14ac:dyDescent="0.35"/>
    <row r="411" ht="15" customHeight="1" x14ac:dyDescent="0.35"/>
    <row r="412" ht="15" customHeight="1" x14ac:dyDescent="0.35"/>
    <row r="413" ht="15" customHeight="1" x14ac:dyDescent="0.35"/>
    <row r="414" ht="15" customHeight="1" x14ac:dyDescent="0.35"/>
    <row r="415" ht="15" customHeight="1" x14ac:dyDescent="0.35"/>
    <row r="416" ht="15" customHeight="1" x14ac:dyDescent="0.35"/>
    <row r="417" ht="15" customHeight="1" x14ac:dyDescent="0.35"/>
    <row r="418" ht="15" customHeight="1" x14ac:dyDescent="0.35"/>
    <row r="419" ht="15" customHeight="1" x14ac:dyDescent="0.35"/>
    <row r="420" ht="15" customHeight="1" x14ac:dyDescent="0.35"/>
    <row r="421" ht="15" customHeight="1" x14ac:dyDescent="0.35"/>
    <row r="422" ht="15" customHeight="1" x14ac:dyDescent="0.35"/>
    <row r="423" ht="15" customHeight="1" x14ac:dyDescent="0.35"/>
    <row r="424" ht="15" customHeight="1" x14ac:dyDescent="0.35"/>
    <row r="425" ht="15" customHeight="1" x14ac:dyDescent="0.35"/>
    <row r="426" ht="15" customHeight="1" x14ac:dyDescent="0.35"/>
    <row r="427" ht="15" customHeight="1" x14ac:dyDescent="0.35"/>
    <row r="428" ht="15" customHeight="1" x14ac:dyDescent="0.35"/>
    <row r="429" ht="15" customHeight="1" x14ac:dyDescent="0.35"/>
    <row r="430" ht="15" customHeight="1" x14ac:dyDescent="0.35"/>
    <row r="431" ht="15" customHeight="1" x14ac:dyDescent="0.35"/>
    <row r="432" ht="15" customHeight="1" x14ac:dyDescent="0.35"/>
    <row r="433" ht="15" customHeight="1" x14ac:dyDescent="0.35"/>
    <row r="434" ht="15" customHeight="1" x14ac:dyDescent="0.35"/>
    <row r="435" ht="15" customHeight="1" x14ac:dyDescent="0.35"/>
    <row r="436" ht="15" customHeight="1" x14ac:dyDescent="0.35"/>
    <row r="437" ht="15" customHeight="1" x14ac:dyDescent="0.35"/>
    <row r="438" ht="15" customHeight="1" x14ac:dyDescent="0.35"/>
    <row r="439" ht="15" customHeight="1" x14ac:dyDescent="0.35"/>
    <row r="440" ht="15" customHeight="1" x14ac:dyDescent="0.35"/>
    <row r="441" ht="15" customHeight="1" x14ac:dyDescent="0.35"/>
    <row r="442" ht="15" customHeight="1" x14ac:dyDescent="0.35"/>
    <row r="443" ht="15" customHeight="1" x14ac:dyDescent="0.35"/>
    <row r="444" ht="15" customHeight="1" x14ac:dyDescent="0.35"/>
    <row r="445" ht="15" customHeight="1" x14ac:dyDescent="0.35"/>
    <row r="446" ht="15" customHeight="1" x14ac:dyDescent="0.35"/>
    <row r="447" ht="15" customHeight="1" x14ac:dyDescent="0.35"/>
    <row r="448" ht="15" customHeight="1" x14ac:dyDescent="0.35"/>
    <row r="449" ht="15" customHeight="1" x14ac:dyDescent="0.35"/>
    <row r="450" ht="15" customHeight="1" x14ac:dyDescent="0.35"/>
    <row r="451" ht="15" customHeight="1" x14ac:dyDescent="0.35"/>
    <row r="452" ht="15" customHeight="1" x14ac:dyDescent="0.35"/>
    <row r="453" ht="15" customHeight="1" x14ac:dyDescent="0.35"/>
    <row r="454" ht="15" customHeight="1" x14ac:dyDescent="0.35"/>
    <row r="455" ht="15" customHeight="1" x14ac:dyDescent="0.35"/>
    <row r="456" ht="15" customHeight="1" x14ac:dyDescent="0.35"/>
    <row r="457" ht="15" customHeight="1" x14ac:dyDescent="0.35"/>
    <row r="458" ht="15" customHeight="1" x14ac:dyDescent="0.35"/>
    <row r="459" ht="15" customHeight="1" x14ac:dyDescent="0.35"/>
    <row r="460" ht="15" customHeight="1" x14ac:dyDescent="0.35"/>
    <row r="461" ht="15" customHeight="1" x14ac:dyDescent="0.35"/>
    <row r="462" ht="15" customHeight="1" x14ac:dyDescent="0.35"/>
    <row r="463" ht="15" customHeight="1" x14ac:dyDescent="0.35"/>
    <row r="464" ht="15" customHeight="1" x14ac:dyDescent="0.35"/>
    <row r="465" ht="15" customHeight="1" x14ac:dyDescent="0.35"/>
    <row r="466" ht="15" customHeight="1" x14ac:dyDescent="0.35"/>
    <row r="467" ht="15" customHeight="1" x14ac:dyDescent="0.35"/>
    <row r="468" ht="15" customHeight="1" x14ac:dyDescent="0.35"/>
    <row r="469" ht="15" customHeight="1" x14ac:dyDescent="0.35"/>
    <row r="470" ht="15" customHeight="1" x14ac:dyDescent="0.35"/>
    <row r="471" ht="15" customHeight="1" x14ac:dyDescent="0.35"/>
    <row r="472" ht="15" customHeight="1" x14ac:dyDescent="0.35"/>
    <row r="473" ht="15" customHeight="1" x14ac:dyDescent="0.35"/>
    <row r="474" ht="15" customHeight="1" x14ac:dyDescent="0.35"/>
    <row r="475" ht="15" customHeight="1" x14ac:dyDescent="0.35"/>
    <row r="476" ht="15" customHeight="1" x14ac:dyDescent="0.35"/>
    <row r="477" ht="15" customHeight="1" x14ac:dyDescent="0.35"/>
    <row r="478" ht="15" customHeight="1" x14ac:dyDescent="0.35"/>
    <row r="479" ht="15" customHeight="1" x14ac:dyDescent="0.35"/>
    <row r="480" ht="15" customHeight="1" x14ac:dyDescent="0.35"/>
    <row r="481" ht="15" customHeight="1" x14ac:dyDescent="0.35"/>
    <row r="482" ht="15" customHeight="1" x14ac:dyDescent="0.35"/>
    <row r="483" ht="15" customHeight="1" x14ac:dyDescent="0.35"/>
    <row r="484" ht="15" customHeight="1" x14ac:dyDescent="0.35"/>
    <row r="485" ht="15" customHeight="1" x14ac:dyDescent="0.35"/>
    <row r="486" ht="15" customHeight="1" x14ac:dyDescent="0.35"/>
    <row r="487" ht="15" customHeight="1" x14ac:dyDescent="0.35"/>
    <row r="488" ht="15" customHeight="1" x14ac:dyDescent="0.35"/>
    <row r="489" ht="15" customHeight="1" x14ac:dyDescent="0.35"/>
    <row r="490" ht="15" customHeight="1" x14ac:dyDescent="0.35"/>
    <row r="491" ht="15" customHeight="1" x14ac:dyDescent="0.35"/>
    <row r="492" ht="15" customHeight="1" x14ac:dyDescent="0.35"/>
    <row r="493" ht="15" customHeight="1" x14ac:dyDescent="0.35"/>
    <row r="494" ht="15" customHeight="1" x14ac:dyDescent="0.35"/>
    <row r="495" ht="15" customHeight="1" x14ac:dyDescent="0.35"/>
    <row r="496" ht="15" customHeight="1" x14ac:dyDescent="0.35"/>
    <row r="497" ht="15" customHeight="1" x14ac:dyDescent="0.35"/>
    <row r="498" ht="15" customHeight="1" x14ac:dyDescent="0.35"/>
    <row r="499" ht="15" customHeight="1" x14ac:dyDescent="0.35"/>
    <row r="500" ht="15" customHeight="1" x14ac:dyDescent="0.35"/>
    <row r="501" ht="15" customHeight="1" x14ac:dyDescent="0.35"/>
    <row r="502" ht="15" customHeight="1" x14ac:dyDescent="0.35"/>
    <row r="503" ht="15" customHeight="1" x14ac:dyDescent="0.35"/>
    <row r="504" ht="15" customHeight="1" x14ac:dyDescent="0.35"/>
    <row r="505" ht="15" customHeight="1" x14ac:dyDescent="0.35"/>
    <row r="506" ht="15" customHeight="1" x14ac:dyDescent="0.35"/>
    <row r="507" ht="15" customHeight="1" x14ac:dyDescent="0.35"/>
    <row r="508" ht="15" customHeight="1" x14ac:dyDescent="0.35"/>
    <row r="509" ht="15" customHeight="1" x14ac:dyDescent="0.35"/>
    <row r="510" ht="15" customHeight="1" x14ac:dyDescent="0.35"/>
    <row r="511" ht="15" customHeight="1" x14ac:dyDescent="0.35"/>
    <row r="512" ht="15" customHeight="1" x14ac:dyDescent="0.35"/>
    <row r="513" ht="15" customHeight="1" x14ac:dyDescent="0.35"/>
    <row r="514" ht="15" customHeight="1" x14ac:dyDescent="0.35"/>
    <row r="515" ht="15" customHeight="1" x14ac:dyDescent="0.35"/>
    <row r="516" ht="15" customHeight="1" x14ac:dyDescent="0.35"/>
    <row r="517" ht="15" customHeight="1" x14ac:dyDescent="0.35"/>
    <row r="518" ht="15" customHeight="1" x14ac:dyDescent="0.35"/>
    <row r="519" ht="15" customHeight="1" x14ac:dyDescent="0.35"/>
    <row r="520" ht="15" customHeight="1" x14ac:dyDescent="0.35"/>
    <row r="521" ht="15" customHeight="1" x14ac:dyDescent="0.35"/>
    <row r="522" ht="15" customHeight="1" x14ac:dyDescent="0.35"/>
    <row r="523" ht="15" customHeight="1" x14ac:dyDescent="0.35"/>
    <row r="524" ht="15" customHeight="1" x14ac:dyDescent="0.35"/>
    <row r="525" ht="15" customHeight="1" x14ac:dyDescent="0.35"/>
    <row r="526" ht="15" customHeight="1" x14ac:dyDescent="0.35"/>
    <row r="527" ht="15" customHeight="1" x14ac:dyDescent="0.35"/>
    <row r="528" ht="15" customHeight="1" x14ac:dyDescent="0.35"/>
    <row r="529" ht="15" customHeight="1" x14ac:dyDescent="0.35"/>
    <row r="530" ht="15" customHeight="1" x14ac:dyDescent="0.35"/>
    <row r="531" ht="15" customHeight="1" x14ac:dyDescent="0.35"/>
    <row r="532" ht="15" customHeight="1" x14ac:dyDescent="0.35"/>
    <row r="533" ht="15" customHeight="1" x14ac:dyDescent="0.35"/>
    <row r="534" ht="15" customHeight="1" x14ac:dyDescent="0.35"/>
    <row r="535" ht="15" customHeight="1" x14ac:dyDescent="0.35"/>
    <row r="536" ht="15" customHeight="1" x14ac:dyDescent="0.35"/>
    <row r="537" ht="15" customHeight="1" x14ac:dyDescent="0.35"/>
    <row r="538" ht="15" customHeight="1" x14ac:dyDescent="0.35"/>
    <row r="539" ht="15" customHeight="1" x14ac:dyDescent="0.35"/>
    <row r="540" ht="15" customHeight="1" x14ac:dyDescent="0.35"/>
    <row r="541" ht="15" customHeight="1" x14ac:dyDescent="0.35"/>
    <row r="542" ht="15" customHeight="1" x14ac:dyDescent="0.35"/>
    <row r="543" ht="15" customHeight="1" x14ac:dyDescent="0.35"/>
    <row r="544" ht="15" customHeight="1" x14ac:dyDescent="0.35"/>
    <row r="545" ht="15" customHeight="1" x14ac:dyDescent="0.35"/>
    <row r="546" ht="15" customHeight="1" x14ac:dyDescent="0.35"/>
    <row r="547" ht="15" customHeight="1" x14ac:dyDescent="0.35"/>
    <row r="548" ht="15" customHeight="1" x14ac:dyDescent="0.35"/>
    <row r="549" ht="15" customHeight="1" x14ac:dyDescent="0.35"/>
    <row r="550" ht="15" customHeight="1" x14ac:dyDescent="0.35"/>
    <row r="551" ht="15" customHeight="1" x14ac:dyDescent="0.35"/>
    <row r="552" ht="15" customHeight="1" x14ac:dyDescent="0.35"/>
    <row r="553" ht="15" customHeight="1" x14ac:dyDescent="0.35"/>
    <row r="554" ht="15" customHeight="1" x14ac:dyDescent="0.35"/>
    <row r="555" ht="15" customHeight="1" x14ac:dyDescent="0.35"/>
    <row r="556" ht="15" customHeight="1" x14ac:dyDescent="0.35"/>
    <row r="557" ht="15" customHeight="1" x14ac:dyDescent="0.35"/>
    <row r="558" ht="15" customHeight="1" x14ac:dyDescent="0.35"/>
    <row r="559" ht="15" customHeight="1" x14ac:dyDescent="0.35"/>
    <row r="560" ht="15" customHeight="1" x14ac:dyDescent="0.35"/>
    <row r="561" ht="15" customHeight="1" x14ac:dyDescent="0.35"/>
    <row r="562" ht="15" customHeight="1" x14ac:dyDescent="0.35"/>
    <row r="563" ht="15" customHeight="1" x14ac:dyDescent="0.35"/>
    <row r="564" ht="15" customHeight="1" x14ac:dyDescent="0.35"/>
    <row r="565" ht="15" customHeight="1" x14ac:dyDescent="0.35"/>
    <row r="566" ht="15" customHeight="1" x14ac:dyDescent="0.35"/>
    <row r="567" ht="15" customHeight="1" x14ac:dyDescent="0.35"/>
    <row r="568" ht="15" customHeight="1" x14ac:dyDescent="0.35"/>
    <row r="569" ht="15" customHeight="1" x14ac:dyDescent="0.35"/>
    <row r="570" ht="15" customHeight="1" x14ac:dyDescent="0.35"/>
    <row r="571" ht="15" customHeight="1" x14ac:dyDescent="0.35"/>
    <row r="572" ht="15" customHeight="1" x14ac:dyDescent="0.35"/>
    <row r="573" ht="15" customHeight="1" x14ac:dyDescent="0.35"/>
    <row r="574" ht="15" customHeight="1" x14ac:dyDescent="0.35"/>
    <row r="575" ht="15" customHeight="1" x14ac:dyDescent="0.35"/>
    <row r="576" ht="15" customHeight="1" x14ac:dyDescent="0.35"/>
    <row r="577" ht="15" customHeight="1" x14ac:dyDescent="0.35"/>
    <row r="578" ht="15" customHeight="1" x14ac:dyDescent="0.35"/>
    <row r="579" ht="15" customHeight="1" x14ac:dyDescent="0.35"/>
    <row r="580" ht="15" customHeight="1" x14ac:dyDescent="0.35"/>
    <row r="581" ht="15" customHeight="1" x14ac:dyDescent="0.35"/>
    <row r="582" ht="15" customHeight="1" x14ac:dyDescent="0.35"/>
    <row r="583" ht="15" customHeight="1" x14ac:dyDescent="0.35"/>
    <row r="584" ht="15" customHeight="1" x14ac:dyDescent="0.35"/>
    <row r="585" ht="15" customHeight="1" x14ac:dyDescent="0.35"/>
    <row r="586" ht="15" customHeight="1" x14ac:dyDescent="0.35"/>
    <row r="587" ht="15" customHeight="1" x14ac:dyDescent="0.35"/>
    <row r="588" ht="15" customHeight="1" x14ac:dyDescent="0.35"/>
    <row r="589" ht="15" customHeight="1" x14ac:dyDescent="0.35"/>
    <row r="590" ht="15" customHeight="1" x14ac:dyDescent="0.35"/>
    <row r="591" ht="15" customHeight="1" x14ac:dyDescent="0.35"/>
    <row r="592" ht="15" customHeight="1" x14ac:dyDescent="0.35"/>
    <row r="593" ht="15" customHeight="1" x14ac:dyDescent="0.35"/>
    <row r="594" ht="15" customHeight="1" x14ac:dyDescent="0.35"/>
    <row r="595" ht="15" customHeight="1" x14ac:dyDescent="0.35"/>
    <row r="596" ht="15" customHeight="1" x14ac:dyDescent="0.35"/>
    <row r="597" ht="15" customHeight="1" x14ac:dyDescent="0.35"/>
    <row r="598" ht="15" customHeight="1" x14ac:dyDescent="0.35"/>
    <row r="599" ht="15" customHeight="1" x14ac:dyDescent="0.35"/>
    <row r="600" ht="15" customHeight="1" x14ac:dyDescent="0.35"/>
    <row r="601" ht="15" customHeight="1" x14ac:dyDescent="0.35"/>
    <row r="602" ht="15" customHeight="1" x14ac:dyDescent="0.35"/>
    <row r="603" ht="15" customHeight="1" x14ac:dyDescent="0.35"/>
    <row r="604" ht="15" customHeight="1" x14ac:dyDescent="0.35"/>
    <row r="605" ht="15" customHeight="1" x14ac:dyDescent="0.35"/>
    <row r="606" ht="15" customHeight="1" x14ac:dyDescent="0.35"/>
    <row r="607" ht="15" customHeight="1" x14ac:dyDescent="0.35"/>
    <row r="608" ht="15" customHeight="1" x14ac:dyDescent="0.35"/>
    <row r="609" ht="15" customHeight="1" x14ac:dyDescent="0.35"/>
    <row r="610" ht="15" customHeight="1" x14ac:dyDescent="0.35"/>
    <row r="611" ht="15" customHeight="1" x14ac:dyDescent="0.35"/>
    <row r="612" ht="15" customHeight="1" x14ac:dyDescent="0.35"/>
    <row r="613" ht="15" customHeight="1" x14ac:dyDescent="0.35"/>
    <row r="614" ht="15" customHeight="1" x14ac:dyDescent="0.35"/>
    <row r="615" ht="15" customHeight="1" x14ac:dyDescent="0.35"/>
    <row r="616" ht="15" customHeight="1" x14ac:dyDescent="0.35"/>
    <row r="617" ht="15" customHeight="1" x14ac:dyDescent="0.35"/>
    <row r="618" ht="15" customHeight="1" x14ac:dyDescent="0.35"/>
    <row r="619" ht="15" customHeight="1" x14ac:dyDescent="0.35"/>
    <row r="620" ht="15" customHeight="1" x14ac:dyDescent="0.35"/>
    <row r="621" ht="15" customHeight="1" x14ac:dyDescent="0.35"/>
    <row r="622" ht="15" customHeight="1" x14ac:dyDescent="0.35"/>
    <row r="623" ht="15" customHeight="1" x14ac:dyDescent="0.35"/>
    <row r="624" ht="15" customHeight="1" x14ac:dyDescent="0.35"/>
    <row r="625" ht="15" customHeight="1" x14ac:dyDescent="0.35"/>
    <row r="626" ht="15" customHeight="1" x14ac:dyDescent="0.35"/>
    <row r="627" ht="15" customHeight="1" x14ac:dyDescent="0.35"/>
    <row r="628" ht="15" customHeight="1" x14ac:dyDescent="0.35"/>
    <row r="629" ht="15" customHeight="1" x14ac:dyDescent="0.35"/>
    <row r="630" ht="15" customHeight="1" x14ac:dyDescent="0.35"/>
    <row r="631" ht="15" customHeight="1" x14ac:dyDescent="0.35"/>
    <row r="632" ht="15" customHeight="1" x14ac:dyDescent="0.35"/>
    <row r="633" ht="15" customHeight="1" x14ac:dyDescent="0.35"/>
    <row r="634" ht="15" customHeight="1" x14ac:dyDescent="0.35"/>
    <row r="635" ht="15" customHeight="1" x14ac:dyDescent="0.35"/>
    <row r="636" ht="15" customHeight="1" x14ac:dyDescent="0.35"/>
    <row r="637" ht="15" customHeight="1" x14ac:dyDescent="0.35"/>
    <row r="638" ht="15" customHeight="1" x14ac:dyDescent="0.35"/>
    <row r="639" ht="15" customHeight="1" x14ac:dyDescent="0.35"/>
    <row r="640" ht="15" customHeight="1" x14ac:dyDescent="0.35"/>
    <row r="641" ht="15" customHeight="1" x14ac:dyDescent="0.35"/>
    <row r="642" ht="15" customHeight="1" x14ac:dyDescent="0.35"/>
    <row r="643" ht="15" customHeight="1" x14ac:dyDescent="0.35"/>
    <row r="644" ht="15" customHeight="1" x14ac:dyDescent="0.35"/>
    <row r="645" ht="15" customHeight="1" x14ac:dyDescent="0.35"/>
    <row r="646" ht="15" customHeight="1" x14ac:dyDescent="0.35"/>
    <row r="647" ht="15" customHeight="1" x14ac:dyDescent="0.35"/>
    <row r="648" ht="15" customHeight="1" x14ac:dyDescent="0.35"/>
    <row r="649" ht="15" customHeight="1" x14ac:dyDescent="0.35"/>
    <row r="650" ht="15" customHeight="1" x14ac:dyDescent="0.35"/>
    <row r="651" ht="15" customHeight="1" x14ac:dyDescent="0.35"/>
    <row r="652" ht="15" customHeight="1" x14ac:dyDescent="0.35"/>
    <row r="653" ht="15" customHeight="1" x14ac:dyDescent="0.35"/>
    <row r="654" ht="15" customHeight="1" x14ac:dyDescent="0.35"/>
    <row r="655" ht="15" customHeight="1" x14ac:dyDescent="0.35"/>
    <row r="656" ht="15" customHeight="1" x14ac:dyDescent="0.35"/>
    <row r="657" ht="15" customHeight="1" x14ac:dyDescent="0.35"/>
    <row r="658" ht="15" customHeight="1" x14ac:dyDescent="0.35"/>
    <row r="659" ht="15" customHeight="1" x14ac:dyDescent="0.35"/>
    <row r="660" ht="15" customHeight="1" x14ac:dyDescent="0.35"/>
    <row r="661" ht="15" customHeight="1" x14ac:dyDescent="0.35"/>
    <row r="662" ht="15" customHeight="1" x14ac:dyDescent="0.35"/>
    <row r="663" ht="15" customHeight="1" x14ac:dyDescent="0.35"/>
    <row r="664" ht="15" customHeight="1" x14ac:dyDescent="0.35"/>
    <row r="665" ht="15" customHeight="1" x14ac:dyDescent="0.35"/>
    <row r="666" ht="15" customHeight="1" x14ac:dyDescent="0.35"/>
    <row r="667" ht="15" customHeight="1" x14ac:dyDescent="0.35"/>
    <row r="668" ht="15" customHeight="1" x14ac:dyDescent="0.35"/>
    <row r="669" ht="15" customHeight="1" x14ac:dyDescent="0.35"/>
    <row r="670" ht="15" customHeight="1" x14ac:dyDescent="0.35"/>
    <row r="671" ht="15" customHeight="1" x14ac:dyDescent="0.35"/>
    <row r="672" ht="15" customHeight="1" x14ac:dyDescent="0.35"/>
    <row r="673" ht="15" customHeight="1" x14ac:dyDescent="0.35"/>
    <row r="674" ht="15" customHeight="1" x14ac:dyDescent="0.35"/>
    <row r="675" ht="15" customHeight="1" x14ac:dyDescent="0.35"/>
    <row r="676" ht="15" customHeight="1" x14ac:dyDescent="0.35"/>
    <row r="677" ht="15" customHeight="1" x14ac:dyDescent="0.35"/>
    <row r="678" ht="15" customHeight="1" x14ac:dyDescent="0.35"/>
    <row r="679" ht="15" customHeight="1" x14ac:dyDescent="0.35"/>
    <row r="680" ht="15" customHeight="1" x14ac:dyDescent="0.35"/>
    <row r="681" ht="15" customHeight="1" x14ac:dyDescent="0.35"/>
    <row r="682" ht="15" customHeight="1" x14ac:dyDescent="0.35"/>
    <row r="683" ht="15" customHeight="1" x14ac:dyDescent="0.35"/>
    <row r="684" ht="15" customHeight="1" x14ac:dyDescent="0.35"/>
    <row r="685" ht="15" customHeight="1" x14ac:dyDescent="0.35"/>
    <row r="686" ht="15" customHeight="1" x14ac:dyDescent="0.35"/>
    <row r="687" ht="15" customHeight="1" x14ac:dyDescent="0.35"/>
    <row r="688" ht="15" customHeight="1" x14ac:dyDescent="0.35"/>
    <row r="689" ht="15" customHeight="1" x14ac:dyDescent="0.35"/>
    <row r="690" ht="15" customHeight="1" x14ac:dyDescent="0.35"/>
    <row r="691" ht="15" customHeight="1" x14ac:dyDescent="0.35"/>
    <row r="692" ht="15" customHeight="1" x14ac:dyDescent="0.35"/>
    <row r="693" ht="15" customHeight="1" x14ac:dyDescent="0.35"/>
    <row r="694" ht="15" customHeight="1" x14ac:dyDescent="0.35"/>
    <row r="695" ht="15" customHeight="1" x14ac:dyDescent="0.35"/>
    <row r="696" ht="15" customHeight="1" x14ac:dyDescent="0.35"/>
    <row r="697" ht="15" customHeight="1" x14ac:dyDescent="0.35"/>
    <row r="698" ht="15" customHeight="1" x14ac:dyDescent="0.35"/>
    <row r="699" ht="15" customHeight="1" x14ac:dyDescent="0.35"/>
    <row r="700" ht="15" customHeight="1" x14ac:dyDescent="0.35"/>
    <row r="701" ht="15" customHeight="1" x14ac:dyDescent="0.35"/>
    <row r="702" ht="15" customHeight="1" x14ac:dyDescent="0.35"/>
    <row r="703" ht="15" customHeight="1" x14ac:dyDescent="0.35"/>
    <row r="704" ht="15" customHeight="1" x14ac:dyDescent="0.35"/>
    <row r="705" ht="15" customHeight="1" x14ac:dyDescent="0.35"/>
    <row r="706" ht="15" customHeight="1" x14ac:dyDescent="0.35"/>
    <row r="707" ht="15" customHeight="1" x14ac:dyDescent="0.35"/>
    <row r="708" ht="15" customHeight="1" x14ac:dyDescent="0.35"/>
    <row r="709" ht="15" customHeight="1" x14ac:dyDescent="0.35"/>
    <row r="710" ht="15" customHeight="1" x14ac:dyDescent="0.35"/>
    <row r="711" ht="15" customHeight="1" x14ac:dyDescent="0.35"/>
    <row r="712" ht="15" customHeight="1" x14ac:dyDescent="0.35"/>
    <row r="713" ht="15" customHeight="1" x14ac:dyDescent="0.35"/>
    <row r="714" ht="15" customHeight="1" x14ac:dyDescent="0.35"/>
    <row r="715" ht="15" customHeight="1" x14ac:dyDescent="0.35"/>
    <row r="716" ht="15" customHeight="1" x14ac:dyDescent="0.35"/>
    <row r="717" ht="15" customHeight="1" x14ac:dyDescent="0.35"/>
    <row r="718" ht="15" customHeight="1" x14ac:dyDescent="0.35"/>
    <row r="719" ht="15" customHeight="1" x14ac:dyDescent="0.35"/>
    <row r="720" ht="15" customHeight="1" x14ac:dyDescent="0.35"/>
    <row r="721" ht="15" customHeight="1" x14ac:dyDescent="0.35"/>
    <row r="722" ht="15" customHeight="1" x14ac:dyDescent="0.35"/>
    <row r="723" ht="15" customHeight="1" x14ac:dyDescent="0.35"/>
    <row r="724" ht="15" customHeight="1" x14ac:dyDescent="0.35"/>
    <row r="725" ht="15" customHeight="1" x14ac:dyDescent="0.35"/>
    <row r="726" ht="15" customHeight="1" x14ac:dyDescent="0.35"/>
    <row r="727" ht="15" customHeight="1" x14ac:dyDescent="0.35"/>
    <row r="728" ht="15" customHeight="1" x14ac:dyDescent="0.35"/>
    <row r="729" ht="15" customHeight="1" x14ac:dyDescent="0.35"/>
    <row r="730" ht="15" customHeight="1" x14ac:dyDescent="0.35"/>
    <row r="731" ht="15" customHeight="1" x14ac:dyDescent="0.35"/>
    <row r="732" ht="15" customHeight="1" x14ac:dyDescent="0.35"/>
    <row r="733" ht="15" customHeight="1" x14ac:dyDescent="0.35"/>
    <row r="734" ht="15" customHeight="1" x14ac:dyDescent="0.35"/>
    <row r="735" ht="15" customHeight="1" x14ac:dyDescent="0.35"/>
    <row r="736" ht="15" customHeight="1" x14ac:dyDescent="0.35"/>
    <row r="737" ht="15" customHeight="1" x14ac:dyDescent="0.35"/>
    <row r="738" ht="15" customHeight="1" x14ac:dyDescent="0.35"/>
    <row r="739" ht="15" customHeight="1" x14ac:dyDescent="0.35"/>
    <row r="740" ht="15" customHeight="1" x14ac:dyDescent="0.35"/>
    <row r="741" ht="15" customHeight="1" x14ac:dyDescent="0.35"/>
    <row r="742" ht="15" customHeight="1" x14ac:dyDescent="0.35"/>
    <row r="743" ht="15" customHeight="1" x14ac:dyDescent="0.35"/>
    <row r="744" ht="15" customHeight="1" x14ac:dyDescent="0.35"/>
    <row r="745" ht="15" customHeight="1" x14ac:dyDescent="0.35"/>
    <row r="746" ht="15" customHeight="1" x14ac:dyDescent="0.35"/>
    <row r="747" ht="15" customHeight="1" x14ac:dyDescent="0.35"/>
    <row r="748" ht="15" customHeight="1" x14ac:dyDescent="0.35"/>
    <row r="749" ht="15" customHeight="1" x14ac:dyDescent="0.35"/>
    <row r="750" ht="15" customHeight="1" x14ac:dyDescent="0.35"/>
    <row r="751" ht="15" customHeight="1" x14ac:dyDescent="0.35"/>
    <row r="752" ht="15" customHeight="1" x14ac:dyDescent="0.35"/>
    <row r="753" ht="15" customHeight="1" x14ac:dyDescent="0.35"/>
    <row r="754" ht="15" customHeight="1" x14ac:dyDescent="0.35"/>
    <row r="755" ht="15" customHeight="1" x14ac:dyDescent="0.35"/>
    <row r="756" ht="15" customHeight="1" x14ac:dyDescent="0.35"/>
    <row r="757" ht="15" customHeight="1" x14ac:dyDescent="0.35"/>
    <row r="758" ht="15" customHeight="1" x14ac:dyDescent="0.35"/>
    <row r="759" ht="15" customHeight="1" x14ac:dyDescent="0.35"/>
    <row r="760" ht="15" customHeight="1" x14ac:dyDescent="0.35"/>
    <row r="761" ht="15" customHeight="1" x14ac:dyDescent="0.35"/>
    <row r="762" ht="15" customHeight="1" x14ac:dyDescent="0.35"/>
    <row r="763" ht="15" customHeight="1" x14ac:dyDescent="0.35"/>
    <row r="764" ht="15" customHeight="1" x14ac:dyDescent="0.35"/>
    <row r="765" ht="15" customHeight="1" x14ac:dyDescent="0.35"/>
    <row r="766" ht="15" customHeight="1" x14ac:dyDescent="0.35"/>
    <row r="767" ht="15" customHeight="1" x14ac:dyDescent="0.35"/>
    <row r="768" ht="15" customHeight="1" x14ac:dyDescent="0.35"/>
    <row r="769" ht="15" customHeight="1" x14ac:dyDescent="0.35"/>
    <row r="770" ht="15" customHeight="1" x14ac:dyDescent="0.35"/>
    <row r="771" ht="15" customHeight="1" x14ac:dyDescent="0.35"/>
    <row r="772" ht="15" customHeight="1" x14ac:dyDescent="0.35"/>
    <row r="773" ht="15" customHeight="1" x14ac:dyDescent="0.35"/>
    <row r="774" ht="15" customHeight="1" x14ac:dyDescent="0.35"/>
    <row r="775" ht="15" customHeight="1" x14ac:dyDescent="0.35"/>
    <row r="776" ht="15" customHeight="1" x14ac:dyDescent="0.35"/>
    <row r="777" ht="15" customHeight="1" x14ac:dyDescent="0.35"/>
    <row r="778" ht="15" customHeight="1" x14ac:dyDescent="0.35"/>
    <row r="779" ht="15" customHeight="1" x14ac:dyDescent="0.35"/>
    <row r="780" ht="15" customHeight="1" x14ac:dyDescent="0.35"/>
    <row r="781" ht="15" customHeight="1" x14ac:dyDescent="0.35"/>
    <row r="782" ht="15" customHeight="1" x14ac:dyDescent="0.35"/>
    <row r="783" ht="15" customHeight="1" x14ac:dyDescent="0.35"/>
    <row r="784" ht="15" customHeight="1" x14ac:dyDescent="0.35"/>
    <row r="785" ht="15" customHeight="1" x14ac:dyDescent="0.35"/>
    <row r="786" ht="15" customHeight="1" x14ac:dyDescent="0.35"/>
    <row r="787" ht="15" customHeight="1" x14ac:dyDescent="0.35"/>
    <row r="788" ht="15" customHeight="1" x14ac:dyDescent="0.35"/>
    <row r="789" ht="15" customHeight="1" x14ac:dyDescent="0.35"/>
    <row r="790" ht="15" customHeight="1" x14ac:dyDescent="0.35"/>
    <row r="791" ht="15" customHeight="1" x14ac:dyDescent="0.35"/>
    <row r="792" ht="15" customHeight="1" x14ac:dyDescent="0.35"/>
    <row r="793" ht="15" customHeight="1" x14ac:dyDescent="0.35"/>
    <row r="794" ht="15" customHeight="1" x14ac:dyDescent="0.35"/>
    <row r="795" ht="15" customHeight="1" x14ac:dyDescent="0.35"/>
    <row r="796" ht="15" customHeight="1" x14ac:dyDescent="0.35"/>
    <row r="797" ht="15" customHeight="1" x14ac:dyDescent="0.35"/>
    <row r="798" ht="15" customHeight="1" x14ac:dyDescent="0.35"/>
    <row r="799" ht="15" customHeight="1" x14ac:dyDescent="0.35"/>
    <row r="800" ht="15" customHeight="1" x14ac:dyDescent="0.35"/>
    <row r="801" ht="15" customHeight="1" x14ac:dyDescent="0.35"/>
    <row r="802" ht="15" customHeight="1" x14ac:dyDescent="0.35"/>
    <row r="803" ht="15" customHeight="1" x14ac:dyDescent="0.35"/>
    <row r="804" ht="15" customHeight="1" x14ac:dyDescent="0.35"/>
    <row r="805" ht="15" customHeight="1" x14ac:dyDescent="0.35"/>
    <row r="806" ht="15" customHeight="1" x14ac:dyDescent="0.35"/>
    <row r="807" ht="15" customHeight="1" x14ac:dyDescent="0.35"/>
    <row r="808" ht="15" customHeight="1" x14ac:dyDescent="0.35"/>
    <row r="809" ht="15" customHeight="1" x14ac:dyDescent="0.35"/>
    <row r="810" ht="15" customHeight="1" x14ac:dyDescent="0.35"/>
    <row r="811" ht="15" customHeight="1" x14ac:dyDescent="0.35"/>
    <row r="812" ht="15" customHeight="1" x14ac:dyDescent="0.35"/>
    <row r="813" ht="15" customHeight="1" x14ac:dyDescent="0.35"/>
    <row r="814" ht="15" customHeight="1" x14ac:dyDescent="0.35"/>
    <row r="815" ht="15" customHeight="1" x14ac:dyDescent="0.35"/>
    <row r="816" ht="15" customHeight="1" x14ac:dyDescent="0.35"/>
    <row r="817" ht="15" customHeight="1" x14ac:dyDescent="0.35"/>
    <row r="818" ht="15" customHeight="1" x14ac:dyDescent="0.35"/>
    <row r="819" ht="15" customHeight="1" x14ac:dyDescent="0.35"/>
    <row r="820" ht="15" customHeight="1" x14ac:dyDescent="0.35"/>
    <row r="821" ht="15" customHeight="1" x14ac:dyDescent="0.35"/>
    <row r="822" ht="15" customHeight="1" x14ac:dyDescent="0.35"/>
    <row r="823" ht="15" customHeight="1" x14ac:dyDescent="0.35"/>
    <row r="824" ht="15" customHeight="1" x14ac:dyDescent="0.35"/>
    <row r="825" ht="15" customHeight="1" x14ac:dyDescent="0.35"/>
    <row r="826" ht="15" customHeight="1" x14ac:dyDescent="0.35"/>
    <row r="827" ht="15" customHeight="1" x14ac:dyDescent="0.35"/>
    <row r="828" ht="15" customHeight="1" x14ac:dyDescent="0.35"/>
    <row r="829" ht="15" customHeight="1" x14ac:dyDescent="0.35"/>
    <row r="830" ht="15" customHeight="1" x14ac:dyDescent="0.35"/>
    <row r="831" ht="15" customHeight="1" x14ac:dyDescent="0.35"/>
    <row r="832" ht="15" customHeight="1" x14ac:dyDescent="0.35"/>
    <row r="833" ht="15" customHeight="1" x14ac:dyDescent="0.35"/>
    <row r="834" ht="15" customHeight="1" x14ac:dyDescent="0.35"/>
    <row r="835" ht="15" customHeight="1" x14ac:dyDescent="0.35"/>
    <row r="836" ht="15" customHeight="1" x14ac:dyDescent="0.35"/>
    <row r="837" ht="15" customHeight="1" x14ac:dyDescent="0.35"/>
    <row r="838" ht="15" customHeight="1" x14ac:dyDescent="0.35"/>
    <row r="839" ht="15" customHeight="1" x14ac:dyDescent="0.35"/>
    <row r="840" ht="15" customHeight="1" x14ac:dyDescent="0.35"/>
    <row r="841" ht="15" customHeight="1" x14ac:dyDescent="0.35"/>
    <row r="842" ht="15" customHeight="1" x14ac:dyDescent="0.35"/>
    <row r="843" ht="15" customHeight="1" x14ac:dyDescent="0.35"/>
    <row r="844" ht="15" customHeight="1" x14ac:dyDescent="0.35"/>
    <row r="845" ht="15" customHeight="1" x14ac:dyDescent="0.35"/>
    <row r="846" ht="15" customHeight="1" x14ac:dyDescent="0.35"/>
    <row r="847" ht="15" customHeight="1" x14ac:dyDescent="0.35"/>
    <row r="848" ht="15" customHeight="1" x14ac:dyDescent="0.35"/>
    <row r="849" ht="15" customHeight="1" x14ac:dyDescent="0.35"/>
    <row r="850" ht="15" customHeight="1" x14ac:dyDescent="0.35"/>
    <row r="851" ht="15" customHeight="1" x14ac:dyDescent="0.35"/>
    <row r="852" ht="15" customHeight="1" x14ac:dyDescent="0.35"/>
    <row r="853" ht="15" customHeight="1" x14ac:dyDescent="0.35"/>
    <row r="854" ht="15" customHeight="1" x14ac:dyDescent="0.35"/>
    <row r="855" ht="15" customHeight="1" x14ac:dyDescent="0.35"/>
    <row r="856" ht="15" customHeight="1" x14ac:dyDescent="0.35"/>
    <row r="857" ht="15" customHeight="1" x14ac:dyDescent="0.35"/>
    <row r="858" ht="15" customHeight="1" x14ac:dyDescent="0.35"/>
    <row r="859" ht="15" customHeight="1" x14ac:dyDescent="0.35"/>
    <row r="860" ht="15" customHeight="1" x14ac:dyDescent="0.35"/>
    <row r="861" ht="15" customHeight="1" x14ac:dyDescent="0.35"/>
    <row r="862" ht="15" customHeight="1" x14ac:dyDescent="0.35"/>
    <row r="863" ht="15" customHeight="1" x14ac:dyDescent="0.35"/>
    <row r="864" ht="15" customHeight="1" x14ac:dyDescent="0.35"/>
    <row r="865" ht="15" customHeight="1" x14ac:dyDescent="0.35"/>
    <row r="866" ht="15" customHeight="1" x14ac:dyDescent="0.35"/>
    <row r="867" ht="15" customHeight="1" x14ac:dyDescent="0.35"/>
    <row r="868" ht="15" customHeight="1" x14ac:dyDescent="0.35"/>
    <row r="869" ht="15" customHeight="1" x14ac:dyDescent="0.35"/>
    <row r="870" ht="15" customHeight="1" x14ac:dyDescent="0.35"/>
    <row r="871" ht="15" customHeight="1" x14ac:dyDescent="0.35"/>
    <row r="872" ht="15" customHeight="1" x14ac:dyDescent="0.35"/>
    <row r="873" ht="15" customHeight="1" x14ac:dyDescent="0.35"/>
    <row r="874" ht="15" customHeight="1" x14ac:dyDescent="0.35"/>
    <row r="875" ht="15" customHeight="1" x14ac:dyDescent="0.35"/>
    <row r="876" ht="15" customHeight="1" x14ac:dyDescent="0.35"/>
    <row r="877" ht="15" customHeight="1" x14ac:dyDescent="0.35"/>
    <row r="878" ht="15" customHeight="1" x14ac:dyDescent="0.35"/>
    <row r="879" ht="15" customHeight="1" x14ac:dyDescent="0.35"/>
    <row r="880" ht="15" customHeight="1" x14ac:dyDescent="0.35"/>
    <row r="881" ht="15" customHeight="1" x14ac:dyDescent="0.35"/>
    <row r="882" ht="15" customHeight="1" x14ac:dyDescent="0.35"/>
    <row r="883" ht="15" customHeight="1" x14ac:dyDescent="0.35"/>
    <row r="884" ht="15" customHeight="1" x14ac:dyDescent="0.35"/>
    <row r="885" ht="15" customHeight="1" x14ac:dyDescent="0.35"/>
    <row r="886" ht="15" customHeight="1" x14ac:dyDescent="0.35"/>
    <row r="887" ht="15" customHeight="1" x14ac:dyDescent="0.35"/>
    <row r="888" ht="15" customHeight="1" x14ac:dyDescent="0.35"/>
    <row r="889" ht="15" customHeight="1" x14ac:dyDescent="0.35"/>
    <row r="890" ht="15" customHeight="1" x14ac:dyDescent="0.35"/>
    <row r="891" ht="15" customHeight="1" x14ac:dyDescent="0.35"/>
    <row r="892" ht="15" customHeight="1" x14ac:dyDescent="0.35"/>
    <row r="893" ht="15" customHeight="1" x14ac:dyDescent="0.35"/>
    <row r="894" ht="15" customHeight="1" x14ac:dyDescent="0.35"/>
    <row r="895" ht="15" customHeight="1" x14ac:dyDescent="0.35"/>
    <row r="896" ht="15" customHeight="1" x14ac:dyDescent="0.35"/>
    <row r="897" ht="15" customHeight="1" x14ac:dyDescent="0.35"/>
    <row r="898" ht="15" customHeight="1" x14ac:dyDescent="0.35"/>
    <row r="899" ht="15" customHeight="1" x14ac:dyDescent="0.35"/>
    <row r="900" ht="15" customHeight="1" x14ac:dyDescent="0.35"/>
    <row r="901" ht="15" customHeight="1" x14ac:dyDescent="0.35"/>
    <row r="902" ht="15" customHeight="1" x14ac:dyDescent="0.35"/>
    <row r="903" ht="15" customHeight="1" x14ac:dyDescent="0.35"/>
    <row r="904" ht="15" customHeight="1" x14ac:dyDescent="0.35"/>
    <row r="905" ht="15" customHeight="1" x14ac:dyDescent="0.35"/>
    <row r="906" ht="15" customHeight="1" x14ac:dyDescent="0.35"/>
    <row r="907" ht="15" customHeight="1" x14ac:dyDescent="0.35"/>
    <row r="908" ht="15" customHeight="1" x14ac:dyDescent="0.35"/>
    <row r="909" ht="15" customHeight="1" x14ac:dyDescent="0.35"/>
    <row r="910" ht="15" customHeight="1" x14ac:dyDescent="0.35"/>
    <row r="911" ht="15" customHeight="1" x14ac:dyDescent="0.35"/>
    <row r="912" ht="15" customHeight="1" x14ac:dyDescent="0.35"/>
    <row r="913" ht="15" customHeight="1" x14ac:dyDescent="0.35"/>
    <row r="914" ht="15" customHeight="1" x14ac:dyDescent="0.35"/>
    <row r="915" ht="15" customHeight="1" x14ac:dyDescent="0.35"/>
    <row r="916" ht="15" customHeight="1" x14ac:dyDescent="0.35"/>
    <row r="917" ht="15" customHeight="1" x14ac:dyDescent="0.35"/>
    <row r="918" ht="15" customHeight="1" x14ac:dyDescent="0.35"/>
    <row r="919" ht="15" customHeight="1" x14ac:dyDescent="0.35"/>
    <row r="920" ht="15" customHeight="1" x14ac:dyDescent="0.35"/>
    <row r="921" ht="15" customHeight="1" x14ac:dyDescent="0.35"/>
    <row r="922" ht="15" customHeight="1" x14ac:dyDescent="0.35"/>
    <row r="923" ht="15" customHeight="1" x14ac:dyDescent="0.35"/>
    <row r="924" ht="15" customHeight="1" x14ac:dyDescent="0.35"/>
    <row r="925" ht="15" customHeight="1" x14ac:dyDescent="0.35"/>
    <row r="926" ht="15" customHeight="1" x14ac:dyDescent="0.35"/>
    <row r="927" ht="15" customHeight="1" x14ac:dyDescent="0.35"/>
    <row r="928" ht="15" customHeight="1" x14ac:dyDescent="0.35"/>
    <row r="929" ht="15" customHeight="1" x14ac:dyDescent="0.35"/>
    <row r="930" ht="15" customHeight="1" x14ac:dyDescent="0.35"/>
    <row r="931" ht="15" customHeight="1" x14ac:dyDescent="0.35"/>
    <row r="932" ht="15" customHeight="1" x14ac:dyDescent="0.35"/>
    <row r="933" ht="15" customHeight="1" x14ac:dyDescent="0.35"/>
    <row r="934" ht="15" customHeight="1" x14ac:dyDescent="0.35"/>
    <row r="935" ht="15" customHeight="1" x14ac:dyDescent="0.35"/>
    <row r="936" ht="15" customHeight="1" x14ac:dyDescent="0.35"/>
    <row r="937" ht="15" customHeight="1" x14ac:dyDescent="0.35"/>
    <row r="938" ht="15" customHeight="1" x14ac:dyDescent="0.35"/>
    <row r="939" ht="15" customHeight="1" x14ac:dyDescent="0.35"/>
    <row r="940" ht="15" customHeight="1" x14ac:dyDescent="0.35"/>
    <row r="941" ht="15" customHeight="1" x14ac:dyDescent="0.35"/>
    <row r="942" ht="15" customHeight="1" x14ac:dyDescent="0.35"/>
    <row r="943" ht="15" customHeight="1" x14ac:dyDescent="0.35"/>
    <row r="944" ht="15" customHeight="1" x14ac:dyDescent="0.35"/>
    <row r="945" ht="15" customHeight="1" x14ac:dyDescent="0.35"/>
    <row r="946" ht="15" customHeight="1" x14ac:dyDescent="0.35"/>
    <row r="947" ht="15" customHeight="1" x14ac:dyDescent="0.35"/>
    <row r="948" ht="15" customHeight="1" x14ac:dyDescent="0.35"/>
    <row r="949" ht="15" customHeight="1" x14ac:dyDescent="0.35"/>
    <row r="950" ht="15" customHeight="1" x14ac:dyDescent="0.35"/>
    <row r="951" ht="15" customHeight="1" x14ac:dyDescent="0.35"/>
    <row r="952" ht="15" customHeight="1" x14ac:dyDescent="0.35"/>
    <row r="953" ht="15" customHeight="1" x14ac:dyDescent="0.35"/>
    <row r="954" ht="15" customHeight="1" x14ac:dyDescent="0.35"/>
    <row r="955" ht="15" customHeight="1" x14ac:dyDescent="0.35"/>
    <row r="956" ht="15" customHeight="1" x14ac:dyDescent="0.35"/>
    <row r="957" ht="15" customHeight="1" x14ac:dyDescent="0.35"/>
    <row r="958" ht="15" customHeight="1" x14ac:dyDescent="0.35"/>
    <row r="959" ht="15" customHeight="1" x14ac:dyDescent="0.35"/>
    <row r="960" ht="15" customHeight="1" x14ac:dyDescent="0.35"/>
    <row r="961" ht="15" customHeight="1" x14ac:dyDescent="0.35"/>
    <row r="962" ht="15" customHeight="1" x14ac:dyDescent="0.35"/>
    <row r="963" ht="15" customHeight="1" x14ac:dyDescent="0.35"/>
    <row r="964" ht="15" customHeight="1" x14ac:dyDescent="0.35"/>
    <row r="965" ht="15" customHeight="1" x14ac:dyDescent="0.35"/>
    <row r="966" ht="15" customHeight="1" x14ac:dyDescent="0.35"/>
    <row r="967" ht="15" customHeight="1" x14ac:dyDescent="0.35"/>
    <row r="968" ht="15" customHeight="1" x14ac:dyDescent="0.35"/>
    <row r="969" ht="15" customHeight="1" x14ac:dyDescent="0.35"/>
    <row r="970" ht="15" customHeight="1" x14ac:dyDescent="0.35"/>
    <row r="971" ht="15" customHeight="1" x14ac:dyDescent="0.35"/>
    <row r="972" ht="15" customHeight="1" x14ac:dyDescent="0.35"/>
    <row r="973" ht="15" customHeight="1" x14ac:dyDescent="0.35"/>
    <row r="974" ht="15" customHeight="1" x14ac:dyDescent="0.35"/>
    <row r="975" ht="15" customHeight="1" x14ac:dyDescent="0.35"/>
    <row r="976" ht="15" customHeight="1" x14ac:dyDescent="0.35"/>
    <row r="977" ht="15" customHeight="1" x14ac:dyDescent="0.35"/>
    <row r="978" ht="15" customHeight="1" x14ac:dyDescent="0.35"/>
    <row r="979" ht="15" customHeight="1" x14ac:dyDescent="0.35"/>
    <row r="980" ht="15" customHeight="1" x14ac:dyDescent="0.35"/>
    <row r="981" ht="15" customHeight="1" x14ac:dyDescent="0.35"/>
    <row r="982" ht="15" customHeight="1" x14ac:dyDescent="0.35"/>
    <row r="983" ht="15" customHeight="1" x14ac:dyDescent="0.35"/>
    <row r="984" ht="15" customHeight="1" x14ac:dyDescent="0.35"/>
    <row r="985" ht="15" customHeight="1" x14ac:dyDescent="0.35"/>
    <row r="986" ht="15" customHeight="1" x14ac:dyDescent="0.35"/>
    <row r="987" ht="15" customHeight="1" x14ac:dyDescent="0.35"/>
    <row r="988" ht="15" customHeight="1" x14ac:dyDescent="0.35"/>
    <row r="989" ht="15" customHeight="1" x14ac:dyDescent="0.35"/>
    <row r="990" ht="15" customHeight="1" x14ac:dyDescent="0.35"/>
    <row r="991" ht="15" customHeight="1" x14ac:dyDescent="0.35"/>
    <row r="992" ht="15" customHeight="1" x14ac:dyDescent="0.35"/>
    <row r="993" ht="15" customHeight="1" x14ac:dyDescent="0.35"/>
    <row r="994" ht="15" customHeight="1" x14ac:dyDescent="0.35"/>
    <row r="995" ht="15" customHeight="1" x14ac:dyDescent="0.35"/>
    <row r="996" ht="15" customHeight="1" x14ac:dyDescent="0.35"/>
    <row r="997" ht="15" customHeight="1" x14ac:dyDescent="0.35"/>
    <row r="998" ht="15" customHeight="1" x14ac:dyDescent="0.35"/>
    <row r="999" ht="15" customHeight="1" x14ac:dyDescent="0.35"/>
    <row r="1000" ht="15" customHeight="1" x14ac:dyDescent="0.35"/>
    <row r="1001" ht="15" customHeight="1" x14ac:dyDescent="0.35"/>
    <row r="1002" ht="15" customHeight="1" x14ac:dyDescent="0.35"/>
    <row r="1003" ht="15" customHeight="1" x14ac:dyDescent="0.35"/>
    <row r="1004" ht="15" customHeight="1" x14ac:dyDescent="0.35"/>
    <row r="1005" ht="15" customHeight="1" x14ac:dyDescent="0.35"/>
    <row r="1006" ht="15" customHeight="1" x14ac:dyDescent="0.35"/>
    <row r="1007" ht="15" customHeight="1" x14ac:dyDescent="0.35"/>
    <row r="1008" ht="15" customHeight="1" x14ac:dyDescent="0.35"/>
    <row r="1009" ht="15" customHeight="1" x14ac:dyDescent="0.35"/>
    <row r="1010" ht="15" customHeight="1" x14ac:dyDescent="0.35"/>
    <row r="1011" ht="15" customHeight="1" x14ac:dyDescent="0.35"/>
    <row r="1012" ht="15" customHeight="1" x14ac:dyDescent="0.35"/>
    <row r="1013" ht="15" customHeight="1" x14ac:dyDescent="0.35"/>
    <row r="1014" ht="15" customHeight="1" x14ac:dyDescent="0.35"/>
    <row r="1015" ht="15" customHeight="1" x14ac:dyDescent="0.35"/>
    <row r="1016" ht="15" customHeight="1" x14ac:dyDescent="0.35"/>
    <row r="1017" ht="15" customHeight="1" x14ac:dyDescent="0.35"/>
    <row r="1018" ht="15" customHeight="1" x14ac:dyDescent="0.35"/>
    <row r="1019" ht="15" customHeight="1" x14ac:dyDescent="0.35"/>
    <row r="1020" ht="15" customHeight="1" x14ac:dyDescent="0.35"/>
    <row r="1021" ht="15" customHeight="1" x14ac:dyDescent="0.35"/>
    <row r="1022" ht="15" customHeight="1" x14ac:dyDescent="0.35"/>
    <row r="1023" ht="15" customHeight="1" x14ac:dyDescent="0.35"/>
    <row r="1024" ht="15" customHeight="1" x14ac:dyDescent="0.35"/>
    <row r="1025" ht="15" customHeight="1" x14ac:dyDescent="0.35"/>
    <row r="1026" ht="15" customHeight="1" x14ac:dyDescent="0.35"/>
    <row r="1027" ht="15" customHeight="1" x14ac:dyDescent="0.35"/>
    <row r="1028" ht="15" customHeight="1" x14ac:dyDescent="0.35"/>
    <row r="1029" ht="15" customHeight="1" x14ac:dyDescent="0.35"/>
    <row r="1030" ht="15" customHeight="1" x14ac:dyDescent="0.35"/>
    <row r="1031" ht="15" customHeight="1" x14ac:dyDescent="0.35"/>
    <row r="1032" ht="15" customHeight="1" x14ac:dyDescent="0.35"/>
    <row r="1033" ht="15" customHeight="1" x14ac:dyDescent="0.35"/>
    <row r="1034" ht="15" customHeight="1" x14ac:dyDescent="0.35"/>
    <row r="1035" ht="15" customHeight="1" x14ac:dyDescent="0.35"/>
    <row r="1036" ht="15" customHeight="1" x14ac:dyDescent="0.35"/>
    <row r="1037" ht="15" customHeight="1" x14ac:dyDescent="0.35"/>
    <row r="1038" ht="15" customHeight="1" x14ac:dyDescent="0.35"/>
    <row r="1039" ht="15" customHeight="1" x14ac:dyDescent="0.35"/>
    <row r="1040" ht="15" customHeight="1" x14ac:dyDescent="0.35"/>
    <row r="1041" ht="15" customHeight="1" x14ac:dyDescent="0.35"/>
    <row r="1042" ht="15" customHeight="1" x14ac:dyDescent="0.35"/>
    <row r="1043" ht="15" customHeight="1" x14ac:dyDescent="0.35"/>
    <row r="1044" ht="15" customHeight="1" x14ac:dyDescent="0.35"/>
    <row r="1045" ht="15" customHeight="1" x14ac:dyDescent="0.35"/>
    <row r="1046" ht="15" customHeight="1" x14ac:dyDescent="0.35"/>
    <row r="1047" ht="15" customHeight="1" x14ac:dyDescent="0.35"/>
    <row r="1048" ht="15" customHeight="1" x14ac:dyDescent="0.35"/>
    <row r="1049" ht="15" customHeight="1" x14ac:dyDescent="0.35"/>
    <row r="1050" ht="15" customHeight="1" x14ac:dyDescent="0.35"/>
    <row r="1051" ht="15" customHeight="1" x14ac:dyDescent="0.35"/>
    <row r="1052" ht="15" customHeight="1" x14ac:dyDescent="0.35"/>
    <row r="1053" ht="15" customHeight="1" x14ac:dyDescent="0.35"/>
    <row r="1054" ht="15" customHeight="1" x14ac:dyDescent="0.35"/>
    <row r="1055" ht="15" customHeight="1" x14ac:dyDescent="0.35"/>
    <row r="1056" ht="15" customHeight="1" x14ac:dyDescent="0.35"/>
    <row r="1057" ht="15" customHeight="1" x14ac:dyDescent="0.35"/>
    <row r="1058" ht="15" customHeight="1" x14ac:dyDescent="0.35"/>
    <row r="1059" ht="15" customHeight="1" x14ac:dyDescent="0.35"/>
    <row r="1060" ht="15" customHeight="1" x14ac:dyDescent="0.35"/>
    <row r="1061" ht="15" customHeight="1" x14ac:dyDescent="0.35"/>
    <row r="1062" ht="15" customHeight="1" x14ac:dyDescent="0.35"/>
    <row r="1063" ht="15" customHeight="1" x14ac:dyDescent="0.35"/>
    <row r="1064" ht="15" customHeight="1" x14ac:dyDescent="0.35"/>
    <row r="1065" ht="15" customHeight="1" x14ac:dyDescent="0.35"/>
    <row r="1066" ht="15" customHeight="1" x14ac:dyDescent="0.35"/>
    <row r="1067" ht="15" customHeight="1" x14ac:dyDescent="0.35"/>
    <row r="1068" ht="15" customHeight="1" x14ac:dyDescent="0.35"/>
    <row r="1069" ht="15" customHeight="1" x14ac:dyDescent="0.35"/>
    <row r="1070" ht="15" customHeight="1" x14ac:dyDescent="0.35"/>
    <row r="1071" ht="15" customHeight="1" x14ac:dyDescent="0.35"/>
    <row r="1072" ht="15" customHeight="1" x14ac:dyDescent="0.35"/>
    <row r="1073" ht="15" customHeight="1" x14ac:dyDescent="0.35"/>
    <row r="1074" ht="15" customHeight="1" x14ac:dyDescent="0.35"/>
    <row r="1075" ht="15" customHeight="1" x14ac:dyDescent="0.35"/>
    <row r="1076" ht="15" customHeight="1" x14ac:dyDescent="0.35"/>
    <row r="1077" ht="15" customHeight="1" x14ac:dyDescent="0.35"/>
    <row r="1078" ht="15" customHeight="1" x14ac:dyDescent="0.35"/>
    <row r="1079" ht="15" customHeight="1" x14ac:dyDescent="0.35"/>
    <row r="1080" ht="15" customHeight="1" x14ac:dyDescent="0.35"/>
    <row r="1081" ht="15" customHeight="1" x14ac:dyDescent="0.35"/>
    <row r="1082" ht="15" customHeight="1" x14ac:dyDescent="0.35"/>
    <row r="1083" ht="15" customHeight="1" x14ac:dyDescent="0.35"/>
    <row r="1084" ht="15" customHeight="1" x14ac:dyDescent="0.35"/>
    <row r="1085" ht="15" customHeight="1" x14ac:dyDescent="0.35"/>
    <row r="1086" ht="15" customHeight="1" x14ac:dyDescent="0.35"/>
    <row r="1087" ht="15" customHeight="1" x14ac:dyDescent="0.35"/>
    <row r="1088" ht="15" customHeight="1" x14ac:dyDescent="0.35"/>
    <row r="1089" ht="15" customHeight="1" x14ac:dyDescent="0.35"/>
    <row r="1090" ht="15" customHeight="1" x14ac:dyDescent="0.35"/>
    <row r="1091" ht="15" customHeight="1" x14ac:dyDescent="0.35"/>
    <row r="1092" ht="15" customHeight="1" x14ac:dyDescent="0.35"/>
    <row r="1093" ht="15" customHeight="1" x14ac:dyDescent="0.35"/>
    <row r="1094" ht="15" customHeight="1" x14ac:dyDescent="0.35"/>
    <row r="1095" ht="15" customHeight="1" x14ac:dyDescent="0.35"/>
    <row r="1096" ht="15" customHeight="1" x14ac:dyDescent="0.35"/>
    <row r="1097" ht="15" customHeight="1" x14ac:dyDescent="0.35"/>
    <row r="1098" ht="15" customHeight="1" x14ac:dyDescent="0.35"/>
    <row r="1099" ht="15" customHeight="1" x14ac:dyDescent="0.35"/>
    <row r="1100" ht="15" customHeight="1" x14ac:dyDescent="0.35"/>
    <row r="1101" ht="15" customHeight="1" x14ac:dyDescent="0.35"/>
    <row r="1102" ht="15" customHeight="1" x14ac:dyDescent="0.35"/>
    <row r="1103" ht="15" customHeight="1" x14ac:dyDescent="0.35"/>
    <row r="1104" ht="15" customHeight="1" x14ac:dyDescent="0.35"/>
    <row r="1105" ht="15" customHeight="1" x14ac:dyDescent="0.35"/>
    <row r="1106" ht="15" customHeight="1" x14ac:dyDescent="0.35"/>
    <row r="1107" ht="15" customHeight="1" x14ac:dyDescent="0.35"/>
    <row r="1108" ht="15" customHeight="1" x14ac:dyDescent="0.35"/>
    <row r="1109" ht="15" customHeight="1" x14ac:dyDescent="0.35"/>
    <row r="1110" ht="15" customHeight="1" x14ac:dyDescent="0.35"/>
    <row r="1111" ht="15" customHeight="1" x14ac:dyDescent="0.35"/>
    <row r="1112" ht="15" customHeight="1" x14ac:dyDescent="0.35"/>
    <row r="1113" ht="15" customHeight="1" x14ac:dyDescent="0.35"/>
    <row r="1114" ht="15" customHeight="1" x14ac:dyDescent="0.35"/>
    <row r="1115" ht="15" customHeight="1" x14ac:dyDescent="0.35"/>
    <row r="1116" ht="15" customHeight="1" x14ac:dyDescent="0.35"/>
    <row r="1117" ht="15" customHeight="1" x14ac:dyDescent="0.35"/>
    <row r="1118" ht="15" customHeight="1" x14ac:dyDescent="0.35"/>
    <row r="1119" ht="15" customHeight="1" x14ac:dyDescent="0.35"/>
    <row r="1120" ht="15" customHeight="1" x14ac:dyDescent="0.35"/>
    <row r="1121" ht="15" customHeight="1" x14ac:dyDescent="0.35"/>
    <row r="1122" ht="15" customHeight="1" x14ac:dyDescent="0.35"/>
    <row r="1123" ht="15" customHeight="1" x14ac:dyDescent="0.35"/>
    <row r="1124" ht="15" customHeight="1" x14ac:dyDescent="0.35"/>
    <row r="1125" ht="15" customHeight="1" x14ac:dyDescent="0.35"/>
    <row r="1126" ht="15" customHeight="1" x14ac:dyDescent="0.35"/>
    <row r="1127" ht="15" customHeight="1" x14ac:dyDescent="0.35"/>
    <row r="1128" ht="15" customHeight="1" x14ac:dyDescent="0.35"/>
    <row r="1129" ht="15" customHeight="1" x14ac:dyDescent="0.35"/>
    <row r="1130" ht="15" customHeight="1" x14ac:dyDescent="0.35"/>
    <row r="1131" ht="15" customHeight="1" x14ac:dyDescent="0.35"/>
    <row r="1132" ht="15" customHeight="1" x14ac:dyDescent="0.35"/>
    <row r="1133" ht="15" customHeight="1" x14ac:dyDescent="0.35"/>
    <row r="1134" ht="15" customHeight="1" x14ac:dyDescent="0.35"/>
    <row r="1135" ht="15" customHeight="1" x14ac:dyDescent="0.35"/>
    <row r="1136" ht="15" customHeight="1" x14ac:dyDescent="0.35"/>
    <row r="1137" ht="15" customHeight="1" x14ac:dyDescent="0.35"/>
    <row r="1138" ht="15" customHeight="1" x14ac:dyDescent="0.35"/>
    <row r="1139" ht="15" customHeight="1" x14ac:dyDescent="0.35"/>
    <row r="1140" ht="15" customHeight="1" x14ac:dyDescent="0.35"/>
    <row r="1141" ht="15" customHeight="1" x14ac:dyDescent="0.35"/>
    <row r="1142" ht="15" customHeight="1" x14ac:dyDescent="0.35"/>
    <row r="1143" ht="15" customHeight="1" x14ac:dyDescent="0.35"/>
    <row r="1144" ht="15" customHeight="1" x14ac:dyDescent="0.35"/>
    <row r="1145" ht="15" customHeight="1" x14ac:dyDescent="0.35"/>
    <row r="1146" ht="15" customHeight="1" x14ac:dyDescent="0.35"/>
    <row r="1147" ht="15" customHeight="1" x14ac:dyDescent="0.35"/>
    <row r="1148" ht="15" customHeight="1" x14ac:dyDescent="0.35"/>
    <row r="1149" ht="15" customHeight="1" x14ac:dyDescent="0.35"/>
    <row r="1150" ht="15" customHeight="1" x14ac:dyDescent="0.35"/>
    <row r="1151" ht="15" customHeight="1" x14ac:dyDescent="0.35"/>
    <row r="1152" ht="15" customHeight="1" x14ac:dyDescent="0.35"/>
    <row r="1153" ht="15" customHeight="1" x14ac:dyDescent="0.35"/>
    <row r="1154" ht="15" customHeight="1" x14ac:dyDescent="0.35"/>
    <row r="1155" ht="15" customHeight="1" x14ac:dyDescent="0.35"/>
    <row r="1156" ht="15" customHeight="1" x14ac:dyDescent="0.35"/>
    <row r="1157" ht="15" customHeight="1" x14ac:dyDescent="0.35"/>
    <row r="1158" ht="15" customHeight="1" x14ac:dyDescent="0.35"/>
    <row r="1159" ht="15" customHeight="1" x14ac:dyDescent="0.35"/>
    <row r="1160" ht="15" customHeight="1" x14ac:dyDescent="0.35"/>
    <row r="1161" ht="15" customHeight="1" x14ac:dyDescent="0.35"/>
    <row r="1162" ht="15" customHeight="1" x14ac:dyDescent="0.35"/>
    <row r="1163" ht="15" customHeight="1" x14ac:dyDescent="0.35"/>
    <row r="1164" ht="15" customHeight="1" x14ac:dyDescent="0.35"/>
    <row r="1165" ht="15" customHeight="1" x14ac:dyDescent="0.35"/>
    <row r="1166" ht="15" customHeight="1" x14ac:dyDescent="0.35"/>
    <row r="1167" ht="15" customHeight="1" x14ac:dyDescent="0.35"/>
    <row r="1168" ht="15" customHeight="1" x14ac:dyDescent="0.35"/>
    <row r="1169" ht="15" customHeight="1" x14ac:dyDescent="0.35"/>
    <row r="1170" ht="15" customHeight="1" x14ac:dyDescent="0.35"/>
    <row r="1171" ht="15" customHeight="1" x14ac:dyDescent="0.35"/>
    <row r="1172" ht="15" customHeight="1" x14ac:dyDescent="0.35"/>
    <row r="1173" ht="15" customHeight="1" x14ac:dyDescent="0.35"/>
    <row r="1174" ht="15" customHeight="1" x14ac:dyDescent="0.35"/>
    <row r="1175" ht="15" customHeight="1" x14ac:dyDescent="0.35"/>
    <row r="1176" ht="15" customHeight="1" x14ac:dyDescent="0.35"/>
    <row r="1177" ht="15" customHeight="1" x14ac:dyDescent="0.35"/>
    <row r="1178" ht="15" customHeight="1" x14ac:dyDescent="0.35"/>
    <row r="1179" ht="15" customHeight="1" x14ac:dyDescent="0.35"/>
    <row r="1180" ht="15" customHeight="1" x14ac:dyDescent="0.35"/>
    <row r="1181" ht="15" customHeight="1" x14ac:dyDescent="0.35"/>
    <row r="1182" ht="15" customHeight="1" x14ac:dyDescent="0.35"/>
    <row r="1183" ht="15" customHeight="1" x14ac:dyDescent="0.35"/>
    <row r="1184" ht="15" customHeight="1" x14ac:dyDescent="0.35"/>
    <row r="1185" ht="15" customHeight="1" x14ac:dyDescent="0.35"/>
    <row r="1186" ht="15" customHeight="1" x14ac:dyDescent="0.35"/>
    <row r="1187" ht="15" customHeight="1" x14ac:dyDescent="0.35"/>
    <row r="1188" ht="15" customHeight="1" x14ac:dyDescent="0.35"/>
    <row r="1189" ht="15" customHeight="1" x14ac:dyDescent="0.35"/>
    <row r="1190" ht="15" customHeight="1" x14ac:dyDescent="0.35"/>
    <row r="1191" ht="15" customHeight="1" x14ac:dyDescent="0.35"/>
    <row r="1192" ht="15" customHeight="1" x14ac:dyDescent="0.35"/>
    <row r="1193" ht="15" customHeight="1" x14ac:dyDescent="0.35"/>
    <row r="1194" ht="15" customHeight="1" x14ac:dyDescent="0.35"/>
    <row r="1195" ht="15" customHeight="1" x14ac:dyDescent="0.35"/>
    <row r="1196" ht="15" customHeight="1" x14ac:dyDescent="0.35"/>
    <row r="1197" ht="15" customHeight="1" x14ac:dyDescent="0.35"/>
    <row r="1198" ht="15" customHeight="1" x14ac:dyDescent="0.35"/>
    <row r="1199" ht="15" customHeight="1" x14ac:dyDescent="0.35"/>
    <row r="1200" ht="15" customHeight="1" x14ac:dyDescent="0.35"/>
    <row r="1201" ht="15" customHeight="1" x14ac:dyDescent="0.35"/>
    <row r="1202" ht="15" customHeight="1" x14ac:dyDescent="0.35"/>
    <row r="1203" ht="15" customHeight="1" x14ac:dyDescent="0.35"/>
    <row r="1204" ht="15" customHeight="1" x14ac:dyDescent="0.35"/>
    <row r="1205" ht="15" customHeight="1" x14ac:dyDescent="0.35"/>
    <row r="1206" ht="15" customHeight="1" x14ac:dyDescent="0.35"/>
    <row r="1207" ht="15" customHeight="1" x14ac:dyDescent="0.35"/>
    <row r="1208" ht="15" customHeight="1" x14ac:dyDescent="0.35"/>
    <row r="1209" ht="15" customHeight="1" x14ac:dyDescent="0.35"/>
    <row r="1210" ht="15" customHeight="1" x14ac:dyDescent="0.35"/>
    <row r="1211" ht="15" customHeight="1" x14ac:dyDescent="0.35"/>
    <row r="1212" ht="15" customHeight="1" x14ac:dyDescent="0.35"/>
    <row r="1213" ht="15" customHeight="1" x14ac:dyDescent="0.35"/>
    <row r="1214" ht="15" customHeight="1" x14ac:dyDescent="0.35"/>
    <row r="1215" ht="15" customHeight="1" x14ac:dyDescent="0.35"/>
    <row r="1216" ht="15" customHeight="1" x14ac:dyDescent="0.35"/>
    <row r="1217" ht="15" customHeight="1" x14ac:dyDescent="0.35"/>
    <row r="1218" ht="15" customHeight="1" x14ac:dyDescent="0.35"/>
    <row r="1219" ht="15" customHeight="1" x14ac:dyDescent="0.35"/>
    <row r="1220" ht="15" customHeight="1" x14ac:dyDescent="0.35"/>
    <row r="1221" ht="15" customHeight="1" x14ac:dyDescent="0.35"/>
    <row r="1222" ht="15" customHeight="1" x14ac:dyDescent="0.35"/>
    <row r="1223" ht="15" customHeight="1" x14ac:dyDescent="0.35"/>
    <row r="1224" ht="15" customHeight="1" x14ac:dyDescent="0.35"/>
    <row r="1225" ht="15" customHeight="1" x14ac:dyDescent="0.35"/>
    <row r="1226" ht="15" customHeight="1" x14ac:dyDescent="0.35"/>
    <row r="1227" ht="15" customHeight="1" x14ac:dyDescent="0.35"/>
    <row r="1228" ht="15" customHeight="1" x14ac:dyDescent="0.35"/>
    <row r="1229" ht="15" customHeight="1" x14ac:dyDescent="0.35"/>
    <row r="1230" ht="15" customHeight="1" x14ac:dyDescent="0.35"/>
    <row r="1231" ht="15" customHeight="1" x14ac:dyDescent="0.35"/>
    <row r="1232" ht="15" customHeight="1" x14ac:dyDescent="0.35"/>
    <row r="1233" ht="15" customHeight="1" x14ac:dyDescent="0.35"/>
    <row r="1234" ht="15" customHeight="1" x14ac:dyDescent="0.35"/>
    <row r="1235" ht="15" customHeight="1" x14ac:dyDescent="0.35"/>
    <row r="1236" ht="15" customHeight="1" x14ac:dyDescent="0.35"/>
    <row r="1237" ht="15" customHeight="1" x14ac:dyDescent="0.35"/>
    <row r="1238" ht="15" customHeight="1" x14ac:dyDescent="0.35"/>
    <row r="1239" ht="15" customHeight="1" x14ac:dyDescent="0.35"/>
    <row r="1240" ht="15" customHeight="1" x14ac:dyDescent="0.35"/>
    <row r="1241" ht="15" customHeight="1" x14ac:dyDescent="0.35"/>
    <row r="1242" ht="15" customHeight="1" x14ac:dyDescent="0.35"/>
    <row r="1243" ht="15" customHeight="1" x14ac:dyDescent="0.35"/>
    <row r="1244" ht="15" customHeight="1" x14ac:dyDescent="0.35"/>
    <row r="1245" ht="15" customHeight="1" x14ac:dyDescent="0.35"/>
    <row r="1246" ht="15" customHeight="1" x14ac:dyDescent="0.35"/>
    <row r="1247" ht="15" customHeight="1" x14ac:dyDescent="0.35"/>
    <row r="1248" ht="15" customHeight="1" x14ac:dyDescent="0.35"/>
    <row r="1249" ht="15" customHeight="1" x14ac:dyDescent="0.35"/>
    <row r="1250" ht="15" customHeight="1" x14ac:dyDescent="0.35"/>
    <row r="1251" ht="15" customHeight="1" x14ac:dyDescent="0.35"/>
    <row r="1252" ht="15" customHeight="1" x14ac:dyDescent="0.35"/>
    <row r="1253" ht="15" customHeight="1" x14ac:dyDescent="0.35"/>
    <row r="1254" ht="15" customHeight="1" x14ac:dyDescent="0.35"/>
    <row r="1255" ht="15" customHeight="1" x14ac:dyDescent="0.35"/>
    <row r="1256" ht="15" customHeight="1" x14ac:dyDescent="0.35"/>
    <row r="1257" ht="15" customHeight="1" x14ac:dyDescent="0.35"/>
    <row r="1258" ht="15" customHeight="1" x14ac:dyDescent="0.35"/>
    <row r="1259" ht="15" customHeight="1" x14ac:dyDescent="0.35"/>
    <row r="1260" ht="15" customHeight="1" x14ac:dyDescent="0.35"/>
    <row r="1261" ht="15" customHeight="1" x14ac:dyDescent="0.35"/>
    <row r="1262" ht="15" customHeight="1" x14ac:dyDescent="0.35"/>
    <row r="1263" ht="15" customHeight="1" x14ac:dyDescent="0.35"/>
    <row r="1264" ht="15" customHeight="1" x14ac:dyDescent="0.35"/>
    <row r="1265" ht="15" customHeight="1" x14ac:dyDescent="0.35"/>
    <row r="1266" ht="15" customHeight="1" x14ac:dyDescent="0.35"/>
    <row r="1267" ht="15" customHeight="1" x14ac:dyDescent="0.35"/>
    <row r="1268" ht="15" customHeight="1" x14ac:dyDescent="0.35"/>
    <row r="1269" ht="15" customHeight="1" x14ac:dyDescent="0.35"/>
    <row r="1270" ht="15" customHeight="1" x14ac:dyDescent="0.35"/>
    <row r="1271" ht="15" customHeight="1" x14ac:dyDescent="0.35"/>
    <row r="1272" ht="15" customHeight="1" x14ac:dyDescent="0.35"/>
    <row r="1273" ht="15" customHeight="1" x14ac:dyDescent="0.35"/>
    <row r="1274" ht="15" customHeight="1" x14ac:dyDescent="0.35"/>
    <row r="1275" ht="15" customHeight="1" x14ac:dyDescent="0.35"/>
    <row r="1276" ht="15" customHeight="1" x14ac:dyDescent="0.35"/>
    <row r="1277" ht="15" customHeight="1" x14ac:dyDescent="0.35"/>
    <row r="1278" ht="15" customHeight="1" x14ac:dyDescent="0.35"/>
    <row r="1279" ht="15" customHeight="1" x14ac:dyDescent="0.35"/>
    <row r="1280" ht="15" customHeight="1" x14ac:dyDescent="0.35"/>
    <row r="1281" ht="15" customHeight="1" x14ac:dyDescent="0.35"/>
    <row r="1282" ht="15" customHeight="1" x14ac:dyDescent="0.35"/>
    <row r="1283" ht="15" customHeight="1" x14ac:dyDescent="0.35"/>
    <row r="1284" ht="15" customHeight="1" x14ac:dyDescent="0.35"/>
    <row r="1285" ht="15" customHeight="1" x14ac:dyDescent="0.35"/>
    <row r="1286" ht="15" customHeight="1" x14ac:dyDescent="0.35"/>
    <row r="1287" ht="15" customHeight="1" x14ac:dyDescent="0.35"/>
    <row r="1288" ht="15" customHeight="1" x14ac:dyDescent="0.35"/>
    <row r="1289" ht="15" customHeight="1" x14ac:dyDescent="0.35"/>
    <row r="1290" ht="15" customHeight="1" x14ac:dyDescent="0.35"/>
    <row r="1291" ht="15" customHeight="1" x14ac:dyDescent="0.35"/>
    <row r="1292" ht="15" customHeight="1" x14ac:dyDescent="0.35"/>
    <row r="1293" ht="15" customHeight="1" x14ac:dyDescent="0.35"/>
    <row r="1294" ht="15" customHeight="1" x14ac:dyDescent="0.35"/>
    <row r="1295" ht="15" customHeight="1" x14ac:dyDescent="0.35"/>
    <row r="1296" ht="15" customHeight="1" x14ac:dyDescent="0.35"/>
    <row r="1297" ht="15" customHeight="1" x14ac:dyDescent="0.35"/>
    <row r="1298" ht="15" customHeight="1" x14ac:dyDescent="0.35"/>
    <row r="1299" ht="15" customHeight="1" x14ac:dyDescent="0.35"/>
    <row r="1300" ht="15" customHeight="1" x14ac:dyDescent="0.35"/>
    <row r="1301" ht="15" customHeight="1" x14ac:dyDescent="0.35"/>
    <row r="1302" ht="15" customHeight="1" x14ac:dyDescent="0.35"/>
    <row r="1303" ht="15" customHeight="1" x14ac:dyDescent="0.35"/>
    <row r="1304" ht="15" customHeight="1" x14ac:dyDescent="0.35"/>
    <row r="1305" ht="15" customHeight="1" x14ac:dyDescent="0.35"/>
    <row r="1306" ht="15" customHeight="1" x14ac:dyDescent="0.35"/>
    <row r="1307" ht="15" customHeight="1" x14ac:dyDescent="0.35"/>
    <row r="1308" ht="15" customHeight="1" x14ac:dyDescent="0.35"/>
    <row r="1309" ht="15" customHeight="1" x14ac:dyDescent="0.35"/>
    <row r="1310" ht="15" customHeight="1" x14ac:dyDescent="0.35"/>
    <row r="1311" ht="15" customHeight="1" x14ac:dyDescent="0.35"/>
    <row r="1312" ht="15" customHeight="1" x14ac:dyDescent="0.35"/>
    <row r="1313" ht="15" customHeight="1" x14ac:dyDescent="0.35"/>
    <row r="1314" ht="15" customHeight="1" x14ac:dyDescent="0.35"/>
    <row r="1315" ht="15" customHeight="1" x14ac:dyDescent="0.35"/>
    <row r="1316" ht="15" customHeight="1" x14ac:dyDescent="0.35"/>
    <row r="1317" ht="15" customHeight="1" x14ac:dyDescent="0.35"/>
    <row r="1318" ht="15" customHeight="1" x14ac:dyDescent="0.35"/>
    <row r="1319" ht="15" customHeight="1" x14ac:dyDescent="0.35"/>
    <row r="1320" ht="15" customHeight="1" x14ac:dyDescent="0.35"/>
    <row r="1321" ht="15" customHeight="1" x14ac:dyDescent="0.35"/>
    <row r="1322" ht="15" customHeight="1" x14ac:dyDescent="0.35"/>
    <row r="1323" ht="15" customHeight="1" x14ac:dyDescent="0.35"/>
    <row r="1324" ht="15" customHeight="1" x14ac:dyDescent="0.35"/>
    <row r="1325" ht="15" customHeight="1" x14ac:dyDescent="0.35"/>
    <row r="1326" ht="15" customHeight="1" x14ac:dyDescent="0.35"/>
    <row r="1327" ht="15" customHeight="1" x14ac:dyDescent="0.35"/>
    <row r="1328" ht="15" customHeight="1" x14ac:dyDescent="0.35"/>
    <row r="1329" ht="15" customHeight="1" x14ac:dyDescent="0.35"/>
    <row r="1330" ht="15" customHeight="1" x14ac:dyDescent="0.35"/>
    <row r="1331" ht="15" customHeight="1" x14ac:dyDescent="0.35"/>
    <row r="1332" ht="15" customHeight="1" x14ac:dyDescent="0.35"/>
    <row r="1333" ht="15" customHeight="1" x14ac:dyDescent="0.35"/>
    <row r="1334" ht="15" customHeight="1" x14ac:dyDescent="0.35"/>
    <row r="1335" ht="15" customHeight="1" x14ac:dyDescent="0.35"/>
    <row r="1336" ht="15" customHeight="1" x14ac:dyDescent="0.35"/>
    <row r="1337" ht="15" customHeight="1" x14ac:dyDescent="0.35"/>
    <row r="1338" ht="15" customHeight="1" x14ac:dyDescent="0.35"/>
    <row r="1339" ht="15" customHeight="1" x14ac:dyDescent="0.35"/>
    <row r="1340" ht="15" customHeight="1" x14ac:dyDescent="0.35"/>
    <row r="1341" ht="15" customHeight="1" x14ac:dyDescent="0.35"/>
    <row r="1342" ht="15" customHeight="1" x14ac:dyDescent="0.35"/>
    <row r="1343" ht="15" customHeight="1" x14ac:dyDescent="0.35"/>
    <row r="1344" ht="15" customHeight="1" x14ac:dyDescent="0.35"/>
    <row r="1345" ht="15" customHeight="1" x14ac:dyDescent="0.35"/>
    <row r="1346" ht="15" customHeight="1" x14ac:dyDescent="0.35"/>
    <row r="1347" ht="15" customHeight="1" x14ac:dyDescent="0.35"/>
    <row r="1348" ht="15" customHeight="1" x14ac:dyDescent="0.35"/>
    <row r="1349" ht="15" customHeight="1" x14ac:dyDescent="0.35"/>
    <row r="1350" ht="15" customHeight="1" x14ac:dyDescent="0.35"/>
    <row r="1351" ht="15" customHeight="1" x14ac:dyDescent="0.35"/>
    <row r="1352" ht="15" customHeight="1" x14ac:dyDescent="0.35"/>
    <row r="1353" ht="15" customHeight="1" x14ac:dyDescent="0.35"/>
    <row r="1354" ht="15" customHeight="1" x14ac:dyDescent="0.35"/>
    <row r="1355" ht="15" customHeight="1" x14ac:dyDescent="0.35"/>
    <row r="1356" ht="15" customHeight="1" x14ac:dyDescent="0.35"/>
    <row r="1357" ht="15" customHeight="1" x14ac:dyDescent="0.35"/>
    <row r="1358" ht="15" customHeight="1" x14ac:dyDescent="0.35"/>
    <row r="1359" ht="15" customHeight="1" x14ac:dyDescent="0.35"/>
    <row r="1360" ht="15" customHeight="1" x14ac:dyDescent="0.35"/>
    <row r="1361" ht="15" customHeight="1" x14ac:dyDescent="0.35"/>
    <row r="1362" ht="15" customHeight="1" x14ac:dyDescent="0.35"/>
    <row r="1363" ht="15" customHeight="1" x14ac:dyDescent="0.35"/>
    <row r="1364" ht="15" customHeight="1" x14ac:dyDescent="0.35"/>
    <row r="1365" ht="15" customHeight="1" x14ac:dyDescent="0.35"/>
    <row r="1366" ht="15" customHeight="1" x14ac:dyDescent="0.35"/>
    <row r="1367" ht="15" customHeight="1" x14ac:dyDescent="0.35"/>
    <row r="1368" ht="15" customHeight="1" x14ac:dyDescent="0.35"/>
    <row r="1369" ht="15" customHeight="1" x14ac:dyDescent="0.35"/>
    <row r="1370" ht="15" customHeight="1" x14ac:dyDescent="0.35"/>
    <row r="1371" ht="15" customHeight="1" x14ac:dyDescent="0.35"/>
    <row r="1372" ht="15" customHeight="1" x14ac:dyDescent="0.35"/>
    <row r="1373" ht="15" customHeight="1" x14ac:dyDescent="0.35"/>
    <row r="1374" ht="15" customHeight="1" x14ac:dyDescent="0.35"/>
    <row r="1375" ht="15" customHeight="1" x14ac:dyDescent="0.35"/>
    <row r="1376" ht="15" customHeight="1" x14ac:dyDescent="0.35"/>
    <row r="1377" ht="15" customHeight="1" x14ac:dyDescent="0.35"/>
    <row r="1378" ht="15" customHeight="1" x14ac:dyDescent="0.35"/>
    <row r="1379" ht="15" customHeight="1" x14ac:dyDescent="0.35"/>
    <row r="1380" ht="15" customHeight="1" x14ac:dyDescent="0.35"/>
    <row r="1381" ht="15" customHeight="1" x14ac:dyDescent="0.35"/>
    <row r="1382" ht="15" customHeight="1" x14ac:dyDescent="0.35"/>
    <row r="1383" ht="15" customHeight="1" x14ac:dyDescent="0.35"/>
    <row r="1384" ht="15" customHeight="1" x14ac:dyDescent="0.35"/>
    <row r="1385" ht="15" customHeight="1" x14ac:dyDescent="0.35"/>
    <row r="1386" ht="15" customHeight="1" x14ac:dyDescent="0.35"/>
    <row r="1387" ht="15" customHeight="1" x14ac:dyDescent="0.35"/>
    <row r="1388" ht="15" customHeight="1" x14ac:dyDescent="0.35"/>
    <row r="1389" ht="15" customHeight="1" x14ac:dyDescent="0.35"/>
    <row r="1390" ht="15" customHeight="1" x14ac:dyDescent="0.35"/>
    <row r="1391" ht="15" customHeight="1" x14ac:dyDescent="0.35"/>
    <row r="1392" ht="15" customHeight="1" x14ac:dyDescent="0.35"/>
    <row r="1393" ht="15" customHeight="1" x14ac:dyDescent="0.35"/>
    <row r="1394" ht="15" customHeight="1" x14ac:dyDescent="0.35"/>
    <row r="1395" ht="15" customHeight="1" x14ac:dyDescent="0.35"/>
    <row r="1396" ht="15" customHeight="1" x14ac:dyDescent="0.35"/>
    <row r="1397" ht="15" customHeight="1" x14ac:dyDescent="0.35"/>
    <row r="1398" ht="15" customHeight="1" x14ac:dyDescent="0.35"/>
    <row r="1399" ht="15" customHeight="1" x14ac:dyDescent="0.35"/>
    <row r="1400" ht="15" customHeight="1" x14ac:dyDescent="0.35"/>
    <row r="1401" ht="15" customHeight="1" x14ac:dyDescent="0.35"/>
    <row r="1402" ht="15" customHeight="1" x14ac:dyDescent="0.35"/>
    <row r="1403" ht="15" customHeight="1" x14ac:dyDescent="0.35"/>
    <row r="1404" ht="15" customHeight="1" x14ac:dyDescent="0.35"/>
    <row r="1405" ht="15" customHeight="1" x14ac:dyDescent="0.35"/>
    <row r="1406" ht="15" customHeight="1" x14ac:dyDescent="0.35"/>
    <row r="1407" ht="15" customHeight="1" x14ac:dyDescent="0.35"/>
    <row r="1408" ht="15" customHeight="1" x14ac:dyDescent="0.35"/>
    <row r="1409" ht="15" customHeight="1" x14ac:dyDescent="0.35"/>
    <row r="1410" ht="15" customHeight="1" x14ac:dyDescent="0.35"/>
    <row r="1411" ht="15" customHeight="1" x14ac:dyDescent="0.35"/>
    <row r="1412" ht="15" customHeight="1" x14ac:dyDescent="0.35"/>
    <row r="1413" ht="15" customHeight="1" x14ac:dyDescent="0.35"/>
    <row r="1414" ht="15" customHeight="1" x14ac:dyDescent="0.35"/>
    <row r="1415" ht="15" customHeight="1" x14ac:dyDescent="0.35"/>
    <row r="1416" ht="15" customHeight="1" x14ac:dyDescent="0.35"/>
    <row r="1417" ht="15" customHeight="1" x14ac:dyDescent="0.35"/>
    <row r="1418" ht="15" customHeight="1" x14ac:dyDescent="0.35"/>
    <row r="1419" ht="15" customHeight="1" x14ac:dyDescent="0.35"/>
    <row r="1420" ht="15" customHeight="1" x14ac:dyDescent="0.35"/>
    <row r="1421" ht="15" customHeight="1" x14ac:dyDescent="0.35"/>
    <row r="1422" ht="15" customHeight="1" x14ac:dyDescent="0.35"/>
    <row r="1423" ht="15" customHeight="1" x14ac:dyDescent="0.35"/>
    <row r="1424" ht="15" customHeight="1" x14ac:dyDescent="0.35"/>
    <row r="1425" ht="15" customHeight="1" x14ac:dyDescent="0.35"/>
    <row r="1426" ht="15" customHeight="1" x14ac:dyDescent="0.35"/>
    <row r="1427" ht="15" customHeight="1" x14ac:dyDescent="0.35"/>
    <row r="1428" ht="15" customHeight="1" x14ac:dyDescent="0.35"/>
    <row r="1429" ht="15" customHeight="1" x14ac:dyDescent="0.35"/>
    <row r="1430" ht="15" customHeight="1" x14ac:dyDescent="0.35"/>
    <row r="1431" ht="15" customHeight="1" x14ac:dyDescent="0.35"/>
    <row r="1432" ht="15" customHeight="1" x14ac:dyDescent="0.35"/>
    <row r="1433" ht="15" customHeight="1" x14ac:dyDescent="0.35"/>
    <row r="1434" ht="15" customHeight="1" x14ac:dyDescent="0.35"/>
    <row r="1435" ht="15" customHeight="1" x14ac:dyDescent="0.35"/>
    <row r="1436" ht="15" customHeight="1" x14ac:dyDescent="0.35"/>
    <row r="1437" ht="15" customHeight="1" x14ac:dyDescent="0.35"/>
    <row r="1438" ht="15" customHeight="1" x14ac:dyDescent="0.35"/>
    <row r="1439" ht="15" customHeight="1" x14ac:dyDescent="0.35"/>
    <row r="1440" ht="15" customHeight="1" x14ac:dyDescent="0.35"/>
    <row r="1441" ht="15" customHeight="1" x14ac:dyDescent="0.35"/>
    <row r="1442" ht="15" customHeight="1" x14ac:dyDescent="0.35"/>
    <row r="1443" ht="15" customHeight="1" x14ac:dyDescent="0.35"/>
    <row r="1444" ht="15" customHeight="1" x14ac:dyDescent="0.35"/>
    <row r="1445" ht="15" customHeight="1" x14ac:dyDescent="0.35"/>
    <row r="1446" ht="15" customHeight="1" x14ac:dyDescent="0.35"/>
    <row r="1447" ht="15" customHeight="1" x14ac:dyDescent="0.35"/>
    <row r="1448" ht="15" customHeight="1" x14ac:dyDescent="0.35"/>
    <row r="1449" ht="15" customHeight="1" x14ac:dyDescent="0.35"/>
    <row r="1450" ht="15" customHeight="1" x14ac:dyDescent="0.35"/>
    <row r="1451" ht="15" customHeight="1" x14ac:dyDescent="0.35"/>
    <row r="1452" ht="15" customHeight="1" x14ac:dyDescent="0.35"/>
    <row r="1453" ht="15" customHeight="1" x14ac:dyDescent="0.35"/>
    <row r="1454" ht="15" customHeight="1" x14ac:dyDescent="0.35"/>
    <row r="1455" ht="15" customHeight="1" x14ac:dyDescent="0.35"/>
    <row r="1456" ht="15" customHeight="1" x14ac:dyDescent="0.35"/>
    <row r="1457" ht="15" customHeight="1" x14ac:dyDescent="0.35"/>
    <row r="1458" ht="15" customHeight="1" x14ac:dyDescent="0.35"/>
    <row r="1459" ht="15" customHeight="1" x14ac:dyDescent="0.35"/>
    <row r="1460" ht="15" customHeight="1" x14ac:dyDescent="0.35"/>
    <row r="1461" ht="15" customHeight="1" x14ac:dyDescent="0.35"/>
    <row r="1462" ht="15" customHeight="1" x14ac:dyDescent="0.35"/>
    <row r="1463" ht="15" customHeight="1" x14ac:dyDescent="0.35"/>
    <row r="1464" ht="15" customHeight="1" x14ac:dyDescent="0.35"/>
    <row r="1465" ht="15" customHeight="1" x14ac:dyDescent="0.35"/>
    <row r="1466" ht="15" customHeight="1" x14ac:dyDescent="0.35"/>
    <row r="1467" ht="15" customHeight="1" x14ac:dyDescent="0.35"/>
    <row r="1468" ht="15" customHeight="1" x14ac:dyDescent="0.35"/>
    <row r="1469" ht="15" customHeight="1" x14ac:dyDescent="0.35"/>
    <row r="1470" ht="15" customHeight="1" x14ac:dyDescent="0.35"/>
    <row r="1471" ht="15" customHeight="1" x14ac:dyDescent="0.35"/>
    <row r="1472" ht="15" customHeight="1" x14ac:dyDescent="0.35"/>
    <row r="1473" ht="15" customHeight="1" x14ac:dyDescent="0.35"/>
    <row r="1474" ht="15" customHeight="1" x14ac:dyDescent="0.35"/>
    <row r="1475" ht="15" customHeight="1" x14ac:dyDescent="0.35"/>
    <row r="1476" ht="15" customHeight="1" x14ac:dyDescent="0.35"/>
    <row r="1477" ht="15" customHeight="1" x14ac:dyDescent="0.35"/>
    <row r="1478" ht="15" customHeight="1" x14ac:dyDescent="0.35"/>
    <row r="1479" ht="15" customHeight="1" x14ac:dyDescent="0.35"/>
    <row r="1480" ht="15" customHeight="1" x14ac:dyDescent="0.35"/>
    <row r="1481" ht="15" customHeight="1" x14ac:dyDescent="0.35"/>
    <row r="1482" ht="15" customHeight="1" x14ac:dyDescent="0.35"/>
    <row r="1483" ht="15" customHeight="1" x14ac:dyDescent="0.35"/>
    <row r="1484" ht="15" customHeight="1" x14ac:dyDescent="0.35"/>
    <row r="1485" ht="15" customHeight="1" x14ac:dyDescent="0.35"/>
    <row r="1486" ht="15" customHeight="1" x14ac:dyDescent="0.35"/>
    <row r="1487" ht="15" customHeight="1" x14ac:dyDescent="0.35"/>
    <row r="1488" ht="15" customHeight="1" x14ac:dyDescent="0.35"/>
    <row r="1489" ht="15" customHeight="1" x14ac:dyDescent="0.35"/>
    <row r="1490" ht="15" customHeight="1" x14ac:dyDescent="0.35"/>
    <row r="1491" ht="15" customHeight="1" x14ac:dyDescent="0.35"/>
    <row r="1492" ht="15" customHeight="1" x14ac:dyDescent="0.35"/>
    <row r="1493" ht="15" customHeight="1" x14ac:dyDescent="0.35"/>
    <row r="1494" ht="15" customHeight="1" x14ac:dyDescent="0.35"/>
    <row r="1495" ht="15" customHeight="1" x14ac:dyDescent="0.35"/>
    <row r="1496" ht="15" customHeight="1" x14ac:dyDescent="0.35"/>
    <row r="1497" ht="15" customHeight="1" x14ac:dyDescent="0.35"/>
    <row r="1498" ht="15" customHeight="1" x14ac:dyDescent="0.35"/>
    <row r="1499" ht="15" customHeight="1" x14ac:dyDescent="0.35"/>
    <row r="1500" ht="15" customHeight="1" x14ac:dyDescent="0.35"/>
    <row r="1501" ht="15" customHeight="1" x14ac:dyDescent="0.35"/>
    <row r="1502" ht="15" customHeight="1" x14ac:dyDescent="0.35"/>
    <row r="1503" ht="15" customHeight="1" x14ac:dyDescent="0.35"/>
    <row r="1504" ht="15" customHeight="1" x14ac:dyDescent="0.35"/>
    <row r="1505" ht="15" customHeight="1" x14ac:dyDescent="0.35"/>
    <row r="1506" ht="15" customHeight="1" x14ac:dyDescent="0.35"/>
    <row r="1507" ht="15" customHeight="1" x14ac:dyDescent="0.35"/>
    <row r="1508" ht="15" customHeight="1" x14ac:dyDescent="0.35"/>
    <row r="1509" ht="15" customHeight="1" x14ac:dyDescent="0.35"/>
    <row r="1510" ht="15" customHeight="1" x14ac:dyDescent="0.35"/>
    <row r="1511" ht="15" customHeight="1" x14ac:dyDescent="0.35"/>
    <row r="1512" ht="15" customHeight="1" x14ac:dyDescent="0.35"/>
    <row r="1513" ht="15" customHeight="1" x14ac:dyDescent="0.35"/>
    <row r="1514" ht="15" customHeight="1" x14ac:dyDescent="0.35"/>
    <row r="1515" ht="15" customHeight="1" x14ac:dyDescent="0.35"/>
    <row r="1516" ht="15" customHeight="1" x14ac:dyDescent="0.35"/>
    <row r="1517" ht="15" customHeight="1" x14ac:dyDescent="0.35"/>
    <row r="1518" ht="15" customHeight="1" x14ac:dyDescent="0.35"/>
    <row r="1519" ht="15" customHeight="1" x14ac:dyDescent="0.35"/>
    <row r="1520" ht="15" customHeight="1" x14ac:dyDescent="0.35"/>
    <row r="1521" ht="15" customHeight="1" x14ac:dyDescent="0.35"/>
    <row r="1522" ht="15" customHeight="1" x14ac:dyDescent="0.35"/>
    <row r="1523" ht="15" customHeight="1" x14ac:dyDescent="0.35"/>
    <row r="1524" ht="15" customHeight="1" x14ac:dyDescent="0.35"/>
    <row r="1525" ht="15" customHeight="1" x14ac:dyDescent="0.35"/>
    <row r="1526" ht="15" customHeight="1" x14ac:dyDescent="0.35"/>
    <row r="1527" ht="15" customHeight="1" x14ac:dyDescent="0.35"/>
    <row r="1528" ht="15" customHeight="1" x14ac:dyDescent="0.35"/>
    <row r="1529" ht="15" customHeight="1" x14ac:dyDescent="0.35"/>
    <row r="1530" ht="15" customHeight="1" x14ac:dyDescent="0.35"/>
    <row r="1531" ht="15" customHeight="1" x14ac:dyDescent="0.35"/>
    <row r="1532" ht="15" customHeight="1" x14ac:dyDescent="0.35"/>
    <row r="1533" ht="15" customHeight="1" x14ac:dyDescent="0.35"/>
    <row r="1534" ht="15" customHeight="1" x14ac:dyDescent="0.35"/>
    <row r="1535" ht="15" customHeight="1" x14ac:dyDescent="0.35"/>
    <row r="1536" ht="15" customHeight="1" x14ac:dyDescent="0.35"/>
    <row r="1537" ht="15" customHeight="1" x14ac:dyDescent="0.35"/>
    <row r="1538" ht="15" customHeight="1" x14ac:dyDescent="0.35"/>
    <row r="1539" ht="15" customHeight="1" x14ac:dyDescent="0.35"/>
    <row r="1540" ht="15" customHeight="1" x14ac:dyDescent="0.35"/>
    <row r="1541" ht="15" customHeight="1" x14ac:dyDescent="0.35"/>
    <row r="1542" ht="15" customHeight="1" x14ac:dyDescent="0.35"/>
    <row r="1543" ht="15" customHeight="1" x14ac:dyDescent="0.35"/>
    <row r="1544" ht="15" customHeight="1" x14ac:dyDescent="0.35"/>
    <row r="1545" ht="15" customHeight="1" x14ac:dyDescent="0.35"/>
    <row r="1546" ht="15" customHeight="1" x14ac:dyDescent="0.35"/>
    <row r="1547" ht="15" customHeight="1" x14ac:dyDescent="0.35"/>
    <row r="1548" ht="15" customHeight="1" x14ac:dyDescent="0.35"/>
    <row r="1549" ht="15" customHeight="1" x14ac:dyDescent="0.35"/>
    <row r="1550" ht="15" customHeight="1" x14ac:dyDescent="0.35"/>
    <row r="1551" ht="15" customHeight="1" x14ac:dyDescent="0.35"/>
    <row r="1552" ht="15" customHeight="1" x14ac:dyDescent="0.35"/>
    <row r="1553" ht="15" customHeight="1" x14ac:dyDescent="0.35"/>
    <row r="1554" ht="15" customHeight="1" x14ac:dyDescent="0.35"/>
    <row r="1555" ht="15" customHeight="1" x14ac:dyDescent="0.35"/>
    <row r="1556" ht="15" customHeight="1" x14ac:dyDescent="0.35"/>
    <row r="1557" ht="15" customHeight="1" x14ac:dyDescent="0.35"/>
    <row r="1558" ht="15" customHeight="1" x14ac:dyDescent="0.35"/>
    <row r="1559" ht="15" customHeight="1" x14ac:dyDescent="0.35"/>
    <row r="1560" ht="15" customHeight="1" x14ac:dyDescent="0.35"/>
    <row r="1561" ht="15" customHeight="1" x14ac:dyDescent="0.35"/>
    <row r="1562" ht="15" customHeight="1" x14ac:dyDescent="0.35"/>
    <row r="1563" ht="15" customHeight="1" x14ac:dyDescent="0.35"/>
    <row r="1564" ht="15" customHeight="1" x14ac:dyDescent="0.35"/>
    <row r="1565" ht="15" customHeight="1" x14ac:dyDescent="0.35"/>
    <row r="1566" ht="15" customHeight="1" x14ac:dyDescent="0.35"/>
    <row r="1567" ht="15" customHeight="1" x14ac:dyDescent="0.35"/>
    <row r="1568" ht="15" customHeight="1" x14ac:dyDescent="0.35"/>
    <row r="1569" ht="15" customHeight="1" x14ac:dyDescent="0.35"/>
    <row r="1570" ht="15" customHeight="1" x14ac:dyDescent="0.35"/>
    <row r="1571" ht="15" customHeight="1" x14ac:dyDescent="0.35"/>
    <row r="1572" ht="15" customHeight="1" x14ac:dyDescent="0.35"/>
    <row r="1573" ht="15" customHeight="1" x14ac:dyDescent="0.35"/>
    <row r="1574" ht="15" customHeight="1" x14ac:dyDescent="0.35"/>
    <row r="1575" ht="15" customHeight="1" x14ac:dyDescent="0.35"/>
    <row r="1576" ht="15" customHeight="1" x14ac:dyDescent="0.35"/>
    <row r="1577" ht="15" customHeight="1" x14ac:dyDescent="0.35"/>
    <row r="1578" ht="15" customHeight="1" x14ac:dyDescent="0.35"/>
    <row r="1579" ht="15" customHeight="1" x14ac:dyDescent="0.35"/>
    <row r="1580" ht="15" customHeight="1" x14ac:dyDescent="0.35"/>
    <row r="1581" ht="15" customHeight="1" x14ac:dyDescent="0.35"/>
    <row r="1582" ht="15" customHeight="1" x14ac:dyDescent="0.35"/>
    <row r="1583" ht="15" customHeight="1" x14ac:dyDescent="0.35"/>
    <row r="1584" ht="15" customHeight="1" x14ac:dyDescent="0.35"/>
    <row r="1585" ht="15" customHeight="1" x14ac:dyDescent="0.35"/>
    <row r="1586" ht="15" customHeight="1" x14ac:dyDescent="0.35"/>
    <row r="1587" ht="15" customHeight="1" x14ac:dyDescent="0.35"/>
    <row r="1588" ht="15" customHeight="1" x14ac:dyDescent="0.35"/>
    <row r="1589" ht="15" customHeight="1" x14ac:dyDescent="0.35"/>
    <row r="1590" ht="15" customHeight="1" x14ac:dyDescent="0.35"/>
    <row r="1591" ht="15" customHeight="1" x14ac:dyDescent="0.35"/>
    <row r="1592" ht="15" customHeight="1" x14ac:dyDescent="0.35"/>
    <row r="1593" ht="15" customHeight="1" x14ac:dyDescent="0.35"/>
    <row r="1594" ht="15" customHeight="1" x14ac:dyDescent="0.35"/>
    <row r="1595" ht="15" customHeight="1" x14ac:dyDescent="0.35"/>
    <row r="1596" ht="15" customHeight="1" x14ac:dyDescent="0.35"/>
    <row r="1597" ht="15" customHeight="1" x14ac:dyDescent="0.35"/>
    <row r="1598" ht="15" customHeight="1" x14ac:dyDescent="0.35"/>
    <row r="1599" ht="15" customHeight="1" x14ac:dyDescent="0.35"/>
    <row r="1600" ht="15" customHeight="1" x14ac:dyDescent="0.35"/>
    <row r="1601" ht="15" customHeight="1" x14ac:dyDescent="0.35"/>
    <row r="1602" ht="15" customHeight="1" x14ac:dyDescent="0.35"/>
    <row r="1603" ht="15" customHeight="1" x14ac:dyDescent="0.35"/>
    <row r="1604" ht="15" customHeight="1" x14ac:dyDescent="0.35"/>
    <row r="1605" ht="15" customHeight="1" x14ac:dyDescent="0.35"/>
    <row r="1606" ht="15" customHeight="1" x14ac:dyDescent="0.35"/>
    <row r="1607" ht="15" customHeight="1" x14ac:dyDescent="0.35"/>
    <row r="1608" ht="15" customHeight="1" x14ac:dyDescent="0.35"/>
    <row r="1609" ht="15" customHeight="1" x14ac:dyDescent="0.35"/>
    <row r="1610" ht="15" customHeight="1" x14ac:dyDescent="0.35"/>
    <row r="1611" ht="15" customHeight="1" x14ac:dyDescent="0.35"/>
    <row r="1612" ht="15" customHeight="1" x14ac:dyDescent="0.35"/>
    <row r="1613" ht="15" customHeight="1" x14ac:dyDescent="0.35"/>
    <row r="1614" ht="15" customHeight="1" x14ac:dyDescent="0.35"/>
    <row r="1615" ht="15" customHeight="1" x14ac:dyDescent="0.35"/>
    <row r="1616" ht="15" customHeight="1" x14ac:dyDescent="0.35"/>
    <row r="1617" ht="15" customHeight="1" x14ac:dyDescent="0.35"/>
    <row r="1618" ht="15" customHeight="1" x14ac:dyDescent="0.35"/>
    <row r="1619" ht="15" customHeight="1" x14ac:dyDescent="0.35"/>
    <row r="1620" ht="15" customHeight="1" x14ac:dyDescent="0.35"/>
    <row r="1621" ht="15" customHeight="1" x14ac:dyDescent="0.35"/>
    <row r="1622" ht="15" customHeight="1" x14ac:dyDescent="0.35"/>
    <row r="1623" ht="15" customHeight="1" x14ac:dyDescent="0.35"/>
    <row r="1624" ht="15" customHeight="1" x14ac:dyDescent="0.35"/>
    <row r="1625" ht="15" customHeight="1" x14ac:dyDescent="0.35"/>
    <row r="1626" ht="15" customHeight="1" x14ac:dyDescent="0.35"/>
    <row r="1627" ht="15" customHeight="1" x14ac:dyDescent="0.35"/>
    <row r="1628" ht="15" customHeight="1" x14ac:dyDescent="0.35"/>
    <row r="1629" ht="15" customHeight="1" x14ac:dyDescent="0.35"/>
    <row r="1630" ht="15" customHeight="1" x14ac:dyDescent="0.35"/>
    <row r="1631" ht="15" customHeight="1" x14ac:dyDescent="0.35"/>
    <row r="1632" ht="15" customHeight="1" x14ac:dyDescent="0.35"/>
    <row r="1633" ht="15" customHeight="1" x14ac:dyDescent="0.35"/>
    <row r="1634" ht="15" customHeight="1" x14ac:dyDescent="0.35"/>
    <row r="1635" ht="15" customHeight="1" x14ac:dyDescent="0.35"/>
    <row r="1636" ht="15" customHeight="1" x14ac:dyDescent="0.35"/>
    <row r="1637" ht="15" customHeight="1" x14ac:dyDescent="0.35"/>
    <row r="1638" ht="15" customHeight="1" x14ac:dyDescent="0.35"/>
    <row r="1639" ht="15" customHeight="1" x14ac:dyDescent="0.35"/>
    <row r="1640" ht="15" customHeight="1" x14ac:dyDescent="0.35"/>
    <row r="1641" ht="15" customHeight="1" x14ac:dyDescent="0.35"/>
    <row r="1642" ht="15" customHeight="1" x14ac:dyDescent="0.35"/>
    <row r="1643" ht="15" customHeight="1" x14ac:dyDescent="0.35"/>
    <row r="1644" ht="15" customHeight="1" x14ac:dyDescent="0.35"/>
    <row r="1645" ht="15" customHeight="1" x14ac:dyDescent="0.35"/>
    <row r="1646" ht="15" customHeight="1" x14ac:dyDescent="0.35"/>
    <row r="1647" ht="15" customHeight="1" x14ac:dyDescent="0.35"/>
    <row r="1648" ht="15" customHeight="1" x14ac:dyDescent="0.35"/>
    <row r="1649" ht="15" customHeight="1" x14ac:dyDescent="0.35"/>
    <row r="1650" ht="15" customHeight="1" x14ac:dyDescent="0.35"/>
    <row r="1651" ht="15" customHeight="1" x14ac:dyDescent="0.35"/>
    <row r="1652" ht="15" customHeight="1" x14ac:dyDescent="0.35"/>
    <row r="1653" ht="15" customHeight="1" x14ac:dyDescent="0.35"/>
    <row r="1654" ht="15" customHeight="1" x14ac:dyDescent="0.35"/>
    <row r="1655" ht="15" customHeight="1" x14ac:dyDescent="0.35"/>
    <row r="1656" ht="15" customHeight="1" x14ac:dyDescent="0.35"/>
    <row r="1657" ht="15" customHeight="1" x14ac:dyDescent="0.35"/>
    <row r="1658" ht="15" customHeight="1" x14ac:dyDescent="0.35"/>
    <row r="1659" ht="15" customHeight="1" x14ac:dyDescent="0.35"/>
    <row r="1660" ht="15" customHeight="1" x14ac:dyDescent="0.35"/>
    <row r="1661" ht="15" customHeight="1" x14ac:dyDescent="0.35"/>
    <row r="1662" ht="15" customHeight="1" x14ac:dyDescent="0.35"/>
    <row r="1663" ht="15" customHeight="1" x14ac:dyDescent="0.35"/>
    <row r="1664" ht="15" customHeight="1" x14ac:dyDescent="0.35"/>
    <row r="1665" ht="15" customHeight="1" x14ac:dyDescent="0.35"/>
    <row r="1666" ht="15" customHeight="1" x14ac:dyDescent="0.35"/>
    <row r="1667" ht="15" customHeight="1" x14ac:dyDescent="0.35"/>
    <row r="1668" ht="15" customHeight="1" x14ac:dyDescent="0.35"/>
    <row r="1669" ht="15" customHeight="1" x14ac:dyDescent="0.35"/>
    <row r="1670" ht="15" customHeight="1" x14ac:dyDescent="0.35"/>
    <row r="1671" ht="15" customHeight="1" x14ac:dyDescent="0.35"/>
    <row r="1672" ht="15" customHeight="1" x14ac:dyDescent="0.35"/>
    <row r="1673" ht="15" customHeight="1" x14ac:dyDescent="0.35"/>
    <row r="1674" ht="15" customHeight="1" x14ac:dyDescent="0.35"/>
    <row r="1675" ht="15" customHeight="1" x14ac:dyDescent="0.35"/>
    <row r="1676" ht="15" customHeight="1" x14ac:dyDescent="0.35"/>
    <row r="1677" ht="15" customHeight="1" x14ac:dyDescent="0.35"/>
    <row r="1678" ht="15" customHeight="1" x14ac:dyDescent="0.35"/>
    <row r="1679" ht="15" customHeight="1" x14ac:dyDescent="0.35"/>
    <row r="1680" ht="15" customHeight="1" x14ac:dyDescent="0.35"/>
    <row r="1681" ht="15" customHeight="1" x14ac:dyDescent="0.35"/>
    <row r="1682" ht="15" customHeight="1" x14ac:dyDescent="0.35"/>
    <row r="1683" ht="15" customHeight="1" x14ac:dyDescent="0.35"/>
    <row r="1684" ht="15" customHeight="1" x14ac:dyDescent="0.35"/>
    <row r="1685" ht="15" customHeight="1" x14ac:dyDescent="0.35"/>
    <row r="1686" ht="15" customHeight="1" x14ac:dyDescent="0.35"/>
    <row r="1687" ht="15" customHeight="1" x14ac:dyDescent="0.35"/>
    <row r="1688" ht="15" customHeight="1" x14ac:dyDescent="0.35"/>
    <row r="1689" ht="15" customHeight="1" x14ac:dyDescent="0.35"/>
    <row r="1690" ht="15" customHeight="1" x14ac:dyDescent="0.35"/>
    <row r="1691" ht="15" customHeight="1" x14ac:dyDescent="0.35"/>
    <row r="1692" ht="15" customHeight="1" x14ac:dyDescent="0.35"/>
    <row r="1693" ht="15" customHeight="1" x14ac:dyDescent="0.35"/>
    <row r="1694" ht="15" customHeight="1" x14ac:dyDescent="0.35"/>
    <row r="1695" ht="15" customHeight="1" x14ac:dyDescent="0.35"/>
    <row r="1696" ht="15" customHeight="1" x14ac:dyDescent="0.35"/>
    <row r="1697" ht="15" customHeight="1" x14ac:dyDescent="0.35"/>
    <row r="1698" ht="15" customHeight="1" x14ac:dyDescent="0.35"/>
    <row r="1699" ht="15" customHeight="1" x14ac:dyDescent="0.35"/>
    <row r="1700" ht="15" customHeight="1" x14ac:dyDescent="0.35"/>
    <row r="1701" ht="15" customHeight="1" x14ac:dyDescent="0.35"/>
    <row r="1702" ht="15" customHeight="1" x14ac:dyDescent="0.35"/>
    <row r="1703" ht="15" customHeight="1" x14ac:dyDescent="0.35"/>
    <row r="1704" ht="15" customHeight="1" x14ac:dyDescent="0.35"/>
    <row r="1705" ht="15" customHeight="1" x14ac:dyDescent="0.35"/>
    <row r="1706" ht="15" customHeight="1" x14ac:dyDescent="0.35"/>
    <row r="1707" ht="15" customHeight="1" x14ac:dyDescent="0.35"/>
    <row r="1708" ht="15" customHeight="1" x14ac:dyDescent="0.35"/>
    <row r="1709" ht="15" customHeight="1" x14ac:dyDescent="0.35"/>
    <row r="1710" ht="15" customHeight="1" x14ac:dyDescent="0.35"/>
    <row r="1711" ht="15" customHeight="1" x14ac:dyDescent="0.35"/>
    <row r="1712" ht="15" customHeight="1" x14ac:dyDescent="0.35"/>
    <row r="1713" ht="15" customHeight="1" x14ac:dyDescent="0.35"/>
    <row r="1714" ht="15" customHeight="1" x14ac:dyDescent="0.35"/>
    <row r="1715" ht="15" customHeight="1" x14ac:dyDescent="0.35"/>
    <row r="1716" ht="15" customHeight="1" x14ac:dyDescent="0.35"/>
    <row r="1717" ht="15" customHeight="1" x14ac:dyDescent="0.35"/>
    <row r="1718" ht="15" customHeight="1" x14ac:dyDescent="0.35"/>
    <row r="1719" ht="15" customHeight="1" x14ac:dyDescent="0.35"/>
    <row r="1720" ht="15" customHeight="1" x14ac:dyDescent="0.35"/>
    <row r="1721" ht="15" customHeight="1" x14ac:dyDescent="0.35"/>
    <row r="1722" ht="15" customHeight="1" x14ac:dyDescent="0.35"/>
    <row r="1723" ht="15" customHeight="1" x14ac:dyDescent="0.35"/>
    <row r="1724" ht="15" customHeight="1" x14ac:dyDescent="0.35"/>
    <row r="1725" ht="15" customHeight="1" x14ac:dyDescent="0.35"/>
    <row r="1726" ht="15" customHeight="1" x14ac:dyDescent="0.35"/>
    <row r="1727" ht="15" customHeight="1" x14ac:dyDescent="0.35"/>
    <row r="1728" ht="15" customHeight="1" x14ac:dyDescent="0.35"/>
    <row r="1729" ht="15" customHeight="1" x14ac:dyDescent="0.35"/>
    <row r="1730" ht="15" customHeight="1" x14ac:dyDescent="0.35"/>
    <row r="1731" ht="15" customHeight="1" x14ac:dyDescent="0.35"/>
    <row r="1732" ht="15" customHeight="1" x14ac:dyDescent="0.35"/>
    <row r="1733" ht="15" customHeight="1" x14ac:dyDescent="0.35"/>
    <row r="1734" ht="15" customHeight="1" x14ac:dyDescent="0.35"/>
    <row r="1735" ht="15" customHeight="1" x14ac:dyDescent="0.35"/>
    <row r="1736" ht="15" customHeight="1" x14ac:dyDescent="0.35"/>
    <row r="1737" ht="15" customHeight="1" x14ac:dyDescent="0.35"/>
    <row r="1738" ht="15" customHeight="1" x14ac:dyDescent="0.35"/>
    <row r="1739" ht="15" customHeight="1" x14ac:dyDescent="0.35"/>
    <row r="1740" ht="15" customHeight="1" x14ac:dyDescent="0.35"/>
    <row r="1741" ht="15" customHeight="1" x14ac:dyDescent="0.35"/>
    <row r="1742" ht="15" customHeight="1" x14ac:dyDescent="0.35"/>
    <row r="1743" ht="15" customHeight="1" x14ac:dyDescent="0.35"/>
    <row r="1744" ht="15" customHeight="1" x14ac:dyDescent="0.35"/>
    <row r="1745" ht="15" customHeight="1" x14ac:dyDescent="0.35"/>
    <row r="1746" ht="15" customHeight="1" x14ac:dyDescent="0.35"/>
    <row r="1747" ht="15" customHeight="1" x14ac:dyDescent="0.35"/>
    <row r="1748" ht="15" customHeight="1" x14ac:dyDescent="0.35"/>
    <row r="1749" ht="15" customHeight="1" x14ac:dyDescent="0.35"/>
    <row r="1750" ht="15" customHeight="1" x14ac:dyDescent="0.35"/>
    <row r="1751" ht="15" customHeight="1" x14ac:dyDescent="0.35"/>
    <row r="1752" ht="15" customHeight="1" x14ac:dyDescent="0.35"/>
    <row r="1753" ht="15" customHeight="1" x14ac:dyDescent="0.35"/>
    <row r="1754" ht="15" customHeight="1" x14ac:dyDescent="0.35"/>
    <row r="1755" ht="15" customHeight="1" x14ac:dyDescent="0.35"/>
    <row r="1756" ht="15" customHeight="1" x14ac:dyDescent="0.35"/>
    <row r="1757" ht="15" customHeight="1" x14ac:dyDescent="0.35"/>
    <row r="1758" ht="15" customHeight="1" x14ac:dyDescent="0.35"/>
    <row r="1759" ht="15" customHeight="1" x14ac:dyDescent="0.35"/>
    <row r="1760" ht="15" customHeight="1" x14ac:dyDescent="0.35"/>
    <row r="1761" ht="15" customHeight="1" x14ac:dyDescent="0.35"/>
    <row r="1762" ht="15" customHeight="1" x14ac:dyDescent="0.35"/>
    <row r="1763" ht="15" customHeight="1" x14ac:dyDescent="0.35"/>
    <row r="1764" ht="15" customHeight="1" x14ac:dyDescent="0.35"/>
    <row r="1765" ht="15" customHeight="1" x14ac:dyDescent="0.35"/>
    <row r="1766" ht="15" customHeight="1" x14ac:dyDescent="0.35"/>
    <row r="1767" ht="15" customHeight="1" x14ac:dyDescent="0.35"/>
    <row r="1768" ht="15" customHeight="1" x14ac:dyDescent="0.35"/>
    <row r="1769" ht="15" customHeight="1" x14ac:dyDescent="0.35"/>
    <row r="1770" ht="15" customHeight="1" x14ac:dyDescent="0.35"/>
    <row r="1771" ht="15" customHeight="1" x14ac:dyDescent="0.35"/>
    <row r="1772" ht="15" customHeight="1" x14ac:dyDescent="0.35"/>
    <row r="1773" ht="15" customHeight="1" x14ac:dyDescent="0.35"/>
    <row r="1774" ht="15" customHeight="1" x14ac:dyDescent="0.35"/>
    <row r="1775" ht="15" customHeight="1" x14ac:dyDescent="0.35"/>
    <row r="1776" ht="15" customHeight="1" x14ac:dyDescent="0.35"/>
    <row r="1777" ht="15" customHeight="1" x14ac:dyDescent="0.35"/>
    <row r="1778" ht="15" customHeight="1" x14ac:dyDescent="0.35"/>
    <row r="1779" ht="15" customHeight="1" x14ac:dyDescent="0.35"/>
    <row r="1780" ht="15" customHeight="1" x14ac:dyDescent="0.35"/>
    <row r="1781" ht="15" customHeight="1" x14ac:dyDescent="0.35"/>
    <row r="1782" ht="15" customHeight="1" x14ac:dyDescent="0.35"/>
    <row r="1783" ht="15" customHeight="1" x14ac:dyDescent="0.35"/>
    <row r="1784" ht="15" customHeight="1" x14ac:dyDescent="0.35"/>
    <row r="1785" ht="15" customHeight="1" x14ac:dyDescent="0.35"/>
    <row r="1786" ht="15" customHeight="1" x14ac:dyDescent="0.35"/>
    <row r="1787" ht="15" customHeight="1" x14ac:dyDescent="0.35"/>
    <row r="1788" ht="15" customHeight="1" x14ac:dyDescent="0.35"/>
    <row r="1789" ht="15" customHeight="1" x14ac:dyDescent="0.35"/>
    <row r="1790" ht="15" customHeight="1" x14ac:dyDescent="0.35"/>
    <row r="1791" ht="15" customHeight="1" x14ac:dyDescent="0.35"/>
    <row r="1792" ht="15" customHeight="1" x14ac:dyDescent="0.35"/>
    <row r="1793" ht="15" customHeight="1" x14ac:dyDescent="0.35"/>
    <row r="1794" ht="15" customHeight="1" x14ac:dyDescent="0.35"/>
    <row r="1795" ht="15" customHeight="1" x14ac:dyDescent="0.35"/>
    <row r="1796" ht="15" customHeight="1" x14ac:dyDescent="0.35"/>
    <row r="1797" ht="15" customHeight="1" x14ac:dyDescent="0.35"/>
    <row r="1798" ht="15" customHeight="1" x14ac:dyDescent="0.35"/>
    <row r="1799" ht="15" customHeight="1" x14ac:dyDescent="0.35"/>
    <row r="1800" ht="15" customHeight="1" x14ac:dyDescent="0.35"/>
    <row r="1801" ht="15" customHeight="1" x14ac:dyDescent="0.35"/>
    <row r="1802" ht="15" customHeight="1" x14ac:dyDescent="0.35"/>
    <row r="1803" ht="15" customHeight="1" x14ac:dyDescent="0.35"/>
    <row r="1804" ht="15" customHeight="1" x14ac:dyDescent="0.35"/>
    <row r="1805" ht="15" customHeight="1" x14ac:dyDescent="0.35"/>
    <row r="1806" ht="15" customHeight="1" x14ac:dyDescent="0.35"/>
    <row r="1807" ht="15" customHeight="1" x14ac:dyDescent="0.35"/>
    <row r="1808" ht="15" customHeight="1" x14ac:dyDescent="0.35"/>
    <row r="1809" ht="15" customHeight="1" x14ac:dyDescent="0.35"/>
    <row r="1810" ht="15" customHeight="1" x14ac:dyDescent="0.35"/>
    <row r="1811" ht="15" customHeight="1" x14ac:dyDescent="0.35"/>
    <row r="1812" ht="15" customHeight="1" x14ac:dyDescent="0.35"/>
    <row r="1813" ht="15" customHeight="1" x14ac:dyDescent="0.35"/>
    <row r="1814" ht="15" customHeight="1" x14ac:dyDescent="0.35"/>
    <row r="1815" ht="15" customHeight="1" x14ac:dyDescent="0.35"/>
    <row r="1816" ht="15" customHeight="1" x14ac:dyDescent="0.35"/>
    <row r="1817" ht="15" customHeight="1" x14ac:dyDescent="0.35"/>
    <row r="1818" ht="15" customHeight="1" x14ac:dyDescent="0.35"/>
    <row r="1819" ht="15" customHeight="1" x14ac:dyDescent="0.35"/>
    <row r="1820" ht="15" customHeight="1" x14ac:dyDescent="0.35"/>
    <row r="1821" ht="15" customHeight="1" x14ac:dyDescent="0.35"/>
    <row r="1822" ht="15" customHeight="1" x14ac:dyDescent="0.35"/>
    <row r="1823" ht="15" customHeight="1" x14ac:dyDescent="0.35"/>
    <row r="1824" ht="15" customHeight="1" x14ac:dyDescent="0.35"/>
    <row r="1825" ht="15" customHeight="1" x14ac:dyDescent="0.35"/>
    <row r="1826" ht="15" customHeight="1" x14ac:dyDescent="0.35"/>
    <row r="1827" ht="15" customHeight="1" x14ac:dyDescent="0.35"/>
    <row r="1828" ht="15" customHeight="1" x14ac:dyDescent="0.35"/>
    <row r="1829" ht="15" customHeight="1" x14ac:dyDescent="0.35"/>
    <row r="1830" ht="15" customHeight="1" x14ac:dyDescent="0.35"/>
    <row r="1831" ht="15" customHeight="1" x14ac:dyDescent="0.35"/>
    <row r="1832" ht="15" customHeight="1" x14ac:dyDescent="0.35"/>
    <row r="1833" ht="15" customHeight="1" x14ac:dyDescent="0.35"/>
    <row r="1834" ht="15" customHeight="1" x14ac:dyDescent="0.35"/>
    <row r="1835" ht="15" customHeight="1" x14ac:dyDescent="0.35"/>
    <row r="1836" ht="15" customHeight="1" x14ac:dyDescent="0.35"/>
    <row r="1837" ht="15" customHeight="1" x14ac:dyDescent="0.35"/>
    <row r="1838" ht="15" customHeight="1" x14ac:dyDescent="0.35"/>
    <row r="1839" ht="15" customHeight="1" x14ac:dyDescent="0.35"/>
    <row r="1840" ht="15" customHeight="1" x14ac:dyDescent="0.35"/>
    <row r="1841" ht="15" customHeight="1" x14ac:dyDescent="0.35"/>
    <row r="1842" ht="15" customHeight="1" x14ac:dyDescent="0.35"/>
    <row r="1843" ht="15" customHeight="1" x14ac:dyDescent="0.35"/>
    <row r="1844" ht="15" customHeight="1" x14ac:dyDescent="0.35"/>
    <row r="1845" ht="15" customHeight="1" x14ac:dyDescent="0.35"/>
    <row r="1846" ht="15" customHeight="1" x14ac:dyDescent="0.35"/>
    <row r="1847" ht="15" customHeight="1" x14ac:dyDescent="0.35"/>
    <row r="1848" ht="15" customHeight="1" x14ac:dyDescent="0.35"/>
    <row r="1849" ht="15" customHeight="1" x14ac:dyDescent="0.35"/>
    <row r="1850" ht="15" customHeight="1" x14ac:dyDescent="0.35"/>
    <row r="1851" ht="15" customHeight="1" x14ac:dyDescent="0.35"/>
    <row r="1852" ht="15" customHeight="1" x14ac:dyDescent="0.35"/>
    <row r="1853" ht="15" customHeight="1" x14ac:dyDescent="0.35"/>
    <row r="1854" ht="15" customHeight="1" x14ac:dyDescent="0.35"/>
    <row r="1855" ht="15" customHeight="1" x14ac:dyDescent="0.35"/>
    <row r="1856" ht="15" customHeight="1" x14ac:dyDescent="0.35"/>
    <row r="1857" ht="15" customHeight="1" x14ac:dyDescent="0.35"/>
    <row r="1858" ht="15" customHeight="1" x14ac:dyDescent="0.35"/>
    <row r="1859" ht="15" customHeight="1" x14ac:dyDescent="0.35"/>
    <row r="1860" ht="15" customHeight="1" x14ac:dyDescent="0.35"/>
    <row r="1861" ht="15" customHeight="1" x14ac:dyDescent="0.35"/>
    <row r="1862" ht="15" customHeight="1" x14ac:dyDescent="0.35"/>
    <row r="1863" ht="15" customHeight="1" x14ac:dyDescent="0.35"/>
    <row r="1864" ht="15" customHeight="1" x14ac:dyDescent="0.35"/>
    <row r="1865" ht="15" customHeight="1" x14ac:dyDescent="0.35"/>
    <row r="1866" ht="15" customHeight="1" x14ac:dyDescent="0.35"/>
    <row r="1867" ht="15" customHeight="1" x14ac:dyDescent="0.35"/>
    <row r="1868" ht="15" customHeight="1" x14ac:dyDescent="0.35"/>
    <row r="1869" ht="15" customHeight="1" x14ac:dyDescent="0.35"/>
    <row r="1870" ht="15" customHeight="1" x14ac:dyDescent="0.35"/>
    <row r="1871" ht="15" customHeight="1" x14ac:dyDescent="0.35"/>
    <row r="1872" ht="15" customHeight="1" x14ac:dyDescent="0.35"/>
    <row r="1873" ht="15" customHeight="1" x14ac:dyDescent="0.35"/>
    <row r="1874" ht="15" customHeight="1" x14ac:dyDescent="0.35"/>
    <row r="1875" ht="15" customHeight="1" x14ac:dyDescent="0.35"/>
    <row r="1876" ht="15" customHeight="1" x14ac:dyDescent="0.35"/>
    <row r="1877" ht="15" customHeight="1" x14ac:dyDescent="0.35"/>
    <row r="1878" ht="15" customHeight="1" x14ac:dyDescent="0.35"/>
    <row r="1879" ht="15" customHeight="1" x14ac:dyDescent="0.35"/>
    <row r="1880" ht="15" customHeight="1" x14ac:dyDescent="0.35"/>
    <row r="1881" ht="15" customHeight="1" x14ac:dyDescent="0.35"/>
    <row r="1882" ht="15" customHeight="1" x14ac:dyDescent="0.35"/>
    <row r="1883" ht="15" customHeight="1" x14ac:dyDescent="0.35"/>
    <row r="1884" ht="15" customHeight="1" x14ac:dyDescent="0.35"/>
    <row r="1885" ht="15" customHeight="1" x14ac:dyDescent="0.35"/>
    <row r="1886" ht="15" customHeight="1" x14ac:dyDescent="0.35"/>
    <row r="1887" ht="15" customHeight="1" x14ac:dyDescent="0.35"/>
    <row r="1888" ht="15" customHeight="1" x14ac:dyDescent="0.35"/>
    <row r="1889" ht="15" customHeight="1" x14ac:dyDescent="0.35"/>
    <row r="1890" ht="15" customHeight="1" x14ac:dyDescent="0.35"/>
    <row r="1891" ht="15" customHeight="1" x14ac:dyDescent="0.35"/>
    <row r="1892" ht="15" customHeight="1" x14ac:dyDescent="0.35"/>
    <row r="1893" ht="15" customHeight="1" x14ac:dyDescent="0.35"/>
    <row r="1894" ht="15" customHeight="1" x14ac:dyDescent="0.35"/>
    <row r="1895" ht="15" customHeight="1" x14ac:dyDescent="0.35"/>
    <row r="1896" ht="15" customHeight="1" x14ac:dyDescent="0.35"/>
    <row r="1897" ht="15" customHeight="1" x14ac:dyDescent="0.35"/>
    <row r="1898" ht="15" customHeight="1" x14ac:dyDescent="0.35"/>
    <row r="1899" ht="15" customHeight="1" x14ac:dyDescent="0.35"/>
    <row r="1900" ht="15" customHeight="1" x14ac:dyDescent="0.35"/>
    <row r="1901" ht="15" customHeight="1" x14ac:dyDescent="0.35"/>
    <row r="1902" ht="15" customHeight="1" x14ac:dyDescent="0.35"/>
    <row r="1903" ht="15" customHeight="1" x14ac:dyDescent="0.35"/>
    <row r="1904" ht="15" customHeight="1" x14ac:dyDescent="0.35"/>
    <row r="1905" ht="15" customHeight="1" x14ac:dyDescent="0.35"/>
    <row r="1906" ht="15" customHeight="1" x14ac:dyDescent="0.35"/>
    <row r="1907" ht="15" customHeight="1" x14ac:dyDescent="0.35"/>
    <row r="1908" ht="15" customHeight="1" x14ac:dyDescent="0.35"/>
    <row r="1909" ht="15" customHeight="1" x14ac:dyDescent="0.35"/>
    <row r="1910" ht="15" customHeight="1" x14ac:dyDescent="0.35"/>
    <row r="1911" ht="15" customHeight="1" x14ac:dyDescent="0.35"/>
    <row r="1912" ht="15" customHeight="1" x14ac:dyDescent="0.35"/>
    <row r="1913" ht="15" customHeight="1" x14ac:dyDescent="0.35"/>
    <row r="1914" ht="15" customHeight="1" x14ac:dyDescent="0.35"/>
    <row r="1915" ht="15" customHeight="1" x14ac:dyDescent="0.35"/>
    <row r="1916" ht="15" customHeight="1" x14ac:dyDescent="0.35"/>
    <row r="1917" ht="15" customHeight="1" x14ac:dyDescent="0.35"/>
    <row r="1918" ht="15" customHeight="1" x14ac:dyDescent="0.35"/>
    <row r="1919" ht="15" customHeight="1" x14ac:dyDescent="0.35"/>
    <row r="1920" ht="15" customHeight="1" x14ac:dyDescent="0.35"/>
    <row r="1921" ht="15" customHeight="1" x14ac:dyDescent="0.35"/>
    <row r="1922" ht="15" customHeight="1" x14ac:dyDescent="0.35"/>
    <row r="1923" ht="15" customHeight="1" x14ac:dyDescent="0.35"/>
    <row r="1924" ht="15" customHeight="1" x14ac:dyDescent="0.35"/>
    <row r="1925" ht="15" customHeight="1" x14ac:dyDescent="0.35"/>
    <row r="1926" ht="15" customHeight="1" x14ac:dyDescent="0.35"/>
    <row r="1927" ht="15" customHeight="1" x14ac:dyDescent="0.35"/>
    <row r="1928" ht="15" customHeight="1" x14ac:dyDescent="0.35"/>
    <row r="1929" ht="15" customHeight="1" x14ac:dyDescent="0.35"/>
    <row r="1930" ht="15" customHeight="1" x14ac:dyDescent="0.35"/>
    <row r="1931" ht="15" customHeight="1" x14ac:dyDescent="0.35"/>
    <row r="1932" ht="15" customHeight="1" x14ac:dyDescent="0.35"/>
    <row r="1933" ht="15" customHeight="1" x14ac:dyDescent="0.35"/>
    <row r="1934" ht="15" customHeight="1" x14ac:dyDescent="0.35"/>
    <row r="1935" ht="15" customHeight="1" x14ac:dyDescent="0.35"/>
    <row r="1936" ht="15" customHeight="1" x14ac:dyDescent="0.35"/>
    <row r="1937" ht="15" customHeight="1" x14ac:dyDescent="0.35"/>
    <row r="1938" ht="15" customHeight="1" x14ac:dyDescent="0.35"/>
    <row r="1939" ht="15" customHeight="1" x14ac:dyDescent="0.35"/>
    <row r="1940" ht="15" customHeight="1" x14ac:dyDescent="0.35"/>
    <row r="1941" ht="15" customHeight="1" x14ac:dyDescent="0.35"/>
    <row r="1942" ht="15" customHeight="1" x14ac:dyDescent="0.35"/>
    <row r="1943" ht="15" customHeight="1" x14ac:dyDescent="0.35"/>
    <row r="1944" ht="15" customHeight="1" x14ac:dyDescent="0.35"/>
    <row r="1945" ht="15" customHeight="1" x14ac:dyDescent="0.35"/>
    <row r="1946" ht="15" customHeight="1" x14ac:dyDescent="0.35"/>
    <row r="1947" ht="15" customHeight="1" x14ac:dyDescent="0.35"/>
    <row r="1948" ht="15" customHeight="1" x14ac:dyDescent="0.35"/>
    <row r="1949" ht="15" customHeight="1" x14ac:dyDescent="0.35"/>
    <row r="1950" ht="15" customHeight="1" x14ac:dyDescent="0.35"/>
    <row r="1951" ht="15" customHeight="1" x14ac:dyDescent="0.35"/>
    <row r="1952" ht="15" customHeight="1" x14ac:dyDescent="0.35"/>
    <row r="1953" ht="15" customHeight="1" x14ac:dyDescent="0.35"/>
    <row r="1954" ht="15" customHeight="1" x14ac:dyDescent="0.35"/>
    <row r="1955" ht="15" customHeight="1" x14ac:dyDescent="0.35"/>
    <row r="1956" ht="15" customHeight="1" x14ac:dyDescent="0.35"/>
    <row r="1957" ht="15" customHeight="1" x14ac:dyDescent="0.35"/>
    <row r="1958" ht="15" customHeight="1" x14ac:dyDescent="0.35"/>
    <row r="1959" ht="15" customHeight="1" x14ac:dyDescent="0.35"/>
    <row r="1960" ht="15" customHeight="1" x14ac:dyDescent="0.35"/>
    <row r="1961" ht="15" customHeight="1" x14ac:dyDescent="0.35"/>
    <row r="1962" ht="15" customHeight="1" x14ac:dyDescent="0.35"/>
    <row r="1963" ht="15" customHeight="1" x14ac:dyDescent="0.35"/>
    <row r="1964" ht="15" customHeight="1" x14ac:dyDescent="0.35"/>
    <row r="1965" ht="15" customHeight="1" x14ac:dyDescent="0.35"/>
    <row r="1966" ht="15" customHeight="1" x14ac:dyDescent="0.35"/>
    <row r="1967" ht="15" customHeight="1" x14ac:dyDescent="0.35"/>
    <row r="1968" ht="15" customHeight="1" x14ac:dyDescent="0.35"/>
    <row r="1969" ht="15" customHeight="1" x14ac:dyDescent="0.35"/>
    <row r="1970" ht="15" customHeight="1" x14ac:dyDescent="0.35"/>
    <row r="1971" ht="15" customHeight="1" x14ac:dyDescent="0.35"/>
    <row r="1972" ht="15" customHeight="1" x14ac:dyDescent="0.35"/>
    <row r="1973" ht="15" customHeight="1" x14ac:dyDescent="0.35"/>
    <row r="1974" ht="15" customHeight="1" x14ac:dyDescent="0.35"/>
    <row r="1975" ht="15" customHeight="1" x14ac:dyDescent="0.35"/>
    <row r="1976" ht="15" customHeight="1" x14ac:dyDescent="0.35"/>
    <row r="1977" ht="15" customHeight="1" x14ac:dyDescent="0.35"/>
    <row r="1978" ht="15" customHeight="1" x14ac:dyDescent="0.35"/>
    <row r="1979" ht="15" customHeight="1" x14ac:dyDescent="0.35"/>
    <row r="1980" ht="15" customHeight="1" x14ac:dyDescent="0.35"/>
    <row r="1981" ht="15" customHeight="1" x14ac:dyDescent="0.35"/>
    <row r="1982" ht="15" customHeight="1" x14ac:dyDescent="0.35"/>
    <row r="1983" ht="15" customHeight="1" x14ac:dyDescent="0.35"/>
    <row r="1984" ht="15" customHeight="1" x14ac:dyDescent="0.35"/>
    <row r="1985" ht="15" customHeight="1" x14ac:dyDescent="0.35"/>
    <row r="1986" ht="15" customHeight="1" x14ac:dyDescent="0.35"/>
    <row r="1987" ht="15" customHeight="1" x14ac:dyDescent="0.35"/>
    <row r="1988" ht="15" customHeight="1" x14ac:dyDescent="0.35"/>
    <row r="1989" ht="15" customHeight="1" x14ac:dyDescent="0.35"/>
    <row r="1990" ht="15" customHeight="1" x14ac:dyDescent="0.35"/>
    <row r="1991" ht="15" customHeight="1" x14ac:dyDescent="0.35"/>
    <row r="1992" ht="15" customHeight="1" x14ac:dyDescent="0.35"/>
    <row r="1993" ht="15" customHeight="1" x14ac:dyDescent="0.35"/>
    <row r="1994" ht="15" customHeight="1" x14ac:dyDescent="0.35"/>
    <row r="1995" ht="15" customHeight="1" x14ac:dyDescent="0.35"/>
    <row r="1996" ht="15" customHeight="1" x14ac:dyDescent="0.35"/>
    <row r="1997" ht="15" customHeight="1" x14ac:dyDescent="0.35"/>
    <row r="1998" ht="15" customHeight="1" x14ac:dyDescent="0.35"/>
    <row r="1999" ht="15" customHeight="1" x14ac:dyDescent="0.35"/>
    <row r="2000" ht="15" customHeight="1" x14ac:dyDescent="0.35"/>
    <row r="2001" ht="15" customHeight="1" x14ac:dyDescent="0.35"/>
    <row r="2002" ht="15" customHeight="1" x14ac:dyDescent="0.35"/>
    <row r="2003" ht="15" customHeight="1" x14ac:dyDescent="0.35"/>
    <row r="2004" ht="15" customHeight="1" x14ac:dyDescent="0.35"/>
    <row r="2005" ht="15" customHeight="1" x14ac:dyDescent="0.35"/>
    <row r="2006" ht="15" customHeight="1" x14ac:dyDescent="0.35"/>
    <row r="2007" ht="15" customHeight="1" x14ac:dyDescent="0.35"/>
    <row r="2008" ht="15" customHeight="1" x14ac:dyDescent="0.35"/>
    <row r="2009" ht="15" customHeight="1" x14ac:dyDescent="0.35"/>
    <row r="2010" ht="15" customHeight="1" x14ac:dyDescent="0.35"/>
    <row r="2011" ht="15" customHeight="1" x14ac:dyDescent="0.35"/>
    <row r="2012" ht="15" customHeight="1" x14ac:dyDescent="0.35"/>
    <row r="2013" ht="15" customHeight="1" x14ac:dyDescent="0.35"/>
    <row r="2014" ht="15" customHeight="1" x14ac:dyDescent="0.35"/>
    <row r="2015" ht="15" customHeight="1" x14ac:dyDescent="0.35"/>
    <row r="2016" ht="15" customHeight="1" x14ac:dyDescent="0.35"/>
    <row r="2017" ht="15" customHeight="1" x14ac:dyDescent="0.35"/>
    <row r="2018" ht="15" customHeight="1" x14ac:dyDescent="0.35"/>
    <row r="2019" ht="15" customHeight="1" x14ac:dyDescent="0.35"/>
    <row r="2020" ht="15" customHeight="1" x14ac:dyDescent="0.35"/>
    <row r="2021" ht="15" customHeight="1" x14ac:dyDescent="0.35"/>
    <row r="2022" ht="15" customHeight="1" x14ac:dyDescent="0.35"/>
    <row r="2023" ht="15" customHeight="1" x14ac:dyDescent="0.35"/>
    <row r="2024" ht="15" customHeight="1" x14ac:dyDescent="0.35"/>
    <row r="2025" ht="15" customHeight="1" x14ac:dyDescent="0.35"/>
    <row r="2026" ht="15" customHeight="1" x14ac:dyDescent="0.35"/>
    <row r="2027" ht="15" customHeight="1" x14ac:dyDescent="0.35"/>
    <row r="2028" ht="15" customHeight="1" x14ac:dyDescent="0.35"/>
    <row r="2029" ht="15" customHeight="1" x14ac:dyDescent="0.35"/>
    <row r="2030" ht="15" customHeight="1" x14ac:dyDescent="0.35"/>
    <row r="2031" ht="15" customHeight="1" x14ac:dyDescent="0.35"/>
    <row r="2032" ht="15" customHeight="1" x14ac:dyDescent="0.35"/>
    <row r="2033" ht="15" customHeight="1" x14ac:dyDescent="0.35"/>
    <row r="2034" ht="15" customHeight="1" x14ac:dyDescent="0.35"/>
    <row r="2035" ht="15" customHeight="1" x14ac:dyDescent="0.35"/>
    <row r="2036" ht="15" customHeight="1" x14ac:dyDescent="0.35"/>
    <row r="2037" ht="15" customHeight="1" x14ac:dyDescent="0.35"/>
    <row r="2038" ht="15" customHeight="1" x14ac:dyDescent="0.35"/>
    <row r="2039" ht="15" customHeight="1" x14ac:dyDescent="0.35"/>
    <row r="2040" ht="15" customHeight="1" x14ac:dyDescent="0.35"/>
    <row r="2041" ht="15" customHeight="1" x14ac:dyDescent="0.35"/>
    <row r="2042" ht="15" customHeight="1" x14ac:dyDescent="0.35"/>
    <row r="2043" ht="15" customHeight="1" x14ac:dyDescent="0.35"/>
    <row r="2044" ht="15" customHeight="1" x14ac:dyDescent="0.35"/>
    <row r="2045" ht="15" customHeight="1" x14ac:dyDescent="0.35"/>
    <row r="2046" ht="15" customHeight="1" x14ac:dyDescent="0.35"/>
    <row r="2047" ht="15" customHeight="1" x14ac:dyDescent="0.35"/>
    <row r="2048" ht="15" customHeight="1" x14ac:dyDescent="0.35"/>
    <row r="2049" ht="15" customHeight="1" x14ac:dyDescent="0.35"/>
    <row r="2050" ht="15" customHeight="1" x14ac:dyDescent="0.35"/>
    <row r="2051" ht="15" customHeight="1" x14ac:dyDescent="0.35"/>
    <row r="2052" ht="15" customHeight="1" x14ac:dyDescent="0.35"/>
    <row r="2053" ht="15" customHeight="1" x14ac:dyDescent="0.35"/>
    <row r="2054" ht="15" customHeight="1" x14ac:dyDescent="0.35"/>
    <row r="2055" ht="15" customHeight="1" x14ac:dyDescent="0.35"/>
    <row r="2056" ht="15" customHeight="1" x14ac:dyDescent="0.35"/>
    <row r="2057" ht="15" customHeight="1" x14ac:dyDescent="0.35"/>
    <row r="2058" ht="15" customHeight="1" x14ac:dyDescent="0.35"/>
    <row r="2059" ht="15" customHeight="1" x14ac:dyDescent="0.35"/>
    <row r="2060" ht="15" customHeight="1" x14ac:dyDescent="0.35"/>
    <row r="2061" ht="15" customHeight="1" x14ac:dyDescent="0.35"/>
    <row r="2062" ht="15" customHeight="1" x14ac:dyDescent="0.35"/>
    <row r="2063" ht="15" customHeight="1" x14ac:dyDescent="0.35"/>
    <row r="2064" ht="15" customHeight="1" x14ac:dyDescent="0.35"/>
    <row r="2065" ht="15" customHeight="1" x14ac:dyDescent="0.35"/>
    <row r="2066" ht="15" customHeight="1" x14ac:dyDescent="0.35"/>
    <row r="2067" ht="15" customHeight="1" x14ac:dyDescent="0.35"/>
    <row r="2068" ht="15" customHeight="1" x14ac:dyDescent="0.35"/>
    <row r="2069" ht="15" customHeight="1" x14ac:dyDescent="0.35"/>
    <row r="2070" ht="15" customHeight="1" x14ac:dyDescent="0.35"/>
    <row r="2071" ht="15" customHeight="1" x14ac:dyDescent="0.35"/>
    <row r="2072" ht="15" customHeight="1" x14ac:dyDescent="0.35"/>
    <row r="2073" ht="15" customHeight="1" x14ac:dyDescent="0.35"/>
    <row r="2074" ht="15" customHeight="1" x14ac:dyDescent="0.35"/>
    <row r="2075" ht="15" customHeight="1" x14ac:dyDescent="0.35"/>
    <row r="2076" ht="15" customHeight="1" x14ac:dyDescent="0.35"/>
    <row r="2077" ht="15" customHeight="1" x14ac:dyDescent="0.35"/>
    <row r="2078" ht="15" customHeight="1" x14ac:dyDescent="0.35"/>
    <row r="2079" ht="15" customHeight="1" x14ac:dyDescent="0.35"/>
    <row r="2080" ht="15" customHeight="1" x14ac:dyDescent="0.35"/>
    <row r="2081" ht="15" customHeight="1" x14ac:dyDescent="0.35"/>
    <row r="2082" ht="15" customHeight="1" x14ac:dyDescent="0.35"/>
    <row r="2083" ht="15" customHeight="1" x14ac:dyDescent="0.35"/>
    <row r="2084" ht="15" customHeight="1" x14ac:dyDescent="0.35"/>
    <row r="2085" ht="15" customHeight="1" x14ac:dyDescent="0.35"/>
    <row r="2086" ht="15" customHeight="1" x14ac:dyDescent="0.35"/>
    <row r="2087" ht="15" customHeight="1" x14ac:dyDescent="0.35"/>
    <row r="2088" ht="15" customHeight="1" x14ac:dyDescent="0.35"/>
    <row r="2089" ht="15" customHeight="1" x14ac:dyDescent="0.35"/>
    <row r="2090" ht="15" customHeight="1" x14ac:dyDescent="0.35"/>
    <row r="2091" ht="15" customHeight="1" x14ac:dyDescent="0.35"/>
    <row r="2092" ht="15" customHeight="1" x14ac:dyDescent="0.35"/>
    <row r="2093" ht="15" customHeight="1" x14ac:dyDescent="0.35"/>
    <row r="2094" ht="15" customHeight="1" x14ac:dyDescent="0.35"/>
    <row r="2095" ht="15" customHeight="1" x14ac:dyDescent="0.35"/>
    <row r="2096" ht="15" customHeight="1" x14ac:dyDescent="0.35"/>
    <row r="2097" ht="15" customHeight="1" x14ac:dyDescent="0.35"/>
    <row r="2098" ht="15" customHeight="1" x14ac:dyDescent="0.35"/>
    <row r="2099" ht="15" customHeight="1" x14ac:dyDescent="0.35"/>
    <row r="2100" ht="15" customHeight="1" x14ac:dyDescent="0.35"/>
    <row r="2101" ht="15" customHeight="1" x14ac:dyDescent="0.35"/>
    <row r="2102" ht="15" customHeight="1" x14ac:dyDescent="0.35"/>
    <row r="2103" ht="15" customHeight="1" x14ac:dyDescent="0.35"/>
    <row r="2104" ht="15" customHeight="1" x14ac:dyDescent="0.35"/>
    <row r="2105" ht="15" customHeight="1" x14ac:dyDescent="0.35"/>
    <row r="2106" ht="15" customHeight="1" x14ac:dyDescent="0.35"/>
    <row r="2107" ht="15" customHeight="1" x14ac:dyDescent="0.35"/>
    <row r="2108" ht="15" customHeight="1" x14ac:dyDescent="0.35"/>
    <row r="2109" ht="15" customHeight="1" x14ac:dyDescent="0.35"/>
    <row r="2110" ht="15" customHeight="1" x14ac:dyDescent="0.35"/>
    <row r="2111" ht="15" customHeight="1" x14ac:dyDescent="0.35"/>
    <row r="2112" ht="15" customHeight="1" x14ac:dyDescent="0.35"/>
    <row r="2113" ht="15" customHeight="1" x14ac:dyDescent="0.35"/>
    <row r="2114" ht="15" customHeight="1" x14ac:dyDescent="0.35"/>
    <row r="2115" ht="15" customHeight="1" x14ac:dyDescent="0.35"/>
    <row r="2116" ht="15" customHeight="1" x14ac:dyDescent="0.35"/>
    <row r="2117" ht="15" customHeight="1" x14ac:dyDescent="0.35"/>
    <row r="2118" ht="15" customHeight="1" x14ac:dyDescent="0.35"/>
    <row r="2119" ht="15" customHeight="1" x14ac:dyDescent="0.35"/>
    <row r="2120" ht="15" customHeight="1" x14ac:dyDescent="0.35"/>
    <row r="2121" ht="15" customHeight="1" x14ac:dyDescent="0.35"/>
    <row r="2122" ht="15" customHeight="1" x14ac:dyDescent="0.35"/>
    <row r="2123" ht="15" customHeight="1" x14ac:dyDescent="0.35"/>
    <row r="2124" ht="15" customHeight="1" x14ac:dyDescent="0.35"/>
    <row r="2125" ht="15" customHeight="1" x14ac:dyDescent="0.35"/>
    <row r="2126" ht="15" customHeight="1" x14ac:dyDescent="0.35"/>
    <row r="2127" ht="15" customHeight="1" x14ac:dyDescent="0.35"/>
    <row r="2128" ht="15" customHeight="1" x14ac:dyDescent="0.35"/>
    <row r="2129" ht="15" customHeight="1" x14ac:dyDescent="0.35"/>
    <row r="2130" ht="15" customHeight="1" x14ac:dyDescent="0.35"/>
    <row r="2131" ht="15" customHeight="1" x14ac:dyDescent="0.35"/>
    <row r="2132" ht="15" customHeight="1" x14ac:dyDescent="0.35"/>
    <row r="2133" ht="15" customHeight="1" x14ac:dyDescent="0.35"/>
    <row r="2134" ht="15" customHeight="1" x14ac:dyDescent="0.35"/>
    <row r="2135" ht="15" customHeight="1" x14ac:dyDescent="0.35"/>
    <row r="2136" ht="15" customHeight="1" x14ac:dyDescent="0.35"/>
    <row r="2137" ht="15" customHeight="1" x14ac:dyDescent="0.35"/>
    <row r="2138" ht="15" customHeight="1" x14ac:dyDescent="0.35"/>
    <row r="2139" ht="15" customHeight="1" x14ac:dyDescent="0.35"/>
    <row r="2140" ht="15" customHeight="1" x14ac:dyDescent="0.35"/>
    <row r="2141" ht="15" customHeight="1" x14ac:dyDescent="0.35"/>
    <row r="2142" ht="15" customHeight="1" x14ac:dyDescent="0.35"/>
    <row r="2143" ht="15" customHeight="1" x14ac:dyDescent="0.35"/>
    <row r="2144" ht="15" customHeight="1" x14ac:dyDescent="0.35"/>
    <row r="2145" ht="15" customHeight="1" x14ac:dyDescent="0.35"/>
    <row r="2146" ht="15" customHeight="1" x14ac:dyDescent="0.35"/>
    <row r="2147" ht="15" customHeight="1" x14ac:dyDescent="0.35"/>
    <row r="2148" ht="15" customHeight="1" x14ac:dyDescent="0.35"/>
    <row r="2149" ht="15" customHeight="1" x14ac:dyDescent="0.35"/>
    <row r="2150" ht="15" customHeight="1" x14ac:dyDescent="0.35"/>
    <row r="2151" ht="15" customHeight="1" x14ac:dyDescent="0.35"/>
    <row r="2152" ht="15" customHeight="1" x14ac:dyDescent="0.35"/>
    <row r="2153" ht="15" customHeight="1" x14ac:dyDescent="0.35"/>
    <row r="2154" ht="15" customHeight="1" x14ac:dyDescent="0.35"/>
    <row r="2155" ht="15" customHeight="1" x14ac:dyDescent="0.35"/>
    <row r="2156" ht="15" customHeight="1" x14ac:dyDescent="0.35"/>
    <row r="2157" ht="15" customHeight="1" x14ac:dyDescent="0.35"/>
    <row r="2158" ht="15" customHeight="1" x14ac:dyDescent="0.35"/>
    <row r="2159" ht="15" customHeight="1" x14ac:dyDescent="0.35"/>
    <row r="2160" ht="15" customHeight="1" x14ac:dyDescent="0.35"/>
    <row r="2161" ht="15" customHeight="1" x14ac:dyDescent="0.35"/>
    <row r="2162" ht="15" customHeight="1" x14ac:dyDescent="0.35"/>
    <row r="2163" ht="15" customHeight="1" x14ac:dyDescent="0.35"/>
    <row r="2164" ht="15" customHeight="1" x14ac:dyDescent="0.35"/>
    <row r="2165" ht="15" customHeight="1" x14ac:dyDescent="0.35"/>
    <row r="2166" ht="15" customHeight="1" x14ac:dyDescent="0.35"/>
    <row r="2167" ht="15" customHeight="1" x14ac:dyDescent="0.35"/>
    <row r="2168" ht="15" customHeight="1" x14ac:dyDescent="0.35"/>
    <row r="2169" ht="15" customHeight="1" x14ac:dyDescent="0.35"/>
    <row r="2170" ht="15" customHeight="1" x14ac:dyDescent="0.35"/>
    <row r="2171" ht="15" customHeight="1" x14ac:dyDescent="0.35"/>
    <row r="2172" ht="15" customHeight="1" x14ac:dyDescent="0.35"/>
    <row r="2173" ht="15" customHeight="1" x14ac:dyDescent="0.35"/>
    <row r="2174" ht="15" customHeight="1" x14ac:dyDescent="0.35"/>
    <row r="2175" ht="15" customHeight="1" x14ac:dyDescent="0.35"/>
    <row r="2176" ht="15" customHeight="1" x14ac:dyDescent="0.35"/>
    <row r="2177" ht="15" customHeight="1" x14ac:dyDescent="0.35"/>
    <row r="2178" ht="15" customHeight="1" x14ac:dyDescent="0.35"/>
    <row r="2179" ht="15" customHeight="1" x14ac:dyDescent="0.35"/>
    <row r="2180" ht="15" customHeight="1" x14ac:dyDescent="0.35"/>
    <row r="2181" ht="15" customHeight="1" x14ac:dyDescent="0.35"/>
    <row r="2182" ht="15" customHeight="1" x14ac:dyDescent="0.35"/>
    <row r="2183" ht="15" customHeight="1" x14ac:dyDescent="0.35"/>
    <row r="2184" ht="15" customHeight="1" x14ac:dyDescent="0.35"/>
    <row r="2185" ht="15" customHeight="1" x14ac:dyDescent="0.35"/>
    <row r="2186" ht="15" customHeight="1" x14ac:dyDescent="0.35"/>
    <row r="2187" ht="15" customHeight="1" x14ac:dyDescent="0.35"/>
    <row r="2188" ht="15" customHeight="1" x14ac:dyDescent="0.35"/>
    <row r="2189" ht="15" customHeight="1" x14ac:dyDescent="0.35"/>
    <row r="2190" ht="15" customHeight="1" x14ac:dyDescent="0.35"/>
    <row r="2191" ht="15" customHeight="1" x14ac:dyDescent="0.35"/>
    <row r="2192" ht="15" customHeight="1" x14ac:dyDescent="0.35"/>
    <row r="2193" ht="15" customHeight="1" x14ac:dyDescent="0.35"/>
    <row r="2194" ht="15" customHeight="1" x14ac:dyDescent="0.35"/>
    <row r="2195" ht="15" customHeight="1" x14ac:dyDescent="0.35"/>
    <row r="2196" ht="15" customHeight="1" x14ac:dyDescent="0.35"/>
    <row r="2197" ht="15" customHeight="1" x14ac:dyDescent="0.35"/>
    <row r="2198" ht="15" customHeight="1" x14ac:dyDescent="0.35"/>
    <row r="2199" ht="15" customHeight="1" x14ac:dyDescent="0.35"/>
    <row r="2200" ht="15" customHeight="1" x14ac:dyDescent="0.35"/>
    <row r="2201" ht="15" customHeight="1" x14ac:dyDescent="0.35"/>
    <row r="2202" ht="15" customHeight="1" x14ac:dyDescent="0.35"/>
    <row r="2203" ht="15" customHeight="1" x14ac:dyDescent="0.35"/>
    <row r="2204" ht="15" customHeight="1" x14ac:dyDescent="0.35"/>
    <row r="2205" ht="15" customHeight="1" x14ac:dyDescent="0.35"/>
    <row r="2206" ht="15" customHeight="1" x14ac:dyDescent="0.35"/>
    <row r="2207" ht="15" customHeight="1" x14ac:dyDescent="0.35"/>
    <row r="2208" ht="15" customHeight="1" x14ac:dyDescent="0.35"/>
    <row r="2209" ht="15" customHeight="1" x14ac:dyDescent="0.35"/>
    <row r="2210" ht="15" customHeight="1" x14ac:dyDescent="0.35"/>
    <row r="2211" ht="15" customHeight="1" x14ac:dyDescent="0.35"/>
    <row r="2212" ht="15" customHeight="1" x14ac:dyDescent="0.35"/>
    <row r="2213" ht="15" customHeight="1" x14ac:dyDescent="0.35"/>
    <row r="2214" ht="15" customHeight="1" x14ac:dyDescent="0.35"/>
    <row r="2215" ht="15" customHeight="1" x14ac:dyDescent="0.35"/>
    <row r="2216" ht="15" customHeight="1" x14ac:dyDescent="0.35"/>
    <row r="2217" ht="15" customHeight="1" x14ac:dyDescent="0.35"/>
    <row r="2218" ht="15" customHeight="1" x14ac:dyDescent="0.35"/>
    <row r="2219" ht="15" customHeight="1" x14ac:dyDescent="0.35"/>
    <row r="2220" ht="15" customHeight="1" x14ac:dyDescent="0.35"/>
    <row r="2221" ht="15" customHeight="1" x14ac:dyDescent="0.35"/>
    <row r="2222" ht="15" customHeight="1" x14ac:dyDescent="0.35"/>
    <row r="2223" ht="15" customHeight="1" x14ac:dyDescent="0.35"/>
    <row r="2224" ht="15" customHeight="1" x14ac:dyDescent="0.35"/>
    <row r="2225" ht="15" customHeight="1" x14ac:dyDescent="0.35"/>
    <row r="2226" ht="15" customHeight="1" x14ac:dyDescent="0.35"/>
    <row r="2227" ht="15" customHeight="1" x14ac:dyDescent="0.35"/>
    <row r="2228" ht="15" customHeight="1" x14ac:dyDescent="0.35"/>
    <row r="2229" ht="15" customHeight="1" x14ac:dyDescent="0.35"/>
    <row r="2230" ht="15" customHeight="1" x14ac:dyDescent="0.35"/>
    <row r="2231" ht="15" customHeight="1" x14ac:dyDescent="0.35"/>
    <row r="2232" ht="15" customHeight="1" x14ac:dyDescent="0.35"/>
    <row r="2233" ht="15" customHeight="1" x14ac:dyDescent="0.35"/>
    <row r="2234" ht="15" customHeight="1" x14ac:dyDescent="0.35"/>
    <row r="2235" ht="15" customHeight="1" x14ac:dyDescent="0.35"/>
    <row r="2236" ht="15" customHeight="1" x14ac:dyDescent="0.35"/>
    <row r="2237" ht="15" customHeight="1" x14ac:dyDescent="0.35"/>
    <row r="2238" ht="15" customHeight="1" x14ac:dyDescent="0.35"/>
    <row r="2239" ht="15" customHeight="1" x14ac:dyDescent="0.35"/>
    <row r="2240" ht="15" customHeight="1" x14ac:dyDescent="0.35"/>
    <row r="2241" ht="15" customHeight="1" x14ac:dyDescent="0.35"/>
    <row r="2242" ht="15" customHeight="1" x14ac:dyDescent="0.35"/>
    <row r="2243" ht="15" customHeight="1" x14ac:dyDescent="0.35"/>
    <row r="2244" ht="15" customHeight="1" x14ac:dyDescent="0.35"/>
    <row r="2245" ht="15" customHeight="1" x14ac:dyDescent="0.35"/>
    <row r="2246" ht="15" customHeight="1" x14ac:dyDescent="0.35"/>
    <row r="2247" ht="15" customHeight="1" x14ac:dyDescent="0.35"/>
    <row r="2248" ht="15" customHeight="1" x14ac:dyDescent="0.35"/>
    <row r="2249" ht="15" customHeight="1" x14ac:dyDescent="0.35"/>
    <row r="2250" ht="15" customHeight="1" x14ac:dyDescent="0.35"/>
    <row r="2251" ht="15" customHeight="1" x14ac:dyDescent="0.35"/>
    <row r="2252" ht="15" customHeight="1" x14ac:dyDescent="0.35"/>
    <row r="2253" ht="15" customHeight="1" x14ac:dyDescent="0.35"/>
    <row r="2254" ht="15" customHeight="1" x14ac:dyDescent="0.35"/>
    <row r="2255" ht="15" customHeight="1" x14ac:dyDescent="0.35"/>
    <row r="2256" ht="15" customHeight="1" x14ac:dyDescent="0.35"/>
    <row r="2257" ht="15" customHeight="1" x14ac:dyDescent="0.35"/>
    <row r="2258" ht="15" customHeight="1" x14ac:dyDescent="0.35"/>
    <row r="2259" ht="15" customHeight="1" x14ac:dyDescent="0.35"/>
    <row r="2260" ht="15" customHeight="1" x14ac:dyDescent="0.35"/>
    <row r="2261" ht="15" customHeight="1" x14ac:dyDescent="0.35"/>
    <row r="2262" ht="15" customHeight="1" x14ac:dyDescent="0.35"/>
    <row r="2263" ht="15" customHeight="1" x14ac:dyDescent="0.35"/>
    <row r="2264" ht="15" customHeight="1" x14ac:dyDescent="0.35"/>
    <row r="2265" ht="15" customHeight="1" x14ac:dyDescent="0.35"/>
    <row r="2266" ht="15" customHeight="1" x14ac:dyDescent="0.35"/>
    <row r="2267" ht="15" customHeight="1" x14ac:dyDescent="0.35"/>
    <row r="2268" ht="15" customHeight="1" x14ac:dyDescent="0.35"/>
    <row r="2269" ht="15" customHeight="1" x14ac:dyDescent="0.35"/>
    <row r="2270" ht="15" customHeight="1" x14ac:dyDescent="0.35"/>
    <row r="2271" ht="15" customHeight="1" x14ac:dyDescent="0.35"/>
    <row r="2272" ht="15" customHeight="1" x14ac:dyDescent="0.35"/>
    <row r="2273" ht="15" customHeight="1" x14ac:dyDescent="0.35"/>
    <row r="2274" ht="15" customHeight="1" x14ac:dyDescent="0.35"/>
    <row r="2275" ht="15" customHeight="1" x14ac:dyDescent="0.35"/>
    <row r="2276" ht="15" customHeight="1" x14ac:dyDescent="0.35"/>
    <row r="2277" ht="15" customHeight="1" x14ac:dyDescent="0.35"/>
    <row r="2278" ht="15" customHeight="1" x14ac:dyDescent="0.35"/>
    <row r="2279" ht="15" customHeight="1" x14ac:dyDescent="0.35"/>
    <row r="2280" ht="15" customHeight="1" x14ac:dyDescent="0.35"/>
    <row r="2281" ht="15" customHeight="1" x14ac:dyDescent="0.35"/>
    <row r="2282" ht="15" customHeight="1" x14ac:dyDescent="0.35"/>
    <row r="2283" ht="15" customHeight="1" x14ac:dyDescent="0.35"/>
    <row r="2284" ht="15" customHeight="1" x14ac:dyDescent="0.35"/>
    <row r="2285" ht="15" customHeight="1" x14ac:dyDescent="0.35"/>
    <row r="2286" ht="15" customHeight="1" x14ac:dyDescent="0.35"/>
    <row r="2287" ht="15" customHeight="1" x14ac:dyDescent="0.35"/>
    <row r="2288" ht="15" customHeight="1" x14ac:dyDescent="0.35"/>
    <row r="2289" ht="15" customHeight="1" x14ac:dyDescent="0.35"/>
    <row r="2290" ht="15" customHeight="1" x14ac:dyDescent="0.35"/>
    <row r="2291" ht="15" customHeight="1" x14ac:dyDescent="0.35"/>
    <row r="2292" ht="15" customHeight="1" x14ac:dyDescent="0.35"/>
    <row r="2293" ht="15" customHeight="1" x14ac:dyDescent="0.35"/>
    <row r="2294" ht="15" customHeight="1" x14ac:dyDescent="0.35"/>
    <row r="2295" ht="15" customHeight="1" x14ac:dyDescent="0.35"/>
    <row r="2296" ht="15" customHeight="1" x14ac:dyDescent="0.35"/>
    <row r="2297" ht="15" customHeight="1" x14ac:dyDescent="0.35"/>
    <row r="2298" ht="15" customHeight="1" x14ac:dyDescent="0.35"/>
    <row r="2299" ht="15" customHeight="1" x14ac:dyDescent="0.35"/>
    <row r="2300" ht="15" customHeight="1" x14ac:dyDescent="0.35"/>
    <row r="2301" ht="15" customHeight="1" x14ac:dyDescent="0.35"/>
    <row r="2302" ht="15" customHeight="1" x14ac:dyDescent="0.35"/>
    <row r="2303" ht="15" customHeight="1" x14ac:dyDescent="0.35"/>
    <row r="2304" ht="15" customHeight="1" x14ac:dyDescent="0.35"/>
    <row r="2305" ht="15" customHeight="1" x14ac:dyDescent="0.35"/>
    <row r="2306" ht="15" customHeight="1" x14ac:dyDescent="0.35"/>
    <row r="2307" ht="15" customHeight="1" x14ac:dyDescent="0.35"/>
    <row r="2308" ht="15" customHeight="1" x14ac:dyDescent="0.35"/>
    <row r="2309" ht="15" customHeight="1" x14ac:dyDescent="0.35"/>
    <row r="2310" ht="15" customHeight="1" x14ac:dyDescent="0.35"/>
    <row r="2311" ht="15" customHeight="1" x14ac:dyDescent="0.35"/>
    <row r="2312" ht="15" customHeight="1" x14ac:dyDescent="0.35"/>
    <row r="2313" ht="15" customHeight="1" x14ac:dyDescent="0.35"/>
    <row r="2314" ht="15" customHeight="1" x14ac:dyDescent="0.35"/>
    <row r="2315" ht="15" customHeight="1" x14ac:dyDescent="0.35"/>
    <row r="2316" ht="15" customHeight="1" x14ac:dyDescent="0.35"/>
    <row r="2317" ht="15" customHeight="1" x14ac:dyDescent="0.35"/>
    <row r="2318" ht="15" customHeight="1" x14ac:dyDescent="0.35"/>
    <row r="2319" ht="15" customHeight="1" x14ac:dyDescent="0.35"/>
    <row r="2320" ht="15" customHeight="1" x14ac:dyDescent="0.35"/>
    <row r="2321" ht="15" customHeight="1" x14ac:dyDescent="0.35"/>
    <row r="2322" ht="15" customHeight="1" x14ac:dyDescent="0.35"/>
    <row r="2323" ht="15" customHeight="1" x14ac:dyDescent="0.35"/>
    <row r="2324" ht="15" customHeight="1" x14ac:dyDescent="0.35"/>
    <row r="2325" ht="15" customHeight="1" x14ac:dyDescent="0.35"/>
    <row r="2326" ht="15" customHeight="1" x14ac:dyDescent="0.35"/>
    <row r="2327" ht="15" customHeight="1" x14ac:dyDescent="0.35"/>
    <row r="2328" ht="15" customHeight="1" x14ac:dyDescent="0.35"/>
    <row r="2329" ht="15" customHeight="1" x14ac:dyDescent="0.35"/>
    <row r="2330" ht="15" customHeight="1" x14ac:dyDescent="0.35"/>
    <row r="2331" ht="15" customHeight="1" x14ac:dyDescent="0.35"/>
    <row r="2332" ht="15" customHeight="1" x14ac:dyDescent="0.35"/>
    <row r="2333" ht="15" customHeight="1" x14ac:dyDescent="0.35"/>
    <row r="2334" ht="15" customHeight="1" x14ac:dyDescent="0.35"/>
    <row r="2335" ht="15" customHeight="1" x14ac:dyDescent="0.35"/>
    <row r="2336" ht="15" customHeight="1" x14ac:dyDescent="0.35"/>
    <row r="2337" ht="15" customHeight="1" x14ac:dyDescent="0.35"/>
    <row r="2338" ht="15" customHeight="1" x14ac:dyDescent="0.35"/>
    <row r="2339" ht="15" customHeight="1" x14ac:dyDescent="0.35"/>
    <row r="2340" ht="15" customHeight="1" x14ac:dyDescent="0.35"/>
    <row r="2341" ht="15" customHeight="1" x14ac:dyDescent="0.35"/>
    <row r="2342" ht="15" customHeight="1" x14ac:dyDescent="0.35"/>
    <row r="2343" ht="15" customHeight="1" x14ac:dyDescent="0.35"/>
    <row r="2344" ht="15" customHeight="1" x14ac:dyDescent="0.35"/>
    <row r="2345" ht="15" customHeight="1" x14ac:dyDescent="0.35"/>
    <row r="2346" ht="15" customHeight="1" x14ac:dyDescent="0.35"/>
    <row r="2347" ht="15" customHeight="1" x14ac:dyDescent="0.35"/>
    <row r="2348" ht="15" customHeight="1" x14ac:dyDescent="0.35"/>
    <row r="2349" ht="15" customHeight="1" x14ac:dyDescent="0.35"/>
    <row r="2350" ht="15" customHeight="1" x14ac:dyDescent="0.35"/>
    <row r="2351" ht="15" customHeight="1" x14ac:dyDescent="0.35"/>
    <row r="2352" ht="15" customHeight="1" x14ac:dyDescent="0.35"/>
    <row r="2353" ht="15" customHeight="1" x14ac:dyDescent="0.35"/>
    <row r="2354" ht="15" customHeight="1" x14ac:dyDescent="0.35"/>
    <row r="2355" ht="15" customHeight="1" x14ac:dyDescent="0.35"/>
    <row r="2356" ht="15" customHeight="1" x14ac:dyDescent="0.35"/>
    <row r="2357" ht="15" customHeight="1" x14ac:dyDescent="0.35"/>
    <row r="2358" ht="15" customHeight="1" x14ac:dyDescent="0.35"/>
    <row r="2359" ht="15" customHeight="1" x14ac:dyDescent="0.35"/>
    <row r="2360" ht="15" customHeight="1" x14ac:dyDescent="0.35"/>
    <row r="2361" ht="15" customHeight="1" x14ac:dyDescent="0.35"/>
    <row r="2362" ht="15" customHeight="1" x14ac:dyDescent="0.35"/>
    <row r="2363" ht="15" customHeight="1" x14ac:dyDescent="0.35"/>
    <row r="2364" ht="15" customHeight="1" x14ac:dyDescent="0.35"/>
    <row r="2365" ht="15" customHeight="1" x14ac:dyDescent="0.35"/>
    <row r="2366" ht="15" customHeight="1" x14ac:dyDescent="0.35"/>
    <row r="2367" ht="15" customHeight="1" x14ac:dyDescent="0.35"/>
    <row r="2368" ht="15" customHeight="1" x14ac:dyDescent="0.35"/>
    <row r="2369" ht="15" customHeight="1" x14ac:dyDescent="0.35"/>
    <row r="2370" ht="15" customHeight="1" x14ac:dyDescent="0.35"/>
    <row r="2371" ht="15" customHeight="1" x14ac:dyDescent="0.35"/>
    <row r="2372" ht="15" customHeight="1" x14ac:dyDescent="0.35"/>
    <row r="2373" ht="15" customHeight="1" x14ac:dyDescent="0.35"/>
    <row r="2374" ht="15" customHeight="1" x14ac:dyDescent="0.35"/>
    <row r="2375" ht="15" customHeight="1" x14ac:dyDescent="0.35"/>
    <row r="2376" ht="15" customHeight="1" x14ac:dyDescent="0.35"/>
    <row r="2377" ht="15" customHeight="1" x14ac:dyDescent="0.35"/>
    <row r="2378" ht="15" customHeight="1" x14ac:dyDescent="0.35"/>
    <row r="2379" ht="15" customHeight="1" x14ac:dyDescent="0.35"/>
    <row r="2380" ht="15" customHeight="1" x14ac:dyDescent="0.35"/>
    <row r="2381" ht="15" customHeight="1" x14ac:dyDescent="0.35"/>
    <row r="2382" ht="15" customHeight="1" x14ac:dyDescent="0.35"/>
    <row r="2383" ht="15" customHeight="1" x14ac:dyDescent="0.35"/>
    <row r="2384" ht="15" customHeight="1" x14ac:dyDescent="0.35"/>
    <row r="2385" ht="15" customHeight="1" x14ac:dyDescent="0.35"/>
    <row r="2386" ht="15" customHeight="1" x14ac:dyDescent="0.35"/>
    <row r="2387" ht="15" customHeight="1" x14ac:dyDescent="0.35"/>
    <row r="2388" ht="15" customHeight="1" x14ac:dyDescent="0.35"/>
    <row r="2389" ht="15" customHeight="1" x14ac:dyDescent="0.35"/>
    <row r="2390" ht="15" customHeight="1" x14ac:dyDescent="0.35"/>
    <row r="2391" ht="15" customHeight="1" x14ac:dyDescent="0.35"/>
    <row r="2392" ht="15" customHeight="1" x14ac:dyDescent="0.35"/>
    <row r="2393" ht="15" customHeight="1" x14ac:dyDescent="0.35"/>
    <row r="2394" ht="15" customHeight="1" x14ac:dyDescent="0.35"/>
    <row r="2395" ht="15" customHeight="1" x14ac:dyDescent="0.35"/>
    <row r="2396" ht="15" customHeight="1" x14ac:dyDescent="0.35"/>
    <row r="2397" ht="15" customHeight="1" x14ac:dyDescent="0.35"/>
    <row r="2398" ht="15" customHeight="1" x14ac:dyDescent="0.35"/>
    <row r="2399" ht="15" customHeight="1" x14ac:dyDescent="0.35"/>
    <row r="2400" ht="15" customHeight="1" x14ac:dyDescent="0.35"/>
    <row r="2401" ht="15" customHeight="1" x14ac:dyDescent="0.35"/>
    <row r="2402" ht="15" customHeight="1" x14ac:dyDescent="0.35"/>
    <row r="2403" ht="15" customHeight="1" x14ac:dyDescent="0.35"/>
    <row r="2404" ht="15" customHeight="1" x14ac:dyDescent="0.35"/>
    <row r="2405" ht="15" customHeight="1" x14ac:dyDescent="0.35"/>
    <row r="2406" ht="15" customHeight="1" x14ac:dyDescent="0.35"/>
    <row r="2407" ht="15" customHeight="1" x14ac:dyDescent="0.35"/>
    <row r="2408" ht="15" customHeight="1" x14ac:dyDescent="0.35"/>
    <row r="2409" ht="15" customHeight="1" x14ac:dyDescent="0.35"/>
    <row r="2410" ht="15" customHeight="1" x14ac:dyDescent="0.35"/>
    <row r="2411" ht="15" customHeight="1" x14ac:dyDescent="0.35"/>
    <row r="2412" ht="15" customHeight="1" x14ac:dyDescent="0.35"/>
    <row r="2413" ht="15" customHeight="1" x14ac:dyDescent="0.35"/>
    <row r="2414" ht="15" customHeight="1" x14ac:dyDescent="0.35"/>
    <row r="2415" ht="15" customHeight="1" x14ac:dyDescent="0.35"/>
    <row r="2416" ht="15" customHeight="1" x14ac:dyDescent="0.35"/>
    <row r="2417" ht="15" customHeight="1" x14ac:dyDescent="0.35"/>
    <row r="2418" ht="15" customHeight="1" x14ac:dyDescent="0.35"/>
    <row r="2419" ht="15" customHeight="1" x14ac:dyDescent="0.35"/>
    <row r="2420" ht="15" customHeight="1" x14ac:dyDescent="0.35"/>
    <row r="2421" ht="15" customHeight="1" x14ac:dyDescent="0.35"/>
    <row r="2422" ht="15" customHeight="1" x14ac:dyDescent="0.35"/>
    <row r="2423" ht="15" customHeight="1" x14ac:dyDescent="0.35"/>
    <row r="2424" ht="15" customHeight="1" x14ac:dyDescent="0.35"/>
    <row r="2425" ht="15" customHeight="1" x14ac:dyDescent="0.35"/>
    <row r="2426" ht="15" customHeight="1" x14ac:dyDescent="0.35"/>
    <row r="2427" ht="15" customHeight="1" x14ac:dyDescent="0.35"/>
    <row r="2428" ht="15" customHeight="1" x14ac:dyDescent="0.35"/>
    <row r="2429" ht="15" customHeight="1" x14ac:dyDescent="0.35"/>
    <row r="2430" ht="15" customHeight="1" x14ac:dyDescent="0.35"/>
    <row r="2431" ht="15" customHeight="1" x14ac:dyDescent="0.35"/>
    <row r="2432" ht="15" customHeight="1" x14ac:dyDescent="0.35"/>
    <row r="2433" ht="15" customHeight="1" x14ac:dyDescent="0.35"/>
    <row r="2434" ht="15" customHeight="1" x14ac:dyDescent="0.35"/>
    <row r="2435" ht="15" customHeight="1" x14ac:dyDescent="0.35"/>
    <row r="2436" ht="15" customHeight="1" x14ac:dyDescent="0.35"/>
    <row r="2437" ht="15" customHeight="1" x14ac:dyDescent="0.35"/>
    <row r="2438" ht="15" customHeight="1" x14ac:dyDescent="0.35"/>
    <row r="2439" ht="15" customHeight="1" x14ac:dyDescent="0.35"/>
    <row r="2440" ht="15" customHeight="1" x14ac:dyDescent="0.35"/>
    <row r="2441" ht="15" customHeight="1" x14ac:dyDescent="0.35"/>
    <row r="2442" ht="15" customHeight="1" x14ac:dyDescent="0.35"/>
    <row r="2443" ht="15" customHeight="1" x14ac:dyDescent="0.35"/>
    <row r="2444" ht="15" customHeight="1" x14ac:dyDescent="0.35"/>
    <row r="2445" ht="15" customHeight="1" x14ac:dyDescent="0.35"/>
    <row r="2446" ht="15" customHeight="1" x14ac:dyDescent="0.35"/>
    <row r="2447" ht="15" customHeight="1" x14ac:dyDescent="0.35"/>
    <row r="2448" ht="15" customHeight="1" x14ac:dyDescent="0.35"/>
    <row r="2449" ht="15" customHeight="1" x14ac:dyDescent="0.35"/>
    <row r="2450" ht="15" customHeight="1" x14ac:dyDescent="0.35"/>
    <row r="2451" ht="15" customHeight="1" x14ac:dyDescent="0.35"/>
    <row r="2452" ht="15" customHeight="1" x14ac:dyDescent="0.35"/>
    <row r="2453" ht="15" customHeight="1" x14ac:dyDescent="0.35"/>
    <row r="2454" ht="15" customHeight="1" x14ac:dyDescent="0.35"/>
    <row r="2455" ht="15" customHeight="1" x14ac:dyDescent="0.35"/>
    <row r="2456" ht="15" customHeight="1" x14ac:dyDescent="0.35"/>
    <row r="2457" ht="15" customHeight="1" x14ac:dyDescent="0.35"/>
    <row r="2458" ht="15" customHeight="1" x14ac:dyDescent="0.35"/>
    <row r="2459" ht="15" customHeight="1" x14ac:dyDescent="0.35"/>
    <row r="2460" ht="15" customHeight="1" x14ac:dyDescent="0.35"/>
    <row r="2461" ht="15" customHeight="1" x14ac:dyDescent="0.35"/>
    <row r="2462" ht="15" customHeight="1" x14ac:dyDescent="0.35"/>
    <row r="2463" ht="15" customHeight="1" x14ac:dyDescent="0.35"/>
    <row r="2464" ht="15" customHeight="1" x14ac:dyDescent="0.35"/>
    <row r="2465" ht="15" customHeight="1" x14ac:dyDescent="0.35"/>
    <row r="2466" ht="15" customHeight="1" x14ac:dyDescent="0.35"/>
    <row r="2467" ht="15" customHeight="1" x14ac:dyDescent="0.35"/>
    <row r="2468" ht="15" customHeight="1" x14ac:dyDescent="0.35"/>
    <row r="2469" ht="15" customHeight="1" x14ac:dyDescent="0.35"/>
    <row r="2470" ht="15" customHeight="1" x14ac:dyDescent="0.35"/>
    <row r="2471" ht="15" customHeight="1" x14ac:dyDescent="0.35"/>
    <row r="2472" ht="15" customHeight="1" x14ac:dyDescent="0.35"/>
    <row r="2473" ht="15" customHeight="1" x14ac:dyDescent="0.35"/>
    <row r="2474" ht="15" customHeight="1" x14ac:dyDescent="0.35"/>
    <row r="2475" ht="15" customHeight="1" x14ac:dyDescent="0.35"/>
    <row r="2476" ht="15" customHeight="1" x14ac:dyDescent="0.35"/>
    <row r="2477" ht="15" customHeight="1" x14ac:dyDescent="0.35"/>
    <row r="2478" ht="15" customHeight="1" x14ac:dyDescent="0.35"/>
    <row r="2479" ht="15" customHeight="1" x14ac:dyDescent="0.35"/>
    <row r="2480" ht="15" customHeight="1" x14ac:dyDescent="0.35"/>
    <row r="2481" ht="15" customHeight="1" x14ac:dyDescent="0.35"/>
    <row r="2482" ht="15" customHeight="1" x14ac:dyDescent="0.35"/>
    <row r="2483" ht="15" customHeight="1" x14ac:dyDescent="0.35"/>
    <row r="2484" ht="15" customHeight="1" x14ac:dyDescent="0.35"/>
    <row r="2485" ht="15" customHeight="1" x14ac:dyDescent="0.35"/>
    <row r="2486" ht="15" customHeight="1" x14ac:dyDescent="0.35"/>
    <row r="2487" ht="15" customHeight="1" x14ac:dyDescent="0.35"/>
    <row r="2488" ht="15" customHeight="1" x14ac:dyDescent="0.35"/>
    <row r="2489" ht="15" customHeight="1" x14ac:dyDescent="0.35"/>
    <row r="2490" ht="15" customHeight="1" x14ac:dyDescent="0.35"/>
    <row r="2491" ht="15" customHeight="1" x14ac:dyDescent="0.35"/>
    <row r="2492" ht="15" customHeight="1" x14ac:dyDescent="0.35"/>
    <row r="2493" ht="15" customHeight="1" x14ac:dyDescent="0.35"/>
    <row r="2494" ht="15" customHeight="1" x14ac:dyDescent="0.35"/>
    <row r="2495" ht="15" customHeight="1" x14ac:dyDescent="0.35"/>
    <row r="2496" ht="15" customHeight="1" x14ac:dyDescent="0.35"/>
    <row r="2497" ht="15" customHeight="1" x14ac:dyDescent="0.35"/>
    <row r="2498" ht="15" customHeight="1" x14ac:dyDescent="0.35"/>
    <row r="2499" ht="15" customHeight="1" x14ac:dyDescent="0.35"/>
    <row r="2500" ht="15" customHeight="1" x14ac:dyDescent="0.35"/>
    <row r="2501" ht="15" customHeight="1" x14ac:dyDescent="0.35"/>
    <row r="2502" ht="15" customHeight="1" x14ac:dyDescent="0.35"/>
    <row r="2503" ht="15" customHeight="1" x14ac:dyDescent="0.35"/>
    <row r="2504" ht="15" customHeight="1" x14ac:dyDescent="0.35"/>
    <row r="2505" ht="15" customHeight="1" x14ac:dyDescent="0.35"/>
    <row r="2506" ht="15" customHeight="1" x14ac:dyDescent="0.35"/>
    <row r="2507" ht="15" customHeight="1" x14ac:dyDescent="0.35"/>
    <row r="2508" ht="15" customHeight="1" x14ac:dyDescent="0.35"/>
    <row r="2509" ht="15" customHeight="1" x14ac:dyDescent="0.35"/>
    <row r="2510" ht="15" customHeight="1" x14ac:dyDescent="0.35"/>
    <row r="2511" ht="15" customHeight="1" x14ac:dyDescent="0.35"/>
    <row r="2512" ht="15" customHeight="1" x14ac:dyDescent="0.35"/>
    <row r="2513" ht="15" customHeight="1" x14ac:dyDescent="0.35"/>
    <row r="2514" ht="15" customHeight="1" x14ac:dyDescent="0.35"/>
    <row r="2515" ht="15" customHeight="1" x14ac:dyDescent="0.35"/>
    <row r="2516" ht="15" customHeight="1" x14ac:dyDescent="0.35"/>
    <row r="2517" ht="15" customHeight="1" x14ac:dyDescent="0.35"/>
    <row r="2518" ht="15" customHeight="1" x14ac:dyDescent="0.35"/>
    <row r="2519" ht="15" customHeight="1" x14ac:dyDescent="0.35"/>
    <row r="2520" ht="15" customHeight="1" x14ac:dyDescent="0.35"/>
    <row r="2521" ht="15" customHeight="1" x14ac:dyDescent="0.35"/>
    <row r="2522" ht="15" customHeight="1" x14ac:dyDescent="0.35"/>
    <row r="2523" ht="15" customHeight="1" x14ac:dyDescent="0.35"/>
    <row r="2524" ht="15" customHeight="1" x14ac:dyDescent="0.35"/>
    <row r="2525" ht="15" customHeight="1" x14ac:dyDescent="0.35"/>
    <row r="2526" ht="15" customHeight="1" x14ac:dyDescent="0.35"/>
    <row r="2527" ht="15" customHeight="1" x14ac:dyDescent="0.35"/>
    <row r="2528" ht="15" customHeight="1" x14ac:dyDescent="0.35"/>
    <row r="2529" ht="15" customHeight="1" x14ac:dyDescent="0.35"/>
    <row r="2530" ht="15" customHeight="1" x14ac:dyDescent="0.35"/>
    <row r="2531" ht="15" customHeight="1" x14ac:dyDescent="0.35"/>
    <row r="2532" ht="15" customHeight="1" x14ac:dyDescent="0.35"/>
    <row r="2533" ht="15" customHeight="1" x14ac:dyDescent="0.35"/>
    <row r="2534" ht="15" customHeight="1" x14ac:dyDescent="0.35"/>
    <row r="2535" ht="15" customHeight="1" x14ac:dyDescent="0.35"/>
    <row r="2536" ht="15" customHeight="1" x14ac:dyDescent="0.35"/>
    <row r="2537" ht="15" customHeight="1" x14ac:dyDescent="0.35"/>
    <row r="2538" ht="15" customHeight="1" x14ac:dyDescent="0.35"/>
    <row r="2539" ht="15" customHeight="1" x14ac:dyDescent="0.35"/>
    <row r="2540" ht="15" customHeight="1" x14ac:dyDescent="0.35"/>
    <row r="2541" ht="15" customHeight="1" x14ac:dyDescent="0.35"/>
    <row r="2542" ht="15" customHeight="1" x14ac:dyDescent="0.35"/>
    <row r="2543" ht="15" customHeight="1" x14ac:dyDescent="0.35"/>
    <row r="2544" ht="15" customHeight="1" x14ac:dyDescent="0.35"/>
    <row r="2545" ht="15" customHeight="1" x14ac:dyDescent="0.35"/>
    <row r="2546" ht="15" customHeight="1" x14ac:dyDescent="0.35"/>
    <row r="2547" ht="15" customHeight="1" x14ac:dyDescent="0.35"/>
    <row r="2548" ht="15" customHeight="1" x14ac:dyDescent="0.35"/>
    <row r="2549" ht="15" customHeight="1" x14ac:dyDescent="0.35"/>
    <row r="2550" ht="15" customHeight="1" x14ac:dyDescent="0.35"/>
    <row r="2551" ht="15" customHeight="1" x14ac:dyDescent="0.35"/>
    <row r="2552" ht="15" customHeight="1" x14ac:dyDescent="0.35"/>
    <row r="2553" ht="15" customHeight="1" x14ac:dyDescent="0.35"/>
    <row r="2554" ht="15" customHeight="1" x14ac:dyDescent="0.35"/>
    <row r="2555" ht="15" customHeight="1" x14ac:dyDescent="0.35"/>
    <row r="2556" ht="15" customHeight="1" x14ac:dyDescent="0.35"/>
    <row r="2557" ht="15" customHeight="1" x14ac:dyDescent="0.35"/>
    <row r="2558" ht="15" customHeight="1" x14ac:dyDescent="0.35"/>
    <row r="2559" ht="15" customHeight="1" x14ac:dyDescent="0.35"/>
    <row r="2560" ht="15" customHeight="1" x14ac:dyDescent="0.35"/>
    <row r="2561" ht="15" customHeight="1" x14ac:dyDescent="0.35"/>
    <row r="2562" ht="15" customHeight="1" x14ac:dyDescent="0.35"/>
    <row r="2563" ht="15" customHeight="1" x14ac:dyDescent="0.35"/>
    <row r="2564" ht="15" customHeight="1" x14ac:dyDescent="0.35"/>
    <row r="2565" ht="15" customHeight="1" x14ac:dyDescent="0.35"/>
    <row r="2566" ht="15" customHeight="1" x14ac:dyDescent="0.35"/>
    <row r="2567" ht="15" customHeight="1" x14ac:dyDescent="0.35"/>
    <row r="2568" ht="15" customHeight="1" x14ac:dyDescent="0.35"/>
    <row r="2569" ht="15" customHeight="1" x14ac:dyDescent="0.35"/>
    <row r="2570" ht="15" customHeight="1" x14ac:dyDescent="0.35"/>
    <row r="2571" ht="15" customHeight="1" x14ac:dyDescent="0.35"/>
    <row r="2572" ht="15" customHeight="1" x14ac:dyDescent="0.35"/>
    <row r="2573" ht="15" customHeight="1" x14ac:dyDescent="0.35"/>
    <row r="2574" ht="15" customHeight="1" x14ac:dyDescent="0.35"/>
    <row r="2575" ht="15" customHeight="1" x14ac:dyDescent="0.35"/>
    <row r="2576" ht="15" customHeight="1" x14ac:dyDescent="0.35"/>
    <row r="2577" ht="15" customHeight="1" x14ac:dyDescent="0.35"/>
    <row r="2578" ht="15" customHeight="1" x14ac:dyDescent="0.35"/>
    <row r="2579" ht="15" customHeight="1" x14ac:dyDescent="0.35"/>
    <row r="2580" ht="15" customHeight="1" x14ac:dyDescent="0.35"/>
    <row r="2581" ht="15" customHeight="1" x14ac:dyDescent="0.35"/>
    <row r="2582" ht="15" customHeight="1" x14ac:dyDescent="0.35"/>
    <row r="2583" ht="15" customHeight="1" x14ac:dyDescent="0.35"/>
    <row r="2584" ht="15" customHeight="1" x14ac:dyDescent="0.35"/>
    <row r="2585" ht="15" customHeight="1" x14ac:dyDescent="0.35"/>
    <row r="2586" ht="15" customHeight="1" x14ac:dyDescent="0.35"/>
    <row r="2587" ht="15" customHeight="1" x14ac:dyDescent="0.35"/>
    <row r="2588" ht="15" customHeight="1" x14ac:dyDescent="0.35"/>
    <row r="2589" ht="15" customHeight="1" x14ac:dyDescent="0.35"/>
    <row r="2590" ht="15" customHeight="1" x14ac:dyDescent="0.35"/>
    <row r="2591" ht="15" customHeight="1" x14ac:dyDescent="0.35"/>
    <row r="2592" ht="15" customHeight="1" x14ac:dyDescent="0.35"/>
    <row r="2593" ht="15" customHeight="1" x14ac:dyDescent="0.35"/>
    <row r="2594" ht="15" customHeight="1" x14ac:dyDescent="0.35"/>
    <row r="2595" ht="15" customHeight="1" x14ac:dyDescent="0.35"/>
    <row r="2596" ht="15" customHeight="1" x14ac:dyDescent="0.35"/>
    <row r="2597" ht="15" customHeight="1" x14ac:dyDescent="0.35"/>
    <row r="2598" ht="15" customHeight="1" x14ac:dyDescent="0.35"/>
    <row r="2599" ht="15" customHeight="1" x14ac:dyDescent="0.35"/>
    <row r="2600" ht="15" customHeight="1" x14ac:dyDescent="0.35"/>
    <row r="2601" ht="15" customHeight="1" x14ac:dyDescent="0.35"/>
    <row r="2602" ht="15" customHeight="1" x14ac:dyDescent="0.35"/>
    <row r="2603" ht="15" customHeight="1" x14ac:dyDescent="0.35"/>
    <row r="2604" ht="15" customHeight="1" x14ac:dyDescent="0.35"/>
    <row r="2605" ht="15" customHeight="1" x14ac:dyDescent="0.35"/>
    <row r="2606" ht="15" customHeight="1" x14ac:dyDescent="0.35"/>
    <row r="2607" ht="15" customHeight="1" x14ac:dyDescent="0.35"/>
    <row r="2608" ht="15" customHeight="1" x14ac:dyDescent="0.35"/>
    <row r="2609" ht="15" customHeight="1" x14ac:dyDescent="0.35"/>
    <row r="2610" ht="15" customHeight="1" x14ac:dyDescent="0.35"/>
    <row r="2611" ht="15" customHeight="1" x14ac:dyDescent="0.35"/>
    <row r="2612" ht="15" customHeight="1" x14ac:dyDescent="0.35"/>
    <row r="2613" ht="15" customHeight="1" x14ac:dyDescent="0.35"/>
    <row r="2614" ht="15" customHeight="1" x14ac:dyDescent="0.35"/>
    <row r="2615" ht="15" customHeight="1" x14ac:dyDescent="0.35"/>
    <row r="2616" ht="15" customHeight="1" x14ac:dyDescent="0.35"/>
    <row r="2617" ht="15" customHeight="1" x14ac:dyDescent="0.35"/>
    <row r="2618" ht="15" customHeight="1" x14ac:dyDescent="0.35"/>
    <row r="2619" ht="15" customHeight="1" x14ac:dyDescent="0.35"/>
    <row r="2620" ht="15" customHeight="1" x14ac:dyDescent="0.35"/>
    <row r="2621" ht="15" customHeight="1" x14ac:dyDescent="0.35"/>
    <row r="2622" ht="15" customHeight="1" x14ac:dyDescent="0.35"/>
    <row r="2623" ht="15" customHeight="1" x14ac:dyDescent="0.35"/>
    <row r="2624" ht="15" customHeight="1" x14ac:dyDescent="0.35"/>
    <row r="2625" ht="15" customHeight="1" x14ac:dyDescent="0.35"/>
    <row r="2626" ht="15" customHeight="1" x14ac:dyDescent="0.35"/>
    <row r="2627" ht="15" customHeight="1" x14ac:dyDescent="0.35"/>
    <row r="2628" ht="15" customHeight="1" x14ac:dyDescent="0.35"/>
    <row r="2629" ht="15" customHeight="1" x14ac:dyDescent="0.35"/>
    <row r="2630" ht="15" customHeight="1" x14ac:dyDescent="0.35"/>
    <row r="2631" ht="15" customHeight="1" x14ac:dyDescent="0.35"/>
    <row r="2632" ht="15" customHeight="1" x14ac:dyDescent="0.35"/>
    <row r="2633" ht="15" customHeight="1" x14ac:dyDescent="0.35"/>
    <row r="2634" ht="15" customHeight="1" x14ac:dyDescent="0.35"/>
    <row r="2635" ht="15" customHeight="1" x14ac:dyDescent="0.35"/>
    <row r="2636" ht="15" customHeight="1" x14ac:dyDescent="0.35"/>
    <row r="2637" ht="15" customHeight="1" x14ac:dyDescent="0.35"/>
    <row r="2638" ht="15" customHeight="1" x14ac:dyDescent="0.35"/>
    <row r="2639" ht="15" customHeight="1" x14ac:dyDescent="0.35"/>
    <row r="2640" ht="15" customHeight="1" x14ac:dyDescent="0.35"/>
    <row r="2641" ht="15" customHeight="1" x14ac:dyDescent="0.35"/>
    <row r="2642" ht="15" customHeight="1" x14ac:dyDescent="0.35"/>
    <row r="2643" ht="15" customHeight="1" x14ac:dyDescent="0.35"/>
    <row r="2644" ht="15" customHeight="1" x14ac:dyDescent="0.35"/>
    <row r="2645" ht="15" customHeight="1" x14ac:dyDescent="0.35"/>
    <row r="2646" ht="15" customHeight="1" x14ac:dyDescent="0.35"/>
    <row r="2647" ht="15" customHeight="1" x14ac:dyDescent="0.35"/>
    <row r="2648" ht="15" customHeight="1" x14ac:dyDescent="0.35"/>
    <row r="2649" ht="15" customHeight="1" x14ac:dyDescent="0.35"/>
    <row r="2650" ht="15" customHeight="1" x14ac:dyDescent="0.35"/>
    <row r="2651" ht="15" customHeight="1" x14ac:dyDescent="0.35"/>
    <row r="2652" ht="15" customHeight="1" x14ac:dyDescent="0.35"/>
    <row r="2653" ht="15" customHeight="1" x14ac:dyDescent="0.35"/>
    <row r="2654" ht="15" customHeight="1" x14ac:dyDescent="0.35"/>
    <row r="2655" ht="15" customHeight="1" x14ac:dyDescent="0.35"/>
    <row r="2656" ht="15" customHeight="1" x14ac:dyDescent="0.35"/>
    <row r="2657" ht="15" customHeight="1" x14ac:dyDescent="0.35"/>
    <row r="2658" ht="15" customHeight="1" x14ac:dyDescent="0.35"/>
    <row r="2659" ht="15" customHeight="1" x14ac:dyDescent="0.35"/>
    <row r="2660" ht="15" customHeight="1" x14ac:dyDescent="0.35"/>
    <row r="2661" ht="15" customHeight="1" x14ac:dyDescent="0.35"/>
    <row r="2662" ht="15" customHeight="1" x14ac:dyDescent="0.35"/>
    <row r="2663" ht="15" customHeight="1" x14ac:dyDescent="0.35"/>
    <row r="2664" ht="15" customHeight="1" x14ac:dyDescent="0.35"/>
    <row r="2665" ht="15" customHeight="1" x14ac:dyDescent="0.35"/>
    <row r="2666" ht="15" customHeight="1" x14ac:dyDescent="0.35"/>
    <row r="2667" ht="15" customHeight="1" x14ac:dyDescent="0.35"/>
    <row r="2668" ht="15" customHeight="1" x14ac:dyDescent="0.35"/>
    <row r="2669" ht="15" customHeight="1" x14ac:dyDescent="0.35"/>
    <row r="2670" ht="15" customHeight="1" x14ac:dyDescent="0.35"/>
    <row r="2671" ht="15" customHeight="1" x14ac:dyDescent="0.35"/>
    <row r="2672" ht="15" customHeight="1" x14ac:dyDescent="0.35"/>
    <row r="2673" ht="15" customHeight="1" x14ac:dyDescent="0.35"/>
    <row r="2674" ht="15" customHeight="1" x14ac:dyDescent="0.35"/>
    <row r="2675" ht="15" customHeight="1" x14ac:dyDescent="0.35"/>
    <row r="2676" ht="15" customHeight="1" x14ac:dyDescent="0.35"/>
    <row r="2677" ht="15" customHeight="1" x14ac:dyDescent="0.35"/>
    <row r="2678" ht="15" customHeight="1" x14ac:dyDescent="0.35"/>
    <row r="2679" ht="15" customHeight="1" x14ac:dyDescent="0.35"/>
    <row r="2680" ht="15" customHeight="1" x14ac:dyDescent="0.35"/>
    <row r="2681" ht="15" customHeight="1" x14ac:dyDescent="0.35"/>
    <row r="2682" ht="15" customHeight="1" x14ac:dyDescent="0.35"/>
    <row r="2683" ht="15" customHeight="1" x14ac:dyDescent="0.35"/>
    <row r="2684" ht="15" customHeight="1" x14ac:dyDescent="0.35"/>
    <row r="2685" ht="15" customHeight="1" x14ac:dyDescent="0.35"/>
    <row r="2686" ht="15" customHeight="1" x14ac:dyDescent="0.35"/>
    <row r="2687" ht="15" customHeight="1" x14ac:dyDescent="0.35"/>
    <row r="2688" ht="15" customHeight="1" x14ac:dyDescent="0.35"/>
    <row r="2689" ht="15" customHeight="1" x14ac:dyDescent="0.35"/>
    <row r="2690" ht="15" customHeight="1" x14ac:dyDescent="0.35"/>
    <row r="2691" ht="15" customHeight="1" x14ac:dyDescent="0.35"/>
    <row r="2692" ht="15" customHeight="1" x14ac:dyDescent="0.35"/>
    <row r="2693" ht="15" customHeight="1" x14ac:dyDescent="0.35"/>
    <row r="2694" ht="15" customHeight="1" x14ac:dyDescent="0.35"/>
    <row r="2695" ht="15" customHeight="1" x14ac:dyDescent="0.35"/>
    <row r="2696" ht="15" customHeight="1" x14ac:dyDescent="0.35"/>
    <row r="2697" ht="15" customHeight="1" x14ac:dyDescent="0.35"/>
    <row r="2698" ht="15" customHeight="1" x14ac:dyDescent="0.35"/>
    <row r="2699" ht="15" customHeight="1" x14ac:dyDescent="0.35"/>
    <row r="2700" ht="15" customHeight="1" x14ac:dyDescent="0.35"/>
    <row r="2701" ht="15" customHeight="1" x14ac:dyDescent="0.35"/>
    <row r="2702" ht="15" customHeight="1" x14ac:dyDescent="0.35"/>
    <row r="2703" ht="15" customHeight="1" x14ac:dyDescent="0.35"/>
    <row r="2704" ht="15" customHeight="1" x14ac:dyDescent="0.35"/>
    <row r="2705" ht="15" customHeight="1" x14ac:dyDescent="0.35"/>
    <row r="2706" ht="15" customHeight="1" x14ac:dyDescent="0.35"/>
    <row r="2707" ht="15" customHeight="1" x14ac:dyDescent="0.35"/>
    <row r="2708" ht="15" customHeight="1" x14ac:dyDescent="0.35"/>
    <row r="2709" ht="15" customHeight="1" x14ac:dyDescent="0.35"/>
    <row r="2710" ht="15" customHeight="1" x14ac:dyDescent="0.35"/>
    <row r="2711" ht="15" customHeight="1" x14ac:dyDescent="0.35"/>
    <row r="2712" ht="15" customHeight="1" x14ac:dyDescent="0.35"/>
    <row r="2713" ht="15" customHeight="1" x14ac:dyDescent="0.35"/>
    <row r="2714" ht="15" customHeight="1" x14ac:dyDescent="0.35"/>
    <row r="2715" ht="15" customHeight="1" x14ac:dyDescent="0.35"/>
    <row r="2716" ht="15" customHeight="1" x14ac:dyDescent="0.35"/>
    <row r="2717" ht="15" customHeight="1" x14ac:dyDescent="0.35"/>
    <row r="2718" ht="15" customHeight="1" x14ac:dyDescent="0.35"/>
    <row r="2719" ht="15" customHeight="1" x14ac:dyDescent="0.35"/>
    <row r="2720" ht="15" customHeight="1" x14ac:dyDescent="0.35"/>
    <row r="2721" ht="15" customHeight="1" x14ac:dyDescent="0.35"/>
    <row r="2722" ht="15" customHeight="1" x14ac:dyDescent="0.35"/>
    <row r="2723" ht="15" customHeight="1" x14ac:dyDescent="0.35"/>
    <row r="2724" ht="15" customHeight="1" x14ac:dyDescent="0.35"/>
    <row r="2725" ht="15" customHeight="1" x14ac:dyDescent="0.35"/>
    <row r="2726" ht="15" customHeight="1" x14ac:dyDescent="0.35"/>
    <row r="2727" ht="15" customHeight="1" x14ac:dyDescent="0.35"/>
    <row r="2728" ht="15" customHeight="1" x14ac:dyDescent="0.35"/>
    <row r="2729" ht="15" customHeight="1" x14ac:dyDescent="0.35"/>
    <row r="2730" ht="15" customHeight="1" x14ac:dyDescent="0.35"/>
    <row r="2731" ht="15" customHeight="1" x14ac:dyDescent="0.35"/>
    <row r="2732" ht="15" customHeight="1" x14ac:dyDescent="0.35"/>
    <row r="2733" ht="15" customHeight="1" x14ac:dyDescent="0.35"/>
    <row r="2734" ht="15" customHeight="1" x14ac:dyDescent="0.35"/>
    <row r="2735" ht="15" customHeight="1" x14ac:dyDescent="0.35"/>
    <row r="2736" ht="15" customHeight="1" x14ac:dyDescent="0.35"/>
    <row r="2737" ht="15" customHeight="1" x14ac:dyDescent="0.35"/>
    <row r="2738" ht="15" customHeight="1" x14ac:dyDescent="0.35"/>
    <row r="2739" ht="15" customHeight="1" x14ac:dyDescent="0.35"/>
    <row r="2740" ht="15" customHeight="1" x14ac:dyDescent="0.35"/>
    <row r="2741" ht="15" customHeight="1" x14ac:dyDescent="0.35"/>
    <row r="2742" ht="15" customHeight="1" x14ac:dyDescent="0.35"/>
    <row r="2743" ht="15" customHeight="1" x14ac:dyDescent="0.35"/>
    <row r="2744" ht="15" customHeight="1" x14ac:dyDescent="0.35"/>
    <row r="2745" ht="15" customHeight="1" x14ac:dyDescent="0.35"/>
    <row r="2746" ht="15" customHeight="1" x14ac:dyDescent="0.35"/>
    <row r="2747" ht="15" customHeight="1" x14ac:dyDescent="0.35"/>
    <row r="2748" ht="15" customHeight="1" x14ac:dyDescent="0.35"/>
    <row r="2749" ht="15" customHeight="1" x14ac:dyDescent="0.35"/>
    <row r="2750" ht="15" customHeight="1" x14ac:dyDescent="0.35"/>
    <row r="2751" ht="15" customHeight="1" x14ac:dyDescent="0.35"/>
    <row r="2752" ht="15" customHeight="1" x14ac:dyDescent="0.35"/>
    <row r="2753" ht="15" customHeight="1" x14ac:dyDescent="0.35"/>
    <row r="2754" ht="15" customHeight="1" x14ac:dyDescent="0.35"/>
    <row r="2755" ht="15" customHeight="1" x14ac:dyDescent="0.35"/>
    <row r="2756" ht="15" customHeight="1" x14ac:dyDescent="0.35"/>
    <row r="2757" ht="15" customHeight="1" x14ac:dyDescent="0.35"/>
    <row r="2758" ht="15" customHeight="1" x14ac:dyDescent="0.35"/>
    <row r="2759" ht="15" customHeight="1" x14ac:dyDescent="0.35"/>
    <row r="2760" ht="15" customHeight="1" x14ac:dyDescent="0.35"/>
    <row r="2761" ht="15" customHeight="1" x14ac:dyDescent="0.35"/>
    <row r="2762" ht="15" customHeight="1" x14ac:dyDescent="0.35"/>
    <row r="2763" ht="15" customHeight="1" x14ac:dyDescent="0.35"/>
    <row r="2764" ht="15" customHeight="1" x14ac:dyDescent="0.35"/>
    <row r="2765" ht="15" customHeight="1" x14ac:dyDescent="0.35"/>
    <row r="2766" ht="15" customHeight="1" x14ac:dyDescent="0.35"/>
    <row r="2767" ht="15" customHeight="1" x14ac:dyDescent="0.35"/>
    <row r="2768" ht="15" customHeight="1" x14ac:dyDescent="0.35"/>
    <row r="2769" ht="15" customHeight="1" x14ac:dyDescent="0.35"/>
    <row r="2770" ht="15" customHeight="1" x14ac:dyDescent="0.35"/>
    <row r="2771" ht="15" customHeight="1" x14ac:dyDescent="0.35"/>
    <row r="2772" ht="15" customHeight="1" x14ac:dyDescent="0.35"/>
    <row r="2773" ht="15" customHeight="1" x14ac:dyDescent="0.35"/>
    <row r="2774" ht="15" customHeight="1" x14ac:dyDescent="0.35"/>
    <row r="2775" ht="15" customHeight="1" x14ac:dyDescent="0.35"/>
    <row r="2776" ht="15" customHeight="1" x14ac:dyDescent="0.35"/>
    <row r="2777" ht="15" customHeight="1" x14ac:dyDescent="0.35"/>
    <row r="2778" ht="15" customHeight="1" x14ac:dyDescent="0.35"/>
    <row r="2779" ht="15" customHeight="1" x14ac:dyDescent="0.35"/>
    <row r="2780" ht="15" customHeight="1" x14ac:dyDescent="0.35"/>
    <row r="2781" ht="15" customHeight="1" x14ac:dyDescent="0.35"/>
    <row r="2782" ht="15" customHeight="1" x14ac:dyDescent="0.35"/>
    <row r="2783" ht="15" customHeight="1" x14ac:dyDescent="0.35"/>
    <row r="2784" ht="15" customHeight="1" x14ac:dyDescent="0.35"/>
    <row r="2785" ht="15" customHeight="1" x14ac:dyDescent="0.35"/>
    <row r="2786" ht="15" customHeight="1" x14ac:dyDescent="0.35"/>
    <row r="2787" ht="15" customHeight="1" x14ac:dyDescent="0.35"/>
    <row r="2788" ht="15" customHeight="1" x14ac:dyDescent="0.35"/>
    <row r="2789" ht="15" customHeight="1" x14ac:dyDescent="0.35"/>
    <row r="2790" ht="15" customHeight="1" x14ac:dyDescent="0.35"/>
    <row r="2791" ht="15" customHeight="1" x14ac:dyDescent="0.35"/>
    <row r="2792" ht="15" customHeight="1" x14ac:dyDescent="0.35"/>
    <row r="2793" ht="15" customHeight="1" x14ac:dyDescent="0.35"/>
    <row r="2794" ht="15" customHeight="1" x14ac:dyDescent="0.35"/>
    <row r="2795" ht="15" customHeight="1" x14ac:dyDescent="0.35"/>
    <row r="2796" ht="15" customHeight="1" x14ac:dyDescent="0.35"/>
    <row r="2797" ht="15" customHeight="1" x14ac:dyDescent="0.35"/>
    <row r="2798" ht="15" customHeight="1" x14ac:dyDescent="0.35"/>
    <row r="2799" ht="15" customHeight="1" x14ac:dyDescent="0.35"/>
    <row r="2800" ht="15" customHeight="1" x14ac:dyDescent="0.35"/>
    <row r="2801" ht="15" customHeight="1" x14ac:dyDescent="0.35"/>
    <row r="2802" ht="15" customHeight="1" x14ac:dyDescent="0.35"/>
    <row r="2803" ht="15" customHeight="1" x14ac:dyDescent="0.35"/>
    <row r="2804" ht="15" customHeight="1" x14ac:dyDescent="0.35"/>
    <row r="2805" ht="15" customHeight="1" x14ac:dyDescent="0.35"/>
    <row r="2806" ht="15" customHeight="1" x14ac:dyDescent="0.35"/>
    <row r="2807" ht="15" customHeight="1" x14ac:dyDescent="0.35"/>
    <row r="2808" ht="15" customHeight="1" x14ac:dyDescent="0.35"/>
    <row r="2809" ht="15" customHeight="1" x14ac:dyDescent="0.35"/>
    <row r="2810" ht="15" customHeight="1" x14ac:dyDescent="0.35"/>
    <row r="2811" ht="15" customHeight="1" x14ac:dyDescent="0.35"/>
    <row r="2812" ht="15" customHeight="1" x14ac:dyDescent="0.35"/>
    <row r="2813" ht="15" customHeight="1" x14ac:dyDescent="0.35"/>
    <row r="2814" ht="15" customHeight="1" x14ac:dyDescent="0.35"/>
    <row r="2815" ht="15" customHeight="1" x14ac:dyDescent="0.35"/>
    <row r="2816" ht="15" customHeight="1" x14ac:dyDescent="0.35"/>
    <row r="2817" ht="15" customHeight="1" x14ac:dyDescent="0.35"/>
    <row r="2818" ht="15" customHeight="1" x14ac:dyDescent="0.35"/>
    <row r="2819" ht="15" customHeight="1" x14ac:dyDescent="0.35"/>
    <row r="2820" ht="15" customHeight="1" x14ac:dyDescent="0.35"/>
    <row r="2821" ht="15" customHeight="1" x14ac:dyDescent="0.35"/>
    <row r="2822" ht="15" customHeight="1" x14ac:dyDescent="0.35"/>
    <row r="2823" ht="15" customHeight="1" x14ac:dyDescent="0.35"/>
    <row r="2824" ht="15" customHeight="1" x14ac:dyDescent="0.35"/>
    <row r="2825" ht="15" customHeight="1" x14ac:dyDescent="0.35"/>
    <row r="2826" ht="15" customHeight="1" x14ac:dyDescent="0.35"/>
    <row r="2827" ht="15" customHeight="1" x14ac:dyDescent="0.35"/>
    <row r="2828" ht="15" customHeight="1" x14ac:dyDescent="0.35"/>
    <row r="2829" ht="15" customHeight="1" x14ac:dyDescent="0.35"/>
    <row r="2830" ht="15" customHeight="1" x14ac:dyDescent="0.35"/>
    <row r="2831" ht="15" customHeight="1" x14ac:dyDescent="0.35"/>
    <row r="2832" ht="15" customHeight="1" x14ac:dyDescent="0.35"/>
    <row r="2833" ht="15" customHeight="1" x14ac:dyDescent="0.35"/>
    <row r="2834" ht="15" customHeight="1" x14ac:dyDescent="0.35"/>
    <row r="2835" ht="15" customHeight="1" x14ac:dyDescent="0.35"/>
    <row r="2836" ht="15" customHeight="1" x14ac:dyDescent="0.35"/>
    <row r="2837" ht="15" customHeight="1" x14ac:dyDescent="0.35"/>
    <row r="2838" ht="15" customHeight="1" x14ac:dyDescent="0.35"/>
    <row r="2839" ht="15" customHeight="1" x14ac:dyDescent="0.35"/>
    <row r="2840" ht="15" customHeight="1" x14ac:dyDescent="0.35"/>
    <row r="2841" ht="15" customHeight="1" x14ac:dyDescent="0.35"/>
    <row r="2842" ht="15" customHeight="1" x14ac:dyDescent="0.35"/>
    <row r="2843" ht="15" customHeight="1" x14ac:dyDescent="0.35"/>
    <row r="2844" ht="15" customHeight="1" x14ac:dyDescent="0.35"/>
    <row r="2845" ht="15" customHeight="1" x14ac:dyDescent="0.35"/>
    <row r="2846" ht="15" customHeight="1" x14ac:dyDescent="0.35"/>
    <row r="2847" ht="15" customHeight="1" x14ac:dyDescent="0.35"/>
    <row r="2848" ht="15" customHeight="1" x14ac:dyDescent="0.35"/>
    <row r="2849" ht="15" customHeight="1" x14ac:dyDescent="0.35"/>
    <row r="2850" ht="15" customHeight="1" x14ac:dyDescent="0.35"/>
    <row r="2851" ht="15" customHeight="1" x14ac:dyDescent="0.35"/>
    <row r="2852" ht="15" customHeight="1" x14ac:dyDescent="0.35"/>
    <row r="2853" ht="15" customHeight="1" x14ac:dyDescent="0.35"/>
    <row r="2854" ht="15" customHeight="1" x14ac:dyDescent="0.35"/>
    <row r="2855" ht="15" customHeight="1" x14ac:dyDescent="0.35"/>
    <row r="2856" ht="15" customHeight="1" x14ac:dyDescent="0.35"/>
    <row r="2857" ht="15" customHeight="1" x14ac:dyDescent="0.35"/>
    <row r="2858" ht="15" customHeight="1" x14ac:dyDescent="0.35"/>
    <row r="2859" ht="15" customHeight="1" x14ac:dyDescent="0.35"/>
    <row r="2860" ht="15" customHeight="1" x14ac:dyDescent="0.35"/>
    <row r="2861" ht="15" customHeight="1" x14ac:dyDescent="0.35"/>
    <row r="2862" ht="15" customHeight="1" x14ac:dyDescent="0.35"/>
    <row r="2863" ht="15" customHeight="1" x14ac:dyDescent="0.35"/>
    <row r="2864" ht="15" customHeight="1" x14ac:dyDescent="0.35"/>
    <row r="2865" ht="15" customHeight="1" x14ac:dyDescent="0.35"/>
    <row r="2866" ht="15" customHeight="1" x14ac:dyDescent="0.35"/>
    <row r="2867" ht="15" customHeight="1" x14ac:dyDescent="0.35"/>
    <row r="2868" ht="15" customHeight="1" x14ac:dyDescent="0.35"/>
    <row r="2869" ht="15" customHeight="1" x14ac:dyDescent="0.35"/>
    <row r="2870" ht="15" customHeight="1" x14ac:dyDescent="0.35"/>
    <row r="2871" ht="15" customHeight="1" x14ac:dyDescent="0.35"/>
    <row r="2872" ht="15" customHeight="1" x14ac:dyDescent="0.35"/>
    <row r="2873" ht="15" customHeight="1" x14ac:dyDescent="0.35"/>
    <row r="2874" ht="15" customHeight="1" x14ac:dyDescent="0.35"/>
    <row r="2875" ht="15" customHeight="1" x14ac:dyDescent="0.35"/>
    <row r="2876" ht="15" customHeight="1" x14ac:dyDescent="0.35"/>
    <row r="2877" ht="15" customHeight="1" x14ac:dyDescent="0.35"/>
    <row r="2878" ht="15" customHeight="1" x14ac:dyDescent="0.35"/>
    <row r="2879" ht="15" customHeight="1" x14ac:dyDescent="0.35"/>
    <row r="2880" ht="15" customHeight="1" x14ac:dyDescent="0.35"/>
    <row r="2881" ht="15" customHeight="1" x14ac:dyDescent="0.35"/>
    <row r="2882" ht="15" customHeight="1" x14ac:dyDescent="0.35"/>
    <row r="2883" ht="15" customHeight="1" x14ac:dyDescent="0.35"/>
    <row r="2884" ht="15" customHeight="1" x14ac:dyDescent="0.35"/>
    <row r="2885" ht="15" customHeight="1" x14ac:dyDescent="0.35"/>
    <row r="2886" ht="15" customHeight="1" x14ac:dyDescent="0.35"/>
    <row r="2887" ht="15" customHeight="1" x14ac:dyDescent="0.35"/>
    <row r="2888" ht="15" customHeight="1" x14ac:dyDescent="0.35"/>
    <row r="2889" ht="15" customHeight="1" x14ac:dyDescent="0.35"/>
    <row r="2890" ht="15" customHeight="1" x14ac:dyDescent="0.35"/>
    <row r="2891" ht="15" customHeight="1" x14ac:dyDescent="0.35"/>
    <row r="2892" ht="15" customHeight="1" x14ac:dyDescent="0.35"/>
    <row r="2893" ht="15" customHeight="1" x14ac:dyDescent="0.35"/>
    <row r="2894" ht="15" customHeight="1" x14ac:dyDescent="0.35"/>
    <row r="2895" ht="15" customHeight="1" x14ac:dyDescent="0.35"/>
    <row r="2896" ht="15" customHeight="1" x14ac:dyDescent="0.35"/>
    <row r="2897" ht="15" customHeight="1" x14ac:dyDescent="0.35"/>
    <row r="2898" ht="15" customHeight="1" x14ac:dyDescent="0.35"/>
    <row r="2899" ht="15" customHeight="1" x14ac:dyDescent="0.35"/>
    <row r="2900" ht="15" customHeight="1" x14ac:dyDescent="0.35"/>
    <row r="2901" ht="15" customHeight="1" x14ac:dyDescent="0.35"/>
    <row r="2902" ht="15" customHeight="1" x14ac:dyDescent="0.35"/>
    <row r="2903" ht="15" customHeight="1" x14ac:dyDescent="0.35"/>
    <row r="2904" ht="15" customHeight="1" x14ac:dyDescent="0.35"/>
    <row r="2905" ht="15" customHeight="1" x14ac:dyDescent="0.35"/>
    <row r="2906" ht="15" customHeight="1" x14ac:dyDescent="0.35"/>
    <row r="2907" ht="15" customHeight="1" x14ac:dyDescent="0.35"/>
    <row r="2908" ht="15" customHeight="1" x14ac:dyDescent="0.35"/>
    <row r="2909" ht="15" customHeight="1" x14ac:dyDescent="0.35"/>
    <row r="2910" ht="15" customHeight="1" x14ac:dyDescent="0.35"/>
    <row r="2911" ht="15" customHeight="1" x14ac:dyDescent="0.35"/>
    <row r="2912" ht="15" customHeight="1" x14ac:dyDescent="0.35"/>
    <row r="2913" ht="15" customHeight="1" x14ac:dyDescent="0.35"/>
    <row r="2914" ht="15" customHeight="1" x14ac:dyDescent="0.35"/>
    <row r="2915" ht="15" customHeight="1" x14ac:dyDescent="0.35"/>
    <row r="2916" ht="15" customHeight="1" x14ac:dyDescent="0.35"/>
    <row r="2917" ht="15" customHeight="1" x14ac:dyDescent="0.35"/>
    <row r="2918" ht="15" customHeight="1" x14ac:dyDescent="0.35"/>
    <row r="2919" ht="15" customHeight="1" x14ac:dyDescent="0.35"/>
    <row r="2920" ht="15" customHeight="1" x14ac:dyDescent="0.35"/>
    <row r="2921" ht="15" customHeight="1" x14ac:dyDescent="0.35"/>
    <row r="2922" ht="15" customHeight="1" x14ac:dyDescent="0.35"/>
    <row r="2923" ht="15" customHeight="1" x14ac:dyDescent="0.35"/>
    <row r="2924" ht="15" customHeight="1" x14ac:dyDescent="0.35"/>
    <row r="2925" ht="15" customHeight="1" x14ac:dyDescent="0.35"/>
    <row r="2926" ht="15" customHeight="1" x14ac:dyDescent="0.35"/>
    <row r="2927" ht="15" customHeight="1" x14ac:dyDescent="0.35"/>
    <row r="2928" ht="15" customHeight="1" x14ac:dyDescent="0.35"/>
    <row r="2929" ht="15" customHeight="1" x14ac:dyDescent="0.35"/>
    <row r="2930" ht="15" customHeight="1" x14ac:dyDescent="0.35"/>
    <row r="2931" ht="15" customHeight="1" x14ac:dyDescent="0.35"/>
    <row r="2932" ht="15" customHeight="1" x14ac:dyDescent="0.35"/>
    <row r="2933" ht="15" customHeight="1" x14ac:dyDescent="0.35"/>
    <row r="2934" ht="15" customHeight="1" x14ac:dyDescent="0.35"/>
    <row r="2935" ht="15" customHeight="1" x14ac:dyDescent="0.35"/>
    <row r="2936" ht="15" customHeight="1" x14ac:dyDescent="0.35"/>
    <row r="2937" ht="15" customHeight="1" x14ac:dyDescent="0.35"/>
    <row r="2938" ht="15" customHeight="1" x14ac:dyDescent="0.35"/>
    <row r="2939" ht="15" customHeight="1" x14ac:dyDescent="0.35"/>
    <row r="2940" ht="15" customHeight="1" x14ac:dyDescent="0.35"/>
    <row r="2941" ht="15" customHeight="1" x14ac:dyDescent="0.35"/>
    <row r="2942" ht="15" customHeight="1" x14ac:dyDescent="0.35"/>
    <row r="2943" ht="15" customHeight="1" x14ac:dyDescent="0.35"/>
    <row r="2944" ht="15" customHeight="1" x14ac:dyDescent="0.35"/>
    <row r="2945" ht="15" customHeight="1" x14ac:dyDescent="0.35"/>
    <row r="2946" ht="15" customHeight="1" x14ac:dyDescent="0.35"/>
    <row r="2947" ht="15" customHeight="1" x14ac:dyDescent="0.35"/>
    <row r="2948" ht="15" customHeight="1" x14ac:dyDescent="0.35"/>
    <row r="2949" ht="15" customHeight="1" x14ac:dyDescent="0.35"/>
    <row r="2950" ht="15" customHeight="1" x14ac:dyDescent="0.35"/>
    <row r="2951" ht="15" customHeight="1" x14ac:dyDescent="0.35"/>
    <row r="2952" ht="15" customHeight="1" x14ac:dyDescent="0.35"/>
    <row r="2953" ht="15" customHeight="1" x14ac:dyDescent="0.35"/>
    <row r="2954" ht="15" customHeight="1" x14ac:dyDescent="0.35"/>
    <row r="2955" ht="15" customHeight="1" x14ac:dyDescent="0.35"/>
    <row r="2956" ht="15" customHeight="1" x14ac:dyDescent="0.35"/>
    <row r="2957" ht="15" customHeight="1" x14ac:dyDescent="0.35"/>
    <row r="2958" ht="15" customHeight="1" x14ac:dyDescent="0.35"/>
    <row r="2959" ht="15" customHeight="1" x14ac:dyDescent="0.35"/>
    <row r="2960" ht="15" customHeight="1" x14ac:dyDescent="0.35"/>
    <row r="2961" ht="15" customHeight="1" x14ac:dyDescent="0.35"/>
    <row r="2962" ht="15" customHeight="1" x14ac:dyDescent="0.35"/>
    <row r="2963" ht="15" customHeight="1" x14ac:dyDescent="0.35"/>
    <row r="2964" ht="15" customHeight="1" x14ac:dyDescent="0.35"/>
    <row r="2965" ht="15" customHeight="1" x14ac:dyDescent="0.35"/>
    <row r="2966" ht="15" customHeight="1" x14ac:dyDescent="0.35"/>
    <row r="2967" ht="15" customHeight="1" x14ac:dyDescent="0.35"/>
    <row r="2968" ht="15" customHeight="1" x14ac:dyDescent="0.35"/>
    <row r="2969" ht="15" customHeight="1" x14ac:dyDescent="0.35"/>
    <row r="2970" ht="15" customHeight="1" x14ac:dyDescent="0.35"/>
    <row r="2971" ht="15" customHeight="1" x14ac:dyDescent="0.35"/>
    <row r="2972" ht="15" customHeight="1" x14ac:dyDescent="0.35"/>
    <row r="2973" ht="15" customHeight="1" x14ac:dyDescent="0.35"/>
    <row r="2974" ht="15" customHeight="1" x14ac:dyDescent="0.35"/>
    <row r="2975" ht="15" customHeight="1" x14ac:dyDescent="0.35"/>
    <row r="2976" ht="15" customHeight="1" x14ac:dyDescent="0.35"/>
    <row r="2977" ht="15" customHeight="1" x14ac:dyDescent="0.35"/>
    <row r="2978" ht="15" customHeight="1" x14ac:dyDescent="0.35"/>
    <row r="2979" ht="15" customHeight="1" x14ac:dyDescent="0.35"/>
    <row r="2980" ht="15" customHeight="1" x14ac:dyDescent="0.35"/>
    <row r="2981" ht="15" customHeight="1" x14ac:dyDescent="0.35"/>
    <row r="2982" ht="15" customHeight="1" x14ac:dyDescent="0.35"/>
    <row r="2983" ht="15" customHeight="1" x14ac:dyDescent="0.35"/>
    <row r="2984" ht="15" customHeight="1" x14ac:dyDescent="0.35"/>
    <row r="2985" ht="15" customHeight="1" x14ac:dyDescent="0.35"/>
    <row r="2986" ht="15" customHeight="1" x14ac:dyDescent="0.35"/>
    <row r="2987" ht="15" customHeight="1" x14ac:dyDescent="0.35"/>
    <row r="2988" ht="15" customHeight="1" x14ac:dyDescent="0.35"/>
    <row r="2989" ht="15" customHeight="1" x14ac:dyDescent="0.35"/>
    <row r="2990" ht="15" customHeight="1" x14ac:dyDescent="0.35"/>
    <row r="2991" ht="15" customHeight="1" x14ac:dyDescent="0.35"/>
    <row r="2992" ht="15" customHeight="1" x14ac:dyDescent="0.35"/>
    <row r="2993" ht="15" customHeight="1" x14ac:dyDescent="0.35"/>
    <row r="2994" ht="15" customHeight="1" x14ac:dyDescent="0.35"/>
    <row r="2995" ht="15" customHeight="1" x14ac:dyDescent="0.35"/>
    <row r="2996" ht="15" customHeight="1" x14ac:dyDescent="0.35"/>
    <row r="2997" ht="15" customHeight="1" x14ac:dyDescent="0.35"/>
    <row r="2998" ht="15" customHeight="1" x14ac:dyDescent="0.35"/>
    <row r="2999" ht="15" customHeight="1" x14ac:dyDescent="0.35"/>
    <row r="3000" ht="15" customHeight="1" x14ac:dyDescent="0.35"/>
    <row r="3001" ht="15" customHeight="1" x14ac:dyDescent="0.35"/>
    <row r="3002" ht="15" customHeight="1" x14ac:dyDescent="0.35"/>
    <row r="3003" ht="15" customHeight="1" x14ac:dyDescent="0.35"/>
    <row r="3004" ht="15" customHeight="1" x14ac:dyDescent="0.35"/>
    <row r="3005" ht="15" customHeight="1" x14ac:dyDescent="0.35"/>
    <row r="3006" ht="15" customHeight="1" x14ac:dyDescent="0.35"/>
    <row r="3007" ht="15" customHeight="1" x14ac:dyDescent="0.35"/>
    <row r="3008" ht="15" customHeight="1" x14ac:dyDescent="0.35"/>
    <row r="3009" ht="15" customHeight="1" x14ac:dyDescent="0.35"/>
    <row r="3010" ht="15" customHeight="1" x14ac:dyDescent="0.35"/>
    <row r="3011" ht="15" customHeight="1" x14ac:dyDescent="0.35"/>
    <row r="3012" ht="15" customHeight="1" x14ac:dyDescent="0.35"/>
    <row r="3013" ht="15" customHeight="1" x14ac:dyDescent="0.35"/>
    <row r="3014" ht="15" customHeight="1" x14ac:dyDescent="0.35"/>
    <row r="3015" ht="15" customHeight="1" x14ac:dyDescent="0.35"/>
    <row r="3016" ht="15" customHeight="1" x14ac:dyDescent="0.35"/>
    <row r="3017" ht="15" customHeight="1" x14ac:dyDescent="0.35"/>
    <row r="3018" ht="15" customHeight="1" x14ac:dyDescent="0.35"/>
    <row r="3019" ht="15" customHeight="1" x14ac:dyDescent="0.35"/>
    <row r="3020" ht="15" customHeight="1" x14ac:dyDescent="0.35"/>
    <row r="3021" ht="15" customHeight="1" x14ac:dyDescent="0.35"/>
    <row r="3022" ht="15" customHeight="1" x14ac:dyDescent="0.35"/>
    <row r="3023" ht="15" customHeight="1" x14ac:dyDescent="0.35"/>
    <row r="3024" ht="15" customHeight="1" x14ac:dyDescent="0.35"/>
    <row r="3025" ht="15" customHeight="1" x14ac:dyDescent="0.35"/>
    <row r="3026" ht="15" customHeight="1" x14ac:dyDescent="0.35"/>
    <row r="3027" ht="15" customHeight="1" x14ac:dyDescent="0.35"/>
    <row r="3028" ht="15" customHeight="1" x14ac:dyDescent="0.35"/>
    <row r="3029" ht="15" customHeight="1" x14ac:dyDescent="0.35"/>
    <row r="3030" ht="15" customHeight="1" x14ac:dyDescent="0.35"/>
    <row r="3031" ht="15" customHeight="1" x14ac:dyDescent="0.35"/>
    <row r="3032" ht="15" customHeight="1" x14ac:dyDescent="0.35"/>
    <row r="3033" ht="15" customHeight="1" x14ac:dyDescent="0.35"/>
    <row r="3034" ht="15" customHeight="1" x14ac:dyDescent="0.35"/>
    <row r="3035" ht="15" customHeight="1" x14ac:dyDescent="0.35"/>
    <row r="3036" ht="15" customHeight="1" x14ac:dyDescent="0.35"/>
    <row r="3037" ht="15" customHeight="1" x14ac:dyDescent="0.35"/>
    <row r="3038" ht="15" customHeight="1" x14ac:dyDescent="0.35"/>
    <row r="3039" ht="15" customHeight="1" x14ac:dyDescent="0.35"/>
    <row r="3040" ht="15" customHeight="1" x14ac:dyDescent="0.35"/>
    <row r="3041" ht="15" customHeight="1" x14ac:dyDescent="0.35"/>
    <row r="3042" ht="15" customHeight="1" x14ac:dyDescent="0.35"/>
    <row r="3043" ht="15" customHeight="1" x14ac:dyDescent="0.35"/>
    <row r="3044" ht="15" customHeight="1" x14ac:dyDescent="0.35"/>
    <row r="3045" ht="15" customHeight="1" x14ac:dyDescent="0.35"/>
    <row r="3046" ht="15" customHeight="1" x14ac:dyDescent="0.35"/>
    <row r="3047" ht="15" customHeight="1" x14ac:dyDescent="0.35"/>
    <row r="3048" ht="15" customHeight="1" x14ac:dyDescent="0.35"/>
    <row r="3049" ht="15" customHeight="1" x14ac:dyDescent="0.35"/>
    <row r="3050" ht="15" customHeight="1" x14ac:dyDescent="0.35"/>
    <row r="3051" ht="15" customHeight="1" x14ac:dyDescent="0.35"/>
    <row r="3052" ht="15" customHeight="1" x14ac:dyDescent="0.35"/>
    <row r="3053" ht="15" customHeight="1" x14ac:dyDescent="0.35"/>
    <row r="3054" ht="15" customHeight="1" x14ac:dyDescent="0.35"/>
    <row r="3055" ht="15" customHeight="1" x14ac:dyDescent="0.35"/>
    <row r="3056" ht="15" customHeight="1" x14ac:dyDescent="0.35"/>
    <row r="3057" ht="15" customHeight="1" x14ac:dyDescent="0.35"/>
    <row r="3058" ht="15" customHeight="1" x14ac:dyDescent="0.35"/>
    <row r="3059" ht="15" customHeight="1" x14ac:dyDescent="0.35"/>
    <row r="3060" ht="15" customHeight="1" x14ac:dyDescent="0.35"/>
    <row r="3061" ht="15" customHeight="1" x14ac:dyDescent="0.35"/>
    <row r="3062" ht="15" customHeight="1" x14ac:dyDescent="0.35"/>
    <row r="3063" ht="15" customHeight="1" x14ac:dyDescent="0.35"/>
    <row r="3064" ht="15" customHeight="1" x14ac:dyDescent="0.35"/>
    <row r="3065" ht="15" customHeight="1" x14ac:dyDescent="0.35"/>
    <row r="3066" ht="15" customHeight="1" x14ac:dyDescent="0.35"/>
    <row r="3067" ht="15" customHeight="1" x14ac:dyDescent="0.35"/>
    <row r="3068" ht="15" customHeight="1" x14ac:dyDescent="0.35"/>
    <row r="3069" ht="15" customHeight="1" x14ac:dyDescent="0.35"/>
    <row r="3070" ht="15" customHeight="1" x14ac:dyDescent="0.35"/>
    <row r="3071" ht="15" customHeight="1" x14ac:dyDescent="0.35"/>
    <row r="3072" ht="15" customHeight="1" x14ac:dyDescent="0.35"/>
    <row r="3073" ht="15" customHeight="1" x14ac:dyDescent="0.35"/>
    <row r="3074" ht="15" customHeight="1" x14ac:dyDescent="0.35"/>
    <row r="3075" ht="15" customHeight="1" x14ac:dyDescent="0.35"/>
    <row r="3076" ht="15" customHeight="1" x14ac:dyDescent="0.35"/>
    <row r="3077" ht="15" customHeight="1" x14ac:dyDescent="0.35"/>
    <row r="3078" ht="15" customHeight="1" x14ac:dyDescent="0.35"/>
    <row r="3079" ht="15" customHeight="1" x14ac:dyDescent="0.35"/>
    <row r="3080" ht="15" customHeight="1" x14ac:dyDescent="0.35"/>
    <row r="3081" ht="15" customHeight="1" x14ac:dyDescent="0.35"/>
    <row r="3082" ht="15" customHeight="1" x14ac:dyDescent="0.35"/>
    <row r="3083" ht="15" customHeight="1" x14ac:dyDescent="0.35"/>
    <row r="3084" ht="15" customHeight="1" x14ac:dyDescent="0.35"/>
    <row r="3085" ht="15" customHeight="1" x14ac:dyDescent="0.35"/>
    <row r="3086" ht="15" customHeight="1" x14ac:dyDescent="0.35"/>
    <row r="3087" ht="15" customHeight="1" x14ac:dyDescent="0.35"/>
    <row r="3088" ht="15" customHeight="1" x14ac:dyDescent="0.35"/>
    <row r="3089" ht="15" customHeight="1" x14ac:dyDescent="0.35"/>
    <row r="3090" ht="15" customHeight="1" x14ac:dyDescent="0.35"/>
    <row r="3091" ht="15" customHeight="1" x14ac:dyDescent="0.35"/>
    <row r="3092" ht="15" customHeight="1" x14ac:dyDescent="0.35"/>
    <row r="3093" ht="15" customHeight="1" x14ac:dyDescent="0.35"/>
    <row r="3094" ht="15" customHeight="1" x14ac:dyDescent="0.35"/>
    <row r="3095" ht="15" customHeight="1" x14ac:dyDescent="0.35"/>
    <row r="3096" ht="15" customHeight="1" x14ac:dyDescent="0.35"/>
    <row r="3097" ht="15" customHeight="1" x14ac:dyDescent="0.35"/>
    <row r="3098" ht="15" customHeight="1" x14ac:dyDescent="0.35"/>
    <row r="3099" ht="15" customHeight="1" x14ac:dyDescent="0.35"/>
    <row r="3100" ht="15" customHeight="1" x14ac:dyDescent="0.35"/>
    <row r="3101" ht="15" customHeight="1" x14ac:dyDescent="0.35"/>
    <row r="3102" ht="15" customHeight="1" x14ac:dyDescent="0.35"/>
    <row r="3103" ht="15" customHeight="1" x14ac:dyDescent="0.35"/>
    <row r="3104" ht="15" customHeight="1" x14ac:dyDescent="0.35"/>
    <row r="3105" ht="15" customHeight="1" x14ac:dyDescent="0.35"/>
    <row r="3106" ht="15" customHeight="1" x14ac:dyDescent="0.35"/>
    <row r="3107" ht="15" customHeight="1" x14ac:dyDescent="0.35"/>
    <row r="3108" ht="15" customHeight="1" x14ac:dyDescent="0.35"/>
    <row r="3109" ht="15" customHeight="1" x14ac:dyDescent="0.35"/>
    <row r="3110" ht="15" customHeight="1" x14ac:dyDescent="0.35"/>
    <row r="3111" ht="15" customHeight="1" x14ac:dyDescent="0.35"/>
    <row r="3112" ht="15" customHeight="1" x14ac:dyDescent="0.35"/>
    <row r="3113" ht="15" customHeight="1" x14ac:dyDescent="0.35"/>
    <row r="3114" ht="15" customHeight="1" x14ac:dyDescent="0.35"/>
    <row r="3115" ht="15" customHeight="1" x14ac:dyDescent="0.35"/>
    <row r="3116" ht="15" customHeight="1" x14ac:dyDescent="0.35"/>
    <row r="3117" ht="15" customHeight="1" x14ac:dyDescent="0.35"/>
    <row r="3118" ht="15" customHeight="1" x14ac:dyDescent="0.35"/>
    <row r="3119" ht="15" customHeight="1" x14ac:dyDescent="0.35"/>
    <row r="3120" ht="15" customHeight="1" x14ac:dyDescent="0.35"/>
    <row r="3121" ht="15" customHeight="1" x14ac:dyDescent="0.35"/>
    <row r="3122" ht="15" customHeight="1" x14ac:dyDescent="0.35"/>
    <row r="3123" ht="15" customHeight="1" x14ac:dyDescent="0.35"/>
    <row r="3124" ht="15" customHeight="1" x14ac:dyDescent="0.35"/>
    <row r="3125" ht="15" customHeight="1" x14ac:dyDescent="0.35"/>
    <row r="3126" ht="15" customHeight="1" x14ac:dyDescent="0.35"/>
    <row r="3127" ht="15" customHeight="1" x14ac:dyDescent="0.35"/>
    <row r="3128" ht="15" customHeight="1" x14ac:dyDescent="0.35"/>
    <row r="3129" ht="15" customHeight="1" x14ac:dyDescent="0.35"/>
    <row r="3130" ht="15" customHeight="1" x14ac:dyDescent="0.35"/>
    <row r="3131" ht="15" customHeight="1" x14ac:dyDescent="0.35"/>
    <row r="3132" ht="15" customHeight="1" x14ac:dyDescent="0.35"/>
    <row r="3133" ht="15" customHeight="1" x14ac:dyDescent="0.35"/>
    <row r="3134" ht="15" customHeight="1" x14ac:dyDescent="0.35"/>
    <row r="3135" ht="15" customHeight="1" x14ac:dyDescent="0.35"/>
    <row r="3136" ht="15" customHeight="1" x14ac:dyDescent="0.35"/>
    <row r="3137" ht="15" customHeight="1" x14ac:dyDescent="0.35"/>
    <row r="3138" ht="15" customHeight="1" x14ac:dyDescent="0.35"/>
    <row r="3139" ht="15" customHeight="1" x14ac:dyDescent="0.35"/>
    <row r="3140" ht="15" customHeight="1" x14ac:dyDescent="0.35"/>
    <row r="3141" ht="15" customHeight="1" x14ac:dyDescent="0.35"/>
    <row r="3142" ht="15" customHeight="1" x14ac:dyDescent="0.35"/>
    <row r="3143" ht="15" customHeight="1" x14ac:dyDescent="0.35"/>
    <row r="3144" ht="15" customHeight="1" x14ac:dyDescent="0.35"/>
    <row r="3145" ht="15" customHeight="1" x14ac:dyDescent="0.35"/>
    <row r="3146" ht="15" customHeight="1" x14ac:dyDescent="0.35"/>
    <row r="3147" ht="15" customHeight="1" x14ac:dyDescent="0.35"/>
    <row r="3148" ht="15" customHeight="1" x14ac:dyDescent="0.35"/>
    <row r="3149" ht="15" customHeight="1" x14ac:dyDescent="0.35"/>
    <row r="3150" ht="15" customHeight="1" x14ac:dyDescent="0.35"/>
    <row r="3151" ht="15" customHeight="1" x14ac:dyDescent="0.35"/>
    <row r="3152" ht="15" customHeight="1" x14ac:dyDescent="0.35"/>
    <row r="3153" ht="15" customHeight="1" x14ac:dyDescent="0.35"/>
    <row r="3154" ht="15" customHeight="1" x14ac:dyDescent="0.35"/>
    <row r="3155" ht="15" customHeight="1" x14ac:dyDescent="0.35"/>
    <row r="3156" ht="15" customHeight="1" x14ac:dyDescent="0.35"/>
    <row r="3157" ht="15" customHeight="1" x14ac:dyDescent="0.35"/>
    <row r="3158" ht="15" customHeight="1" x14ac:dyDescent="0.35"/>
    <row r="3159" ht="15" customHeight="1" x14ac:dyDescent="0.35"/>
    <row r="3160" ht="15" customHeight="1" x14ac:dyDescent="0.35"/>
    <row r="3161" ht="15" customHeight="1" x14ac:dyDescent="0.35"/>
    <row r="3162" ht="15" customHeight="1" x14ac:dyDescent="0.35"/>
    <row r="3163" ht="15" customHeight="1" x14ac:dyDescent="0.35"/>
    <row r="3164" ht="15" customHeight="1" x14ac:dyDescent="0.35"/>
    <row r="3165" ht="15" customHeight="1" x14ac:dyDescent="0.35"/>
    <row r="3166" ht="15" customHeight="1" x14ac:dyDescent="0.35"/>
    <row r="3167" ht="15" customHeight="1" x14ac:dyDescent="0.35"/>
    <row r="3168" ht="15" customHeight="1" x14ac:dyDescent="0.35"/>
    <row r="3169" ht="15" customHeight="1" x14ac:dyDescent="0.35"/>
    <row r="3170" ht="15" customHeight="1" x14ac:dyDescent="0.35"/>
    <row r="3171" ht="15" customHeight="1" x14ac:dyDescent="0.35"/>
    <row r="3172" ht="15" customHeight="1" x14ac:dyDescent="0.35"/>
    <row r="3173" ht="15" customHeight="1" x14ac:dyDescent="0.35"/>
    <row r="3174" ht="15" customHeight="1" x14ac:dyDescent="0.35"/>
    <row r="3175" ht="15" customHeight="1" x14ac:dyDescent="0.35"/>
    <row r="3176" ht="15" customHeight="1" x14ac:dyDescent="0.35"/>
    <row r="3177" ht="15" customHeight="1" x14ac:dyDescent="0.35"/>
    <row r="3178" ht="15" customHeight="1" x14ac:dyDescent="0.35"/>
    <row r="3179" ht="15" customHeight="1" x14ac:dyDescent="0.35"/>
    <row r="3180" ht="15" customHeight="1" x14ac:dyDescent="0.35"/>
    <row r="3181" ht="15" customHeight="1" x14ac:dyDescent="0.35"/>
    <row r="3182" ht="15" customHeight="1" x14ac:dyDescent="0.35"/>
    <row r="3183" ht="15" customHeight="1" x14ac:dyDescent="0.35"/>
    <row r="3184" ht="15" customHeight="1" x14ac:dyDescent="0.35"/>
    <row r="3185" ht="15" customHeight="1" x14ac:dyDescent="0.35"/>
    <row r="3186" ht="15" customHeight="1" x14ac:dyDescent="0.35"/>
    <row r="3187" ht="15" customHeight="1" x14ac:dyDescent="0.35"/>
    <row r="3188" ht="15" customHeight="1" x14ac:dyDescent="0.35"/>
    <row r="3189" ht="15" customHeight="1" x14ac:dyDescent="0.35"/>
    <row r="3190" ht="15" customHeight="1" x14ac:dyDescent="0.35"/>
    <row r="3191" ht="15" customHeight="1" x14ac:dyDescent="0.35"/>
    <row r="3192" ht="15" customHeight="1" x14ac:dyDescent="0.35"/>
    <row r="3193" ht="15" customHeight="1" x14ac:dyDescent="0.35"/>
    <row r="3194" ht="15" customHeight="1" x14ac:dyDescent="0.35"/>
    <row r="3195" ht="15" customHeight="1" x14ac:dyDescent="0.35"/>
    <row r="3196" ht="15" customHeight="1" x14ac:dyDescent="0.35"/>
    <row r="3197" ht="15" customHeight="1" x14ac:dyDescent="0.35"/>
    <row r="3198" ht="15" customHeight="1" x14ac:dyDescent="0.35"/>
    <row r="3199" ht="15" customHeight="1" x14ac:dyDescent="0.35"/>
    <row r="3200" ht="15" customHeight="1" x14ac:dyDescent="0.35"/>
    <row r="3201" ht="15" customHeight="1" x14ac:dyDescent="0.35"/>
    <row r="3202" ht="15" customHeight="1" x14ac:dyDescent="0.35"/>
    <row r="3203" ht="15" customHeight="1" x14ac:dyDescent="0.35"/>
    <row r="3204" ht="15" customHeight="1" x14ac:dyDescent="0.35"/>
    <row r="3205" ht="15" customHeight="1" x14ac:dyDescent="0.35"/>
    <row r="3206" ht="15" customHeight="1" x14ac:dyDescent="0.35"/>
    <row r="3207" ht="15" customHeight="1" x14ac:dyDescent="0.35"/>
    <row r="3208" ht="15" customHeight="1" x14ac:dyDescent="0.35"/>
    <row r="3209" ht="15" customHeight="1" x14ac:dyDescent="0.35"/>
    <row r="3210" ht="15" customHeight="1" x14ac:dyDescent="0.35"/>
    <row r="3211" ht="15" customHeight="1" x14ac:dyDescent="0.35"/>
    <row r="3212" ht="15" customHeight="1" x14ac:dyDescent="0.35"/>
    <row r="3213" ht="15" customHeight="1" x14ac:dyDescent="0.35"/>
    <row r="3214" ht="15" customHeight="1" x14ac:dyDescent="0.35"/>
    <row r="3215" ht="15" customHeight="1" x14ac:dyDescent="0.35"/>
    <row r="3216" ht="15" customHeight="1" x14ac:dyDescent="0.35"/>
    <row r="3217" ht="15" customHeight="1" x14ac:dyDescent="0.35"/>
    <row r="3218" ht="15" customHeight="1" x14ac:dyDescent="0.35"/>
    <row r="3219" ht="15" customHeight="1" x14ac:dyDescent="0.35"/>
    <row r="3220" ht="15" customHeight="1" x14ac:dyDescent="0.35"/>
    <row r="3221" ht="15" customHeight="1" x14ac:dyDescent="0.35"/>
    <row r="3222" ht="15" customHeight="1" x14ac:dyDescent="0.35"/>
    <row r="3223" ht="15" customHeight="1" x14ac:dyDescent="0.35"/>
    <row r="3224" ht="15" customHeight="1" x14ac:dyDescent="0.35"/>
    <row r="3225" ht="15" customHeight="1" x14ac:dyDescent="0.35"/>
    <row r="3226" ht="15" customHeight="1" x14ac:dyDescent="0.35"/>
    <row r="3227" ht="15" customHeight="1" x14ac:dyDescent="0.35"/>
    <row r="3228" ht="15" customHeight="1" x14ac:dyDescent="0.35"/>
    <row r="3229" ht="15" customHeight="1" x14ac:dyDescent="0.35"/>
    <row r="3230" ht="15" customHeight="1" x14ac:dyDescent="0.35"/>
    <row r="3231" ht="15" customHeight="1" x14ac:dyDescent="0.35"/>
    <row r="3232" ht="15" customHeight="1" x14ac:dyDescent="0.35"/>
    <row r="3233" ht="15" customHeight="1" x14ac:dyDescent="0.35"/>
    <row r="3234" ht="15" customHeight="1" x14ac:dyDescent="0.35"/>
    <row r="3235" ht="15" customHeight="1" x14ac:dyDescent="0.35"/>
    <row r="3236" ht="15" customHeight="1" x14ac:dyDescent="0.35"/>
    <row r="3237" ht="15" customHeight="1" x14ac:dyDescent="0.35"/>
    <row r="3238" ht="15" customHeight="1" x14ac:dyDescent="0.35"/>
    <row r="3239" ht="15" customHeight="1" x14ac:dyDescent="0.35"/>
    <row r="3240" ht="15" customHeight="1" x14ac:dyDescent="0.35"/>
    <row r="3241" ht="15" customHeight="1" x14ac:dyDescent="0.35"/>
    <row r="3242" ht="15" customHeight="1" x14ac:dyDescent="0.35"/>
    <row r="3243" ht="15" customHeight="1" x14ac:dyDescent="0.35"/>
    <row r="3244" ht="15" customHeight="1" x14ac:dyDescent="0.35"/>
    <row r="3245" ht="15" customHeight="1" x14ac:dyDescent="0.35"/>
    <row r="3246" ht="15" customHeight="1" x14ac:dyDescent="0.35"/>
    <row r="3247" ht="15" customHeight="1" x14ac:dyDescent="0.35"/>
    <row r="3248" ht="15" customHeight="1" x14ac:dyDescent="0.35"/>
    <row r="3249" ht="15" customHeight="1" x14ac:dyDescent="0.35"/>
    <row r="3250" ht="15" customHeight="1" x14ac:dyDescent="0.35"/>
    <row r="3251" ht="15" customHeight="1" x14ac:dyDescent="0.35"/>
    <row r="3252" ht="15" customHeight="1" x14ac:dyDescent="0.35"/>
    <row r="3253" ht="15" customHeight="1" x14ac:dyDescent="0.35"/>
    <row r="3254" ht="15" customHeight="1" x14ac:dyDescent="0.35"/>
    <row r="3255" ht="15" customHeight="1" x14ac:dyDescent="0.35"/>
    <row r="3256" ht="15" customHeight="1" x14ac:dyDescent="0.35"/>
    <row r="3257" ht="15" customHeight="1" x14ac:dyDescent="0.35"/>
    <row r="3258" ht="15" customHeight="1" x14ac:dyDescent="0.35"/>
    <row r="3259" ht="15" customHeight="1" x14ac:dyDescent="0.35"/>
    <row r="3260" ht="15" customHeight="1" x14ac:dyDescent="0.35"/>
    <row r="3261" ht="15" customHeight="1" x14ac:dyDescent="0.35"/>
    <row r="3262" ht="15" customHeight="1" x14ac:dyDescent="0.35"/>
    <row r="3263" ht="15" customHeight="1" x14ac:dyDescent="0.35"/>
    <row r="3264" ht="15" customHeight="1" x14ac:dyDescent="0.35"/>
    <row r="3265" ht="15" customHeight="1" x14ac:dyDescent="0.35"/>
    <row r="3266" ht="15" customHeight="1" x14ac:dyDescent="0.35"/>
    <row r="3267" ht="15" customHeight="1" x14ac:dyDescent="0.35"/>
    <row r="3268" ht="15" customHeight="1" x14ac:dyDescent="0.35"/>
    <row r="3269" ht="15" customHeight="1" x14ac:dyDescent="0.35"/>
    <row r="3270" ht="15" customHeight="1" x14ac:dyDescent="0.35"/>
    <row r="3271" ht="15" customHeight="1" x14ac:dyDescent="0.35"/>
    <row r="3272" ht="15" customHeight="1" x14ac:dyDescent="0.35"/>
    <row r="3273" ht="15" customHeight="1" x14ac:dyDescent="0.35"/>
    <row r="3274" ht="15" customHeight="1" x14ac:dyDescent="0.35"/>
    <row r="3275" ht="15" customHeight="1" x14ac:dyDescent="0.35"/>
    <row r="3276" ht="15" customHeight="1" x14ac:dyDescent="0.35"/>
    <row r="3277" ht="15" customHeight="1" x14ac:dyDescent="0.35"/>
    <row r="3278" ht="15" customHeight="1" x14ac:dyDescent="0.35"/>
    <row r="3279" ht="15" customHeight="1" x14ac:dyDescent="0.35"/>
    <row r="3280" ht="15" customHeight="1" x14ac:dyDescent="0.35"/>
    <row r="3281" ht="15" customHeight="1" x14ac:dyDescent="0.35"/>
    <row r="3282" ht="15" customHeight="1" x14ac:dyDescent="0.35"/>
    <row r="3283" ht="15" customHeight="1" x14ac:dyDescent="0.35"/>
    <row r="3284" ht="15" customHeight="1" x14ac:dyDescent="0.35"/>
    <row r="3285" ht="15" customHeight="1" x14ac:dyDescent="0.35"/>
    <row r="3286" ht="15" customHeight="1" x14ac:dyDescent="0.35"/>
    <row r="3287" ht="15" customHeight="1" x14ac:dyDescent="0.35"/>
    <row r="3288" ht="15" customHeight="1" x14ac:dyDescent="0.35"/>
    <row r="3289" ht="15" customHeight="1" x14ac:dyDescent="0.35"/>
    <row r="3290" ht="15" customHeight="1" x14ac:dyDescent="0.35"/>
    <row r="3291" ht="15" customHeight="1" x14ac:dyDescent="0.35"/>
    <row r="3292" ht="15" customHeight="1" x14ac:dyDescent="0.35"/>
    <row r="3293" ht="15" customHeight="1" x14ac:dyDescent="0.35"/>
    <row r="3294" ht="15" customHeight="1" x14ac:dyDescent="0.35"/>
    <row r="3295" ht="15" customHeight="1" x14ac:dyDescent="0.35"/>
    <row r="3296" ht="15" customHeight="1" x14ac:dyDescent="0.35"/>
    <row r="3297" ht="15" customHeight="1" x14ac:dyDescent="0.35"/>
    <row r="3298" ht="15" customHeight="1" x14ac:dyDescent="0.35"/>
    <row r="3299" ht="15" customHeight="1" x14ac:dyDescent="0.35"/>
    <row r="3300" ht="15" customHeight="1" x14ac:dyDescent="0.35"/>
    <row r="3301" ht="15" customHeight="1" x14ac:dyDescent="0.35"/>
    <row r="3302" ht="15" customHeight="1" x14ac:dyDescent="0.35"/>
    <row r="3303" ht="15" customHeight="1" x14ac:dyDescent="0.35"/>
    <row r="3304" ht="15" customHeight="1" x14ac:dyDescent="0.35"/>
    <row r="3305" ht="15" customHeight="1" x14ac:dyDescent="0.35"/>
    <row r="3306" ht="15" customHeight="1" x14ac:dyDescent="0.35"/>
    <row r="3307" ht="15" customHeight="1" x14ac:dyDescent="0.35"/>
    <row r="3308" ht="15" customHeight="1" x14ac:dyDescent="0.35"/>
    <row r="3309" ht="15" customHeight="1" x14ac:dyDescent="0.35"/>
    <row r="3310" ht="15" customHeight="1" x14ac:dyDescent="0.35"/>
    <row r="3311" ht="15" customHeight="1" x14ac:dyDescent="0.35"/>
    <row r="3312" ht="15" customHeight="1" x14ac:dyDescent="0.35"/>
    <row r="3313" ht="15" customHeight="1" x14ac:dyDescent="0.35"/>
    <row r="3314" ht="15" customHeight="1" x14ac:dyDescent="0.35"/>
    <row r="3315" ht="15" customHeight="1" x14ac:dyDescent="0.35"/>
    <row r="3316" ht="15" customHeight="1" x14ac:dyDescent="0.35"/>
    <row r="3317" ht="15" customHeight="1" x14ac:dyDescent="0.35"/>
    <row r="3318" ht="15" customHeight="1" x14ac:dyDescent="0.35"/>
    <row r="3319" ht="15" customHeight="1" x14ac:dyDescent="0.35"/>
    <row r="3320" ht="15" customHeight="1" x14ac:dyDescent="0.35"/>
    <row r="3321" ht="15" customHeight="1" x14ac:dyDescent="0.35"/>
    <row r="3322" ht="15" customHeight="1" x14ac:dyDescent="0.35"/>
    <row r="3323" ht="15" customHeight="1" x14ac:dyDescent="0.35"/>
    <row r="3324" ht="15" customHeight="1" x14ac:dyDescent="0.35"/>
    <row r="3325" ht="15" customHeight="1" x14ac:dyDescent="0.35"/>
    <row r="3326" ht="15" customHeight="1" x14ac:dyDescent="0.35"/>
    <row r="3327" ht="15" customHeight="1" x14ac:dyDescent="0.35"/>
    <row r="3328" ht="15" customHeight="1" x14ac:dyDescent="0.35"/>
    <row r="3329" ht="15" customHeight="1" x14ac:dyDescent="0.35"/>
    <row r="3330" ht="15" customHeight="1" x14ac:dyDescent="0.35"/>
    <row r="3331" ht="15" customHeight="1" x14ac:dyDescent="0.35"/>
    <row r="3332" ht="15" customHeight="1" x14ac:dyDescent="0.35"/>
    <row r="3333" ht="15" customHeight="1" x14ac:dyDescent="0.35"/>
    <row r="3334" ht="15" customHeight="1" x14ac:dyDescent="0.35"/>
    <row r="3335" ht="15" customHeight="1" x14ac:dyDescent="0.35"/>
    <row r="3336" ht="15" customHeight="1" x14ac:dyDescent="0.35"/>
    <row r="3337" ht="15" customHeight="1" x14ac:dyDescent="0.35"/>
    <row r="3338" ht="15" customHeight="1" x14ac:dyDescent="0.35"/>
    <row r="3339" ht="15" customHeight="1" x14ac:dyDescent="0.35"/>
    <row r="3340" ht="15" customHeight="1" x14ac:dyDescent="0.35"/>
    <row r="3341" ht="15" customHeight="1" x14ac:dyDescent="0.35"/>
    <row r="3342" ht="15" customHeight="1" x14ac:dyDescent="0.35"/>
    <row r="3343" ht="15" customHeight="1" x14ac:dyDescent="0.35"/>
    <row r="3344" ht="15" customHeight="1" x14ac:dyDescent="0.35"/>
    <row r="3345" ht="15" customHeight="1" x14ac:dyDescent="0.35"/>
    <row r="3346" ht="15" customHeight="1" x14ac:dyDescent="0.35"/>
    <row r="3347" ht="15" customHeight="1" x14ac:dyDescent="0.35"/>
    <row r="3348" ht="15" customHeight="1" x14ac:dyDescent="0.35"/>
    <row r="3349" ht="15" customHeight="1" x14ac:dyDescent="0.35"/>
    <row r="3350" ht="15" customHeight="1" x14ac:dyDescent="0.35"/>
    <row r="3351" ht="15" customHeight="1" x14ac:dyDescent="0.35"/>
    <row r="3352" ht="15" customHeight="1" x14ac:dyDescent="0.35"/>
    <row r="3353" ht="15" customHeight="1" x14ac:dyDescent="0.35"/>
    <row r="3354" ht="15" customHeight="1" x14ac:dyDescent="0.35"/>
    <row r="3355" ht="15" customHeight="1" x14ac:dyDescent="0.35"/>
    <row r="3356" ht="15" customHeight="1" x14ac:dyDescent="0.35"/>
    <row r="3357" ht="15" customHeight="1" x14ac:dyDescent="0.35"/>
    <row r="3358" ht="15" customHeight="1" x14ac:dyDescent="0.35"/>
    <row r="3359" ht="15" customHeight="1" x14ac:dyDescent="0.35"/>
    <row r="3360" ht="15" customHeight="1" x14ac:dyDescent="0.35"/>
    <row r="3361" ht="15" customHeight="1" x14ac:dyDescent="0.35"/>
    <row r="3362" ht="15" customHeight="1" x14ac:dyDescent="0.35"/>
    <row r="3363" ht="15" customHeight="1" x14ac:dyDescent="0.35"/>
    <row r="3364" ht="15" customHeight="1" x14ac:dyDescent="0.35"/>
    <row r="3365" ht="15" customHeight="1" x14ac:dyDescent="0.35"/>
    <row r="3366" ht="15" customHeight="1" x14ac:dyDescent="0.35"/>
    <row r="3367" ht="15" customHeight="1" x14ac:dyDescent="0.35"/>
    <row r="3368" ht="15" customHeight="1" x14ac:dyDescent="0.35"/>
    <row r="3369" ht="15" customHeight="1" x14ac:dyDescent="0.35"/>
    <row r="3370" ht="15" customHeight="1" x14ac:dyDescent="0.35"/>
    <row r="3371" ht="15" customHeight="1" x14ac:dyDescent="0.35"/>
    <row r="3372" ht="15" customHeight="1" x14ac:dyDescent="0.35"/>
    <row r="3373" ht="15" customHeight="1" x14ac:dyDescent="0.35"/>
    <row r="3374" ht="15" customHeight="1" x14ac:dyDescent="0.35"/>
    <row r="3375" ht="15" customHeight="1" x14ac:dyDescent="0.35"/>
    <row r="3376" ht="15" customHeight="1" x14ac:dyDescent="0.35"/>
    <row r="3377" ht="15" customHeight="1" x14ac:dyDescent="0.35"/>
    <row r="3378" ht="15" customHeight="1" x14ac:dyDescent="0.35"/>
    <row r="3379" ht="15" customHeight="1" x14ac:dyDescent="0.35"/>
    <row r="3380" ht="15" customHeight="1" x14ac:dyDescent="0.35"/>
    <row r="3381" ht="15" customHeight="1" x14ac:dyDescent="0.35"/>
    <row r="3382" ht="15" customHeight="1" x14ac:dyDescent="0.35"/>
    <row r="3383" ht="15" customHeight="1" x14ac:dyDescent="0.35"/>
    <row r="3384" ht="15" customHeight="1" x14ac:dyDescent="0.35"/>
    <row r="3385" ht="15" customHeight="1" x14ac:dyDescent="0.35"/>
    <row r="3386" ht="15" customHeight="1" x14ac:dyDescent="0.35"/>
    <row r="3387" ht="15" customHeight="1" x14ac:dyDescent="0.35"/>
    <row r="3388" ht="15" customHeight="1" x14ac:dyDescent="0.35"/>
    <row r="3389" ht="15" customHeight="1" x14ac:dyDescent="0.35"/>
    <row r="3390" ht="15" customHeight="1" x14ac:dyDescent="0.35"/>
    <row r="3391" ht="15" customHeight="1" x14ac:dyDescent="0.35"/>
    <row r="3392" ht="15" customHeight="1" x14ac:dyDescent="0.35"/>
    <row r="3393" ht="15" customHeight="1" x14ac:dyDescent="0.35"/>
    <row r="3394" ht="15" customHeight="1" x14ac:dyDescent="0.35"/>
    <row r="3395" ht="15" customHeight="1" x14ac:dyDescent="0.35"/>
    <row r="3396" ht="15" customHeight="1" x14ac:dyDescent="0.35"/>
    <row r="3397" ht="15" customHeight="1" x14ac:dyDescent="0.35"/>
    <row r="3398" ht="15" customHeight="1" x14ac:dyDescent="0.35"/>
    <row r="3399" ht="15" customHeight="1" x14ac:dyDescent="0.35"/>
    <row r="3400" ht="15" customHeight="1" x14ac:dyDescent="0.35"/>
    <row r="3401" ht="15" customHeight="1" x14ac:dyDescent="0.35"/>
    <row r="3402" ht="15" customHeight="1" x14ac:dyDescent="0.35"/>
    <row r="3403" ht="15" customHeight="1" x14ac:dyDescent="0.35"/>
    <row r="3404" ht="15" customHeight="1" x14ac:dyDescent="0.35"/>
    <row r="3405" ht="15" customHeight="1" x14ac:dyDescent="0.35"/>
    <row r="3406" ht="15" customHeight="1" x14ac:dyDescent="0.35"/>
    <row r="3407" ht="15" customHeight="1" x14ac:dyDescent="0.35"/>
    <row r="3408" ht="15" customHeight="1" x14ac:dyDescent="0.35"/>
    <row r="3409" ht="15" customHeight="1" x14ac:dyDescent="0.35"/>
    <row r="3410" ht="15" customHeight="1" x14ac:dyDescent="0.35"/>
    <row r="3411" ht="15" customHeight="1" x14ac:dyDescent="0.35"/>
    <row r="3412" ht="15" customHeight="1" x14ac:dyDescent="0.35"/>
    <row r="3413" ht="15" customHeight="1" x14ac:dyDescent="0.35"/>
    <row r="3414" ht="15" customHeight="1" x14ac:dyDescent="0.35"/>
    <row r="3415" ht="15" customHeight="1" x14ac:dyDescent="0.35"/>
    <row r="3416" ht="15" customHeight="1" x14ac:dyDescent="0.35"/>
    <row r="3417" ht="15" customHeight="1" x14ac:dyDescent="0.35"/>
    <row r="3418" ht="15" customHeight="1" x14ac:dyDescent="0.35"/>
    <row r="3419" ht="15" customHeight="1" x14ac:dyDescent="0.35"/>
    <row r="3420" ht="15" customHeight="1" x14ac:dyDescent="0.35"/>
    <row r="3421" ht="15" customHeight="1" x14ac:dyDescent="0.35"/>
    <row r="3422" ht="15" customHeight="1" x14ac:dyDescent="0.35"/>
    <row r="3423" ht="15" customHeight="1" x14ac:dyDescent="0.35"/>
    <row r="3424" ht="15" customHeight="1" x14ac:dyDescent="0.35"/>
    <row r="3425" ht="15" customHeight="1" x14ac:dyDescent="0.35"/>
    <row r="3426" ht="15" customHeight="1" x14ac:dyDescent="0.35"/>
    <row r="3427" ht="15" customHeight="1" x14ac:dyDescent="0.35"/>
    <row r="3428" ht="15" customHeight="1" x14ac:dyDescent="0.35"/>
    <row r="3429" ht="15" customHeight="1" x14ac:dyDescent="0.35"/>
    <row r="3430" ht="15" customHeight="1" x14ac:dyDescent="0.35"/>
    <row r="3431" ht="15" customHeight="1" x14ac:dyDescent="0.35"/>
    <row r="3432" ht="15" customHeight="1" x14ac:dyDescent="0.35"/>
    <row r="3433" ht="15" customHeight="1" x14ac:dyDescent="0.35"/>
    <row r="3434" ht="15" customHeight="1" x14ac:dyDescent="0.35"/>
    <row r="3435" ht="15" customHeight="1" x14ac:dyDescent="0.35"/>
    <row r="3436" ht="15" customHeight="1" x14ac:dyDescent="0.35"/>
    <row r="3437" ht="15" customHeight="1" x14ac:dyDescent="0.35"/>
    <row r="3438" ht="15" customHeight="1" x14ac:dyDescent="0.35"/>
    <row r="3439" ht="15" customHeight="1" x14ac:dyDescent="0.35"/>
    <row r="3440" ht="15" customHeight="1" x14ac:dyDescent="0.35"/>
    <row r="3441" ht="15" customHeight="1" x14ac:dyDescent="0.35"/>
    <row r="3442" ht="15" customHeight="1" x14ac:dyDescent="0.35"/>
    <row r="3443" ht="15" customHeight="1" x14ac:dyDescent="0.35"/>
    <row r="3444" ht="15" customHeight="1" x14ac:dyDescent="0.35"/>
    <row r="3445" ht="15" customHeight="1" x14ac:dyDescent="0.35"/>
    <row r="3446" ht="15" customHeight="1" x14ac:dyDescent="0.35"/>
    <row r="3447" ht="15" customHeight="1" x14ac:dyDescent="0.35"/>
    <row r="3448" ht="15" customHeight="1" x14ac:dyDescent="0.35"/>
    <row r="3449" ht="15" customHeight="1" x14ac:dyDescent="0.35"/>
    <row r="3450" ht="15" customHeight="1" x14ac:dyDescent="0.35"/>
    <row r="3451" ht="15" customHeight="1" x14ac:dyDescent="0.35"/>
    <row r="3452" ht="15" customHeight="1" x14ac:dyDescent="0.35"/>
    <row r="3453" ht="15" customHeight="1" x14ac:dyDescent="0.35"/>
    <row r="3454" ht="15" customHeight="1" x14ac:dyDescent="0.35"/>
    <row r="3455" ht="15" customHeight="1" x14ac:dyDescent="0.35"/>
    <row r="3456" ht="15" customHeight="1" x14ac:dyDescent="0.35"/>
    <row r="3457" ht="15" customHeight="1" x14ac:dyDescent="0.35"/>
    <row r="3458" ht="15" customHeight="1" x14ac:dyDescent="0.35"/>
    <row r="3459" ht="15" customHeight="1" x14ac:dyDescent="0.35"/>
    <row r="3460" ht="15" customHeight="1" x14ac:dyDescent="0.35"/>
    <row r="3461" ht="15" customHeight="1" x14ac:dyDescent="0.35"/>
    <row r="3462" ht="15" customHeight="1" x14ac:dyDescent="0.35"/>
    <row r="3463" ht="15" customHeight="1" x14ac:dyDescent="0.35"/>
    <row r="3464" ht="15" customHeight="1" x14ac:dyDescent="0.35"/>
    <row r="3465" ht="15" customHeight="1" x14ac:dyDescent="0.35"/>
    <row r="3466" ht="15" customHeight="1" x14ac:dyDescent="0.35"/>
    <row r="3467" ht="15" customHeight="1" x14ac:dyDescent="0.35"/>
    <row r="3468" ht="15" customHeight="1" x14ac:dyDescent="0.35"/>
    <row r="3469" ht="15" customHeight="1" x14ac:dyDescent="0.35"/>
    <row r="3470" ht="15" customHeight="1" x14ac:dyDescent="0.35"/>
    <row r="3471" ht="15" customHeight="1" x14ac:dyDescent="0.35"/>
    <row r="3472" ht="15" customHeight="1" x14ac:dyDescent="0.35"/>
    <row r="3473" ht="15" customHeight="1" x14ac:dyDescent="0.35"/>
    <row r="3474" ht="15" customHeight="1" x14ac:dyDescent="0.35"/>
    <row r="3475" ht="15" customHeight="1" x14ac:dyDescent="0.35"/>
    <row r="3476" ht="15" customHeight="1" x14ac:dyDescent="0.35"/>
    <row r="3477" ht="15" customHeight="1" x14ac:dyDescent="0.35"/>
    <row r="3478" ht="15" customHeight="1" x14ac:dyDescent="0.35"/>
    <row r="3479" ht="15" customHeight="1" x14ac:dyDescent="0.35"/>
    <row r="3480" ht="15" customHeight="1" x14ac:dyDescent="0.35"/>
    <row r="3481" ht="15" customHeight="1" x14ac:dyDescent="0.35"/>
    <row r="3482" ht="15" customHeight="1" x14ac:dyDescent="0.35"/>
    <row r="3483" ht="15" customHeight="1" x14ac:dyDescent="0.35"/>
    <row r="3484" ht="15" customHeight="1" x14ac:dyDescent="0.35"/>
    <row r="3485" ht="15" customHeight="1" x14ac:dyDescent="0.35"/>
    <row r="3486" ht="15" customHeight="1" x14ac:dyDescent="0.35"/>
    <row r="3487" ht="15" customHeight="1" x14ac:dyDescent="0.35"/>
    <row r="3488" ht="15" customHeight="1" x14ac:dyDescent="0.35"/>
    <row r="3489" ht="15" customHeight="1" x14ac:dyDescent="0.35"/>
    <row r="3490" ht="15" customHeight="1" x14ac:dyDescent="0.35"/>
    <row r="3491" ht="15" customHeight="1" x14ac:dyDescent="0.35"/>
    <row r="3492" ht="15" customHeight="1" x14ac:dyDescent="0.35"/>
    <row r="3493" ht="15" customHeight="1" x14ac:dyDescent="0.35"/>
    <row r="3494" ht="15" customHeight="1" x14ac:dyDescent="0.35"/>
    <row r="3495" ht="15" customHeight="1" x14ac:dyDescent="0.35"/>
    <row r="3496" ht="15" customHeight="1" x14ac:dyDescent="0.35"/>
    <row r="3497" ht="15" customHeight="1" x14ac:dyDescent="0.35"/>
    <row r="3498" ht="15" customHeight="1" x14ac:dyDescent="0.35"/>
    <row r="3499" ht="15" customHeight="1" x14ac:dyDescent="0.35"/>
    <row r="3500" ht="15" customHeight="1" x14ac:dyDescent="0.35"/>
    <row r="3501" ht="15" customHeight="1" x14ac:dyDescent="0.35"/>
    <row r="3502" ht="15" customHeight="1" x14ac:dyDescent="0.35"/>
    <row r="3503" ht="15" customHeight="1" x14ac:dyDescent="0.35"/>
    <row r="3504" ht="15" customHeight="1" x14ac:dyDescent="0.35"/>
    <row r="3505" ht="15" customHeight="1" x14ac:dyDescent="0.35"/>
    <row r="3506" ht="15" customHeight="1" x14ac:dyDescent="0.35"/>
    <row r="3507" ht="15" customHeight="1" x14ac:dyDescent="0.35"/>
    <row r="3508" ht="15" customHeight="1" x14ac:dyDescent="0.35"/>
    <row r="3509" ht="15" customHeight="1" x14ac:dyDescent="0.35"/>
    <row r="3510" ht="15" customHeight="1" x14ac:dyDescent="0.35"/>
    <row r="3511" ht="15" customHeight="1" x14ac:dyDescent="0.35"/>
    <row r="3512" ht="15" customHeight="1" x14ac:dyDescent="0.35"/>
    <row r="3513" ht="15" customHeight="1" x14ac:dyDescent="0.35"/>
    <row r="3514" ht="15" customHeight="1" x14ac:dyDescent="0.35"/>
    <row r="3515" ht="15" customHeight="1" x14ac:dyDescent="0.35"/>
    <row r="3516" ht="15" customHeight="1" x14ac:dyDescent="0.35"/>
    <row r="3517" ht="15" customHeight="1" x14ac:dyDescent="0.35"/>
    <row r="3518" ht="15" customHeight="1" x14ac:dyDescent="0.35"/>
    <row r="3519" ht="15" customHeight="1" x14ac:dyDescent="0.35"/>
    <row r="3520" ht="15" customHeight="1" x14ac:dyDescent="0.35"/>
    <row r="3521" ht="15" customHeight="1" x14ac:dyDescent="0.35"/>
    <row r="3522" ht="15" customHeight="1" x14ac:dyDescent="0.35"/>
    <row r="3523" ht="15" customHeight="1" x14ac:dyDescent="0.35"/>
    <row r="3524" ht="15" customHeight="1" x14ac:dyDescent="0.35"/>
    <row r="3525" ht="15" customHeight="1" x14ac:dyDescent="0.35"/>
    <row r="3526" ht="15" customHeight="1" x14ac:dyDescent="0.35"/>
    <row r="3527" ht="15" customHeight="1" x14ac:dyDescent="0.35"/>
    <row r="3528" ht="15" customHeight="1" x14ac:dyDescent="0.35"/>
    <row r="3529" ht="15" customHeight="1" x14ac:dyDescent="0.35"/>
    <row r="3530" ht="15" customHeight="1" x14ac:dyDescent="0.35"/>
    <row r="3531" ht="15" customHeight="1" x14ac:dyDescent="0.35"/>
    <row r="3532" ht="15" customHeight="1" x14ac:dyDescent="0.35"/>
    <row r="3533" ht="15" customHeight="1" x14ac:dyDescent="0.35"/>
    <row r="3534" ht="15" customHeight="1" x14ac:dyDescent="0.35"/>
    <row r="3535" ht="15" customHeight="1" x14ac:dyDescent="0.35"/>
    <row r="3536" ht="15" customHeight="1" x14ac:dyDescent="0.35"/>
    <row r="3537" ht="15" customHeight="1" x14ac:dyDescent="0.35"/>
    <row r="3538" ht="15" customHeight="1" x14ac:dyDescent="0.35"/>
    <row r="3539" ht="15" customHeight="1" x14ac:dyDescent="0.35"/>
    <row r="3540" ht="15" customHeight="1" x14ac:dyDescent="0.35"/>
    <row r="3541" ht="15" customHeight="1" x14ac:dyDescent="0.35"/>
    <row r="3542" ht="15" customHeight="1" x14ac:dyDescent="0.35"/>
    <row r="3543" ht="15" customHeight="1" x14ac:dyDescent="0.35"/>
    <row r="3544" ht="15" customHeight="1" x14ac:dyDescent="0.35"/>
    <row r="3545" ht="15" customHeight="1" x14ac:dyDescent="0.35"/>
    <row r="3546" ht="15" customHeight="1" x14ac:dyDescent="0.35"/>
    <row r="3547" ht="15" customHeight="1" x14ac:dyDescent="0.35"/>
    <row r="3548" ht="15" customHeight="1" x14ac:dyDescent="0.35"/>
    <row r="3549" ht="15" customHeight="1" x14ac:dyDescent="0.35"/>
    <row r="3550" ht="15" customHeight="1" x14ac:dyDescent="0.35"/>
    <row r="3551" ht="15" customHeight="1" x14ac:dyDescent="0.35"/>
    <row r="3552" ht="15" customHeight="1" x14ac:dyDescent="0.35"/>
    <row r="3553" ht="15" customHeight="1" x14ac:dyDescent="0.35"/>
    <row r="3554" ht="15" customHeight="1" x14ac:dyDescent="0.35"/>
    <row r="3555" ht="15" customHeight="1" x14ac:dyDescent="0.35"/>
    <row r="3556" ht="15" customHeight="1" x14ac:dyDescent="0.35"/>
    <row r="3557" ht="15" customHeight="1" x14ac:dyDescent="0.35"/>
    <row r="3558" ht="15" customHeight="1" x14ac:dyDescent="0.35"/>
    <row r="3559" ht="15" customHeight="1" x14ac:dyDescent="0.35"/>
    <row r="3560" ht="15" customHeight="1" x14ac:dyDescent="0.35"/>
    <row r="3561" ht="15" customHeight="1" x14ac:dyDescent="0.35"/>
    <row r="3562" ht="15" customHeight="1" x14ac:dyDescent="0.35"/>
    <row r="3563" ht="15" customHeight="1" x14ac:dyDescent="0.35"/>
    <row r="3564" ht="15" customHeight="1" x14ac:dyDescent="0.35"/>
    <row r="3565" ht="15" customHeight="1" x14ac:dyDescent="0.35"/>
    <row r="3566" ht="15" customHeight="1" x14ac:dyDescent="0.35"/>
    <row r="3567" ht="15" customHeight="1" x14ac:dyDescent="0.35"/>
    <row r="3568" ht="15" customHeight="1" x14ac:dyDescent="0.35"/>
    <row r="3569" ht="15" customHeight="1" x14ac:dyDescent="0.35"/>
    <row r="3570" ht="15" customHeight="1" x14ac:dyDescent="0.35"/>
    <row r="3571" ht="15" customHeight="1" x14ac:dyDescent="0.35"/>
    <row r="3572" ht="15" customHeight="1" x14ac:dyDescent="0.35"/>
    <row r="3573" ht="15" customHeight="1" x14ac:dyDescent="0.35"/>
    <row r="3574" ht="15" customHeight="1" x14ac:dyDescent="0.35"/>
    <row r="3575" ht="15" customHeight="1" x14ac:dyDescent="0.35"/>
    <row r="3576" ht="15" customHeight="1" x14ac:dyDescent="0.35"/>
    <row r="3577" ht="15" customHeight="1" x14ac:dyDescent="0.35"/>
    <row r="3578" ht="15" customHeight="1" x14ac:dyDescent="0.35"/>
    <row r="3579" ht="15" customHeight="1" x14ac:dyDescent="0.35"/>
    <row r="3580" ht="15" customHeight="1" x14ac:dyDescent="0.35"/>
    <row r="3581" ht="15" customHeight="1" x14ac:dyDescent="0.35"/>
    <row r="3582" ht="15" customHeight="1" x14ac:dyDescent="0.35"/>
    <row r="3583" ht="15" customHeight="1" x14ac:dyDescent="0.35"/>
    <row r="3584" ht="15" customHeight="1" x14ac:dyDescent="0.35"/>
    <row r="3585" ht="15" customHeight="1" x14ac:dyDescent="0.35"/>
    <row r="3586" ht="15" customHeight="1" x14ac:dyDescent="0.35"/>
    <row r="3587" ht="15" customHeight="1" x14ac:dyDescent="0.35"/>
    <row r="3588" ht="15" customHeight="1" x14ac:dyDescent="0.35"/>
    <row r="3589" ht="15" customHeight="1" x14ac:dyDescent="0.35"/>
    <row r="3590" ht="15" customHeight="1" x14ac:dyDescent="0.35"/>
    <row r="3591" ht="15" customHeight="1" x14ac:dyDescent="0.35"/>
    <row r="3592" ht="15" customHeight="1" x14ac:dyDescent="0.35"/>
    <row r="3593" ht="15" customHeight="1" x14ac:dyDescent="0.35"/>
    <row r="3594" ht="15" customHeight="1" x14ac:dyDescent="0.35"/>
    <row r="3595" ht="15" customHeight="1" x14ac:dyDescent="0.35"/>
    <row r="3596" ht="15" customHeight="1" x14ac:dyDescent="0.35"/>
    <row r="3597" ht="15" customHeight="1" x14ac:dyDescent="0.35"/>
    <row r="3598" ht="15" customHeight="1" x14ac:dyDescent="0.35"/>
    <row r="3599" ht="15" customHeight="1" x14ac:dyDescent="0.35"/>
    <row r="3600" ht="15" customHeight="1" x14ac:dyDescent="0.35"/>
    <row r="3601" ht="15" customHeight="1" x14ac:dyDescent="0.35"/>
    <row r="3602" ht="15" customHeight="1" x14ac:dyDescent="0.35"/>
    <row r="3603" ht="15" customHeight="1" x14ac:dyDescent="0.35"/>
    <row r="3604" ht="15" customHeight="1" x14ac:dyDescent="0.35"/>
    <row r="3605" ht="15" customHeight="1" x14ac:dyDescent="0.35"/>
    <row r="3606" ht="15" customHeight="1" x14ac:dyDescent="0.35"/>
    <row r="3607" ht="15" customHeight="1" x14ac:dyDescent="0.35"/>
    <row r="3608" ht="15" customHeight="1" x14ac:dyDescent="0.35"/>
    <row r="3609" ht="15" customHeight="1" x14ac:dyDescent="0.35"/>
    <row r="3610" ht="15" customHeight="1" x14ac:dyDescent="0.35"/>
    <row r="3611" ht="15" customHeight="1" x14ac:dyDescent="0.35"/>
    <row r="3612" ht="15" customHeight="1" x14ac:dyDescent="0.35"/>
    <row r="3613" ht="15" customHeight="1" x14ac:dyDescent="0.35"/>
    <row r="3614" ht="15" customHeight="1" x14ac:dyDescent="0.35"/>
    <row r="3615" ht="15" customHeight="1" x14ac:dyDescent="0.35"/>
    <row r="3616" ht="15" customHeight="1" x14ac:dyDescent="0.35"/>
    <row r="3617" ht="15" customHeight="1" x14ac:dyDescent="0.35"/>
    <row r="3618" ht="15" customHeight="1" x14ac:dyDescent="0.35"/>
    <row r="3619" ht="15" customHeight="1" x14ac:dyDescent="0.35"/>
    <row r="3620" ht="15" customHeight="1" x14ac:dyDescent="0.35"/>
    <row r="3621" ht="15" customHeight="1" x14ac:dyDescent="0.35"/>
    <row r="3622" ht="15" customHeight="1" x14ac:dyDescent="0.35"/>
    <row r="3623" ht="15" customHeight="1" x14ac:dyDescent="0.35"/>
    <row r="3624" ht="15" customHeight="1" x14ac:dyDescent="0.35"/>
    <row r="3625" ht="15" customHeight="1" x14ac:dyDescent="0.35"/>
    <row r="3626" ht="15" customHeight="1" x14ac:dyDescent="0.35"/>
    <row r="3627" ht="15" customHeight="1" x14ac:dyDescent="0.35"/>
    <row r="3628" ht="15" customHeight="1" x14ac:dyDescent="0.35"/>
    <row r="3629" ht="15" customHeight="1" x14ac:dyDescent="0.35"/>
    <row r="3630" ht="15" customHeight="1" x14ac:dyDescent="0.35"/>
    <row r="3631" ht="15" customHeight="1" x14ac:dyDescent="0.35"/>
    <row r="3632" ht="15" customHeight="1" x14ac:dyDescent="0.35"/>
    <row r="3633" ht="15" customHeight="1" x14ac:dyDescent="0.35"/>
    <row r="3634" ht="15" customHeight="1" x14ac:dyDescent="0.35"/>
    <row r="3635" ht="15" customHeight="1" x14ac:dyDescent="0.35"/>
    <row r="3636" ht="15" customHeight="1" x14ac:dyDescent="0.35"/>
    <row r="3637" ht="15" customHeight="1" x14ac:dyDescent="0.35"/>
    <row r="3638" ht="15" customHeight="1" x14ac:dyDescent="0.35"/>
    <row r="3639" ht="15" customHeight="1" x14ac:dyDescent="0.35"/>
    <row r="3640" ht="15" customHeight="1" x14ac:dyDescent="0.35"/>
    <row r="3641" ht="15" customHeight="1" x14ac:dyDescent="0.35"/>
    <row r="3642" ht="15" customHeight="1" x14ac:dyDescent="0.35"/>
    <row r="3643" ht="15" customHeight="1" x14ac:dyDescent="0.35"/>
    <row r="3644" ht="15" customHeight="1" x14ac:dyDescent="0.35"/>
    <row r="3645" ht="15" customHeight="1" x14ac:dyDescent="0.35"/>
    <row r="3646" ht="15" customHeight="1" x14ac:dyDescent="0.35"/>
    <row r="3647" ht="15" customHeight="1" x14ac:dyDescent="0.35"/>
    <row r="3648" ht="15" customHeight="1" x14ac:dyDescent="0.35"/>
    <row r="3649" ht="15" customHeight="1" x14ac:dyDescent="0.35"/>
    <row r="3650" ht="15" customHeight="1" x14ac:dyDescent="0.35"/>
    <row r="3651" ht="15" customHeight="1" x14ac:dyDescent="0.35"/>
    <row r="3652" ht="15" customHeight="1" x14ac:dyDescent="0.35"/>
    <row r="3653" ht="15" customHeight="1" x14ac:dyDescent="0.35"/>
    <row r="3654" ht="15" customHeight="1" x14ac:dyDescent="0.35"/>
    <row r="3655" ht="15" customHeight="1" x14ac:dyDescent="0.35"/>
    <row r="3656" ht="15" customHeight="1" x14ac:dyDescent="0.35"/>
    <row r="3657" ht="15" customHeight="1" x14ac:dyDescent="0.35"/>
    <row r="3658" ht="15" customHeight="1" x14ac:dyDescent="0.35"/>
    <row r="3659" ht="15" customHeight="1" x14ac:dyDescent="0.35"/>
    <row r="3660" ht="15" customHeight="1" x14ac:dyDescent="0.35"/>
    <row r="3661" ht="15" customHeight="1" x14ac:dyDescent="0.35"/>
    <row r="3662" ht="15" customHeight="1" x14ac:dyDescent="0.35"/>
    <row r="3663" ht="15" customHeight="1" x14ac:dyDescent="0.35"/>
    <row r="3664" ht="15" customHeight="1" x14ac:dyDescent="0.35"/>
    <row r="3665" ht="15" customHeight="1" x14ac:dyDescent="0.35"/>
    <row r="3666" ht="15" customHeight="1" x14ac:dyDescent="0.35"/>
    <row r="3667" ht="15" customHeight="1" x14ac:dyDescent="0.35"/>
    <row r="3668" ht="15" customHeight="1" x14ac:dyDescent="0.35"/>
    <row r="3669" ht="15" customHeight="1" x14ac:dyDescent="0.35"/>
    <row r="3670" ht="15" customHeight="1" x14ac:dyDescent="0.35"/>
    <row r="3671" ht="15" customHeight="1" x14ac:dyDescent="0.35"/>
    <row r="3672" ht="15" customHeight="1" x14ac:dyDescent="0.35"/>
    <row r="3673" ht="15" customHeight="1" x14ac:dyDescent="0.35"/>
    <row r="3674" ht="15" customHeight="1" x14ac:dyDescent="0.35"/>
    <row r="3675" ht="15" customHeight="1" x14ac:dyDescent="0.35"/>
    <row r="3676" ht="15" customHeight="1" x14ac:dyDescent="0.35"/>
    <row r="3677" ht="15" customHeight="1" x14ac:dyDescent="0.35"/>
    <row r="3678" ht="15" customHeight="1" x14ac:dyDescent="0.35"/>
    <row r="3679" ht="15" customHeight="1" x14ac:dyDescent="0.35"/>
    <row r="3680" ht="15" customHeight="1" x14ac:dyDescent="0.35"/>
    <row r="3681" ht="15" customHeight="1" x14ac:dyDescent="0.35"/>
    <row r="3682" ht="15" customHeight="1" x14ac:dyDescent="0.35"/>
    <row r="3683" ht="15" customHeight="1" x14ac:dyDescent="0.35"/>
    <row r="3684" ht="15" customHeight="1" x14ac:dyDescent="0.35"/>
    <row r="3685" ht="15" customHeight="1" x14ac:dyDescent="0.35"/>
    <row r="3686" ht="15" customHeight="1" x14ac:dyDescent="0.35"/>
    <row r="3687" ht="15" customHeight="1" x14ac:dyDescent="0.35"/>
    <row r="3688" ht="15" customHeight="1" x14ac:dyDescent="0.35"/>
    <row r="3689" ht="15" customHeight="1" x14ac:dyDescent="0.35"/>
    <row r="3690" ht="15" customHeight="1" x14ac:dyDescent="0.35"/>
    <row r="3691" ht="15" customHeight="1" x14ac:dyDescent="0.35"/>
    <row r="3692" ht="15" customHeight="1" x14ac:dyDescent="0.35"/>
    <row r="3693" ht="15" customHeight="1" x14ac:dyDescent="0.35"/>
    <row r="3694" ht="15" customHeight="1" x14ac:dyDescent="0.35"/>
    <row r="3695" ht="15" customHeight="1" x14ac:dyDescent="0.35"/>
    <row r="3696" ht="15" customHeight="1" x14ac:dyDescent="0.35"/>
    <row r="3697" ht="15" customHeight="1" x14ac:dyDescent="0.35"/>
    <row r="3698" ht="15" customHeight="1" x14ac:dyDescent="0.35"/>
    <row r="3699" ht="15" customHeight="1" x14ac:dyDescent="0.35"/>
    <row r="3700" ht="15" customHeight="1" x14ac:dyDescent="0.35"/>
    <row r="3701" ht="15" customHeight="1" x14ac:dyDescent="0.35"/>
    <row r="3702" ht="15" customHeight="1" x14ac:dyDescent="0.35"/>
    <row r="3703" ht="15" customHeight="1" x14ac:dyDescent="0.35"/>
    <row r="3704" ht="15" customHeight="1" x14ac:dyDescent="0.35"/>
    <row r="3705" ht="15" customHeight="1" x14ac:dyDescent="0.35"/>
    <row r="3706" ht="15" customHeight="1" x14ac:dyDescent="0.35"/>
    <row r="3707" ht="15" customHeight="1" x14ac:dyDescent="0.35"/>
    <row r="3708" ht="15" customHeight="1" x14ac:dyDescent="0.35"/>
    <row r="3709" ht="15" customHeight="1" x14ac:dyDescent="0.35"/>
    <row r="3710" ht="15" customHeight="1" x14ac:dyDescent="0.35"/>
    <row r="3711" ht="15" customHeight="1" x14ac:dyDescent="0.35"/>
    <row r="3712" ht="15" customHeight="1" x14ac:dyDescent="0.35"/>
    <row r="3713" ht="15" customHeight="1" x14ac:dyDescent="0.35"/>
    <row r="3714" ht="15" customHeight="1" x14ac:dyDescent="0.35"/>
    <row r="3715" ht="15" customHeight="1" x14ac:dyDescent="0.35"/>
    <row r="3716" ht="15" customHeight="1" x14ac:dyDescent="0.35"/>
    <row r="3717" ht="15" customHeight="1" x14ac:dyDescent="0.35"/>
    <row r="3718" ht="15" customHeight="1" x14ac:dyDescent="0.35"/>
    <row r="3719" ht="15" customHeight="1" x14ac:dyDescent="0.35"/>
    <row r="3720" ht="15" customHeight="1" x14ac:dyDescent="0.35"/>
    <row r="3721" ht="15" customHeight="1" x14ac:dyDescent="0.35"/>
    <row r="3722" ht="15" customHeight="1" x14ac:dyDescent="0.35"/>
    <row r="3723" ht="15" customHeight="1" x14ac:dyDescent="0.35"/>
    <row r="3724" ht="15" customHeight="1" x14ac:dyDescent="0.35"/>
    <row r="3725" ht="15" customHeight="1" x14ac:dyDescent="0.35"/>
    <row r="3726" ht="15" customHeight="1" x14ac:dyDescent="0.35"/>
    <row r="3727" ht="15" customHeight="1" x14ac:dyDescent="0.35"/>
    <row r="3728" ht="15" customHeight="1" x14ac:dyDescent="0.35"/>
    <row r="3729" ht="15" customHeight="1" x14ac:dyDescent="0.35"/>
    <row r="3730" ht="15" customHeight="1" x14ac:dyDescent="0.35"/>
    <row r="3731" ht="15" customHeight="1" x14ac:dyDescent="0.35"/>
    <row r="3732" ht="15" customHeight="1" x14ac:dyDescent="0.35"/>
    <row r="3733" ht="15" customHeight="1" x14ac:dyDescent="0.35"/>
    <row r="3734" ht="15" customHeight="1" x14ac:dyDescent="0.35"/>
    <row r="3735" ht="15" customHeight="1" x14ac:dyDescent="0.35"/>
    <row r="3736" ht="15" customHeight="1" x14ac:dyDescent="0.35"/>
    <row r="3737" ht="15" customHeight="1" x14ac:dyDescent="0.35"/>
    <row r="3738" ht="15" customHeight="1" x14ac:dyDescent="0.35"/>
    <row r="3739" ht="15" customHeight="1" x14ac:dyDescent="0.35"/>
    <row r="3740" ht="15" customHeight="1" x14ac:dyDescent="0.35"/>
    <row r="3741" ht="15" customHeight="1" x14ac:dyDescent="0.35"/>
    <row r="3742" ht="15" customHeight="1" x14ac:dyDescent="0.35"/>
    <row r="3743" ht="15" customHeight="1" x14ac:dyDescent="0.35"/>
    <row r="3744" ht="15" customHeight="1" x14ac:dyDescent="0.35"/>
    <row r="3745" ht="15" customHeight="1" x14ac:dyDescent="0.35"/>
    <row r="3746" ht="15" customHeight="1" x14ac:dyDescent="0.35"/>
    <row r="3747" ht="15" customHeight="1" x14ac:dyDescent="0.35"/>
    <row r="3748" ht="15" customHeight="1" x14ac:dyDescent="0.35"/>
    <row r="3749" ht="15" customHeight="1" x14ac:dyDescent="0.35"/>
    <row r="3750" ht="15" customHeight="1" x14ac:dyDescent="0.35"/>
    <row r="3751" ht="15" customHeight="1" x14ac:dyDescent="0.35"/>
    <row r="3752" ht="15" customHeight="1" x14ac:dyDescent="0.35"/>
    <row r="3753" ht="15" customHeight="1" x14ac:dyDescent="0.35"/>
    <row r="3754" ht="15" customHeight="1" x14ac:dyDescent="0.35"/>
    <row r="3755" ht="15" customHeight="1" x14ac:dyDescent="0.35"/>
    <row r="3756" ht="15" customHeight="1" x14ac:dyDescent="0.35"/>
    <row r="3757" ht="15" customHeight="1" x14ac:dyDescent="0.35"/>
    <row r="3758" ht="15" customHeight="1" x14ac:dyDescent="0.35"/>
    <row r="3759" ht="15" customHeight="1" x14ac:dyDescent="0.35"/>
    <row r="3760" ht="15" customHeight="1" x14ac:dyDescent="0.35"/>
    <row r="3761" ht="15" customHeight="1" x14ac:dyDescent="0.35"/>
    <row r="3762" ht="15" customHeight="1" x14ac:dyDescent="0.35"/>
    <row r="3763" ht="15" customHeight="1" x14ac:dyDescent="0.35"/>
    <row r="3764" ht="15" customHeight="1" x14ac:dyDescent="0.35"/>
    <row r="3765" ht="15" customHeight="1" x14ac:dyDescent="0.35"/>
    <row r="3766" ht="15" customHeight="1" x14ac:dyDescent="0.35"/>
    <row r="3767" ht="15" customHeight="1" x14ac:dyDescent="0.35"/>
    <row r="3768" ht="15" customHeight="1" x14ac:dyDescent="0.35"/>
    <row r="3769" ht="15" customHeight="1" x14ac:dyDescent="0.35"/>
    <row r="3770" ht="15" customHeight="1" x14ac:dyDescent="0.35"/>
    <row r="3771" ht="15" customHeight="1" x14ac:dyDescent="0.35"/>
    <row r="3772" ht="15" customHeight="1" x14ac:dyDescent="0.35"/>
    <row r="3773" ht="15" customHeight="1" x14ac:dyDescent="0.35"/>
    <row r="3774" ht="15" customHeight="1" x14ac:dyDescent="0.35"/>
    <row r="3775" ht="15" customHeight="1" x14ac:dyDescent="0.35"/>
    <row r="3776" ht="15" customHeight="1" x14ac:dyDescent="0.35"/>
    <row r="3777" ht="15" customHeight="1" x14ac:dyDescent="0.35"/>
    <row r="3778" ht="15" customHeight="1" x14ac:dyDescent="0.35"/>
    <row r="3779" ht="15" customHeight="1" x14ac:dyDescent="0.35"/>
    <row r="3780" ht="15" customHeight="1" x14ac:dyDescent="0.35"/>
    <row r="3781" ht="15" customHeight="1" x14ac:dyDescent="0.35"/>
    <row r="3782" ht="15" customHeight="1" x14ac:dyDescent="0.35"/>
    <row r="3783" ht="15" customHeight="1" x14ac:dyDescent="0.35"/>
    <row r="3784" ht="15" customHeight="1" x14ac:dyDescent="0.35"/>
    <row r="3785" ht="15" customHeight="1" x14ac:dyDescent="0.35"/>
    <row r="3786" ht="15" customHeight="1" x14ac:dyDescent="0.35"/>
    <row r="3787" ht="15" customHeight="1" x14ac:dyDescent="0.35"/>
    <row r="3788" ht="15" customHeight="1" x14ac:dyDescent="0.35"/>
    <row r="3789" ht="15" customHeight="1" x14ac:dyDescent="0.35"/>
    <row r="3790" ht="15" customHeight="1" x14ac:dyDescent="0.35"/>
    <row r="3791" ht="15" customHeight="1" x14ac:dyDescent="0.35"/>
    <row r="3792" ht="15" customHeight="1" x14ac:dyDescent="0.35"/>
    <row r="3793" ht="15" customHeight="1" x14ac:dyDescent="0.35"/>
    <row r="3794" ht="15" customHeight="1" x14ac:dyDescent="0.35"/>
    <row r="3795" ht="15" customHeight="1" x14ac:dyDescent="0.35"/>
    <row r="3796" ht="15" customHeight="1" x14ac:dyDescent="0.35"/>
    <row r="3797" ht="15" customHeight="1" x14ac:dyDescent="0.35"/>
    <row r="3798" ht="15" customHeight="1" x14ac:dyDescent="0.35"/>
    <row r="3799" ht="15" customHeight="1" x14ac:dyDescent="0.35"/>
    <row r="3800" ht="15" customHeight="1" x14ac:dyDescent="0.35"/>
    <row r="3801" ht="15" customHeight="1" x14ac:dyDescent="0.35"/>
    <row r="3802" ht="15" customHeight="1" x14ac:dyDescent="0.35"/>
    <row r="3803" ht="15" customHeight="1" x14ac:dyDescent="0.35"/>
    <row r="3804" ht="15" customHeight="1" x14ac:dyDescent="0.35"/>
    <row r="3805" ht="15" customHeight="1" x14ac:dyDescent="0.35"/>
    <row r="3806" ht="15" customHeight="1" x14ac:dyDescent="0.35"/>
    <row r="3807" ht="15" customHeight="1" x14ac:dyDescent="0.35"/>
    <row r="3808" ht="15" customHeight="1" x14ac:dyDescent="0.35"/>
    <row r="3809" ht="15" customHeight="1" x14ac:dyDescent="0.35"/>
    <row r="3810" ht="15" customHeight="1" x14ac:dyDescent="0.35"/>
    <row r="3811" ht="15" customHeight="1" x14ac:dyDescent="0.35"/>
    <row r="3812" ht="15" customHeight="1" x14ac:dyDescent="0.35"/>
    <row r="3813" ht="15" customHeight="1" x14ac:dyDescent="0.35"/>
    <row r="3814" ht="15" customHeight="1" x14ac:dyDescent="0.35"/>
    <row r="3815" ht="15" customHeight="1" x14ac:dyDescent="0.35"/>
    <row r="3816" ht="15" customHeight="1" x14ac:dyDescent="0.35"/>
    <row r="3817" ht="15" customHeight="1" x14ac:dyDescent="0.35"/>
    <row r="3818" ht="15" customHeight="1" x14ac:dyDescent="0.35"/>
    <row r="3819" ht="15" customHeight="1" x14ac:dyDescent="0.35"/>
    <row r="3820" ht="15" customHeight="1" x14ac:dyDescent="0.35"/>
    <row r="3821" ht="15" customHeight="1" x14ac:dyDescent="0.35"/>
    <row r="3822" ht="15" customHeight="1" x14ac:dyDescent="0.35"/>
    <row r="3823" ht="15" customHeight="1" x14ac:dyDescent="0.35"/>
    <row r="3824" ht="15" customHeight="1" x14ac:dyDescent="0.35"/>
    <row r="3825" ht="15" customHeight="1" x14ac:dyDescent="0.35"/>
    <row r="3826" ht="15" customHeight="1" x14ac:dyDescent="0.35"/>
    <row r="3827" ht="15" customHeight="1" x14ac:dyDescent="0.35"/>
    <row r="3828" ht="15" customHeight="1" x14ac:dyDescent="0.35"/>
    <row r="3829" ht="15" customHeight="1" x14ac:dyDescent="0.35"/>
    <row r="3830" ht="15" customHeight="1" x14ac:dyDescent="0.35"/>
    <row r="3831" ht="15" customHeight="1" x14ac:dyDescent="0.35"/>
    <row r="3832" ht="15" customHeight="1" x14ac:dyDescent="0.35"/>
    <row r="3833" ht="15" customHeight="1" x14ac:dyDescent="0.35"/>
    <row r="3834" ht="15" customHeight="1" x14ac:dyDescent="0.35"/>
    <row r="3835" ht="15" customHeight="1" x14ac:dyDescent="0.35"/>
    <row r="3836" ht="15" customHeight="1" x14ac:dyDescent="0.35"/>
    <row r="3837" ht="15" customHeight="1" x14ac:dyDescent="0.35"/>
    <row r="3838" ht="15" customHeight="1" x14ac:dyDescent="0.35"/>
    <row r="3839" ht="15" customHeight="1" x14ac:dyDescent="0.35"/>
    <row r="3840" ht="15" customHeight="1" x14ac:dyDescent="0.35"/>
    <row r="3841" ht="15" customHeight="1" x14ac:dyDescent="0.35"/>
    <row r="3842" ht="15" customHeight="1" x14ac:dyDescent="0.35"/>
    <row r="3843" ht="15" customHeight="1" x14ac:dyDescent="0.35"/>
    <row r="3844" ht="15" customHeight="1" x14ac:dyDescent="0.35"/>
    <row r="3845" ht="15" customHeight="1" x14ac:dyDescent="0.35"/>
    <row r="3846" ht="15" customHeight="1" x14ac:dyDescent="0.35"/>
    <row r="3847" ht="15" customHeight="1" x14ac:dyDescent="0.35"/>
    <row r="3848" ht="15" customHeight="1" x14ac:dyDescent="0.35"/>
    <row r="3849" ht="15" customHeight="1" x14ac:dyDescent="0.35"/>
    <row r="3850" ht="15" customHeight="1" x14ac:dyDescent="0.35"/>
    <row r="3851" ht="15" customHeight="1" x14ac:dyDescent="0.35"/>
    <row r="3852" ht="15" customHeight="1" x14ac:dyDescent="0.35"/>
    <row r="3853" ht="15" customHeight="1" x14ac:dyDescent="0.35"/>
    <row r="3854" ht="15" customHeight="1" x14ac:dyDescent="0.35"/>
    <row r="3855" ht="15" customHeight="1" x14ac:dyDescent="0.35"/>
    <row r="3856" ht="15" customHeight="1" x14ac:dyDescent="0.35"/>
    <row r="3857" ht="15" customHeight="1" x14ac:dyDescent="0.35"/>
    <row r="3858" ht="15" customHeight="1" x14ac:dyDescent="0.35"/>
    <row r="3859" ht="15" customHeight="1" x14ac:dyDescent="0.35"/>
    <row r="3860" ht="15" customHeight="1" x14ac:dyDescent="0.35"/>
    <row r="3861" ht="15" customHeight="1" x14ac:dyDescent="0.35"/>
    <row r="3862" ht="15" customHeight="1" x14ac:dyDescent="0.35"/>
    <row r="3863" ht="15" customHeight="1" x14ac:dyDescent="0.35"/>
    <row r="3864" ht="15" customHeight="1" x14ac:dyDescent="0.35"/>
    <row r="3865" ht="15" customHeight="1" x14ac:dyDescent="0.35"/>
    <row r="3866" ht="15" customHeight="1" x14ac:dyDescent="0.35"/>
    <row r="3867" ht="15" customHeight="1" x14ac:dyDescent="0.35"/>
    <row r="3868" ht="15" customHeight="1" x14ac:dyDescent="0.35"/>
    <row r="3869" ht="15" customHeight="1" x14ac:dyDescent="0.35"/>
    <row r="3870" ht="15" customHeight="1" x14ac:dyDescent="0.35"/>
    <row r="3871" ht="15" customHeight="1" x14ac:dyDescent="0.35"/>
    <row r="3872" ht="15" customHeight="1" x14ac:dyDescent="0.35"/>
    <row r="3873" ht="15" customHeight="1" x14ac:dyDescent="0.35"/>
    <row r="3874" ht="15" customHeight="1" x14ac:dyDescent="0.35"/>
    <row r="3875" ht="15" customHeight="1" x14ac:dyDescent="0.35"/>
    <row r="3876" ht="15" customHeight="1" x14ac:dyDescent="0.35"/>
    <row r="3877" ht="15" customHeight="1" x14ac:dyDescent="0.35"/>
    <row r="3878" ht="15" customHeight="1" x14ac:dyDescent="0.35"/>
    <row r="3879" ht="15" customHeight="1" x14ac:dyDescent="0.35"/>
    <row r="3880" ht="15" customHeight="1" x14ac:dyDescent="0.35"/>
    <row r="3881" ht="15" customHeight="1" x14ac:dyDescent="0.35"/>
    <row r="3882" ht="15" customHeight="1" x14ac:dyDescent="0.35"/>
    <row r="3883" ht="15" customHeight="1" x14ac:dyDescent="0.35"/>
    <row r="3884" ht="15" customHeight="1" x14ac:dyDescent="0.35"/>
    <row r="3885" ht="15" customHeight="1" x14ac:dyDescent="0.35"/>
    <row r="3886" ht="15" customHeight="1" x14ac:dyDescent="0.35"/>
    <row r="3887" ht="15" customHeight="1" x14ac:dyDescent="0.35"/>
    <row r="3888" ht="15" customHeight="1" x14ac:dyDescent="0.35"/>
    <row r="3889" ht="15" customHeight="1" x14ac:dyDescent="0.35"/>
    <row r="3890" ht="15" customHeight="1" x14ac:dyDescent="0.35"/>
    <row r="3891" ht="15" customHeight="1" x14ac:dyDescent="0.35"/>
    <row r="3892" ht="15" customHeight="1" x14ac:dyDescent="0.35"/>
    <row r="3893" ht="15" customHeight="1" x14ac:dyDescent="0.35"/>
    <row r="3894" ht="15" customHeight="1" x14ac:dyDescent="0.35"/>
    <row r="3895" ht="15" customHeight="1" x14ac:dyDescent="0.35"/>
    <row r="3896" ht="15" customHeight="1" x14ac:dyDescent="0.35"/>
    <row r="3897" ht="15" customHeight="1" x14ac:dyDescent="0.35"/>
    <row r="3898" ht="15" customHeight="1" x14ac:dyDescent="0.35"/>
    <row r="3899" ht="15" customHeight="1" x14ac:dyDescent="0.35"/>
    <row r="3900" ht="15" customHeight="1" x14ac:dyDescent="0.35"/>
    <row r="3901" ht="15" customHeight="1" x14ac:dyDescent="0.35"/>
    <row r="3902" ht="15" customHeight="1" x14ac:dyDescent="0.35"/>
    <row r="3903" ht="15" customHeight="1" x14ac:dyDescent="0.35"/>
    <row r="3904" ht="15" customHeight="1" x14ac:dyDescent="0.35"/>
    <row r="3905" ht="15" customHeight="1" x14ac:dyDescent="0.35"/>
    <row r="3906" ht="15" customHeight="1" x14ac:dyDescent="0.35"/>
    <row r="3907" ht="15" customHeight="1" x14ac:dyDescent="0.35"/>
    <row r="3908" ht="15" customHeight="1" x14ac:dyDescent="0.35"/>
    <row r="3909" ht="15" customHeight="1" x14ac:dyDescent="0.35"/>
    <row r="3910" ht="15" customHeight="1" x14ac:dyDescent="0.35"/>
    <row r="3911" ht="15" customHeight="1" x14ac:dyDescent="0.35"/>
    <row r="3912" ht="15" customHeight="1" x14ac:dyDescent="0.35"/>
    <row r="3913" ht="15" customHeight="1" x14ac:dyDescent="0.35"/>
    <row r="3914" ht="15" customHeight="1" x14ac:dyDescent="0.35"/>
    <row r="3915" ht="15" customHeight="1" x14ac:dyDescent="0.35"/>
    <row r="3916" ht="15" customHeight="1" x14ac:dyDescent="0.35"/>
    <row r="3917" ht="15" customHeight="1" x14ac:dyDescent="0.35"/>
    <row r="3918" ht="15" customHeight="1" x14ac:dyDescent="0.35"/>
    <row r="3919" ht="15" customHeight="1" x14ac:dyDescent="0.35"/>
    <row r="3920" ht="15" customHeight="1" x14ac:dyDescent="0.35"/>
    <row r="3921" ht="15" customHeight="1" x14ac:dyDescent="0.35"/>
    <row r="3922" ht="15" customHeight="1" x14ac:dyDescent="0.35"/>
    <row r="3923" ht="15" customHeight="1" x14ac:dyDescent="0.35"/>
    <row r="3924" ht="15" customHeight="1" x14ac:dyDescent="0.35"/>
    <row r="3925" ht="15" customHeight="1" x14ac:dyDescent="0.35"/>
    <row r="3926" ht="15" customHeight="1" x14ac:dyDescent="0.35"/>
    <row r="3927" ht="15" customHeight="1" x14ac:dyDescent="0.35"/>
    <row r="3928" ht="15" customHeight="1" x14ac:dyDescent="0.35"/>
    <row r="3929" ht="15" customHeight="1" x14ac:dyDescent="0.35"/>
    <row r="3930" ht="15" customHeight="1" x14ac:dyDescent="0.35"/>
    <row r="3931" ht="15" customHeight="1" x14ac:dyDescent="0.35"/>
    <row r="3932" ht="15" customHeight="1" x14ac:dyDescent="0.35"/>
    <row r="3933" ht="15" customHeight="1" x14ac:dyDescent="0.35"/>
    <row r="3934" ht="15" customHeight="1" x14ac:dyDescent="0.35"/>
    <row r="3935" ht="15" customHeight="1" x14ac:dyDescent="0.35"/>
    <row r="3936" ht="15" customHeight="1" x14ac:dyDescent="0.35"/>
    <row r="3937" ht="15" customHeight="1" x14ac:dyDescent="0.35"/>
    <row r="3938" ht="15" customHeight="1" x14ac:dyDescent="0.35"/>
    <row r="3939" ht="15" customHeight="1" x14ac:dyDescent="0.35"/>
    <row r="3940" ht="15" customHeight="1" x14ac:dyDescent="0.35"/>
    <row r="3941" ht="15" customHeight="1" x14ac:dyDescent="0.35"/>
    <row r="3942" ht="15" customHeight="1" x14ac:dyDescent="0.35"/>
    <row r="3943" ht="15" customHeight="1" x14ac:dyDescent="0.35"/>
    <row r="3944" ht="15" customHeight="1" x14ac:dyDescent="0.35"/>
    <row r="3945" ht="15" customHeight="1" x14ac:dyDescent="0.35"/>
    <row r="3946" ht="15" customHeight="1" x14ac:dyDescent="0.35"/>
    <row r="3947" ht="15" customHeight="1" x14ac:dyDescent="0.35"/>
    <row r="3948" ht="15" customHeight="1" x14ac:dyDescent="0.35"/>
    <row r="3949" ht="15" customHeight="1" x14ac:dyDescent="0.35"/>
    <row r="3950" ht="15" customHeight="1" x14ac:dyDescent="0.35"/>
    <row r="3951" ht="15" customHeight="1" x14ac:dyDescent="0.35"/>
    <row r="3952" ht="15" customHeight="1" x14ac:dyDescent="0.35"/>
    <row r="3953" ht="15" customHeight="1" x14ac:dyDescent="0.35"/>
    <row r="3954" ht="15" customHeight="1" x14ac:dyDescent="0.35"/>
    <row r="3955" ht="15" customHeight="1" x14ac:dyDescent="0.35"/>
    <row r="3956" ht="15" customHeight="1" x14ac:dyDescent="0.35"/>
    <row r="3957" ht="15" customHeight="1" x14ac:dyDescent="0.35"/>
    <row r="3958" ht="15" customHeight="1" x14ac:dyDescent="0.35"/>
    <row r="3959" ht="15" customHeight="1" x14ac:dyDescent="0.35"/>
    <row r="3960" ht="15" customHeight="1" x14ac:dyDescent="0.35"/>
    <row r="3961" ht="15" customHeight="1" x14ac:dyDescent="0.35"/>
    <row r="3962" ht="15" customHeight="1" x14ac:dyDescent="0.35"/>
    <row r="3963" ht="15" customHeight="1" x14ac:dyDescent="0.35"/>
    <row r="3964" ht="15" customHeight="1" x14ac:dyDescent="0.35"/>
    <row r="3965" ht="15" customHeight="1" x14ac:dyDescent="0.35"/>
    <row r="3966" ht="15" customHeight="1" x14ac:dyDescent="0.35"/>
    <row r="3967" ht="15" customHeight="1" x14ac:dyDescent="0.35"/>
    <row r="3968" ht="15" customHeight="1" x14ac:dyDescent="0.35"/>
    <row r="3969" ht="15" customHeight="1" x14ac:dyDescent="0.35"/>
    <row r="3970" ht="15" customHeight="1" x14ac:dyDescent="0.35"/>
    <row r="3971" ht="15" customHeight="1" x14ac:dyDescent="0.35"/>
    <row r="3972" ht="15" customHeight="1" x14ac:dyDescent="0.35"/>
    <row r="3973" ht="15" customHeight="1" x14ac:dyDescent="0.35"/>
    <row r="3974" ht="15" customHeight="1" x14ac:dyDescent="0.35"/>
    <row r="3975" ht="15" customHeight="1" x14ac:dyDescent="0.35"/>
    <row r="3976" ht="15" customHeight="1" x14ac:dyDescent="0.35"/>
    <row r="3977" ht="15" customHeight="1" x14ac:dyDescent="0.35"/>
    <row r="3978" ht="15" customHeight="1" x14ac:dyDescent="0.35"/>
    <row r="3979" ht="15" customHeight="1" x14ac:dyDescent="0.35"/>
    <row r="3980" ht="15" customHeight="1" x14ac:dyDescent="0.35"/>
    <row r="3981" ht="15" customHeight="1" x14ac:dyDescent="0.35"/>
    <row r="3982" ht="15" customHeight="1" x14ac:dyDescent="0.35"/>
    <row r="3983" ht="15" customHeight="1" x14ac:dyDescent="0.35"/>
    <row r="3984" ht="15" customHeight="1" x14ac:dyDescent="0.35"/>
    <row r="3985" ht="15" customHeight="1" x14ac:dyDescent="0.35"/>
    <row r="3986" ht="15" customHeight="1" x14ac:dyDescent="0.35"/>
    <row r="3987" ht="15" customHeight="1" x14ac:dyDescent="0.35"/>
    <row r="3988" ht="15" customHeight="1" x14ac:dyDescent="0.35"/>
    <row r="3989" ht="15" customHeight="1" x14ac:dyDescent="0.35"/>
    <row r="3990" ht="15" customHeight="1" x14ac:dyDescent="0.35"/>
    <row r="3991" ht="15" customHeight="1" x14ac:dyDescent="0.35"/>
    <row r="3992" ht="15" customHeight="1" x14ac:dyDescent="0.35"/>
    <row r="3993" ht="15" customHeight="1" x14ac:dyDescent="0.35"/>
    <row r="3994" ht="15" customHeight="1" x14ac:dyDescent="0.35"/>
    <row r="3995" ht="15" customHeight="1" x14ac:dyDescent="0.35"/>
    <row r="3996" ht="15" customHeight="1" x14ac:dyDescent="0.35"/>
    <row r="3997" ht="15" customHeight="1" x14ac:dyDescent="0.35"/>
    <row r="3998" ht="15" customHeight="1" x14ac:dyDescent="0.35"/>
    <row r="3999" ht="15" customHeight="1" x14ac:dyDescent="0.35"/>
    <row r="4000" ht="15" customHeight="1" x14ac:dyDescent="0.35"/>
    <row r="4001" ht="15" customHeight="1" x14ac:dyDescent="0.35"/>
    <row r="4002" ht="15" customHeight="1" x14ac:dyDescent="0.35"/>
    <row r="4003" ht="15" customHeight="1" x14ac:dyDescent="0.35"/>
    <row r="4004" ht="15" customHeight="1" x14ac:dyDescent="0.35"/>
    <row r="4005" ht="15" customHeight="1" x14ac:dyDescent="0.35"/>
    <row r="4006" ht="15" customHeight="1" x14ac:dyDescent="0.35"/>
    <row r="4007" ht="15" customHeight="1" x14ac:dyDescent="0.35"/>
    <row r="4008" ht="15" customHeight="1" x14ac:dyDescent="0.35"/>
    <row r="4009" ht="15" customHeight="1" x14ac:dyDescent="0.35"/>
    <row r="4010" ht="15" customHeight="1" x14ac:dyDescent="0.35"/>
    <row r="4011" ht="15" customHeight="1" x14ac:dyDescent="0.35"/>
    <row r="4012" ht="15" customHeight="1" x14ac:dyDescent="0.35"/>
    <row r="4013" ht="15" customHeight="1" x14ac:dyDescent="0.35"/>
    <row r="4014" ht="15" customHeight="1" x14ac:dyDescent="0.35"/>
    <row r="4015" ht="15" customHeight="1" x14ac:dyDescent="0.35"/>
    <row r="4016" ht="15" customHeight="1" x14ac:dyDescent="0.35"/>
    <row r="4017" ht="15" customHeight="1" x14ac:dyDescent="0.35"/>
    <row r="4018" ht="15" customHeight="1" x14ac:dyDescent="0.35"/>
    <row r="4019" ht="15" customHeight="1" x14ac:dyDescent="0.35"/>
    <row r="4020" ht="15" customHeight="1" x14ac:dyDescent="0.35"/>
    <row r="4021" ht="15" customHeight="1" x14ac:dyDescent="0.35"/>
    <row r="4022" ht="15" customHeight="1" x14ac:dyDescent="0.35"/>
    <row r="4023" ht="15" customHeight="1" x14ac:dyDescent="0.35"/>
    <row r="4024" ht="15" customHeight="1" x14ac:dyDescent="0.35"/>
    <row r="4025" ht="15" customHeight="1" x14ac:dyDescent="0.35"/>
    <row r="4026" ht="15" customHeight="1" x14ac:dyDescent="0.35"/>
    <row r="4027" ht="15" customHeight="1" x14ac:dyDescent="0.35"/>
    <row r="4028" ht="15" customHeight="1" x14ac:dyDescent="0.35"/>
    <row r="4029" ht="15" customHeight="1" x14ac:dyDescent="0.35"/>
    <row r="4030" ht="15" customHeight="1" x14ac:dyDescent="0.35"/>
    <row r="4031" ht="15" customHeight="1" x14ac:dyDescent="0.35"/>
    <row r="4032" ht="15" customHeight="1" x14ac:dyDescent="0.35"/>
    <row r="4033" ht="15" customHeight="1" x14ac:dyDescent="0.35"/>
    <row r="4034" ht="15" customHeight="1" x14ac:dyDescent="0.35"/>
    <row r="4035" ht="15" customHeight="1" x14ac:dyDescent="0.35"/>
    <row r="4036" ht="15" customHeight="1" x14ac:dyDescent="0.35"/>
    <row r="4037" ht="15" customHeight="1" x14ac:dyDescent="0.35"/>
    <row r="4038" ht="15" customHeight="1" x14ac:dyDescent="0.35"/>
    <row r="4039" ht="15" customHeight="1" x14ac:dyDescent="0.35"/>
    <row r="4040" ht="15" customHeight="1" x14ac:dyDescent="0.35"/>
    <row r="4041" ht="15" customHeight="1" x14ac:dyDescent="0.35"/>
    <row r="4042" ht="15" customHeight="1" x14ac:dyDescent="0.35"/>
    <row r="4043" ht="15" customHeight="1" x14ac:dyDescent="0.35"/>
    <row r="4044" ht="15" customHeight="1" x14ac:dyDescent="0.35"/>
    <row r="4045" ht="15" customHeight="1" x14ac:dyDescent="0.35"/>
    <row r="4046" ht="15" customHeight="1" x14ac:dyDescent="0.35"/>
    <row r="4047" ht="15" customHeight="1" x14ac:dyDescent="0.35"/>
    <row r="4048" ht="15" customHeight="1" x14ac:dyDescent="0.35"/>
    <row r="4049" ht="15" customHeight="1" x14ac:dyDescent="0.35"/>
    <row r="4050" ht="15" customHeight="1" x14ac:dyDescent="0.35"/>
    <row r="4051" ht="15" customHeight="1" x14ac:dyDescent="0.35"/>
    <row r="4052" ht="15" customHeight="1" x14ac:dyDescent="0.35"/>
    <row r="4053" ht="15" customHeight="1" x14ac:dyDescent="0.35"/>
    <row r="4054" ht="15" customHeight="1" x14ac:dyDescent="0.35"/>
    <row r="4055" ht="15" customHeight="1" x14ac:dyDescent="0.35"/>
    <row r="4056" ht="15" customHeight="1" x14ac:dyDescent="0.35"/>
    <row r="4057" ht="15" customHeight="1" x14ac:dyDescent="0.35"/>
    <row r="4058" ht="15" customHeight="1" x14ac:dyDescent="0.35"/>
    <row r="4059" ht="15" customHeight="1" x14ac:dyDescent="0.35"/>
    <row r="4060" ht="15" customHeight="1" x14ac:dyDescent="0.35"/>
    <row r="4061" ht="15" customHeight="1" x14ac:dyDescent="0.35"/>
    <row r="4062" ht="15" customHeight="1" x14ac:dyDescent="0.35"/>
    <row r="4063" ht="15" customHeight="1" x14ac:dyDescent="0.35"/>
    <row r="4064" ht="15" customHeight="1" x14ac:dyDescent="0.35"/>
    <row r="4065" ht="15" customHeight="1" x14ac:dyDescent="0.35"/>
    <row r="4066" ht="15" customHeight="1" x14ac:dyDescent="0.35"/>
    <row r="4067" ht="15" customHeight="1" x14ac:dyDescent="0.35"/>
    <row r="4068" ht="15" customHeight="1" x14ac:dyDescent="0.35"/>
    <row r="4069" ht="15" customHeight="1" x14ac:dyDescent="0.35"/>
    <row r="4070" ht="15" customHeight="1" x14ac:dyDescent="0.35"/>
    <row r="4071" ht="15" customHeight="1" x14ac:dyDescent="0.35"/>
    <row r="4072" ht="15" customHeight="1" x14ac:dyDescent="0.35"/>
    <row r="4073" ht="15" customHeight="1" x14ac:dyDescent="0.35"/>
    <row r="4074" ht="15" customHeight="1" x14ac:dyDescent="0.35"/>
    <row r="4075" ht="15" customHeight="1" x14ac:dyDescent="0.35"/>
    <row r="4076" ht="15" customHeight="1" x14ac:dyDescent="0.35"/>
    <row r="4077" ht="15" customHeight="1" x14ac:dyDescent="0.35"/>
    <row r="4078" ht="15" customHeight="1" x14ac:dyDescent="0.35"/>
    <row r="4079" ht="15" customHeight="1" x14ac:dyDescent="0.35"/>
    <row r="4080" ht="15" customHeight="1" x14ac:dyDescent="0.35"/>
    <row r="4081" ht="15" customHeight="1" x14ac:dyDescent="0.35"/>
    <row r="4082" ht="15" customHeight="1" x14ac:dyDescent="0.35"/>
    <row r="4083" ht="15" customHeight="1" x14ac:dyDescent="0.35"/>
    <row r="4084" ht="15" customHeight="1" x14ac:dyDescent="0.35"/>
    <row r="4085" ht="15" customHeight="1" x14ac:dyDescent="0.35"/>
    <row r="4086" ht="15" customHeight="1" x14ac:dyDescent="0.35"/>
    <row r="4087" ht="15" customHeight="1" x14ac:dyDescent="0.35"/>
    <row r="4088" ht="15" customHeight="1" x14ac:dyDescent="0.35"/>
    <row r="4089" ht="15" customHeight="1" x14ac:dyDescent="0.35"/>
    <row r="4090" ht="15" customHeight="1" x14ac:dyDescent="0.35"/>
    <row r="4091" ht="15" customHeight="1" x14ac:dyDescent="0.35"/>
    <row r="4092" ht="15" customHeight="1" x14ac:dyDescent="0.35"/>
    <row r="4093" ht="15" customHeight="1" x14ac:dyDescent="0.35"/>
    <row r="4094" ht="15" customHeight="1" x14ac:dyDescent="0.35"/>
    <row r="4095" ht="15" customHeight="1" x14ac:dyDescent="0.35"/>
    <row r="4096" ht="15" customHeight="1" x14ac:dyDescent="0.35"/>
    <row r="4097" ht="15" customHeight="1" x14ac:dyDescent="0.35"/>
    <row r="4098" ht="15" customHeight="1" x14ac:dyDescent="0.35"/>
    <row r="4099" ht="15" customHeight="1" x14ac:dyDescent="0.35"/>
    <row r="4100" ht="15" customHeight="1" x14ac:dyDescent="0.35"/>
    <row r="4101" ht="15" customHeight="1" x14ac:dyDescent="0.35"/>
    <row r="4102" ht="15" customHeight="1" x14ac:dyDescent="0.35"/>
    <row r="4103" ht="15" customHeight="1" x14ac:dyDescent="0.35"/>
    <row r="4104" ht="15" customHeight="1" x14ac:dyDescent="0.35"/>
    <row r="4105" ht="15" customHeight="1" x14ac:dyDescent="0.35"/>
    <row r="4106" ht="15" customHeight="1" x14ac:dyDescent="0.35"/>
    <row r="4107" ht="15" customHeight="1" x14ac:dyDescent="0.35"/>
    <row r="4108" ht="15" customHeight="1" x14ac:dyDescent="0.35"/>
    <row r="4109" ht="15" customHeight="1" x14ac:dyDescent="0.35"/>
    <row r="4110" ht="15" customHeight="1" x14ac:dyDescent="0.35"/>
    <row r="4111" ht="15" customHeight="1" x14ac:dyDescent="0.35"/>
    <row r="4112" ht="15" customHeight="1" x14ac:dyDescent="0.35"/>
    <row r="4113" ht="15" customHeight="1" x14ac:dyDescent="0.35"/>
    <row r="4114" ht="15" customHeight="1" x14ac:dyDescent="0.35"/>
    <row r="4115" ht="15" customHeight="1" x14ac:dyDescent="0.35"/>
    <row r="4116" ht="15" customHeight="1" x14ac:dyDescent="0.35"/>
    <row r="4117" ht="15" customHeight="1" x14ac:dyDescent="0.35"/>
    <row r="4118" ht="15" customHeight="1" x14ac:dyDescent="0.35"/>
    <row r="4119" ht="15" customHeight="1" x14ac:dyDescent="0.35"/>
    <row r="4120" ht="15" customHeight="1" x14ac:dyDescent="0.35"/>
    <row r="4121" ht="15" customHeight="1" x14ac:dyDescent="0.35"/>
    <row r="4122" ht="15" customHeight="1" x14ac:dyDescent="0.35"/>
    <row r="4123" ht="15" customHeight="1" x14ac:dyDescent="0.35"/>
    <row r="4124" ht="15" customHeight="1" x14ac:dyDescent="0.35"/>
    <row r="4125" ht="15" customHeight="1" x14ac:dyDescent="0.35"/>
    <row r="4126" ht="15" customHeight="1" x14ac:dyDescent="0.35"/>
    <row r="4127" ht="15" customHeight="1" x14ac:dyDescent="0.35"/>
    <row r="4128" ht="15" customHeight="1" x14ac:dyDescent="0.35"/>
    <row r="4129" ht="15" customHeight="1" x14ac:dyDescent="0.35"/>
    <row r="4130" ht="15" customHeight="1" x14ac:dyDescent="0.35"/>
    <row r="4131" ht="15" customHeight="1" x14ac:dyDescent="0.35"/>
    <row r="4132" ht="15" customHeight="1" x14ac:dyDescent="0.35"/>
    <row r="4133" ht="15" customHeight="1" x14ac:dyDescent="0.35"/>
    <row r="4134" ht="15" customHeight="1" x14ac:dyDescent="0.35"/>
    <row r="4135" ht="15" customHeight="1" x14ac:dyDescent="0.35"/>
    <row r="4136" ht="15" customHeight="1" x14ac:dyDescent="0.35"/>
    <row r="4137" ht="15" customHeight="1" x14ac:dyDescent="0.35"/>
    <row r="4138" ht="15" customHeight="1" x14ac:dyDescent="0.35"/>
    <row r="4139" ht="15" customHeight="1" x14ac:dyDescent="0.35"/>
    <row r="4140" ht="15" customHeight="1" x14ac:dyDescent="0.35"/>
    <row r="4141" ht="15" customHeight="1" x14ac:dyDescent="0.35"/>
    <row r="4142" ht="15" customHeight="1" x14ac:dyDescent="0.35"/>
    <row r="4143" ht="15" customHeight="1" x14ac:dyDescent="0.35"/>
    <row r="4144" ht="15" customHeight="1" x14ac:dyDescent="0.35"/>
    <row r="4145" ht="15" customHeight="1" x14ac:dyDescent="0.35"/>
    <row r="4146" ht="15" customHeight="1" x14ac:dyDescent="0.35"/>
    <row r="4147" ht="15" customHeight="1" x14ac:dyDescent="0.35"/>
    <row r="4148" ht="15" customHeight="1" x14ac:dyDescent="0.35"/>
    <row r="4149" ht="15" customHeight="1" x14ac:dyDescent="0.35"/>
    <row r="4150" ht="15" customHeight="1" x14ac:dyDescent="0.35"/>
    <row r="4151" ht="15" customHeight="1" x14ac:dyDescent="0.35"/>
    <row r="4152" ht="15" customHeight="1" x14ac:dyDescent="0.35"/>
    <row r="4153" ht="15" customHeight="1" x14ac:dyDescent="0.35"/>
    <row r="4154" ht="15" customHeight="1" x14ac:dyDescent="0.35"/>
    <row r="4155" ht="15" customHeight="1" x14ac:dyDescent="0.35"/>
    <row r="4156" ht="15" customHeight="1" x14ac:dyDescent="0.35"/>
    <row r="4157" ht="15" customHeight="1" x14ac:dyDescent="0.35"/>
    <row r="4158" ht="15" customHeight="1" x14ac:dyDescent="0.35"/>
    <row r="4159" ht="15" customHeight="1" x14ac:dyDescent="0.35"/>
    <row r="4160" ht="15" customHeight="1" x14ac:dyDescent="0.35"/>
    <row r="4161" ht="15" customHeight="1" x14ac:dyDescent="0.35"/>
    <row r="4162" ht="15" customHeight="1" x14ac:dyDescent="0.35"/>
    <row r="4163" ht="15" customHeight="1" x14ac:dyDescent="0.35"/>
    <row r="4164" ht="15" customHeight="1" x14ac:dyDescent="0.35"/>
    <row r="4165" ht="15" customHeight="1" x14ac:dyDescent="0.35"/>
    <row r="4166" ht="15" customHeight="1" x14ac:dyDescent="0.35"/>
    <row r="4167" ht="15" customHeight="1" x14ac:dyDescent="0.35"/>
    <row r="4168" ht="15" customHeight="1" x14ac:dyDescent="0.35"/>
    <row r="4169" ht="15" customHeight="1" x14ac:dyDescent="0.35"/>
    <row r="4170" ht="15" customHeight="1" x14ac:dyDescent="0.35"/>
    <row r="4171" ht="15" customHeight="1" x14ac:dyDescent="0.35"/>
    <row r="4172" ht="15" customHeight="1" x14ac:dyDescent="0.35"/>
    <row r="4173" ht="15" customHeight="1" x14ac:dyDescent="0.35"/>
    <row r="4174" ht="15" customHeight="1" x14ac:dyDescent="0.35"/>
    <row r="4175" ht="15" customHeight="1" x14ac:dyDescent="0.35"/>
    <row r="4176" ht="15" customHeight="1" x14ac:dyDescent="0.35"/>
    <row r="4177" ht="15" customHeight="1" x14ac:dyDescent="0.35"/>
    <row r="4178" ht="15" customHeight="1" x14ac:dyDescent="0.35"/>
    <row r="4179" ht="15" customHeight="1" x14ac:dyDescent="0.35"/>
    <row r="4180" ht="15" customHeight="1" x14ac:dyDescent="0.35"/>
    <row r="4181" ht="15" customHeight="1" x14ac:dyDescent="0.35"/>
    <row r="4182" ht="15" customHeight="1" x14ac:dyDescent="0.35"/>
    <row r="4183" ht="15" customHeight="1" x14ac:dyDescent="0.35"/>
    <row r="4184" ht="15" customHeight="1" x14ac:dyDescent="0.35"/>
    <row r="4185" ht="15" customHeight="1" x14ac:dyDescent="0.35"/>
    <row r="4186" ht="15" customHeight="1" x14ac:dyDescent="0.35"/>
    <row r="4187" ht="15" customHeight="1" x14ac:dyDescent="0.35"/>
    <row r="4188" ht="15" customHeight="1" x14ac:dyDescent="0.35"/>
    <row r="4189" ht="15" customHeight="1" x14ac:dyDescent="0.35"/>
    <row r="4190" ht="15" customHeight="1" x14ac:dyDescent="0.35"/>
    <row r="4191" ht="15" customHeight="1" x14ac:dyDescent="0.35"/>
    <row r="4192" ht="15" customHeight="1" x14ac:dyDescent="0.35"/>
    <row r="4193" ht="15" customHeight="1" x14ac:dyDescent="0.35"/>
    <row r="4194" ht="15" customHeight="1" x14ac:dyDescent="0.35"/>
    <row r="4195" ht="15" customHeight="1" x14ac:dyDescent="0.35"/>
    <row r="4196" ht="15" customHeight="1" x14ac:dyDescent="0.35"/>
    <row r="4197" ht="15" customHeight="1" x14ac:dyDescent="0.35"/>
    <row r="4198" ht="15" customHeight="1" x14ac:dyDescent="0.35"/>
    <row r="4199" ht="15" customHeight="1" x14ac:dyDescent="0.35"/>
    <row r="4200" ht="15" customHeight="1" x14ac:dyDescent="0.35"/>
    <row r="4201" ht="15" customHeight="1" x14ac:dyDescent="0.35"/>
    <row r="4202" ht="15" customHeight="1" x14ac:dyDescent="0.35"/>
    <row r="4203" ht="15" customHeight="1" x14ac:dyDescent="0.35"/>
    <row r="4204" ht="15" customHeight="1" x14ac:dyDescent="0.35"/>
    <row r="4205" ht="15" customHeight="1" x14ac:dyDescent="0.35"/>
    <row r="4206" ht="15" customHeight="1" x14ac:dyDescent="0.35"/>
    <row r="4207" ht="15" customHeight="1" x14ac:dyDescent="0.35"/>
    <row r="4208" ht="15" customHeight="1" x14ac:dyDescent="0.35"/>
    <row r="4209" ht="15" customHeight="1" x14ac:dyDescent="0.35"/>
    <row r="4210" ht="15" customHeight="1" x14ac:dyDescent="0.35"/>
    <row r="4211" ht="15" customHeight="1" x14ac:dyDescent="0.35"/>
    <row r="4212" ht="15" customHeight="1" x14ac:dyDescent="0.35"/>
    <row r="4213" ht="15" customHeight="1" x14ac:dyDescent="0.35"/>
    <row r="4214" ht="15" customHeight="1" x14ac:dyDescent="0.35"/>
    <row r="4215" ht="15" customHeight="1" x14ac:dyDescent="0.35"/>
    <row r="4216" ht="15" customHeight="1" x14ac:dyDescent="0.35"/>
    <row r="4217" ht="15" customHeight="1" x14ac:dyDescent="0.35"/>
    <row r="4218" ht="15" customHeight="1" x14ac:dyDescent="0.35"/>
    <row r="4219" ht="15" customHeight="1" x14ac:dyDescent="0.35"/>
    <row r="4220" ht="15" customHeight="1" x14ac:dyDescent="0.35"/>
    <row r="4221" ht="15" customHeight="1" x14ac:dyDescent="0.35"/>
    <row r="4222" ht="15" customHeight="1" x14ac:dyDescent="0.35"/>
    <row r="4223" ht="15" customHeight="1" x14ac:dyDescent="0.35"/>
    <row r="4224" ht="15" customHeight="1" x14ac:dyDescent="0.35"/>
    <row r="4225" ht="15" customHeight="1" x14ac:dyDescent="0.35"/>
    <row r="4226" ht="15" customHeight="1" x14ac:dyDescent="0.35"/>
    <row r="4227" ht="15" customHeight="1" x14ac:dyDescent="0.35"/>
    <row r="4228" ht="15" customHeight="1" x14ac:dyDescent="0.35"/>
    <row r="4229" ht="15" customHeight="1" x14ac:dyDescent="0.35"/>
    <row r="4230" ht="15" customHeight="1" x14ac:dyDescent="0.35"/>
    <row r="4231" ht="15" customHeight="1" x14ac:dyDescent="0.35"/>
    <row r="4232" ht="15" customHeight="1" x14ac:dyDescent="0.35"/>
    <row r="4233" ht="15" customHeight="1" x14ac:dyDescent="0.35"/>
    <row r="4234" ht="15" customHeight="1" x14ac:dyDescent="0.35"/>
    <row r="4235" ht="15" customHeight="1" x14ac:dyDescent="0.35"/>
    <row r="4236" ht="15" customHeight="1" x14ac:dyDescent="0.35"/>
    <row r="4237" ht="15" customHeight="1" x14ac:dyDescent="0.35"/>
    <row r="4238" ht="15" customHeight="1" x14ac:dyDescent="0.35"/>
    <row r="4239" ht="15" customHeight="1" x14ac:dyDescent="0.35"/>
    <row r="4240" ht="15" customHeight="1" x14ac:dyDescent="0.35"/>
    <row r="4241" ht="15" customHeight="1" x14ac:dyDescent="0.35"/>
    <row r="4242" ht="15" customHeight="1" x14ac:dyDescent="0.35"/>
    <row r="4243" ht="15" customHeight="1" x14ac:dyDescent="0.35"/>
    <row r="4244" ht="15" customHeight="1" x14ac:dyDescent="0.35"/>
    <row r="4245" ht="15" customHeight="1" x14ac:dyDescent="0.35"/>
    <row r="4246" ht="15" customHeight="1" x14ac:dyDescent="0.35"/>
    <row r="4247" ht="15" customHeight="1" x14ac:dyDescent="0.35"/>
    <row r="4248" ht="15" customHeight="1" x14ac:dyDescent="0.35"/>
    <row r="4249" ht="15" customHeight="1" x14ac:dyDescent="0.35"/>
    <row r="4250" ht="15" customHeight="1" x14ac:dyDescent="0.35"/>
    <row r="4251" ht="15" customHeight="1" x14ac:dyDescent="0.35"/>
    <row r="4252" ht="15" customHeight="1" x14ac:dyDescent="0.35"/>
    <row r="4253" ht="15" customHeight="1" x14ac:dyDescent="0.35"/>
    <row r="4254" ht="15" customHeight="1" x14ac:dyDescent="0.35"/>
    <row r="4255" ht="15" customHeight="1" x14ac:dyDescent="0.35"/>
    <row r="4256" ht="15" customHeight="1" x14ac:dyDescent="0.35"/>
    <row r="4257" ht="15" customHeight="1" x14ac:dyDescent="0.35"/>
    <row r="4258" ht="15" customHeight="1" x14ac:dyDescent="0.35"/>
    <row r="4259" ht="15" customHeight="1" x14ac:dyDescent="0.35"/>
    <row r="4260" ht="15" customHeight="1" x14ac:dyDescent="0.35"/>
    <row r="4261" ht="15" customHeight="1" x14ac:dyDescent="0.35"/>
    <row r="4262" ht="15" customHeight="1" x14ac:dyDescent="0.35"/>
    <row r="4263" ht="15" customHeight="1" x14ac:dyDescent="0.35"/>
    <row r="4264" ht="15" customHeight="1" x14ac:dyDescent="0.35"/>
    <row r="4265" ht="15" customHeight="1" x14ac:dyDescent="0.35"/>
    <row r="4266" ht="15" customHeight="1" x14ac:dyDescent="0.35"/>
    <row r="4267" ht="15" customHeight="1" x14ac:dyDescent="0.35"/>
    <row r="4268" ht="15" customHeight="1" x14ac:dyDescent="0.35"/>
    <row r="4269" ht="15" customHeight="1" x14ac:dyDescent="0.35"/>
    <row r="4270" ht="15" customHeight="1" x14ac:dyDescent="0.35"/>
    <row r="4271" ht="15" customHeight="1" x14ac:dyDescent="0.35"/>
    <row r="4272" ht="15" customHeight="1" x14ac:dyDescent="0.35"/>
    <row r="4273" ht="15" customHeight="1" x14ac:dyDescent="0.35"/>
    <row r="4274" ht="15" customHeight="1" x14ac:dyDescent="0.35"/>
    <row r="4275" ht="15" customHeight="1" x14ac:dyDescent="0.35"/>
    <row r="4276" ht="15" customHeight="1" x14ac:dyDescent="0.35"/>
    <row r="4277" ht="15" customHeight="1" x14ac:dyDescent="0.35"/>
    <row r="4278" ht="15" customHeight="1" x14ac:dyDescent="0.35"/>
    <row r="4279" ht="15" customHeight="1" x14ac:dyDescent="0.35"/>
    <row r="4280" ht="15" customHeight="1" x14ac:dyDescent="0.35"/>
    <row r="4281" ht="15" customHeight="1" x14ac:dyDescent="0.35"/>
    <row r="4282" ht="15" customHeight="1" x14ac:dyDescent="0.35"/>
    <row r="4283" ht="15" customHeight="1" x14ac:dyDescent="0.35"/>
    <row r="4284" ht="15" customHeight="1" x14ac:dyDescent="0.35"/>
    <row r="4285" ht="15" customHeight="1" x14ac:dyDescent="0.35"/>
    <row r="4286" ht="15" customHeight="1" x14ac:dyDescent="0.35"/>
    <row r="4287" ht="15" customHeight="1" x14ac:dyDescent="0.35"/>
    <row r="4288" ht="15" customHeight="1" x14ac:dyDescent="0.35"/>
    <row r="4289" ht="15" customHeight="1" x14ac:dyDescent="0.35"/>
    <row r="4290" ht="15" customHeight="1" x14ac:dyDescent="0.35"/>
    <row r="4291" ht="15" customHeight="1" x14ac:dyDescent="0.35"/>
    <row r="4292" ht="15" customHeight="1" x14ac:dyDescent="0.35"/>
    <row r="4293" ht="15" customHeight="1" x14ac:dyDescent="0.35"/>
    <row r="4294" ht="15" customHeight="1" x14ac:dyDescent="0.35"/>
    <row r="4295" ht="15" customHeight="1" x14ac:dyDescent="0.35"/>
    <row r="4296" ht="15" customHeight="1" x14ac:dyDescent="0.35"/>
    <row r="4297" ht="15" customHeight="1" x14ac:dyDescent="0.35"/>
    <row r="4298" ht="15" customHeight="1" x14ac:dyDescent="0.35"/>
    <row r="4299" ht="15" customHeight="1" x14ac:dyDescent="0.35"/>
    <row r="4300" ht="15" customHeight="1" x14ac:dyDescent="0.35"/>
    <row r="4301" ht="15" customHeight="1" x14ac:dyDescent="0.35"/>
    <row r="4302" ht="15" customHeight="1" x14ac:dyDescent="0.35"/>
    <row r="4303" ht="15" customHeight="1" x14ac:dyDescent="0.35"/>
    <row r="4304" ht="15" customHeight="1" x14ac:dyDescent="0.35"/>
    <row r="4305" ht="15" customHeight="1" x14ac:dyDescent="0.35"/>
    <row r="4306" ht="15" customHeight="1" x14ac:dyDescent="0.35"/>
    <row r="4307" ht="15" customHeight="1" x14ac:dyDescent="0.35"/>
    <row r="4308" ht="15" customHeight="1" x14ac:dyDescent="0.35"/>
    <row r="4309" ht="15" customHeight="1" x14ac:dyDescent="0.35"/>
    <row r="4310" ht="15" customHeight="1" x14ac:dyDescent="0.35"/>
    <row r="4311" ht="15" customHeight="1" x14ac:dyDescent="0.35"/>
    <row r="4312" ht="15" customHeight="1" x14ac:dyDescent="0.35"/>
    <row r="4313" ht="15" customHeight="1" x14ac:dyDescent="0.35"/>
    <row r="4314" ht="15" customHeight="1" x14ac:dyDescent="0.35"/>
    <row r="4315" ht="15" customHeight="1" x14ac:dyDescent="0.35"/>
    <row r="4316" ht="15" customHeight="1" x14ac:dyDescent="0.35"/>
    <row r="4317" ht="15" customHeight="1" x14ac:dyDescent="0.35"/>
    <row r="4318" ht="15" customHeight="1" x14ac:dyDescent="0.35"/>
    <row r="4319" ht="15" customHeight="1" x14ac:dyDescent="0.35"/>
    <row r="4320" ht="15" customHeight="1" x14ac:dyDescent="0.35"/>
    <row r="4321" ht="15" customHeight="1" x14ac:dyDescent="0.35"/>
    <row r="4322" ht="15" customHeight="1" x14ac:dyDescent="0.35"/>
    <row r="4323" ht="15" customHeight="1" x14ac:dyDescent="0.35"/>
    <row r="4324" ht="15" customHeight="1" x14ac:dyDescent="0.35"/>
    <row r="4325" ht="15" customHeight="1" x14ac:dyDescent="0.35"/>
    <row r="4326" ht="15" customHeight="1" x14ac:dyDescent="0.35"/>
    <row r="4327" ht="15" customHeight="1" x14ac:dyDescent="0.35"/>
    <row r="4328" ht="15" customHeight="1" x14ac:dyDescent="0.35"/>
    <row r="4329" ht="15" customHeight="1" x14ac:dyDescent="0.35"/>
    <row r="4330" ht="15" customHeight="1" x14ac:dyDescent="0.35"/>
    <row r="4331" ht="15" customHeight="1" x14ac:dyDescent="0.35"/>
    <row r="4332" ht="15" customHeight="1" x14ac:dyDescent="0.35"/>
    <row r="4333" ht="15" customHeight="1" x14ac:dyDescent="0.35"/>
    <row r="4334" ht="15" customHeight="1" x14ac:dyDescent="0.35"/>
    <row r="4335" ht="15" customHeight="1" x14ac:dyDescent="0.35"/>
    <row r="4336" ht="15" customHeight="1" x14ac:dyDescent="0.35"/>
    <row r="4337" ht="15" customHeight="1" x14ac:dyDescent="0.35"/>
    <row r="4338" ht="15" customHeight="1" x14ac:dyDescent="0.35"/>
    <row r="4339" ht="15" customHeight="1" x14ac:dyDescent="0.35"/>
    <row r="4340" ht="15" customHeight="1" x14ac:dyDescent="0.35"/>
    <row r="4341" ht="15" customHeight="1" x14ac:dyDescent="0.35"/>
    <row r="4342" ht="15" customHeight="1" x14ac:dyDescent="0.35"/>
    <row r="4343" ht="15" customHeight="1" x14ac:dyDescent="0.35"/>
    <row r="4344" ht="15" customHeight="1" x14ac:dyDescent="0.35"/>
    <row r="4345" ht="15" customHeight="1" x14ac:dyDescent="0.35"/>
    <row r="4346" ht="15" customHeight="1" x14ac:dyDescent="0.35"/>
    <row r="4347" ht="15" customHeight="1" x14ac:dyDescent="0.35"/>
    <row r="4348" ht="15" customHeight="1" x14ac:dyDescent="0.35"/>
    <row r="4349" ht="15" customHeight="1" x14ac:dyDescent="0.35"/>
    <row r="4350" ht="15" customHeight="1" x14ac:dyDescent="0.35"/>
    <row r="4351" ht="15" customHeight="1" x14ac:dyDescent="0.35"/>
    <row r="4352" ht="15" customHeight="1" x14ac:dyDescent="0.35"/>
    <row r="4353" ht="15" customHeight="1" x14ac:dyDescent="0.35"/>
    <row r="4354" ht="15" customHeight="1" x14ac:dyDescent="0.35"/>
    <row r="4355" ht="15" customHeight="1" x14ac:dyDescent="0.35"/>
    <row r="4356" ht="15" customHeight="1" x14ac:dyDescent="0.35"/>
    <row r="4357" ht="15" customHeight="1" x14ac:dyDescent="0.35"/>
    <row r="4358" ht="15" customHeight="1" x14ac:dyDescent="0.35"/>
    <row r="4359" ht="15" customHeight="1" x14ac:dyDescent="0.35"/>
    <row r="4360" ht="15" customHeight="1" x14ac:dyDescent="0.35"/>
    <row r="4361" ht="15" customHeight="1" x14ac:dyDescent="0.35"/>
    <row r="4362" ht="15" customHeight="1" x14ac:dyDescent="0.35"/>
    <row r="4363" ht="15" customHeight="1" x14ac:dyDescent="0.35"/>
    <row r="4364" ht="15" customHeight="1" x14ac:dyDescent="0.35"/>
    <row r="4365" ht="15" customHeight="1" x14ac:dyDescent="0.35"/>
    <row r="4366" ht="15" customHeight="1" x14ac:dyDescent="0.35"/>
    <row r="4367" ht="15" customHeight="1" x14ac:dyDescent="0.35"/>
    <row r="4368" ht="15" customHeight="1" x14ac:dyDescent="0.35"/>
    <row r="4369" ht="15" customHeight="1" x14ac:dyDescent="0.35"/>
    <row r="4370" ht="15" customHeight="1" x14ac:dyDescent="0.35"/>
    <row r="4371" ht="15" customHeight="1" x14ac:dyDescent="0.35"/>
    <row r="4372" ht="15" customHeight="1" x14ac:dyDescent="0.35"/>
    <row r="4373" ht="15" customHeight="1" x14ac:dyDescent="0.35"/>
    <row r="4374" ht="15" customHeight="1" x14ac:dyDescent="0.35"/>
    <row r="4375" ht="15" customHeight="1" x14ac:dyDescent="0.35"/>
    <row r="4376" ht="15" customHeight="1" x14ac:dyDescent="0.35"/>
    <row r="4377" ht="15" customHeight="1" x14ac:dyDescent="0.35"/>
    <row r="4378" ht="15" customHeight="1" x14ac:dyDescent="0.35"/>
    <row r="4379" ht="15" customHeight="1" x14ac:dyDescent="0.35"/>
    <row r="4380" ht="15" customHeight="1" x14ac:dyDescent="0.35"/>
    <row r="4381" ht="15" customHeight="1" x14ac:dyDescent="0.35"/>
    <row r="4382" ht="15" customHeight="1" x14ac:dyDescent="0.35"/>
    <row r="4383" ht="15" customHeight="1" x14ac:dyDescent="0.35"/>
    <row r="4384" ht="15" customHeight="1" x14ac:dyDescent="0.35"/>
    <row r="4385" ht="15" customHeight="1" x14ac:dyDescent="0.35"/>
    <row r="4386" ht="15" customHeight="1" x14ac:dyDescent="0.35"/>
    <row r="4387" ht="15" customHeight="1" x14ac:dyDescent="0.35"/>
    <row r="4388" ht="15" customHeight="1" x14ac:dyDescent="0.35"/>
    <row r="4389" ht="15" customHeight="1" x14ac:dyDescent="0.35"/>
    <row r="4390" ht="15" customHeight="1" x14ac:dyDescent="0.35"/>
    <row r="4391" ht="15" customHeight="1" x14ac:dyDescent="0.35"/>
    <row r="4392" ht="15" customHeight="1" x14ac:dyDescent="0.35"/>
    <row r="4393" ht="15" customHeight="1" x14ac:dyDescent="0.35"/>
    <row r="4394" ht="15" customHeight="1" x14ac:dyDescent="0.35"/>
    <row r="4395" ht="15" customHeight="1" x14ac:dyDescent="0.35"/>
    <row r="4396" ht="15" customHeight="1" x14ac:dyDescent="0.35"/>
    <row r="4397" ht="15" customHeight="1" x14ac:dyDescent="0.35"/>
    <row r="4398" ht="15" customHeight="1" x14ac:dyDescent="0.35"/>
    <row r="4399" ht="15" customHeight="1" x14ac:dyDescent="0.35"/>
    <row r="4400" ht="15" customHeight="1" x14ac:dyDescent="0.35"/>
    <row r="4401" ht="15" customHeight="1" x14ac:dyDescent="0.35"/>
    <row r="4402" ht="15" customHeight="1" x14ac:dyDescent="0.35"/>
    <row r="4403" ht="15" customHeight="1" x14ac:dyDescent="0.35"/>
    <row r="4404" ht="15" customHeight="1" x14ac:dyDescent="0.35"/>
    <row r="4405" ht="15" customHeight="1" x14ac:dyDescent="0.35"/>
    <row r="4406" ht="15" customHeight="1" x14ac:dyDescent="0.35"/>
    <row r="4407" ht="15" customHeight="1" x14ac:dyDescent="0.35"/>
    <row r="4408" ht="15" customHeight="1" x14ac:dyDescent="0.35"/>
    <row r="4409" ht="15" customHeight="1" x14ac:dyDescent="0.35"/>
    <row r="4410" ht="15" customHeight="1" x14ac:dyDescent="0.35"/>
    <row r="4411" ht="15" customHeight="1" x14ac:dyDescent="0.35"/>
    <row r="4412" ht="15" customHeight="1" x14ac:dyDescent="0.35"/>
    <row r="4413" ht="15" customHeight="1" x14ac:dyDescent="0.35"/>
    <row r="4414" ht="15" customHeight="1" x14ac:dyDescent="0.35"/>
    <row r="4415" ht="15" customHeight="1" x14ac:dyDescent="0.35"/>
    <row r="4416" ht="15" customHeight="1" x14ac:dyDescent="0.35"/>
    <row r="4417" ht="15" customHeight="1" x14ac:dyDescent="0.35"/>
    <row r="4418" ht="15" customHeight="1" x14ac:dyDescent="0.35"/>
    <row r="4419" ht="15" customHeight="1" x14ac:dyDescent="0.35"/>
    <row r="4420" ht="15" customHeight="1" x14ac:dyDescent="0.35"/>
    <row r="4421" ht="15" customHeight="1" x14ac:dyDescent="0.35"/>
    <row r="4422" ht="15" customHeight="1" x14ac:dyDescent="0.35"/>
    <row r="4423" ht="15" customHeight="1" x14ac:dyDescent="0.35"/>
    <row r="4424" ht="15" customHeight="1" x14ac:dyDescent="0.35"/>
    <row r="4425" ht="15" customHeight="1" x14ac:dyDescent="0.35"/>
    <row r="4426" ht="15" customHeight="1" x14ac:dyDescent="0.35"/>
    <row r="4427" ht="15" customHeight="1" x14ac:dyDescent="0.35"/>
    <row r="4428" ht="15" customHeight="1" x14ac:dyDescent="0.35"/>
    <row r="4429" ht="15" customHeight="1" x14ac:dyDescent="0.35"/>
    <row r="4430" ht="15" customHeight="1" x14ac:dyDescent="0.35"/>
    <row r="4431" ht="15" customHeight="1" x14ac:dyDescent="0.35"/>
    <row r="4432" ht="15" customHeight="1" x14ac:dyDescent="0.35"/>
    <row r="4433" ht="15" customHeight="1" x14ac:dyDescent="0.35"/>
    <row r="4434" ht="15" customHeight="1" x14ac:dyDescent="0.35"/>
    <row r="4435" ht="15" customHeight="1" x14ac:dyDescent="0.35"/>
    <row r="4436" ht="15" customHeight="1" x14ac:dyDescent="0.35"/>
    <row r="4437" ht="15" customHeight="1" x14ac:dyDescent="0.35"/>
    <row r="4438" ht="15" customHeight="1" x14ac:dyDescent="0.35"/>
    <row r="4439" ht="15" customHeight="1" x14ac:dyDescent="0.35"/>
    <row r="4440" ht="15" customHeight="1" x14ac:dyDescent="0.35"/>
  </sheetData>
  <sheetProtection algorithmName="SHA-512" hashValue="Gyfas17EEYBHpk7oY8RcLGnmJM2h+a3i45quq8LLRFHAUfDFiR3Xx0wi48GB/OKVZ+1RQQKTjv/Ukt2B+LKSpQ==" saltValue="BK2Oo9dwgURH01gD9zPrFA==" spinCount="100000" sheet="1" objects="1" scenarios="1"/>
  <phoneticPr fontId="11" type="noConversion"/>
  <hyperlinks>
    <hyperlink ref="F2" location="Navigation!A1" display="Navigation" xr:uid="{00000000-0004-0000-1100-000000000000}"/>
  </hyperlinks>
  <pageMargins left="0.75" right="0.75" top="1" bottom="1" header="0.5" footer="0.5"/>
  <pageSetup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tabColor theme="7" tint="-0.499984740745262"/>
    <pageSetUpPr autoPageBreaks="0"/>
  </sheetPr>
  <dimension ref="A1:BZ4741"/>
  <sheetViews>
    <sheetView zoomScale="70" zoomScaleNormal="70" workbookViewId="0"/>
  </sheetViews>
  <sheetFormatPr defaultColWidth="0" defaultRowHeight="0" customHeight="1" zeroHeight="1" x14ac:dyDescent="0.35"/>
  <cols>
    <col min="1" max="2" width="3.54296875" style="4" customWidth="1"/>
    <col min="3" max="3" width="42.453125" style="4" customWidth="1"/>
    <col min="4" max="4" width="3.54296875" style="4" customWidth="1"/>
    <col min="5" max="8" width="17" style="4" customWidth="1"/>
    <col min="9" max="9" width="25.1796875" style="4" customWidth="1"/>
    <col min="10" max="40" width="17" style="4" customWidth="1"/>
    <col min="41" max="42" width="3.54296875" style="4" customWidth="1"/>
    <col min="43" max="78" width="0" style="4" hidden="1" customWidth="1"/>
    <col min="79" max="16384" width="12.54296875" style="4" hidden="1"/>
  </cols>
  <sheetData>
    <row r="1" spans="2:41" ht="15" customHeight="1" thickBot="1" x14ac:dyDescent="0.4"/>
    <row r="2" spans="2:41" ht="15" customHeight="1" thickTop="1" thickBot="1" x14ac:dyDescent="0.4">
      <c r="C2" s="422" t="s">
        <v>145</v>
      </c>
      <c r="D2" s="450"/>
      <c r="E2" s="11"/>
      <c r="F2" s="10" t="s">
        <v>159</v>
      </c>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row>
    <row r="3" spans="2:41" ht="15" customHeight="1" thickBot="1" x14ac:dyDescent="0.4">
      <c r="C3" s="451"/>
      <c r="D3" s="451"/>
      <c r="E3" s="451"/>
      <c r="F3" s="451"/>
      <c r="G3" s="451"/>
      <c r="H3" s="451"/>
      <c r="I3" s="451"/>
      <c r="J3" s="451"/>
      <c r="K3" s="451"/>
      <c r="L3" s="451"/>
      <c r="M3" s="451"/>
      <c r="N3" s="451"/>
      <c r="O3" s="451"/>
      <c r="P3" s="451"/>
      <c r="Q3" s="451"/>
      <c r="R3" s="451"/>
      <c r="S3" s="451"/>
      <c r="T3" s="451"/>
      <c r="U3" s="451"/>
      <c r="V3" s="451"/>
      <c r="W3" s="451"/>
      <c r="X3" s="451"/>
      <c r="Y3" s="451"/>
      <c r="Z3" s="451"/>
      <c r="AA3" s="451"/>
      <c r="AB3" s="451"/>
      <c r="AC3" s="451"/>
      <c r="AD3" s="451"/>
      <c r="AE3" s="451"/>
      <c r="AF3" s="451"/>
      <c r="AG3" s="451"/>
      <c r="AH3" s="451"/>
      <c r="AI3" s="451"/>
      <c r="AJ3" s="451"/>
      <c r="AK3" s="451"/>
      <c r="AL3" s="451"/>
      <c r="AM3" s="451"/>
      <c r="AN3" s="451"/>
    </row>
    <row r="4" spans="2:41" s="456" customFormat="1" ht="15" customHeight="1" x14ac:dyDescent="0.3">
      <c r="B4" s="452"/>
      <c r="C4" s="453"/>
      <c r="D4" s="454"/>
      <c r="E4" s="454"/>
      <c r="F4" s="454"/>
      <c r="G4" s="454"/>
      <c r="H4" s="453"/>
      <c r="I4" s="453"/>
      <c r="J4" s="453"/>
      <c r="K4" s="453"/>
      <c r="L4" s="453"/>
      <c r="M4" s="453"/>
      <c r="N4" s="453"/>
      <c r="O4" s="453"/>
      <c r="P4" s="453"/>
      <c r="Q4" s="453"/>
      <c r="R4" s="453"/>
      <c r="S4" s="453"/>
      <c r="T4" s="453"/>
      <c r="U4" s="453"/>
      <c r="V4" s="453"/>
      <c r="W4" s="453"/>
      <c r="X4" s="453"/>
      <c r="Y4" s="453"/>
      <c r="Z4" s="453"/>
      <c r="AA4" s="453"/>
      <c r="AB4" s="453"/>
      <c r="AC4" s="453"/>
      <c r="AD4" s="453"/>
      <c r="AE4" s="453"/>
      <c r="AF4" s="453"/>
      <c r="AG4" s="453"/>
      <c r="AH4" s="453"/>
      <c r="AI4" s="453"/>
      <c r="AJ4" s="453"/>
      <c r="AK4" s="453"/>
      <c r="AL4" s="453"/>
      <c r="AM4" s="453"/>
      <c r="AN4" s="453"/>
      <c r="AO4" s="455"/>
    </row>
    <row r="5" spans="2:41" ht="15" customHeight="1" x14ac:dyDescent="0.35">
      <c r="B5" s="429"/>
      <c r="C5" s="457" t="s">
        <v>109</v>
      </c>
      <c r="D5" s="435"/>
      <c r="E5" s="435"/>
      <c r="F5" s="435"/>
      <c r="G5" s="435"/>
      <c r="H5" s="435"/>
      <c r="I5" s="435"/>
      <c r="J5" s="435"/>
      <c r="K5" s="435"/>
      <c r="L5" s="435"/>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6"/>
    </row>
    <row r="6" spans="2:41" ht="15" customHeight="1" x14ac:dyDescent="0.35">
      <c r="B6" s="429"/>
      <c r="C6" s="435"/>
      <c r="D6" s="435"/>
      <c r="E6" s="435"/>
      <c r="F6" s="435"/>
      <c r="G6" s="435"/>
      <c r="H6" s="435"/>
      <c r="I6" s="435"/>
      <c r="J6" s="435"/>
      <c r="K6" s="435"/>
      <c r="L6" s="435"/>
      <c r="M6" s="435"/>
      <c r="N6" s="435"/>
      <c r="O6" s="435"/>
      <c r="P6" s="435"/>
      <c r="Q6" s="435"/>
      <c r="R6" s="435"/>
      <c r="S6" s="435"/>
      <c r="T6" s="435"/>
      <c r="U6" s="435"/>
      <c r="V6" s="435"/>
      <c r="W6" s="435"/>
      <c r="X6" s="435"/>
      <c r="Y6" s="435"/>
      <c r="Z6" s="435"/>
      <c r="AA6" s="435"/>
      <c r="AB6" s="435"/>
      <c r="AC6" s="435"/>
      <c r="AD6" s="435"/>
      <c r="AE6" s="435"/>
      <c r="AF6" s="435"/>
      <c r="AG6" s="435"/>
      <c r="AH6" s="435"/>
      <c r="AI6" s="435"/>
      <c r="AJ6" s="435"/>
      <c r="AK6" s="435"/>
      <c r="AL6" s="435"/>
      <c r="AM6" s="435"/>
      <c r="AN6" s="435"/>
      <c r="AO6" s="436"/>
    </row>
    <row r="7" spans="2:41" ht="15" customHeight="1" thickBot="1" x14ac:dyDescent="0.4">
      <c r="B7" s="429"/>
      <c r="C7" s="458"/>
      <c r="D7" s="459"/>
      <c r="E7" s="460">
        <f>Reference_Year - 1</f>
        <v>2022</v>
      </c>
      <c r="F7" s="460">
        <f ca="1">OFFSET(F7,0,-1)+1</f>
        <v>2023</v>
      </c>
      <c r="G7" s="460">
        <f t="shared" ref="G7:AN7" ca="1" si="0">OFFSET(G7,0,-1)+1</f>
        <v>2024</v>
      </c>
      <c r="H7" s="460">
        <f t="shared" ca="1" si="0"/>
        <v>2025</v>
      </c>
      <c r="I7" s="460">
        <f t="shared" ca="1" si="0"/>
        <v>2026</v>
      </c>
      <c r="J7" s="460">
        <f t="shared" ca="1" si="0"/>
        <v>2027</v>
      </c>
      <c r="K7" s="460">
        <f t="shared" ca="1" si="0"/>
        <v>2028</v>
      </c>
      <c r="L7" s="460">
        <f t="shared" ca="1" si="0"/>
        <v>2029</v>
      </c>
      <c r="M7" s="460">
        <f t="shared" ca="1" si="0"/>
        <v>2030</v>
      </c>
      <c r="N7" s="460">
        <f t="shared" ca="1" si="0"/>
        <v>2031</v>
      </c>
      <c r="O7" s="460">
        <f t="shared" ca="1" si="0"/>
        <v>2032</v>
      </c>
      <c r="P7" s="460">
        <f t="shared" ca="1" si="0"/>
        <v>2033</v>
      </c>
      <c r="Q7" s="460">
        <f t="shared" ca="1" si="0"/>
        <v>2034</v>
      </c>
      <c r="R7" s="460">
        <f t="shared" ca="1" si="0"/>
        <v>2035</v>
      </c>
      <c r="S7" s="460">
        <f t="shared" ca="1" si="0"/>
        <v>2036</v>
      </c>
      <c r="T7" s="460">
        <f t="shared" ca="1" si="0"/>
        <v>2037</v>
      </c>
      <c r="U7" s="460">
        <f t="shared" ca="1" si="0"/>
        <v>2038</v>
      </c>
      <c r="V7" s="460">
        <f t="shared" ca="1" si="0"/>
        <v>2039</v>
      </c>
      <c r="W7" s="460">
        <f t="shared" ca="1" si="0"/>
        <v>2040</v>
      </c>
      <c r="X7" s="460">
        <f t="shared" ca="1" si="0"/>
        <v>2041</v>
      </c>
      <c r="Y7" s="460">
        <f t="shared" ca="1" si="0"/>
        <v>2042</v>
      </c>
      <c r="Z7" s="460">
        <f t="shared" ca="1" si="0"/>
        <v>2043</v>
      </c>
      <c r="AA7" s="460">
        <f t="shared" ca="1" si="0"/>
        <v>2044</v>
      </c>
      <c r="AB7" s="460">
        <f t="shared" ca="1" si="0"/>
        <v>2045</v>
      </c>
      <c r="AC7" s="460">
        <f t="shared" ca="1" si="0"/>
        <v>2046</v>
      </c>
      <c r="AD7" s="460">
        <f t="shared" ca="1" si="0"/>
        <v>2047</v>
      </c>
      <c r="AE7" s="460">
        <f t="shared" ca="1" si="0"/>
        <v>2048</v>
      </c>
      <c r="AF7" s="460">
        <f t="shared" ca="1" si="0"/>
        <v>2049</v>
      </c>
      <c r="AG7" s="460">
        <f t="shared" ca="1" si="0"/>
        <v>2050</v>
      </c>
      <c r="AH7" s="460">
        <f t="shared" ca="1" si="0"/>
        <v>2051</v>
      </c>
      <c r="AI7" s="460">
        <f t="shared" ca="1" si="0"/>
        <v>2052</v>
      </c>
      <c r="AJ7" s="460">
        <f t="shared" ca="1" si="0"/>
        <v>2053</v>
      </c>
      <c r="AK7" s="460">
        <f t="shared" ca="1" si="0"/>
        <v>2054</v>
      </c>
      <c r="AL7" s="460">
        <f t="shared" ca="1" si="0"/>
        <v>2055</v>
      </c>
      <c r="AM7" s="460">
        <f t="shared" ca="1" si="0"/>
        <v>2056</v>
      </c>
      <c r="AN7" s="460">
        <f t="shared" ca="1" si="0"/>
        <v>2057</v>
      </c>
      <c r="AO7" s="436"/>
    </row>
    <row r="8" spans="2:41" ht="15" customHeight="1" x14ac:dyDescent="0.35">
      <c r="B8" s="429"/>
      <c r="C8" s="461" t="s">
        <v>143</v>
      </c>
      <c r="D8" s="462"/>
      <c r="E8" s="657">
        <f t="shared" ref="E8:AN8" ca="1" si="1">SUMIF($C:$C,"Total Unit Sales (MM)",E:E)</f>
        <v>7.5707973221489757</v>
      </c>
      <c r="F8" s="658">
        <f t="shared" ca="1" si="1"/>
        <v>7.9093524384259357</v>
      </c>
      <c r="G8" s="658">
        <f t="shared" ca="1" si="1"/>
        <v>8.1945872440194094</v>
      </c>
      <c r="H8" s="658">
        <f t="shared" ca="1" si="1"/>
        <v>8.583782715688141</v>
      </c>
      <c r="I8" s="658">
        <f t="shared" ca="1" si="1"/>
        <v>8.9699231360466918</v>
      </c>
      <c r="J8" s="658">
        <f t="shared" ca="1" si="1"/>
        <v>9.4318697097982991</v>
      </c>
      <c r="K8" s="658">
        <f t="shared" ca="1" si="1"/>
        <v>9.9329893259053517</v>
      </c>
      <c r="L8" s="658">
        <f t="shared" ca="1" si="1"/>
        <v>10.460473829673948</v>
      </c>
      <c r="M8" s="658">
        <f t="shared" ca="1" si="1"/>
        <v>11.01242309777642</v>
      </c>
      <c r="N8" s="658">
        <f t="shared" ca="1" si="1"/>
        <v>11.584656136055171</v>
      </c>
      <c r="O8" s="658">
        <f t="shared" ca="1" si="1"/>
        <v>12.17693514266746</v>
      </c>
      <c r="P8" s="658">
        <f t="shared" ca="1" si="1"/>
        <v>12.791797091782762</v>
      </c>
      <c r="Q8" s="658">
        <f t="shared" ca="1" si="1"/>
        <v>13.431147370412633</v>
      </c>
      <c r="R8" s="658">
        <f t="shared" ca="1" si="1"/>
        <v>14.101294532398612</v>
      </c>
      <c r="S8" s="658">
        <f t="shared" ca="1" si="1"/>
        <v>14.806030666074676</v>
      </c>
      <c r="T8" s="658">
        <f t="shared" ca="1" si="1"/>
        <v>15.547755933847926</v>
      </c>
      <c r="U8" s="658">
        <f t="shared" ca="1" si="1"/>
        <v>16.329137862735617</v>
      </c>
      <c r="V8" s="658">
        <f t="shared" ca="1" si="1"/>
        <v>17.148613343401536</v>
      </c>
      <c r="W8" s="658">
        <f t="shared" ca="1" si="1"/>
        <v>18.008673739701624</v>
      </c>
      <c r="X8" s="658">
        <f t="shared" ca="1" si="1"/>
        <v>18.910359226684385</v>
      </c>
      <c r="Y8" s="658">
        <f t="shared" ca="1" si="1"/>
        <v>19.855207300741156</v>
      </c>
      <c r="Z8" s="658">
        <f t="shared" ca="1" si="1"/>
        <v>20.845278659044062</v>
      </c>
      <c r="AA8" s="658">
        <f t="shared" ca="1" si="1"/>
        <v>21.882691530387735</v>
      </c>
      <c r="AB8" s="658">
        <f t="shared" ca="1" si="1"/>
        <v>22.970405012822198</v>
      </c>
      <c r="AC8" s="658">
        <f t="shared" ca="1" si="1"/>
        <v>24.111169669552751</v>
      </c>
      <c r="AD8" s="658">
        <f t="shared" ca="1" si="1"/>
        <v>25.307751506572274</v>
      </c>
      <c r="AE8" s="658">
        <f t="shared" ca="1" si="1"/>
        <v>26.562917209560723</v>
      </c>
      <c r="AF8" s="658">
        <f t="shared" ca="1" si="1"/>
        <v>27.87946090536591</v>
      </c>
      <c r="AG8" s="658">
        <f t="shared" ca="1" si="1"/>
        <v>29.260263470786754</v>
      </c>
      <c r="AH8" s="658">
        <f t="shared" ca="1" si="1"/>
        <v>30.708346031531171</v>
      </c>
      <c r="AI8" s="658">
        <f t="shared" ca="1" si="1"/>
        <v>32.226910369884507</v>
      </c>
      <c r="AJ8" s="658">
        <f t="shared" ca="1" si="1"/>
        <v>33.819360996908678</v>
      </c>
      <c r="AK8" s="658">
        <f t="shared" ca="1" si="1"/>
        <v>35.489307110375229</v>
      </c>
      <c r="AL8" s="658">
        <f t="shared" ca="1" si="1"/>
        <v>37.240555971343781</v>
      </c>
      <c r="AM8" s="658">
        <f t="shared" ca="1" si="1"/>
        <v>39.077108501935967</v>
      </c>
      <c r="AN8" s="659">
        <f t="shared" ca="1" si="1"/>
        <v>41.003143436153252</v>
      </c>
      <c r="AO8" s="436"/>
    </row>
    <row r="9" spans="2:41" ht="15" customHeight="1" thickBot="1" x14ac:dyDescent="0.4">
      <c r="B9" s="429"/>
      <c r="C9" s="461" t="s">
        <v>144</v>
      </c>
      <c r="D9" s="462"/>
      <c r="E9" s="660">
        <f t="shared" ref="E9:AN9" ca="1" si="2">SUMIF($C:$C,"Total Revenues (MM)",E:E)</f>
        <v>633.28196497713952</v>
      </c>
      <c r="F9" s="661">
        <f t="shared" ca="1" si="2"/>
        <v>656.61115010410003</v>
      </c>
      <c r="G9" s="661">
        <f t="shared" ca="1" si="2"/>
        <v>678.97740712259451</v>
      </c>
      <c r="H9" s="661">
        <f t="shared" ca="1" si="2"/>
        <v>706.11447014226212</v>
      </c>
      <c r="I9" s="661">
        <f t="shared" ca="1" si="2"/>
        <v>740.55014893669215</v>
      </c>
      <c r="J9" s="661">
        <f t="shared" ca="1" si="2"/>
        <v>773.29356518407758</v>
      </c>
      <c r="K9" s="661">
        <f t="shared" ca="1" si="2"/>
        <v>809.32584803030682</v>
      </c>
      <c r="L9" s="661">
        <f t="shared" ca="1" si="2"/>
        <v>847.16641220946326</v>
      </c>
      <c r="M9" s="661">
        <f t="shared" ca="1" si="2"/>
        <v>886.41537660205302</v>
      </c>
      <c r="N9" s="661">
        <f t="shared" ca="1" si="2"/>
        <v>926.80877330735632</v>
      </c>
      <c r="O9" s="661">
        <f t="shared" ca="1" si="2"/>
        <v>968.89734301704721</v>
      </c>
      <c r="P9" s="661">
        <f t="shared" ca="1" si="2"/>
        <v>1012.5817381787442</v>
      </c>
      <c r="Q9" s="661">
        <f t="shared" ca="1" si="2"/>
        <v>1056.9101929115063</v>
      </c>
      <c r="R9" s="661">
        <f t="shared" ca="1" si="2"/>
        <v>1103.7250776159415</v>
      </c>
      <c r="S9" s="661">
        <f t="shared" ca="1" si="2"/>
        <v>1152.7161356108149</v>
      </c>
      <c r="T9" s="661">
        <f t="shared" ca="1" si="2"/>
        <v>1204.1990176514464</v>
      </c>
      <c r="U9" s="661">
        <f t="shared" ca="1" si="2"/>
        <v>1259.1345940662018</v>
      </c>
      <c r="V9" s="661">
        <f t="shared" ca="1" si="2"/>
        <v>1315.414209818266</v>
      </c>
      <c r="W9" s="661">
        <f t="shared" ca="1" si="2"/>
        <v>1374.1284109566477</v>
      </c>
      <c r="X9" s="661">
        <f t="shared" ca="1" si="2"/>
        <v>1436.7638298978322</v>
      </c>
      <c r="Y9" s="661">
        <f t="shared" ca="1" si="2"/>
        <v>1501.522959102972</v>
      </c>
      <c r="Z9" s="661">
        <f t="shared" ca="1" si="2"/>
        <v>1568.3454976132289</v>
      </c>
      <c r="AA9" s="661">
        <f t="shared" ca="1" si="2"/>
        <v>1638.9576059101353</v>
      </c>
      <c r="AB9" s="661">
        <f t="shared" ca="1" si="2"/>
        <v>1712.6817663305033</v>
      </c>
      <c r="AC9" s="661">
        <f t="shared" ca="1" si="2"/>
        <v>1789.8790579892691</v>
      </c>
      <c r="AD9" s="661">
        <f t="shared" ca="1" si="2"/>
        <v>1870.274508407666</v>
      </c>
      <c r="AE9" s="661">
        <f t="shared" ca="1" si="2"/>
        <v>1954.3752423860926</v>
      </c>
      <c r="AF9" s="661">
        <f t="shared" ca="1" si="2"/>
        <v>2041.7613844573075</v>
      </c>
      <c r="AG9" s="661">
        <f t="shared" ca="1" si="2"/>
        <v>2133.4996917589497</v>
      </c>
      <c r="AH9" s="661">
        <f t="shared" ca="1" si="2"/>
        <v>2229.5743828964642</v>
      </c>
      <c r="AI9" s="661">
        <f t="shared" ca="1" si="2"/>
        <v>2329.3857855341003</v>
      </c>
      <c r="AJ9" s="661">
        <f t="shared" ca="1" si="2"/>
        <v>2433.5791077029039</v>
      </c>
      <c r="AK9" s="661">
        <f t="shared" ca="1" si="2"/>
        <v>2544.0568304414519</v>
      </c>
      <c r="AL9" s="661">
        <f t="shared" ca="1" si="2"/>
        <v>2657.6506388116022</v>
      </c>
      <c r="AM9" s="661">
        <f t="shared" ca="1" si="2"/>
        <v>2776.6085687455115</v>
      </c>
      <c r="AN9" s="662">
        <f t="shared" ca="1" si="2"/>
        <v>2901.4130479377782</v>
      </c>
      <c r="AO9" s="436"/>
    </row>
    <row r="10" spans="2:41" ht="15" customHeight="1" thickBot="1" x14ac:dyDescent="0.4">
      <c r="B10" s="429"/>
      <c r="C10" s="461"/>
      <c r="D10" s="463"/>
      <c r="E10" s="463"/>
      <c r="F10" s="463"/>
      <c r="G10" s="463"/>
      <c r="H10" s="463"/>
      <c r="I10" s="463"/>
      <c r="J10" s="463"/>
      <c r="K10" s="463"/>
      <c r="L10" s="463"/>
      <c r="M10" s="463"/>
      <c r="N10" s="463"/>
      <c r="O10" s="463"/>
      <c r="P10" s="463"/>
      <c r="Q10" s="463"/>
      <c r="R10" s="463"/>
      <c r="S10" s="463"/>
      <c r="T10" s="463"/>
      <c r="U10" s="463"/>
      <c r="V10" s="463"/>
      <c r="W10" s="463"/>
      <c r="X10" s="463"/>
      <c r="Y10" s="463"/>
      <c r="Z10" s="463"/>
      <c r="AA10" s="463"/>
      <c r="AB10" s="463"/>
      <c r="AC10" s="463"/>
      <c r="AD10" s="463"/>
      <c r="AE10" s="463"/>
      <c r="AF10" s="463"/>
      <c r="AG10" s="463"/>
      <c r="AH10" s="463"/>
      <c r="AI10" s="463"/>
      <c r="AJ10" s="463"/>
      <c r="AK10" s="463"/>
      <c r="AL10" s="463"/>
      <c r="AM10" s="463"/>
      <c r="AN10" s="463"/>
      <c r="AO10" s="436"/>
    </row>
    <row r="11" spans="2:41" ht="15" customHeight="1" x14ac:dyDescent="0.35">
      <c r="B11" s="429"/>
      <c r="C11" s="464" t="s">
        <v>220</v>
      </c>
      <c r="D11" s="435"/>
      <c r="E11" s="663">
        <f t="shared" ref="E11:AN11" ca="1" si="3">SUMIF($C:$C,"Total Materials (MM)",E:E)</f>
        <v>392.11145885356893</v>
      </c>
      <c r="F11" s="664">
        <f t="shared" ca="1" si="3"/>
        <v>406.55590959189897</v>
      </c>
      <c r="G11" s="664">
        <f t="shared" ca="1" si="3"/>
        <v>419.08593377948614</v>
      </c>
      <c r="H11" s="664">
        <f t="shared" ca="1" si="3"/>
        <v>435.64680881669045</v>
      </c>
      <c r="I11" s="664">
        <f t="shared" ca="1" si="3"/>
        <v>461.10598122082558</v>
      </c>
      <c r="J11" s="664">
        <f t="shared" ca="1" si="3"/>
        <v>481.49469709019502</v>
      </c>
      <c r="K11" s="664">
        <f t="shared" ca="1" si="3"/>
        <v>503.93039673765725</v>
      </c>
      <c r="L11" s="664">
        <f t="shared" ca="1" si="3"/>
        <v>527.4923549122874</v>
      </c>
      <c r="M11" s="664">
        <f t="shared" ca="1" si="3"/>
        <v>551.92952374637036</v>
      </c>
      <c r="N11" s="664">
        <f t="shared" ca="1" si="3"/>
        <v>577.08096265598101</v>
      </c>
      <c r="O11" s="664">
        <f t="shared" ca="1" si="3"/>
        <v>603.28627153883713</v>
      </c>
      <c r="P11" s="664">
        <f t="shared" ca="1" si="3"/>
        <v>630.48686691686237</v>
      </c>
      <c r="Q11" s="664">
        <f t="shared" ca="1" si="3"/>
        <v>658.08783646385234</v>
      </c>
      <c r="R11" s="664">
        <f t="shared" ca="1" si="3"/>
        <v>687.2370638831045</v>
      </c>
      <c r="S11" s="664">
        <f t="shared" ca="1" si="3"/>
        <v>717.7393059096346</v>
      </c>
      <c r="T11" s="664">
        <f t="shared" ca="1" si="3"/>
        <v>749.79490574102579</v>
      </c>
      <c r="U11" s="664">
        <f t="shared" ca="1" si="3"/>
        <v>783.99878316592833</v>
      </c>
      <c r="V11" s="664">
        <f t="shared" ca="1" si="3"/>
        <v>819.04094988643317</v>
      </c>
      <c r="W11" s="664">
        <f t="shared" ca="1" si="3"/>
        <v>855.59890981053832</v>
      </c>
      <c r="X11" s="664">
        <f t="shared" ca="1" si="3"/>
        <v>894.5987643147979</v>
      </c>
      <c r="Y11" s="664">
        <f t="shared" ca="1" si="3"/>
        <v>934.91853727088289</v>
      </c>
      <c r="Z11" s="664">
        <f t="shared" ca="1" si="3"/>
        <v>976.52491361895716</v>
      </c>
      <c r="AA11" s="664">
        <f t="shared" ca="1" si="3"/>
        <v>1020.4909589799729</v>
      </c>
      <c r="AB11" s="664">
        <f t="shared" ca="1" si="3"/>
        <v>1066.3920697370068</v>
      </c>
      <c r="AC11" s="664">
        <f t="shared" ca="1" si="3"/>
        <v>1114.4584700012579</v>
      </c>
      <c r="AD11" s="664">
        <f t="shared" ca="1" si="3"/>
        <v>1164.512405646602</v>
      </c>
      <c r="AE11" s="664">
        <f t="shared" ca="1" si="3"/>
        <v>1216.8769933983435</v>
      </c>
      <c r="AF11" s="664">
        <f t="shared" ca="1" si="3"/>
        <v>1271.2868411285156</v>
      </c>
      <c r="AG11" s="664">
        <f t="shared" ca="1" si="3"/>
        <v>1328.4064827023913</v>
      </c>
      <c r="AH11" s="664">
        <f t="shared" ca="1" si="3"/>
        <v>1388.2262415250452</v>
      </c>
      <c r="AI11" s="664">
        <f t="shared" ca="1" si="3"/>
        <v>1450.3728073816692</v>
      </c>
      <c r="AJ11" s="664">
        <f t="shared" ca="1" si="3"/>
        <v>1515.2473870891454</v>
      </c>
      <c r="AK11" s="664">
        <f t="shared" ca="1" si="3"/>
        <v>1584.030746059482</v>
      </c>
      <c r="AL11" s="664">
        <f t="shared" ca="1" si="3"/>
        <v>1654.7580886387766</v>
      </c>
      <c r="AM11" s="664">
        <f t="shared" ca="1" si="3"/>
        <v>1728.8254896428393</v>
      </c>
      <c r="AN11" s="665">
        <f t="shared" ca="1" si="3"/>
        <v>1806.5299536514644</v>
      </c>
      <c r="AO11" s="436"/>
    </row>
    <row r="12" spans="2:41" ht="15" customHeight="1" x14ac:dyDescent="0.35">
      <c r="B12" s="429"/>
      <c r="C12" s="464" t="s">
        <v>221</v>
      </c>
      <c r="D12" s="435"/>
      <c r="E12" s="666">
        <f t="shared" ref="E12:AN12" ca="1" si="4">SUMIF($C:$C,"Total Labor (MM)",E:E)</f>
        <v>9.0774248163452782</v>
      </c>
      <c r="F12" s="667">
        <f t="shared" ca="1" si="4"/>
        <v>9.4119419434205298</v>
      </c>
      <c r="G12" s="667">
        <f t="shared" ca="1" si="4"/>
        <v>9.7022436724499244</v>
      </c>
      <c r="H12" s="667">
        <f t="shared" ca="1" si="4"/>
        <v>10.085843100694941</v>
      </c>
      <c r="I12" s="667">
        <f t="shared" ca="1" si="4"/>
        <v>10.269532169875859</v>
      </c>
      <c r="J12" s="667">
        <f t="shared" ca="1" si="4"/>
        <v>10.723449566724463</v>
      </c>
      <c r="K12" s="667">
        <f t="shared" ca="1" si="4"/>
        <v>11.223003124302281</v>
      </c>
      <c r="L12" s="667">
        <f t="shared" ca="1" si="4"/>
        <v>11.747610190893155</v>
      </c>
      <c r="M12" s="667">
        <f t="shared" ca="1" si="4"/>
        <v>12.292483821998955</v>
      </c>
      <c r="N12" s="667">
        <f t="shared" ca="1" si="4"/>
        <v>12.852544496997197</v>
      </c>
      <c r="O12" s="667">
        <f t="shared" ca="1" si="4"/>
        <v>13.436600411831106</v>
      </c>
      <c r="P12" s="667">
        <f t="shared" ca="1" si="4"/>
        <v>14.042266404174644</v>
      </c>
      <c r="Q12" s="667">
        <f t="shared" ca="1" si="4"/>
        <v>14.657316537690789</v>
      </c>
      <c r="R12" s="667">
        <f t="shared" ca="1" si="4"/>
        <v>15.306701337652164</v>
      </c>
      <c r="S12" s="667">
        <f t="shared" ca="1" si="4"/>
        <v>15.986869343501425</v>
      </c>
      <c r="T12" s="667">
        <f t="shared" ca="1" si="4"/>
        <v>16.701142179515465</v>
      </c>
      <c r="U12" s="667">
        <f t="shared" ca="1" si="4"/>
        <v>17.463346826038169</v>
      </c>
      <c r="V12" s="667">
        <f t="shared" ca="1" si="4"/>
        <v>18.244198618079647</v>
      </c>
      <c r="W12" s="667">
        <f t="shared" ca="1" si="4"/>
        <v>19.058868970658722</v>
      </c>
      <c r="X12" s="667">
        <f t="shared" ca="1" si="4"/>
        <v>19.927607512421378</v>
      </c>
      <c r="Y12" s="667">
        <f t="shared" ca="1" si="4"/>
        <v>20.82637687097305</v>
      </c>
      <c r="Z12" s="667">
        <f t="shared" ca="1" si="4"/>
        <v>21.753722630174813</v>
      </c>
      <c r="AA12" s="667">
        <f t="shared" ca="1" si="4"/>
        <v>22.733352998384085</v>
      </c>
      <c r="AB12" s="667">
        <f t="shared" ca="1" si="4"/>
        <v>23.756800321789243</v>
      </c>
      <c r="AC12" s="667">
        <f t="shared" ca="1" si="4"/>
        <v>24.827642417204984</v>
      </c>
      <c r="AD12" s="667">
        <f t="shared" ca="1" si="4"/>
        <v>25.944221701273904</v>
      </c>
      <c r="AE12" s="667">
        <f t="shared" ca="1" si="4"/>
        <v>27.11089668724038</v>
      </c>
      <c r="AF12" s="667">
        <f t="shared" ca="1" si="4"/>
        <v>28.323384668701557</v>
      </c>
      <c r="AG12" s="667">
        <f t="shared" ca="1" si="4"/>
        <v>29.596516481613293</v>
      </c>
      <c r="AH12" s="667">
        <f t="shared" ca="1" si="4"/>
        <v>30.929560187480412</v>
      </c>
      <c r="AI12" s="667">
        <f t="shared" ca="1" si="4"/>
        <v>32.314337121624575</v>
      </c>
      <c r="AJ12" s="667">
        <f t="shared" ca="1" si="4"/>
        <v>33.760276172917166</v>
      </c>
      <c r="AK12" s="667">
        <f t="shared" ca="1" si="4"/>
        <v>35.294029247768158</v>
      </c>
      <c r="AL12" s="667">
        <f t="shared" ca="1" si="4"/>
        <v>36.870625370764955</v>
      </c>
      <c r="AM12" s="667">
        <f t="shared" ca="1" si="4"/>
        <v>38.521323821799449</v>
      </c>
      <c r="AN12" s="668">
        <f t="shared" ca="1" si="4"/>
        <v>40.254097307088742</v>
      </c>
      <c r="AO12" s="436"/>
    </row>
    <row r="13" spans="2:41" ht="15" customHeight="1" x14ac:dyDescent="0.35">
      <c r="B13" s="429"/>
      <c r="C13" s="464" t="s">
        <v>222</v>
      </c>
      <c r="D13" s="435"/>
      <c r="E13" s="666">
        <f t="shared" ref="E13:AN13" ca="1" si="5">SUMIF($C:$C,"Total Depreciation (MM)",E:E)</f>
        <v>22.164868774199888</v>
      </c>
      <c r="F13" s="667">
        <f t="shared" ca="1" si="5"/>
        <v>22.981390253643504</v>
      </c>
      <c r="G13" s="667">
        <f t="shared" ca="1" si="5"/>
        <v>23.689682693341382</v>
      </c>
      <c r="H13" s="667">
        <f t="shared" ca="1" si="5"/>
        <v>24.625827271214455</v>
      </c>
      <c r="I13" s="667">
        <f t="shared" ca="1" si="5"/>
        <v>25.977214708119192</v>
      </c>
      <c r="J13" s="667">
        <f t="shared" ca="1" si="5"/>
        <v>27.125807693819382</v>
      </c>
      <c r="K13" s="667">
        <f t="shared" ca="1" si="5"/>
        <v>28.389763307037462</v>
      </c>
      <c r="L13" s="667">
        <f t="shared" ca="1" si="5"/>
        <v>29.71715014392932</v>
      </c>
      <c r="M13" s="667">
        <f t="shared" ca="1" si="5"/>
        <v>31.093922595506726</v>
      </c>
      <c r="N13" s="667">
        <f t="shared" ca="1" si="5"/>
        <v>32.510856491987361</v>
      </c>
      <c r="O13" s="667">
        <f t="shared" ca="1" si="5"/>
        <v>33.987232465541545</v>
      </c>
      <c r="P13" s="667">
        <f t="shared" ca="1" si="5"/>
        <v>35.519610237498782</v>
      </c>
      <c r="Q13" s="667">
        <f t="shared" ca="1" si="5"/>
        <v>37.074578853817187</v>
      </c>
      <c r="R13" s="667">
        <f t="shared" ca="1" si="5"/>
        <v>38.716751137218026</v>
      </c>
      <c r="S13" s="667">
        <f t="shared" ca="1" si="5"/>
        <v>40.435252785540911</v>
      </c>
      <c r="T13" s="667">
        <f t="shared" ca="1" si="5"/>
        <v>42.241176218597928</v>
      </c>
      <c r="U13" s="667">
        <f t="shared" ca="1" si="5"/>
        <v>44.168206601735719</v>
      </c>
      <c r="V13" s="667">
        <f t="shared" ca="1" si="5"/>
        <v>46.142389599798321</v>
      </c>
      <c r="W13" s="667">
        <f t="shared" ca="1" si="5"/>
        <v>48.201973058417444</v>
      </c>
      <c r="X13" s="667">
        <f t="shared" ca="1" si="5"/>
        <v>50.399112056933795</v>
      </c>
      <c r="Y13" s="667">
        <f t="shared" ca="1" si="5"/>
        <v>52.670712260189859</v>
      </c>
      <c r="Z13" s="667">
        <f t="shared" ca="1" si="5"/>
        <v>55.014730710885367</v>
      </c>
      <c r="AA13" s="667">
        <f t="shared" ca="1" si="5"/>
        <v>57.491658191817045</v>
      </c>
      <c r="AB13" s="667">
        <f t="shared" ca="1" si="5"/>
        <v>60.077740495852638</v>
      </c>
      <c r="AC13" s="667">
        <f t="shared" ca="1" si="5"/>
        <v>62.78567934027933</v>
      </c>
      <c r="AD13" s="667">
        <f t="shared" ca="1" si="5"/>
        <v>65.605766422700668</v>
      </c>
      <c r="AE13" s="667">
        <f t="shared" ca="1" si="5"/>
        <v>68.555863360337895</v>
      </c>
      <c r="AF13" s="667">
        <f t="shared" ca="1" si="5"/>
        <v>71.621184071324336</v>
      </c>
      <c r="AG13" s="667">
        <f t="shared" ca="1" si="5"/>
        <v>74.839179772067013</v>
      </c>
      <c r="AH13" s="667">
        <f t="shared" ca="1" si="5"/>
        <v>78.209318182289053</v>
      </c>
      <c r="AI13" s="667">
        <f t="shared" ca="1" si="5"/>
        <v>81.710510242808368</v>
      </c>
      <c r="AJ13" s="667">
        <f t="shared" ca="1" si="5"/>
        <v>85.365407403067707</v>
      </c>
      <c r="AK13" s="667">
        <f t="shared" ca="1" si="5"/>
        <v>89.240697918926315</v>
      </c>
      <c r="AL13" s="667">
        <f t="shared" ca="1" si="5"/>
        <v>93.225336582705793</v>
      </c>
      <c r="AM13" s="667">
        <f t="shared" ca="1" si="5"/>
        <v>97.398177434256169</v>
      </c>
      <c r="AN13" s="668">
        <f t="shared" ca="1" si="5"/>
        <v>101.77602321101244</v>
      </c>
      <c r="AO13" s="436"/>
    </row>
    <row r="14" spans="2:41" ht="15" customHeight="1" thickBot="1" x14ac:dyDescent="0.4">
      <c r="B14" s="429"/>
      <c r="C14" s="464" t="s">
        <v>223</v>
      </c>
      <c r="D14" s="435"/>
      <c r="E14" s="660">
        <f t="shared" ref="E14:AN14" ca="1" si="6">SUMIF($C:$C,"Total Overhead (MM)",E:E)</f>
        <v>13.392430298740752</v>
      </c>
      <c r="F14" s="661">
        <f t="shared" ca="1" si="6"/>
        <v>13.886034144899217</v>
      </c>
      <c r="G14" s="661">
        <f t="shared" ca="1" si="6"/>
        <v>14.313917063419783</v>
      </c>
      <c r="H14" s="661">
        <f t="shared" ca="1" si="6"/>
        <v>14.87949659887706</v>
      </c>
      <c r="I14" s="661">
        <f t="shared" ca="1" si="6"/>
        <v>14.513571568552567</v>
      </c>
      <c r="J14" s="661">
        <f t="shared" ca="1" si="6"/>
        <v>15.154719419101131</v>
      </c>
      <c r="K14" s="661">
        <f t="shared" ca="1" si="6"/>
        <v>15.861039925337312</v>
      </c>
      <c r="L14" s="661">
        <f t="shared" ca="1" si="6"/>
        <v>16.602493500265815</v>
      </c>
      <c r="M14" s="661">
        <f t="shared" ca="1" si="6"/>
        <v>17.372199796847529</v>
      </c>
      <c r="N14" s="661">
        <f t="shared" ca="1" si="6"/>
        <v>18.163646049366641</v>
      </c>
      <c r="O14" s="661">
        <f t="shared" ca="1" si="6"/>
        <v>18.989057466382288</v>
      </c>
      <c r="P14" s="661">
        <f t="shared" ca="1" si="6"/>
        <v>19.845054224691342</v>
      </c>
      <c r="Q14" s="661">
        <f t="shared" ca="1" si="6"/>
        <v>20.713841618869942</v>
      </c>
      <c r="R14" s="661">
        <f t="shared" ca="1" si="6"/>
        <v>21.631131666025684</v>
      </c>
      <c r="S14" s="661">
        <f t="shared" ca="1" si="6"/>
        <v>22.592321430109436</v>
      </c>
      <c r="T14" s="661">
        <f t="shared" ca="1" si="6"/>
        <v>23.601223517962818</v>
      </c>
      <c r="U14" s="661">
        <f t="shared" ca="1" si="6"/>
        <v>24.679153095671552</v>
      </c>
      <c r="V14" s="661">
        <f t="shared" ca="1" si="6"/>
        <v>25.782109182355242</v>
      </c>
      <c r="W14" s="661">
        <f t="shared" ca="1" si="6"/>
        <v>26.932820740039482</v>
      </c>
      <c r="X14" s="661">
        <f t="shared" ca="1" si="6"/>
        <v>28.160467976611368</v>
      </c>
      <c r="Y14" s="661">
        <f t="shared" ca="1" si="6"/>
        <v>29.430920596769202</v>
      </c>
      <c r="Z14" s="661">
        <f t="shared" ca="1" si="6"/>
        <v>30.740735717526615</v>
      </c>
      <c r="AA14" s="661">
        <f t="shared" ca="1" si="6"/>
        <v>32.124585333609787</v>
      </c>
      <c r="AB14" s="661">
        <f t="shared" ca="1" si="6"/>
        <v>33.57123172816182</v>
      </c>
      <c r="AC14" s="661">
        <f t="shared" ca="1" si="6"/>
        <v>35.084451399471263</v>
      </c>
      <c r="AD14" s="661">
        <f t="shared" ca="1" si="6"/>
        <v>36.66206776047094</v>
      </c>
      <c r="AE14" s="661">
        <f t="shared" ca="1" si="6"/>
        <v>38.310697004086066</v>
      </c>
      <c r="AF14" s="661">
        <f t="shared" ca="1" si="6"/>
        <v>40.023448679721284</v>
      </c>
      <c r="AG14" s="661">
        <f t="shared" ca="1" si="6"/>
        <v>41.821461872834888</v>
      </c>
      <c r="AH14" s="661">
        <f t="shared" ca="1" si="6"/>
        <v>43.705189115806959</v>
      </c>
      <c r="AI14" s="661">
        <f t="shared" ca="1" si="6"/>
        <v>45.661660383126545</v>
      </c>
      <c r="AJ14" s="661">
        <f t="shared" ca="1" si="6"/>
        <v>47.703922498765351</v>
      </c>
      <c r="AK14" s="661">
        <f t="shared" ca="1" si="6"/>
        <v>49.871924191090649</v>
      </c>
      <c r="AL14" s="661">
        <f t="shared" ca="1" si="6"/>
        <v>52.098394387177279</v>
      </c>
      <c r="AM14" s="661">
        <f t="shared" ca="1" si="6"/>
        <v>54.430919135709658</v>
      </c>
      <c r="AN14" s="662">
        <f t="shared" ca="1" si="6"/>
        <v>56.878806835605324</v>
      </c>
      <c r="AO14" s="436"/>
    </row>
    <row r="15" spans="2:41" ht="15" customHeight="1" thickBot="1" x14ac:dyDescent="0.4">
      <c r="B15" s="465"/>
      <c r="C15" s="466"/>
      <c r="D15" s="466"/>
      <c r="E15" s="466"/>
      <c r="F15" s="466"/>
      <c r="G15" s="466"/>
      <c r="H15" s="466"/>
      <c r="I15" s="466"/>
      <c r="J15" s="466"/>
      <c r="K15" s="466"/>
      <c r="L15" s="466"/>
      <c r="M15" s="466"/>
      <c r="N15" s="466"/>
      <c r="O15" s="466"/>
      <c r="P15" s="466"/>
      <c r="Q15" s="466"/>
      <c r="R15" s="466"/>
      <c r="S15" s="466"/>
      <c r="T15" s="466"/>
      <c r="U15" s="466"/>
      <c r="V15" s="466"/>
      <c r="W15" s="466"/>
      <c r="X15" s="466"/>
      <c r="Y15" s="466"/>
      <c r="Z15" s="466"/>
      <c r="AA15" s="466"/>
      <c r="AB15" s="466"/>
      <c r="AC15" s="466"/>
      <c r="AD15" s="466"/>
      <c r="AE15" s="466"/>
      <c r="AF15" s="466"/>
      <c r="AG15" s="466"/>
      <c r="AH15" s="466"/>
      <c r="AI15" s="466"/>
      <c r="AJ15" s="466"/>
      <c r="AK15" s="466"/>
      <c r="AL15" s="466"/>
      <c r="AM15" s="466"/>
      <c r="AN15" s="466"/>
      <c r="AO15" s="467"/>
    </row>
    <row r="16" spans="2:41" ht="15" customHeight="1" x14ac:dyDescent="0.35"/>
    <row r="17" spans="2:42" ht="15" customHeight="1" thickBot="1" x14ac:dyDescent="0.4">
      <c r="C17" s="469"/>
      <c r="D17" s="470"/>
      <c r="E17" s="469"/>
      <c r="F17" s="469"/>
      <c r="G17" s="469"/>
      <c r="H17" s="469"/>
      <c r="I17" s="469"/>
      <c r="J17" s="469"/>
      <c r="K17" s="469"/>
      <c r="L17" s="469"/>
      <c r="M17" s="469"/>
      <c r="N17" s="451"/>
      <c r="O17" s="451"/>
      <c r="P17" s="451"/>
      <c r="Q17" s="451"/>
      <c r="R17" s="451"/>
      <c r="S17" s="451"/>
      <c r="T17" s="451"/>
      <c r="U17" s="451"/>
      <c r="V17" s="451"/>
      <c r="W17" s="451"/>
      <c r="X17" s="451"/>
      <c r="Y17" s="451"/>
      <c r="Z17" s="451"/>
      <c r="AA17" s="451"/>
      <c r="AB17" s="451"/>
      <c r="AC17" s="451"/>
      <c r="AD17" s="451"/>
      <c r="AE17" s="451"/>
      <c r="AF17" s="451"/>
      <c r="AG17" s="451"/>
      <c r="AH17" s="451"/>
      <c r="AI17" s="451"/>
      <c r="AJ17" s="451"/>
      <c r="AK17" s="451"/>
      <c r="AL17" s="451"/>
      <c r="AM17" s="451"/>
    </row>
    <row r="18" spans="2:42" ht="15" customHeight="1" x14ac:dyDescent="0.35">
      <c r="B18" s="425"/>
      <c r="C18" s="453"/>
      <c r="D18" s="426"/>
      <c r="E18" s="453"/>
      <c r="F18" s="453"/>
      <c r="G18" s="453"/>
      <c r="H18" s="453"/>
      <c r="I18" s="453"/>
      <c r="J18" s="453"/>
      <c r="K18" s="453"/>
      <c r="L18" s="453"/>
      <c r="M18" s="453"/>
      <c r="N18" s="426"/>
      <c r="O18" s="426"/>
      <c r="P18" s="426"/>
      <c r="Q18" s="426"/>
      <c r="R18" s="426"/>
      <c r="S18" s="426"/>
      <c r="T18" s="426"/>
      <c r="U18" s="426"/>
      <c r="V18" s="426"/>
      <c r="W18" s="426"/>
      <c r="X18" s="426"/>
      <c r="Y18" s="426"/>
      <c r="Z18" s="426"/>
      <c r="AA18" s="426"/>
      <c r="AB18" s="426"/>
      <c r="AC18" s="426"/>
      <c r="AD18" s="426"/>
      <c r="AE18" s="426"/>
      <c r="AF18" s="426"/>
      <c r="AG18" s="426"/>
      <c r="AH18" s="426"/>
      <c r="AI18" s="426"/>
      <c r="AJ18" s="426"/>
      <c r="AK18" s="426"/>
      <c r="AL18" s="426"/>
      <c r="AM18" s="426"/>
      <c r="AN18" s="426"/>
      <c r="AO18" s="428"/>
      <c r="AP18" s="21"/>
    </row>
    <row r="19" spans="2:42" ht="15" customHeight="1" x14ac:dyDescent="0.35">
      <c r="B19" s="429"/>
      <c r="C19" s="772" t="str">
        <f>TSL_X</f>
        <v>TSL 1</v>
      </c>
      <c r="D19" s="773"/>
      <c r="E19" s="773"/>
      <c r="F19" s="773"/>
      <c r="G19" s="773"/>
      <c r="H19" s="773"/>
      <c r="I19" s="773"/>
      <c r="J19" s="773"/>
      <c r="K19" s="773"/>
      <c r="L19" s="773"/>
      <c r="M19" s="773"/>
      <c r="N19" s="773"/>
      <c r="O19" s="773"/>
      <c r="P19" s="773"/>
      <c r="Q19" s="773"/>
      <c r="R19" s="773"/>
      <c r="S19" s="773"/>
      <c r="T19" s="773"/>
      <c r="U19" s="773"/>
      <c r="V19" s="773"/>
      <c r="W19" s="773"/>
      <c r="X19" s="773"/>
      <c r="Y19" s="773"/>
      <c r="Z19" s="773"/>
      <c r="AA19" s="773"/>
      <c r="AB19" s="773"/>
      <c r="AC19" s="773"/>
      <c r="AD19" s="773"/>
      <c r="AE19" s="773"/>
      <c r="AF19" s="773"/>
      <c r="AG19" s="773"/>
      <c r="AH19" s="773"/>
      <c r="AI19" s="773"/>
      <c r="AJ19" s="773"/>
      <c r="AK19" s="773"/>
      <c r="AL19" s="773"/>
      <c r="AM19" s="773"/>
      <c r="AN19" s="773"/>
      <c r="AO19" s="436"/>
      <c r="AP19" s="21"/>
    </row>
    <row r="20" spans="2:42" ht="15" customHeight="1" x14ac:dyDescent="0.35">
      <c r="B20" s="429"/>
      <c r="C20" s="772"/>
      <c r="D20" s="773"/>
      <c r="E20" s="774" t="str">
        <f t="shared" ref="E20:AN20" si="7">IF(E21=Announcement_Year,"Ancmt Yr",
IF(E21=Reference_Year,"Ref Yr",
IF(E21=Standard_Year,"Std Yr",
IF(E21=Terminal_Year,"Term Yr",
" "))))</f>
        <v xml:space="preserve"> </v>
      </c>
      <c r="F20" s="774" t="str">
        <f t="shared" ca="1" si="7"/>
        <v>Ancmt Yr</v>
      </c>
      <c r="G20" s="774" t="str">
        <f t="shared" ca="1" si="7"/>
        <v xml:space="preserve"> </v>
      </c>
      <c r="H20" s="774" t="str">
        <f t="shared" ca="1" si="7"/>
        <v xml:space="preserve"> </v>
      </c>
      <c r="I20" s="774" t="str">
        <f t="shared" ca="1" si="7"/>
        <v>Std Yr</v>
      </c>
      <c r="J20" s="774" t="str">
        <f t="shared" ca="1" si="7"/>
        <v xml:space="preserve"> </v>
      </c>
      <c r="K20" s="774" t="str">
        <f t="shared" ca="1" si="7"/>
        <v xml:space="preserve"> </v>
      </c>
      <c r="L20" s="774" t="str">
        <f t="shared" ca="1" si="7"/>
        <v xml:space="preserve"> </v>
      </c>
      <c r="M20" s="774" t="str">
        <f t="shared" ca="1" si="7"/>
        <v xml:space="preserve"> </v>
      </c>
      <c r="N20" s="774" t="str">
        <f t="shared" ca="1" si="7"/>
        <v xml:space="preserve"> </v>
      </c>
      <c r="O20" s="774" t="str">
        <f t="shared" ca="1" si="7"/>
        <v xml:space="preserve"> </v>
      </c>
      <c r="P20" s="774" t="str">
        <f t="shared" ca="1" si="7"/>
        <v xml:space="preserve"> </v>
      </c>
      <c r="Q20" s="774" t="str">
        <f t="shared" ca="1" si="7"/>
        <v xml:space="preserve"> </v>
      </c>
      <c r="R20" s="774" t="str">
        <f t="shared" ca="1" si="7"/>
        <v xml:space="preserve"> </v>
      </c>
      <c r="S20" s="774" t="str">
        <f t="shared" ca="1" si="7"/>
        <v xml:space="preserve"> </v>
      </c>
      <c r="T20" s="774" t="str">
        <f t="shared" ca="1" si="7"/>
        <v xml:space="preserve"> </v>
      </c>
      <c r="U20" s="774" t="str">
        <f t="shared" ca="1" si="7"/>
        <v xml:space="preserve"> </v>
      </c>
      <c r="V20" s="774" t="str">
        <f t="shared" ca="1" si="7"/>
        <v xml:space="preserve"> </v>
      </c>
      <c r="W20" s="774" t="str">
        <f t="shared" ca="1" si="7"/>
        <v xml:space="preserve"> </v>
      </c>
      <c r="X20" s="774" t="str">
        <f t="shared" ca="1" si="7"/>
        <v xml:space="preserve"> </v>
      </c>
      <c r="Y20" s="774" t="str">
        <f t="shared" ca="1" si="7"/>
        <v xml:space="preserve"> </v>
      </c>
      <c r="Z20" s="774" t="str">
        <f t="shared" ca="1" si="7"/>
        <v xml:space="preserve"> </v>
      </c>
      <c r="AA20" s="774" t="str">
        <f t="shared" ca="1" si="7"/>
        <v xml:space="preserve"> </v>
      </c>
      <c r="AB20" s="774" t="str">
        <f t="shared" ca="1" si="7"/>
        <v xml:space="preserve"> </v>
      </c>
      <c r="AC20" s="774" t="str">
        <f t="shared" ca="1" si="7"/>
        <v xml:space="preserve"> </v>
      </c>
      <c r="AD20" s="774" t="str">
        <f t="shared" ca="1" si="7"/>
        <v xml:space="preserve"> </v>
      </c>
      <c r="AE20" s="774" t="str">
        <f t="shared" ca="1" si="7"/>
        <v xml:space="preserve"> </v>
      </c>
      <c r="AF20" s="774" t="str">
        <f t="shared" ca="1" si="7"/>
        <v xml:space="preserve"> </v>
      </c>
      <c r="AG20" s="774" t="str">
        <f t="shared" ca="1" si="7"/>
        <v xml:space="preserve"> </v>
      </c>
      <c r="AH20" s="774" t="str">
        <f t="shared" ca="1" si="7"/>
        <v xml:space="preserve"> </v>
      </c>
      <c r="AI20" s="774" t="str">
        <f t="shared" ca="1" si="7"/>
        <v xml:space="preserve"> </v>
      </c>
      <c r="AJ20" s="774" t="str">
        <f t="shared" ca="1" si="7"/>
        <v xml:space="preserve"> </v>
      </c>
      <c r="AK20" s="774" t="str">
        <f t="shared" ca="1" si="7"/>
        <v xml:space="preserve"> </v>
      </c>
      <c r="AL20" s="774" t="str">
        <f t="shared" ca="1" si="7"/>
        <v xml:space="preserve"> </v>
      </c>
      <c r="AM20" s="774" t="str">
        <f t="shared" ca="1" si="7"/>
        <v xml:space="preserve"> </v>
      </c>
      <c r="AN20" s="774" t="str">
        <f t="shared" ca="1" si="7"/>
        <v>Term Yr</v>
      </c>
      <c r="AO20" s="436"/>
      <c r="AP20" s="21"/>
    </row>
    <row r="21" spans="2:42" ht="15" customHeight="1" x14ac:dyDescent="0.35">
      <c r="B21" s="429"/>
      <c r="C21" s="775" t="s">
        <v>99</v>
      </c>
      <c r="D21" s="776"/>
      <c r="E21" s="772">
        <f>Reference_Year -1</f>
        <v>2022</v>
      </c>
      <c r="F21" s="772">
        <f ca="1">OFFSET(F21,0,-1)+1</f>
        <v>2023</v>
      </c>
      <c r="G21" s="772">
        <f t="shared" ref="G21:AN21" ca="1" si="8">OFFSET(G21,0,-1)+1</f>
        <v>2024</v>
      </c>
      <c r="H21" s="772">
        <f t="shared" ca="1" si="8"/>
        <v>2025</v>
      </c>
      <c r="I21" s="772">
        <f t="shared" ca="1" si="8"/>
        <v>2026</v>
      </c>
      <c r="J21" s="772">
        <f t="shared" ca="1" si="8"/>
        <v>2027</v>
      </c>
      <c r="K21" s="772">
        <f t="shared" ca="1" si="8"/>
        <v>2028</v>
      </c>
      <c r="L21" s="772">
        <f t="shared" ca="1" si="8"/>
        <v>2029</v>
      </c>
      <c r="M21" s="772">
        <f t="shared" ca="1" si="8"/>
        <v>2030</v>
      </c>
      <c r="N21" s="772">
        <f t="shared" ca="1" si="8"/>
        <v>2031</v>
      </c>
      <c r="O21" s="772">
        <f t="shared" ca="1" si="8"/>
        <v>2032</v>
      </c>
      <c r="P21" s="772">
        <f t="shared" ca="1" si="8"/>
        <v>2033</v>
      </c>
      <c r="Q21" s="772">
        <f t="shared" ca="1" si="8"/>
        <v>2034</v>
      </c>
      <c r="R21" s="772">
        <f t="shared" ca="1" si="8"/>
        <v>2035</v>
      </c>
      <c r="S21" s="772">
        <f t="shared" ca="1" si="8"/>
        <v>2036</v>
      </c>
      <c r="T21" s="772">
        <f t="shared" ca="1" si="8"/>
        <v>2037</v>
      </c>
      <c r="U21" s="772">
        <f t="shared" ca="1" si="8"/>
        <v>2038</v>
      </c>
      <c r="V21" s="772">
        <f t="shared" ca="1" si="8"/>
        <v>2039</v>
      </c>
      <c r="W21" s="772">
        <f t="shared" ca="1" si="8"/>
        <v>2040</v>
      </c>
      <c r="X21" s="772">
        <f t="shared" ca="1" si="8"/>
        <v>2041</v>
      </c>
      <c r="Y21" s="772">
        <f t="shared" ca="1" si="8"/>
        <v>2042</v>
      </c>
      <c r="Z21" s="772">
        <f t="shared" ca="1" si="8"/>
        <v>2043</v>
      </c>
      <c r="AA21" s="772">
        <f t="shared" ca="1" si="8"/>
        <v>2044</v>
      </c>
      <c r="AB21" s="772">
        <f t="shared" ca="1" si="8"/>
        <v>2045</v>
      </c>
      <c r="AC21" s="772">
        <f t="shared" ca="1" si="8"/>
        <v>2046</v>
      </c>
      <c r="AD21" s="772">
        <f t="shared" ca="1" si="8"/>
        <v>2047</v>
      </c>
      <c r="AE21" s="772">
        <f t="shared" ca="1" si="8"/>
        <v>2048</v>
      </c>
      <c r="AF21" s="772">
        <f t="shared" ca="1" si="8"/>
        <v>2049</v>
      </c>
      <c r="AG21" s="772">
        <f t="shared" ca="1" si="8"/>
        <v>2050</v>
      </c>
      <c r="AH21" s="772">
        <f t="shared" ca="1" si="8"/>
        <v>2051</v>
      </c>
      <c r="AI21" s="772">
        <f t="shared" ca="1" si="8"/>
        <v>2052</v>
      </c>
      <c r="AJ21" s="772">
        <f t="shared" ca="1" si="8"/>
        <v>2053</v>
      </c>
      <c r="AK21" s="772">
        <f t="shared" ca="1" si="8"/>
        <v>2054</v>
      </c>
      <c r="AL21" s="772">
        <f t="shared" ca="1" si="8"/>
        <v>2055</v>
      </c>
      <c r="AM21" s="772">
        <f t="shared" ca="1" si="8"/>
        <v>2056</v>
      </c>
      <c r="AN21" s="772">
        <f t="shared" ca="1" si="8"/>
        <v>2057</v>
      </c>
      <c r="AO21" s="436"/>
      <c r="AP21" s="21"/>
    </row>
    <row r="22" spans="2:42" ht="15" customHeight="1" x14ac:dyDescent="0.35">
      <c r="B22" s="429"/>
      <c r="C22" s="772" t="s">
        <v>81</v>
      </c>
      <c r="D22" s="776"/>
      <c r="E22" s="776"/>
      <c r="F22" s="776"/>
      <c r="G22" s="776"/>
      <c r="H22" s="776"/>
      <c r="I22" s="776"/>
      <c r="J22" s="776"/>
      <c r="K22" s="776"/>
      <c r="L22" s="776"/>
      <c r="M22" s="776"/>
      <c r="N22" s="776"/>
      <c r="O22" s="776"/>
      <c r="P22" s="776"/>
      <c r="Q22" s="776"/>
      <c r="R22" s="776"/>
      <c r="S22" s="776"/>
      <c r="T22" s="776"/>
      <c r="U22" s="776"/>
      <c r="V22" s="776"/>
      <c r="W22" s="776"/>
      <c r="X22" s="776"/>
      <c r="Y22" s="776"/>
      <c r="Z22" s="776"/>
      <c r="AA22" s="776"/>
      <c r="AB22" s="776"/>
      <c r="AC22" s="776"/>
      <c r="AD22" s="776"/>
      <c r="AE22" s="776"/>
      <c r="AF22" s="776"/>
      <c r="AG22" s="776"/>
      <c r="AH22" s="776"/>
      <c r="AI22" s="776"/>
      <c r="AJ22" s="776"/>
      <c r="AK22" s="776"/>
      <c r="AL22" s="776"/>
      <c r="AM22" s="776"/>
      <c r="AN22" s="776"/>
      <c r="AO22" s="436"/>
      <c r="AP22" s="21"/>
    </row>
    <row r="23" spans="2:42" ht="15" customHeight="1" x14ac:dyDescent="0.35">
      <c r="B23" s="429"/>
      <c r="C23" s="780" t="s">
        <v>10</v>
      </c>
      <c r="D23" s="776"/>
      <c r="E23" s="778" cm="1">
        <f t="array" aca="1" ref="E23" ca="1">IF(E$21&lt;Standard_Year,'No STDs Case Rev &amp; Cost'!E23,
OFFSET(MSP!$C$1,
MATCH(OFFSET($C22,((MATCH($C22,EL_List,0)-1)*-10)-1,0),MSP!$C:$C,0)+MATCH($C22,EL_List,0)-1,
MATCH(OFFSET($C22,((MATCH($C22,EL_List,0)-1)*-10)-3,0),MSP!$D$5:$N$5,0)+1)
*INDEX(Learning!$E$6:$S$41,(MATCH(E$21,Dates,0)),(MATCH($C$21,Learning!$E$4:$S$4,0)+MATCH($C$22,Learning!$E$5:$S$5,0)-1)))</f>
        <v>47.245813999999989</v>
      </c>
      <c r="F23" s="778" cm="1">
        <f t="array" aca="1" ref="F23" ca="1">IF(F$21&lt;Standard_Year,'No STDs Case Rev &amp; Cost'!F23,
OFFSET(MSP!$C$1,
MATCH(OFFSET($C22,((MATCH($C22,EL_List,0)-1)*-10)-1,0),MSP!$C:$C,0)+MATCH($C22,EL_List,0)-1,
MATCH(OFFSET($C22,((MATCH($C22,EL_List,0)-1)*-10)-3,0),MSP!$D$5:$N$5,0)+1)
*INDEX(Learning!$E$6:$S$41,(MATCH(F$21,Dates,0)),(MATCH($C$21,Learning!$E$4:$S$4,0)+MATCH($C$22,Learning!$E$5:$S$5,0)-1)))</f>
        <v>46.88342999999999</v>
      </c>
      <c r="G23" s="778" cm="1">
        <f t="array" aca="1" ref="G23" ca="1">IF(G$21&lt;Standard_Year,'No STDs Case Rev &amp; Cost'!G23,
OFFSET(MSP!$C$1,
MATCH(OFFSET($C22,((MATCH($C22,EL_List,0)-1)*-10)-1,0),MSP!$C:$C,0)+MATCH($C22,EL_List,0)-1,
MATCH(OFFSET($C22,((MATCH($C22,EL_List,0)-1)*-10)-3,0),MSP!$D$5:$N$5,0)+1)
*INDEX(Learning!$E$6:$S$41,(MATCH(G$21,Dates,0)),(MATCH($C$21,Learning!$E$4:$S$4,0)+MATCH($C$22,Learning!$E$5:$S$5,0)-1)))</f>
        <v>46.566343999999994</v>
      </c>
      <c r="H23" s="778" cm="1">
        <f t="array" aca="1" ref="H23" ca="1">IF(H$21&lt;Standard_Year,'No STDs Case Rev &amp; Cost'!H23,
OFFSET(MSP!$C$1,
MATCH(OFFSET($C22,((MATCH($C22,EL_List,0)-1)*-10)-1,0),MSP!$C:$C,0)+MATCH($C22,EL_List,0)-1,
MATCH(OFFSET($C22,((MATCH($C22,EL_List,0)-1)*-10)-3,0),MSP!$D$5:$N$5,0)+1)
*INDEX(Learning!$E$6:$S$41,(MATCH(H$21,Dates,0)),(MATCH($C$21,Learning!$E$4:$S$4,0)+MATCH($C$22,Learning!$E$5:$S$5,0)-1)))</f>
        <v>46.203959999999995</v>
      </c>
      <c r="I23" s="778" cm="1">
        <f t="array" aca="1" ref="I23" ca="1">IF(I$21&lt;Standard_Year,'No STDs Case Rev &amp; Cost'!I23,
OFFSET(MSP!$C$1,
MATCH(OFFSET($C22,((MATCH($C22,EL_List,0)-1)*-10)-1,0),MSP!$C:$C,0)+MATCH($C22,EL_List,0)-1,
MATCH(OFFSET($C22,((MATCH($C22,EL_List,0)-1)*-10)-3,0),MSP!$D$5:$N$5,0)+1)
*INDEX(Learning!$E$6:$S$41,(MATCH(I$21,Dates,0)),(MATCH($C$21,Learning!$E$4:$S$4,0)+MATCH($C$22,Learning!$E$5:$S$5,0)-1)))</f>
        <v>0</v>
      </c>
      <c r="J23" s="778" cm="1">
        <f t="array" aca="1" ref="J23" ca="1">IF(J$21&lt;Standard_Year,'No STDs Case Rev &amp; Cost'!J23,
OFFSET(MSP!$C$1,
MATCH(OFFSET($C22,((MATCH($C22,EL_List,0)-1)*-10)-1,0),MSP!$C:$C,0)+MATCH($C22,EL_List,0)-1,
MATCH(OFFSET($C22,((MATCH($C22,EL_List,0)-1)*-10)-3,0),MSP!$D$5:$N$5,0)+1)
*INDEX(Learning!$E$6:$S$41,(MATCH(J$21,Dates,0)),(MATCH($C$21,Learning!$E$4:$S$4,0)+MATCH($C$22,Learning!$E$5:$S$5,0)-1)))</f>
        <v>0</v>
      </c>
      <c r="K23" s="778" cm="1">
        <f t="array" aca="1" ref="K23" ca="1">IF(K$21&lt;Standard_Year,'No STDs Case Rev &amp; Cost'!K23,
OFFSET(MSP!$C$1,
MATCH(OFFSET($C22,((MATCH($C22,EL_List,0)-1)*-10)-1,0),MSP!$C:$C,0)+MATCH($C22,EL_List,0)-1,
MATCH(OFFSET($C22,((MATCH($C22,EL_List,0)-1)*-10)-3,0),MSP!$D$5:$N$5,0)+1)
*INDEX(Learning!$E$6:$S$41,(MATCH(K$21,Dates,0)),(MATCH($C$21,Learning!$E$4:$S$4,0)+MATCH($C$22,Learning!$E$5:$S$5,0)-1)))</f>
        <v>0</v>
      </c>
      <c r="L23" s="778" cm="1">
        <f t="array" aca="1" ref="L23" ca="1">IF(L$21&lt;Standard_Year,'No STDs Case Rev &amp; Cost'!L23,
OFFSET(MSP!$C$1,
MATCH(OFFSET($C22,((MATCH($C22,EL_List,0)-1)*-10)-1,0),MSP!$C:$C,0)+MATCH($C22,EL_List,0)-1,
MATCH(OFFSET($C22,((MATCH($C22,EL_List,0)-1)*-10)-3,0),MSP!$D$5:$N$5,0)+1)
*INDEX(Learning!$E$6:$S$41,(MATCH(L$21,Dates,0)),(MATCH($C$21,Learning!$E$4:$S$4,0)+MATCH($C$22,Learning!$E$5:$S$5,0)-1)))</f>
        <v>0</v>
      </c>
      <c r="M23" s="778" cm="1">
        <f t="array" aca="1" ref="M23" ca="1">IF(M$21&lt;Standard_Year,'No STDs Case Rev &amp; Cost'!M23,
OFFSET(MSP!$C$1,
MATCH(OFFSET($C22,((MATCH($C22,EL_List,0)-1)*-10)-1,0),MSP!$C:$C,0)+MATCH($C22,EL_List,0)-1,
MATCH(OFFSET($C22,((MATCH($C22,EL_List,0)-1)*-10)-3,0),MSP!$D$5:$N$5,0)+1)
*INDEX(Learning!$E$6:$S$41,(MATCH(M$21,Dates,0)),(MATCH($C$21,Learning!$E$4:$S$4,0)+MATCH($C$22,Learning!$E$5:$S$5,0)-1)))</f>
        <v>0</v>
      </c>
      <c r="N23" s="778" cm="1">
        <f t="array" aca="1" ref="N23" ca="1">IF(N$21&lt;Standard_Year,'No STDs Case Rev &amp; Cost'!N23,
OFFSET(MSP!$C$1,
MATCH(OFFSET($C22,((MATCH($C22,EL_List,0)-1)*-10)-1,0),MSP!$C:$C,0)+MATCH($C22,EL_List,0)-1,
MATCH(OFFSET($C22,((MATCH($C22,EL_List,0)-1)*-10)-3,0),MSP!$D$5:$N$5,0)+1)
*INDEX(Learning!$E$6:$S$41,(MATCH(N$21,Dates,0)),(MATCH($C$21,Learning!$E$4:$S$4,0)+MATCH($C$22,Learning!$E$5:$S$5,0)-1)))</f>
        <v>0</v>
      </c>
      <c r="O23" s="778" cm="1">
        <f t="array" aca="1" ref="O23" ca="1">IF(O$21&lt;Standard_Year,'No STDs Case Rev &amp; Cost'!O23,
OFFSET(MSP!$C$1,
MATCH(OFFSET($C22,((MATCH($C22,EL_List,0)-1)*-10)-1,0),MSP!$C:$C,0)+MATCH($C22,EL_List,0)-1,
MATCH(OFFSET($C22,((MATCH($C22,EL_List,0)-1)*-10)-3,0),MSP!$D$5:$N$5,0)+1)
*INDEX(Learning!$E$6:$S$41,(MATCH(O$21,Dates,0)),(MATCH($C$21,Learning!$E$4:$S$4,0)+MATCH($C$22,Learning!$E$5:$S$5,0)-1)))</f>
        <v>0</v>
      </c>
      <c r="P23" s="778" cm="1">
        <f t="array" aca="1" ref="P23" ca="1">IF(P$21&lt;Standard_Year,'No STDs Case Rev &amp; Cost'!P23,
OFFSET(MSP!$C$1,
MATCH(OFFSET($C22,((MATCH($C22,EL_List,0)-1)*-10)-1,0),MSP!$C:$C,0)+MATCH($C22,EL_List,0)-1,
MATCH(OFFSET($C22,((MATCH($C22,EL_List,0)-1)*-10)-3,0),MSP!$D$5:$N$5,0)+1)
*INDEX(Learning!$E$6:$S$41,(MATCH(P$21,Dates,0)),(MATCH($C$21,Learning!$E$4:$S$4,0)+MATCH($C$22,Learning!$E$5:$S$5,0)-1)))</f>
        <v>0</v>
      </c>
      <c r="Q23" s="778" cm="1">
        <f t="array" aca="1" ref="Q23" ca="1">IF(Q$21&lt;Standard_Year,'No STDs Case Rev &amp; Cost'!Q23,
OFFSET(MSP!$C$1,
MATCH(OFFSET($C22,((MATCH($C22,EL_List,0)-1)*-10)-1,0),MSP!$C:$C,0)+MATCH($C22,EL_List,0)-1,
MATCH(OFFSET($C22,((MATCH($C22,EL_List,0)-1)*-10)-3,0),MSP!$D$5:$N$5,0)+1)
*INDEX(Learning!$E$6:$S$41,(MATCH(Q$21,Dates,0)),(MATCH($C$21,Learning!$E$4:$S$4,0)+MATCH($C$22,Learning!$E$5:$S$5,0)-1)))</f>
        <v>0</v>
      </c>
      <c r="R23" s="778" cm="1">
        <f t="array" aca="1" ref="R23" ca="1">IF(R$21&lt;Standard_Year,'No STDs Case Rev &amp; Cost'!R23,
OFFSET(MSP!$C$1,
MATCH(OFFSET($C22,((MATCH($C22,EL_List,0)-1)*-10)-1,0),MSP!$C:$C,0)+MATCH($C22,EL_List,0)-1,
MATCH(OFFSET($C22,((MATCH($C22,EL_List,0)-1)*-10)-3,0),MSP!$D$5:$N$5,0)+1)
*INDEX(Learning!$E$6:$S$41,(MATCH(R$21,Dates,0)),(MATCH($C$21,Learning!$E$4:$S$4,0)+MATCH($C$22,Learning!$E$5:$S$5,0)-1)))</f>
        <v>0</v>
      </c>
      <c r="S23" s="778" cm="1">
        <f t="array" aca="1" ref="S23" ca="1">IF(S$21&lt;Standard_Year,'No STDs Case Rev &amp; Cost'!S23,
OFFSET(MSP!$C$1,
MATCH(OFFSET($C22,((MATCH($C22,EL_List,0)-1)*-10)-1,0),MSP!$C:$C,0)+MATCH($C22,EL_List,0)-1,
MATCH(OFFSET($C22,((MATCH($C22,EL_List,0)-1)*-10)-3,0),MSP!$D$5:$N$5,0)+1)
*INDEX(Learning!$E$6:$S$41,(MATCH(S$21,Dates,0)),(MATCH($C$21,Learning!$E$4:$S$4,0)+MATCH($C$22,Learning!$E$5:$S$5,0)-1)))</f>
        <v>0</v>
      </c>
      <c r="T23" s="778" cm="1">
        <f t="array" aca="1" ref="T23" ca="1">IF(T$21&lt;Standard_Year,'No STDs Case Rev &amp; Cost'!T23,
OFFSET(MSP!$C$1,
MATCH(OFFSET($C22,((MATCH($C22,EL_List,0)-1)*-10)-1,0),MSP!$C:$C,0)+MATCH($C22,EL_List,0)-1,
MATCH(OFFSET($C22,((MATCH($C22,EL_List,0)-1)*-10)-3,0),MSP!$D$5:$N$5,0)+1)
*INDEX(Learning!$E$6:$S$41,(MATCH(T$21,Dates,0)),(MATCH($C$21,Learning!$E$4:$S$4,0)+MATCH($C$22,Learning!$E$5:$S$5,0)-1)))</f>
        <v>0</v>
      </c>
      <c r="U23" s="778" cm="1">
        <f t="array" aca="1" ref="U23" ca="1">IF(U$21&lt;Standard_Year,'No STDs Case Rev &amp; Cost'!U23,
OFFSET(MSP!$C$1,
MATCH(OFFSET($C22,((MATCH($C22,EL_List,0)-1)*-10)-1,0),MSP!$C:$C,0)+MATCH($C22,EL_List,0)-1,
MATCH(OFFSET($C22,((MATCH($C22,EL_List,0)-1)*-10)-3,0),MSP!$D$5:$N$5,0)+1)
*INDEX(Learning!$E$6:$S$41,(MATCH(U$21,Dates,0)),(MATCH($C$21,Learning!$E$4:$S$4,0)+MATCH($C$22,Learning!$E$5:$S$5,0)-1)))</f>
        <v>0</v>
      </c>
      <c r="V23" s="778" cm="1">
        <f t="array" aca="1" ref="V23" ca="1">IF(V$21&lt;Standard_Year,'No STDs Case Rev &amp; Cost'!V23,
OFFSET(MSP!$C$1,
MATCH(OFFSET($C22,((MATCH($C22,EL_List,0)-1)*-10)-1,0),MSP!$C:$C,0)+MATCH($C22,EL_List,0)-1,
MATCH(OFFSET($C22,((MATCH($C22,EL_List,0)-1)*-10)-3,0),MSP!$D$5:$N$5,0)+1)
*INDEX(Learning!$E$6:$S$41,(MATCH(V$21,Dates,0)),(MATCH($C$21,Learning!$E$4:$S$4,0)+MATCH($C$22,Learning!$E$5:$S$5,0)-1)))</f>
        <v>0</v>
      </c>
      <c r="W23" s="778" cm="1">
        <f t="array" aca="1" ref="W23" ca="1">IF(W$21&lt;Standard_Year,'No STDs Case Rev &amp; Cost'!W23,
OFFSET(MSP!$C$1,
MATCH(OFFSET($C22,((MATCH($C22,EL_List,0)-1)*-10)-1,0),MSP!$C:$C,0)+MATCH($C22,EL_List,0)-1,
MATCH(OFFSET($C22,((MATCH($C22,EL_List,0)-1)*-10)-3,0),MSP!$D$5:$N$5,0)+1)
*INDEX(Learning!$E$6:$S$41,(MATCH(W$21,Dates,0)),(MATCH($C$21,Learning!$E$4:$S$4,0)+MATCH($C$22,Learning!$E$5:$S$5,0)-1)))</f>
        <v>0</v>
      </c>
      <c r="X23" s="778" cm="1">
        <f t="array" aca="1" ref="X23" ca="1">IF(X$21&lt;Standard_Year,'No STDs Case Rev &amp; Cost'!X23,
OFFSET(MSP!$C$1,
MATCH(OFFSET($C22,((MATCH($C22,EL_List,0)-1)*-10)-1,0),MSP!$C:$C,0)+MATCH($C22,EL_List,0)-1,
MATCH(OFFSET($C22,((MATCH($C22,EL_List,0)-1)*-10)-3,0),MSP!$D$5:$N$5,0)+1)
*INDEX(Learning!$E$6:$S$41,(MATCH(X$21,Dates,0)),(MATCH($C$21,Learning!$E$4:$S$4,0)+MATCH($C$22,Learning!$E$5:$S$5,0)-1)))</f>
        <v>0</v>
      </c>
      <c r="Y23" s="778" cm="1">
        <f t="array" aca="1" ref="Y23" ca="1">IF(Y$21&lt;Standard_Year,'No STDs Case Rev &amp; Cost'!Y23,
OFFSET(MSP!$C$1,
MATCH(OFFSET($C22,((MATCH($C22,EL_List,0)-1)*-10)-1,0),MSP!$C:$C,0)+MATCH($C22,EL_List,0)-1,
MATCH(OFFSET($C22,((MATCH($C22,EL_List,0)-1)*-10)-3,0),MSP!$D$5:$N$5,0)+1)
*INDEX(Learning!$E$6:$S$41,(MATCH(Y$21,Dates,0)),(MATCH($C$21,Learning!$E$4:$S$4,0)+MATCH($C$22,Learning!$E$5:$S$5,0)-1)))</f>
        <v>0</v>
      </c>
      <c r="Z23" s="778" cm="1">
        <f t="array" aca="1" ref="Z23" ca="1">IF(Z$21&lt;Standard_Year,'No STDs Case Rev &amp; Cost'!Z23,
OFFSET(MSP!$C$1,
MATCH(OFFSET($C22,((MATCH($C22,EL_List,0)-1)*-10)-1,0),MSP!$C:$C,0)+MATCH($C22,EL_List,0)-1,
MATCH(OFFSET($C22,((MATCH($C22,EL_List,0)-1)*-10)-3,0),MSP!$D$5:$N$5,0)+1)
*INDEX(Learning!$E$6:$S$41,(MATCH(Z$21,Dates,0)),(MATCH($C$21,Learning!$E$4:$S$4,0)+MATCH($C$22,Learning!$E$5:$S$5,0)-1)))</f>
        <v>0</v>
      </c>
      <c r="AA23" s="778" cm="1">
        <f t="array" aca="1" ref="AA23" ca="1">IF(AA$21&lt;Standard_Year,'No STDs Case Rev &amp; Cost'!AA23,
OFFSET(MSP!$C$1,
MATCH(OFFSET($C22,((MATCH($C22,EL_List,0)-1)*-10)-1,0),MSP!$C:$C,0)+MATCH($C22,EL_List,0)-1,
MATCH(OFFSET($C22,((MATCH($C22,EL_List,0)-1)*-10)-3,0),MSP!$D$5:$N$5,0)+1)
*INDEX(Learning!$E$6:$S$41,(MATCH(AA$21,Dates,0)),(MATCH($C$21,Learning!$E$4:$S$4,0)+MATCH($C$22,Learning!$E$5:$S$5,0)-1)))</f>
        <v>0</v>
      </c>
      <c r="AB23" s="778" cm="1">
        <f t="array" aca="1" ref="AB23" ca="1">IF(AB$21&lt;Standard_Year,'No STDs Case Rev &amp; Cost'!AB23,
OFFSET(MSP!$C$1,
MATCH(OFFSET($C22,((MATCH($C22,EL_List,0)-1)*-10)-1,0),MSP!$C:$C,0)+MATCH($C22,EL_List,0)-1,
MATCH(OFFSET($C22,((MATCH($C22,EL_List,0)-1)*-10)-3,0),MSP!$D$5:$N$5,0)+1)
*INDEX(Learning!$E$6:$S$41,(MATCH(AB$21,Dates,0)),(MATCH($C$21,Learning!$E$4:$S$4,0)+MATCH($C$22,Learning!$E$5:$S$5,0)-1)))</f>
        <v>0</v>
      </c>
      <c r="AC23" s="778" cm="1">
        <f t="array" aca="1" ref="AC23" ca="1">IF(AC$21&lt;Standard_Year,'No STDs Case Rev &amp; Cost'!AC23,
OFFSET(MSP!$C$1,
MATCH(OFFSET($C22,((MATCH($C22,EL_List,0)-1)*-10)-1,0),MSP!$C:$C,0)+MATCH($C22,EL_List,0)-1,
MATCH(OFFSET($C22,((MATCH($C22,EL_List,0)-1)*-10)-3,0),MSP!$D$5:$N$5,0)+1)
*INDEX(Learning!$E$6:$S$41,(MATCH(AC$21,Dates,0)),(MATCH($C$21,Learning!$E$4:$S$4,0)+MATCH($C$22,Learning!$E$5:$S$5,0)-1)))</f>
        <v>0</v>
      </c>
      <c r="AD23" s="778" cm="1">
        <f t="array" aca="1" ref="AD23" ca="1">IF(AD$21&lt;Standard_Year,'No STDs Case Rev &amp; Cost'!AD23,
OFFSET(MSP!$C$1,
MATCH(OFFSET($C22,((MATCH($C22,EL_List,0)-1)*-10)-1,0),MSP!$C:$C,0)+MATCH($C22,EL_List,0)-1,
MATCH(OFFSET($C22,((MATCH($C22,EL_List,0)-1)*-10)-3,0),MSP!$D$5:$N$5,0)+1)
*INDEX(Learning!$E$6:$S$41,(MATCH(AD$21,Dates,0)),(MATCH($C$21,Learning!$E$4:$S$4,0)+MATCH($C$22,Learning!$E$5:$S$5,0)-1)))</f>
        <v>0</v>
      </c>
      <c r="AE23" s="778" cm="1">
        <f t="array" aca="1" ref="AE23" ca="1">IF(AE$21&lt;Standard_Year,'No STDs Case Rev &amp; Cost'!AE23,
OFFSET(MSP!$C$1,
MATCH(OFFSET($C22,((MATCH($C22,EL_List,0)-1)*-10)-1,0),MSP!$C:$C,0)+MATCH($C22,EL_List,0)-1,
MATCH(OFFSET($C22,((MATCH($C22,EL_List,0)-1)*-10)-3,0),MSP!$D$5:$N$5,0)+1)
*INDEX(Learning!$E$6:$S$41,(MATCH(AE$21,Dates,0)),(MATCH($C$21,Learning!$E$4:$S$4,0)+MATCH($C$22,Learning!$E$5:$S$5,0)-1)))</f>
        <v>0</v>
      </c>
      <c r="AF23" s="778" cm="1">
        <f t="array" aca="1" ref="AF23" ca="1">IF(AF$21&lt;Standard_Year,'No STDs Case Rev &amp; Cost'!AF23,
OFFSET(MSP!$C$1,
MATCH(OFFSET($C22,((MATCH($C22,EL_List,0)-1)*-10)-1,0),MSP!$C:$C,0)+MATCH($C22,EL_List,0)-1,
MATCH(OFFSET($C22,((MATCH($C22,EL_List,0)-1)*-10)-3,0),MSP!$D$5:$N$5,0)+1)
*INDEX(Learning!$E$6:$S$41,(MATCH(AF$21,Dates,0)),(MATCH($C$21,Learning!$E$4:$S$4,0)+MATCH($C$22,Learning!$E$5:$S$5,0)-1)))</f>
        <v>0</v>
      </c>
      <c r="AG23" s="778" cm="1">
        <f t="array" aca="1" ref="AG23" ca="1">IF(AG$21&lt;Standard_Year,'No STDs Case Rev &amp; Cost'!AG23,
OFFSET(MSP!$C$1,
MATCH(OFFSET($C22,((MATCH($C22,EL_List,0)-1)*-10)-1,0),MSP!$C:$C,0)+MATCH($C22,EL_List,0)-1,
MATCH(OFFSET($C22,((MATCH($C22,EL_List,0)-1)*-10)-3,0),MSP!$D$5:$N$5,0)+1)
*INDEX(Learning!$E$6:$S$41,(MATCH(AG$21,Dates,0)),(MATCH($C$21,Learning!$E$4:$S$4,0)+MATCH($C$22,Learning!$E$5:$S$5,0)-1)))</f>
        <v>0</v>
      </c>
      <c r="AH23" s="778" cm="1">
        <f t="array" aca="1" ref="AH23" ca="1">IF(AH$21&lt;Standard_Year,'No STDs Case Rev &amp; Cost'!AH23,
OFFSET(MSP!$C$1,
MATCH(OFFSET($C22,((MATCH($C22,EL_List,0)-1)*-10)-1,0),MSP!$C:$C,0)+MATCH($C22,EL_List,0)-1,
MATCH(OFFSET($C22,((MATCH($C22,EL_List,0)-1)*-10)-3,0),MSP!$D$5:$N$5,0)+1)
*INDEX(Learning!$E$6:$S$41,(MATCH(AH$21,Dates,0)),(MATCH($C$21,Learning!$E$4:$S$4,0)+MATCH($C$22,Learning!$E$5:$S$5,0)-1)))</f>
        <v>0</v>
      </c>
      <c r="AI23" s="778" cm="1">
        <f t="array" aca="1" ref="AI23" ca="1">IF(AI$21&lt;Standard_Year,'No STDs Case Rev &amp; Cost'!AI23,
OFFSET(MSP!$C$1,
MATCH(OFFSET($C22,((MATCH($C22,EL_List,0)-1)*-10)-1,0),MSP!$C:$C,0)+MATCH($C22,EL_List,0)-1,
MATCH(OFFSET($C22,((MATCH($C22,EL_List,0)-1)*-10)-3,0),MSP!$D$5:$N$5,0)+1)
*INDEX(Learning!$E$6:$S$41,(MATCH(AI$21,Dates,0)),(MATCH($C$21,Learning!$E$4:$S$4,0)+MATCH($C$22,Learning!$E$5:$S$5,0)-1)))</f>
        <v>0</v>
      </c>
      <c r="AJ23" s="778" cm="1">
        <f t="array" aca="1" ref="AJ23" ca="1">IF(AJ$21&lt;Standard_Year,'No STDs Case Rev &amp; Cost'!AJ23,
OFFSET(MSP!$C$1,
MATCH(OFFSET($C22,((MATCH($C22,EL_List,0)-1)*-10)-1,0),MSP!$C:$C,0)+MATCH($C22,EL_List,0)-1,
MATCH(OFFSET($C22,((MATCH($C22,EL_List,0)-1)*-10)-3,0),MSP!$D$5:$N$5,0)+1)
*INDEX(Learning!$E$6:$S$41,(MATCH(AJ$21,Dates,0)),(MATCH($C$21,Learning!$E$4:$S$4,0)+MATCH($C$22,Learning!$E$5:$S$5,0)-1)))</f>
        <v>0</v>
      </c>
      <c r="AK23" s="778" cm="1">
        <f t="array" aca="1" ref="AK23" ca="1">IF(AK$21&lt;Standard_Year,'No STDs Case Rev &amp; Cost'!AK23,
OFFSET(MSP!$C$1,
MATCH(OFFSET($C22,((MATCH($C22,EL_List,0)-1)*-10)-1,0),MSP!$C:$C,0)+MATCH($C22,EL_List,0)-1,
MATCH(OFFSET($C22,((MATCH($C22,EL_List,0)-1)*-10)-3,0),MSP!$D$5:$N$5,0)+1)
*INDEX(Learning!$E$6:$S$41,(MATCH(AK$21,Dates,0)),(MATCH($C$21,Learning!$E$4:$S$4,0)+MATCH($C$22,Learning!$E$5:$S$5,0)-1)))</f>
        <v>0</v>
      </c>
      <c r="AL23" s="778" cm="1">
        <f t="array" aca="1" ref="AL23" ca="1">IF(AL$21&lt;Standard_Year,'No STDs Case Rev &amp; Cost'!AL23,
OFFSET(MSP!$C$1,
MATCH(OFFSET($C22,((MATCH($C22,EL_List,0)-1)*-10)-1,0),MSP!$C:$C,0)+MATCH($C22,EL_List,0)-1,
MATCH(OFFSET($C22,((MATCH($C22,EL_List,0)-1)*-10)-3,0),MSP!$D$5:$N$5,0)+1)
*INDEX(Learning!$E$6:$S$41,(MATCH(AL$21,Dates,0)),(MATCH($C$21,Learning!$E$4:$S$4,0)+MATCH($C$22,Learning!$E$5:$S$5,0)-1)))</f>
        <v>0</v>
      </c>
      <c r="AM23" s="778" cm="1">
        <f t="array" aca="1" ref="AM23" ca="1">IF(AM$21&lt;Standard_Year,'No STDs Case Rev &amp; Cost'!AM23,
OFFSET(MSP!$C$1,
MATCH(OFFSET($C22,((MATCH($C22,EL_List,0)-1)*-10)-1,0),MSP!$C:$C,0)+MATCH($C22,EL_List,0)-1,
MATCH(OFFSET($C22,((MATCH($C22,EL_List,0)-1)*-10)-3,0),MSP!$D$5:$N$5,0)+1)
*INDEX(Learning!$E$6:$S$41,(MATCH(AM$21,Dates,0)),(MATCH($C$21,Learning!$E$4:$S$4,0)+MATCH($C$22,Learning!$E$5:$S$5,0)-1)))</f>
        <v>0</v>
      </c>
      <c r="AN23" s="778" cm="1">
        <f t="array" aca="1" ref="AN23" ca="1">IF(AN$21&lt;Standard_Year,'No STDs Case Rev &amp; Cost'!AN23,
OFFSET(MSP!$C$1,
MATCH(OFFSET($C22,((MATCH($C22,EL_List,0)-1)*-10)-1,0),MSP!$C:$C,0)+MATCH($C22,EL_List,0)-1,
MATCH(OFFSET($C22,((MATCH($C22,EL_List,0)-1)*-10)-3,0),MSP!$D$5:$N$5,0)+1)
*INDEX(Learning!$E$6:$S$41,(MATCH(AN$21,Dates,0)),(MATCH($C$21,Learning!$E$4:$S$4,0)+MATCH($C$22,Learning!$E$5:$S$5,0)-1)))</f>
        <v>0</v>
      </c>
      <c r="AO23" s="436"/>
      <c r="AP23" s="21"/>
    </row>
    <row r="24" spans="2:42" ht="15" customHeight="1" x14ac:dyDescent="0.35">
      <c r="B24" s="429"/>
      <c r="C24" s="780" t="s">
        <v>78</v>
      </c>
      <c r="D24" s="776"/>
      <c r="E24" s="530">
        <f ca="1">OFFSET(OFFSET(Shipments!$D$1,0,MATCH(E$7,Dates)),
MATCH(OFFSET($C22,((MATCH($C22,EL_List,0)-1)*-10)-3,0),Shipments!$C:$C,0)+
MATCH(OFFSET($C22,((MATCH($C22,EL_List,0)-1)*-10)-1,0),Shipments!$D:$D,0)+
MATCH($C22,EL_List,0)-10,
MATCH(Shipments_Scenario_X,Shipments!$F$5:$AQ$5,0))</f>
        <v>0.5521341648717446</v>
      </c>
      <c r="F24" s="530">
        <f ca="1">OFFSET(OFFSET(Shipments!$D$1,0,MATCH(F$7,Dates)),
MATCH(OFFSET($C22,((MATCH($C22,EL_List,0)-1)*-10)-3,0),Shipments!$C:$C,0)+
MATCH(OFFSET($C22,((MATCH($C22,EL_List,0)-1)*-10)-1,0),Shipments!$D:$D,0)+
MATCH($C22,EL_List,0)-10,
MATCH(Shipments_Scenario_X,Shipments!$F$5:$AQ$5,0))</f>
        <v>0.57682480687873139</v>
      </c>
      <c r="G24" s="530">
        <f ca="1">OFFSET(OFFSET(Shipments!$D$1,0,MATCH(G$7,Dates)),
MATCH(OFFSET($C22,((MATCH($C22,EL_List,0)-1)*-10)-3,0),Shipments!$C:$C,0)+
MATCH(OFFSET($C22,((MATCH($C22,EL_List,0)-1)*-10)-1,0),Shipments!$D:$D,0)+
MATCH($C22,EL_List,0)-10,
MATCH(Shipments_Scenario_X,Shipments!$F$5:$AQ$5,0))</f>
        <v>0</v>
      </c>
      <c r="H24" s="530">
        <f ca="1">OFFSET(OFFSET(Shipments!$D$1,0,MATCH(H$7,Dates)),
MATCH(OFFSET($C22,((MATCH($C22,EL_List,0)-1)*-10)-3,0),Shipments!$C:$C,0)+
MATCH(OFFSET($C22,((MATCH($C22,EL_List,0)-1)*-10)-1,0),Shipments!$D:$D,0)+
MATCH($C22,EL_List,0)-10,
MATCH(Shipments_Scenario_X,Shipments!$F$5:$AQ$5,0))</f>
        <v>0</v>
      </c>
      <c r="I24" s="530">
        <f ca="1">OFFSET(OFFSET(Shipments!$D$1,0,MATCH(I$7,Dates)),
MATCH(OFFSET($C22,((MATCH($C22,EL_List,0)-1)*-10)-3,0),Shipments!$C:$C,0)+
MATCH(OFFSET($C22,((MATCH($C22,EL_List,0)-1)*-10)-1,0),Shipments!$D:$D,0)+
MATCH($C22,EL_List,0)-10,
MATCH(Shipments_Scenario_X,Shipments!$F$5:$AQ$5,0))</f>
        <v>0</v>
      </c>
      <c r="J24" s="530">
        <f ca="1">OFFSET(OFFSET(Shipments!$D$1,0,MATCH(J$7,Dates)),
MATCH(OFFSET($C22,((MATCH($C22,EL_List,0)-1)*-10)-3,0),Shipments!$C:$C,0)+
MATCH(OFFSET($C22,((MATCH($C22,EL_List,0)-1)*-10)-1,0),Shipments!$D:$D,0)+
MATCH($C22,EL_List,0)-10,
MATCH(Shipments_Scenario_X,Shipments!$F$5:$AQ$5,0))</f>
        <v>0</v>
      </c>
      <c r="K24" s="530">
        <f ca="1">OFFSET(OFFSET(Shipments!$D$1,0,MATCH(K$7,Dates)),
MATCH(OFFSET($C22,((MATCH($C22,EL_List,0)-1)*-10)-3,0),Shipments!$C:$C,0)+
MATCH(OFFSET($C22,((MATCH($C22,EL_List,0)-1)*-10)-1,0),Shipments!$D:$D,0)+
MATCH($C22,EL_List,0)-10,
MATCH(Shipments_Scenario_X,Shipments!$F$5:$AQ$5,0))</f>
        <v>0</v>
      </c>
      <c r="L24" s="530">
        <f ca="1">OFFSET(OFFSET(Shipments!$D$1,0,MATCH(L$7,Dates)),
MATCH(OFFSET($C22,((MATCH($C22,EL_List,0)-1)*-10)-3,0),Shipments!$C:$C,0)+
MATCH(OFFSET($C22,((MATCH($C22,EL_List,0)-1)*-10)-1,0),Shipments!$D:$D,0)+
MATCH($C22,EL_List,0)-10,
MATCH(Shipments_Scenario_X,Shipments!$F$5:$AQ$5,0))</f>
        <v>0</v>
      </c>
      <c r="M24" s="530">
        <f ca="1">OFFSET(OFFSET(Shipments!$D$1,0,MATCH(M$7,Dates)),
MATCH(OFFSET($C22,((MATCH($C22,EL_List,0)-1)*-10)-3,0),Shipments!$C:$C,0)+
MATCH(OFFSET($C22,((MATCH($C22,EL_List,0)-1)*-10)-1,0),Shipments!$D:$D,0)+
MATCH($C22,EL_List,0)-10,
MATCH(Shipments_Scenario_X,Shipments!$F$5:$AQ$5,0))</f>
        <v>0</v>
      </c>
      <c r="N24" s="530">
        <f ca="1">OFFSET(OFFSET(Shipments!$D$1,0,MATCH(N$7,Dates)),
MATCH(OFFSET($C22,((MATCH($C22,EL_List,0)-1)*-10)-3,0),Shipments!$C:$C,0)+
MATCH(OFFSET($C22,((MATCH($C22,EL_List,0)-1)*-10)-1,0),Shipments!$D:$D,0)+
MATCH($C22,EL_List,0)-10,
MATCH(Shipments_Scenario_X,Shipments!$F$5:$AQ$5,0))</f>
        <v>0</v>
      </c>
      <c r="O24" s="530">
        <f ca="1">OFFSET(OFFSET(Shipments!$D$1,0,MATCH(O$7,Dates)),
MATCH(OFFSET($C22,((MATCH($C22,EL_List,0)-1)*-10)-3,0),Shipments!$C:$C,0)+
MATCH(OFFSET($C22,((MATCH($C22,EL_List,0)-1)*-10)-1,0),Shipments!$D:$D,0)+
MATCH($C22,EL_List,0)-10,
MATCH(Shipments_Scenario_X,Shipments!$F$5:$AQ$5,0))</f>
        <v>0</v>
      </c>
      <c r="P24" s="530">
        <f ca="1">OFFSET(OFFSET(Shipments!$D$1,0,MATCH(P$7,Dates)),
MATCH(OFFSET($C22,((MATCH($C22,EL_List,0)-1)*-10)-3,0),Shipments!$C:$C,0)+
MATCH(OFFSET($C22,((MATCH($C22,EL_List,0)-1)*-10)-1,0),Shipments!$D:$D,0)+
MATCH($C22,EL_List,0)-10,
MATCH(Shipments_Scenario_X,Shipments!$F$5:$AQ$5,0))</f>
        <v>0</v>
      </c>
      <c r="Q24" s="530">
        <f ca="1">OFFSET(OFFSET(Shipments!$D$1,0,MATCH(Q$7,Dates)),
MATCH(OFFSET($C22,((MATCH($C22,EL_List,0)-1)*-10)-3,0),Shipments!$C:$C,0)+
MATCH(OFFSET($C22,((MATCH($C22,EL_List,0)-1)*-10)-1,0),Shipments!$D:$D,0)+
MATCH($C22,EL_List,0)-10,
MATCH(Shipments_Scenario_X,Shipments!$F$5:$AQ$5,0))</f>
        <v>0</v>
      </c>
      <c r="R24" s="530">
        <f ca="1">OFFSET(OFFSET(Shipments!$D$1,0,MATCH(R$7,Dates)),
MATCH(OFFSET($C22,((MATCH($C22,EL_List,0)-1)*-10)-3,0),Shipments!$C:$C,0)+
MATCH(OFFSET($C22,((MATCH($C22,EL_List,0)-1)*-10)-1,0),Shipments!$D:$D,0)+
MATCH($C22,EL_List,0)-10,
MATCH(Shipments_Scenario_X,Shipments!$F$5:$AQ$5,0))</f>
        <v>0</v>
      </c>
      <c r="S24" s="530">
        <f ca="1">OFFSET(OFFSET(Shipments!$D$1,0,MATCH(S$7,Dates)),
MATCH(OFFSET($C22,((MATCH($C22,EL_List,0)-1)*-10)-3,0),Shipments!$C:$C,0)+
MATCH(OFFSET($C22,((MATCH($C22,EL_List,0)-1)*-10)-1,0),Shipments!$D:$D,0)+
MATCH($C22,EL_List,0)-10,
MATCH(Shipments_Scenario_X,Shipments!$F$5:$AQ$5,0))</f>
        <v>0</v>
      </c>
      <c r="T24" s="530">
        <f ca="1">OFFSET(OFFSET(Shipments!$D$1,0,MATCH(T$7,Dates)),
MATCH(OFFSET($C22,((MATCH($C22,EL_List,0)-1)*-10)-3,0),Shipments!$C:$C,0)+
MATCH(OFFSET($C22,((MATCH($C22,EL_List,0)-1)*-10)-1,0),Shipments!$D:$D,0)+
MATCH($C22,EL_List,0)-10,
MATCH(Shipments_Scenario_X,Shipments!$F$5:$AQ$5,0))</f>
        <v>0</v>
      </c>
      <c r="U24" s="530">
        <f ca="1">OFFSET(OFFSET(Shipments!$D$1,0,MATCH(U$7,Dates)),
MATCH(OFFSET($C22,((MATCH($C22,EL_List,0)-1)*-10)-3,0),Shipments!$C:$C,0)+
MATCH(OFFSET($C22,((MATCH($C22,EL_List,0)-1)*-10)-1,0),Shipments!$D:$D,0)+
MATCH($C22,EL_List,0)-10,
MATCH(Shipments_Scenario_X,Shipments!$F$5:$AQ$5,0))</f>
        <v>0</v>
      </c>
      <c r="V24" s="530">
        <f ca="1">OFFSET(OFFSET(Shipments!$D$1,0,MATCH(V$7,Dates)),
MATCH(OFFSET($C22,((MATCH($C22,EL_List,0)-1)*-10)-3,0),Shipments!$C:$C,0)+
MATCH(OFFSET($C22,((MATCH($C22,EL_List,0)-1)*-10)-1,0),Shipments!$D:$D,0)+
MATCH($C22,EL_List,0)-10,
MATCH(Shipments_Scenario_X,Shipments!$F$5:$AQ$5,0))</f>
        <v>0</v>
      </c>
      <c r="W24" s="530">
        <f ca="1">OFFSET(OFFSET(Shipments!$D$1,0,MATCH(W$7,Dates)),
MATCH(OFFSET($C22,((MATCH($C22,EL_List,0)-1)*-10)-3,0),Shipments!$C:$C,0)+
MATCH(OFFSET($C22,((MATCH($C22,EL_List,0)-1)*-10)-1,0),Shipments!$D:$D,0)+
MATCH($C22,EL_List,0)-10,
MATCH(Shipments_Scenario_X,Shipments!$F$5:$AQ$5,0))</f>
        <v>0</v>
      </c>
      <c r="X24" s="530">
        <f ca="1">OFFSET(OFFSET(Shipments!$D$1,0,MATCH(X$7,Dates)),
MATCH(OFFSET($C22,((MATCH($C22,EL_List,0)-1)*-10)-3,0),Shipments!$C:$C,0)+
MATCH(OFFSET($C22,((MATCH($C22,EL_List,0)-1)*-10)-1,0),Shipments!$D:$D,0)+
MATCH($C22,EL_List,0)-10,
MATCH(Shipments_Scenario_X,Shipments!$F$5:$AQ$5,0))</f>
        <v>0</v>
      </c>
      <c r="Y24" s="530">
        <f ca="1">OFFSET(OFFSET(Shipments!$D$1,0,MATCH(Y$7,Dates)),
MATCH(OFFSET($C22,((MATCH($C22,EL_List,0)-1)*-10)-3,0),Shipments!$C:$C,0)+
MATCH(OFFSET($C22,((MATCH($C22,EL_List,0)-1)*-10)-1,0),Shipments!$D:$D,0)+
MATCH($C22,EL_List,0)-10,
MATCH(Shipments_Scenario_X,Shipments!$F$5:$AQ$5,0))</f>
        <v>0</v>
      </c>
      <c r="Z24" s="530">
        <f ca="1">OFFSET(OFFSET(Shipments!$D$1,0,MATCH(Z$7,Dates)),
MATCH(OFFSET($C22,((MATCH($C22,EL_List,0)-1)*-10)-3,0),Shipments!$C:$C,0)+
MATCH(OFFSET($C22,((MATCH($C22,EL_List,0)-1)*-10)-1,0),Shipments!$D:$D,0)+
MATCH($C22,EL_List,0)-10,
MATCH(Shipments_Scenario_X,Shipments!$F$5:$AQ$5,0))</f>
        <v>0</v>
      </c>
      <c r="AA24" s="530">
        <f ca="1">OFFSET(OFFSET(Shipments!$D$1,0,MATCH(AA$7,Dates)),
MATCH(OFFSET($C22,((MATCH($C22,EL_List,0)-1)*-10)-3,0),Shipments!$C:$C,0)+
MATCH(OFFSET($C22,((MATCH($C22,EL_List,0)-1)*-10)-1,0),Shipments!$D:$D,0)+
MATCH($C22,EL_List,0)-10,
MATCH(Shipments_Scenario_X,Shipments!$F$5:$AQ$5,0))</f>
        <v>0</v>
      </c>
      <c r="AB24" s="530">
        <f ca="1">OFFSET(OFFSET(Shipments!$D$1,0,MATCH(AB$7,Dates)),
MATCH(OFFSET($C22,((MATCH($C22,EL_List,0)-1)*-10)-3,0),Shipments!$C:$C,0)+
MATCH(OFFSET($C22,((MATCH($C22,EL_List,0)-1)*-10)-1,0),Shipments!$D:$D,0)+
MATCH($C22,EL_List,0)-10,
MATCH(Shipments_Scenario_X,Shipments!$F$5:$AQ$5,0))</f>
        <v>0</v>
      </c>
      <c r="AC24" s="530">
        <f ca="1">OFFSET(OFFSET(Shipments!$D$1,0,MATCH(AC$7,Dates)),
MATCH(OFFSET($C22,((MATCH($C22,EL_List,0)-1)*-10)-3,0),Shipments!$C:$C,0)+
MATCH(OFFSET($C22,((MATCH($C22,EL_List,0)-1)*-10)-1,0),Shipments!$D:$D,0)+
MATCH($C22,EL_List,0)-10,
MATCH(Shipments_Scenario_X,Shipments!$F$5:$AQ$5,0))</f>
        <v>0</v>
      </c>
      <c r="AD24" s="530">
        <f ca="1">OFFSET(OFFSET(Shipments!$D$1,0,MATCH(AD$7,Dates)),
MATCH(OFFSET($C22,((MATCH($C22,EL_List,0)-1)*-10)-3,0),Shipments!$C:$C,0)+
MATCH(OFFSET($C22,((MATCH($C22,EL_List,0)-1)*-10)-1,0),Shipments!$D:$D,0)+
MATCH($C22,EL_List,0)-10,
MATCH(Shipments_Scenario_X,Shipments!$F$5:$AQ$5,0))</f>
        <v>0</v>
      </c>
      <c r="AE24" s="530">
        <f ca="1">OFFSET(OFFSET(Shipments!$D$1,0,MATCH(AE$7,Dates)),
MATCH(OFFSET($C22,((MATCH($C22,EL_List,0)-1)*-10)-3,0),Shipments!$C:$C,0)+
MATCH(OFFSET($C22,((MATCH($C22,EL_List,0)-1)*-10)-1,0),Shipments!$D:$D,0)+
MATCH($C22,EL_List,0)-10,
MATCH(Shipments_Scenario_X,Shipments!$F$5:$AQ$5,0))</f>
        <v>0</v>
      </c>
      <c r="AF24" s="530">
        <f ca="1">OFFSET(OFFSET(Shipments!$D$1,0,MATCH(AF$7,Dates)),
MATCH(OFFSET($C22,((MATCH($C22,EL_List,0)-1)*-10)-3,0),Shipments!$C:$C,0)+
MATCH(OFFSET($C22,((MATCH($C22,EL_List,0)-1)*-10)-1,0),Shipments!$D:$D,0)+
MATCH($C22,EL_List,0)-10,
MATCH(Shipments_Scenario_X,Shipments!$F$5:$AQ$5,0))</f>
        <v>0</v>
      </c>
      <c r="AG24" s="530">
        <f ca="1">OFFSET(OFFSET(Shipments!$D$1,0,MATCH(AG$7,Dates)),
MATCH(OFFSET($C22,((MATCH($C22,EL_List,0)-1)*-10)-3,0),Shipments!$C:$C,0)+
MATCH(OFFSET($C22,((MATCH($C22,EL_List,0)-1)*-10)-1,0),Shipments!$D:$D,0)+
MATCH($C22,EL_List,0)-10,
MATCH(Shipments_Scenario_X,Shipments!$F$5:$AQ$5,0))</f>
        <v>0</v>
      </c>
      <c r="AH24" s="530">
        <f ca="1">OFFSET(OFFSET(Shipments!$D$1,0,MATCH(AH$7,Dates)),
MATCH(OFFSET($C22,((MATCH($C22,EL_List,0)-1)*-10)-3,0),Shipments!$C:$C,0)+
MATCH(OFFSET($C22,((MATCH($C22,EL_List,0)-1)*-10)-1,0),Shipments!$D:$D,0)+
MATCH($C22,EL_List,0)-10,
MATCH(Shipments_Scenario_X,Shipments!$F$5:$AQ$5,0))</f>
        <v>0</v>
      </c>
      <c r="AI24" s="530">
        <f ca="1">OFFSET(OFFSET(Shipments!$D$1,0,MATCH(AI$7,Dates)),
MATCH(OFFSET($C22,((MATCH($C22,EL_List,0)-1)*-10)-3,0),Shipments!$C:$C,0)+
MATCH(OFFSET($C22,((MATCH($C22,EL_List,0)-1)*-10)-1,0),Shipments!$D:$D,0)+
MATCH($C22,EL_List,0)-10,
MATCH(Shipments_Scenario_X,Shipments!$F$5:$AQ$5,0))</f>
        <v>0</v>
      </c>
      <c r="AJ24" s="530">
        <f ca="1">OFFSET(OFFSET(Shipments!$D$1,0,MATCH(AJ$7,Dates)),
MATCH(OFFSET($C22,((MATCH($C22,EL_List,0)-1)*-10)-3,0),Shipments!$C:$C,0)+
MATCH(OFFSET($C22,((MATCH($C22,EL_List,0)-1)*-10)-1,0),Shipments!$D:$D,0)+
MATCH($C22,EL_List,0)-10,
MATCH(Shipments_Scenario_X,Shipments!$F$5:$AQ$5,0))</f>
        <v>0</v>
      </c>
      <c r="AK24" s="530">
        <f ca="1">OFFSET(OFFSET(Shipments!$D$1,0,MATCH(AK$7,Dates)),
MATCH(OFFSET($C22,((MATCH($C22,EL_List,0)-1)*-10)-3,0),Shipments!$C:$C,0)+
MATCH(OFFSET($C22,((MATCH($C22,EL_List,0)-1)*-10)-1,0),Shipments!$D:$D,0)+
MATCH($C22,EL_List,0)-10,
MATCH(Shipments_Scenario_X,Shipments!$F$5:$AQ$5,0))</f>
        <v>0</v>
      </c>
      <c r="AL24" s="530">
        <f ca="1">OFFSET(OFFSET(Shipments!$D$1,0,MATCH(AL$7,Dates)),
MATCH(OFFSET($C22,((MATCH($C22,EL_List,0)-1)*-10)-3,0),Shipments!$C:$C,0)+
MATCH(OFFSET($C22,((MATCH($C22,EL_List,0)-1)*-10)-1,0),Shipments!$D:$D,0)+
MATCH($C22,EL_List,0)-10,
MATCH(Shipments_Scenario_X,Shipments!$F$5:$AQ$5,0))</f>
        <v>0</v>
      </c>
      <c r="AM24" s="530">
        <f ca="1">OFFSET(OFFSET(Shipments!$D$1,0,MATCH(AM$7,Dates)),
MATCH(OFFSET($C22,((MATCH($C22,EL_List,0)-1)*-10)-3,0),Shipments!$C:$C,0)+
MATCH(OFFSET($C22,((MATCH($C22,EL_List,0)-1)*-10)-1,0),Shipments!$D:$D,0)+
MATCH($C22,EL_List,0)-10,
MATCH(Shipments_Scenario_X,Shipments!$F$5:$AQ$5,0))</f>
        <v>0</v>
      </c>
      <c r="AN24" s="530">
        <f ca="1">OFFSET(OFFSET(Shipments!$D$1,0,MATCH(AN$7,Dates)),
MATCH(OFFSET($C22,((MATCH($C22,EL_List,0)-1)*-10)-3,0),Shipments!$C:$C,0)+
MATCH(OFFSET($C22,((MATCH($C22,EL_List,0)-1)*-10)-1,0),Shipments!$D:$D,0)+
MATCH($C22,EL_List,0)-10,
MATCH(Shipments_Scenario_X,Shipments!$F$5:$AQ$5,0))</f>
        <v>0</v>
      </c>
      <c r="AO24" s="436"/>
      <c r="AP24" s="21"/>
    </row>
    <row r="25" spans="2:42" ht="15" customHeight="1" x14ac:dyDescent="0.35">
      <c r="B25" s="429"/>
      <c r="C25" s="780" t="s">
        <v>79</v>
      </c>
      <c r="D25" s="776"/>
      <c r="E25" s="531">
        <f t="shared" ref="E25:AN25" ca="1" si="9">E23*E24</f>
        <v>26.086028056575774</v>
      </c>
      <c r="F25" s="531">
        <f t="shared" ca="1" si="9"/>
        <v>27.043525455562516</v>
      </c>
      <c r="G25" s="531">
        <f t="shared" ca="1" si="9"/>
        <v>0</v>
      </c>
      <c r="H25" s="531">
        <f t="shared" ca="1" si="9"/>
        <v>0</v>
      </c>
      <c r="I25" s="531">
        <f t="shared" ca="1" si="9"/>
        <v>0</v>
      </c>
      <c r="J25" s="531">
        <f t="shared" ca="1" si="9"/>
        <v>0</v>
      </c>
      <c r="K25" s="531">
        <f t="shared" ca="1" si="9"/>
        <v>0</v>
      </c>
      <c r="L25" s="531">
        <f t="shared" ca="1" si="9"/>
        <v>0</v>
      </c>
      <c r="M25" s="531">
        <f t="shared" ca="1" si="9"/>
        <v>0</v>
      </c>
      <c r="N25" s="531">
        <f t="shared" ca="1" si="9"/>
        <v>0</v>
      </c>
      <c r="O25" s="531">
        <f t="shared" ca="1" si="9"/>
        <v>0</v>
      </c>
      <c r="P25" s="531">
        <f t="shared" ca="1" si="9"/>
        <v>0</v>
      </c>
      <c r="Q25" s="531">
        <f t="shared" ca="1" si="9"/>
        <v>0</v>
      </c>
      <c r="R25" s="531">
        <f t="shared" ca="1" si="9"/>
        <v>0</v>
      </c>
      <c r="S25" s="531">
        <f t="shared" ca="1" si="9"/>
        <v>0</v>
      </c>
      <c r="T25" s="531">
        <f t="shared" ca="1" si="9"/>
        <v>0</v>
      </c>
      <c r="U25" s="531">
        <f t="shared" ca="1" si="9"/>
        <v>0</v>
      </c>
      <c r="V25" s="531">
        <f t="shared" ca="1" si="9"/>
        <v>0</v>
      </c>
      <c r="W25" s="531">
        <f t="shared" ca="1" si="9"/>
        <v>0</v>
      </c>
      <c r="X25" s="531">
        <f t="shared" ca="1" si="9"/>
        <v>0</v>
      </c>
      <c r="Y25" s="531">
        <f t="shared" ca="1" si="9"/>
        <v>0</v>
      </c>
      <c r="Z25" s="531">
        <f t="shared" ca="1" si="9"/>
        <v>0</v>
      </c>
      <c r="AA25" s="531">
        <f t="shared" ca="1" si="9"/>
        <v>0</v>
      </c>
      <c r="AB25" s="531">
        <f t="shared" ca="1" si="9"/>
        <v>0</v>
      </c>
      <c r="AC25" s="531">
        <f t="shared" ca="1" si="9"/>
        <v>0</v>
      </c>
      <c r="AD25" s="531">
        <f t="shared" ca="1" si="9"/>
        <v>0</v>
      </c>
      <c r="AE25" s="531">
        <f t="shared" ca="1" si="9"/>
        <v>0</v>
      </c>
      <c r="AF25" s="531">
        <f t="shared" ca="1" si="9"/>
        <v>0</v>
      </c>
      <c r="AG25" s="531">
        <f t="shared" ca="1" si="9"/>
        <v>0</v>
      </c>
      <c r="AH25" s="531">
        <f t="shared" ca="1" si="9"/>
        <v>0</v>
      </c>
      <c r="AI25" s="531">
        <f t="shared" ca="1" si="9"/>
        <v>0</v>
      </c>
      <c r="AJ25" s="531">
        <f t="shared" ca="1" si="9"/>
        <v>0</v>
      </c>
      <c r="AK25" s="531">
        <f t="shared" ca="1" si="9"/>
        <v>0</v>
      </c>
      <c r="AL25" s="531">
        <f t="shared" ca="1" si="9"/>
        <v>0</v>
      </c>
      <c r="AM25" s="531">
        <f t="shared" ref="AM25" ca="1" si="10">AM23*AM24</f>
        <v>0</v>
      </c>
      <c r="AN25" s="531">
        <f t="shared" ca="1" si="9"/>
        <v>0</v>
      </c>
      <c r="AO25" s="436"/>
      <c r="AP25" s="21"/>
    </row>
    <row r="26" spans="2:42" ht="15" customHeight="1" x14ac:dyDescent="0.35">
      <c r="B26" s="429"/>
      <c r="C26" s="780"/>
      <c r="D26" s="776"/>
      <c r="E26" s="776"/>
      <c r="F26" s="776"/>
      <c r="G26" s="776"/>
      <c r="H26" s="776"/>
      <c r="I26" s="776"/>
      <c r="J26" s="776"/>
      <c r="K26" s="776"/>
      <c r="L26" s="776"/>
      <c r="M26" s="776"/>
      <c r="N26" s="776"/>
      <c r="O26" s="776"/>
      <c r="P26" s="776"/>
      <c r="Q26" s="776"/>
      <c r="R26" s="776"/>
      <c r="S26" s="776"/>
      <c r="T26" s="776"/>
      <c r="U26" s="776"/>
      <c r="V26" s="776"/>
      <c r="W26" s="776"/>
      <c r="X26" s="776"/>
      <c r="Y26" s="776"/>
      <c r="Z26" s="776"/>
      <c r="AA26" s="776"/>
      <c r="AB26" s="776"/>
      <c r="AC26" s="776"/>
      <c r="AD26" s="776"/>
      <c r="AE26" s="776"/>
      <c r="AF26" s="776"/>
      <c r="AG26" s="776"/>
      <c r="AH26" s="776"/>
      <c r="AI26" s="776"/>
      <c r="AJ26" s="776"/>
      <c r="AK26" s="776"/>
      <c r="AL26" s="776"/>
      <c r="AM26" s="776"/>
      <c r="AN26" s="776"/>
      <c r="AO26" s="436"/>
      <c r="AP26" s="21"/>
    </row>
    <row r="27" spans="2:42" ht="15" customHeight="1" x14ac:dyDescent="0.35">
      <c r="B27" s="429"/>
      <c r="C27" s="780" t="s">
        <v>212</v>
      </c>
      <c r="D27" s="776"/>
      <c r="E27" s="532" cm="1">
        <f t="array" aca="1" ref="E27" ca="1">IF(E$21&lt;Standard_Year,'No STDs Case Rev &amp; Cost'!E27,
OFFSET(E27,-3,0)*
OFFSET(MSP!$D$1,
MATCH(OFFSET($C22,((MATCH($C22,EL_List,0)-1)*-10)-1,0),MSP!$C:$C,0)+MATCH($C22,EL_List,0)-1,0)
*INDEX(Learning!$E$6:$S$41,(MATCH(E$21,Dates,0)),(MATCH($C$21,Learning!$E$4:$S$4,0)+MATCH($C$22,Learning!$E$5:$S$5,0)-1)))</f>
        <v>16.037555935928047</v>
      </c>
      <c r="F27" s="532" cm="1">
        <f t="array" aca="1" ref="F27" ca="1">IF(F$21&lt;Standard_Year,'No STDs Case Rev &amp; Cost'!F27,
OFFSET(F27,-3,0)*
OFFSET(MSP!$D$1,
MATCH(OFFSET($C22,((MATCH($C22,EL_List,0)-1)*-10)-1,0),MSP!$C:$C,0)+MATCH($C22,EL_List,0)-1,0)
*INDEX(Learning!$E$6:$S$41,(MATCH(F$21,Dates,0)),(MATCH($C$21,Learning!$E$4:$S$4,0)+MATCH($C$22,Learning!$E$5:$S$5,0)-1)))</f>
        <v>16.626220414148012</v>
      </c>
      <c r="G27" s="532" cm="1">
        <f t="array" aca="1" ref="G27" ca="1">IF(G$21&lt;Standard_Year,'No STDs Case Rev &amp; Cost'!G27,
OFFSET(G27,-3,0)*
OFFSET(MSP!$D$1,
MATCH(OFFSET($C22,((MATCH($C22,EL_List,0)-1)*-10)-1,0),MSP!$C:$C,0)+MATCH($C22,EL_List,0)-1,0)
*INDEX(Learning!$E$6:$S$41,(MATCH(G$21,Dates,0)),(MATCH($C$21,Learning!$E$4:$S$4,0)+MATCH($C$22,Learning!$E$5:$S$5,0)-1)))</f>
        <v>17.147198239834218</v>
      </c>
      <c r="H27" s="532" cm="1">
        <f t="array" aca="1" ref="H27" ca="1">IF(H$21&lt;Standard_Year,'No STDs Case Rev &amp; Cost'!H27,
OFFSET(H27,-3,0)*
OFFSET(MSP!$D$1,
MATCH(OFFSET($C22,((MATCH($C22,EL_List,0)-1)*-10)-1,0),MSP!$C:$C,0)+MATCH($C22,EL_List,0)-1,0)
*INDEX(Learning!$E$6:$S$41,(MATCH(H$21,Dates,0)),(MATCH($C$21,Learning!$E$4:$S$4,0)+MATCH($C$22,Learning!$E$5:$S$5,0)-1)))</f>
        <v>17.812774050264597</v>
      </c>
      <c r="I27" s="532" cm="1">
        <f t="array" aca="1" ref="I27" ca="1">IF(I$21&lt;Standard_Year,'No STDs Case Rev &amp; Cost'!I27,
OFFSET(I27,-3,0)*
OFFSET(MSP!$D$1,
MATCH(OFFSET($C22,((MATCH($C22,EL_List,0)-1)*-10)-1,0),MSP!$C:$C,0)+MATCH($C22,EL_List,0)-1,0)
*INDEX(Learning!$E$6:$S$41,(MATCH(I$21,Dates,0)),(MATCH($C$21,Learning!$E$4:$S$4,0)+MATCH($C$22,Learning!$E$5:$S$5,0)-1)))</f>
        <v>0</v>
      </c>
      <c r="J27" s="532" cm="1">
        <f t="array" aca="1" ref="J27" ca="1">IF(J$21&lt;Standard_Year,'No STDs Case Rev &amp; Cost'!J27,
OFFSET(J27,-3,0)*
OFFSET(MSP!$D$1,
MATCH(OFFSET($C22,((MATCH($C22,EL_List,0)-1)*-10)-1,0),MSP!$C:$C,0)+MATCH($C22,EL_List,0)-1,0)
*INDEX(Learning!$E$6:$S$41,(MATCH(J$21,Dates,0)),(MATCH($C$21,Learning!$E$4:$S$4,0)+MATCH($C$22,Learning!$E$5:$S$5,0)-1)))</f>
        <v>0</v>
      </c>
      <c r="K27" s="532" cm="1">
        <f t="array" aca="1" ref="K27" ca="1">IF(K$21&lt;Standard_Year,'No STDs Case Rev &amp; Cost'!K27,
OFFSET(K27,-3,0)*
OFFSET(MSP!$D$1,
MATCH(OFFSET($C22,((MATCH($C22,EL_List,0)-1)*-10)-1,0),MSP!$C:$C,0)+MATCH($C22,EL_List,0)-1,0)
*INDEX(Learning!$E$6:$S$41,(MATCH(K$21,Dates,0)),(MATCH($C$21,Learning!$E$4:$S$4,0)+MATCH($C$22,Learning!$E$5:$S$5,0)-1)))</f>
        <v>0</v>
      </c>
      <c r="L27" s="532" cm="1">
        <f t="array" aca="1" ref="L27" ca="1">IF(L$21&lt;Standard_Year,'No STDs Case Rev &amp; Cost'!L27,
OFFSET(L27,-3,0)*
OFFSET(MSP!$D$1,
MATCH(OFFSET($C22,((MATCH($C22,EL_List,0)-1)*-10)-1,0),MSP!$C:$C,0)+MATCH($C22,EL_List,0)-1,0)
*INDEX(Learning!$E$6:$S$41,(MATCH(L$21,Dates,0)),(MATCH($C$21,Learning!$E$4:$S$4,0)+MATCH($C$22,Learning!$E$5:$S$5,0)-1)))</f>
        <v>0</v>
      </c>
      <c r="M27" s="532" cm="1">
        <f t="array" aca="1" ref="M27" ca="1">IF(M$21&lt;Standard_Year,'No STDs Case Rev &amp; Cost'!M27,
OFFSET(M27,-3,0)*
OFFSET(MSP!$D$1,
MATCH(OFFSET($C22,((MATCH($C22,EL_List,0)-1)*-10)-1,0),MSP!$C:$C,0)+MATCH($C22,EL_List,0)-1,0)
*INDEX(Learning!$E$6:$S$41,(MATCH(M$21,Dates,0)),(MATCH($C$21,Learning!$E$4:$S$4,0)+MATCH($C$22,Learning!$E$5:$S$5,0)-1)))</f>
        <v>0</v>
      </c>
      <c r="N27" s="532" cm="1">
        <f t="array" aca="1" ref="N27" ca="1">IF(N$21&lt;Standard_Year,'No STDs Case Rev &amp; Cost'!N27,
OFFSET(N27,-3,0)*
OFFSET(MSP!$D$1,
MATCH(OFFSET($C22,((MATCH($C22,EL_List,0)-1)*-10)-1,0),MSP!$C:$C,0)+MATCH($C22,EL_List,0)-1,0)
*INDEX(Learning!$E$6:$S$41,(MATCH(N$21,Dates,0)),(MATCH($C$21,Learning!$E$4:$S$4,0)+MATCH($C$22,Learning!$E$5:$S$5,0)-1)))</f>
        <v>0</v>
      </c>
      <c r="O27" s="532" cm="1">
        <f t="array" aca="1" ref="O27" ca="1">IF(O$21&lt;Standard_Year,'No STDs Case Rev &amp; Cost'!O27,
OFFSET(O27,-3,0)*
OFFSET(MSP!$D$1,
MATCH(OFFSET($C22,((MATCH($C22,EL_List,0)-1)*-10)-1,0),MSP!$C:$C,0)+MATCH($C22,EL_List,0)-1,0)
*INDEX(Learning!$E$6:$S$41,(MATCH(O$21,Dates,0)),(MATCH($C$21,Learning!$E$4:$S$4,0)+MATCH($C$22,Learning!$E$5:$S$5,0)-1)))</f>
        <v>0</v>
      </c>
      <c r="P27" s="532" cm="1">
        <f t="array" aca="1" ref="P27" ca="1">IF(P$21&lt;Standard_Year,'No STDs Case Rev &amp; Cost'!P27,
OFFSET(P27,-3,0)*
OFFSET(MSP!$D$1,
MATCH(OFFSET($C22,((MATCH($C22,EL_List,0)-1)*-10)-1,0),MSP!$C:$C,0)+MATCH($C22,EL_List,0)-1,0)
*INDEX(Learning!$E$6:$S$41,(MATCH(P$21,Dates,0)),(MATCH($C$21,Learning!$E$4:$S$4,0)+MATCH($C$22,Learning!$E$5:$S$5,0)-1)))</f>
        <v>0</v>
      </c>
      <c r="Q27" s="532" cm="1">
        <f t="array" aca="1" ref="Q27" ca="1">IF(Q$21&lt;Standard_Year,'No STDs Case Rev &amp; Cost'!Q27,
OFFSET(Q27,-3,0)*
OFFSET(MSP!$D$1,
MATCH(OFFSET($C22,((MATCH($C22,EL_List,0)-1)*-10)-1,0),MSP!$C:$C,0)+MATCH($C22,EL_List,0)-1,0)
*INDEX(Learning!$E$6:$S$41,(MATCH(Q$21,Dates,0)),(MATCH($C$21,Learning!$E$4:$S$4,0)+MATCH($C$22,Learning!$E$5:$S$5,0)-1)))</f>
        <v>0</v>
      </c>
      <c r="R27" s="532" cm="1">
        <f t="array" aca="1" ref="R27" ca="1">IF(R$21&lt;Standard_Year,'No STDs Case Rev &amp; Cost'!R27,
OFFSET(R27,-3,0)*
OFFSET(MSP!$D$1,
MATCH(OFFSET($C22,((MATCH($C22,EL_List,0)-1)*-10)-1,0),MSP!$C:$C,0)+MATCH($C22,EL_List,0)-1,0)
*INDEX(Learning!$E$6:$S$41,(MATCH(R$21,Dates,0)),(MATCH($C$21,Learning!$E$4:$S$4,0)+MATCH($C$22,Learning!$E$5:$S$5,0)-1)))</f>
        <v>0</v>
      </c>
      <c r="S27" s="532" cm="1">
        <f t="array" aca="1" ref="S27" ca="1">IF(S$21&lt;Standard_Year,'No STDs Case Rev &amp; Cost'!S27,
OFFSET(S27,-3,0)*
OFFSET(MSP!$D$1,
MATCH(OFFSET($C22,((MATCH($C22,EL_List,0)-1)*-10)-1,0),MSP!$C:$C,0)+MATCH($C22,EL_List,0)-1,0)
*INDEX(Learning!$E$6:$S$41,(MATCH(S$21,Dates,0)),(MATCH($C$21,Learning!$E$4:$S$4,0)+MATCH($C$22,Learning!$E$5:$S$5,0)-1)))</f>
        <v>0</v>
      </c>
      <c r="T27" s="532" cm="1">
        <f t="array" aca="1" ref="T27" ca="1">IF(T$21&lt;Standard_Year,'No STDs Case Rev &amp; Cost'!T27,
OFFSET(T27,-3,0)*
OFFSET(MSP!$D$1,
MATCH(OFFSET($C22,((MATCH($C22,EL_List,0)-1)*-10)-1,0),MSP!$C:$C,0)+MATCH($C22,EL_List,0)-1,0)
*INDEX(Learning!$E$6:$S$41,(MATCH(T$21,Dates,0)),(MATCH($C$21,Learning!$E$4:$S$4,0)+MATCH($C$22,Learning!$E$5:$S$5,0)-1)))</f>
        <v>0</v>
      </c>
      <c r="U27" s="532" cm="1">
        <f t="array" aca="1" ref="U27" ca="1">IF(U$21&lt;Standard_Year,'No STDs Case Rev &amp; Cost'!U27,
OFFSET(U27,-3,0)*
OFFSET(MSP!$D$1,
MATCH(OFFSET($C22,((MATCH($C22,EL_List,0)-1)*-10)-1,0),MSP!$C:$C,0)+MATCH($C22,EL_List,0)-1,0)
*INDEX(Learning!$E$6:$S$41,(MATCH(U$21,Dates,0)),(MATCH($C$21,Learning!$E$4:$S$4,0)+MATCH($C$22,Learning!$E$5:$S$5,0)-1)))</f>
        <v>0</v>
      </c>
      <c r="V27" s="532" cm="1">
        <f t="array" aca="1" ref="V27" ca="1">IF(V$21&lt;Standard_Year,'No STDs Case Rev &amp; Cost'!V27,
OFFSET(V27,-3,0)*
OFFSET(MSP!$D$1,
MATCH(OFFSET($C22,((MATCH($C22,EL_List,0)-1)*-10)-1,0),MSP!$C:$C,0)+MATCH($C22,EL_List,0)-1,0)
*INDEX(Learning!$E$6:$S$41,(MATCH(V$21,Dates,0)),(MATCH($C$21,Learning!$E$4:$S$4,0)+MATCH($C$22,Learning!$E$5:$S$5,0)-1)))</f>
        <v>0</v>
      </c>
      <c r="W27" s="532" cm="1">
        <f t="array" aca="1" ref="W27" ca="1">IF(W$21&lt;Standard_Year,'No STDs Case Rev &amp; Cost'!W27,
OFFSET(W27,-3,0)*
OFFSET(MSP!$D$1,
MATCH(OFFSET($C22,((MATCH($C22,EL_List,0)-1)*-10)-1,0),MSP!$C:$C,0)+MATCH($C22,EL_List,0)-1,0)
*INDEX(Learning!$E$6:$S$41,(MATCH(W$21,Dates,0)),(MATCH($C$21,Learning!$E$4:$S$4,0)+MATCH($C$22,Learning!$E$5:$S$5,0)-1)))</f>
        <v>0</v>
      </c>
      <c r="X27" s="532" cm="1">
        <f t="array" aca="1" ref="X27" ca="1">IF(X$21&lt;Standard_Year,'No STDs Case Rev &amp; Cost'!X27,
OFFSET(X27,-3,0)*
OFFSET(MSP!$D$1,
MATCH(OFFSET($C22,((MATCH($C22,EL_List,0)-1)*-10)-1,0),MSP!$C:$C,0)+MATCH($C22,EL_List,0)-1,0)
*INDEX(Learning!$E$6:$S$41,(MATCH(X$21,Dates,0)),(MATCH($C$21,Learning!$E$4:$S$4,0)+MATCH($C$22,Learning!$E$5:$S$5,0)-1)))</f>
        <v>0</v>
      </c>
      <c r="Y27" s="532" cm="1">
        <f t="array" aca="1" ref="Y27" ca="1">IF(Y$21&lt;Standard_Year,'No STDs Case Rev &amp; Cost'!Y27,
OFFSET(Y27,-3,0)*
OFFSET(MSP!$D$1,
MATCH(OFFSET($C22,((MATCH($C22,EL_List,0)-1)*-10)-1,0),MSP!$C:$C,0)+MATCH($C22,EL_List,0)-1,0)
*INDEX(Learning!$E$6:$S$41,(MATCH(Y$21,Dates,0)),(MATCH($C$21,Learning!$E$4:$S$4,0)+MATCH($C$22,Learning!$E$5:$S$5,0)-1)))</f>
        <v>0</v>
      </c>
      <c r="Z27" s="532" cm="1">
        <f t="array" aca="1" ref="Z27" ca="1">IF(Z$21&lt;Standard_Year,'No STDs Case Rev &amp; Cost'!Z27,
OFFSET(Z27,-3,0)*
OFFSET(MSP!$D$1,
MATCH(OFFSET($C22,((MATCH($C22,EL_List,0)-1)*-10)-1,0),MSP!$C:$C,0)+MATCH($C22,EL_List,0)-1,0)
*INDEX(Learning!$E$6:$S$41,(MATCH(Z$21,Dates,0)),(MATCH($C$21,Learning!$E$4:$S$4,0)+MATCH($C$22,Learning!$E$5:$S$5,0)-1)))</f>
        <v>0</v>
      </c>
      <c r="AA27" s="532" cm="1">
        <f t="array" aca="1" ref="AA27" ca="1">IF(AA$21&lt;Standard_Year,'No STDs Case Rev &amp; Cost'!AA27,
OFFSET(AA27,-3,0)*
OFFSET(MSP!$D$1,
MATCH(OFFSET($C22,((MATCH($C22,EL_List,0)-1)*-10)-1,0),MSP!$C:$C,0)+MATCH($C22,EL_List,0)-1,0)
*INDEX(Learning!$E$6:$S$41,(MATCH(AA$21,Dates,0)),(MATCH($C$21,Learning!$E$4:$S$4,0)+MATCH($C$22,Learning!$E$5:$S$5,0)-1)))</f>
        <v>0</v>
      </c>
      <c r="AB27" s="532" cm="1">
        <f t="array" aca="1" ref="AB27" ca="1">IF(AB$21&lt;Standard_Year,'No STDs Case Rev &amp; Cost'!AB27,
OFFSET(AB27,-3,0)*
OFFSET(MSP!$D$1,
MATCH(OFFSET($C22,((MATCH($C22,EL_List,0)-1)*-10)-1,0),MSP!$C:$C,0)+MATCH($C22,EL_List,0)-1,0)
*INDEX(Learning!$E$6:$S$41,(MATCH(AB$21,Dates,0)),(MATCH($C$21,Learning!$E$4:$S$4,0)+MATCH($C$22,Learning!$E$5:$S$5,0)-1)))</f>
        <v>0</v>
      </c>
      <c r="AC27" s="532" cm="1">
        <f t="array" aca="1" ref="AC27" ca="1">IF(AC$21&lt;Standard_Year,'No STDs Case Rev &amp; Cost'!AC27,
OFFSET(AC27,-3,0)*
OFFSET(MSP!$D$1,
MATCH(OFFSET($C22,((MATCH($C22,EL_List,0)-1)*-10)-1,0),MSP!$C:$C,0)+MATCH($C22,EL_List,0)-1,0)
*INDEX(Learning!$E$6:$S$41,(MATCH(AC$21,Dates,0)),(MATCH($C$21,Learning!$E$4:$S$4,0)+MATCH($C$22,Learning!$E$5:$S$5,0)-1)))</f>
        <v>0</v>
      </c>
      <c r="AD27" s="532" cm="1">
        <f t="array" aca="1" ref="AD27" ca="1">IF(AD$21&lt;Standard_Year,'No STDs Case Rev &amp; Cost'!AD27,
OFFSET(AD27,-3,0)*
OFFSET(MSP!$D$1,
MATCH(OFFSET($C22,((MATCH($C22,EL_List,0)-1)*-10)-1,0),MSP!$C:$C,0)+MATCH($C22,EL_List,0)-1,0)
*INDEX(Learning!$E$6:$S$41,(MATCH(AD$21,Dates,0)),(MATCH($C$21,Learning!$E$4:$S$4,0)+MATCH($C$22,Learning!$E$5:$S$5,0)-1)))</f>
        <v>0</v>
      </c>
      <c r="AE27" s="532" cm="1">
        <f t="array" aca="1" ref="AE27" ca="1">IF(AE$21&lt;Standard_Year,'No STDs Case Rev &amp; Cost'!AE27,
OFFSET(AE27,-3,0)*
OFFSET(MSP!$D$1,
MATCH(OFFSET($C22,((MATCH($C22,EL_List,0)-1)*-10)-1,0),MSP!$C:$C,0)+MATCH($C22,EL_List,0)-1,0)
*INDEX(Learning!$E$6:$S$41,(MATCH(AE$21,Dates,0)),(MATCH($C$21,Learning!$E$4:$S$4,0)+MATCH($C$22,Learning!$E$5:$S$5,0)-1)))</f>
        <v>0</v>
      </c>
      <c r="AF27" s="532" cm="1">
        <f t="array" aca="1" ref="AF27" ca="1">IF(AF$21&lt;Standard_Year,'No STDs Case Rev &amp; Cost'!AF27,
OFFSET(AF27,-3,0)*
OFFSET(MSP!$D$1,
MATCH(OFFSET($C22,((MATCH($C22,EL_List,0)-1)*-10)-1,0),MSP!$C:$C,0)+MATCH($C22,EL_List,0)-1,0)
*INDEX(Learning!$E$6:$S$41,(MATCH(AF$21,Dates,0)),(MATCH($C$21,Learning!$E$4:$S$4,0)+MATCH($C$22,Learning!$E$5:$S$5,0)-1)))</f>
        <v>0</v>
      </c>
      <c r="AG27" s="532" cm="1">
        <f t="array" aca="1" ref="AG27" ca="1">IF(AG$21&lt;Standard_Year,'No STDs Case Rev &amp; Cost'!AG27,
OFFSET(AG27,-3,0)*
OFFSET(MSP!$D$1,
MATCH(OFFSET($C22,((MATCH($C22,EL_List,0)-1)*-10)-1,0),MSP!$C:$C,0)+MATCH($C22,EL_List,0)-1,0)
*INDEX(Learning!$E$6:$S$41,(MATCH(AG$21,Dates,0)),(MATCH($C$21,Learning!$E$4:$S$4,0)+MATCH($C$22,Learning!$E$5:$S$5,0)-1)))</f>
        <v>0</v>
      </c>
      <c r="AH27" s="532" cm="1">
        <f t="array" aca="1" ref="AH27" ca="1">IF(AH$21&lt;Standard_Year,'No STDs Case Rev &amp; Cost'!AH27,
OFFSET(AH27,-3,0)*
OFFSET(MSP!$D$1,
MATCH(OFFSET($C22,((MATCH($C22,EL_List,0)-1)*-10)-1,0),MSP!$C:$C,0)+MATCH($C22,EL_List,0)-1,0)
*INDEX(Learning!$E$6:$S$41,(MATCH(AH$21,Dates,0)),(MATCH($C$21,Learning!$E$4:$S$4,0)+MATCH($C$22,Learning!$E$5:$S$5,0)-1)))</f>
        <v>0</v>
      </c>
      <c r="AI27" s="532" cm="1">
        <f t="array" aca="1" ref="AI27" ca="1">IF(AI$21&lt;Standard_Year,'No STDs Case Rev &amp; Cost'!AI27,
OFFSET(AI27,-3,0)*
OFFSET(MSP!$D$1,
MATCH(OFFSET($C22,((MATCH($C22,EL_List,0)-1)*-10)-1,0),MSP!$C:$C,0)+MATCH($C22,EL_List,0)-1,0)
*INDEX(Learning!$E$6:$S$41,(MATCH(AI$21,Dates,0)),(MATCH($C$21,Learning!$E$4:$S$4,0)+MATCH($C$22,Learning!$E$5:$S$5,0)-1)))</f>
        <v>0</v>
      </c>
      <c r="AJ27" s="532" cm="1">
        <f t="array" aca="1" ref="AJ27" ca="1">IF(AJ$21&lt;Standard_Year,'No STDs Case Rev &amp; Cost'!AJ27,
OFFSET(AJ27,-3,0)*
OFFSET(MSP!$D$1,
MATCH(OFFSET($C22,((MATCH($C22,EL_List,0)-1)*-10)-1,0),MSP!$C:$C,0)+MATCH($C22,EL_List,0)-1,0)
*INDEX(Learning!$E$6:$S$41,(MATCH(AJ$21,Dates,0)),(MATCH($C$21,Learning!$E$4:$S$4,0)+MATCH($C$22,Learning!$E$5:$S$5,0)-1)))</f>
        <v>0</v>
      </c>
      <c r="AK27" s="532" cm="1">
        <f t="array" aca="1" ref="AK27" ca="1">IF(AK$21&lt;Standard_Year,'No STDs Case Rev &amp; Cost'!AK27,
OFFSET(AK27,-3,0)*
OFFSET(MSP!$D$1,
MATCH(OFFSET($C22,((MATCH($C22,EL_List,0)-1)*-10)-1,0),MSP!$C:$C,0)+MATCH($C22,EL_List,0)-1,0)
*INDEX(Learning!$E$6:$S$41,(MATCH(AK$21,Dates,0)),(MATCH($C$21,Learning!$E$4:$S$4,0)+MATCH($C$22,Learning!$E$5:$S$5,0)-1)))</f>
        <v>0</v>
      </c>
      <c r="AL27" s="532" cm="1">
        <f t="array" aca="1" ref="AL27" ca="1">IF(AL$21&lt;Standard_Year,'No STDs Case Rev &amp; Cost'!AL27,
OFFSET(AL27,-3,0)*
OFFSET(MSP!$D$1,
MATCH(OFFSET($C22,((MATCH($C22,EL_List,0)-1)*-10)-1,0),MSP!$C:$C,0)+MATCH($C22,EL_List,0)-1,0)
*INDEX(Learning!$E$6:$S$41,(MATCH(AL$21,Dates,0)),(MATCH($C$21,Learning!$E$4:$S$4,0)+MATCH($C$22,Learning!$E$5:$S$5,0)-1)))</f>
        <v>0</v>
      </c>
      <c r="AM27" s="532" cm="1">
        <f t="array" aca="1" ref="AM27" ca="1">IF(AM$21&lt;Standard_Year,'No STDs Case Rev &amp; Cost'!AM27,
OFFSET(AM27,-3,0)*
OFFSET(MSP!$D$1,
MATCH(OFFSET($C22,((MATCH($C22,EL_List,0)-1)*-10)-1,0),MSP!$C:$C,0)+MATCH($C22,EL_List,0)-1,0)
*INDEX(Learning!$E$6:$S$41,(MATCH(AM$21,Dates,0)),(MATCH($C$21,Learning!$E$4:$S$4,0)+MATCH($C$22,Learning!$E$5:$S$5,0)-1)))</f>
        <v>0</v>
      </c>
      <c r="AN27" s="532" cm="1">
        <f t="array" aca="1" ref="AN27" ca="1">IF(AN$21&lt;Standard_Year,'No STDs Case Rev &amp; Cost'!AN27,
OFFSET(AN27,-3,0)*
OFFSET(MSP!$D$1,
MATCH(OFFSET($C22,((MATCH($C22,EL_List,0)-1)*-10)-1,0),MSP!$C:$C,0)+MATCH($C22,EL_List,0)-1,0)
*INDEX(Learning!$E$6:$S$41,(MATCH(AN$21,Dates,0)),(MATCH($C$21,Learning!$E$4:$S$4,0)+MATCH($C$22,Learning!$E$5:$S$5,0)-1)))</f>
        <v>0</v>
      </c>
      <c r="AO27" s="436"/>
      <c r="AP27" s="21"/>
    </row>
    <row r="28" spans="2:42" ht="15" customHeight="1" x14ac:dyDescent="0.35">
      <c r="B28" s="429"/>
      <c r="C28" s="780" t="s">
        <v>213</v>
      </c>
      <c r="D28" s="776"/>
      <c r="E28" s="533" cm="1">
        <f t="array" aca="1" ref="E28" ca="1">IF(E$21&lt;Standard_Year,'No STDs Case Rev &amp; Cost'!E28,
OFFSET(E28,-4,0)*
OFFSET(MSP!$E$1,
MATCH(OFFSET($C22,((MATCH($C22,EL_List,0)-1)*-10)-1,0),MSP!$C:$C,0)+MATCH($C22,EL_List,0)-1,0)
*INDEX(Learning!$E$6:$S$41,(MATCH(E$21,Dates,0)),(MATCH($C$21,Learning!$E$4:$S$4,0)+MATCH($C$22,Learning!$E$5:$S$5,0)-1)))</f>
        <v>0.36252256521906095</v>
      </c>
      <c r="F28" s="533" cm="1">
        <f t="array" aca="1" ref="F28" ca="1">IF(F$21&lt;Standard_Year,'No STDs Case Rev &amp; Cost'!F28,
OFFSET(F28,-4,0)*
OFFSET(MSP!$E$1,
MATCH(OFFSET($C22,((MATCH($C22,EL_List,0)-1)*-10)-1,0),MSP!$C:$C,0)+MATCH($C22,EL_List,0)-1,0)
*INDEX(Learning!$E$6:$S$41,(MATCH(F$21,Dates,0)),(MATCH($C$21,Learning!$E$4:$S$4,0)+MATCH($C$22,Learning!$E$5:$S$5,0)-1)))</f>
        <v>0.37582909132255304</v>
      </c>
      <c r="G28" s="533" cm="1">
        <f t="array" aca="1" ref="G28" ca="1">IF(G$21&lt;Standard_Year,'No STDs Case Rev &amp; Cost'!G28,
OFFSET(G28,-4,0)*
OFFSET(MSP!$E$1,
MATCH(OFFSET($C22,((MATCH($C22,EL_List,0)-1)*-10)-1,0),MSP!$C:$C,0)+MATCH($C22,EL_List,0)-1,0)
*INDEX(Learning!$E$6:$S$41,(MATCH(G$21,Dates,0)),(MATCH($C$21,Learning!$E$4:$S$4,0)+MATCH($C$22,Learning!$E$5:$S$5,0)-1)))</f>
        <v>0.38760558760069885</v>
      </c>
      <c r="H28" s="533" cm="1">
        <f t="array" aca="1" ref="H28" ca="1">IF(H$21&lt;Standard_Year,'No STDs Case Rev &amp; Cost'!H28,
OFFSET(H28,-4,0)*
OFFSET(MSP!$E$1,
MATCH(OFFSET($C22,((MATCH($C22,EL_List,0)-1)*-10)-1,0),MSP!$C:$C,0)+MATCH($C22,EL_List,0)-1,0)
*INDEX(Learning!$E$6:$S$41,(MATCH(H$21,Dates,0)),(MATCH($C$21,Learning!$E$4:$S$4,0)+MATCH($C$22,Learning!$E$5:$S$5,0)-1)))</f>
        <v>0.40265066374003977</v>
      </c>
      <c r="I28" s="533" cm="1">
        <f t="array" aca="1" ref="I28" ca="1">IF(I$21&lt;Standard_Year,'No STDs Case Rev &amp; Cost'!I28,
OFFSET(I28,-4,0)*
OFFSET(MSP!$E$1,
MATCH(OFFSET($C22,((MATCH($C22,EL_List,0)-1)*-10)-1,0),MSP!$C:$C,0)+MATCH($C22,EL_List,0)-1,0)
*INDEX(Learning!$E$6:$S$41,(MATCH(I$21,Dates,0)),(MATCH($C$21,Learning!$E$4:$S$4,0)+MATCH($C$22,Learning!$E$5:$S$5,0)-1)))</f>
        <v>0</v>
      </c>
      <c r="J28" s="533" cm="1">
        <f t="array" aca="1" ref="J28" ca="1">IF(J$21&lt;Standard_Year,'No STDs Case Rev &amp; Cost'!J28,
OFFSET(J28,-4,0)*
OFFSET(MSP!$E$1,
MATCH(OFFSET($C22,((MATCH($C22,EL_List,0)-1)*-10)-1,0),MSP!$C:$C,0)+MATCH($C22,EL_List,0)-1,0)
*INDEX(Learning!$E$6:$S$41,(MATCH(J$21,Dates,0)),(MATCH($C$21,Learning!$E$4:$S$4,0)+MATCH($C$22,Learning!$E$5:$S$5,0)-1)))</f>
        <v>0</v>
      </c>
      <c r="K28" s="533" cm="1">
        <f t="array" aca="1" ref="K28" ca="1">IF(K$21&lt;Standard_Year,'No STDs Case Rev &amp; Cost'!K28,
OFFSET(K28,-4,0)*
OFFSET(MSP!$E$1,
MATCH(OFFSET($C22,((MATCH($C22,EL_List,0)-1)*-10)-1,0),MSP!$C:$C,0)+MATCH($C22,EL_List,0)-1,0)
*INDEX(Learning!$E$6:$S$41,(MATCH(K$21,Dates,0)),(MATCH($C$21,Learning!$E$4:$S$4,0)+MATCH($C$22,Learning!$E$5:$S$5,0)-1)))</f>
        <v>0</v>
      </c>
      <c r="L28" s="533" cm="1">
        <f t="array" aca="1" ref="L28" ca="1">IF(L$21&lt;Standard_Year,'No STDs Case Rev &amp; Cost'!L28,
OFFSET(L28,-4,0)*
OFFSET(MSP!$E$1,
MATCH(OFFSET($C22,((MATCH($C22,EL_List,0)-1)*-10)-1,0),MSP!$C:$C,0)+MATCH($C22,EL_List,0)-1,0)
*INDEX(Learning!$E$6:$S$41,(MATCH(L$21,Dates,0)),(MATCH($C$21,Learning!$E$4:$S$4,0)+MATCH($C$22,Learning!$E$5:$S$5,0)-1)))</f>
        <v>0</v>
      </c>
      <c r="M28" s="533" cm="1">
        <f t="array" aca="1" ref="M28" ca="1">IF(M$21&lt;Standard_Year,'No STDs Case Rev &amp; Cost'!M28,
OFFSET(M28,-4,0)*
OFFSET(MSP!$E$1,
MATCH(OFFSET($C22,((MATCH($C22,EL_List,0)-1)*-10)-1,0),MSP!$C:$C,0)+MATCH($C22,EL_List,0)-1,0)
*INDEX(Learning!$E$6:$S$41,(MATCH(M$21,Dates,0)),(MATCH($C$21,Learning!$E$4:$S$4,0)+MATCH($C$22,Learning!$E$5:$S$5,0)-1)))</f>
        <v>0</v>
      </c>
      <c r="N28" s="533" cm="1">
        <f t="array" aca="1" ref="N28" ca="1">IF(N$21&lt;Standard_Year,'No STDs Case Rev &amp; Cost'!N28,
OFFSET(N28,-4,0)*
OFFSET(MSP!$E$1,
MATCH(OFFSET($C22,((MATCH($C22,EL_List,0)-1)*-10)-1,0),MSP!$C:$C,0)+MATCH($C22,EL_List,0)-1,0)
*INDEX(Learning!$E$6:$S$41,(MATCH(N$21,Dates,0)),(MATCH($C$21,Learning!$E$4:$S$4,0)+MATCH($C$22,Learning!$E$5:$S$5,0)-1)))</f>
        <v>0</v>
      </c>
      <c r="O28" s="533" cm="1">
        <f t="array" aca="1" ref="O28" ca="1">IF(O$21&lt;Standard_Year,'No STDs Case Rev &amp; Cost'!O28,
OFFSET(O28,-4,0)*
OFFSET(MSP!$E$1,
MATCH(OFFSET($C22,((MATCH($C22,EL_List,0)-1)*-10)-1,0),MSP!$C:$C,0)+MATCH($C22,EL_List,0)-1,0)
*INDEX(Learning!$E$6:$S$41,(MATCH(O$21,Dates,0)),(MATCH($C$21,Learning!$E$4:$S$4,0)+MATCH($C$22,Learning!$E$5:$S$5,0)-1)))</f>
        <v>0</v>
      </c>
      <c r="P28" s="533" cm="1">
        <f t="array" aca="1" ref="P28" ca="1">IF(P$21&lt;Standard_Year,'No STDs Case Rev &amp; Cost'!P28,
OFFSET(P28,-4,0)*
OFFSET(MSP!$E$1,
MATCH(OFFSET($C22,((MATCH($C22,EL_List,0)-1)*-10)-1,0),MSP!$C:$C,0)+MATCH($C22,EL_List,0)-1,0)
*INDEX(Learning!$E$6:$S$41,(MATCH(P$21,Dates,0)),(MATCH($C$21,Learning!$E$4:$S$4,0)+MATCH($C$22,Learning!$E$5:$S$5,0)-1)))</f>
        <v>0</v>
      </c>
      <c r="Q28" s="533" cm="1">
        <f t="array" aca="1" ref="Q28" ca="1">IF(Q$21&lt;Standard_Year,'No STDs Case Rev &amp; Cost'!Q28,
OFFSET(Q28,-4,0)*
OFFSET(MSP!$E$1,
MATCH(OFFSET($C22,((MATCH($C22,EL_List,0)-1)*-10)-1,0),MSP!$C:$C,0)+MATCH($C22,EL_List,0)-1,0)
*INDEX(Learning!$E$6:$S$41,(MATCH(Q$21,Dates,0)),(MATCH($C$21,Learning!$E$4:$S$4,0)+MATCH($C$22,Learning!$E$5:$S$5,0)-1)))</f>
        <v>0</v>
      </c>
      <c r="R28" s="533" cm="1">
        <f t="array" aca="1" ref="R28" ca="1">IF(R$21&lt;Standard_Year,'No STDs Case Rev &amp; Cost'!R28,
OFFSET(R28,-4,0)*
OFFSET(MSP!$E$1,
MATCH(OFFSET($C22,((MATCH($C22,EL_List,0)-1)*-10)-1,0),MSP!$C:$C,0)+MATCH($C22,EL_List,0)-1,0)
*INDEX(Learning!$E$6:$S$41,(MATCH(R$21,Dates,0)),(MATCH($C$21,Learning!$E$4:$S$4,0)+MATCH($C$22,Learning!$E$5:$S$5,0)-1)))</f>
        <v>0</v>
      </c>
      <c r="S28" s="533" cm="1">
        <f t="array" aca="1" ref="S28" ca="1">IF(S$21&lt;Standard_Year,'No STDs Case Rev &amp; Cost'!S28,
OFFSET(S28,-4,0)*
OFFSET(MSP!$E$1,
MATCH(OFFSET($C22,((MATCH($C22,EL_List,0)-1)*-10)-1,0),MSP!$C:$C,0)+MATCH($C22,EL_List,0)-1,0)
*INDEX(Learning!$E$6:$S$41,(MATCH(S$21,Dates,0)),(MATCH($C$21,Learning!$E$4:$S$4,0)+MATCH($C$22,Learning!$E$5:$S$5,0)-1)))</f>
        <v>0</v>
      </c>
      <c r="T28" s="533" cm="1">
        <f t="array" aca="1" ref="T28" ca="1">IF(T$21&lt;Standard_Year,'No STDs Case Rev &amp; Cost'!T28,
OFFSET(T28,-4,0)*
OFFSET(MSP!$E$1,
MATCH(OFFSET($C22,((MATCH($C22,EL_List,0)-1)*-10)-1,0),MSP!$C:$C,0)+MATCH($C22,EL_List,0)-1,0)
*INDEX(Learning!$E$6:$S$41,(MATCH(T$21,Dates,0)),(MATCH($C$21,Learning!$E$4:$S$4,0)+MATCH($C$22,Learning!$E$5:$S$5,0)-1)))</f>
        <v>0</v>
      </c>
      <c r="U28" s="533" cm="1">
        <f t="array" aca="1" ref="U28" ca="1">IF(U$21&lt;Standard_Year,'No STDs Case Rev &amp; Cost'!U28,
OFFSET(U28,-4,0)*
OFFSET(MSP!$E$1,
MATCH(OFFSET($C22,((MATCH($C22,EL_List,0)-1)*-10)-1,0),MSP!$C:$C,0)+MATCH($C22,EL_List,0)-1,0)
*INDEX(Learning!$E$6:$S$41,(MATCH(U$21,Dates,0)),(MATCH($C$21,Learning!$E$4:$S$4,0)+MATCH($C$22,Learning!$E$5:$S$5,0)-1)))</f>
        <v>0</v>
      </c>
      <c r="V28" s="533" cm="1">
        <f t="array" aca="1" ref="V28" ca="1">IF(V$21&lt;Standard_Year,'No STDs Case Rev &amp; Cost'!V28,
OFFSET(V28,-4,0)*
OFFSET(MSP!$E$1,
MATCH(OFFSET($C22,((MATCH($C22,EL_List,0)-1)*-10)-1,0),MSP!$C:$C,0)+MATCH($C22,EL_List,0)-1,0)
*INDEX(Learning!$E$6:$S$41,(MATCH(V$21,Dates,0)),(MATCH($C$21,Learning!$E$4:$S$4,0)+MATCH($C$22,Learning!$E$5:$S$5,0)-1)))</f>
        <v>0</v>
      </c>
      <c r="W28" s="533" cm="1">
        <f t="array" aca="1" ref="W28" ca="1">IF(W$21&lt;Standard_Year,'No STDs Case Rev &amp; Cost'!W28,
OFFSET(W28,-4,0)*
OFFSET(MSP!$E$1,
MATCH(OFFSET($C22,((MATCH($C22,EL_List,0)-1)*-10)-1,0),MSP!$C:$C,0)+MATCH($C22,EL_List,0)-1,0)
*INDEX(Learning!$E$6:$S$41,(MATCH(W$21,Dates,0)),(MATCH($C$21,Learning!$E$4:$S$4,0)+MATCH($C$22,Learning!$E$5:$S$5,0)-1)))</f>
        <v>0</v>
      </c>
      <c r="X28" s="533" cm="1">
        <f t="array" aca="1" ref="X28" ca="1">IF(X$21&lt;Standard_Year,'No STDs Case Rev &amp; Cost'!X28,
OFFSET(X28,-4,0)*
OFFSET(MSP!$E$1,
MATCH(OFFSET($C22,((MATCH($C22,EL_List,0)-1)*-10)-1,0),MSP!$C:$C,0)+MATCH($C22,EL_List,0)-1,0)
*INDEX(Learning!$E$6:$S$41,(MATCH(X$21,Dates,0)),(MATCH($C$21,Learning!$E$4:$S$4,0)+MATCH($C$22,Learning!$E$5:$S$5,0)-1)))</f>
        <v>0</v>
      </c>
      <c r="Y28" s="533" cm="1">
        <f t="array" aca="1" ref="Y28" ca="1">IF(Y$21&lt;Standard_Year,'No STDs Case Rev &amp; Cost'!Y28,
OFFSET(Y28,-4,0)*
OFFSET(MSP!$E$1,
MATCH(OFFSET($C22,((MATCH($C22,EL_List,0)-1)*-10)-1,0),MSP!$C:$C,0)+MATCH($C22,EL_List,0)-1,0)
*INDEX(Learning!$E$6:$S$41,(MATCH(Y$21,Dates,0)),(MATCH($C$21,Learning!$E$4:$S$4,0)+MATCH($C$22,Learning!$E$5:$S$5,0)-1)))</f>
        <v>0</v>
      </c>
      <c r="Z28" s="533" cm="1">
        <f t="array" aca="1" ref="Z28" ca="1">IF(Z$21&lt;Standard_Year,'No STDs Case Rev &amp; Cost'!Z28,
OFFSET(Z28,-4,0)*
OFFSET(MSP!$E$1,
MATCH(OFFSET($C22,((MATCH($C22,EL_List,0)-1)*-10)-1,0),MSP!$C:$C,0)+MATCH($C22,EL_List,0)-1,0)
*INDEX(Learning!$E$6:$S$41,(MATCH(Z$21,Dates,0)),(MATCH($C$21,Learning!$E$4:$S$4,0)+MATCH($C$22,Learning!$E$5:$S$5,0)-1)))</f>
        <v>0</v>
      </c>
      <c r="AA28" s="533" cm="1">
        <f t="array" aca="1" ref="AA28" ca="1">IF(AA$21&lt;Standard_Year,'No STDs Case Rev &amp; Cost'!AA28,
OFFSET(AA28,-4,0)*
OFFSET(MSP!$E$1,
MATCH(OFFSET($C22,((MATCH($C22,EL_List,0)-1)*-10)-1,0),MSP!$C:$C,0)+MATCH($C22,EL_List,0)-1,0)
*INDEX(Learning!$E$6:$S$41,(MATCH(AA$21,Dates,0)),(MATCH($C$21,Learning!$E$4:$S$4,0)+MATCH($C$22,Learning!$E$5:$S$5,0)-1)))</f>
        <v>0</v>
      </c>
      <c r="AB28" s="533" cm="1">
        <f t="array" aca="1" ref="AB28" ca="1">IF(AB$21&lt;Standard_Year,'No STDs Case Rev &amp; Cost'!AB28,
OFFSET(AB28,-4,0)*
OFFSET(MSP!$E$1,
MATCH(OFFSET($C22,((MATCH($C22,EL_List,0)-1)*-10)-1,0),MSP!$C:$C,0)+MATCH($C22,EL_List,0)-1,0)
*INDEX(Learning!$E$6:$S$41,(MATCH(AB$21,Dates,0)),(MATCH($C$21,Learning!$E$4:$S$4,0)+MATCH($C$22,Learning!$E$5:$S$5,0)-1)))</f>
        <v>0</v>
      </c>
      <c r="AC28" s="533" cm="1">
        <f t="array" aca="1" ref="AC28" ca="1">IF(AC$21&lt;Standard_Year,'No STDs Case Rev &amp; Cost'!AC28,
OFFSET(AC28,-4,0)*
OFFSET(MSP!$E$1,
MATCH(OFFSET($C22,((MATCH($C22,EL_List,0)-1)*-10)-1,0),MSP!$C:$C,0)+MATCH($C22,EL_List,0)-1,0)
*INDEX(Learning!$E$6:$S$41,(MATCH(AC$21,Dates,0)),(MATCH($C$21,Learning!$E$4:$S$4,0)+MATCH($C$22,Learning!$E$5:$S$5,0)-1)))</f>
        <v>0</v>
      </c>
      <c r="AD28" s="533" cm="1">
        <f t="array" aca="1" ref="AD28" ca="1">IF(AD$21&lt;Standard_Year,'No STDs Case Rev &amp; Cost'!AD28,
OFFSET(AD28,-4,0)*
OFFSET(MSP!$E$1,
MATCH(OFFSET($C22,((MATCH($C22,EL_List,0)-1)*-10)-1,0),MSP!$C:$C,0)+MATCH($C22,EL_List,0)-1,0)
*INDEX(Learning!$E$6:$S$41,(MATCH(AD$21,Dates,0)),(MATCH($C$21,Learning!$E$4:$S$4,0)+MATCH($C$22,Learning!$E$5:$S$5,0)-1)))</f>
        <v>0</v>
      </c>
      <c r="AE28" s="533" cm="1">
        <f t="array" aca="1" ref="AE28" ca="1">IF(AE$21&lt;Standard_Year,'No STDs Case Rev &amp; Cost'!AE28,
OFFSET(AE28,-4,0)*
OFFSET(MSP!$E$1,
MATCH(OFFSET($C22,((MATCH($C22,EL_List,0)-1)*-10)-1,0),MSP!$C:$C,0)+MATCH($C22,EL_List,0)-1,0)
*INDEX(Learning!$E$6:$S$41,(MATCH(AE$21,Dates,0)),(MATCH($C$21,Learning!$E$4:$S$4,0)+MATCH($C$22,Learning!$E$5:$S$5,0)-1)))</f>
        <v>0</v>
      </c>
      <c r="AF28" s="533" cm="1">
        <f t="array" aca="1" ref="AF28" ca="1">IF(AF$21&lt;Standard_Year,'No STDs Case Rev &amp; Cost'!AF28,
OFFSET(AF28,-4,0)*
OFFSET(MSP!$E$1,
MATCH(OFFSET($C22,((MATCH($C22,EL_List,0)-1)*-10)-1,0),MSP!$C:$C,0)+MATCH($C22,EL_List,0)-1,0)
*INDEX(Learning!$E$6:$S$41,(MATCH(AF$21,Dates,0)),(MATCH($C$21,Learning!$E$4:$S$4,0)+MATCH($C$22,Learning!$E$5:$S$5,0)-1)))</f>
        <v>0</v>
      </c>
      <c r="AG28" s="533" cm="1">
        <f t="array" aca="1" ref="AG28" ca="1">IF(AG$21&lt;Standard_Year,'No STDs Case Rev &amp; Cost'!AG28,
OFFSET(AG28,-4,0)*
OFFSET(MSP!$E$1,
MATCH(OFFSET($C22,((MATCH($C22,EL_List,0)-1)*-10)-1,0),MSP!$C:$C,0)+MATCH($C22,EL_List,0)-1,0)
*INDEX(Learning!$E$6:$S$41,(MATCH(AG$21,Dates,0)),(MATCH($C$21,Learning!$E$4:$S$4,0)+MATCH($C$22,Learning!$E$5:$S$5,0)-1)))</f>
        <v>0</v>
      </c>
      <c r="AH28" s="533" cm="1">
        <f t="array" aca="1" ref="AH28" ca="1">IF(AH$21&lt;Standard_Year,'No STDs Case Rev &amp; Cost'!AH28,
OFFSET(AH28,-4,0)*
OFFSET(MSP!$E$1,
MATCH(OFFSET($C22,((MATCH($C22,EL_List,0)-1)*-10)-1,0),MSP!$C:$C,0)+MATCH($C22,EL_List,0)-1,0)
*INDEX(Learning!$E$6:$S$41,(MATCH(AH$21,Dates,0)),(MATCH($C$21,Learning!$E$4:$S$4,0)+MATCH($C$22,Learning!$E$5:$S$5,0)-1)))</f>
        <v>0</v>
      </c>
      <c r="AI28" s="533" cm="1">
        <f t="array" aca="1" ref="AI28" ca="1">IF(AI$21&lt;Standard_Year,'No STDs Case Rev &amp; Cost'!AI28,
OFFSET(AI28,-4,0)*
OFFSET(MSP!$E$1,
MATCH(OFFSET($C22,((MATCH($C22,EL_List,0)-1)*-10)-1,0),MSP!$C:$C,0)+MATCH($C22,EL_List,0)-1,0)
*INDEX(Learning!$E$6:$S$41,(MATCH(AI$21,Dates,0)),(MATCH($C$21,Learning!$E$4:$S$4,0)+MATCH($C$22,Learning!$E$5:$S$5,0)-1)))</f>
        <v>0</v>
      </c>
      <c r="AJ28" s="533" cm="1">
        <f t="array" aca="1" ref="AJ28" ca="1">IF(AJ$21&lt;Standard_Year,'No STDs Case Rev &amp; Cost'!AJ28,
OFFSET(AJ28,-4,0)*
OFFSET(MSP!$E$1,
MATCH(OFFSET($C22,((MATCH($C22,EL_List,0)-1)*-10)-1,0),MSP!$C:$C,0)+MATCH($C22,EL_List,0)-1,0)
*INDEX(Learning!$E$6:$S$41,(MATCH(AJ$21,Dates,0)),(MATCH($C$21,Learning!$E$4:$S$4,0)+MATCH($C$22,Learning!$E$5:$S$5,0)-1)))</f>
        <v>0</v>
      </c>
      <c r="AK28" s="533" cm="1">
        <f t="array" aca="1" ref="AK28" ca="1">IF(AK$21&lt;Standard_Year,'No STDs Case Rev &amp; Cost'!AK28,
OFFSET(AK28,-4,0)*
OFFSET(MSP!$E$1,
MATCH(OFFSET($C22,((MATCH($C22,EL_List,0)-1)*-10)-1,0),MSP!$C:$C,0)+MATCH($C22,EL_List,0)-1,0)
*INDEX(Learning!$E$6:$S$41,(MATCH(AK$21,Dates,0)),(MATCH($C$21,Learning!$E$4:$S$4,0)+MATCH($C$22,Learning!$E$5:$S$5,0)-1)))</f>
        <v>0</v>
      </c>
      <c r="AL28" s="533" cm="1">
        <f t="array" aca="1" ref="AL28" ca="1">IF(AL$21&lt;Standard_Year,'No STDs Case Rev &amp; Cost'!AL28,
OFFSET(AL28,-4,0)*
OFFSET(MSP!$E$1,
MATCH(OFFSET($C22,((MATCH($C22,EL_List,0)-1)*-10)-1,0),MSP!$C:$C,0)+MATCH($C22,EL_List,0)-1,0)
*INDEX(Learning!$E$6:$S$41,(MATCH(AL$21,Dates,0)),(MATCH($C$21,Learning!$E$4:$S$4,0)+MATCH($C$22,Learning!$E$5:$S$5,0)-1)))</f>
        <v>0</v>
      </c>
      <c r="AM28" s="533" cm="1">
        <f t="array" aca="1" ref="AM28" ca="1">IF(AM$21&lt;Standard_Year,'No STDs Case Rev &amp; Cost'!AM28,
OFFSET(AM28,-4,0)*
OFFSET(MSP!$E$1,
MATCH(OFFSET($C22,((MATCH($C22,EL_List,0)-1)*-10)-1,0),MSP!$C:$C,0)+MATCH($C22,EL_List,0)-1,0)
*INDEX(Learning!$E$6:$S$41,(MATCH(AM$21,Dates,0)),(MATCH($C$21,Learning!$E$4:$S$4,0)+MATCH($C$22,Learning!$E$5:$S$5,0)-1)))</f>
        <v>0</v>
      </c>
      <c r="AN28" s="533" cm="1">
        <f t="array" aca="1" ref="AN28" ca="1">IF(AN$21&lt;Standard_Year,'No STDs Case Rev &amp; Cost'!AN28,
OFFSET(AN28,-4,0)*
OFFSET(MSP!$E$1,
MATCH(OFFSET($C22,((MATCH($C22,EL_List,0)-1)*-10)-1,0),MSP!$C:$C,0)+MATCH($C22,EL_List,0)-1,0)
*INDEX(Learning!$E$6:$S$41,(MATCH(AN$21,Dates,0)),(MATCH($C$21,Learning!$E$4:$S$4,0)+MATCH($C$22,Learning!$E$5:$S$5,0)-1)))</f>
        <v>0</v>
      </c>
      <c r="AO28" s="436"/>
      <c r="AP28" s="21"/>
    </row>
    <row r="29" spans="2:42" ht="15" customHeight="1" x14ac:dyDescent="0.35">
      <c r="B29" s="429"/>
      <c r="C29" s="780" t="s">
        <v>214</v>
      </c>
      <c r="D29" s="776"/>
      <c r="E29" s="533" cm="1">
        <f t="array" aca="1" ref="E29" ca="1">IF(E$21&lt;Standard_Year,'No STDs Case Rev &amp; Cost'!E29,
OFFSET(E29,-5,0)*
OFFSET(MSP!$F$1,
MATCH(OFFSET($C22,((MATCH($C22,EL_List,0)-1)*-10)-1,0),MSP!$C:$C,0)+MATCH($C22,EL_List,0)-1,0)
*INDEX(Learning!$E$6:$S$41,(MATCH(E$21,Dates,0)),(MATCH($C$21,Learning!$E$4:$S$4,0)+MATCH($C$22,Learning!$E$5:$S$5,0)-1)))</f>
        <v>0.91301098198015229</v>
      </c>
      <c r="F29" s="533" cm="1">
        <f t="array" aca="1" ref="F29" ca="1">IF(F$21&lt;Standard_Year,'No STDs Case Rev &amp; Cost'!F29,
OFFSET(F29,-5,0)*
OFFSET(MSP!$F$1,
MATCH(OFFSET($C22,((MATCH($C22,EL_List,0)-1)*-10)-1,0),MSP!$C:$C,0)+MATCH($C22,EL_List,0)-1,0)
*INDEX(Learning!$E$6:$S$41,(MATCH(F$21,Dates,0)),(MATCH($C$21,Learning!$E$4:$S$4,0)+MATCH($C$22,Learning!$E$5:$S$5,0)-1)))</f>
        <v>0.94652339094468829</v>
      </c>
      <c r="G29" s="533" cm="1">
        <f t="array" aca="1" ref="G29" ca="1">IF(G$21&lt;Standard_Year,'No STDs Case Rev &amp; Cost'!G29,
OFFSET(G29,-5,0)*
OFFSET(MSP!$F$1,
MATCH(OFFSET($C22,((MATCH($C22,EL_List,0)-1)*-10)-1,0),MSP!$C:$C,0)+MATCH($C22,EL_List,0)-1,0)
*INDEX(Learning!$E$6:$S$41,(MATCH(G$21,Dates,0)),(MATCH($C$21,Learning!$E$4:$S$4,0)+MATCH($C$22,Learning!$E$5:$S$5,0)-1)))</f>
        <v>0.97618242865092975</v>
      </c>
      <c r="H29" s="533" cm="1">
        <f t="array" aca="1" ref="H29" ca="1">IF(H$21&lt;Standard_Year,'No STDs Case Rev &amp; Cost'!H29,
OFFSET(H29,-5,0)*
OFFSET(MSP!$F$1,
MATCH(OFFSET($C22,((MATCH($C22,EL_List,0)-1)*-10)-1,0),MSP!$C:$C,0)+MATCH($C22,EL_List,0)-1,0)
*INDEX(Learning!$E$6:$S$41,(MATCH(H$21,Dates,0)),(MATCH($C$21,Learning!$E$4:$S$4,0)+MATCH($C$22,Learning!$E$5:$S$5,0)-1)))</f>
        <v>1.0140733658168559</v>
      </c>
      <c r="I29" s="533" cm="1">
        <f t="array" aca="1" ref="I29" ca="1">IF(I$21&lt;Standard_Year,'No STDs Case Rev &amp; Cost'!I29,
OFFSET(I29,-5,0)*
OFFSET(MSP!$F$1,
MATCH(OFFSET($C22,((MATCH($C22,EL_List,0)-1)*-10)-1,0),MSP!$C:$C,0)+MATCH($C22,EL_List,0)-1,0)
*INDEX(Learning!$E$6:$S$41,(MATCH(I$21,Dates,0)),(MATCH($C$21,Learning!$E$4:$S$4,0)+MATCH($C$22,Learning!$E$5:$S$5,0)-1)))</f>
        <v>0</v>
      </c>
      <c r="J29" s="533" cm="1">
        <f t="array" aca="1" ref="J29" ca="1">IF(J$21&lt;Standard_Year,'No STDs Case Rev &amp; Cost'!J29,
OFFSET(J29,-5,0)*
OFFSET(MSP!$F$1,
MATCH(OFFSET($C22,((MATCH($C22,EL_List,0)-1)*-10)-1,0),MSP!$C:$C,0)+MATCH($C22,EL_List,0)-1,0)
*INDEX(Learning!$E$6:$S$41,(MATCH(J$21,Dates,0)),(MATCH($C$21,Learning!$E$4:$S$4,0)+MATCH($C$22,Learning!$E$5:$S$5,0)-1)))</f>
        <v>0</v>
      </c>
      <c r="K29" s="533" cm="1">
        <f t="array" aca="1" ref="K29" ca="1">IF(K$21&lt;Standard_Year,'No STDs Case Rev &amp; Cost'!K29,
OFFSET(K29,-5,0)*
OFFSET(MSP!$F$1,
MATCH(OFFSET($C22,((MATCH($C22,EL_List,0)-1)*-10)-1,0),MSP!$C:$C,0)+MATCH($C22,EL_List,0)-1,0)
*INDEX(Learning!$E$6:$S$41,(MATCH(K$21,Dates,0)),(MATCH($C$21,Learning!$E$4:$S$4,0)+MATCH($C$22,Learning!$E$5:$S$5,0)-1)))</f>
        <v>0</v>
      </c>
      <c r="L29" s="533" cm="1">
        <f t="array" aca="1" ref="L29" ca="1">IF(L$21&lt;Standard_Year,'No STDs Case Rev &amp; Cost'!L29,
OFFSET(L29,-5,0)*
OFFSET(MSP!$F$1,
MATCH(OFFSET($C22,((MATCH($C22,EL_List,0)-1)*-10)-1,0),MSP!$C:$C,0)+MATCH($C22,EL_List,0)-1,0)
*INDEX(Learning!$E$6:$S$41,(MATCH(L$21,Dates,0)),(MATCH($C$21,Learning!$E$4:$S$4,0)+MATCH($C$22,Learning!$E$5:$S$5,0)-1)))</f>
        <v>0</v>
      </c>
      <c r="M29" s="533" cm="1">
        <f t="array" aca="1" ref="M29" ca="1">IF(M$21&lt;Standard_Year,'No STDs Case Rev &amp; Cost'!M29,
OFFSET(M29,-5,0)*
OFFSET(MSP!$F$1,
MATCH(OFFSET($C22,((MATCH($C22,EL_List,0)-1)*-10)-1,0),MSP!$C:$C,0)+MATCH($C22,EL_List,0)-1,0)
*INDEX(Learning!$E$6:$S$41,(MATCH(M$21,Dates,0)),(MATCH($C$21,Learning!$E$4:$S$4,0)+MATCH($C$22,Learning!$E$5:$S$5,0)-1)))</f>
        <v>0</v>
      </c>
      <c r="N29" s="533" cm="1">
        <f t="array" aca="1" ref="N29" ca="1">IF(N$21&lt;Standard_Year,'No STDs Case Rev &amp; Cost'!N29,
OFFSET(N29,-5,0)*
OFFSET(MSP!$F$1,
MATCH(OFFSET($C22,((MATCH($C22,EL_List,0)-1)*-10)-1,0),MSP!$C:$C,0)+MATCH($C22,EL_List,0)-1,0)
*INDEX(Learning!$E$6:$S$41,(MATCH(N$21,Dates,0)),(MATCH($C$21,Learning!$E$4:$S$4,0)+MATCH($C$22,Learning!$E$5:$S$5,0)-1)))</f>
        <v>0</v>
      </c>
      <c r="O29" s="533" cm="1">
        <f t="array" aca="1" ref="O29" ca="1">IF(O$21&lt;Standard_Year,'No STDs Case Rev &amp; Cost'!O29,
OFFSET(O29,-5,0)*
OFFSET(MSP!$F$1,
MATCH(OFFSET($C22,((MATCH($C22,EL_List,0)-1)*-10)-1,0),MSP!$C:$C,0)+MATCH($C22,EL_List,0)-1,0)
*INDEX(Learning!$E$6:$S$41,(MATCH(O$21,Dates,0)),(MATCH($C$21,Learning!$E$4:$S$4,0)+MATCH($C$22,Learning!$E$5:$S$5,0)-1)))</f>
        <v>0</v>
      </c>
      <c r="P29" s="533" cm="1">
        <f t="array" aca="1" ref="P29" ca="1">IF(P$21&lt;Standard_Year,'No STDs Case Rev &amp; Cost'!P29,
OFFSET(P29,-5,0)*
OFFSET(MSP!$F$1,
MATCH(OFFSET($C22,((MATCH($C22,EL_List,0)-1)*-10)-1,0),MSP!$C:$C,0)+MATCH($C22,EL_List,0)-1,0)
*INDEX(Learning!$E$6:$S$41,(MATCH(P$21,Dates,0)),(MATCH($C$21,Learning!$E$4:$S$4,0)+MATCH($C$22,Learning!$E$5:$S$5,0)-1)))</f>
        <v>0</v>
      </c>
      <c r="Q29" s="533" cm="1">
        <f t="array" aca="1" ref="Q29" ca="1">IF(Q$21&lt;Standard_Year,'No STDs Case Rev &amp; Cost'!Q29,
OFFSET(Q29,-5,0)*
OFFSET(MSP!$F$1,
MATCH(OFFSET($C22,((MATCH($C22,EL_List,0)-1)*-10)-1,0),MSP!$C:$C,0)+MATCH($C22,EL_List,0)-1,0)
*INDEX(Learning!$E$6:$S$41,(MATCH(Q$21,Dates,0)),(MATCH($C$21,Learning!$E$4:$S$4,0)+MATCH($C$22,Learning!$E$5:$S$5,0)-1)))</f>
        <v>0</v>
      </c>
      <c r="R29" s="533" cm="1">
        <f t="array" aca="1" ref="R29" ca="1">IF(R$21&lt;Standard_Year,'No STDs Case Rev &amp; Cost'!R29,
OFFSET(R29,-5,0)*
OFFSET(MSP!$F$1,
MATCH(OFFSET($C22,((MATCH($C22,EL_List,0)-1)*-10)-1,0),MSP!$C:$C,0)+MATCH($C22,EL_List,0)-1,0)
*INDEX(Learning!$E$6:$S$41,(MATCH(R$21,Dates,0)),(MATCH($C$21,Learning!$E$4:$S$4,0)+MATCH($C$22,Learning!$E$5:$S$5,0)-1)))</f>
        <v>0</v>
      </c>
      <c r="S29" s="533" cm="1">
        <f t="array" aca="1" ref="S29" ca="1">IF(S$21&lt;Standard_Year,'No STDs Case Rev &amp; Cost'!S29,
OFFSET(S29,-5,0)*
OFFSET(MSP!$F$1,
MATCH(OFFSET($C22,((MATCH($C22,EL_List,0)-1)*-10)-1,0),MSP!$C:$C,0)+MATCH($C22,EL_List,0)-1,0)
*INDEX(Learning!$E$6:$S$41,(MATCH(S$21,Dates,0)),(MATCH($C$21,Learning!$E$4:$S$4,0)+MATCH($C$22,Learning!$E$5:$S$5,0)-1)))</f>
        <v>0</v>
      </c>
      <c r="T29" s="533" cm="1">
        <f t="array" aca="1" ref="T29" ca="1">IF(T$21&lt;Standard_Year,'No STDs Case Rev &amp; Cost'!T29,
OFFSET(T29,-5,0)*
OFFSET(MSP!$F$1,
MATCH(OFFSET($C22,((MATCH($C22,EL_List,0)-1)*-10)-1,0),MSP!$C:$C,0)+MATCH($C22,EL_List,0)-1,0)
*INDEX(Learning!$E$6:$S$41,(MATCH(T$21,Dates,0)),(MATCH($C$21,Learning!$E$4:$S$4,0)+MATCH($C$22,Learning!$E$5:$S$5,0)-1)))</f>
        <v>0</v>
      </c>
      <c r="U29" s="533" cm="1">
        <f t="array" aca="1" ref="U29" ca="1">IF(U$21&lt;Standard_Year,'No STDs Case Rev &amp; Cost'!U29,
OFFSET(U29,-5,0)*
OFFSET(MSP!$F$1,
MATCH(OFFSET($C22,((MATCH($C22,EL_List,0)-1)*-10)-1,0),MSP!$C:$C,0)+MATCH($C22,EL_List,0)-1,0)
*INDEX(Learning!$E$6:$S$41,(MATCH(U$21,Dates,0)),(MATCH($C$21,Learning!$E$4:$S$4,0)+MATCH($C$22,Learning!$E$5:$S$5,0)-1)))</f>
        <v>0</v>
      </c>
      <c r="V29" s="533" cm="1">
        <f t="array" aca="1" ref="V29" ca="1">IF(V$21&lt;Standard_Year,'No STDs Case Rev &amp; Cost'!V29,
OFFSET(V29,-5,0)*
OFFSET(MSP!$F$1,
MATCH(OFFSET($C22,((MATCH($C22,EL_List,0)-1)*-10)-1,0),MSP!$C:$C,0)+MATCH($C22,EL_List,0)-1,0)
*INDEX(Learning!$E$6:$S$41,(MATCH(V$21,Dates,0)),(MATCH($C$21,Learning!$E$4:$S$4,0)+MATCH($C$22,Learning!$E$5:$S$5,0)-1)))</f>
        <v>0</v>
      </c>
      <c r="W29" s="533" cm="1">
        <f t="array" aca="1" ref="W29" ca="1">IF(W$21&lt;Standard_Year,'No STDs Case Rev &amp; Cost'!W29,
OFFSET(W29,-5,0)*
OFFSET(MSP!$F$1,
MATCH(OFFSET($C22,((MATCH($C22,EL_List,0)-1)*-10)-1,0),MSP!$C:$C,0)+MATCH($C22,EL_List,0)-1,0)
*INDEX(Learning!$E$6:$S$41,(MATCH(W$21,Dates,0)),(MATCH($C$21,Learning!$E$4:$S$4,0)+MATCH($C$22,Learning!$E$5:$S$5,0)-1)))</f>
        <v>0</v>
      </c>
      <c r="X29" s="533" cm="1">
        <f t="array" aca="1" ref="X29" ca="1">IF(X$21&lt;Standard_Year,'No STDs Case Rev &amp; Cost'!X29,
OFFSET(X29,-5,0)*
OFFSET(MSP!$F$1,
MATCH(OFFSET($C22,((MATCH($C22,EL_List,0)-1)*-10)-1,0),MSP!$C:$C,0)+MATCH($C22,EL_List,0)-1,0)
*INDEX(Learning!$E$6:$S$41,(MATCH(X$21,Dates,0)),(MATCH($C$21,Learning!$E$4:$S$4,0)+MATCH($C$22,Learning!$E$5:$S$5,0)-1)))</f>
        <v>0</v>
      </c>
      <c r="Y29" s="533" cm="1">
        <f t="array" aca="1" ref="Y29" ca="1">IF(Y$21&lt;Standard_Year,'No STDs Case Rev &amp; Cost'!Y29,
OFFSET(Y29,-5,0)*
OFFSET(MSP!$F$1,
MATCH(OFFSET($C22,((MATCH($C22,EL_List,0)-1)*-10)-1,0),MSP!$C:$C,0)+MATCH($C22,EL_List,0)-1,0)
*INDEX(Learning!$E$6:$S$41,(MATCH(Y$21,Dates,0)),(MATCH($C$21,Learning!$E$4:$S$4,0)+MATCH($C$22,Learning!$E$5:$S$5,0)-1)))</f>
        <v>0</v>
      </c>
      <c r="Z29" s="533" cm="1">
        <f t="array" aca="1" ref="Z29" ca="1">IF(Z$21&lt;Standard_Year,'No STDs Case Rev &amp; Cost'!Z29,
OFFSET(Z29,-5,0)*
OFFSET(MSP!$F$1,
MATCH(OFFSET($C22,((MATCH($C22,EL_List,0)-1)*-10)-1,0),MSP!$C:$C,0)+MATCH($C22,EL_List,0)-1,0)
*INDEX(Learning!$E$6:$S$41,(MATCH(Z$21,Dates,0)),(MATCH($C$21,Learning!$E$4:$S$4,0)+MATCH($C$22,Learning!$E$5:$S$5,0)-1)))</f>
        <v>0</v>
      </c>
      <c r="AA29" s="533" cm="1">
        <f t="array" aca="1" ref="AA29" ca="1">IF(AA$21&lt;Standard_Year,'No STDs Case Rev &amp; Cost'!AA29,
OFFSET(AA29,-5,0)*
OFFSET(MSP!$F$1,
MATCH(OFFSET($C22,((MATCH($C22,EL_List,0)-1)*-10)-1,0),MSP!$C:$C,0)+MATCH($C22,EL_List,0)-1,0)
*INDEX(Learning!$E$6:$S$41,(MATCH(AA$21,Dates,0)),(MATCH($C$21,Learning!$E$4:$S$4,0)+MATCH($C$22,Learning!$E$5:$S$5,0)-1)))</f>
        <v>0</v>
      </c>
      <c r="AB29" s="533" cm="1">
        <f t="array" aca="1" ref="AB29" ca="1">IF(AB$21&lt;Standard_Year,'No STDs Case Rev &amp; Cost'!AB29,
OFFSET(AB29,-5,0)*
OFFSET(MSP!$F$1,
MATCH(OFFSET($C22,((MATCH($C22,EL_List,0)-1)*-10)-1,0),MSP!$C:$C,0)+MATCH($C22,EL_List,0)-1,0)
*INDEX(Learning!$E$6:$S$41,(MATCH(AB$21,Dates,0)),(MATCH($C$21,Learning!$E$4:$S$4,0)+MATCH($C$22,Learning!$E$5:$S$5,0)-1)))</f>
        <v>0</v>
      </c>
      <c r="AC29" s="533" cm="1">
        <f t="array" aca="1" ref="AC29" ca="1">IF(AC$21&lt;Standard_Year,'No STDs Case Rev &amp; Cost'!AC29,
OFFSET(AC29,-5,0)*
OFFSET(MSP!$F$1,
MATCH(OFFSET($C22,((MATCH($C22,EL_List,0)-1)*-10)-1,0),MSP!$C:$C,0)+MATCH($C22,EL_List,0)-1,0)
*INDEX(Learning!$E$6:$S$41,(MATCH(AC$21,Dates,0)),(MATCH($C$21,Learning!$E$4:$S$4,0)+MATCH($C$22,Learning!$E$5:$S$5,0)-1)))</f>
        <v>0</v>
      </c>
      <c r="AD29" s="533" cm="1">
        <f t="array" aca="1" ref="AD29" ca="1">IF(AD$21&lt;Standard_Year,'No STDs Case Rev &amp; Cost'!AD29,
OFFSET(AD29,-5,0)*
OFFSET(MSP!$F$1,
MATCH(OFFSET($C22,((MATCH($C22,EL_List,0)-1)*-10)-1,0),MSP!$C:$C,0)+MATCH($C22,EL_List,0)-1,0)
*INDEX(Learning!$E$6:$S$41,(MATCH(AD$21,Dates,0)),(MATCH($C$21,Learning!$E$4:$S$4,0)+MATCH($C$22,Learning!$E$5:$S$5,0)-1)))</f>
        <v>0</v>
      </c>
      <c r="AE29" s="533" cm="1">
        <f t="array" aca="1" ref="AE29" ca="1">IF(AE$21&lt;Standard_Year,'No STDs Case Rev &amp; Cost'!AE29,
OFFSET(AE29,-5,0)*
OFFSET(MSP!$F$1,
MATCH(OFFSET($C22,((MATCH($C22,EL_List,0)-1)*-10)-1,0),MSP!$C:$C,0)+MATCH($C22,EL_List,0)-1,0)
*INDEX(Learning!$E$6:$S$41,(MATCH(AE$21,Dates,0)),(MATCH($C$21,Learning!$E$4:$S$4,0)+MATCH($C$22,Learning!$E$5:$S$5,0)-1)))</f>
        <v>0</v>
      </c>
      <c r="AF29" s="533" cm="1">
        <f t="array" aca="1" ref="AF29" ca="1">IF(AF$21&lt;Standard_Year,'No STDs Case Rev &amp; Cost'!AF29,
OFFSET(AF29,-5,0)*
OFFSET(MSP!$F$1,
MATCH(OFFSET($C22,((MATCH($C22,EL_List,0)-1)*-10)-1,0),MSP!$C:$C,0)+MATCH($C22,EL_List,0)-1,0)
*INDEX(Learning!$E$6:$S$41,(MATCH(AF$21,Dates,0)),(MATCH($C$21,Learning!$E$4:$S$4,0)+MATCH($C$22,Learning!$E$5:$S$5,0)-1)))</f>
        <v>0</v>
      </c>
      <c r="AG29" s="533" cm="1">
        <f t="array" aca="1" ref="AG29" ca="1">IF(AG$21&lt;Standard_Year,'No STDs Case Rev &amp; Cost'!AG29,
OFFSET(AG29,-5,0)*
OFFSET(MSP!$F$1,
MATCH(OFFSET($C22,((MATCH($C22,EL_List,0)-1)*-10)-1,0),MSP!$C:$C,0)+MATCH($C22,EL_List,0)-1,0)
*INDEX(Learning!$E$6:$S$41,(MATCH(AG$21,Dates,0)),(MATCH($C$21,Learning!$E$4:$S$4,0)+MATCH($C$22,Learning!$E$5:$S$5,0)-1)))</f>
        <v>0</v>
      </c>
      <c r="AH29" s="533" cm="1">
        <f t="array" aca="1" ref="AH29" ca="1">IF(AH$21&lt;Standard_Year,'No STDs Case Rev &amp; Cost'!AH29,
OFFSET(AH29,-5,0)*
OFFSET(MSP!$F$1,
MATCH(OFFSET($C22,((MATCH($C22,EL_List,0)-1)*-10)-1,0),MSP!$C:$C,0)+MATCH($C22,EL_List,0)-1,0)
*INDEX(Learning!$E$6:$S$41,(MATCH(AH$21,Dates,0)),(MATCH($C$21,Learning!$E$4:$S$4,0)+MATCH($C$22,Learning!$E$5:$S$5,0)-1)))</f>
        <v>0</v>
      </c>
      <c r="AI29" s="533" cm="1">
        <f t="array" aca="1" ref="AI29" ca="1">IF(AI$21&lt;Standard_Year,'No STDs Case Rev &amp; Cost'!AI29,
OFFSET(AI29,-5,0)*
OFFSET(MSP!$F$1,
MATCH(OFFSET($C22,((MATCH($C22,EL_List,0)-1)*-10)-1,0),MSP!$C:$C,0)+MATCH($C22,EL_List,0)-1,0)
*INDEX(Learning!$E$6:$S$41,(MATCH(AI$21,Dates,0)),(MATCH($C$21,Learning!$E$4:$S$4,0)+MATCH($C$22,Learning!$E$5:$S$5,0)-1)))</f>
        <v>0</v>
      </c>
      <c r="AJ29" s="533" cm="1">
        <f t="array" aca="1" ref="AJ29" ca="1">IF(AJ$21&lt;Standard_Year,'No STDs Case Rev &amp; Cost'!AJ29,
OFFSET(AJ29,-5,0)*
OFFSET(MSP!$F$1,
MATCH(OFFSET($C22,((MATCH($C22,EL_List,0)-1)*-10)-1,0),MSP!$C:$C,0)+MATCH($C22,EL_List,0)-1,0)
*INDEX(Learning!$E$6:$S$41,(MATCH(AJ$21,Dates,0)),(MATCH($C$21,Learning!$E$4:$S$4,0)+MATCH($C$22,Learning!$E$5:$S$5,0)-1)))</f>
        <v>0</v>
      </c>
      <c r="AK29" s="533" cm="1">
        <f t="array" aca="1" ref="AK29" ca="1">IF(AK$21&lt;Standard_Year,'No STDs Case Rev &amp; Cost'!AK29,
OFFSET(AK29,-5,0)*
OFFSET(MSP!$F$1,
MATCH(OFFSET($C22,((MATCH($C22,EL_List,0)-1)*-10)-1,0),MSP!$C:$C,0)+MATCH($C22,EL_List,0)-1,0)
*INDEX(Learning!$E$6:$S$41,(MATCH(AK$21,Dates,0)),(MATCH($C$21,Learning!$E$4:$S$4,0)+MATCH($C$22,Learning!$E$5:$S$5,0)-1)))</f>
        <v>0</v>
      </c>
      <c r="AL29" s="533" cm="1">
        <f t="array" aca="1" ref="AL29" ca="1">IF(AL$21&lt;Standard_Year,'No STDs Case Rev &amp; Cost'!AL29,
OFFSET(AL29,-5,0)*
OFFSET(MSP!$F$1,
MATCH(OFFSET($C22,((MATCH($C22,EL_List,0)-1)*-10)-1,0),MSP!$C:$C,0)+MATCH($C22,EL_List,0)-1,0)
*INDEX(Learning!$E$6:$S$41,(MATCH(AL$21,Dates,0)),(MATCH($C$21,Learning!$E$4:$S$4,0)+MATCH($C$22,Learning!$E$5:$S$5,0)-1)))</f>
        <v>0</v>
      </c>
      <c r="AM29" s="533" cm="1">
        <f t="array" aca="1" ref="AM29" ca="1">IF(AM$21&lt;Standard_Year,'No STDs Case Rev &amp; Cost'!AM29,
OFFSET(AM29,-5,0)*
OFFSET(MSP!$F$1,
MATCH(OFFSET($C22,((MATCH($C22,EL_List,0)-1)*-10)-1,0),MSP!$C:$C,0)+MATCH($C22,EL_List,0)-1,0)
*INDEX(Learning!$E$6:$S$41,(MATCH(AM$21,Dates,0)),(MATCH($C$21,Learning!$E$4:$S$4,0)+MATCH($C$22,Learning!$E$5:$S$5,0)-1)))</f>
        <v>0</v>
      </c>
      <c r="AN29" s="533" cm="1">
        <f t="array" aca="1" ref="AN29" ca="1">IF(AN$21&lt;Standard_Year,'No STDs Case Rev &amp; Cost'!AN29,
OFFSET(AN29,-5,0)*
OFFSET(MSP!$F$1,
MATCH(OFFSET($C22,((MATCH($C22,EL_List,0)-1)*-10)-1,0),MSP!$C:$C,0)+MATCH($C22,EL_List,0)-1,0)
*INDEX(Learning!$E$6:$S$41,(MATCH(AN$21,Dates,0)),(MATCH($C$21,Learning!$E$4:$S$4,0)+MATCH($C$22,Learning!$E$5:$S$5,0)-1)))</f>
        <v>0</v>
      </c>
      <c r="AO29" s="436"/>
      <c r="AP29" s="21"/>
    </row>
    <row r="30" spans="2:42" ht="15" customHeight="1" collapsed="1" x14ac:dyDescent="0.35">
      <c r="B30" s="429"/>
      <c r="C30" s="780" t="s">
        <v>215</v>
      </c>
      <c r="D30" s="776"/>
      <c r="E30" s="531" cm="1">
        <f t="array" aca="1" ref="E30" ca="1">IF(E$21&lt;Standard_Year,'No STDs Case Rev &amp; Cost'!E30,
OFFSET(E30,-6,0)*
OFFSET(MSP!$G$1,
MATCH(OFFSET($C22,((MATCH($C22,EL_List,0)-1)*-10)-1,0),MSP!$C:$C,0)+MATCH($C22,EL_List,0)-1,0)
*INDEX(Learning!$E$6:$S$41,(MATCH(E$21,Dates,0)),(MATCH($C$21,Learning!$E$4:$S$4,0)+MATCH($C$22,Learning!$E$5:$S$5,0)-1)))</f>
        <v>0.67727469382154937</v>
      </c>
      <c r="F30" s="531" cm="1">
        <f t="array" aca="1" ref="F30" ca="1">IF(F$21&lt;Standard_Year,'No STDs Case Rev &amp; Cost'!F30,
OFFSET(F30,-6,0)*
OFFSET(MSP!$G$1,
MATCH(OFFSET($C22,((MATCH($C22,EL_List,0)-1)*-10)-1,0),MSP!$C:$C,0)+MATCH($C22,EL_List,0)-1,0)
*INDEX(Learning!$E$6:$S$41,(MATCH(F$21,Dates,0)),(MATCH($C$21,Learning!$E$4:$S$4,0)+MATCH($C$22,Learning!$E$5:$S$5,0)-1)))</f>
        <v>0.70213431431751849</v>
      </c>
      <c r="G30" s="531" cm="1">
        <f t="array" aca="1" ref="G30" ca="1">IF(G$21&lt;Standard_Year,'No STDs Case Rev &amp; Cost'!G30,
OFFSET(G30,-6,0)*
OFFSET(MSP!$G$1,
MATCH(OFFSET($C22,((MATCH($C22,EL_List,0)-1)*-10)-1,0),MSP!$C:$C,0)+MATCH($C22,EL_List,0)-1,0)
*INDEX(Learning!$E$6:$S$41,(MATCH(G$21,Dates,0)),(MATCH($C$21,Learning!$E$4:$S$4,0)+MATCH($C$22,Learning!$E$5:$S$5,0)-1)))</f>
        <v>0.72413549073050176</v>
      </c>
      <c r="H30" s="531" cm="1">
        <f t="array" aca="1" ref="H30" ca="1">IF(H$21&lt;Standard_Year,'No STDs Case Rev &amp; Cost'!H30,
OFFSET(H30,-6,0)*
OFFSET(MSP!$G$1,
MATCH(OFFSET($C22,((MATCH($C22,EL_List,0)-1)*-10)-1,0),MSP!$C:$C,0)+MATCH($C22,EL_List,0)-1,0)
*INDEX(Learning!$E$6:$S$41,(MATCH(H$21,Dates,0)),(MATCH($C$21,Learning!$E$4:$S$4,0)+MATCH($C$22,Learning!$E$5:$S$5,0)-1)))</f>
        <v>0.75224311854019899</v>
      </c>
      <c r="I30" s="531" cm="1">
        <f t="array" aca="1" ref="I30" ca="1">IF(I$21&lt;Standard_Year,'No STDs Case Rev &amp; Cost'!I30,
OFFSET(I30,-6,0)*
OFFSET(MSP!$G$1,
MATCH(OFFSET($C22,((MATCH($C22,EL_List,0)-1)*-10)-1,0),MSP!$C:$C,0)+MATCH($C22,EL_List,0)-1,0)
*INDEX(Learning!$E$6:$S$41,(MATCH(I$21,Dates,0)),(MATCH($C$21,Learning!$E$4:$S$4,0)+MATCH($C$22,Learning!$E$5:$S$5,0)-1)))</f>
        <v>0</v>
      </c>
      <c r="J30" s="531" cm="1">
        <f t="array" aca="1" ref="J30" ca="1">IF(J$21&lt;Standard_Year,'No STDs Case Rev &amp; Cost'!J30,
OFFSET(J30,-6,0)*
OFFSET(MSP!$G$1,
MATCH(OFFSET($C22,((MATCH($C22,EL_List,0)-1)*-10)-1,0),MSP!$C:$C,0)+MATCH($C22,EL_List,0)-1,0)
*INDEX(Learning!$E$6:$S$41,(MATCH(J$21,Dates,0)),(MATCH($C$21,Learning!$E$4:$S$4,0)+MATCH($C$22,Learning!$E$5:$S$5,0)-1)))</f>
        <v>0</v>
      </c>
      <c r="K30" s="531" cm="1">
        <f t="array" aca="1" ref="K30" ca="1">IF(K$21&lt;Standard_Year,'No STDs Case Rev &amp; Cost'!K30,
OFFSET(K30,-6,0)*
OFFSET(MSP!$G$1,
MATCH(OFFSET($C22,((MATCH($C22,EL_List,0)-1)*-10)-1,0),MSP!$C:$C,0)+MATCH($C22,EL_List,0)-1,0)
*INDEX(Learning!$E$6:$S$41,(MATCH(K$21,Dates,0)),(MATCH($C$21,Learning!$E$4:$S$4,0)+MATCH($C$22,Learning!$E$5:$S$5,0)-1)))</f>
        <v>0</v>
      </c>
      <c r="L30" s="531" cm="1">
        <f t="array" aca="1" ref="L30" ca="1">IF(L$21&lt;Standard_Year,'No STDs Case Rev &amp; Cost'!L30,
OFFSET(L30,-6,0)*
OFFSET(MSP!$G$1,
MATCH(OFFSET($C22,((MATCH($C22,EL_List,0)-1)*-10)-1,0),MSP!$C:$C,0)+MATCH($C22,EL_List,0)-1,0)
*INDEX(Learning!$E$6:$S$41,(MATCH(L$21,Dates,0)),(MATCH($C$21,Learning!$E$4:$S$4,0)+MATCH($C$22,Learning!$E$5:$S$5,0)-1)))</f>
        <v>0</v>
      </c>
      <c r="M30" s="531" cm="1">
        <f t="array" aca="1" ref="M30" ca="1">IF(M$21&lt;Standard_Year,'No STDs Case Rev &amp; Cost'!M30,
OFFSET(M30,-6,0)*
OFFSET(MSP!$G$1,
MATCH(OFFSET($C22,((MATCH($C22,EL_List,0)-1)*-10)-1,0),MSP!$C:$C,0)+MATCH($C22,EL_List,0)-1,0)
*INDEX(Learning!$E$6:$S$41,(MATCH(M$21,Dates,0)),(MATCH($C$21,Learning!$E$4:$S$4,0)+MATCH($C$22,Learning!$E$5:$S$5,0)-1)))</f>
        <v>0</v>
      </c>
      <c r="N30" s="531" cm="1">
        <f t="array" aca="1" ref="N30" ca="1">IF(N$21&lt;Standard_Year,'No STDs Case Rev &amp; Cost'!N30,
OFFSET(N30,-6,0)*
OFFSET(MSP!$G$1,
MATCH(OFFSET($C22,((MATCH($C22,EL_List,0)-1)*-10)-1,0),MSP!$C:$C,0)+MATCH($C22,EL_List,0)-1,0)
*INDEX(Learning!$E$6:$S$41,(MATCH(N$21,Dates,0)),(MATCH($C$21,Learning!$E$4:$S$4,0)+MATCH($C$22,Learning!$E$5:$S$5,0)-1)))</f>
        <v>0</v>
      </c>
      <c r="O30" s="531" cm="1">
        <f t="array" aca="1" ref="O30" ca="1">IF(O$21&lt;Standard_Year,'No STDs Case Rev &amp; Cost'!O30,
OFFSET(O30,-6,0)*
OFFSET(MSP!$G$1,
MATCH(OFFSET($C22,((MATCH($C22,EL_List,0)-1)*-10)-1,0),MSP!$C:$C,0)+MATCH($C22,EL_List,0)-1,0)
*INDEX(Learning!$E$6:$S$41,(MATCH(O$21,Dates,0)),(MATCH($C$21,Learning!$E$4:$S$4,0)+MATCH($C$22,Learning!$E$5:$S$5,0)-1)))</f>
        <v>0</v>
      </c>
      <c r="P30" s="531" cm="1">
        <f t="array" aca="1" ref="P30" ca="1">IF(P$21&lt;Standard_Year,'No STDs Case Rev &amp; Cost'!P30,
OFFSET(P30,-6,0)*
OFFSET(MSP!$G$1,
MATCH(OFFSET($C22,((MATCH($C22,EL_List,0)-1)*-10)-1,0),MSP!$C:$C,0)+MATCH($C22,EL_List,0)-1,0)
*INDEX(Learning!$E$6:$S$41,(MATCH(P$21,Dates,0)),(MATCH($C$21,Learning!$E$4:$S$4,0)+MATCH($C$22,Learning!$E$5:$S$5,0)-1)))</f>
        <v>0</v>
      </c>
      <c r="Q30" s="531" cm="1">
        <f t="array" aca="1" ref="Q30" ca="1">IF(Q$21&lt;Standard_Year,'No STDs Case Rev &amp; Cost'!Q30,
OFFSET(Q30,-6,0)*
OFFSET(MSP!$G$1,
MATCH(OFFSET($C22,((MATCH($C22,EL_List,0)-1)*-10)-1,0),MSP!$C:$C,0)+MATCH($C22,EL_List,0)-1,0)
*INDEX(Learning!$E$6:$S$41,(MATCH(Q$21,Dates,0)),(MATCH($C$21,Learning!$E$4:$S$4,0)+MATCH($C$22,Learning!$E$5:$S$5,0)-1)))</f>
        <v>0</v>
      </c>
      <c r="R30" s="531" cm="1">
        <f t="array" aca="1" ref="R30" ca="1">IF(R$21&lt;Standard_Year,'No STDs Case Rev &amp; Cost'!R30,
OFFSET(R30,-6,0)*
OFFSET(MSP!$G$1,
MATCH(OFFSET($C22,((MATCH($C22,EL_List,0)-1)*-10)-1,0),MSP!$C:$C,0)+MATCH($C22,EL_List,0)-1,0)
*INDEX(Learning!$E$6:$S$41,(MATCH(R$21,Dates,0)),(MATCH($C$21,Learning!$E$4:$S$4,0)+MATCH($C$22,Learning!$E$5:$S$5,0)-1)))</f>
        <v>0</v>
      </c>
      <c r="S30" s="531" cm="1">
        <f t="array" aca="1" ref="S30" ca="1">IF(S$21&lt;Standard_Year,'No STDs Case Rev &amp; Cost'!S30,
OFFSET(S30,-6,0)*
OFFSET(MSP!$G$1,
MATCH(OFFSET($C22,((MATCH($C22,EL_List,0)-1)*-10)-1,0),MSP!$C:$C,0)+MATCH($C22,EL_List,0)-1,0)
*INDEX(Learning!$E$6:$S$41,(MATCH(S$21,Dates,0)),(MATCH($C$21,Learning!$E$4:$S$4,0)+MATCH($C$22,Learning!$E$5:$S$5,0)-1)))</f>
        <v>0</v>
      </c>
      <c r="T30" s="531" cm="1">
        <f t="array" aca="1" ref="T30" ca="1">IF(T$21&lt;Standard_Year,'No STDs Case Rev &amp; Cost'!T30,
OFFSET(T30,-6,0)*
OFFSET(MSP!$G$1,
MATCH(OFFSET($C22,((MATCH($C22,EL_List,0)-1)*-10)-1,0),MSP!$C:$C,0)+MATCH($C22,EL_List,0)-1,0)
*INDEX(Learning!$E$6:$S$41,(MATCH(T$21,Dates,0)),(MATCH($C$21,Learning!$E$4:$S$4,0)+MATCH($C$22,Learning!$E$5:$S$5,0)-1)))</f>
        <v>0</v>
      </c>
      <c r="U30" s="531" cm="1">
        <f t="array" aca="1" ref="U30" ca="1">IF(U$21&lt;Standard_Year,'No STDs Case Rev &amp; Cost'!U30,
OFFSET(U30,-6,0)*
OFFSET(MSP!$G$1,
MATCH(OFFSET($C22,((MATCH($C22,EL_List,0)-1)*-10)-1,0),MSP!$C:$C,0)+MATCH($C22,EL_List,0)-1,0)
*INDEX(Learning!$E$6:$S$41,(MATCH(U$21,Dates,0)),(MATCH($C$21,Learning!$E$4:$S$4,0)+MATCH($C$22,Learning!$E$5:$S$5,0)-1)))</f>
        <v>0</v>
      </c>
      <c r="V30" s="531" cm="1">
        <f t="array" aca="1" ref="V30" ca="1">IF(V$21&lt;Standard_Year,'No STDs Case Rev &amp; Cost'!V30,
OFFSET(V30,-6,0)*
OFFSET(MSP!$G$1,
MATCH(OFFSET($C22,((MATCH($C22,EL_List,0)-1)*-10)-1,0),MSP!$C:$C,0)+MATCH($C22,EL_List,0)-1,0)
*INDEX(Learning!$E$6:$S$41,(MATCH(V$21,Dates,0)),(MATCH($C$21,Learning!$E$4:$S$4,0)+MATCH($C$22,Learning!$E$5:$S$5,0)-1)))</f>
        <v>0</v>
      </c>
      <c r="W30" s="531" cm="1">
        <f t="array" aca="1" ref="W30" ca="1">IF(W$21&lt;Standard_Year,'No STDs Case Rev &amp; Cost'!W30,
OFFSET(W30,-6,0)*
OFFSET(MSP!$G$1,
MATCH(OFFSET($C22,((MATCH($C22,EL_List,0)-1)*-10)-1,0),MSP!$C:$C,0)+MATCH($C22,EL_List,0)-1,0)
*INDEX(Learning!$E$6:$S$41,(MATCH(W$21,Dates,0)),(MATCH($C$21,Learning!$E$4:$S$4,0)+MATCH($C$22,Learning!$E$5:$S$5,0)-1)))</f>
        <v>0</v>
      </c>
      <c r="X30" s="531" cm="1">
        <f t="array" aca="1" ref="X30" ca="1">IF(X$21&lt;Standard_Year,'No STDs Case Rev &amp; Cost'!X30,
OFFSET(X30,-6,0)*
OFFSET(MSP!$G$1,
MATCH(OFFSET($C22,((MATCH($C22,EL_List,0)-1)*-10)-1,0),MSP!$C:$C,0)+MATCH($C22,EL_List,0)-1,0)
*INDEX(Learning!$E$6:$S$41,(MATCH(X$21,Dates,0)),(MATCH($C$21,Learning!$E$4:$S$4,0)+MATCH($C$22,Learning!$E$5:$S$5,0)-1)))</f>
        <v>0</v>
      </c>
      <c r="Y30" s="531" cm="1">
        <f t="array" aca="1" ref="Y30" ca="1">IF(Y$21&lt;Standard_Year,'No STDs Case Rev &amp; Cost'!Y30,
OFFSET(Y30,-6,0)*
OFFSET(MSP!$G$1,
MATCH(OFFSET($C22,((MATCH($C22,EL_List,0)-1)*-10)-1,0),MSP!$C:$C,0)+MATCH($C22,EL_List,0)-1,0)
*INDEX(Learning!$E$6:$S$41,(MATCH(Y$21,Dates,0)),(MATCH($C$21,Learning!$E$4:$S$4,0)+MATCH($C$22,Learning!$E$5:$S$5,0)-1)))</f>
        <v>0</v>
      </c>
      <c r="Z30" s="531" cm="1">
        <f t="array" aca="1" ref="Z30" ca="1">IF(Z$21&lt;Standard_Year,'No STDs Case Rev &amp; Cost'!Z30,
OFFSET(Z30,-6,0)*
OFFSET(MSP!$G$1,
MATCH(OFFSET($C22,((MATCH($C22,EL_List,0)-1)*-10)-1,0),MSP!$C:$C,0)+MATCH($C22,EL_List,0)-1,0)
*INDEX(Learning!$E$6:$S$41,(MATCH(Z$21,Dates,0)),(MATCH($C$21,Learning!$E$4:$S$4,0)+MATCH($C$22,Learning!$E$5:$S$5,0)-1)))</f>
        <v>0</v>
      </c>
      <c r="AA30" s="531" cm="1">
        <f t="array" aca="1" ref="AA30" ca="1">IF(AA$21&lt;Standard_Year,'No STDs Case Rev &amp; Cost'!AA30,
OFFSET(AA30,-6,0)*
OFFSET(MSP!$G$1,
MATCH(OFFSET($C22,((MATCH($C22,EL_List,0)-1)*-10)-1,0),MSP!$C:$C,0)+MATCH($C22,EL_List,0)-1,0)
*INDEX(Learning!$E$6:$S$41,(MATCH(AA$21,Dates,0)),(MATCH($C$21,Learning!$E$4:$S$4,0)+MATCH($C$22,Learning!$E$5:$S$5,0)-1)))</f>
        <v>0</v>
      </c>
      <c r="AB30" s="531" cm="1">
        <f t="array" aca="1" ref="AB30" ca="1">IF(AB$21&lt;Standard_Year,'No STDs Case Rev &amp; Cost'!AB30,
OFFSET(AB30,-6,0)*
OFFSET(MSP!$G$1,
MATCH(OFFSET($C22,((MATCH($C22,EL_List,0)-1)*-10)-1,0),MSP!$C:$C,0)+MATCH($C22,EL_List,0)-1,0)
*INDEX(Learning!$E$6:$S$41,(MATCH(AB$21,Dates,0)),(MATCH($C$21,Learning!$E$4:$S$4,0)+MATCH($C$22,Learning!$E$5:$S$5,0)-1)))</f>
        <v>0</v>
      </c>
      <c r="AC30" s="531" cm="1">
        <f t="array" aca="1" ref="AC30" ca="1">IF(AC$21&lt;Standard_Year,'No STDs Case Rev &amp; Cost'!AC30,
OFFSET(AC30,-6,0)*
OFFSET(MSP!$G$1,
MATCH(OFFSET($C22,((MATCH($C22,EL_List,0)-1)*-10)-1,0),MSP!$C:$C,0)+MATCH($C22,EL_List,0)-1,0)
*INDEX(Learning!$E$6:$S$41,(MATCH(AC$21,Dates,0)),(MATCH($C$21,Learning!$E$4:$S$4,0)+MATCH($C$22,Learning!$E$5:$S$5,0)-1)))</f>
        <v>0</v>
      </c>
      <c r="AD30" s="531" cm="1">
        <f t="array" aca="1" ref="AD30" ca="1">IF(AD$21&lt;Standard_Year,'No STDs Case Rev &amp; Cost'!AD30,
OFFSET(AD30,-6,0)*
OFFSET(MSP!$G$1,
MATCH(OFFSET($C22,((MATCH($C22,EL_List,0)-1)*-10)-1,0),MSP!$C:$C,0)+MATCH($C22,EL_List,0)-1,0)
*INDEX(Learning!$E$6:$S$41,(MATCH(AD$21,Dates,0)),(MATCH($C$21,Learning!$E$4:$S$4,0)+MATCH($C$22,Learning!$E$5:$S$5,0)-1)))</f>
        <v>0</v>
      </c>
      <c r="AE30" s="531" cm="1">
        <f t="array" aca="1" ref="AE30" ca="1">IF(AE$21&lt;Standard_Year,'No STDs Case Rev &amp; Cost'!AE30,
OFFSET(AE30,-6,0)*
OFFSET(MSP!$G$1,
MATCH(OFFSET($C22,((MATCH($C22,EL_List,0)-1)*-10)-1,0),MSP!$C:$C,0)+MATCH($C22,EL_List,0)-1,0)
*INDEX(Learning!$E$6:$S$41,(MATCH(AE$21,Dates,0)),(MATCH($C$21,Learning!$E$4:$S$4,0)+MATCH($C$22,Learning!$E$5:$S$5,0)-1)))</f>
        <v>0</v>
      </c>
      <c r="AF30" s="531" cm="1">
        <f t="array" aca="1" ref="AF30" ca="1">IF(AF$21&lt;Standard_Year,'No STDs Case Rev &amp; Cost'!AF30,
OFFSET(AF30,-6,0)*
OFFSET(MSP!$G$1,
MATCH(OFFSET($C22,((MATCH($C22,EL_List,0)-1)*-10)-1,0),MSP!$C:$C,0)+MATCH($C22,EL_List,0)-1,0)
*INDEX(Learning!$E$6:$S$41,(MATCH(AF$21,Dates,0)),(MATCH($C$21,Learning!$E$4:$S$4,0)+MATCH($C$22,Learning!$E$5:$S$5,0)-1)))</f>
        <v>0</v>
      </c>
      <c r="AG30" s="531" cm="1">
        <f t="array" aca="1" ref="AG30" ca="1">IF(AG$21&lt;Standard_Year,'No STDs Case Rev &amp; Cost'!AG30,
OFFSET(AG30,-6,0)*
OFFSET(MSP!$G$1,
MATCH(OFFSET($C22,((MATCH($C22,EL_List,0)-1)*-10)-1,0),MSP!$C:$C,0)+MATCH($C22,EL_List,0)-1,0)
*INDEX(Learning!$E$6:$S$41,(MATCH(AG$21,Dates,0)),(MATCH($C$21,Learning!$E$4:$S$4,0)+MATCH($C$22,Learning!$E$5:$S$5,0)-1)))</f>
        <v>0</v>
      </c>
      <c r="AH30" s="531" cm="1">
        <f t="array" aca="1" ref="AH30" ca="1">IF(AH$21&lt;Standard_Year,'No STDs Case Rev &amp; Cost'!AH30,
OFFSET(AH30,-6,0)*
OFFSET(MSP!$G$1,
MATCH(OFFSET($C22,((MATCH($C22,EL_List,0)-1)*-10)-1,0),MSP!$C:$C,0)+MATCH($C22,EL_List,0)-1,0)
*INDEX(Learning!$E$6:$S$41,(MATCH(AH$21,Dates,0)),(MATCH($C$21,Learning!$E$4:$S$4,0)+MATCH($C$22,Learning!$E$5:$S$5,0)-1)))</f>
        <v>0</v>
      </c>
      <c r="AI30" s="531" cm="1">
        <f t="array" aca="1" ref="AI30" ca="1">IF(AI$21&lt;Standard_Year,'No STDs Case Rev &amp; Cost'!AI30,
OFFSET(AI30,-6,0)*
OFFSET(MSP!$G$1,
MATCH(OFFSET($C22,((MATCH($C22,EL_List,0)-1)*-10)-1,0),MSP!$C:$C,0)+MATCH($C22,EL_List,0)-1,0)
*INDEX(Learning!$E$6:$S$41,(MATCH(AI$21,Dates,0)),(MATCH($C$21,Learning!$E$4:$S$4,0)+MATCH($C$22,Learning!$E$5:$S$5,0)-1)))</f>
        <v>0</v>
      </c>
      <c r="AJ30" s="531" cm="1">
        <f t="array" aca="1" ref="AJ30" ca="1">IF(AJ$21&lt;Standard_Year,'No STDs Case Rev &amp; Cost'!AJ30,
OFFSET(AJ30,-6,0)*
OFFSET(MSP!$G$1,
MATCH(OFFSET($C22,((MATCH($C22,EL_List,0)-1)*-10)-1,0),MSP!$C:$C,0)+MATCH($C22,EL_List,0)-1,0)
*INDEX(Learning!$E$6:$S$41,(MATCH(AJ$21,Dates,0)),(MATCH($C$21,Learning!$E$4:$S$4,0)+MATCH($C$22,Learning!$E$5:$S$5,0)-1)))</f>
        <v>0</v>
      </c>
      <c r="AK30" s="531" cm="1">
        <f t="array" aca="1" ref="AK30" ca="1">IF(AK$21&lt;Standard_Year,'No STDs Case Rev &amp; Cost'!AK30,
OFFSET(AK30,-6,0)*
OFFSET(MSP!$G$1,
MATCH(OFFSET($C22,((MATCH($C22,EL_List,0)-1)*-10)-1,0),MSP!$C:$C,0)+MATCH($C22,EL_List,0)-1,0)
*INDEX(Learning!$E$6:$S$41,(MATCH(AK$21,Dates,0)),(MATCH($C$21,Learning!$E$4:$S$4,0)+MATCH($C$22,Learning!$E$5:$S$5,0)-1)))</f>
        <v>0</v>
      </c>
      <c r="AL30" s="531" cm="1">
        <f t="array" aca="1" ref="AL30" ca="1">IF(AL$21&lt;Standard_Year,'No STDs Case Rev &amp; Cost'!AL30,
OFFSET(AL30,-6,0)*
OFFSET(MSP!$G$1,
MATCH(OFFSET($C22,((MATCH($C22,EL_List,0)-1)*-10)-1,0),MSP!$C:$C,0)+MATCH($C22,EL_List,0)-1,0)
*INDEX(Learning!$E$6:$S$41,(MATCH(AL$21,Dates,0)),(MATCH($C$21,Learning!$E$4:$S$4,0)+MATCH($C$22,Learning!$E$5:$S$5,0)-1)))</f>
        <v>0</v>
      </c>
      <c r="AM30" s="531" cm="1">
        <f t="array" aca="1" ref="AM30" ca="1">IF(AM$21&lt;Standard_Year,'No STDs Case Rev &amp; Cost'!AM30,
OFFSET(AM30,-6,0)*
OFFSET(MSP!$G$1,
MATCH(OFFSET($C22,((MATCH($C22,EL_List,0)-1)*-10)-1,0),MSP!$C:$C,0)+MATCH($C22,EL_List,0)-1,0)
*INDEX(Learning!$E$6:$S$41,(MATCH(AM$21,Dates,0)),(MATCH($C$21,Learning!$E$4:$S$4,0)+MATCH($C$22,Learning!$E$5:$S$5,0)-1)))</f>
        <v>0</v>
      </c>
      <c r="AN30" s="531" cm="1">
        <f t="array" aca="1" ref="AN30" ca="1">IF(AN$21&lt;Standard_Year,'No STDs Case Rev &amp; Cost'!AN30,
OFFSET(AN30,-6,0)*
OFFSET(MSP!$G$1,
MATCH(OFFSET($C22,((MATCH($C22,EL_List,0)-1)*-10)-1,0),MSP!$C:$C,0)+MATCH($C22,EL_List,0)-1,0)
*INDEX(Learning!$E$6:$S$41,(MATCH(AN$21,Dates,0)),(MATCH($C$21,Learning!$E$4:$S$4,0)+MATCH($C$22,Learning!$E$5:$S$5,0)-1)))</f>
        <v>0</v>
      </c>
      <c r="AO30" s="436"/>
      <c r="AP30" s="21"/>
    </row>
    <row r="31" spans="2:42" ht="15" customHeight="1" x14ac:dyDescent="0.35">
      <c r="B31" s="429"/>
      <c r="C31" s="776"/>
      <c r="D31" s="776"/>
      <c r="E31" s="776"/>
      <c r="F31" s="776"/>
      <c r="G31" s="776"/>
      <c r="H31" s="776"/>
      <c r="I31" s="776"/>
      <c r="J31" s="776"/>
      <c r="K31" s="776"/>
      <c r="L31" s="776"/>
      <c r="M31" s="776"/>
      <c r="N31" s="776"/>
      <c r="O31" s="776"/>
      <c r="P31" s="776"/>
      <c r="Q31" s="776"/>
      <c r="R31" s="776"/>
      <c r="S31" s="776"/>
      <c r="T31" s="776"/>
      <c r="U31" s="776"/>
      <c r="V31" s="776"/>
      <c r="W31" s="776"/>
      <c r="X31" s="776"/>
      <c r="Y31" s="776"/>
      <c r="Z31" s="776"/>
      <c r="AA31" s="776"/>
      <c r="AB31" s="776"/>
      <c r="AC31" s="776"/>
      <c r="AD31" s="776"/>
      <c r="AE31" s="776"/>
      <c r="AF31" s="776"/>
      <c r="AG31" s="776"/>
      <c r="AH31" s="776"/>
      <c r="AI31" s="776"/>
      <c r="AJ31" s="776"/>
      <c r="AK31" s="776"/>
      <c r="AL31" s="776"/>
      <c r="AM31" s="776"/>
      <c r="AN31" s="776"/>
      <c r="AO31" s="436"/>
      <c r="AP31" s="21"/>
    </row>
    <row r="32" spans="2:42" ht="15" customHeight="1" x14ac:dyDescent="0.35">
      <c r="B32" s="429"/>
      <c r="C32" s="772" t="s">
        <v>86</v>
      </c>
      <c r="D32" s="776"/>
      <c r="E32" s="776"/>
      <c r="F32" s="776"/>
      <c r="G32" s="776"/>
      <c r="H32" s="776"/>
      <c r="I32" s="776"/>
      <c r="J32" s="776"/>
      <c r="K32" s="776"/>
      <c r="L32" s="776"/>
      <c r="M32" s="776"/>
      <c r="N32" s="776"/>
      <c r="O32" s="776"/>
      <c r="P32" s="776"/>
      <c r="Q32" s="776"/>
      <c r="R32" s="776"/>
      <c r="S32" s="776"/>
      <c r="T32" s="776"/>
      <c r="U32" s="776"/>
      <c r="V32" s="776"/>
      <c r="W32" s="776"/>
      <c r="X32" s="776"/>
      <c r="Y32" s="776"/>
      <c r="Z32" s="776"/>
      <c r="AA32" s="776"/>
      <c r="AB32" s="776"/>
      <c r="AC32" s="776"/>
      <c r="AD32" s="776"/>
      <c r="AE32" s="776"/>
      <c r="AF32" s="776"/>
      <c r="AG32" s="776"/>
      <c r="AH32" s="776"/>
      <c r="AI32" s="776"/>
      <c r="AJ32" s="776"/>
      <c r="AK32" s="776"/>
      <c r="AL32" s="776"/>
      <c r="AM32" s="776"/>
      <c r="AN32" s="776"/>
      <c r="AO32" s="436"/>
      <c r="AP32" s="21"/>
    </row>
    <row r="33" spans="2:42" ht="15" customHeight="1" x14ac:dyDescent="0.35">
      <c r="B33" s="429"/>
      <c r="C33" s="777" t="s">
        <v>10</v>
      </c>
      <c r="D33" s="776"/>
      <c r="E33" s="778" cm="1">
        <f t="array" aca="1" ref="E33" ca="1">IF(E$21&lt;Standard_Year,'No STDs Case Rev &amp; Cost'!E33,
OFFSET(MSP!$C$1,
MATCH(OFFSET($C32,((MATCH($C32,EL_List,0)-1)*-10)-1,0),MSP!$C:$C,0)+MATCH($C32,EL_List,0)-1,
MATCH(OFFSET($C32,((MATCH($C32,EL_List,0)-1)*-10)-3,0),MSP!$D$5:$N$5,0)+1)
*INDEX(Learning!$E$6:$S$41,(MATCH(E$21,Dates,0)),(MATCH($C$21,Learning!$E$4:$S$4,0)+MATCH($C$32,Learning!$E$5:$S$5,0)-1)))</f>
        <v>48.820049999999995</v>
      </c>
      <c r="F33" s="778" cm="1">
        <f t="array" aca="1" ref="F33" ca="1">IF(F$21&lt;Standard_Year,'No STDs Case Rev &amp; Cost'!F33,
OFFSET(MSP!$C$1,
MATCH(OFFSET($C32,((MATCH($C32,EL_List,0)-1)*-10)-1,0),MSP!$C:$C,0)+MATCH($C32,EL_List,0)-1,
MATCH(OFFSET($C32,((MATCH($C32,EL_List,0)-1)*-10)-3,0),MSP!$D$5:$N$5,0)+1)
*INDEX(Learning!$E$6:$S$41,(MATCH(F$21,Dates,0)),(MATCH($C$21,Learning!$E$4:$S$4,0)+MATCH($C$32,Learning!$E$5:$S$5,0)-1)))</f>
        <v>48.445949999999996</v>
      </c>
      <c r="G33" s="778" cm="1">
        <f t="array" aca="1" ref="G33" ca="1">IF(G$21&lt;Standard_Year,'No STDs Case Rev &amp; Cost'!G33,
OFFSET(MSP!$C$1,
MATCH(OFFSET($C32,((MATCH($C32,EL_List,0)-1)*-10)-1,0),MSP!$C:$C,0)+MATCH($C32,EL_List,0)-1,
MATCH(OFFSET($C32,((MATCH($C32,EL_List,0)-1)*-10)-3,0),MSP!$D$5:$N$5,0)+1)
*INDEX(Learning!$E$6:$S$41,(MATCH(G$21,Dates,0)),(MATCH($C$21,Learning!$E$4:$S$4,0)+MATCH($C$32,Learning!$E$5:$S$5,0)-1)))</f>
        <v>48.071849999999998</v>
      </c>
      <c r="H33" s="778" cm="1">
        <f t="array" aca="1" ref="H33" ca="1">IF(H$21&lt;Standard_Year,'No STDs Case Rev &amp; Cost'!H33,
OFFSET(MSP!$C$1,
MATCH(OFFSET($C32,((MATCH($C32,EL_List,0)-1)*-10)-1,0),MSP!$C:$C,0)+MATCH($C32,EL_List,0)-1,
MATCH(OFFSET($C32,((MATCH($C32,EL_List,0)-1)*-10)-3,0),MSP!$D$5:$N$5,0)+1)
*INDEX(Learning!$E$6:$S$41,(MATCH(H$21,Dates,0)),(MATCH($C$21,Learning!$E$4:$S$4,0)+MATCH($C$32,Learning!$E$5:$S$5,0)-1)))</f>
        <v>47.744512499999992</v>
      </c>
      <c r="I33" s="778" cm="1">
        <f t="array" aca="1" ref="I33" ca="1">IF(I$21&lt;Standard_Year,'No STDs Case Rev &amp; Cost'!I33,
OFFSET(MSP!$C$1,
MATCH(OFFSET($C32,((MATCH($C32,EL_List,0)-1)*-10)-1,0),MSP!$C:$C,0)+MATCH($C32,EL_List,0)-1,
MATCH(OFFSET($C32,((MATCH($C32,EL_List,0)-1)*-10)-3,0),MSP!$D$5:$N$5,0)+1)
*INDEX(Learning!$E$6:$S$41,(MATCH(I$21,Dates,0)),(MATCH($C$21,Learning!$E$4:$S$4,0)+MATCH($C$32,Learning!$E$5:$S$5,0)-1)))</f>
        <v>0</v>
      </c>
      <c r="J33" s="778" cm="1">
        <f t="array" aca="1" ref="J33" ca="1">IF(J$21&lt;Standard_Year,'No STDs Case Rev &amp; Cost'!J33,
OFFSET(MSP!$C$1,
MATCH(OFFSET($C32,((MATCH($C32,EL_List,0)-1)*-10)-1,0),MSP!$C:$C,0)+MATCH($C32,EL_List,0)-1,
MATCH(OFFSET($C32,((MATCH($C32,EL_List,0)-1)*-10)-3,0),MSP!$D$5:$N$5,0)+1)
*INDEX(Learning!$E$6:$S$41,(MATCH(J$21,Dates,0)),(MATCH($C$21,Learning!$E$4:$S$4,0)+MATCH($C$32,Learning!$E$5:$S$5,0)-1)))</f>
        <v>0</v>
      </c>
      <c r="K33" s="778" cm="1">
        <f t="array" aca="1" ref="K33" ca="1">IF(K$21&lt;Standard_Year,'No STDs Case Rev &amp; Cost'!K33,
OFFSET(MSP!$C$1,
MATCH(OFFSET($C32,((MATCH($C32,EL_List,0)-1)*-10)-1,0),MSP!$C:$C,0)+MATCH($C32,EL_List,0)-1,
MATCH(OFFSET($C32,((MATCH($C32,EL_List,0)-1)*-10)-3,0),MSP!$D$5:$N$5,0)+1)
*INDEX(Learning!$E$6:$S$41,(MATCH(K$21,Dates,0)),(MATCH($C$21,Learning!$E$4:$S$4,0)+MATCH($C$32,Learning!$E$5:$S$5,0)-1)))</f>
        <v>0</v>
      </c>
      <c r="L33" s="778" cm="1">
        <f t="array" aca="1" ref="L33" ca="1">IF(L$21&lt;Standard_Year,'No STDs Case Rev &amp; Cost'!L33,
OFFSET(MSP!$C$1,
MATCH(OFFSET($C32,((MATCH($C32,EL_List,0)-1)*-10)-1,0),MSP!$C:$C,0)+MATCH($C32,EL_List,0)-1,
MATCH(OFFSET($C32,((MATCH($C32,EL_List,0)-1)*-10)-3,0),MSP!$D$5:$N$5,0)+1)
*INDEX(Learning!$E$6:$S$41,(MATCH(L$21,Dates,0)),(MATCH($C$21,Learning!$E$4:$S$4,0)+MATCH($C$32,Learning!$E$5:$S$5,0)-1)))</f>
        <v>0</v>
      </c>
      <c r="M33" s="778" cm="1">
        <f t="array" aca="1" ref="M33" ca="1">IF(M$21&lt;Standard_Year,'No STDs Case Rev &amp; Cost'!M33,
OFFSET(MSP!$C$1,
MATCH(OFFSET($C32,((MATCH($C32,EL_List,0)-1)*-10)-1,0),MSP!$C:$C,0)+MATCH($C32,EL_List,0)-1,
MATCH(OFFSET($C32,((MATCH($C32,EL_List,0)-1)*-10)-3,0),MSP!$D$5:$N$5,0)+1)
*INDEX(Learning!$E$6:$S$41,(MATCH(M$21,Dates,0)),(MATCH($C$21,Learning!$E$4:$S$4,0)+MATCH($C$32,Learning!$E$5:$S$5,0)-1)))</f>
        <v>0</v>
      </c>
      <c r="N33" s="778" cm="1">
        <f t="array" aca="1" ref="N33" ca="1">IF(N$21&lt;Standard_Year,'No STDs Case Rev &amp; Cost'!N33,
OFFSET(MSP!$C$1,
MATCH(OFFSET($C32,((MATCH($C32,EL_List,0)-1)*-10)-1,0),MSP!$C:$C,0)+MATCH($C32,EL_List,0)-1,
MATCH(OFFSET($C32,((MATCH($C32,EL_List,0)-1)*-10)-3,0),MSP!$D$5:$N$5,0)+1)
*INDEX(Learning!$E$6:$S$41,(MATCH(N$21,Dates,0)),(MATCH($C$21,Learning!$E$4:$S$4,0)+MATCH($C$32,Learning!$E$5:$S$5,0)-1)))</f>
        <v>0</v>
      </c>
      <c r="O33" s="778" cm="1">
        <f t="array" aca="1" ref="O33" ca="1">IF(O$21&lt;Standard_Year,'No STDs Case Rev &amp; Cost'!O33,
OFFSET(MSP!$C$1,
MATCH(OFFSET($C32,((MATCH($C32,EL_List,0)-1)*-10)-1,0),MSP!$C:$C,0)+MATCH($C32,EL_List,0)-1,
MATCH(OFFSET($C32,((MATCH($C32,EL_List,0)-1)*-10)-3,0),MSP!$D$5:$N$5,0)+1)
*INDEX(Learning!$E$6:$S$41,(MATCH(O$21,Dates,0)),(MATCH($C$21,Learning!$E$4:$S$4,0)+MATCH($C$32,Learning!$E$5:$S$5,0)-1)))</f>
        <v>0</v>
      </c>
      <c r="P33" s="778" cm="1">
        <f t="array" aca="1" ref="P33" ca="1">IF(P$21&lt;Standard_Year,'No STDs Case Rev &amp; Cost'!P33,
OFFSET(MSP!$C$1,
MATCH(OFFSET($C32,((MATCH($C32,EL_List,0)-1)*-10)-1,0),MSP!$C:$C,0)+MATCH($C32,EL_List,0)-1,
MATCH(OFFSET($C32,((MATCH($C32,EL_List,0)-1)*-10)-3,0),MSP!$D$5:$N$5,0)+1)
*INDEX(Learning!$E$6:$S$41,(MATCH(P$21,Dates,0)),(MATCH($C$21,Learning!$E$4:$S$4,0)+MATCH($C$32,Learning!$E$5:$S$5,0)-1)))</f>
        <v>0</v>
      </c>
      <c r="Q33" s="778" cm="1">
        <f t="array" aca="1" ref="Q33" ca="1">IF(Q$21&lt;Standard_Year,'No STDs Case Rev &amp; Cost'!Q33,
OFFSET(MSP!$C$1,
MATCH(OFFSET($C32,((MATCH($C32,EL_List,0)-1)*-10)-1,0),MSP!$C:$C,0)+MATCH($C32,EL_List,0)-1,
MATCH(OFFSET($C32,((MATCH($C32,EL_List,0)-1)*-10)-3,0),MSP!$D$5:$N$5,0)+1)
*INDEX(Learning!$E$6:$S$41,(MATCH(Q$21,Dates,0)),(MATCH($C$21,Learning!$E$4:$S$4,0)+MATCH($C$32,Learning!$E$5:$S$5,0)-1)))</f>
        <v>0</v>
      </c>
      <c r="R33" s="778" cm="1">
        <f t="array" aca="1" ref="R33" ca="1">IF(R$21&lt;Standard_Year,'No STDs Case Rev &amp; Cost'!R33,
OFFSET(MSP!$C$1,
MATCH(OFFSET($C32,((MATCH($C32,EL_List,0)-1)*-10)-1,0),MSP!$C:$C,0)+MATCH($C32,EL_List,0)-1,
MATCH(OFFSET($C32,((MATCH($C32,EL_List,0)-1)*-10)-3,0),MSP!$D$5:$N$5,0)+1)
*INDEX(Learning!$E$6:$S$41,(MATCH(R$21,Dates,0)),(MATCH($C$21,Learning!$E$4:$S$4,0)+MATCH($C$32,Learning!$E$5:$S$5,0)-1)))</f>
        <v>0</v>
      </c>
      <c r="S33" s="778" cm="1">
        <f t="array" aca="1" ref="S33" ca="1">IF(S$21&lt;Standard_Year,'No STDs Case Rev &amp; Cost'!S33,
OFFSET(MSP!$C$1,
MATCH(OFFSET($C32,((MATCH($C32,EL_List,0)-1)*-10)-1,0),MSP!$C:$C,0)+MATCH($C32,EL_List,0)-1,
MATCH(OFFSET($C32,((MATCH($C32,EL_List,0)-1)*-10)-3,0),MSP!$D$5:$N$5,0)+1)
*INDEX(Learning!$E$6:$S$41,(MATCH(S$21,Dates,0)),(MATCH($C$21,Learning!$E$4:$S$4,0)+MATCH($C$32,Learning!$E$5:$S$5,0)-1)))</f>
        <v>0</v>
      </c>
      <c r="T33" s="778" cm="1">
        <f t="array" aca="1" ref="T33" ca="1">IF(T$21&lt;Standard_Year,'No STDs Case Rev &amp; Cost'!T33,
OFFSET(MSP!$C$1,
MATCH(OFFSET($C32,((MATCH($C32,EL_List,0)-1)*-10)-1,0),MSP!$C:$C,0)+MATCH($C32,EL_List,0)-1,
MATCH(OFFSET($C32,((MATCH($C32,EL_List,0)-1)*-10)-3,0),MSP!$D$5:$N$5,0)+1)
*INDEX(Learning!$E$6:$S$41,(MATCH(T$21,Dates,0)),(MATCH($C$21,Learning!$E$4:$S$4,0)+MATCH($C$32,Learning!$E$5:$S$5,0)-1)))</f>
        <v>0</v>
      </c>
      <c r="U33" s="778" cm="1">
        <f t="array" aca="1" ref="U33" ca="1">IF(U$21&lt;Standard_Year,'No STDs Case Rev &amp; Cost'!U33,
OFFSET(MSP!$C$1,
MATCH(OFFSET($C32,((MATCH($C32,EL_List,0)-1)*-10)-1,0),MSP!$C:$C,0)+MATCH($C32,EL_List,0)-1,
MATCH(OFFSET($C32,((MATCH($C32,EL_List,0)-1)*-10)-3,0),MSP!$D$5:$N$5,0)+1)
*INDEX(Learning!$E$6:$S$41,(MATCH(U$21,Dates,0)),(MATCH($C$21,Learning!$E$4:$S$4,0)+MATCH($C$32,Learning!$E$5:$S$5,0)-1)))</f>
        <v>0</v>
      </c>
      <c r="V33" s="778" cm="1">
        <f t="array" aca="1" ref="V33" ca="1">IF(V$21&lt;Standard_Year,'No STDs Case Rev &amp; Cost'!V33,
OFFSET(MSP!$C$1,
MATCH(OFFSET($C32,((MATCH($C32,EL_List,0)-1)*-10)-1,0),MSP!$C:$C,0)+MATCH($C32,EL_List,0)-1,
MATCH(OFFSET($C32,((MATCH($C32,EL_List,0)-1)*-10)-3,0),MSP!$D$5:$N$5,0)+1)
*INDEX(Learning!$E$6:$S$41,(MATCH(V$21,Dates,0)),(MATCH($C$21,Learning!$E$4:$S$4,0)+MATCH($C$32,Learning!$E$5:$S$5,0)-1)))</f>
        <v>0</v>
      </c>
      <c r="W33" s="778" cm="1">
        <f t="array" aca="1" ref="W33" ca="1">IF(W$21&lt;Standard_Year,'No STDs Case Rev &amp; Cost'!W33,
OFFSET(MSP!$C$1,
MATCH(OFFSET($C32,((MATCH($C32,EL_List,0)-1)*-10)-1,0),MSP!$C:$C,0)+MATCH($C32,EL_List,0)-1,
MATCH(OFFSET($C32,((MATCH($C32,EL_List,0)-1)*-10)-3,0),MSP!$D$5:$N$5,0)+1)
*INDEX(Learning!$E$6:$S$41,(MATCH(W$21,Dates,0)),(MATCH($C$21,Learning!$E$4:$S$4,0)+MATCH($C$32,Learning!$E$5:$S$5,0)-1)))</f>
        <v>0</v>
      </c>
      <c r="X33" s="778" cm="1">
        <f t="array" aca="1" ref="X33" ca="1">IF(X$21&lt;Standard_Year,'No STDs Case Rev &amp; Cost'!X33,
OFFSET(MSP!$C$1,
MATCH(OFFSET($C32,((MATCH($C32,EL_List,0)-1)*-10)-1,0),MSP!$C:$C,0)+MATCH($C32,EL_List,0)-1,
MATCH(OFFSET($C32,((MATCH($C32,EL_List,0)-1)*-10)-3,0),MSP!$D$5:$N$5,0)+1)
*INDEX(Learning!$E$6:$S$41,(MATCH(X$21,Dates,0)),(MATCH($C$21,Learning!$E$4:$S$4,0)+MATCH($C$32,Learning!$E$5:$S$5,0)-1)))</f>
        <v>0</v>
      </c>
      <c r="Y33" s="778" cm="1">
        <f t="array" aca="1" ref="Y33" ca="1">IF(Y$21&lt;Standard_Year,'No STDs Case Rev &amp; Cost'!Y33,
OFFSET(MSP!$C$1,
MATCH(OFFSET($C32,((MATCH($C32,EL_List,0)-1)*-10)-1,0),MSP!$C:$C,0)+MATCH($C32,EL_List,0)-1,
MATCH(OFFSET($C32,((MATCH($C32,EL_List,0)-1)*-10)-3,0),MSP!$D$5:$N$5,0)+1)
*INDEX(Learning!$E$6:$S$41,(MATCH(Y$21,Dates,0)),(MATCH($C$21,Learning!$E$4:$S$4,0)+MATCH($C$32,Learning!$E$5:$S$5,0)-1)))</f>
        <v>0</v>
      </c>
      <c r="Z33" s="778" cm="1">
        <f t="array" aca="1" ref="Z33" ca="1">IF(Z$21&lt;Standard_Year,'No STDs Case Rev &amp; Cost'!Z33,
OFFSET(MSP!$C$1,
MATCH(OFFSET($C32,((MATCH($C32,EL_List,0)-1)*-10)-1,0),MSP!$C:$C,0)+MATCH($C32,EL_List,0)-1,
MATCH(OFFSET($C32,((MATCH($C32,EL_List,0)-1)*-10)-3,0),MSP!$D$5:$N$5,0)+1)
*INDEX(Learning!$E$6:$S$41,(MATCH(Z$21,Dates,0)),(MATCH($C$21,Learning!$E$4:$S$4,0)+MATCH($C$32,Learning!$E$5:$S$5,0)-1)))</f>
        <v>0</v>
      </c>
      <c r="AA33" s="778" cm="1">
        <f t="array" aca="1" ref="AA33" ca="1">IF(AA$21&lt;Standard_Year,'No STDs Case Rev &amp; Cost'!AA33,
OFFSET(MSP!$C$1,
MATCH(OFFSET($C32,((MATCH($C32,EL_List,0)-1)*-10)-1,0),MSP!$C:$C,0)+MATCH($C32,EL_List,0)-1,
MATCH(OFFSET($C32,((MATCH($C32,EL_List,0)-1)*-10)-3,0),MSP!$D$5:$N$5,0)+1)
*INDEX(Learning!$E$6:$S$41,(MATCH(AA$21,Dates,0)),(MATCH($C$21,Learning!$E$4:$S$4,0)+MATCH($C$32,Learning!$E$5:$S$5,0)-1)))</f>
        <v>0</v>
      </c>
      <c r="AB33" s="778" cm="1">
        <f t="array" aca="1" ref="AB33" ca="1">IF(AB$21&lt;Standard_Year,'No STDs Case Rev &amp; Cost'!AB33,
OFFSET(MSP!$C$1,
MATCH(OFFSET($C32,((MATCH($C32,EL_List,0)-1)*-10)-1,0),MSP!$C:$C,0)+MATCH($C32,EL_List,0)-1,
MATCH(OFFSET($C32,((MATCH($C32,EL_List,0)-1)*-10)-3,0),MSP!$D$5:$N$5,0)+1)
*INDEX(Learning!$E$6:$S$41,(MATCH(AB$21,Dates,0)),(MATCH($C$21,Learning!$E$4:$S$4,0)+MATCH($C$32,Learning!$E$5:$S$5,0)-1)))</f>
        <v>0</v>
      </c>
      <c r="AC33" s="778" cm="1">
        <f t="array" aca="1" ref="AC33" ca="1">IF(AC$21&lt;Standard_Year,'No STDs Case Rev &amp; Cost'!AC33,
OFFSET(MSP!$C$1,
MATCH(OFFSET($C32,((MATCH($C32,EL_List,0)-1)*-10)-1,0),MSP!$C:$C,0)+MATCH($C32,EL_List,0)-1,
MATCH(OFFSET($C32,((MATCH($C32,EL_List,0)-1)*-10)-3,0),MSP!$D$5:$N$5,0)+1)
*INDEX(Learning!$E$6:$S$41,(MATCH(AC$21,Dates,0)),(MATCH($C$21,Learning!$E$4:$S$4,0)+MATCH($C$32,Learning!$E$5:$S$5,0)-1)))</f>
        <v>0</v>
      </c>
      <c r="AD33" s="778" cm="1">
        <f t="array" aca="1" ref="AD33" ca="1">IF(AD$21&lt;Standard_Year,'No STDs Case Rev &amp; Cost'!AD33,
OFFSET(MSP!$C$1,
MATCH(OFFSET($C32,((MATCH($C32,EL_List,0)-1)*-10)-1,0),MSP!$C:$C,0)+MATCH($C32,EL_List,0)-1,
MATCH(OFFSET($C32,((MATCH($C32,EL_List,0)-1)*-10)-3,0),MSP!$D$5:$N$5,0)+1)
*INDEX(Learning!$E$6:$S$41,(MATCH(AD$21,Dates,0)),(MATCH($C$21,Learning!$E$4:$S$4,0)+MATCH($C$32,Learning!$E$5:$S$5,0)-1)))</f>
        <v>0</v>
      </c>
      <c r="AE33" s="778" cm="1">
        <f t="array" aca="1" ref="AE33" ca="1">IF(AE$21&lt;Standard_Year,'No STDs Case Rev &amp; Cost'!AE33,
OFFSET(MSP!$C$1,
MATCH(OFFSET($C32,((MATCH($C32,EL_List,0)-1)*-10)-1,0),MSP!$C:$C,0)+MATCH($C32,EL_List,0)-1,
MATCH(OFFSET($C32,((MATCH($C32,EL_List,0)-1)*-10)-3,0),MSP!$D$5:$N$5,0)+1)
*INDEX(Learning!$E$6:$S$41,(MATCH(AE$21,Dates,0)),(MATCH($C$21,Learning!$E$4:$S$4,0)+MATCH($C$32,Learning!$E$5:$S$5,0)-1)))</f>
        <v>0</v>
      </c>
      <c r="AF33" s="778" cm="1">
        <f t="array" aca="1" ref="AF33" ca="1">IF(AF$21&lt;Standard_Year,'No STDs Case Rev &amp; Cost'!AF33,
OFFSET(MSP!$C$1,
MATCH(OFFSET($C32,((MATCH($C32,EL_List,0)-1)*-10)-1,0),MSP!$C:$C,0)+MATCH($C32,EL_List,0)-1,
MATCH(OFFSET($C32,((MATCH($C32,EL_List,0)-1)*-10)-3,0),MSP!$D$5:$N$5,0)+1)
*INDEX(Learning!$E$6:$S$41,(MATCH(AF$21,Dates,0)),(MATCH($C$21,Learning!$E$4:$S$4,0)+MATCH($C$32,Learning!$E$5:$S$5,0)-1)))</f>
        <v>0</v>
      </c>
      <c r="AG33" s="778" cm="1">
        <f t="array" aca="1" ref="AG33" ca="1">IF(AG$21&lt;Standard_Year,'No STDs Case Rev &amp; Cost'!AG33,
OFFSET(MSP!$C$1,
MATCH(OFFSET($C32,((MATCH($C32,EL_List,0)-1)*-10)-1,0),MSP!$C:$C,0)+MATCH($C32,EL_List,0)-1,
MATCH(OFFSET($C32,((MATCH($C32,EL_List,0)-1)*-10)-3,0),MSP!$D$5:$N$5,0)+1)
*INDEX(Learning!$E$6:$S$41,(MATCH(AG$21,Dates,0)),(MATCH($C$21,Learning!$E$4:$S$4,0)+MATCH($C$32,Learning!$E$5:$S$5,0)-1)))</f>
        <v>0</v>
      </c>
      <c r="AH33" s="778" cm="1">
        <f t="array" aca="1" ref="AH33" ca="1">IF(AH$21&lt;Standard_Year,'No STDs Case Rev &amp; Cost'!AH33,
OFFSET(MSP!$C$1,
MATCH(OFFSET($C32,((MATCH($C32,EL_List,0)-1)*-10)-1,0),MSP!$C:$C,0)+MATCH($C32,EL_List,0)-1,
MATCH(OFFSET($C32,((MATCH($C32,EL_List,0)-1)*-10)-3,0),MSP!$D$5:$N$5,0)+1)
*INDEX(Learning!$E$6:$S$41,(MATCH(AH$21,Dates,0)),(MATCH($C$21,Learning!$E$4:$S$4,0)+MATCH($C$32,Learning!$E$5:$S$5,0)-1)))</f>
        <v>0</v>
      </c>
      <c r="AI33" s="778" cm="1">
        <f t="array" aca="1" ref="AI33" ca="1">IF(AI$21&lt;Standard_Year,'No STDs Case Rev &amp; Cost'!AI33,
OFFSET(MSP!$C$1,
MATCH(OFFSET($C32,((MATCH($C32,EL_List,0)-1)*-10)-1,0),MSP!$C:$C,0)+MATCH($C32,EL_List,0)-1,
MATCH(OFFSET($C32,((MATCH($C32,EL_List,0)-1)*-10)-3,0),MSP!$D$5:$N$5,0)+1)
*INDEX(Learning!$E$6:$S$41,(MATCH(AI$21,Dates,0)),(MATCH($C$21,Learning!$E$4:$S$4,0)+MATCH($C$32,Learning!$E$5:$S$5,0)-1)))</f>
        <v>0</v>
      </c>
      <c r="AJ33" s="778" cm="1">
        <f t="array" aca="1" ref="AJ33" ca="1">IF(AJ$21&lt;Standard_Year,'No STDs Case Rev &amp; Cost'!AJ33,
OFFSET(MSP!$C$1,
MATCH(OFFSET($C32,((MATCH($C32,EL_List,0)-1)*-10)-1,0),MSP!$C:$C,0)+MATCH($C32,EL_List,0)-1,
MATCH(OFFSET($C32,((MATCH($C32,EL_List,0)-1)*-10)-3,0),MSP!$D$5:$N$5,0)+1)
*INDEX(Learning!$E$6:$S$41,(MATCH(AJ$21,Dates,0)),(MATCH($C$21,Learning!$E$4:$S$4,0)+MATCH($C$32,Learning!$E$5:$S$5,0)-1)))</f>
        <v>0</v>
      </c>
      <c r="AK33" s="778" cm="1">
        <f t="array" aca="1" ref="AK33" ca="1">IF(AK$21&lt;Standard_Year,'No STDs Case Rev &amp; Cost'!AK33,
OFFSET(MSP!$C$1,
MATCH(OFFSET($C32,((MATCH($C32,EL_List,0)-1)*-10)-1,0),MSP!$C:$C,0)+MATCH($C32,EL_List,0)-1,
MATCH(OFFSET($C32,((MATCH($C32,EL_List,0)-1)*-10)-3,0),MSP!$D$5:$N$5,0)+1)
*INDEX(Learning!$E$6:$S$41,(MATCH(AK$21,Dates,0)),(MATCH($C$21,Learning!$E$4:$S$4,0)+MATCH($C$32,Learning!$E$5:$S$5,0)-1)))</f>
        <v>0</v>
      </c>
      <c r="AL33" s="778" cm="1">
        <f t="array" aca="1" ref="AL33" ca="1">IF(AL$21&lt;Standard_Year,'No STDs Case Rev &amp; Cost'!AL33,
OFFSET(MSP!$C$1,
MATCH(OFFSET($C32,((MATCH($C32,EL_List,0)-1)*-10)-1,0),MSP!$C:$C,0)+MATCH($C32,EL_List,0)-1,
MATCH(OFFSET($C32,((MATCH($C32,EL_List,0)-1)*-10)-3,0),MSP!$D$5:$N$5,0)+1)
*INDEX(Learning!$E$6:$S$41,(MATCH(AL$21,Dates,0)),(MATCH($C$21,Learning!$E$4:$S$4,0)+MATCH($C$32,Learning!$E$5:$S$5,0)-1)))</f>
        <v>0</v>
      </c>
      <c r="AM33" s="778" cm="1">
        <f t="array" aca="1" ref="AM33" ca="1">IF(AM$21&lt;Standard_Year,'No STDs Case Rev &amp; Cost'!AM33,
OFFSET(MSP!$C$1,
MATCH(OFFSET($C32,((MATCH($C32,EL_List,0)-1)*-10)-1,0),MSP!$C:$C,0)+MATCH($C32,EL_List,0)-1,
MATCH(OFFSET($C32,((MATCH($C32,EL_List,0)-1)*-10)-3,0),MSP!$D$5:$N$5,0)+1)
*INDEX(Learning!$E$6:$S$41,(MATCH(AM$21,Dates,0)),(MATCH($C$21,Learning!$E$4:$S$4,0)+MATCH($C$32,Learning!$E$5:$S$5,0)-1)))</f>
        <v>0</v>
      </c>
      <c r="AN33" s="778" cm="1">
        <f t="array" aca="1" ref="AN33" ca="1">IF(AN$21&lt;Standard_Year,'No STDs Case Rev &amp; Cost'!AN33,
OFFSET(MSP!$C$1,
MATCH(OFFSET($C32,((MATCH($C32,EL_List,0)-1)*-10)-1,0),MSP!$C:$C,0)+MATCH($C32,EL_List,0)-1,
MATCH(OFFSET($C32,((MATCH($C32,EL_List,0)-1)*-10)-3,0),MSP!$D$5:$N$5,0)+1)
*INDEX(Learning!$E$6:$S$41,(MATCH(AN$21,Dates,0)),(MATCH($C$21,Learning!$E$4:$S$4,0)+MATCH($C$32,Learning!$E$5:$S$5,0)-1)))</f>
        <v>0</v>
      </c>
      <c r="AO33" s="436"/>
      <c r="AP33" s="21"/>
    </row>
    <row r="34" spans="2:42" ht="15" customHeight="1" x14ac:dyDescent="0.35">
      <c r="B34" s="429"/>
      <c r="C34" s="777" t="s">
        <v>78</v>
      </c>
      <c r="D34" s="776"/>
      <c r="E34" s="530">
        <f ca="1">OFFSET(OFFSET(Shipments!$D$1,0,MATCH(E$7,Dates)),
MATCH(OFFSET($C32,((MATCH($C32,EL_List,0)-1)*-10)-3,0),Shipments!$C:$C,0)+
MATCH(OFFSET($C32,((MATCH($C32,EL_List,0)-1)*-10)-1,0),Shipments!$D:$D,0)+
MATCH($C32,EL_List,0)-10,
MATCH(Shipments_Scenario_X,Shipments!$F$5:$AQ$5,0))</f>
        <v>0.82820124730761657</v>
      </c>
      <c r="F34" s="530">
        <f ca="1">OFFSET(OFFSET(Shipments!$D$1,0,MATCH(F$7,Dates)),
MATCH(OFFSET($C32,((MATCH($C32,EL_List,0)-1)*-10)-3,0),Shipments!$C:$C,0)+
MATCH(OFFSET($C32,((MATCH($C32,EL_List,0)-1)*-10)-1,0),Shipments!$D:$D,0)+
MATCH($C32,EL_List,0)-10,
MATCH(Shipments_Scenario_X,Shipments!$F$5:$AQ$5,0))</f>
        <v>0.86523721031809697</v>
      </c>
      <c r="G34" s="530">
        <f ca="1">OFFSET(OFFSET(Shipments!$D$1,0,MATCH(G$7,Dates)),
MATCH(OFFSET($C32,((MATCH($C32,EL_List,0)-1)*-10)-3,0),Shipments!$C:$C,0)+
MATCH(OFFSET($C32,((MATCH($C32,EL_List,0)-1)*-10)-1,0),Shipments!$D:$D,0)+
MATCH($C32,EL_List,0)-10,
MATCH(Shipments_Scenario_X,Shipments!$F$5:$AQ$5,0))</f>
        <v>1.4901923497169436</v>
      </c>
      <c r="H34" s="530">
        <f ca="1">OFFSET(OFFSET(Shipments!$D$1,0,MATCH(H$7,Dates)),
MATCH(OFFSET($C32,((MATCH($C32,EL_List,0)-1)*-10)-3,0),Shipments!$C:$C,0)+
MATCH(OFFSET($C32,((MATCH($C32,EL_List,0)-1)*-10)-1,0),Shipments!$D:$D,0)+
MATCH($C32,EL_List,0)-10,
MATCH(Shipments_Scenario_X,Shipments!$F$5:$AQ$5,0))</f>
        <v>1.5619040984378065</v>
      </c>
      <c r="I34" s="530">
        <f ca="1">OFFSET(OFFSET(Shipments!$D$1,0,MATCH(I$7,Dates)),
MATCH(OFFSET($C32,((MATCH($C32,EL_List,0)-1)*-10)-3,0),Shipments!$C:$C,0)+
MATCH(OFFSET($C32,((MATCH($C32,EL_List,0)-1)*-10)-1,0),Shipments!$D:$D,0)+
MATCH($C32,EL_List,0)-10,
MATCH(Shipments_Scenario_X,Shipments!$F$5:$AQ$5,0))</f>
        <v>0</v>
      </c>
      <c r="J34" s="530">
        <f ca="1">OFFSET(OFFSET(Shipments!$D$1,0,MATCH(J$7,Dates)),
MATCH(OFFSET($C32,((MATCH($C32,EL_List,0)-1)*-10)-3,0),Shipments!$C:$C,0)+
MATCH(OFFSET($C32,((MATCH($C32,EL_List,0)-1)*-10)-1,0),Shipments!$D:$D,0)+
MATCH($C32,EL_List,0)-10,
MATCH(Shipments_Scenario_X,Shipments!$F$5:$AQ$5,0))</f>
        <v>0</v>
      </c>
      <c r="K34" s="530">
        <f ca="1">OFFSET(OFFSET(Shipments!$D$1,0,MATCH(K$7,Dates)),
MATCH(OFFSET($C32,((MATCH($C32,EL_List,0)-1)*-10)-3,0),Shipments!$C:$C,0)+
MATCH(OFFSET($C32,((MATCH($C32,EL_List,0)-1)*-10)-1,0),Shipments!$D:$D,0)+
MATCH($C32,EL_List,0)-10,
MATCH(Shipments_Scenario_X,Shipments!$F$5:$AQ$5,0))</f>
        <v>0</v>
      </c>
      <c r="L34" s="530">
        <f ca="1">OFFSET(OFFSET(Shipments!$D$1,0,MATCH(L$7,Dates)),
MATCH(OFFSET($C32,((MATCH($C32,EL_List,0)-1)*-10)-3,0),Shipments!$C:$C,0)+
MATCH(OFFSET($C32,((MATCH($C32,EL_List,0)-1)*-10)-1,0),Shipments!$D:$D,0)+
MATCH($C32,EL_List,0)-10,
MATCH(Shipments_Scenario_X,Shipments!$F$5:$AQ$5,0))</f>
        <v>0</v>
      </c>
      <c r="M34" s="530">
        <f ca="1">OFFSET(OFFSET(Shipments!$D$1,0,MATCH(M$7,Dates)),
MATCH(OFFSET($C32,((MATCH($C32,EL_List,0)-1)*-10)-3,0),Shipments!$C:$C,0)+
MATCH(OFFSET($C32,((MATCH($C32,EL_List,0)-1)*-10)-1,0),Shipments!$D:$D,0)+
MATCH($C32,EL_List,0)-10,
MATCH(Shipments_Scenario_X,Shipments!$F$5:$AQ$5,0))</f>
        <v>0</v>
      </c>
      <c r="N34" s="530">
        <f ca="1">OFFSET(OFFSET(Shipments!$D$1,0,MATCH(N$7,Dates)),
MATCH(OFFSET($C32,((MATCH($C32,EL_List,0)-1)*-10)-3,0),Shipments!$C:$C,0)+
MATCH(OFFSET($C32,((MATCH($C32,EL_List,0)-1)*-10)-1,0),Shipments!$D:$D,0)+
MATCH($C32,EL_List,0)-10,
MATCH(Shipments_Scenario_X,Shipments!$F$5:$AQ$5,0))</f>
        <v>0</v>
      </c>
      <c r="O34" s="530">
        <f ca="1">OFFSET(OFFSET(Shipments!$D$1,0,MATCH(O$7,Dates)),
MATCH(OFFSET($C32,((MATCH($C32,EL_List,0)-1)*-10)-3,0),Shipments!$C:$C,0)+
MATCH(OFFSET($C32,((MATCH($C32,EL_List,0)-1)*-10)-1,0),Shipments!$D:$D,0)+
MATCH($C32,EL_List,0)-10,
MATCH(Shipments_Scenario_X,Shipments!$F$5:$AQ$5,0))</f>
        <v>0</v>
      </c>
      <c r="P34" s="530">
        <f ca="1">OFFSET(OFFSET(Shipments!$D$1,0,MATCH(P$7,Dates)),
MATCH(OFFSET($C32,((MATCH($C32,EL_List,0)-1)*-10)-3,0),Shipments!$C:$C,0)+
MATCH(OFFSET($C32,((MATCH($C32,EL_List,0)-1)*-10)-1,0),Shipments!$D:$D,0)+
MATCH($C32,EL_List,0)-10,
MATCH(Shipments_Scenario_X,Shipments!$F$5:$AQ$5,0))</f>
        <v>0</v>
      </c>
      <c r="Q34" s="530">
        <f ca="1">OFFSET(OFFSET(Shipments!$D$1,0,MATCH(Q$7,Dates)),
MATCH(OFFSET($C32,((MATCH($C32,EL_List,0)-1)*-10)-3,0),Shipments!$C:$C,0)+
MATCH(OFFSET($C32,((MATCH($C32,EL_List,0)-1)*-10)-1,0),Shipments!$D:$D,0)+
MATCH($C32,EL_List,0)-10,
MATCH(Shipments_Scenario_X,Shipments!$F$5:$AQ$5,0))</f>
        <v>0</v>
      </c>
      <c r="R34" s="530">
        <f ca="1">OFFSET(OFFSET(Shipments!$D$1,0,MATCH(R$7,Dates)),
MATCH(OFFSET($C32,((MATCH($C32,EL_List,0)-1)*-10)-3,0),Shipments!$C:$C,0)+
MATCH(OFFSET($C32,((MATCH($C32,EL_List,0)-1)*-10)-1,0),Shipments!$D:$D,0)+
MATCH($C32,EL_List,0)-10,
MATCH(Shipments_Scenario_X,Shipments!$F$5:$AQ$5,0))</f>
        <v>0</v>
      </c>
      <c r="S34" s="530">
        <f ca="1">OFFSET(OFFSET(Shipments!$D$1,0,MATCH(S$7,Dates)),
MATCH(OFFSET($C32,((MATCH($C32,EL_List,0)-1)*-10)-3,0),Shipments!$C:$C,0)+
MATCH(OFFSET($C32,((MATCH($C32,EL_List,0)-1)*-10)-1,0),Shipments!$D:$D,0)+
MATCH($C32,EL_List,0)-10,
MATCH(Shipments_Scenario_X,Shipments!$F$5:$AQ$5,0))</f>
        <v>0</v>
      </c>
      <c r="T34" s="530">
        <f ca="1">OFFSET(OFFSET(Shipments!$D$1,0,MATCH(T$7,Dates)),
MATCH(OFFSET($C32,((MATCH($C32,EL_List,0)-1)*-10)-3,0),Shipments!$C:$C,0)+
MATCH(OFFSET($C32,((MATCH($C32,EL_List,0)-1)*-10)-1,0),Shipments!$D:$D,0)+
MATCH($C32,EL_List,0)-10,
MATCH(Shipments_Scenario_X,Shipments!$F$5:$AQ$5,0))</f>
        <v>0</v>
      </c>
      <c r="U34" s="530">
        <f ca="1">OFFSET(OFFSET(Shipments!$D$1,0,MATCH(U$7,Dates)),
MATCH(OFFSET($C32,((MATCH($C32,EL_List,0)-1)*-10)-3,0),Shipments!$C:$C,0)+
MATCH(OFFSET($C32,((MATCH($C32,EL_List,0)-1)*-10)-1,0),Shipments!$D:$D,0)+
MATCH($C32,EL_List,0)-10,
MATCH(Shipments_Scenario_X,Shipments!$F$5:$AQ$5,0))</f>
        <v>0</v>
      </c>
      <c r="V34" s="530">
        <f ca="1">OFFSET(OFFSET(Shipments!$D$1,0,MATCH(V$7,Dates)),
MATCH(OFFSET($C32,((MATCH($C32,EL_List,0)-1)*-10)-3,0),Shipments!$C:$C,0)+
MATCH(OFFSET($C32,((MATCH($C32,EL_List,0)-1)*-10)-1,0),Shipments!$D:$D,0)+
MATCH($C32,EL_List,0)-10,
MATCH(Shipments_Scenario_X,Shipments!$F$5:$AQ$5,0))</f>
        <v>0</v>
      </c>
      <c r="W34" s="530">
        <f ca="1">OFFSET(OFFSET(Shipments!$D$1,0,MATCH(W$7,Dates)),
MATCH(OFFSET($C32,((MATCH($C32,EL_List,0)-1)*-10)-3,0),Shipments!$C:$C,0)+
MATCH(OFFSET($C32,((MATCH($C32,EL_List,0)-1)*-10)-1,0),Shipments!$D:$D,0)+
MATCH($C32,EL_List,0)-10,
MATCH(Shipments_Scenario_X,Shipments!$F$5:$AQ$5,0))</f>
        <v>0</v>
      </c>
      <c r="X34" s="530">
        <f ca="1">OFFSET(OFFSET(Shipments!$D$1,0,MATCH(X$7,Dates)),
MATCH(OFFSET($C32,((MATCH($C32,EL_List,0)-1)*-10)-3,0),Shipments!$C:$C,0)+
MATCH(OFFSET($C32,((MATCH($C32,EL_List,0)-1)*-10)-1,0),Shipments!$D:$D,0)+
MATCH($C32,EL_List,0)-10,
MATCH(Shipments_Scenario_X,Shipments!$F$5:$AQ$5,0))</f>
        <v>0</v>
      </c>
      <c r="Y34" s="530">
        <f ca="1">OFFSET(OFFSET(Shipments!$D$1,0,MATCH(Y$7,Dates)),
MATCH(OFFSET($C32,((MATCH($C32,EL_List,0)-1)*-10)-3,0),Shipments!$C:$C,0)+
MATCH(OFFSET($C32,((MATCH($C32,EL_List,0)-1)*-10)-1,0),Shipments!$D:$D,0)+
MATCH($C32,EL_List,0)-10,
MATCH(Shipments_Scenario_X,Shipments!$F$5:$AQ$5,0))</f>
        <v>0</v>
      </c>
      <c r="Z34" s="530">
        <f ca="1">OFFSET(OFFSET(Shipments!$D$1,0,MATCH(Z$7,Dates)),
MATCH(OFFSET($C32,((MATCH($C32,EL_List,0)-1)*-10)-3,0),Shipments!$C:$C,0)+
MATCH(OFFSET($C32,((MATCH($C32,EL_List,0)-1)*-10)-1,0),Shipments!$D:$D,0)+
MATCH($C32,EL_List,0)-10,
MATCH(Shipments_Scenario_X,Shipments!$F$5:$AQ$5,0))</f>
        <v>0</v>
      </c>
      <c r="AA34" s="530">
        <f ca="1">OFFSET(OFFSET(Shipments!$D$1,0,MATCH(AA$7,Dates)),
MATCH(OFFSET($C32,((MATCH($C32,EL_List,0)-1)*-10)-3,0),Shipments!$C:$C,0)+
MATCH(OFFSET($C32,((MATCH($C32,EL_List,0)-1)*-10)-1,0),Shipments!$D:$D,0)+
MATCH($C32,EL_List,0)-10,
MATCH(Shipments_Scenario_X,Shipments!$F$5:$AQ$5,0))</f>
        <v>0</v>
      </c>
      <c r="AB34" s="530">
        <f ca="1">OFFSET(OFFSET(Shipments!$D$1,0,MATCH(AB$7,Dates)),
MATCH(OFFSET($C32,((MATCH($C32,EL_List,0)-1)*-10)-3,0),Shipments!$C:$C,0)+
MATCH(OFFSET($C32,((MATCH($C32,EL_List,0)-1)*-10)-1,0),Shipments!$D:$D,0)+
MATCH($C32,EL_List,0)-10,
MATCH(Shipments_Scenario_X,Shipments!$F$5:$AQ$5,0))</f>
        <v>0</v>
      </c>
      <c r="AC34" s="530">
        <f ca="1">OFFSET(OFFSET(Shipments!$D$1,0,MATCH(AC$7,Dates)),
MATCH(OFFSET($C32,((MATCH($C32,EL_List,0)-1)*-10)-3,0),Shipments!$C:$C,0)+
MATCH(OFFSET($C32,((MATCH($C32,EL_List,0)-1)*-10)-1,0),Shipments!$D:$D,0)+
MATCH($C32,EL_List,0)-10,
MATCH(Shipments_Scenario_X,Shipments!$F$5:$AQ$5,0))</f>
        <v>0</v>
      </c>
      <c r="AD34" s="530">
        <f ca="1">OFFSET(OFFSET(Shipments!$D$1,0,MATCH(AD$7,Dates)),
MATCH(OFFSET($C32,((MATCH($C32,EL_List,0)-1)*-10)-3,0),Shipments!$C:$C,0)+
MATCH(OFFSET($C32,((MATCH($C32,EL_List,0)-1)*-10)-1,0),Shipments!$D:$D,0)+
MATCH($C32,EL_List,0)-10,
MATCH(Shipments_Scenario_X,Shipments!$F$5:$AQ$5,0))</f>
        <v>0</v>
      </c>
      <c r="AE34" s="530">
        <f ca="1">OFFSET(OFFSET(Shipments!$D$1,0,MATCH(AE$7,Dates)),
MATCH(OFFSET($C32,((MATCH($C32,EL_List,0)-1)*-10)-3,0),Shipments!$C:$C,0)+
MATCH(OFFSET($C32,((MATCH($C32,EL_List,0)-1)*-10)-1,0),Shipments!$D:$D,0)+
MATCH($C32,EL_List,0)-10,
MATCH(Shipments_Scenario_X,Shipments!$F$5:$AQ$5,0))</f>
        <v>0</v>
      </c>
      <c r="AF34" s="530">
        <f ca="1">OFFSET(OFFSET(Shipments!$D$1,0,MATCH(AF$7,Dates)),
MATCH(OFFSET($C32,((MATCH($C32,EL_List,0)-1)*-10)-3,0),Shipments!$C:$C,0)+
MATCH(OFFSET($C32,((MATCH($C32,EL_List,0)-1)*-10)-1,0),Shipments!$D:$D,0)+
MATCH($C32,EL_List,0)-10,
MATCH(Shipments_Scenario_X,Shipments!$F$5:$AQ$5,0))</f>
        <v>0</v>
      </c>
      <c r="AG34" s="530">
        <f ca="1">OFFSET(OFFSET(Shipments!$D$1,0,MATCH(AG$7,Dates)),
MATCH(OFFSET($C32,((MATCH($C32,EL_List,0)-1)*-10)-3,0),Shipments!$C:$C,0)+
MATCH(OFFSET($C32,((MATCH($C32,EL_List,0)-1)*-10)-1,0),Shipments!$D:$D,0)+
MATCH($C32,EL_List,0)-10,
MATCH(Shipments_Scenario_X,Shipments!$F$5:$AQ$5,0))</f>
        <v>0</v>
      </c>
      <c r="AH34" s="530">
        <f ca="1">OFFSET(OFFSET(Shipments!$D$1,0,MATCH(AH$7,Dates)),
MATCH(OFFSET($C32,((MATCH($C32,EL_List,0)-1)*-10)-3,0),Shipments!$C:$C,0)+
MATCH(OFFSET($C32,((MATCH($C32,EL_List,0)-1)*-10)-1,0),Shipments!$D:$D,0)+
MATCH($C32,EL_List,0)-10,
MATCH(Shipments_Scenario_X,Shipments!$F$5:$AQ$5,0))</f>
        <v>0</v>
      </c>
      <c r="AI34" s="530">
        <f ca="1">OFFSET(OFFSET(Shipments!$D$1,0,MATCH(AI$7,Dates)),
MATCH(OFFSET($C32,((MATCH($C32,EL_List,0)-1)*-10)-3,0),Shipments!$C:$C,0)+
MATCH(OFFSET($C32,((MATCH($C32,EL_List,0)-1)*-10)-1,0),Shipments!$D:$D,0)+
MATCH($C32,EL_List,0)-10,
MATCH(Shipments_Scenario_X,Shipments!$F$5:$AQ$5,0))</f>
        <v>0</v>
      </c>
      <c r="AJ34" s="530">
        <f ca="1">OFFSET(OFFSET(Shipments!$D$1,0,MATCH(AJ$7,Dates)),
MATCH(OFFSET($C32,((MATCH($C32,EL_List,0)-1)*-10)-3,0),Shipments!$C:$C,0)+
MATCH(OFFSET($C32,((MATCH($C32,EL_List,0)-1)*-10)-1,0),Shipments!$D:$D,0)+
MATCH($C32,EL_List,0)-10,
MATCH(Shipments_Scenario_X,Shipments!$F$5:$AQ$5,0))</f>
        <v>0</v>
      </c>
      <c r="AK34" s="530">
        <f ca="1">OFFSET(OFFSET(Shipments!$D$1,0,MATCH(AK$7,Dates)),
MATCH(OFFSET($C32,((MATCH($C32,EL_List,0)-1)*-10)-3,0),Shipments!$C:$C,0)+
MATCH(OFFSET($C32,((MATCH($C32,EL_List,0)-1)*-10)-1,0),Shipments!$D:$D,0)+
MATCH($C32,EL_List,0)-10,
MATCH(Shipments_Scenario_X,Shipments!$F$5:$AQ$5,0))</f>
        <v>0</v>
      </c>
      <c r="AL34" s="530">
        <f ca="1">OFFSET(OFFSET(Shipments!$D$1,0,MATCH(AL$7,Dates)),
MATCH(OFFSET($C32,((MATCH($C32,EL_List,0)-1)*-10)-3,0),Shipments!$C:$C,0)+
MATCH(OFFSET($C32,((MATCH($C32,EL_List,0)-1)*-10)-1,0),Shipments!$D:$D,0)+
MATCH($C32,EL_List,0)-10,
MATCH(Shipments_Scenario_X,Shipments!$F$5:$AQ$5,0))</f>
        <v>0</v>
      </c>
      <c r="AM34" s="530">
        <f ca="1">OFFSET(OFFSET(Shipments!$D$1,0,MATCH(AM$7,Dates)),
MATCH(OFFSET($C32,((MATCH($C32,EL_List,0)-1)*-10)-3,0),Shipments!$C:$C,0)+
MATCH(OFFSET($C32,((MATCH($C32,EL_List,0)-1)*-10)-1,0),Shipments!$D:$D,0)+
MATCH($C32,EL_List,0)-10,
MATCH(Shipments_Scenario_X,Shipments!$F$5:$AQ$5,0))</f>
        <v>0</v>
      </c>
      <c r="AN34" s="530">
        <f ca="1">OFFSET(OFFSET(Shipments!$D$1,0,MATCH(AN$7,Dates)),
MATCH(OFFSET($C32,((MATCH($C32,EL_List,0)-1)*-10)-3,0),Shipments!$C:$C,0)+
MATCH(OFFSET($C32,((MATCH($C32,EL_List,0)-1)*-10)-1,0),Shipments!$D:$D,0)+
MATCH($C32,EL_List,0)-10,
MATCH(Shipments_Scenario_X,Shipments!$F$5:$AQ$5,0))</f>
        <v>0</v>
      </c>
      <c r="AO34" s="436"/>
      <c r="AP34" s="21"/>
    </row>
    <row r="35" spans="2:42" ht="15" customHeight="1" x14ac:dyDescent="0.35">
      <c r="B35" s="429"/>
      <c r="C35" s="777" t="s">
        <v>79</v>
      </c>
      <c r="D35" s="776"/>
      <c r="E35" s="531">
        <f t="shared" ref="E35:AN35" ca="1" si="11">E33*E34</f>
        <v>40.432826303620203</v>
      </c>
      <c r="F35" s="531">
        <f t="shared" ca="1" si="11"/>
        <v>41.917238629210004</v>
      </c>
      <c r="G35" s="531">
        <f t="shared" ca="1" si="11"/>
        <v>71.636303106740456</v>
      </c>
      <c r="H35" s="531">
        <f t="shared" ca="1" si="11"/>
        <v>74.572349751665072</v>
      </c>
      <c r="I35" s="531">
        <f t="shared" ca="1" si="11"/>
        <v>0</v>
      </c>
      <c r="J35" s="531">
        <f t="shared" ca="1" si="11"/>
        <v>0</v>
      </c>
      <c r="K35" s="531">
        <f t="shared" ca="1" si="11"/>
        <v>0</v>
      </c>
      <c r="L35" s="531">
        <f t="shared" ca="1" si="11"/>
        <v>0</v>
      </c>
      <c r="M35" s="531">
        <f t="shared" ca="1" si="11"/>
        <v>0</v>
      </c>
      <c r="N35" s="531">
        <f t="shared" ca="1" si="11"/>
        <v>0</v>
      </c>
      <c r="O35" s="531">
        <f t="shared" ca="1" si="11"/>
        <v>0</v>
      </c>
      <c r="P35" s="531">
        <f t="shared" ca="1" si="11"/>
        <v>0</v>
      </c>
      <c r="Q35" s="531">
        <f t="shared" ca="1" si="11"/>
        <v>0</v>
      </c>
      <c r="R35" s="531">
        <f t="shared" ca="1" si="11"/>
        <v>0</v>
      </c>
      <c r="S35" s="531">
        <f t="shared" ca="1" si="11"/>
        <v>0</v>
      </c>
      <c r="T35" s="531">
        <f t="shared" ca="1" si="11"/>
        <v>0</v>
      </c>
      <c r="U35" s="531">
        <f t="shared" ca="1" si="11"/>
        <v>0</v>
      </c>
      <c r="V35" s="531">
        <f t="shared" ca="1" si="11"/>
        <v>0</v>
      </c>
      <c r="W35" s="531">
        <f t="shared" ca="1" si="11"/>
        <v>0</v>
      </c>
      <c r="X35" s="531">
        <f t="shared" ca="1" si="11"/>
        <v>0</v>
      </c>
      <c r="Y35" s="531">
        <f t="shared" ca="1" si="11"/>
        <v>0</v>
      </c>
      <c r="Z35" s="531">
        <f t="shared" ca="1" si="11"/>
        <v>0</v>
      </c>
      <c r="AA35" s="531">
        <f t="shared" ca="1" si="11"/>
        <v>0</v>
      </c>
      <c r="AB35" s="531">
        <f t="shared" ca="1" si="11"/>
        <v>0</v>
      </c>
      <c r="AC35" s="531">
        <f t="shared" ca="1" si="11"/>
        <v>0</v>
      </c>
      <c r="AD35" s="531">
        <f t="shared" ca="1" si="11"/>
        <v>0</v>
      </c>
      <c r="AE35" s="531">
        <f t="shared" ca="1" si="11"/>
        <v>0</v>
      </c>
      <c r="AF35" s="531">
        <f t="shared" ca="1" si="11"/>
        <v>0</v>
      </c>
      <c r="AG35" s="531">
        <f t="shared" ca="1" si="11"/>
        <v>0</v>
      </c>
      <c r="AH35" s="531">
        <f t="shared" ca="1" si="11"/>
        <v>0</v>
      </c>
      <c r="AI35" s="531">
        <f t="shared" ca="1" si="11"/>
        <v>0</v>
      </c>
      <c r="AJ35" s="531">
        <f t="shared" ca="1" si="11"/>
        <v>0</v>
      </c>
      <c r="AK35" s="531">
        <f t="shared" ca="1" si="11"/>
        <v>0</v>
      </c>
      <c r="AL35" s="531">
        <f t="shared" ca="1" si="11"/>
        <v>0</v>
      </c>
      <c r="AM35" s="531">
        <f t="shared" ref="AM35" ca="1" si="12">AM33*AM34</f>
        <v>0</v>
      </c>
      <c r="AN35" s="531">
        <f t="shared" ca="1" si="11"/>
        <v>0</v>
      </c>
      <c r="AO35" s="436"/>
      <c r="AP35" s="21"/>
    </row>
    <row r="36" spans="2:42" ht="15" customHeight="1" x14ac:dyDescent="0.35">
      <c r="B36" s="429"/>
      <c r="C36" s="777"/>
      <c r="D36" s="776"/>
      <c r="E36" s="776"/>
      <c r="F36" s="776"/>
      <c r="G36" s="776"/>
      <c r="H36" s="776"/>
      <c r="I36" s="776"/>
      <c r="J36" s="776"/>
      <c r="K36" s="776"/>
      <c r="L36" s="776"/>
      <c r="M36" s="776"/>
      <c r="N36" s="776"/>
      <c r="O36" s="776"/>
      <c r="P36" s="776"/>
      <c r="Q36" s="776"/>
      <c r="R36" s="776"/>
      <c r="S36" s="776"/>
      <c r="T36" s="776"/>
      <c r="U36" s="776"/>
      <c r="V36" s="776"/>
      <c r="W36" s="776"/>
      <c r="X36" s="776"/>
      <c r="Y36" s="776"/>
      <c r="Z36" s="776"/>
      <c r="AA36" s="776"/>
      <c r="AB36" s="776"/>
      <c r="AC36" s="776"/>
      <c r="AD36" s="776"/>
      <c r="AE36" s="776"/>
      <c r="AF36" s="776"/>
      <c r="AG36" s="776"/>
      <c r="AH36" s="776"/>
      <c r="AI36" s="776"/>
      <c r="AJ36" s="776"/>
      <c r="AK36" s="776"/>
      <c r="AL36" s="776"/>
      <c r="AM36" s="776"/>
      <c r="AN36" s="776"/>
      <c r="AO36" s="436"/>
      <c r="AP36" s="21"/>
    </row>
    <row r="37" spans="2:42" ht="15" customHeight="1" x14ac:dyDescent="0.35">
      <c r="B37" s="429"/>
      <c r="C37" s="780" t="s">
        <v>212</v>
      </c>
      <c r="D37" s="776"/>
      <c r="E37" s="532" cm="1">
        <f t="array" aca="1" ref="E37" ca="1">IF(E$21&lt;Standard_Year,'No STDs Case Rev &amp; Cost'!E37,
OFFSET(E37,-3,0)*
OFFSET(MSP!$D$1,
MATCH(OFFSET($C32,((MATCH($C32,EL_List,0)-1)*-10)-1,0),MSP!$C:$C,0)+MATCH($C32,EL_List,0)-1,0)
*INDEX(Learning!$E$6:$S$41,(MATCH(E$21,Dates,0)),(MATCH($C$21,Learning!$E$4:$S$4,0)+MATCH($C$32,Learning!$E$5:$S$5,0)-1)))</f>
        <v>24.872382063421263</v>
      </c>
      <c r="F37" s="532" cm="1">
        <f t="array" aca="1" ref="F37" ca="1">IF(F$21&lt;Standard_Year,'No STDs Case Rev &amp; Cost'!F37,
OFFSET(F37,-3,0)*
OFFSET(MSP!$D$1,
MATCH(OFFSET($C32,((MATCH($C32,EL_List,0)-1)*-10)-1,0),MSP!$C:$C,0)+MATCH($C32,EL_List,0)-1,0)
*INDEX(Learning!$E$6:$S$41,(MATCH(F$21,Dates,0)),(MATCH($C$21,Learning!$E$4:$S$4,0)+MATCH($C$32,Learning!$E$5:$S$5,0)-1)))</f>
        <v>25.78552304012354</v>
      </c>
      <c r="G37" s="532" cm="1">
        <f t="array" aca="1" ref="G37" ca="1">IF(G$21&lt;Standard_Year,'No STDs Case Rev &amp; Cost'!G37,
OFFSET(G37,-3,0)*
OFFSET(MSP!$D$1,
MATCH(OFFSET($C32,((MATCH($C32,EL_List,0)-1)*-10)-1,0),MSP!$C:$C,0)+MATCH($C32,EL_List,0)-1,0)
*INDEX(Learning!$E$6:$S$41,(MATCH(G$21,Dates,0)),(MATCH($C$21,Learning!$E$4:$S$4,0)+MATCH($C$32,Learning!$E$5:$S$5,0)-1)))</f>
        <v>26.567835567915544</v>
      </c>
      <c r="H37" s="532" cm="1">
        <f t="array" aca="1" ref="H37" ca="1">IF(H$21&lt;Standard_Year,'No STDs Case Rev &amp; Cost'!H37,
OFFSET(H37,-3,0)*
OFFSET(MSP!$D$1,
MATCH(OFFSET($C32,((MATCH($C32,EL_List,0)-1)*-10)-1,0),MSP!$C:$C,0)+MATCH($C32,EL_List,0)-1,0)
*INDEX(Learning!$E$6:$S$41,(MATCH(H$21,Dates,0)),(MATCH($C$21,Learning!$E$4:$S$4,0)+MATCH($C$32,Learning!$E$5:$S$5,0)-1)))</f>
        <v>27.626135351799601</v>
      </c>
      <c r="I37" s="532" cm="1">
        <f t="array" aca="1" ref="I37" ca="1">IF(I$21&lt;Standard_Year,'No STDs Case Rev &amp; Cost'!I37,
OFFSET(I37,-3,0)*
OFFSET(MSP!$D$1,
MATCH(OFFSET($C32,((MATCH($C32,EL_List,0)-1)*-10)-1,0),MSP!$C:$C,0)+MATCH($C32,EL_List,0)-1,0)
*INDEX(Learning!$E$6:$S$41,(MATCH(I$21,Dates,0)),(MATCH($C$21,Learning!$E$4:$S$4,0)+MATCH($C$32,Learning!$E$5:$S$5,0)-1)))</f>
        <v>0</v>
      </c>
      <c r="J37" s="532" cm="1">
        <f t="array" aca="1" ref="J37" ca="1">IF(J$21&lt;Standard_Year,'No STDs Case Rev &amp; Cost'!J37,
OFFSET(J37,-3,0)*
OFFSET(MSP!$D$1,
MATCH(OFFSET($C32,((MATCH($C32,EL_List,0)-1)*-10)-1,0),MSP!$C:$C,0)+MATCH($C32,EL_List,0)-1,0)
*INDEX(Learning!$E$6:$S$41,(MATCH(J$21,Dates,0)),(MATCH($C$21,Learning!$E$4:$S$4,0)+MATCH($C$32,Learning!$E$5:$S$5,0)-1)))</f>
        <v>0</v>
      </c>
      <c r="K37" s="532" cm="1">
        <f t="array" aca="1" ref="K37" ca="1">IF(K$21&lt;Standard_Year,'No STDs Case Rev &amp; Cost'!K37,
OFFSET(K37,-3,0)*
OFFSET(MSP!$D$1,
MATCH(OFFSET($C32,((MATCH($C32,EL_List,0)-1)*-10)-1,0),MSP!$C:$C,0)+MATCH($C32,EL_List,0)-1,0)
*INDEX(Learning!$E$6:$S$41,(MATCH(K$21,Dates,0)),(MATCH($C$21,Learning!$E$4:$S$4,0)+MATCH($C$32,Learning!$E$5:$S$5,0)-1)))</f>
        <v>0</v>
      </c>
      <c r="L37" s="532" cm="1">
        <f t="array" aca="1" ref="L37" ca="1">IF(L$21&lt;Standard_Year,'No STDs Case Rev &amp; Cost'!L37,
OFFSET(L37,-3,0)*
OFFSET(MSP!$D$1,
MATCH(OFFSET($C32,((MATCH($C32,EL_List,0)-1)*-10)-1,0),MSP!$C:$C,0)+MATCH($C32,EL_List,0)-1,0)
*INDEX(Learning!$E$6:$S$41,(MATCH(L$21,Dates,0)),(MATCH($C$21,Learning!$E$4:$S$4,0)+MATCH($C$32,Learning!$E$5:$S$5,0)-1)))</f>
        <v>0</v>
      </c>
      <c r="M37" s="532" cm="1">
        <f t="array" aca="1" ref="M37" ca="1">IF(M$21&lt;Standard_Year,'No STDs Case Rev &amp; Cost'!M37,
OFFSET(M37,-3,0)*
OFFSET(MSP!$D$1,
MATCH(OFFSET($C32,((MATCH($C32,EL_List,0)-1)*-10)-1,0),MSP!$C:$C,0)+MATCH($C32,EL_List,0)-1,0)
*INDEX(Learning!$E$6:$S$41,(MATCH(M$21,Dates,0)),(MATCH($C$21,Learning!$E$4:$S$4,0)+MATCH($C$32,Learning!$E$5:$S$5,0)-1)))</f>
        <v>0</v>
      </c>
      <c r="N37" s="532" cm="1">
        <f t="array" aca="1" ref="N37" ca="1">IF(N$21&lt;Standard_Year,'No STDs Case Rev &amp; Cost'!N37,
OFFSET(N37,-3,0)*
OFFSET(MSP!$D$1,
MATCH(OFFSET($C32,((MATCH($C32,EL_List,0)-1)*-10)-1,0),MSP!$C:$C,0)+MATCH($C32,EL_List,0)-1,0)
*INDEX(Learning!$E$6:$S$41,(MATCH(N$21,Dates,0)),(MATCH($C$21,Learning!$E$4:$S$4,0)+MATCH($C$32,Learning!$E$5:$S$5,0)-1)))</f>
        <v>0</v>
      </c>
      <c r="O37" s="532" cm="1">
        <f t="array" aca="1" ref="O37" ca="1">IF(O$21&lt;Standard_Year,'No STDs Case Rev &amp; Cost'!O37,
OFFSET(O37,-3,0)*
OFFSET(MSP!$D$1,
MATCH(OFFSET($C32,((MATCH($C32,EL_List,0)-1)*-10)-1,0),MSP!$C:$C,0)+MATCH($C32,EL_List,0)-1,0)
*INDEX(Learning!$E$6:$S$41,(MATCH(O$21,Dates,0)),(MATCH($C$21,Learning!$E$4:$S$4,0)+MATCH($C$32,Learning!$E$5:$S$5,0)-1)))</f>
        <v>0</v>
      </c>
      <c r="P37" s="532" cm="1">
        <f t="array" aca="1" ref="P37" ca="1">IF(P$21&lt;Standard_Year,'No STDs Case Rev &amp; Cost'!P37,
OFFSET(P37,-3,0)*
OFFSET(MSP!$D$1,
MATCH(OFFSET($C32,((MATCH($C32,EL_List,0)-1)*-10)-1,0),MSP!$C:$C,0)+MATCH($C32,EL_List,0)-1,0)
*INDEX(Learning!$E$6:$S$41,(MATCH(P$21,Dates,0)),(MATCH($C$21,Learning!$E$4:$S$4,0)+MATCH($C$32,Learning!$E$5:$S$5,0)-1)))</f>
        <v>0</v>
      </c>
      <c r="Q37" s="532" cm="1">
        <f t="array" aca="1" ref="Q37" ca="1">IF(Q$21&lt;Standard_Year,'No STDs Case Rev &amp; Cost'!Q37,
OFFSET(Q37,-3,0)*
OFFSET(MSP!$D$1,
MATCH(OFFSET($C32,((MATCH($C32,EL_List,0)-1)*-10)-1,0),MSP!$C:$C,0)+MATCH($C32,EL_List,0)-1,0)
*INDEX(Learning!$E$6:$S$41,(MATCH(Q$21,Dates,0)),(MATCH($C$21,Learning!$E$4:$S$4,0)+MATCH($C$32,Learning!$E$5:$S$5,0)-1)))</f>
        <v>0</v>
      </c>
      <c r="R37" s="532" cm="1">
        <f t="array" aca="1" ref="R37" ca="1">IF(R$21&lt;Standard_Year,'No STDs Case Rev &amp; Cost'!R37,
OFFSET(R37,-3,0)*
OFFSET(MSP!$D$1,
MATCH(OFFSET($C32,((MATCH($C32,EL_List,0)-1)*-10)-1,0),MSP!$C:$C,0)+MATCH($C32,EL_List,0)-1,0)
*INDEX(Learning!$E$6:$S$41,(MATCH(R$21,Dates,0)),(MATCH($C$21,Learning!$E$4:$S$4,0)+MATCH($C$32,Learning!$E$5:$S$5,0)-1)))</f>
        <v>0</v>
      </c>
      <c r="S37" s="532" cm="1">
        <f t="array" aca="1" ref="S37" ca="1">IF(S$21&lt;Standard_Year,'No STDs Case Rev &amp; Cost'!S37,
OFFSET(S37,-3,0)*
OFFSET(MSP!$D$1,
MATCH(OFFSET($C32,((MATCH($C32,EL_List,0)-1)*-10)-1,0),MSP!$C:$C,0)+MATCH($C32,EL_List,0)-1,0)
*INDEX(Learning!$E$6:$S$41,(MATCH(S$21,Dates,0)),(MATCH($C$21,Learning!$E$4:$S$4,0)+MATCH($C$32,Learning!$E$5:$S$5,0)-1)))</f>
        <v>0</v>
      </c>
      <c r="T37" s="532" cm="1">
        <f t="array" aca="1" ref="T37" ca="1">IF(T$21&lt;Standard_Year,'No STDs Case Rev &amp; Cost'!T37,
OFFSET(T37,-3,0)*
OFFSET(MSP!$D$1,
MATCH(OFFSET($C32,((MATCH($C32,EL_List,0)-1)*-10)-1,0),MSP!$C:$C,0)+MATCH($C32,EL_List,0)-1,0)
*INDEX(Learning!$E$6:$S$41,(MATCH(T$21,Dates,0)),(MATCH($C$21,Learning!$E$4:$S$4,0)+MATCH($C$32,Learning!$E$5:$S$5,0)-1)))</f>
        <v>0</v>
      </c>
      <c r="U37" s="532" cm="1">
        <f t="array" aca="1" ref="U37" ca="1">IF(U$21&lt;Standard_Year,'No STDs Case Rev &amp; Cost'!U37,
OFFSET(U37,-3,0)*
OFFSET(MSP!$D$1,
MATCH(OFFSET($C32,((MATCH($C32,EL_List,0)-1)*-10)-1,0),MSP!$C:$C,0)+MATCH($C32,EL_List,0)-1,0)
*INDEX(Learning!$E$6:$S$41,(MATCH(U$21,Dates,0)),(MATCH($C$21,Learning!$E$4:$S$4,0)+MATCH($C$32,Learning!$E$5:$S$5,0)-1)))</f>
        <v>0</v>
      </c>
      <c r="V37" s="532" cm="1">
        <f t="array" aca="1" ref="V37" ca="1">IF(V$21&lt;Standard_Year,'No STDs Case Rev &amp; Cost'!V37,
OFFSET(V37,-3,0)*
OFFSET(MSP!$D$1,
MATCH(OFFSET($C32,((MATCH($C32,EL_List,0)-1)*-10)-1,0),MSP!$C:$C,0)+MATCH($C32,EL_List,0)-1,0)
*INDEX(Learning!$E$6:$S$41,(MATCH(V$21,Dates,0)),(MATCH($C$21,Learning!$E$4:$S$4,0)+MATCH($C$32,Learning!$E$5:$S$5,0)-1)))</f>
        <v>0</v>
      </c>
      <c r="W37" s="532" cm="1">
        <f t="array" aca="1" ref="W37" ca="1">IF(W$21&lt;Standard_Year,'No STDs Case Rev &amp; Cost'!W37,
OFFSET(W37,-3,0)*
OFFSET(MSP!$D$1,
MATCH(OFFSET($C32,((MATCH($C32,EL_List,0)-1)*-10)-1,0),MSP!$C:$C,0)+MATCH($C32,EL_List,0)-1,0)
*INDEX(Learning!$E$6:$S$41,(MATCH(W$21,Dates,0)),(MATCH($C$21,Learning!$E$4:$S$4,0)+MATCH($C$32,Learning!$E$5:$S$5,0)-1)))</f>
        <v>0</v>
      </c>
      <c r="X37" s="532" cm="1">
        <f t="array" aca="1" ref="X37" ca="1">IF(X$21&lt;Standard_Year,'No STDs Case Rev &amp; Cost'!X37,
OFFSET(X37,-3,0)*
OFFSET(MSP!$D$1,
MATCH(OFFSET($C32,((MATCH($C32,EL_List,0)-1)*-10)-1,0),MSP!$C:$C,0)+MATCH($C32,EL_List,0)-1,0)
*INDEX(Learning!$E$6:$S$41,(MATCH(X$21,Dates,0)),(MATCH($C$21,Learning!$E$4:$S$4,0)+MATCH($C$32,Learning!$E$5:$S$5,0)-1)))</f>
        <v>0</v>
      </c>
      <c r="Y37" s="532" cm="1">
        <f t="array" aca="1" ref="Y37" ca="1">IF(Y$21&lt;Standard_Year,'No STDs Case Rev &amp; Cost'!Y37,
OFFSET(Y37,-3,0)*
OFFSET(MSP!$D$1,
MATCH(OFFSET($C32,((MATCH($C32,EL_List,0)-1)*-10)-1,0),MSP!$C:$C,0)+MATCH($C32,EL_List,0)-1,0)
*INDEX(Learning!$E$6:$S$41,(MATCH(Y$21,Dates,0)),(MATCH($C$21,Learning!$E$4:$S$4,0)+MATCH($C$32,Learning!$E$5:$S$5,0)-1)))</f>
        <v>0</v>
      </c>
      <c r="Z37" s="532" cm="1">
        <f t="array" aca="1" ref="Z37" ca="1">IF(Z$21&lt;Standard_Year,'No STDs Case Rev &amp; Cost'!Z37,
OFFSET(Z37,-3,0)*
OFFSET(MSP!$D$1,
MATCH(OFFSET($C32,((MATCH($C32,EL_List,0)-1)*-10)-1,0),MSP!$C:$C,0)+MATCH($C32,EL_List,0)-1,0)
*INDEX(Learning!$E$6:$S$41,(MATCH(Z$21,Dates,0)),(MATCH($C$21,Learning!$E$4:$S$4,0)+MATCH($C$32,Learning!$E$5:$S$5,0)-1)))</f>
        <v>0</v>
      </c>
      <c r="AA37" s="532" cm="1">
        <f t="array" aca="1" ref="AA37" ca="1">IF(AA$21&lt;Standard_Year,'No STDs Case Rev &amp; Cost'!AA37,
OFFSET(AA37,-3,0)*
OFFSET(MSP!$D$1,
MATCH(OFFSET($C32,((MATCH($C32,EL_List,0)-1)*-10)-1,0),MSP!$C:$C,0)+MATCH($C32,EL_List,0)-1,0)
*INDEX(Learning!$E$6:$S$41,(MATCH(AA$21,Dates,0)),(MATCH($C$21,Learning!$E$4:$S$4,0)+MATCH($C$32,Learning!$E$5:$S$5,0)-1)))</f>
        <v>0</v>
      </c>
      <c r="AB37" s="532" cm="1">
        <f t="array" aca="1" ref="AB37" ca="1">IF(AB$21&lt;Standard_Year,'No STDs Case Rev &amp; Cost'!AB37,
OFFSET(AB37,-3,0)*
OFFSET(MSP!$D$1,
MATCH(OFFSET($C32,((MATCH($C32,EL_List,0)-1)*-10)-1,0),MSP!$C:$C,0)+MATCH($C32,EL_List,0)-1,0)
*INDEX(Learning!$E$6:$S$41,(MATCH(AB$21,Dates,0)),(MATCH($C$21,Learning!$E$4:$S$4,0)+MATCH($C$32,Learning!$E$5:$S$5,0)-1)))</f>
        <v>0</v>
      </c>
      <c r="AC37" s="532" cm="1">
        <f t="array" aca="1" ref="AC37" ca="1">IF(AC$21&lt;Standard_Year,'No STDs Case Rev &amp; Cost'!AC37,
OFFSET(AC37,-3,0)*
OFFSET(MSP!$D$1,
MATCH(OFFSET($C32,((MATCH($C32,EL_List,0)-1)*-10)-1,0),MSP!$C:$C,0)+MATCH($C32,EL_List,0)-1,0)
*INDEX(Learning!$E$6:$S$41,(MATCH(AC$21,Dates,0)),(MATCH($C$21,Learning!$E$4:$S$4,0)+MATCH($C$32,Learning!$E$5:$S$5,0)-1)))</f>
        <v>0</v>
      </c>
      <c r="AD37" s="532" cm="1">
        <f t="array" aca="1" ref="AD37" ca="1">IF(AD$21&lt;Standard_Year,'No STDs Case Rev &amp; Cost'!AD37,
OFFSET(AD37,-3,0)*
OFFSET(MSP!$D$1,
MATCH(OFFSET($C32,((MATCH($C32,EL_List,0)-1)*-10)-1,0),MSP!$C:$C,0)+MATCH($C32,EL_List,0)-1,0)
*INDEX(Learning!$E$6:$S$41,(MATCH(AD$21,Dates,0)),(MATCH($C$21,Learning!$E$4:$S$4,0)+MATCH($C$32,Learning!$E$5:$S$5,0)-1)))</f>
        <v>0</v>
      </c>
      <c r="AE37" s="532" cm="1">
        <f t="array" aca="1" ref="AE37" ca="1">IF(AE$21&lt;Standard_Year,'No STDs Case Rev &amp; Cost'!AE37,
OFFSET(AE37,-3,0)*
OFFSET(MSP!$D$1,
MATCH(OFFSET($C32,((MATCH($C32,EL_List,0)-1)*-10)-1,0),MSP!$C:$C,0)+MATCH($C32,EL_List,0)-1,0)
*INDEX(Learning!$E$6:$S$41,(MATCH(AE$21,Dates,0)),(MATCH($C$21,Learning!$E$4:$S$4,0)+MATCH($C$32,Learning!$E$5:$S$5,0)-1)))</f>
        <v>0</v>
      </c>
      <c r="AF37" s="532" cm="1">
        <f t="array" aca="1" ref="AF37" ca="1">IF(AF$21&lt;Standard_Year,'No STDs Case Rev &amp; Cost'!AF37,
OFFSET(AF37,-3,0)*
OFFSET(MSP!$D$1,
MATCH(OFFSET($C32,((MATCH($C32,EL_List,0)-1)*-10)-1,0),MSP!$C:$C,0)+MATCH($C32,EL_List,0)-1,0)
*INDEX(Learning!$E$6:$S$41,(MATCH(AF$21,Dates,0)),(MATCH($C$21,Learning!$E$4:$S$4,0)+MATCH($C$32,Learning!$E$5:$S$5,0)-1)))</f>
        <v>0</v>
      </c>
      <c r="AG37" s="532" cm="1">
        <f t="array" aca="1" ref="AG37" ca="1">IF(AG$21&lt;Standard_Year,'No STDs Case Rev &amp; Cost'!AG37,
OFFSET(AG37,-3,0)*
OFFSET(MSP!$D$1,
MATCH(OFFSET($C32,((MATCH($C32,EL_List,0)-1)*-10)-1,0),MSP!$C:$C,0)+MATCH($C32,EL_List,0)-1,0)
*INDEX(Learning!$E$6:$S$41,(MATCH(AG$21,Dates,0)),(MATCH($C$21,Learning!$E$4:$S$4,0)+MATCH($C$32,Learning!$E$5:$S$5,0)-1)))</f>
        <v>0</v>
      </c>
      <c r="AH37" s="532" cm="1">
        <f t="array" aca="1" ref="AH37" ca="1">IF(AH$21&lt;Standard_Year,'No STDs Case Rev &amp; Cost'!AH37,
OFFSET(AH37,-3,0)*
OFFSET(MSP!$D$1,
MATCH(OFFSET($C32,((MATCH($C32,EL_List,0)-1)*-10)-1,0),MSP!$C:$C,0)+MATCH($C32,EL_List,0)-1,0)
*INDEX(Learning!$E$6:$S$41,(MATCH(AH$21,Dates,0)),(MATCH($C$21,Learning!$E$4:$S$4,0)+MATCH($C$32,Learning!$E$5:$S$5,0)-1)))</f>
        <v>0</v>
      </c>
      <c r="AI37" s="532" cm="1">
        <f t="array" aca="1" ref="AI37" ca="1">IF(AI$21&lt;Standard_Year,'No STDs Case Rev &amp; Cost'!AI37,
OFFSET(AI37,-3,0)*
OFFSET(MSP!$D$1,
MATCH(OFFSET($C32,((MATCH($C32,EL_List,0)-1)*-10)-1,0),MSP!$C:$C,0)+MATCH($C32,EL_List,0)-1,0)
*INDEX(Learning!$E$6:$S$41,(MATCH(AI$21,Dates,0)),(MATCH($C$21,Learning!$E$4:$S$4,0)+MATCH($C$32,Learning!$E$5:$S$5,0)-1)))</f>
        <v>0</v>
      </c>
      <c r="AJ37" s="532" cm="1">
        <f t="array" aca="1" ref="AJ37" ca="1">IF(AJ$21&lt;Standard_Year,'No STDs Case Rev &amp; Cost'!AJ37,
OFFSET(AJ37,-3,0)*
OFFSET(MSP!$D$1,
MATCH(OFFSET($C32,((MATCH($C32,EL_List,0)-1)*-10)-1,0),MSP!$C:$C,0)+MATCH($C32,EL_List,0)-1,0)
*INDEX(Learning!$E$6:$S$41,(MATCH(AJ$21,Dates,0)),(MATCH($C$21,Learning!$E$4:$S$4,0)+MATCH($C$32,Learning!$E$5:$S$5,0)-1)))</f>
        <v>0</v>
      </c>
      <c r="AK37" s="532" cm="1">
        <f t="array" aca="1" ref="AK37" ca="1">IF(AK$21&lt;Standard_Year,'No STDs Case Rev &amp; Cost'!AK37,
OFFSET(AK37,-3,0)*
OFFSET(MSP!$D$1,
MATCH(OFFSET($C32,((MATCH($C32,EL_List,0)-1)*-10)-1,0),MSP!$C:$C,0)+MATCH($C32,EL_List,0)-1,0)
*INDEX(Learning!$E$6:$S$41,(MATCH(AK$21,Dates,0)),(MATCH($C$21,Learning!$E$4:$S$4,0)+MATCH($C$32,Learning!$E$5:$S$5,0)-1)))</f>
        <v>0</v>
      </c>
      <c r="AL37" s="532" cm="1">
        <f t="array" aca="1" ref="AL37" ca="1">IF(AL$21&lt;Standard_Year,'No STDs Case Rev &amp; Cost'!AL37,
OFFSET(AL37,-3,0)*
OFFSET(MSP!$D$1,
MATCH(OFFSET($C32,((MATCH($C32,EL_List,0)-1)*-10)-1,0),MSP!$C:$C,0)+MATCH($C32,EL_List,0)-1,0)
*INDEX(Learning!$E$6:$S$41,(MATCH(AL$21,Dates,0)),(MATCH($C$21,Learning!$E$4:$S$4,0)+MATCH($C$32,Learning!$E$5:$S$5,0)-1)))</f>
        <v>0</v>
      </c>
      <c r="AM37" s="532" cm="1">
        <f t="array" aca="1" ref="AM37" ca="1">IF(AM$21&lt;Standard_Year,'No STDs Case Rev &amp; Cost'!AM37,
OFFSET(AM37,-3,0)*
OFFSET(MSP!$D$1,
MATCH(OFFSET($C32,((MATCH($C32,EL_List,0)-1)*-10)-1,0),MSP!$C:$C,0)+MATCH($C32,EL_List,0)-1,0)
*INDEX(Learning!$E$6:$S$41,(MATCH(AM$21,Dates,0)),(MATCH($C$21,Learning!$E$4:$S$4,0)+MATCH($C$32,Learning!$E$5:$S$5,0)-1)))</f>
        <v>0</v>
      </c>
      <c r="AN37" s="532" cm="1">
        <f t="array" aca="1" ref="AN37" ca="1">IF(AN$21&lt;Standard_Year,'No STDs Case Rev &amp; Cost'!AN37,
OFFSET(AN37,-3,0)*
OFFSET(MSP!$D$1,
MATCH(OFFSET($C32,((MATCH($C32,EL_List,0)-1)*-10)-1,0),MSP!$C:$C,0)+MATCH($C32,EL_List,0)-1,0)
*INDEX(Learning!$E$6:$S$41,(MATCH(AN$21,Dates,0)),(MATCH($C$21,Learning!$E$4:$S$4,0)+MATCH($C$32,Learning!$E$5:$S$5,0)-1)))</f>
        <v>0</v>
      </c>
      <c r="AO37" s="436"/>
      <c r="AP37" s="21"/>
    </row>
    <row r="38" spans="2:42" ht="15" customHeight="1" x14ac:dyDescent="0.35">
      <c r="B38" s="429"/>
      <c r="C38" s="780" t="s">
        <v>213</v>
      </c>
      <c r="D38" s="776"/>
      <c r="E38" s="533" cm="1">
        <f t="array" aca="1" ref="E38" ca="1">IF(E$21&lt;Standard_Year,'No STDs Case Rev &amp; Cost'!E38,
OFFSET(E38,-4,0)*
OFFSET(MSP!$E$1,
MATCH(OFFSET($C32,((MATCH($C32,EL_List,0)-1)*-10)-1,0),MSP!$C:$C,0)+MATCH($C32,EL_List,0)-1,0)
*INDEX(Learning!$E$6:$S$41,(MATCH(E$21,Dates,0)),(MATCH($C$21,Learning!$E$4:$S$4,0)+MATCH($C$32,Learning!$E$5:$S$5,0)-1)))</f>
        <v>0.65246569737868731</v>
      </c>
      <c r="F38" s="533" cm="1">
        <f t="array" aca="1" ref="F38" ca="1">IF(F$21&lt;Standard_Year,'No STDs Case Rev &amp; Cost'!F38,
OFFSET(F38,-4,0)*
OFFSET(MSP!$E$1,
MATCH(OFFSET($C32,((MATCH($C32,EL_List,0)-1)*-10)-1,0),MSP!$C:$C,0)+MATCH($C32,EL_List,0)-1,0)
*INDEX(Learning!$E$6:$S$41,(MATCH(F$21,Dates,0)),(MATCH($C$21,Learning!$E$4:$S$4,0)+MATCH($C$32,Learning!$E$5:$S$5,0)-1)))</f>
        <v>0.67641970237305871</v>
      </c>
      <c r="G38" s="533" cm="1">
        <f t="array" aca="1" ref="G38" ca="1">IF(G$21&lt;Standard_Year,'No STDs Case Rev &amp; Cost'!G38,
OFFSET(G38,-4,0)*
OFFSET(MSP!$E$1,
MATCH(OFFSET($C32,((MATCH($C32,EL_List,0)-1)*-10)-1,0),MSP!$C:$C,0)+MATCH($C32,EL_List,0)-1,0)
*INDEX(Learning!$E$6:$S$41,(MATCH(G$21,Dates,0)),(MATCH($C$21,Learning!$E$4:$S$4,0)+MATCH($C$32,Learning!$E$5:$S$5,0)-1)))</f>
        <v>0.69694174516382812</v>
      </c>
      <c r="H38" s="533" cm="1">
        <f t="array" aca="1" ref="H38" ca="1">IF(H$21&lt;Standard_Year,'No STDs Case Rev &amp; Cost'!H38,
OFFSET(H38,-4,0)*
OFFSET(MSP!$E$1,
MATCH(OFFSET($C32,((MATCH($C32,EL_List,0)-1)*-10)-1,0),MSP!$C:$C,0)+MATCH($C32,EL_List,0)-1,0)
*INDEX(Learning!$E$6:$S$41,(MATCH(H$21,Dates,0)),(MATCH($C$21,Learning!$E$4:$S$4,0)+MATCH($C$32,Learning!$E$5:$S$5,0)-1)))</f>
        <v>0.72470363402380644</v>
      </c>
      <c r="I38" s="533" cm="1">
        <f t="array" aca="1" ref="I38" ca="1">IF(I$21&lt;Standard_Year,'No STDs Case Rev &amp; Cost'!I38,
OFFSET(I38,-4,0)*
OFFSET(MSP!$E$1,
MATCH(OFFSET($C32,((MATCH($C32,EL_List,0)-1)*-10)-1,0),MSP!$C:$C,0)+MATCH($C32,EL_List,0)-1,0)
*INDEX(Learning!$E$6:$S$41,(MATCH(I$21,Dates,0)),(MATCH($C$21,Learning!$E$4:$S$4,0)+MATCH($C$32,Learning!$E$5:$S$5,0)-1)))</f>
        <v>0</v>
      </c>
      <c r="J38" s="533" cm="1">
        <f t="array" aca="1" ref="J38" ca="1">IF(J$21&lt;Standard_Year,'No STDs Case Rev &amp; Cost'!J38,
OFFSET(J38,-4,0)*
OFFSET(MSP!$E$1,
MATCH(OFFSET($C32,((MATCH($C32,EL_List,0)-1)*-10)-1,0),MSP!$C:$C,0)+MATCH($C32,EL_List,0)-1,0)
*INDEX(Learning!$E$6:$S$41,(MATCH(J$21,Dates,0)),(MATCH($C$21,Learning!$E$4:$S$4,0)+MATCH($C$32,Learning!$E$5:$S$5,0)-1)))</f>
        <v>0</v>
      </c>
      <c r="K38" s="533" cm="1">
        <f t="array" aca="1" ref="K38" ca="1">IF(K$21&lt;Standard_Year,'No STDs Case Rev &amp; Cost'!K38,
OFFSET(K38,-4,0)*
OFFSET(MSP!$E$1,
MATCH(OFFSET($C32,((MATCH($C32,EL_List,0)-1)*-10)-1,0),MSP!$C:$C,0)+MATCH($C32,EL_List,0)-1,0)
*INDEX(Learning!$E$6:$S$41,(MATCH(K$21,Dates,0)),(MATCH($C$21,Learning!$E$4:$S$4,0)+MATCH($C$32,Learning!$E$5:$S$5,0)-1)))</f>
        <v>0</v>
      </c>
      <c r="L38" s="533" cm="1">
        <f t="array" aca="1" ref="L38" ca="1">IF(L$21&lt;Standard_Year,'No STDs Case Rev &amp; Cost'!L38,
OFFSET(L38,-4,0)*
OFFSET(MSP!$E$1,
MATCH(OFFSET($C32,((MATCH($C32,EL_List,0)-1)*-10)-1,0),MSP!$C:$C,0)+MATCH($C32,EL_List,0)-1,0)
*INDEX(Learning!$E$6:$S$41,(MATCH(L$21,Dates,0)),(MATCH($C$21,Learning!$E$4:$S$4,0)+MATCH($C$32,Learning!$E$5:$S$5,0)-1)))</f>
        <v>0</v>
      </c>
      <c r="M38" s="533" cm="1">
        <f t="array" aca="1" ref="M38" ca="1">IF(M$21&lt;Standard_Year,'No STDs Case Rev &amp; Cost'!M38,
OFFSET(M38,-4,0)*
OFFSET(MSP!$E$1,
MATCH(OFFSET($C32,((MATCH($C32,EL_List,0)-1)*-10)-1,0),MSP!$C:$C,0)+MATCH($C32,EL_List,0)-1,0)
*INDEX(Learning!$E$6:$S$41,(MATCH(M$21,Dates,0)),(MATCH($C$21,Learning!$E$4:$S$4,0)+MATCH($C$32,Learning!$E$5:$S$5,0)-1)))</f>
        <v>0</v>
      </c>
      <c r="N38" s="533" cm="1">
        <f t="array" aca="1" ref="N38" ca="1">IF(N$21&lt;Standard_Year,'No STDs Case Rev &amp; Cost'!N38,
OFFSET(N38,-4,0)*
OFFSET(MSP!$E$1,
MATCH(OFFSET($C32,((MATCH($C32,EL_List,0)-1)*-10)-1,0),MSP!$C:$C,0)+MATCH($C32,EL_List,0)-1,0)
*INDEX(Learning!$E$6:$S$41,(MATCH(N$21,Dates,0)),(MATCH($C$21,Learning!$E$4:$S$4,0)+MATCH($C$32,Learning!$E$5:$S$5,0)-1)))</f>
        <v>0</v>
      </c>
      <c r="O38" s="533" cm="1">
        <f t="array" aca="1" ref="O38" ca="1">IF(O$21&lt;Standard_Year,'No STDs Case Rev &amp; Cost'!O38,
OFFSET(O38,-4,0)*
OFFSET(MSP!$E$1,
MATCH(OFFSET($C32,((MATCH($C32,EL_List,0)-1)*-10)-1,0),MSP!$C:$C,0)+MATCH($C32,EL_List,0)-1,0)
*INDEX(Learning!$E$6:$S$41,(MATCH(O$21,Dates,0)),(MATCH($C$21,Learning!$E$4:$S$4,0)+MATCH($C$32,Learning!$E$5:$S$5,0)-1)))</f>
        <v>0</v>
      </c>
      <c r="P38" s="533" cm="1">
        <f t="array" aca="1" ref="P38" ca="1">IF(P$21&lt;Standard_Year,'No STDs Case Rev &amp; Cost'!P38,
OFFSET(P38,-4,0)*
OFFSET(MSP!$E$1,
MATCH(OFFSET($C32,((MATCH($C32,EL_List,0)-1)*-10)-1,0),MSP!$C:$C,0)+MATCH($C32,EL_List,0)-1,0)
*INDEX(Learning!$E$6:$S$41,(MATCH(P$21,Dates,0)),(MATCH($C$21,Learning!$E$4:$S$4,0)+MATCH($C$32,Learning!$E$5:$S$5,0)-1)))</f>
        <v>0</v>
      </c>
      <c r="Q38" s="533" cm="1">
        <f t="array" aca="1" ref="Q38" ca="1">IF(Q$21&lt;Standard_Year,'No STDs Case Rev &amp; Cost'!Q38,
OFFSET(Q38,-4,0)*
OFFSET(MSP!$E$1,
MATCH(OFFSET($C32,((MATCH($C32,EL_List,0)-1)*-10)-1,0),MSP!$C:$C,0)+MATCH($C32,EL_List,0)-1,0)
*INDEX(Learning!$E$6:$S$41,(MATCH(Q$21,Dates,0)),(MATCH($C$21,Learning!$E$4:$S$4,0)+MATCH($C$32,Learning!$E$5:$S$5,0)-1)))</f>
        <v>0</v>
      </c>
      <c r="R38" s="533" cm="1">
        <f t="array" aca="1" ref="R38" ca="1">IF(R$21&lt;Standard_Year,'No STDs Case Rev &amp; Cost'!R38,
OFFSET(R38,-4,0)*
OFFSET(MSP!$E$1,
MATCH(OFFSET($C32,((MATCH($C32,EL_List,0)-1)*-10)-1,0),MSP!$C:$C,0)+MATCH($C32,EL_List,0)-1,0)
*INDEX(Learning!$E$6:$S$41,(MATCH(R$21,Dates,0)),(MATCH($C$21,Learning!$E$4:$S$4,0)+MATCH($C$32,Learning!$E$5:$S$5,0)-1)))</f>
        <v>0</v>
      </c>
      <c r="S38" s="533" cm="1">
        <f t="array" aca="1" ref="S38" ca="1">IF(S$21&lt;Standard_Year,'No STDs Case Rev &amp; Cost'!S38,
OFFSET(S38,-4,0)*
OFFSET(MSP!$E$1,
MATCH(OFFSET($C32,((MATCH($C32,EL_List,0)-1)*-10)-1,0),MSP!$C:$C,0)+MATCH($C32,EL_List,0)-1,0)
*INDEX(Learning!$E$6:$S$41,(MATCH(S$21,Dates,0)),(MATCH($C$21,Learning!$E$4:$S$4,0)+MATCH($C$32,Learning!$E$5:$S$5,0)-1)))</f>
        <v>0</v>
      </c>
      <c r="T38" s="533" cm="1">
        <f t="array" aca="1" ref="T38" ca="1">IF(T$21&lt;Standard_Year,'No STDs Case Rev &amp; Cost'!T38,
OFFSET(T38,-4,0)*
OFFSET(MSP!$E$1,
MATCH(OFFSET($C32,((MATCH($C32,EL_List,0)-1)*-10)-1,0),MSP!$C:$C,0)+MATCH($C32,EL_List,0)-1,0)
*INDEX(Learning!$E$6:$S$41,(MATCH(T$21,Dates,0)),(MATCH($C$21,Learning!$E$4:$S$4,0)+MATCH($C$32,Learning!$E$5:$S$5,0)-1)))</f>
        <v>0</v>
      </c>
      <c r="U38" s="533" cm="1">
        <f t="array" aca="1" ref="U38" ca="1">IF(U$21&lt;Standard_Year,'No STDs Case Rev &amp; Cost'!U38,
OFFSET(U38,-4,0)*
OFFSET(MSP!$E$1,
MATCH(OFFSET($C32,((MATCH($C32,EL_List,0)-1)*-10)-1,0),MSP!$C:$C,0)+MATCH($C32,EL_List,0)-1,0)
*INDEX(Learning!$E$6:$S$41,(MATCH(U$21,Dates,0)),(MATCH($C$21,Learning!$E$4:$S$4,0)+MATCH($C$32,Learning!$E$5:$S$5,0)-1)))</f>
        <v>0</v>
      </c>
      <c r="V38" s="533" cm="1">
        <f t="array" aca="1" ref="V38" ca="1">IF(V$21&lt;Standard_Year,'No STDs Case Rev &amp; Cost'!V38,
OFFSET(V38,-4,0)*
OFFSET(MSP!$E$1,
MATCH(OFFSET($C32,((MATCH($C32,EL_List,0)-1)*-10)-1,0),MSP!$C:$C,0)+MATCH($C32,EL_List,0)-1,0)
*INDEX(Learning!$E$6:$S$41,(MATCH(V$21,Dates,0)),(MATCH($C$21,Learning!$E$4:$S$4,0)+MATCH($C$32,Learning!$E$5:$S$5,0)-1)))</f>
        <v>0</v>
      </c>
      <c r="W38" s="533" cm="1">
        <f t="array" aca="1" ref="W38" ca="1">IF(W$21&lt;Standard_Year,'No STDs Case Rev &amp; Cost'!W38,
OFFSET(W38,-4,0)*
OFFSET(MSP!$E$1,
MATCH(OFFSET($C32,((MATCH($C32,EL_List,0)-1)*-10)-1,0),MSP!$C:$C,0)+MATCH($C32,EL_List,0)-1,0)
*INDEX(Learning!$E$6:$S$41,(MATCH(W$21,Dates,0)),(MATCH($C$21,Learning!$E$4:$S$4,0)+MATCH($C$32,Learning!$E$5:$S$5,0)-1)))</f>
        <v>0</v>
      </c>
      <c r="X38" s="533" cm="1">
        <f t="array" aca="1" ref="X38" ca="1">IF(X$21&lt;Standard_Year,'No STDs Case Rev &amp; Cost'!X38,
OFFSET(X38,-4,0)*
OFFSET(MSP!$E$1,
MATCH(OFFSET($C32,((MATCH($C32,EL_List,0)-1)*-10)-1,0),MSP!$C:$C,0)+MATCH($C32,EL_List,0)-1,0)
*INDEX(Learning!$E$6:$S$41,(MATCH(X$21,Dates,0)),(MATCH($C$21,Learning!$E$4:$S$4,0)+MATCH($C$32,Learning!$E$5:$S$5,0)-1)))</f>
        <v>0</v>
      </c>
      <c r="Y38" s="533" cm="1">
        <f t="array" aca="1" ref="Y38" ca="1">IF(Y$21&lt;Standard_Year,'No STDs Case Rev &amp; Cost'!Y38,
OFFSET(Y38,-4,0)*
OFFSET(MSP!$E$1,
MATCH(OFFSET($C32,((MATCH($C32,EL_List,0)-1)*-10)-1,0),MSP!$C:$C,0)+MATCH($C32,EL_List,0)-1,0)
*INDEX(Learning!$E$6:$S$41,(MATCH(Y$21,Dates,0)),(MATCH($C$21,Learning!$E$4:$S$4,0)+MATCH($C$32,Learning!$E$5:$S$5,0)-1)))</f>
        <v>0</v>
      </c>
      <c r="Z38" s="533" cm="1">
        <f t="array" aca="1" ref="Z38" ca="1">IF(Z$21&lt;Standard_Year,'No STDs Case Rev &amp; Cost'!Z38,
OFFSET(Z38,-4,0)*
OFFSET(MSP!$E$1,
MATCH(OFFSET($C32,((MATCH($C32,EL_List,0)-1)*-10)-1,0),MSP!$C:$C,0)+MATCH($C32,EL_List,0)-1,0)
*INDEX(Learning!$E$6:$S$41,(MATCH(Z$21,Dates,0)),(MATCH($C$21,Learning!$E$4:$S$4,0)+MATCH($C$32,Learning!$E$5:$S$5,0)-1)))</f>
        <v>0</v>
      </c>
      <c r="AA38" s="533" cm="1">
        <f t="array" aca="1" ref="AA38" ca="1">IF(AA$21&lt;Standard_Year,'No STDs Case Rev &amp; Cost'!AA38,
OFFSET(AA38,-4,0)*
OFFSET(MSP!$E$1,
MATCH(OFFSET($C32,((MATCH($C32,EL_List,0)-1)*-10)-1,0),MSP!$C:$C,0)+MATCH($C32,EL_List,0)-1,0)
*INDEX(Learning!$E$6:$S$41,(MATCH(AA$21,Dates,0)),(MATCH($C$21,Learning!$E$4:$S$4,0)+MATCH($C$32,Learning!$E$5:$S$5,0)-1)))</f>
        <v>0</v>
      </c>
      <c r="AB38" s="533" cm="1">
        <f t="array" aca="1" ref="AB38" ca="1">IF(AB$21&lt;Standard_Year,'No STDs Case Rev &amp; Cost'!AB38,
OFFSET(AB38,-4,0)*
OFFSET(MSP!$E$1,
MATCH(OFFSET($C32,((MATCH($C32,EL_List,0)-1)*-10)-1,0),MSP!$C:$C,0)+MATCH($C32,EL_List,0)-1,0)
*INDEX(Learning!$E$6:$S$41,(MATCH(AB$21,Dates,0)),(MATCH($C$21,Learning!$E$4:$S$4,0)+MATCH($C$32,Learning!$E$5:$S$5,0)-1)))</f>
        <v>0</v>
      </c>
      <c r="AC38" s="533" cm="1">
        <f t="array" aca="1" ref="AC38" ca="1">IF(AC$21&lt;Standard_Year,'No STDs Case Rev &amp; Cost'!AC38,
OFFSET(AC38,-4,0)*
OFFSET(MSP!$E$1,
MATCH(OFFSET($C32,((MATCH($C32,EL_List,0)-1)*-10)-1,0),MSP!$C:$C,0)+MATCH($C32,EL_List,0)-1,0)
*INDEX(Learning!$E$6:$S$41,(MATCH(AC$21,Dates,0)),(MATCH($C$21,Learning!$E$4:$S$4,0)+MATCH($C$32,Learning!$E$5:$S$5,0)-1)))</f>
        <v>0</v>
      </c>
      <c r="AD38" s="533" cm="1">
        <f t="array" aca="1" ref="AD38" ca="1">IF(AD$21&lt;Standard_Year,'No STDs Case Rev &amp; Cost'!AD38,
OFFSET(AD38,-4,0)*
OFFSET(MSP!$E$1,
MATCH(OFFSET($C32,((MATCH($C32,EL_List,0)-1)*-10)-1,0),MSP!$C:$C,0)+MATCH($C32,EL_List,0)-1,0)
*INDEX(Learning!$E$6:$S$41,(MATCH(AD$21,Dates,0)),(MATCH($C$21,Learning!$E$4:$S$4,0)+MATCH($C$32,Learning!$E$5:$S$5,0)-1)))</f>
        <v>0</v>
      </c>
      <c r="AE38" s="533" cm="1">
        <f t="array" aca="1" ref="AE38" ca="1">IF(AE$21&lt;Standard_Year,'No STDs Case Rev &amp; Cost'!AE38,
OFFSET(AE38,-4,0)*
OFFSET(MSP!$E$1,
MATCH(OFFSET($C32,((MATCH($C32,EL_List,0)-1)*-10)-1,0),MSP!$C:$C,0)+MATCH($C32,EL_List,0)-1,0)
*INDEX(Learning!$E$6:$S$41,(MATCH(AE$21,Dates,0)),(MATCH($C$21,Learning!$E$4:$S$4,0)+MATCH($C$32,Learning!$E$5:$S$5,0)-1)))</f>
        <v>0</v>
      </c>
      <c r="AF38" s="533" cm="1">
        <f t="array" aca="1" ref="AF38" ca="1">IF(AF$21&lt;Standard_Year,'No STDs Case Rev &amp; Cost'!AF38,
OFFSET(AF38,-4,0)*
OFFSET(MSP!$E$1,
MATCH(OFFSET($C32,((MATCH($C32,EL_List,0)-1)*-10)-1,0),MSP!$C:$C,0)+MATCH($C32,EL_List,0)-1,0)
*INDEX(Learning!$E$6:$S$41,(MATCH(AF$21,Dates,0)),(MATCH($C$21,Learning!$E$4:$S$4,0)+MATCH($C$32,Learning!$E$5:$S$5,0)-1)))</f>
        <v>0</v>
      </c>
      <c r="AG38" s="533" cm="1">
        <f t="array" aca="1" ref="AG38" ca="1">IF(AG$21&lt;Standard_Year,'No STDs Case Rev &amp; Cost'!AG38,
OFFSET(AG38,-4,0)*
OFFSET(MSP!$E$1,
MATCH(OFFSET($C32,((MATCH($C32,EL_List,0)-1)*-10)-1,0),MSP!$C:$C,0)+MATCH($C32,EL_List,0)-1,0)
*INDEX(Learning!$E$6:$S$41,(MATCH(AG$21,Dates,0)),(MATCH($C$21,Learning!$E$4:$S$4,0)+MATCH($C$32,Learning!$E$5:$S$5,0)-1)))</f>
        <v>0</v>
      </c>
      <c r="AH38" s="533" cm="1">
        <f t="array" aca="1" ref="AH38" ca="1">IF(AH$21&lt;Standard_Year,'No STDs Case Rev &amp; Cost'!AH38,
OFFSET(AH38,-4,0)*
OFFSET(MSP!$E$1,
MATCH(OFFSET($C32,((MATCH($C32,EL_List,0)-1)*-10)-1,0),MSP!$C:$C,0)+MATCH($C32,EL_List,0)-1,0)
*INDEX(Learning!$E$6:$S$41,(MATCH(AH$21,Dates,0)),(MATCH($C$21,Learning!$E$4:$S$4,0)+MATCH($C$32,Learning!$E$5:$S$5,0)-1)))</f>
        <v>0</v>
      </c>
      <c r="AI38" s="533" cm="1">
        <f t="array" aca="1" ref="AI38" ca="1">IF(AI$21&lt;Standard_Year,'No STDs Case Rev &amp; Cost'!AI38,
OFFSET(AI38,-4,0)*
OFFSET(MSP!$E$1,
MATCH(OFFSET($C32,((MATCH($C32,EL_List,0)-1)*-10)-1,0),MSP!$C:$C,0)+MATCH($C32,EL_List,0)-1,0)
*INDEX(Learning!$E$6:$S$41,(MATCH(AI$21,Dates,0)),(MATCH($C$21,Learning!$E$4:$S$4,0)+MATCH($C$32,Learning!$E$5:$S$5,0)-1)))</f>
        <v>0</v>
      </c>
      <c r="AJ38" s="533" cm="1">
        <f t="array" aca="1" ref="AJ38" ca="1">IF(AJ$21&lt;Standard_Year,'No STDs Case Rev &amp; Cost'!AJ38,
OFFSET(AJ38,-4,0)*
OFFSET(MSP!$E$1,
MATCH(OFFSET($C32,((MATCH($C32,EL_List,0)-1)*-10)-1,0),MSP!$C:$C,0)+MATCH($C32,EL_List,0)-1,0)
*INDEX(Learning!$E$6:$S$41,(MATCH(AJ$21,Dates,0)),(MATCH($C$21,Learning!$E$4:$S$4,0)+MATCH($C$32,Learning!$E$5:$S$5,0)-1)))</f>
        <v>0</v>
      </c>
      <c r="AK38" s="533" cm="1">
        <f t="array" aca="1" ref="AK38" ca="1">IF(AK$21&lt;Standard_Year,'No STDs Case Rev &amp; Cost'!AK38,
OFFSET(AK38,-4,0)*
OFFSET(MSP!$E$1,
MATCH(OFFSET($C32,((MATCH($C32,EL_List,0)-1)*-10)-1,0),MSP!$C:$C,0)+MATCH($C32,EL_List,0)-1,0)
*INDEX(Learning!$E$6:$S$41,(MATCH(AK$21,Dates,0)),(MATCH($C$21,Learning!$E$4:$S$4,0)+MATCH($C$32,Learning!$E$5:$S$5,0)-1)))</f>
        <v>0</v>
      </c>
      <c r="AL38" s="533" cm="1">
        <f t="array" aca="1" ref="AL38" ca="1">IF(AL$21&lt;Standard_Year,'No STDs Case Rev &amp; Cost'!AL38,
OFFSET(AL38,-4,0)*
OFFSET(MSP!$E$1,
MATCH(OFFSET($C32,((MATCH($C32,EL_List,0)-1)*-10)-1,0),MSP!$C:$C,0)+MATCH($C32,EL_List,0)-1,0)
*INDEX(Learning!$E$6:$S$41,(MATCH(AL$21,Dates,0)),(MATCH($C$21,Learning!$E$4:$S$4,0)+MATCH($C$32,Learning!$E$5:$S$5,0)-1)))</f>
        <v>0</v>
      </c>
      <c r="AM38" s="533" cm="1">
        <f t="array" aca="1" ref="AM38" ca="1">IF(AM$21&lt;Standard_Year,'No STDs Case Rev &amp; Cost'!AM38,
OFFSET(AM38,-4,0)*
OFFSET(MSP!$E$1,
MATCH(OFFSET($C32,((MATCH($C32,EL_List,0)-1)*-10)-1,0),MSP!$C:$C,0)+MATCH($C32,EL_List,0)-1,0)
*INDEX(Learning!$E$6:$S$41,(MATCH(AM$21,Dates,0)),(MATCH($C$21,Learning!$E$4:$S$4,0)+MATCH($C$32,Learning!$E$5:$S$5,0)-1)))</f>
        <v>0</v>
      </c>
      <c r="AN38" s="533" cm="1">
        <f t="array" aca="1" ref="AN38" ca="1">IF(AN$21&lt;Standard_Year,'No STDs Case Rev &amp; Cost'!AN38,
OFFSET(AN38,-4,0)*
OFFSET(MSP!$E$1,
MATCH(OFFSET($C32,((MATCH($C32,EL_List,0)-1)*-10)-1,0),MSP!$C:$C,0)+MATCH($C32,EL_List,0)-1,0)
*INDEX(Learning!$E$6:$S$41,(MATCH(AN$21,Dates,0)),(MATCH($C$21,Learning!$E$4:$S$4,0)+MATCH($C$32,Learning!$E$5:$S$5,0)-1)))</f>
        <v>0</v>
      </c>
      <c r="AO38" s="436"/>
      <c r="AP38" s="21"/>
    </row>
    <row r="39" spans="2:42" ht="15" customHeight="1" x14ac:dyDescent="0.35">
      <c r="B39" s="429"/>
      <c r="C39" s="780" t="s">
        <v>214</v>
      </c>
      <c r="D39" s="776"/>
      <c r="E39" s="533" cm="1">
        <f t="array" aca="1" ref="E39" ca="1">IF(E$21&lt;Standard_Year,'No STDs Case Rev &amp; Cost'!E39,
OFFSET(E39,-5,0)*
OFFSET(MSP!$F$1,
MATCH(OFFSET($C32,((MATCH($C32,EL_List,0)-1)*-10)-1,0),MSP!$C:$C,0)+MATCH($C32,EL_List,0)-1,0)
*INDEX(Learning!$E$6:$S$41,(MATCH(E$21,Dates,0)),(MATCH($C$21,Learning!$E$4:$S$4,0)+MATCH($C$32,Learning!$E$5:$S$5,0)-1)))</f>
        <v>1.4151489206267074</v>
      </c>
      <c r="F39" s="533" cm="1">
        <f t="array" aca="1" ref="F39" ca="1">IF(F$21&lt;Standard_Year,'No STDs Case Rev &amp; Cost'!F39,
OFFSET(F39,-5,0)*
OFFSET(MSP!$F$1,
MATCH(OFFSET($C32,((MATCH($C32,EL_List,0)-1)*-10)-1,0),MSP!$C:$C,0)+MATCH($C32,EL_List,0)-1,0)
*INDEX(Learning!$E$6:$S$41,(MATCH(F$21,Dates,0)),(MATCH($C$21,Learning!$E$4:$S$4,0)+MATCH($C$32,Learning!$E$5:$S$5,0)-1)))</f>
        <v>1.4671033520223504</v>
      </c>
      <c r="G39" s="533" cm="1">
        <f t="array" aca="1" ref="G39" ca="1">IF(G$21&lt;Standard_Year,'No STDs Case Rev &amp; Cost'!G39,
OFFSET(G39,-5,0)*
OFFSET(MSP!$F$1,
MATCH(OFFSET($C32,((MATCH($C32,EL_List,0)-1)*-10)-1,0),MSP!$C:$C,0)+MATCH($C32,EL_List,0)-1,0)
*INDEX(Learning!$E$6:$S$41,(MATCH(G$21,Dates,0)),(MATCH($C$21,Learning!$E$4:$S$4,0)+MATCH($C$32,Learning!$E$5:$S$5,0)-1)))</f>
        <v>1.5116141160687806</v>
      </c>
      <c r="H39" s="533" cm="1">
        <f t="array" aca="1" ref="H39" ca="1">IF(H$21&lt;Standard_Year,'No STDs Case Rev &amp; Cost'!H39,
OFFSET(H39,-5,0)*
OFFSET(MSP!$F$1,
MATCH(OFFSET($C32,((MATCH($C32,EL_List,0)-1)*-10)-1,0),MSP!$C:$C,0)+MATCH($C32,EL_List,0)-1,0)
*INDEX(Learning!$E$6:$S$41,(MATCH(H$21,Dates,0)),(MATCH($C$21,Learning!$E$4:$S$4,0)+MATCH($C$32,Learning!$E$5:$S$5,0)-1)))</f>
        <v>1.5718275605649366</v>
      </c>
      <c r="I39" s="533" cm="1">
        <f t="array" aca="1" ref="I39" ca="1">IF(I$21&lt;Standard_Year,'No STDs Case Rev &amp; Cost'!I39,
OFFSET(I39,-5,0)*
OFFSET(MSP!$F$1,
MATCH(OFFSET($C32,((MATCH($C32,EL_List,0)-1)*-10)-1,0),MSP!$C:$C,0)+MATCH($C32,EL_List,0)-1,0)
*INDEX(Learning!$E$6:$S$41,(MATCH(I$21,Dates,0)),(MATCH($C$21,Learning!$E$4:$S$4,0)+MATCH($C$32,Learning!$E$5:$S$5,0)-1)))</f>
        <v>0</v>
      </c>
      <c r="J39" s="533" cm="1">
        <f t="array" aca="1" ref="J39" ca="1">IF(J$21&lt;Standard_Year,'No STDs Case Rev &amp; Cost'!J39,
OFFSET(J39,-5,0)*
OFFSET(MSP!$F$1,
MATCH(OFFSET($C32,((MATCH($C32,EL_List,0)-1)*-10)-1,0),MSP!$C:$C,0)+MATCH($C32,EL_List,0)-1,0)
*INDEX(Learning!$E$6:$S$41,(MATCH(J$21,Dates,0)),(MATCH($C$21,Learning!$E$4:$S$4,0)+MATCH($C$32,Learning!$E$5:$S$5,0)-1)))</f>
        <v>0</v>
      </c>
      <c r="K39" s="533" cm="1">
        <f t="array" aca="1" ref="K39" ca="1">IF(K$21&lt;Standard_Year,'No STDs Case Rev &amp; Cost'!K39,
OFFSET(K39,-5,0)*
OFFSET(MSP!$F$1,
MATCH(OFFSET($C32,((MATCH($C32,EL_List,0)-1)*-10)-1,0),MSP!$C:$C,0)+MATCH($C32,EL_List,0)-1,0)
*INDEX(Learning!$E$6:$S$41,(MATCH(K$21,Dates,0)),(MATCH($C$21,Learning!$E$4:$S$4,0)+MATCH($C$32,Learning!$E$5:$S$5,0)-1)))</f>
        <v>0</v>
      </c>
      <c r="L39" s="533" cm="1">
        <f t="array" aca="1" ref="L39" ca="1">IF(L$21&lt;Standard_Year,'No STDs Case Rev &amp; Cost'!L39,
OFFSET(L39,-5,0)*
OFFSET(MSP!$F$1,
MATCH(OFFSET($C32,((MATCH($C32,EL_List,0)-1)*-10)-1,0),MSP!$C:$C,0)+MATCH($C32,EL_List,0)-1,0)
*INDEX(Learning!$E$6:$S$41,(MATCH(L$21,Dates,0)),(MATCH($C$21,Learning!$E$4:$S$4,0)+MATCH($C$32,Learning!$E$5:$S$5,0)-1)))</f>
        <v>0</v>
      </c>
      <c r="M39" s="533" cm="1">
        <f t="array" aca="1" ref="M39" ca="1">IF(M$21&lt;Standard_Year,'No STDs Case Rev &amp; Cost'!M39,
OFFSET(M39,-5,0)*
OFFSET(MSP!$F$1,
MATCH(OFFSET($C32,((MATCH($C32,EL_List,0)-1)*-10)-1,0),MSP!$C:$C,0)+MATCH($C32,EL_List,0)-1,0)
*INDEX(Learning!$E$6:$S$41,(MATCH(M$21,Dates,0)),(MATCH($C$21,Learning!$E$4:$S$4,0)+MATCH($C$32,Learning!$E$5:$S$5,0)-1)))</f>
        <v>0</v>
      </c>
      <c r="N39" s="533" cm="1">
        <f t="array" aca="1" ref="N39" ca="1">IF(N$21&lt;Standard_Year,'No STDs Case Rev &amp; Cost'!N39,
OFFSET(N39,-5,0)*
OFFSET(MSP!$F$1,
MATCH(OFFSET($C32,((MATCH($C32,EL_List,0)-1)*-10)-1,0),MSP!$C:$C,0)+MATCH($C32,EL_List,0)-1,0)
*INDEX(Learning!$E$6:$S$41,(MATCH(N$21,Dates,0)),(MATCH($C$21,Learning!$E$4:$S$4,0)+MATCH($C$32,Learning!$E$5:$S$5,0)-1)))</f>
        <v>0</v>
      </c>
      <c r="O39" s="533" cm="1">
        <f t="array" aca="1" ref="O39" ca="1">IF(O$21&lt;Standard_Year,'No STDs Case Rev &amp; Cost'!O39,
OFFSET(O39,-5,0)*
OFFSET(MSP!$F$1,
MATCH(OFFSET($C32,((MATCH($C32,EL_List,0)-1)*-10)-1,0),MSP!$C:$C,0)+MATCH($C32,EL_List,0)-1,0)
*INDEX(Learning!$E$6:$S$41,(MATCH(O$21,Dates,0)),(MATCH($C$21,Learning!$E$4:$S$4,0)+MATCH($C$32,Learning!$E$5:$S$5,0)-1)))</f>
        <v>0</v>
      </c>
      <c r="P39" s="533" cm="1">
        <f t="array" aca="1" ref="P39" ca="1">IF(P$21&lt;Standard_Year,'No STDs Case Rev &amp; Cost'!P39,
OFFSET(P39,-5,0)*
OFFSET(MSP!$F$1,
MATCH(OFFSET($C32,((MATCH($C32,EL_List,0)-1)*-10)-1,0),MSP!$C:$C,0)+MATCH($C32,EL_List,0)-1,0)
*INDEX(Learning!$E$6:$S$41,(MATCH(P$21,Dates,0)),(MATCH($C$21,Learning!$E$4:$S$4,0)+MATCH($C$32,Learning!$E$5:$S$5,0)-1)))</f>
        <v>0</v>
      </c>
      <c r="Q39" s="533" cm="1">
        <f t="array" aca="1" ref="Q39" ca="1">IF(Q$21&lt;Standard_Year,'No STDs Case Rev &amp; Cost'!Q39,
OFFSET(Q39,-5,0)*
OFFSET(MSP!$F$1,
MATCH(OFFSET($C32,((MATCH($C32,EL_List,0)-1)*-10)-1,0),MSP!$C:$C,0)+MATCH($C32,EL_List,0)-1,0)
*INDEX(Learning!$E$6:$S$41,(MATCH(Q$21,Dates,0)),(MATCH($C$21,Learning!$E$4:$S$4,0)+MATCH($C$32,Learning!$E$5:$S$5,0)-1)))</f>
        <v>0</v>
      </c>
      <c r="R39" s="533" cm="1">
        <f t="array" aca="1" ref="R39" ca="1">IF(R$21&lt;Standard_Year,'No STDs Case Rev &amp; Cost'!R39,
OFFSET(R39,-5,0)*
OFFSET(MSP!$F$1,
MATCH(OFFSET($C32,((MATCH($C32,EL_List,0)-1)*-10)-1,0),MSP!$C:$C,0)+MATCH($C32,EL_List,0)-1,0)
*INDEX(Learning!$E$6:$S$41,(MATCH(R$21,Dates,0)),(MATCH($C$21,Learning!$E$4:$S$4,0)+MATCH($C$32,Learning!$E$5:$S$5,0)-1)))</f>
        <v>0</v>
      </c>
      <c r="S39" s="533" cm="1">
        <f t="array" aca="1" ref="S39" ca="1">IF(S$21&lt;Standard_Year,'No STDs Case Rev &amp; Cost'!S39,
OFFSET(S39,-5,0)*
OFFSET(MSP!$F$1,
MATCH(OFFSET($C32,((MATCH($C32,EL_List,0)-1)*-10)-1,0),MSP!$C:$C,0)+MATCH($C32,EL_List,0)-1,0)
*INDEX(Learning!$E$6:$S$41,(MATCH(S$21,Dates,0)),(MATCH($C$21,Learning!$E$4:$S$4,0)+MATCH($C$32,Learning!$E$5:$S$5,0)-1)))</f>
        <v>0</v>
      </c>
      <c r="T39" s="533" cm="1">
        <f t="array" aca="1" ref="T39" ca="1">IF(T$21&lt;Standard_Year,'No STDs Case Rev &amp; Cost'!T39,
OFFSET(T39,-5,0)*
OFFSET(MSP!$F$1,
MATCH(OFFSET($C32,((MATCH($C32,EL_List,0)-1)*-10)-1,0),MSP!$C:$C,0)+MATCH($C32,EL_List,0)-1,0)
*INDEX(Learning!$E$6:$S$41,(MATCH(T$21,Dates,0)),(MATCH($C$21,Learning!$E$4:$S$4,0)+MATCH($C$32,Learning!$E$5:$S$5,0)-1)))</f>
        <v>0</v>
      </c>
      <c r="U39" s="533" cm="1">
        <f t="array" aca="1" ref="U39" ca="1">IF(U$21&lt;Standard_Year,'No STDs Case Rev &amp; Cost'!U39,
OFFSET(U39,-5,0)*
OFFSET(MSP!$F$1,
MATCH(OFFSET($C32,((MATCH($C32,EL_List,0)-1)*-10)-1,0),MSP!$C:$C,0)+MATCH($C32,EL_List,0)-1,0)
*INDEX(Learning!$E$6:$S$41,(MATCH(U$21,Dates,0)),(MATCH($C$21,Learning!$E$4:$S$4,0)+MATCH($C$32,Learning!$E$5:$S$5,0)-1)))</f>
        <v>0</v>
      </c>
      <c r="V39" s="533" cm="1">
        <f t="array" aca="1" ref="V39" ca="1">IF(V$21&lt;Standard_Year,'No STDs Case Rev &amp; Cost'!V39,
OFFSET(V39,-5,0)*
OFFSET(MSP!$F$1,
MATCH(OFFSET($C32,((MATCH($C32,EL_List,0)-1)*-10)-1,0),MSP!$C:$C,0)+MATCH($C32,EL_List,0)-1,0)
*INDEX(Learning!$E$6:$S$41,(MATCH(V$21,Dates,0)),(MATCH($C$21,Learning!$E$4:$S$4,0)+MATCH($C$32,Learning!$E$5:$S$5,0)-1)))</f>
        <v>0</v>
      </c>
      <c r="W39" s="533" cm="1">
        <f t="array" aca="1" ref="W39" ca="1">IF(W$21&lt;Standard_Year,'No STDs Case Rev &amp; Cost'!W39,
OFFSET(W39,-5,0)*
OFFSET(MSP!$F$1,
MATCH(OFFSET($C32,((MATCH($C32,EL_List,0)-1)*-10)-1,0),MSP!$C:$C,0)+MATCH($C32,EL_List,0)-1,0)
*INDEX(Learning!$E$6:$S$41,(MATCH(W$21,Dates,0)),(MATCH($C$21,Learning!$E$4:$S$4,0)+MATCH($C$32,Learning!$E$5:$S$5,0)-1)))</f>
        <v>0</v>
      </c>
      <c r="X39" s="533" cm="1">
        <f t="array" aca="1" ref="X39" ca="1">IF(X$21&lt;Standard_Year,'No STDs Case Rev &amp; Cost'!X39,
OFFSET(X39,-5,0)*
OFFSET(MSP!$F$1,
MATCH(OFFSET($C32,((MATCH($C32,EL_List,0)-1)*-10)-1,0),MSP!$C:$C,0)+MATCH($C32,EL_List,0)-1,0)
*INDEX(Learning!$E$6:$S$41,(MATCH(X$21,Dates,0)),(MATCH($C$21,Learning!$E$4:$S$4,0)+MATCH($C$32,Learning!$E$5:$S$5,0)-1)))</f>
        <v>0</v>
      </c>
      <c r="Y39" s="533" cm="1">
        <f t="array" aca="1" ref="Y39" ca="1">IF(Y$21&lt;Standard_Year,'No STDs Case Rev &amp; Cost'!Y39,
OFFSET(Y39,-5,0)*
OFFSET(MSP!$F$1,
MATCH(OFFSET($C32,((MATCH($C32,EL_List,0)-1)*-10)-1,0),MSP!$C:$C,0)+MATCH($C32,EL_List,0)-1,0)
*INDEX(Learning!$E$6:$S$41,(MATCH(Y$21,Dates,0)),(MATCH($C$21,Learning!$E$4:$S$4,0)+MATCH($C$32,Learning!$E$5:$S$5,0)-1)))</f>
        <v>0</v>
      </c>
      <c r="Z39" s="533" cm="1">
        <f t="array" aca="1" ref="Z39" ca="1">IF(Z$21&lt;Standard_Year,'No STDs Case Rev &amp; Cost'!Z39,
OFFSET(Z39,-5,0)*
OFFSET(MSP!$F$1,
MATCH(OFFSET($C32,((MATCH($C32,EL_List,0)-1)*-10)-1,0),MSP!$C:$C,0)+MATCH($C32,EL_List,0)-1,0)
*INDEX(Learning!$E$6:$S$41,(MATCH(Z$21,Dates,0)),(MATCH($C$21,Learning!$E$4:$S$4,0)+MATCH($C$32,Learning!$E$5:$S$5,0)-1)))</f>
        <v>0</v>
      </c>
      <c r="AA39" s="533" cm="1">
        <f t="array" aca="1" ref="AA39" ca="1">IF(AA$21&lt;Standard_Year,'No STDs Case Rev &amp; Cost'!AA39,
OFFSET(AA39,-5,0)*
OFFSET(MSP!$F$1,
MATCH(OFFSET($C32,((MATCH($C32,EL_List,0)-1)*-10)-1,0),MSP!$C:$C,0)+MATCH($C32,EL_List,0)-1,0)
*INDEX(Learning!$E$6:$S$41,(MATCH(AA$21,Dates,0)),(MATCH($C$21,Learning!$E$4:$S$4,0)+MATCH($C$32,Learning!$E$5:$S$5,0)-1)))</f>
        <v>0</v>
      </c>
      <c r="AB39" s="533" cm="1">
        <f t="array" aca="1" ref="AB39" ca="1">IF(AB$21&lt;Standard_Year,'No STDs Case Rev &amp; Cost'!AB39,
OFFSET(AB39,-5,0)*
OFFSET(MSP!$F$1,
MATCH(OFFSET($C32,((MATCH($C32,EL_List,0)-1)*-10)-1,0),MSP!$C:$C,0)+MATCH($C32,EL_List,0)-1,0)
*INDEX(Learning!$E$6:$S$41,(MATCH(AB$21,Dates,0)),(MATCH($C$21,Learning!$E$4:$S$4,0)+MATCH($C$32,Learning!$E$5:$S$5,0)-1)))</f>
        <v>0</v>
      </c>
      <c r="AC39" s="533" cm="1">
        <f t="array" aca="1" ref="AC39" ca="1">IF(AC$21&lt;Standard_Year,'No STDs Case Rev &amp; Cost'!AC39,
OFFSET(AC39,-5,0)*
OFFSET(MSP!$F$1,
MATCH(OFFSET($C32,((MATCH($C32,EL_List,0)-1)*-10)-1,0),MSP!$C:$C,0)+MATCH($C32,EL_List,0)-1,0)
*INDEX(Learning!$E$6:$S$41,(MATCH(AC$21,Dates,0)),(MATCH($C$21,Learning!$E$4:$S$4,0)+MATCH($C$32,Learning!$E$5:$S$5,0)-1)))</f>
        <v>0</v>
      </c>
      <c r="AD39" s="533" cm="1">
        <f t="array" aca="1" ref="AD39" ca="1">IF(AD$21&lt;Standard_Year,'No STDs Case Rev &amp; Cost'!AD39,
OFFSET(AD39,-5,0)*
OFFSET(MSP!$F$1,
MATCH(OFFSET($C32,((MATCH($C32,EL_List,0)-1)*-10)-1,0),MSP!$C:$C,0)+MATCH($C32,EL_List,0)-1,0)
*INDEX(Learning!$E$6:$S$41,(MATCH(AD$21,Dates,0)),(MATCH($C$21,Learning!$E$4:$S$4,0)+MATCH($C$32,Learning!$E$5:$S$5,0)-1)))</f>
        <v>0</v>
      </c>
      <c r="AE39" s="533" cm="1">
        <f t="array" aca="1" ref="AE39" ca="1">IF(AE$21&lt;Standard_Year,'No STDs Case Rev &amp; Cost'!AE39,
OFFSET(AE39,-5,0)*
OFFSET(MSP!$F$1,
MATCH(OFFSET($C32,((MATCH($C32,EL_List,0)-1)*-10)-1,0),MSP!$C:$C,0)+MATCH($C32,EL_List,0)-1,0)
*INDEX(Learning!$E$6:$S$41,(MATCH(AE$21,Dates,0)),(MATCH($C$21,Learning!$E$4:$S$4,0)+MATCH($C$32,Learning!$E$5:$S$5,0)-1)))</f>
        <v>0</v>
      </c>
      <c r="AF39" s="533" cm="1">
        <f t="array" aca="1" ref="AF39" ca="1">IF(AF$21&lt;Standard_Year,'No STDs Case Rev &amp; Cost'!AF39,
OFFSET(AF39,-5,0)*
OFFSET(MSP!$F$1,
MATCH(OFFSET($C32,((MATCH($C32,EL_List,0)-1)*-10)-1,0),MSP!$C:$C,0)+MATCH($C32,EL_List,0)-1,0)
*INDEX(Learning!$E$6:$S$41,(MATCH(AF$21,Dates,0)),(MATCH($C$21,Learning!$E$4:$S$4,0)+MATCH($C$32,Learning!$E$5:$S$5,0)-1)))</f>
        <v>0</v>
      </c>
      <c r="AG39" s="533" cm="1">
        <f t="array" aca="1" ref="AG39" ca="1">IF(AG$21&lt;Standard_Year,'No STDs Case Rev &amp; Cost'!AG39,
OFFSET(AG39,-5,0)*
OFFSET(MSP!$F$1,
MATCH(OFFSET($C32,((MATCH($C32,EL_List,0)-1)*-10)-1,0),MSP!$C:$C,0)+MATCH($C32,EL_List,0)-1,0)
*INDEX(Learning!$E$6:$S$41,(MATCH(AG$21,Dates,0)),(MATCH($C$21,Learning!$E$4:$S$4,0)+MATCH($C$32,Learning!$E$5:$S$5,0)-1)))</f>
        <v>0</v>
      </c>
      <c r="AH39" s="533" cm="1">
        <f t="array" aca="1" ref="AH39" ca="1">IF(AH$21&lt;Standard_Year,'No STDs Case Rev &amp; Cost'!AH39,
OFFSET(AH39,-5,0)*
OFFSET(MSP!$F$1,
MATCH(OFFSET($C32,((MATCH($C32,EL_List,0)-1)*-10)-1,0),MSP!$C:$C,0)+MATCH($C32,EL_List,0)-1,0)
*INDEX(Learning!$E$6:$S$41,(MATCH(AH$21,Dates,0)),(MATCH($C$21,Learning!$E$4:$S$4,0)+MATCH($C$32,Learning!$E$5:$S$5,0)-1)))</f>
        <v>0</v>
      </c>
      <c r="AI39" s="533" cm="1">
        <f t="array" aca="1" ref="AI39" ca="1">IF(AI$21&lt;Standard_Year,'No STDs Case Rev &amp; Cost'!AI39,
OFFSET(AI39,-5,0)*
OFFSET(MSP!$F$1,
MATCH(OFFSET($C32,((MATCH($C32,EL_List,0)-1)*-10)-1,0),MSP!$C:$C,0)+MATCH($C32,EL_List,0)-1,0)
*INDEX(Learning!$E$6:$S$41,(MATCH(AI$21,Dates,0)),(MATCH($C$21,Learning!$E$4:$S$4,0)+MATCH($C$32,Learning!$E$5:$S$5,0)-1)))</f>
        <v>0</v>
      </c>
      <c r="AJ39" s="533" cm="1">
        <f t="array" aca="1" ref="AJ39" ca="1">IF(AJ$21&lt;Standard_Year,'No STDs Case Rev &amp; Cost'!AJ39,
OFFSET(AJ39,-5,0)*
OFFSET(MSP!$F$1,
MATCH(OFFSET($C32,((MATCH($C32,EL_List,0)-1)*-10)-1,0),MSP!$C:$C,0)+MATCH($C32,EL_List,0)-1,0)
*INDEX(Learning!$E$6:$S$41,(MATCH(AJ$21,Dates,0)),(MATCH($C$21,Learning!$E$4:$S$4,0)+MATCH($C$32,Learning!$E$5:$S$5,0)-1)))</f>
        <v>0</v>
      </c>
      <c r="AK39" s="533" cm="1">
        <f t="array" aca="1" ref="AK39" ca="1">IF(AK$21&lt;Standard_Year,'No STDs Case Rev &amp; Cost'!AK39,
OFFSET(AK39,-5,0)*
OFFSET(MSP!$F$1,
MATCH(OFFSET($C32,((MATCH($C32,EL_List,0)-1)*-10)-1,0),MSP!$C:$C,0)+MATCH($C32,EL_List,0)-1,0)
*INDEX(Learning!$E$6:$S$41,(MATCH(AK$21,Dates,0)),(MATCH($C$21,Learning!$E$4:$S$4,0)+MATCH($C$32,Learning!$E$5:$S$5,0)-1)))</f>
        <v>0</v>
      </c>
      <c r="AL39" s="533" cm="1">
        <f t="array" aca="1" ref="AL39" ca="1">IF(AL$21&lt;Standard_Year,'No STDs Case Rev &amp; Cost'!AL39,
OFFSET(AL39,-5,0)*
OFFSET(MSP!$F$1,
MATCH(OFFSET($C32,((MATCH($C32,EL_List,0)-1)*-10)-1,0),MSP!$C:$C,0)+MATCH($C32,EL_List,0)-1,0)
*INDEX(Learning!$E$6:$S$41,(MATCH(AL$21,Dates,0)),(MATCH($C$21,Learning!$E$4:$S$4,0)+MATCH($C$32,Learning!$E$5:$S$5,0)-1)))</f>
        <v>0</v>
      </c>
      <c r="AM39" s="533" cm="1">
        <f t="array" aca="1" ref="AM39" ca="1">IF(AM$21&lt;Standard_Year,'No STDs Case Rev &amp; Cost'!AM39,
OFFSET(AM39,-5,0)*
OFFSET(MSP!$F$1,
MATCH(OFFSET($C32,((MATCH($C32,EL_List,0)-1)*-10)-1,0),MSP!$C:$C,0)+MATCH($C32,EL_List,0)-1,0)
*INDEX(Learning!$E$6:$S$41,(MATCH(AM$21,Dates,0)),(MATCH($C$21,Learning!$E$4:$S$4,0)+MATCH($C$32,Learning!$E$5:$S$5,0)-1)))</f>
        <v>0</v>
      </c>
      <c r="AN39" s="533" cm="1">
        <f t="array" aca="1" ref="AN39" ca="1">IF(AN$21&lt;Standard_Year,'No STDs Case Rev &amp; Cost'!AN39,
OFFSET(AN39,-5,0)*
OFFSET(MSP!$F$1,
MATCH(OFFSET($C32,((MATCH($C32,EL_List,0)-1)*-10)-1,0),MSP!$C:$C,0)+MATCH($C32,EL_List,0)-1,0)
*INDEX(Learning!$E$6:$S$41,(MATCH(AN$21,Dates,0)),(MATCH($C$21,Learning!$E$4:$S$4,0)+MATCH($C$32,Learning!$E$5:$S$5,0)-1)))</f>
        <v>0</v>
      </c>
      <c r="AO39" s="436"/>
      <c r="AP39" s="21"/>
    </row>
    <row r="40" spans="2:42" ht="15" customHeight="1" collapsed="1" x14ac:dyDescent="0.35">
      <c r="B40" s="429"/>
      <c r="C40" s="780" t="s">
        <v>215</v>
      </c>
      <c r="D40" s="776"/>
      <c r="E40" s="531" cm="1">
        <f t="array" aca="1" ref="E40" ca="1">IF(E$21&lt;Standard_Year,'No STDs Case Rev &amp; Cost'!E40,
OFFSET(E40,-6,0)*
OFFSET(MSP!$G$1,
MATCH(OFFSET($C32,((MATCH($C32,EL_List,0)-1)*-10)-1,0),MSP!$C:$C,0)+MATCH($C32,EL_List,0)-1,0)
*INDEX(Learning!$E$6:$S$41,(MATCH(E$21,Dates,0)),(MATCH($C$21,Learning!$E$4:$S$4,0)+MATCH($C$32,Learning!$E$5:$S$5,0)-1)))</f>
        <v>0.9447111141734853</v>
      </c>
      <c r="F40" s="531" cm="1">
        <f t="array" aca="1" ref="F40" ca="1">IF(F$21&lt;Standard_Year,'No STDs Case Rev &amp; Cost'!F40,
OFFSET(F40,-6,0)*
OFFSET(MSP!$G$1,
MATCH(OFFSET($C32,((MATCH($C32,EL_List,0)-1)*-10)-1,0),MSP!$C:$C,0)+MATCH($C32,EL_List,0)-1,0)
*INDEX(Learning!$E$6:$S$41,(MATCH(F$21,Dates,0)),(MATCH($C$21,Learning!$E$4:$S$4,0)+MATCH($C$32,Learning!$E$5:$S$5,0)-1)))</f>
        <v>0.97939433941898935</v>
      </c>
      <c r="G40" s="531" cm="1">
        <f t="array" aca="1" ref="G40" ca="1">IF(G$21&lt;Standard_Year,'No STDs Case Rev &amp; Cost'!G40,
OFFSET(G40,-6,0)*
OFFSET(MSP!$G$1,
MATCH(OFFSET($C32,((MATCH($C32,EL_List,0)-1)*-10)-1,0),MSP!$C:$C,0)+MATCH($C32,EL_List,0)-1,0)
*INDEX(Learning!$E$6:$S$41,(MATCH(G$21,Dates,0)),(MATCH($C$21,Learning!$E$4:$S$4,0)+MATCH($C$32,Learning!$E$5:$S$5,0)-1)))</f>
        <v>1.0091083948672275</v>
      </c>
      <c r="H40" s="531" cm="1">
        <f t="array" aca="1" ref="H40" ca="1">IF(H$21&lt;Standard_Year,'No STDs Case Rev &amp; Cost'!H40,
OFFSET(H40,-6,0)*
OFFSET(MSP!$G$1,
MATCH(OFFSET($C32,((MATCH($C32,EL_List,0)-1)*-10)-1,0),MSP!$C:$C,0)+MATCH($C32,EL_List,0)-1,0)
*INDEX(Learning!$E$6:$S$41,(MATCH(H$21,Dates,0)),(MATCH($C$21,Learning!$E$4:$S$4,0)+MATCH($C$32,Learning!$E$5:$S$5,0)-1)))</f>
        <v>1.0493050903591725</v>
      </c>
      <c r="I40" s="531" cm="1">
        <f t="array" aca="1" ref="I40" ca="1">IF(I$21&lt;Standard_Year,'No STDs Case Rev &amp; Cost'!I40,
OFFSET(I40,-6,0)*
OFFSET(MSP!$G$1,
MATCH(OFFSET($C32,((MATCH($C32,EL_List,0)-1)*-10)-1,0),MSP!$C:$C,0)+MATCH($C32,EL_List,0)-1,0)
*INDEX(Learning!$E$6:$S$41,(MATCH(I$21,Dates,0)),(MATCH($C$21,Learning!$E$4:$S$4,0)+MATCH($C$32,Learning!$E$5:$S$5,0)-1)))</f>
        <v>0</v>
      </c>
      <c r="J40" s="531" cm="1">
        <f t="array" aca="1" ref="J40" ca="1">IF(J$21&lt;Standard_Year,'No STDs Case Rev &amp; Cost'!J40,
OFFSET(J40,-6,0)*
OFFSET(MSP!$G$1,
MATCH(OFFSET($C32,((MATCH($C32,EL_List,0)-1)*-10)-1,0),MSP!$C:$C,0)+MATCH($C32,EL_List,0)-1,0)
*INDEX(Learning!$E$6:$S$41,(MATCH(J$21,Dates,0)),(MATCH($C$21,Learning!$E$4:$S$4,0)+MATCH($C$32,Learning!$E$5:$S$5,0)-1)))</f>
        <v>0</v>
      </c>
      <c r="K40" s="531" cm="1">
        <f t="array" aca="1" ref="K40" ca="1">IF(K$21&lt;Standard_Year,'No STDs Case Rev &amp; Cost'!K40,
OFFSET(K40,-6,0)*
OFFSET(MSP!$G$1,
MATCH(OFFSET($C32,((MATCH($C32,EL_List,0)-1)*-10)-1,0),MSP!$C:$C,0)+MATCH($C32,EL_List,0)-1,0)
*INDEX(Learning!$E$6:$S$41,(MATCH(K$21,Dates,0)),(MATCH($C$21,Learning!$E$4:$S$4,0)+MATCH($C$32,Learning!$E$5:$S$5,0)-1)))</f>
        <v>0</v>
      </c>
      <c r="L40" s="531" cm="1">
        <f t="array" aca="1" ref="L40" ca="1">IF(L$21&lt;Standard_Year,'No STDs Case Rev &amp; Cost'!L40,
OFFSET(L40,-6,0)*
OFFSET(MSP!$G$1,
MATCH(OFFSET($C32,((MATCH($C32,EL_List,0)-1)*-10)-1,0),MSP!$C:$C,0)+MATCH($C32,EL_List,0)-1,0)
*INDEX(Learning!$E$6:$S$41,(MATCH(L$21,Dates,0)),(MATCH($C$21,Learning!$E$4:$S$4,0)+MATCH($C$32,Learning!$E$5:$S$5,0)-1)))</f>
        <v>0</v>
      </c>
      <c r="M40" s="531" cm="1">
        <f t="array" aca="1" ref="M40" ca="1">IF(M$21&lt;Standard_Year,'No STDs Case Rev &amp; Cost'!M40,
OFFSET(M40,-6,0)*
OFFSET(MSP!$G$1,
MATCH(OFFSET($C32,((MATCH($C32,EL_List,0)-1)*-10)-1,0),MSP!$C:$C,0)+MATCH($C32,EL_List,0)-1,0)
*INDEX(Learning!$E$6:$S$41,(MATCH(M$21,Dates,0)),(MATCH($C$21,Learning!$E$4:$S$4,0)+MATCH($C$32,Learning!$E$5:$S$5,0)-1)))</f>
        <v>0</v>
      </c>
      <c r="N40" s="531" cm="1">
        <f t="array" aca="1" ref="N40" ca="1">IF(N$21&lt;Standard_Year,'No STDs Case Rev &amp; Cost'!N40,
OFFSET(N40,-6,0)*
OFFSET(MSP!$G$1,
MATCH(OFFSET($C32,((MATCH($C32,EL_List,0)-1)*-10)-1,0),MSP!$C:$C,0)+MATCH($C32,EL_List,0)-1,0)
*INDEX(Learning!$E$6:$S$41,(MATCH(N$21,Dates,0)),(MATCH($C$21,Learning!$E$4:$S$4,0)+MATCH($C$32,Learning!$E$5:$S$5,0)-1)))</f>
        <v>0</v>
      </c>
      <c r="O40" s="531" cm="1">
        <f t="array" aca="1" ref="O40" ca="1">IF(O$21&lt;Standard_Year,'No STDs Case Rev &amp; Cost'!O40,
OFFSET(O40,-6,0)*
OFFSET(MSP!$G$1,
MATCH(OFFSET($C32,((MATCH($C32,EL_List,0)-1)*-10)-1,0),MSP!$C:$C,0)+MATCH($C32,EL_List,0)-1,0)
*INDEX(Learning!$E$6:$S$41,(MATCH(O$21,Dates,0)),(MATCH($C$21,Learning!$E$4:$S$4,0)+MATCH($C$32,Learning!$E$5:$S$5,0)-1)))</f>
        <v>0</v>
      </c>
      <c r="P40" s="531" cm="1">
        <f t="array" aca="1" ref="P40" ca="1">IF(P$21&lt;Standard_Year,'No STDs Case Rev &amp; Cost'!P40,
OFFSET(P40,-6,0)*
OFFSET(MSP!$G$1,
MATCH(OFFSET($C32,((MATCH($C32,EL_List,0)-1)*-10)-1,0),MSP!$C:$C,0)+MATCH($C32,EL_List,0)-1,0)
*INDEX(Learning!$E$6:$S$41,(MATCH(P$21,Dates,0)),(MATCH($C$21,Learning!$E$4:$S$4,0)+MATCH($C$32,Learning!$E$5:$S$5,0)-1)))</f>
        <v>0</v>
      </c>
      <c r="Q40" s="531" cm="1">
        <f t="array" aca="1" ref="Q40" ca="1">IF(Q$21&lt;Standard_Year,'No STDs Case Rev &amp; Cost'!Q40,
OFFSET(Q40,-6,0)*
OFFSET(MSP!$G$1,
MATCH(OFFSET($C32,((MATCH($C32,EL_List,0)-1)*-10)-1,0),MSP!$C:$C,0)+MATCH($C32,EL_List,0)-1,0)
*INDEX(Learning!$E$6:$S$41,(MATCH(Q$21,Dates,0)),(MATCH($C$21,Learning!$E$4:$S$4,0)+MATCH($C$32,Learning!$E$5:$S$5,0)-1)))</f>
        <v>0</v>
      </c>
      <c r="R40" s="531" cm="1">
        <f t="array" aca="1" ref="R40" ca="1">IF(R$21&lt;Standard_Year,'No STDs Case Rev &amp; Cost'!R40,
OFFSET(R40,-6,0)*
OFFSET(MSP!$G$1,
MATCH(OFFSET($C32,((MATCH($C32,EL_List,0)-1)*-10)-1,0),MSP!$C:$C,0)+MATCH($C32,EL_List,0)-1,0)
*INDEX(Learning!$E$6:$S$41,(MATCH(R$21,Dates,0)),(MATCH($C$21,Learning!$E$4:$S$4,0)+MATCH($C$32,Learning!$E$5:$S$5,0)-1)))</f>
        <v>0</v>
      </c>
      <c r="S40" s="531" cm="1">
        <f t="array" aca="1" ref="S40" ca="1">IF(S$21&lt;Standard_Year,'No STDs Case Rev &amp; Cost'!S40,
OFFSET(S40,-6,0)*
OFFSET(MSP!$G$1,
MATCH(OFFSET($C32,((MATCH($C32,EL_List,0)-1)*-10)-1,0),MSP!$C:$C,0)+MATCH($C32,EL_List,0)-1,0)
*INDEX(Learning!$E$6:$S$41,(MATCH(S$21,Dates,0)),(MATCH($C$21,Learning!$E$4:$S$4,0)+MATCH($C$32,Learning!$E$5:$S$5,0)-1)))</f>
        <v>0</v>
      </c>
      <c r="T40" s="531" cm="1">
        <f t="array" aca="1" ref="T40" ca="1">IF(T$21&lt;Standard_Year,'No STDs Case Rev &amp; Cost'!T40,
OFFSET(T40,-6,0)*
OFFSET(MSP!$G$1,
MATCH(OFFSET($C32,((MATCH($C32,EL_List,0)-1)*-10)-1,0),MSP!$C:$C,0)+MATCH($C32,EL_List,0)-1,0)
*INDEX(Learning!$E$6:$S$41,(MATCH(T$21,Dates,0)),(MATCH($C$21,Learning!$E$4:$S$4,0)+MATCH($C$32,Learning!$E$5:$S$5,0)-1)))</f>
        <v>0</v>
      </c>
      <c r="U40" s="531" cm="1">
        <f t="array" aca="1" ref="U40" ca="1">IF(U$21&lt;Standard_Year,'No STDs Case Rev &amp; Cost'!U40,
OFFSET(U40,-6,0)*
OFFSET(MSP!$G$1,
MATCH(OFFSET($C32,((MATCH($C32,EL_List,0)-1)*-10)-1,0),MSP!$C:$C,0)+MATCH($C32,EL_List,0)-1,0)
*INDEX(Learning!$E$6:$S$41,(MATCH(U$21,Dates,0)),(MATCH($C$21,Learning!$E$4:$S$4,0)+MATCH($C$32,Learning!$E$5:$S$5,0)-1)))</f>
        <v>0</v>
      </c>
      <c r="V40" s="531" cm="1">
        <f t="array" aca="1" ref="V40" ca="1">IF(V$21&lt;Standard_Year,'No STDs Case Rev &amp; Cost'!V40,
OFFSET(V40,-6,0)*
OFFSET(MSP!$G$1,
MATCH(OFFSET($C32,((MATCH($C32,EL_List,0)-1)*-10)-1,0),MSP!$C:$C,0)+MATCH($C32,EL_List,0)-1,0)
*INDEX(Learning!$E$6:$S$41,(MATCH(V$21,Dates,0)),(MATCH($C$21,Learning!$E$4:$S$4,0)+MATCH($C$32,Learning!$E$5:$S$5,0)-1)))</f>
        <v>0</v>
      </c>
      <c r="W40" s="531" cm="1">
        <f t="array" aca="1" ref="W40" ca="1">IF(W$21&lt;Standard_Year,'No STDs Case Rev &amp; Cost'!W40,
OFFSET(W40,-6,0)*
OFFSET(MSP!$G$1,
MATCH(OFFSET($C32,((MATCH($C32,EL_List,0)-1)*-10)-1,0),MSP!$C:$C,0)+MATCH($C32,EL_List,0)-1,0)
*INDEX(Learning!$E$6:$S$41,(MATCH(W$21,Dates,0)),(MATCH($C$21,Learning!$E$4:$S$4,0)+MATCH($C$32,Learning!$E$5:$S$5,0)-1)))</f>
        <v>0</v>
      </c>
      <c r="X40" s="531" cm="1">
        <f t="array" aca="1" ref="X40" ca="1">IF(X$21&lt;Standard_Year,'No STDs Case Rev &amp; Cost'!X40,
OFFSET(X40,-6,0)*
OFFSET(MSP!$G$1,
MATCH(OFFSET($C32,((MATCH($C32,EL_List,0)-1)*-10)-1,0),MSP!$C:$C,0)+MATCH($C32,EL_List,0)-1,0)
*INDEX(Learning!$E$6:$S$41,(MATCH(X$21,Dates,0)),(MATCH($C$21,Learning!$E$4:$S$4,0)+MATCH($C$32,Learning!$E$5:$S$5,0)-1)))</f>
        <v>0</v>
      </c>
      <c r="Y40" s="531" cm="1">
        <f t="array" aca="1" ref="Y40" ca="1">IF(Y$21&lt;Standard_Year,'No STDs Case Rev &amp; Cost'!Y40,
OFFSET(Y40,-6,0)*
OFFSET(MSP!$G$1,
MATCH(OFFSET($C32,((MATCH($C32,EL_List,0)-1)*-10)-1,0),MSP!$C:$C,0)+MATCH($C32,EL_List,0)-1,0)
*INDEX(Learning!$E$6:$S$41,(MATCH(Y$21,Dates,0)),(MATCH($C$21,Learning!$E$4:$S$4,0)+MATCH($C$32,Learning!$E$5:$S$5,0)-1)))</f>
        <v>0</v>
      </c>
      <c r="Z40" s="531" cm="1">
        <f t="array" aca="1" ref="Z40" ca="1">IF(Z$21&lt;Standard_Year,'No STDs Case Rev &amp; Cost'!Z40,
OFFSET(Z40,-6,0)*
OFFSET(MSP!$G$1,
MATCH(OFFSET($C32,((MATCH($C32,EL_List,0)-1)*-10)-1,0),MSP!$C:$C,0)+MATCH($C32,EL_List,0)-1,0)
*INDEX(Learning!$E$6:$S$41,(MATCH(Z$21,Dates,0)),(MATCH($C$21,Learning!$E$4:$S$4,0)+MATCH($C$32,Learning!$E$5:$S$5,0)-1)))</f>
        <v>0</v>
      </c>
      <c r="AA40" s="531" cm="1">
        <f t="array" aca="1" ref="AA40" ca="1">IF(AA$21&lt;Standard_Year,'No STDs Case Rev &amp; Cost'!AA40,
OFFSET(AA40,-6,0)*
OFFSET(MSP!$G$1,
MATCH(OFFSET($C32,((MATCH($C32,EL_List,0)-1)*-10)-1,0),MSP!$C:$C,0)+MATCH($C32,EL_List,0)-1,0)
*INDEX(Learning!$E$6:$S$41,(MATCH(AA$21,Dates,0)),(MATCH($C$21,Learning!$E$4:$S$4,0)+MATCH($C$32,Learning!$E$5:$S$5,0)-1)))</f>
        <v>0</v>
      </c>
      <c r="AB40" s="531" cm="1">
        <f t="array" aca="1" ref="AB40" ca="1">IF(AB$21&lt;Standard_Year,'No STDs Case Rev &amp; Cost'!AB40,
OFFSET(AB40,-6,0)*
OFFSET(MSP!$G$1,
MATCH(OFFSET($C32,((MATCH($C32,EL_List,0)-1)*-10)-1,0),MSP!$C:$C,0)+MATCH($C32,EL_List,0)-1,0)
*INDEX(Learning!$E$6:$S$41,(MATCH(AB$21,Dates,0)),(MATCH($C$21,Learning!$E$4:$S$4,0)+MATCH($C$32,Learning!$E$5:$S$5,0)-1)))</f>
        <v>0</v>
      </c>
      <c r="AC40" s="531" cm="1">
        <f t="array" aca="1" ref="AC40" ca="1">IF(AC$21&lt;Standard_Year,'No STDs Case Rev &amp; Cost'!AC40,
OFFSET(AC40,-6,0)*
OFFSET(MSP!$G$1,
MATCH(OFFSET($C32,((MATCH($C32,EL_List,0)-1)*-10)-1,0),MSP!$C:$C,0)+MATCH($C32,EL_List,0)-1,0)
*INDEX(Learning!$E$6:$S$41,(MATCH(AC$21,Dates,0)),(MATCH($C$21,Learning!$E$4:$S$4,0)+MATCH($C$32,Learning!$E$5:$S$5,0)-1)))</f>
        <v>0</v>
      </c>
      <c r="AD40" s="531" cm="1">
        <f t="array" aca="1" ref="AD40" ca="1">IF(AD$21&lt;Standard_Year,'No STDs Case Rev &amp; Cost'!AD40,
OFFSET(AD40,-6,0)*
OFFSET(MSP!$G$1,
MATCH(OFFSET($C32,((MATCH($C32,EL_List,0)-1)*-10)-1,0),MSP!$C:$C,0)+MATCH($C32,EL_List,0)-1,0)
*INDEX(Learning!$E$6:$S$41,(MATCH(AD$21,Dates,0)),(MATCH($C$21,Learning!$E$4:$S$4,0)+MATCH($C$32,Learning!$E$5:$S$5,0)-1)))</f>
        <v>0</v>
      </c>
      <c r="AE40" s="531" cm="1">
        <f t="array" aca="1" ref="AE40" ca="1">IF(AE$21&lt;Standard_Year,'No STDs Case Rev &amp; Cost'!AE40,
OFFSET(AE40,-6,0)*
OFFSET(MSP!$G$1,
MATCH(OFFSET($C32,((MATCH($C32,EL_List,0)-1)*-10)-1,0),MSP!$C:$C,0)+MATCH($C32,EL_List,0)-1,0)
*INDEX(Learning!$E$6:$S$41,(MATCH(AE$21,Dates,0)),(MATCH($C$21,Learning!$E$4:$S$4,0)+MATCH($C$32,Learning!$E$5:$S$5,0)-1)))</f>
        <v>0</v>
      </c>
      <c r="AF40" s="531" cm="1">
        <f t="array" aca="1" ref="AF40" ca="1">IF(AF$21&lt;Standard_Year,'No STDs Case Rev &amp; Cost'!AF40,
OFFSET(AF40,-6,0)*
OFFSET(MSP!$G$1,
MATCH(OFFSET($C32,((MATCH($C32,EL_List,0)-1)*-10)-1,0),MSP!$C:$C,0)+MATCH($C32,EL_List,0)-1,0)
*INDEX(Learning!$E$6:$S$41,(MATCH(AF$21,Dates,0)),(MATCH($C$21,Learning!$E$4:$S$4,0)+MATCH($C$32,Learning!$E$5:$S$5,0)-1)))</f>
        <v>0</v>
      </c>
      <c r="AG40" s="531" cm="1">
        <f t="array" aca="1" ref="AG40" ca="1">IF(AG$21&lt;Standard_Year,'No STDs Case Rev &amp; Cost'!AG40,
OFFSET(AG40,-6,0)*
OFFSET(MSP!$G$1,
MATCH(OFFSET($C32,((MATCH($C32,EL_List,0)-1)*-10)-1,0),MSP!$C:$C,0)+MATCH($C32,EL_List,0)-1,0)
*INDEX(Learning!$E$6:$S$41,(MATCH(AG$21,Dates,0)),(MATCH($C$21,Learning!$E$4:$S$4,0)+MATCH($C$32,Learning!$E$5:$S$5,0)-1)))</f>
        <v>0</v>
      </c>
      <c r="AH40" s="531" cm="1">
        <f t="array" aca="1" ref="AH40" ca="1">IF(AH$21&lt;Standard_Year,'No STDs Case Rev &amp; Cost'!AH40,
OFFSET(AH40,-6,0)*
OFFSET(MSP!$G$1,
MATCH(OFFSET($C32,((MATCH($C32,EL_List,0)-1)*-10)-1,0),MSP!$C:$C,0)+MATCH($C32,EL_List,0)-1,0)
*INDEX(Learning!$E$6:$S$41,(MATCH(AH$21,Dates,0)),(MATCH($C$21,Learning!$E$4:$S$4,0)+MATCH($C$32,Learning!$E$5:$S$5,0)-1)))</f>
        <v>0</v>
      </c>
      <c r="AI40" s="531" cm="1">
        <f t="array" aca="1" ref="AI40" ca="1">IF(AI$21&lt;Standard_Year,'No STDs Case Rev &amp; Cost'!AI40,
OFFSET(AI40,-6,0)*
OFFSET(MSP!$G$1,
MATCH(OFFSET($C32,((MATCH($C32,EL_List,0)-1)*-10)-1,0),MSP!$C:$C,0)+MATCH($C32,EL_List,0)-1,0)
*INDEX(Learning!$E$6:$S$41,(MATCH(AI$21,Dates,0)),(MATCH($C$21,Learning!$E$4:$S$4,0)+MATCH($C$32,Learning!$E$5:$S$5,0)-1)))</f>
        <v>0</v>
      </c>
      <c r="AJ40" s="531" cm="1">
        <f t="array" aca="1" ref="AJ40" ca="1">IF(AJ$21&lt;Standard_Year,'No STDs Case Rev &amp; Cost'!AJ40,
OFFSET(AJ40,-6,0)*
OFFSET(MSP!$G$1,
MATCH(OFFSET($C32,((MATCH($C32,EL_List,0)-1)*-10)-1,0),MSP!$C:$C,0)+MATCH($C32,EL_List,0)-1,0)
*INDEX(Learning!$E$6:$S$41,(MATCH(AJ$21,Dates,0)),(MATCH($C$21,Learning!$E$4:$S$4,0)+MATCH($C$32,Learning!$E$5:$S$5,0)-1)))</f>
        <v>0</v>
      </c>
      <c r="AK40" s="531" cm="1">
        <f t="array" aca="1" ref="AK40" ca="1">IF(AK$21&lt;Standard_Year,'No STDs Case Rev &amp; Cost'!AK40,
OFFSET(AK40,-6,0)*
OFFSET(MSP!$G$1,
MATCH(OFFSET($C32,((MATCH($C32,EL_List,0)-1)*-10)-1,0),MSP!$C:$C,0)+MATCH($C32,EL_List,0)-1,0)
*INDEX(Learning!$E$6:$S$41,(MATCH(AK$21,Dates,0)),(MATCH($C$21,Learning!$E$4:$S$4,0)+MATCH($C$32,Learning!$E$5:$S$5,0)-1)))</f>
        <v>0</v>
      </c>
      <c r="AL40" s="531" cm="1">
        <f t="array" aca="1" ref="AL40" ca="1">IF(AL$21&lt;Standard_Year,'No STDs Case Rev &amp; Cost'!AL40,
OFFSET(AL40,-6,0)*
OFFSET(MSP!$G$1,
MATCH(OFFSET($C32,((MATCH($C32,EL_List,0)-1)*-10)-1,0),MSP!$C:$C,0)+MATCH($C32,EL_List,0)-1,0)
*INDEX(Learning!$E$6:$S$41,(MATCH(AL$21,Dates,0)),(MATCH($C$21,Learning!$E$4:$S$4,0)+MATCH($C$32,Learning!$E$5:$S$5,0)-1)))</f>
        <v>0</v>
      </c>
      <c r="AM40" s="531" cm="1">
        <f t="array" aca="1" ref="AM40" ca="1">IF(AM$21&lt;Standard_Year,'No STDs Case Rev &amp; Cost'!AM40,
OFFSET(AM40,-6,0)*
OFFSET(MSP!$G$1,
MATCH(OFFSET($C32,((MATCH($C32,EL_List,0)-1)*-10)-1,0),MSP!$C:$C,0)+MATCH($C32,EL_List,0)-1,0)
*INDEX(Learning!$E$6:$S$41,(MATCH(AM$21,Dates,0)),(MATCH($C$21,Learning!$E$4:$S$4,0)+MATCH($C$32,Learning!$E$5:$S$5,0)-1)))</f>
        <v>0</v>
      </c>
      <c r="AN40" s="531" cm="1">
        <f t="array" aca="1" ref="AN40" ca="1">IF(AN$21&lt;Standard_Year,'No STDs Case Rev &amp; Cost'!AN40,
OFFSET(AN40,-6,0)*
OFFSET(MSP!$G$1,
MATCH(OFFSET($C32,((MATCH($C32,EL_List,0)-1)*-10)-1,0),MSP!$C:$C,0)+MATCH($C32,EL_List,0)-1,0)
*INDEX(Learning!$E$6:$S$41,(MATCH(AN$21,Dates,0)),(MATCH($C$21,Learning!$E$4:$S$4,0)+MATCH($C$32,Learning!$E$5:$S$5,0)-1)))</f>
        <v>0</v>
      </c>
      <c r="AO40" s="436"/>
      <c r="AP40" s="21"/>
    </row>
    <row r="41" spans="2:42" ht="15" customHeight="1" x14ac:dyDescent="0.35">
      <c r="B41" s="429"/>
      <c r="C41" s="776"/>
      <c r="D41" s="776"/>
      <c r="E41" s="776"/>
      <c r="F41" s="776"/>
      <c r="G41" s="776"/>
      <c r="H41" s="776"/>
      <c r="I41" s="776"/>
      <c r="J41" s="776"/>
      <c r="K41" s="776"/>
      <c r="L41" s="776"/>
      <c r="M41" s="776"/>
      <c r="N41" s="776"/>
      <c r="O41" s="776"/>
      <c r="P41" s="776"/>
      <c r="Q41" s="776"/>
      <c r="R41" s="776"/>
      <c r="S41" s="776"/>
      <c r="T41" s="776"/>
      <c r="U41" s="776"/>
      <c r="V41" s="776"/>
      <c r="W41" s="776"/>
      <c r="X41" s="776"/>
      <c r="Y41" s="776"/>
      <c r="Z41" s="776"/>
      <c r="AA41" s="776"/>
      <c r="AB41" s="776"/>
      <c r="AC41" s="776"/>
      <c r="AD41" s="776"/>
      <c r="AE41" s="776"/>
      <c r="AF41" s="776"/>
      <c r="AG41" s="776"/>
      <c r="AH41" s="776"/>
      <c r="AI41" s="776"/>
      <c r="AJ41" s="776"/>
      <c r="AK41" s="776"/>
      <c r="AL41" s="776"/>
      <c r="AM41" s="776"/>
      <c r="AN41" s="776"/>
      <c r="AO41" s="436"/>
      <c r="AP41" s="21"/>
    </row>
    <row r="42" spans="2:42" ht="15" customHeight="1" x14ac:dyDescent="0.35">
      <c r="B42" s="429"/>
      <c r="C42" s="772" t="s">
        <v>344</v>
      </c>
      <c r="D42" s="776"/>
      <c r="E42" s="776"/>
      <c r="F42" s="776"/>
      <c r="G42" s="776"/>
      <c r="H42" s="776"/>
      <c r="I42" s="776"/>
      <c r="J42" s="776"/>
      <c r="K42" s="776"/>
      <c r="L42" s="776"/>
      <c r="M42" s="776"/>
      <c r="N42" s="776"/>
      <c r="O42" s="776"/>
      <c r="P42" s="776"/>
      <c r="Q42" s="776"/>
      <c r="R42" s="776"/>
      <c r="S42" s="776"/>
      <c r="T42" s="776"/>
      <c r="U42" s="776"/>
      <c r="V42" s="776"/>
      <c r="W42" s="776"/>
      <c r="X42" s="776"/>
      <c r="Y42" s="776"/>
      <c r="Z42" s="776"/>
      <c r="AA42" s="776"/>
      <c r="AB42" s="776"/>
      <c r="AC42" s="776"/>
      <c r="AD42" s="776"/>
      <c r="AE42" s="776"/>
      <c r="AF42" s="776"/>
      <c r="AG42" s="776"/>
      <c r="AH42" s="776"/>
      <c r="AI42" s="776"/>
      <c r="AJ42" s="776"/>
      <c r="AK42" s="776"/>
      <c r="AL42" s="776"/>
      <c r="AM42" s="776"/>
      <c r="AN42" s="776"/>
      <c r="AO42" s="436"/>
      <c r="AP42" s="21"/>
    </row>
    <row r="43" spans="2:42" ht="15" customHeight="1" x14ac:dyDescent="0.35">
      <c r="B43" s="429"/>
      <c r="C43" s="777" t="s">
        <v>10</v>
      </c>
      <c r="D43" s="776"/>
      <c r="E43" s="778" cm="1">
        <f t="array" aca="1" ref="E43" ca="1">IF(E$21&lt;Standard_Year,'No STDs Case Rev &amp; Cost'!E43,
OFFSET(MSP!$C$1,
MATCH(OFFSET($C42,((MATCH($C42,EL_List,0)-1)*-10)-1,0),MSP!$C:$C,0)+MATCH($C42,EL_List,0)-1,
MATCH(OFFSET($C42,((MATCH($C42,EL_List,0)-1)*-10)-3,0),MSP!$D$5:$N$5,0)+1)
*INDEX(Learning!$E$6:$S$41,(MATCH(E$21,Dates,0)),(MATCH($C$21,Learning!$E$4:$S$4,0)+MATCH($C$42,Learning!$E$5:$S$5,0)-1)))</f>
        <v>50.5941975</v>
      </c>
      <c r="F43" s="778" cm="1">
        <f t="array" aca="1" ref="F43" ca="1">IF(F$21&lt;Standard_Year,'No STDs Case Rev &amp; Cost'!F43,
OFFSET(MSP!$C$1,
MATCH(OFFSET($C42,((MATCH($C42,EL_List,0)-1)*-10)-1,0),MSP!$C:$C,0)+MATCH($C42,EL_List,0)-1,
MATCH(OFFSET($C42,((MATCH($C42,EL_List,0)-1)*-10)-3,0),MSP!$D$5:$N$5,0)+1)
*INDEX(Learning!$E$6:$S$41,(MATCH(F$21,Dates,0)),(MATCH($C$21,Learning!$E$4:$S$4,0)+MATCH($C$42,Learning!$E$5:$S$5,0)-1)))</f>
        <v>50.158458000000003</v>
      </c>
      <c r="G43" s="778" cm="1">
        <f t="array" aca="1" ref="G43" ca="1">IF(G$21&lt;Standard_Year,'No STDs Case Rev &amp; Cost'!G43,
OFFSET(MSP!$C$1,
MATCH(OFFSET($C42,((MATCH($C42,EL_List,0)-1)*-10)-1,0),MSP!$C:$C,0)+MATCH($C42,EL_List,0)-1,
MATCH(OFFSET($C42,((MATCH($C42,EL_List,0)-1)*-10)-3,0),MSP!$D$5:$N$5,0)+1)
*INDEX(Learning!$E$6:$S$41,(MATCH(G$21,Dates,0)),(MATCH($C$21,Learning!$E$4:$S$4,0)+MATCH($C$42,Learning!$E$5:$S$5,0)-1)))</f>
        <v>49.771134000000004</v>
      </c>
      <c r="H43" s="778" cm="1">
        <f t="array" aca="1" ref="H43" ca="1">IF(H$21&lt;Standard_Year,'No STDs Case Rev &amp; Cost'!H43,
OFFSET(MSP!$C$1,
MATCH(OFFSET($C42,((MATCH($C42,EL_List,0)-1)*-10)-1,0),MSP!$C:$C,0)+MATCH($C42,EL_List,0)-1,
MATCH(OFFSET($C42,((MATCH($C42,EL_List,0)-1)*-10)-3,0),MSP!$D$5:$N$5,0)+1)
*INDEX(Learning!$E$6:$S$41,(MATCH(H$21,Dates,0)),(MATCH($C$21,Learning!$E$4:$S$4,0)+MATCH($C$42,Learning!$E$5:$S$5,0)-1)))</f>
        <v>49.432225499999994</v>
      </c>
      <c r="I43" s="778" cm="1">
        <f t="array" aca="1" ref="I43" ca="1">IF(I$21&lt;Standard_Year,'No STDs Case Rev &amp; Cost'!I43,
OFFSET(MSP!$C$1,
MATCH(OFFSET($C42,((MATCH($C42,EL_List,0)-1)*-10)-1,0),MSP!$C:$C,0)+MATCH($C42,EL_List,0)-1,
MATCH(OFFSET($C42,((MATCH($C42,EL_List,0)-1)*-10)-3,0),MSP!$D$5:$N$5,0)+1)
*INDEX(Learning!$E$6:$S$41,(MATCH(I$21,Dates,0)),(MATCH($C$21,Learning!$E$4:$S$4,0)+MATCH($C$42,Learning!$E$5:$S$5,0)-1)))</f>
        <v>48.838165819461906</v>
      </c>
      <c r="J43" s="778" cm="1">
        <f t="array" aca="1" ref="J43" ca="1">IF(J$21&lt;Standard_Year,'No STDs Case Rev &amp; Cost'!J43,
OFFSET(MSP!$C$1,
MATCH(OFFSET($C42,((MATCH($C42,EL_List,0)-1)*-10)-1,0),MSP!$C:$C,0)+MATCH($C42,EL_List,0)-1,
MATCH(OFFSET($C42,((MATCH($C42,EL_List,0)-1)*-10)-3,0),MSP!$D$5:$N$5,0)+1)
*INDEX(Learning!$E$6:$S$41,(MATCH(J$21,Dates,0)),(MATCH($C$21,Learning!$E$4:$S$4,0)+MATCH($C$42,Learning!$E$5:$S$5,0)-1)))</f>
        <v>48.501018718144117</v>
      </c>
      <c r="K43" s="778" cm="1">
        <f t="array" aca="1" ref="K43" ca="1">IF(K$21&lt;Standard_Year,'No STDs Case Rev &amp; Cost'!K43,
OFFSET(MSP!$C$1,
MATCH(OFFSET($C42,((MATCH($C42,EL_List,0)-1)*-10)-1,0),MSP!$C:$C,0)+MATCH($C42,EL_List,0)-1,
MATCH(OFFSET($C42,((MATCH($C42,EL_List,0)-1)*-10)-3,0),MSP!$D$5:$N$5,0)+1)
*INDEX(Learning!$E$6:$S$41,(MATCH(K$21,Dates,0)),(MATCH($C$21,Learning!$E$4:$S$4,0)+MATCH($C$42,Learning!$E$5:$S$5,0)-1)))</f>
        <v>48.163871616826334</v>
      </c>
      <c r="L43" s="778" cm="1">
        <f t="array" aca="1" ref="L43" ca="1">IF(L$21&lt;Standard_Year,'No STDs Case Rev &amp; Cost'!L43,
OFFSET(MSP!$C$1,
MATCH(OFFSET($C42,((MATCH($C42,EL_List,0)-1)*-10)-1,0),MSP!$C:$C,0)+MATCH($C42,EL_List,0)-1,
MATCH(OFFSET($C42,((MATCH($C42,EL_List,0)-1)*-10)-3,0),MSP!$D$5:$N$5,0)+1)
*INDEX(Learning!$E$6:$S$41,(MATCH(L$21,Dates,0)),(MATCH($C$21,Learning!$E$4:$S$4,0)+MATCH($C$42,Learning!$E$5:$S$5,0)-1)))</f>
        <v>47.874888387125374</v>
      </c>
      <c r="M43" s="778" cm="1">
        <f t="array" aca="1" ref="M43" ca="1">IF(M$21&lt;Standard_Year,'No STDs Case Rev &amp; Cost'!M43,
OFFSET(MSP!$C$1,
MATCH(OFFSET($C42,((MATCH($C42,EL_List,0)-1)*-10)-1,0),MSP!$C:$C,0)+MATCH($C42,EL_List,0)-1,
MATCH(OFFSET($C42,((MATCH($C42,EL_List,0)-1)*-10)-3,0),MSP!$D$5:$N$5,0)+1)
*INDEX(Learning!$E$6:$S$41,(MATCH(M$21,Dates,0)),(MATCH($C$21,Learning!$E$4:$S$4,0)+MATCH($C$42,Learning!$E$5:$S$5,0)-1)))</f>
        <v>47.537741285807591</v>
      </c>
      <c r="N43" s="778" cm="1">
        <f t="array" aca="1" ref="N43" ca="1">IF(N$21&lt;Standard_Year,'No STDs Case Rev &amp; Cost'!N43,
OFFSET(MSP!$C$1,
MATCH(OFFSET($C42,((MATCH($C42,EL_List,0)-1)*-10)-1,0),MSP!$C:$C,0)+MATCH($C42,EL_List,0)-1,
MATCH(OFFSET($C42,((MATCH($C42,EL_List,0)-1)*-10)-3,0),MSP!$D$5:$N$5,0)+1)
*INDEX(Learning!$E$6:$S$41,(MATCH(N$21,Dates,0)),(MATCH($C$21,Learning!$E$4:$S$4,0)+MATCH($C$42,Learning!$E$5:$S$5,0)-1)))</f>
        <v>47.248758056106631</v>
      </c>
      <c r="O43" s="778" cm="1">
        <f t="array" aca="1" ref="O43" ca="1">IF(O$21&lt;Standard_Year,'No STDs Case Rev &amp; Cost'!O43,
OFFSET(MSP!$C$1,
MATCH(OFFSET($C42,((MATCH($C42,EL_List,0)-1)*-10)-1,0),MSP!$C:$C,0)+MATCH($C42,EL_List,0)-1,
MATCH(OFFSET($C42,((MATCH($C42,EL_List,0)-1)*-10)-3,0),MSP!$D$5:$N$5,0)+1)
*INDEX(Learning!$E$6:$S$41,(MATCH(O$21,Dates,0)),(MATCH($C$21,Learning!$E$4:$S$4,0)+MATCH($C$42,Learning!$E$5:$S$5,0)-1)))</f>
        <v>46.959774826405678</v>
      </c>
      <c r="P43" s="778" cm="1">
        <f t="array" aca="1" ref="P43" ca="1">IF(P$21&lt;Standard_Year,'No STDs Case Rev &amp; Cost'!P43,
OFFSET(MSP!$C$1,
MATCH(OFFSET($C42,((MATCH($C42,EL_List,0)-1)*-10)-1,0),MSP!$C:$C,0)+MATCH($C42,EL_List,0)-1,
MATCH(OFFSET($C42,((MATCH($C42,EL_List,0)-1)*-10)-3,0),MSP!$D$5:$N$5,0)+1)
*INDEX(Learning!$E$6:$S$41,(MATCH(P$21,Dates,0)),(MATCH($C$21,Learning!$E$4:$S$4,0)+MATCH($C$42,Learning!$E$5:$S$5,0)-1)))</f>
        <v>46.718955468321546</v>
      </c>
      <c r="Q43" s="778" cm="1">
        <f t="array" aca="1" ref="Q43" ca="1">IF(Q$21&lt;Standard_Year,'No STDs Case Rev &amp; Cost'!Q43,
OFFSET(MSP!$C$1,
MATCH(OFFSET($C42,((MATCH($C42,EL_List,0)-1)*-10)-1,0),MSP!$C:$C,0)+MATCH($C42,EL_List,0)-1,
MATCH(OFFSET($C42,((MATCH($C42,EL_List,0)-1)*-10)-3,0),MSP!$D$5:$N$5,0)+1)
*INDEX(Learning!$E$6:$S$41,(MATCH(Q$21,Dates,0)),(MATCH($C$21,Learning!$E$4:$S$4,0)+MATCH($C$42,Learning!$E$5:$S$5,0)-1)))</f>
        <v>46.429972238620586</v>
      </c>
      <c r="R43" s="778" cm="1">
        <f t="array" aca="1" ref="R43" ca="1">IF(R$21&lt;Standard_Year,'No STDs Case Rev &amp; Cost'!R43,
OFFSET(MSP!$C$1,
MATCH(OFFSET($C42,((MATCH($C42,EL_List,0)-1)*-10)-1,0),MSP!$C:$C,0)+MATCH($C42,EL_List,0)-1,
MATCH(OFFSET($C42,((MATCH($C42,EL_List,0)-1)*-10)-3,0),MSP!$D$5:$N$5,0)+1)
*INDEX(Learning!$E$6:$S$41,(MATCH(R$21,Dates,0)),(MATCH($C$21,Learning!$E$4:$S$4,0)+MATCH($C$42,Learning!$E$5:$S$5,0)-1)))</f>
        <v>46.189152880536454</v>
      </c>
      <c r="S43" s="778" cm="1">
        <f t="array" aca="1" ref="S43" ca="1">IF(S$21&lt;Standard_Year,'No STDs Case Rev &amp; Cost'!S43,
OFFSET(MSP!$C$1,
MATCH(OFFSET($C42,((MATCH($C42,EL_List,0)-1)*-10)-1,0),MSP!$C:$C,0)+MATCH($C42,EL_List,0)-1,
MATCH(OFFSET($C42,((MATCH($C42,EL_List,0)-1)*-10)-3,0),MSP!$D$5:$N$5,0)+1)
*INDEX(Learning!$E$6:$S$41,(MATCH(S$21,Dates,0)),(MATCH($C$21,Learning!$E$4:$S$4,0)+MATCH($C$42,Learning!$E$5:$S$5,0)-1)))</f>
        <v>45.900169650835494</v>
      </c>
      <c r="T43" s="778" cm="1">
        <f t="array" aca="1" ref="T43" ca="1">IF(T$21&lt;Standard_Year,'No STDs Case Rev &amp; Cost'!T43,
OFFSET(MSP!$C$1,
MATCH(OFFSET($C42,((MATCH($C42,EL_List,0)-1)*-10)-1,0),MSP!$C:$C,0)+MATCH($C42,EL_List,0)-1,
MATCH(OFFSET($C42,((MATCH($C42,EL_List,0)-1)*-10)-3,0),MSP!$D$5:$N$5,0)+1)
*INDEX(Learning!$E$6:$S$41,(MATCH(T$21,Dates,0)),(MATCH($C$21,Learning!$E$4:$S$4,0)+MATCH($C$42,Learning!$E$5:$S$5,0)-1)))</f>
        <v>45.659350292751363</v>
      </c>
      <c r="U43" s="778" cm="1">
        <f t="array" aca="1" ref="U43" ca="1">IF(U$21&lt;Standard_Year,'No STDs Case Rev &amp; Cost'!U43,
OFFSET(MSP!$C$1,
MATCH(OFFSET($C42,((MATCH($C42,EL_List,0)-1)*-10)-1,0),MSP!$C:$C,0)+MATCH($C42,EL_List,0)-1,
MATCH(OFFSET($C42,((MATCH($C42,EL_List,0)-1)*-10)-3,0),MSP!$D$5:$N$5,0)+1)
*INDEX(Learning!$E$6:$S$41,(MATCH(U$21,Dates,0)),(MATCH($C$21,Learning!$E$4:$S$4,0)+MATCH($C$42,Learning!$E$5:$S$5,0)-1)))</f>
        <v>45.418530934667231</v>
      </c>
      <c r="V43" s="778" cm="1">
        <f t="array" aca="1" ref="V43" ca="1">IF(V$21&lt;Standard_Year,'No STDs Case Rev &amp; Cost'!V43,
OFFSET(MSP!$C$1,
MATCH(OFFSET($C42,((MATCH($C42,EL_List,0)-1)*-10)-1,0),MSP!$C:$C,0)+MATCH($C42,EL_List,0)-1,
MATCH(OFFSET($C42,((MATCH($C42,EL_List,0)-1)*-10)-3,0),MSP!$D$5:$N$5,0)+1)
*INDEX(Learning!$E$6:$S$41,(MATCH(V$21,Dates,0)),(MATCH($C$21,Learning!$E$4:$S$4,0)+MATCH($C$42,Learning!$E$5:$S$5,0)-1)))</f>
        <v>45.1777115765831</v>
      </c>
      <c r="W43" s="778" cm="1">
        <f t="array" aca="1" ref="W43" ca="1">IF(W$21&lt;Standard_Year,'No STDs Case Rev &amp; Cost'!W43,
OFFSET(MSP!$C$1,
MATCH(OFFSET($C42,((MATCH($C42,EL_List,0)-1)*-10)-1,0),MSP!$C:$C,0)+MATCH($C42,EL_List,0)-1,
MATCH(OFFSET($C42,((MATCH($C42,EL_List,0)-1)*-10)-3,0),MSP!$D$5:$N$5,0)+1)
*INDEX(Learning!$E$6:$S$41,(MATCH(W$21,Dates,0)),(MATCH($C$21,Learning!$E$4:$S$4,0)+MATCH($C$42,Learning!$E$5:$S$5,0)-1)))</f>
        <v>44.936892218498976</v>
      </c>
      <c r="X43" s="778" cm="1">
        <f t="array" aca="1" ref="X43" ca="1">IF(X$21&lt;Standard_Year,'No STDs Case Rev &amp; Cost'!X43,
OFFSET(MSP!$C$1,
MATCH(OFFSET($C42,((MATCH($C42,EL_List,0)-1)*-10)-1,0),MSP!$C:$C,0)+MATCH($C42,EL_List,0)-1,
MATCH(OFFSET($C42,((MATCH($C42,EL_List,0)-1)*-10)-3,0),MSP!$D$5:$N$5,0)+1)
*INDEX(Learning!$E$6:$S$41,(MATCH(X$21,Dates,0)),(MATCH($C$21,Learning!$E$4:$S$4,0)+MATCH($C$42,Learning!$E$5:$S$5,0)-1)))</f>
        <v>44.744236732031666</v>
      </c>
      <c r="Y43" s="778" cm="1">
        <f t="array" aca="1" ref="Y43" ca="1">IF(Y$21&lt;Standard_Year,'No STDs Case Rev &amp; Cost'!Y43,
OFFSET(MSP!$C$1,
MATCH(OFFSET($C42,((MATCH($C42,EL_List,0)-1)*-10)-1,0),MSP!$C:$C,0)+MATCH($C42,EL_List,0)-1,
MATCH(OFFSET($C42,((MATCH($C42,EL_List,0)-1)*-10)-3,0),MSP!$D$5:$N$5,0)+1)
*INDEX(Learning!$E$6:$S$41,(MATCH(Y$21,Dates,0)),(MATCH($C$21,Learning!$E$4:$S$4,0)+MATCH($C$42,Learning!$E$5:$S$5,0)-1)))</f>
        <v>44.503417373947535</v>
      </c>
      <c r="Z43" s="778" cm="1">
        <f t="array" aca="1" ref="Z43" ca="1">IF(Z$21&lt;Standard_Year,'No STDs Case Rev &amp; Cost'!Z43,
OFFSET(MSP!$C$1,
MATCH(OFFSET($C42,((MATCH($C42,EL_List,0)-1)*-10)-1,0),MSP!$C:$C,0)+MATCH($C42,EL_List,0)-1,
MATCH(OFFSET($C42,((MATCH($C42,EL_List,0)-1)*-10)-3,0),MSP!$D$5:$N$5,0)+1)
*INDEX(Learning!$E$6:$S$41,(MATCH(Z$21,Dates,0)),(MATCH($C$21,Learning!$E$4:$S$4,0)+MATCH($C$42,Learning!$E$5:$S$5,0)-1)))</f>
        <v>44.262598015863404</v>
      </c>
      <c r="AA43" s="778" cm="1">
        <f t="array" aca="1" ref="AA43" ca="1">IF(AA$21&lt;Standard_Year,'No STDs Case Rev &amp; Cost'!AA43,
OFFSET(MSP!$C$1,
MATCH(OFFSET($C42,((MATCH($C42,EL_List,0)-1)*-10)-1,0),MSP!$C:$C,0)+MATCH($C42,EL_List,0)-1,
MATCH(OFFSET($C42,((MATCH($C42,EL_List,0)-1)*-10)-3,0),MSP!$D$5:$N$5,0)+1)
*INDEX(Learning!$E$6:$S$41,(MATCH(AA$21,Dates,0)),(MATCH($C$21,Learning!$E$4:$S$4,0)+MATCH($C$42,Learning!$E$5:$S$5,0)-1)))</f>
        <v>44.069942529396094</v>
      </c>
      <c r="AB43" s="778" cm="1">
        <f t="array" aca="1" ref="AB43" ca="1">IF(AB$21&lt;Standard_Year,'No STDs Case Rev &amp; Cost'!AB43,
OFFSET(MSP!$C$1,
MATCH(OFFSET($C42,((MATCH($C42,EL_List,0)-1)*-10)-1,0),MSP!$C:$C,0)+MATCH($C42,EL_List,0)-1,
MATCH(OFFSET($C42,((MATCH($C42,EL_List,0)-1)*-10)-3,0),MSP!$D$5:$N$5,0)+1)
*INDEX(Learning!$E$6:$S$41,(MATCH(AB$21,Dates,0)),(MATCH($C$21,Learning!$E$4:$S$4,0)+MATCH($C$42,Learning!$E$5:$S$5,0)-1)))</f>
        <v>43.829123171311963</v>
      </c>
      <c r="AC43" s="778" cm="1">
        <f t="array" aca="1" ref="AC43" ca="1">IF(AC$21&lt;Standard_Year,'No STDs Case Rev &amp; Cost'!AC43,
OFFSET(MSP!$C$1,
MATCH(OFFSET($C42,((MATCH($C42,EL_List,0)-1)*-10)-1,0),MSP!$C:$C,0)+MATCH($C42,EL_List,0)-1,
MATCH(OFFSET($C42,((MATCH($C42,EL_List,0)-1)*-10)-3,0),MSP!$D$5:$N$5,0)+1)
*INDEX(Learning!$E$6:$S$41,(MATCH(AC$21,Dates,0)),(MATCH($C$21,Learning!$E$4:$S$4,0)+MATCH($C$42,Learning!$E$5:$S$5,0)-1)))</f>
        <v>43.636467684844661</v>
      </c>
      <c r="AD43" s="778" cm="1">
        <f t="array" aca="1" ref="AD43" ca="1">IF(AD$21&lt;Standard_Year,'No STDs Case Rev &amp; Cost'!AD43,
OFFSET(MSP!$C$1,
MATCH(OFFSET($C42,((MATCH($C42,EL_List,0)-1)*-10)-1,0),MSP!$C:$C,0)+MATCH($C42,EL_List,0)-1,
MATCH(OFFSET($C42,((MATCH($C42,EL_List,0)-1)*-10)-3,0),MSP!$D$5:$N$5,0)+1)
*INDEX(Learning!$E$6:$S$41,(MATCH(AD$21,Dates,0)),(MATCH($C$21,Learning!$E$4:$S$4,0)+MATCH($C$42,Learning!$E$5:$S$5,0)-1)))</f>
        <v>43.395648326760529</v>
      </c>
      <c r="AE43" s="778" cm="1">
        <f t="array" aca="1" ref="AE43" ca="1">IF(AE$21&lt;Standard_Year,'No STDs Case Rev &amp; Cost'!AE43,
OFFSET(MSP!$C$1,
MATCH(OFFSET($C42,((MATCH($C42,EL_List,0)-1)*-10)-1,0),MSP!$C:$C,0)+MATCH($C42,EL_List,0)-1,
MATCH(OFFSET($C42,((MATCH($C42,EL_List,0)-1)*-10)-3,0),MSP!$D$5:$N$5,0)+1)
*INDEX(Learning!$E$6:$S$41,(MATCH(AE$21,Dates,0)),(MATCH($C$21,Learning!$E$4:$S$4,0)+MATCH($C$42,Learning!$E$5:$S$5,0)-1)))</f>
        <v>43.20299284029322</v>
      </c>
      <c r="AF43" s="778" cm="1">
        <f t="array" aca="1" ref="AF43" ca="1">IF(AF$21&lt;Standard_Year,'No STDs Case Rev &amp; Cost'!AF43,
OFFSET(MSP!$C$1,
MATCH(OFFSET($C42,((MATCH($C42,EL_List,0)-1)*-10)-1,0),MSP!$C:$C,0)+MATCH($C42,EL_List,0)-1,
MATCH(OFFSET($C42,((MATCH($C42,EL_List,0)-1)*-10)-3,0),MSP!$D$5:$N$5,0)+1)
*INDEX(Learning!$E$6:$S$41,(MATCH(AF$21,Dates,0)),(MATCH($C$21,Learning!$E$4:$S$4,0)+MATCH($C$42,Learning!$E$5:$S$5,0)-1)))</f>
        <v>43.010337353825918</v>
      </c>
      <c r="AG43" s="778" cm="1">
        <f t="array" aca="1" ref="AG43" ca="1">IF(AG$21&lt;Standard_Year,'No STDs Case Rev &amp; Cost'!AG43,
OFFSET(MSP!$C$1,
MATCH(OFFSET($C42,((MATCH($C42,EL_List,0)-1)*-10)-1,0),MSP!$C:$C,0)+MATCH($C42,EL_List,0)-1,
MATCH(OFFSET($C42,((MATCH($C42,EL_List,0)-1)*-10)-3,0),MSP!$D$5:$N$5,0)+1)
*INDEX(Learning!$E$6:$S$41,(MATCH(AG$21,Dates,0)),(MATCH($C$21,Learning!$E$4:$S$4,0)+MATCH($C$42,Learning!$E$5:$S$5,0)-1)))</f>
        <v>42.817681867358608</v>
      </c>
      <c r="AH43" s="778" cm="1">
        <f t="array" aca="1" ref="AH43" ca="1">IF(AH$21&lt;Standard_Year,'No STDs Case Rev &amp; Cost'!AH43,
OFFSET(MSP!$C$1,
MATCH(OFFSET($C42,((MATCH($C42,EL_List,0)-1)*-10)-1,0),MSP!$C:$C,0)+MATCH($C42,EL_List,0)-1,
MATCH(OFFSET($C42,((MATCH($C42,EL_List,0)-1)*-10)-3,0),MSP!$D$5:$N$5,0)+1)
*INDEX(Learning!$E$6:$S$41,(MATCH(AH$21,Dates,0)),(MATCH($C$21,Learning!$E$4:$S$4,0)+MATCH($C$42,Learning!$E$5:$S$5,0)-1)))</f>
        <v>42.625026380891306</v>
      </c>
      <c r="AI43" s="778" cm="1">
        <f t="array" aca="1" ref="AI43" ca="1">IF(AI$21&lt;Standard_Year,'No STDs Case Rev &amp; Cost'!AI43,
OFFSET(MSP!$C$1,
MATCH(OFFSET($C42,((MATCH($C42,EL_List,0)-1)*-10)-1,0),MSP!$C:$C,0)+MATCH($C42,EL_List,0)-1,
MATCH(OFFSET($C42,((MATCH($C42,EL_List,0)-1)*-10)-3,0),MSP!$D$5:$N$5,0)+1)
*INDEX(Learning!$E$6:$S$41,(MATCH(AI$21,Dates,0)),(MATCH($C$21,Learning!$E$4:$S$4,0)+MATCH($C$42,Learning!$E$5:$S$5,0)-1)))</f>
        <v>42.432370894424004</v>
      </c>
      <c r="AJ43" s="778" cm="1">
        <f t="array" aca="1" ref="AJ43" ca="1">IF(AJ$21&lt;Standard_Year,'No STDs Case Rev &amp; Cost'!AJ43,
OFFSET(MSP!$C$1,
MATCH(OFFSET($C42,((MATCH($C42,EL_List,0)-1)*-10)-1,0),MSP!$C:$C,0)+MATCH($C42,EL_List,0)-1,
MATCH(OFFSET($C42,((MATCH($C42,EL_List,0)-1)*-10)-3,0),MSP!$D$5:$N$5,0)+1)
*INDEX(Learning!$E$6:$S$41,(MATCH(AJ$21,Dates,0)),(MATCH($C$21,Learning!$E$4:$S$4,0)+MATCH($C$42,Learning!$E$5:$S$5,0)-1)))</f>
        <v>42.239715407956695</v>
      </c>
      <c r="AK43" s="778" cm="1">
        <f t="array" aca="1" ref="AK43" ca="1">IF(AK$21&lt;Standard_Year,'No STDs Case Rev &amp; Cost'!AK43,
OFFSET(MSP!$C$1,
MATCH(OFFSET($C42,((MATCH($C42,EL_List,0)-1)*-10)-1,0),MSP!$C:$C,0)+MATCH($C42,EL_List,0)-1,
MATCH(OFFSET($C42,((MATCH($C42,EL_List,0)-1)*-10)-3,0),MSP!$D$5:$N$5,0)+1)
*INDEX(Learning!$E$6:$S$41,(MATCH(AK$21,Dates,0)),(MATCH($C$21,Learning!$E$4:$S$4,0)+MATCH($C$42,Learning!$E$5:$S$5,0)-1)))</f>
        <v>42.047059921489392</v>
      </c>
      <c r="AL43" s="778" cm="1">
        <f t="array" aca="1" ref="AL43" ca="1">IF(AL$21&lt;Standard_Year,'No STDs Case Rev &amp; Cost'!AL43,
OFFSET(MSP!$C$1,
MATCH(OFFSET($C42,((MATCH($C42,EL_List,0)-1)*-10)-1,0),MSP!$C:$C,0)+MATCH($C42,EL_List,0)-1,
MATCH(OFFSET($C42,((MATCH($C42,EL_List,0)-1)*-10)-3,0),MSP!$D$5:$N$5,0)+1)
*INDEX(Learning!$E$6:$S$41,(MATCH(AL$21,Dates,0)),(MATCH($C$21,Learning!$E$4:$S$4,0)+MATCH($C$42,Learning!$E$5:$S$5,0)-1)))</f>
        <v>41.854404435022083</v>
      </c>
      <c r="AM43" s="778" cm="1">
        <f t="array" aca="1" ref="AM43" ca="1">IF(AM$21&lt;Standard_Year,'No STDs Case Rev &amp; Cost'!AM43,
OFFSET(MSP!$C$1,
MATCH(OFFSET($C42,((MATCH($C42,EL_List,0)-1)*-10)-1,0),MSP!$C:$C,0)+MATCH($C42,EL_List,0)-1,
MATCH(OFFSET($C42,((MATCH($C42,EL_List,0)-1)*-10)-3,0),MSP!$D$5:$N$5,0)+1)
*INDEX(Learning!$E$6:$S$41,(MATCH(AM$21,Dates,0)),(MATCH($C$21,Learning!$E$4:$S$4,0)+MATCH($C$42,Learning!$E$5:$S$5,0)-1)))</f>
        <v>41.661748948554781</v>
      </c>
      <c r="AN43" s="778" cm="1">
        <f t="array" aca="1" ref="AN43" ca="1">IF(AN$21&lt;Standard_Year,'No STDs Case Rev &amp; Cost'!AN43,
OFFSET(MSP!$C$1,
MATCH(OFFSET($C42,((MATCH($C42,EL_List,0)-1)*-10)-1,0),MSP!$C:$C,0)+MATCH($C42,EL_List,0)-1,
MATCH(OFFSET($C42,((MATCH($C42,EL_List,0)-1)*-10)-3,0),MSP!$D$5:$N$5,0)+1)
*INDEX(Learning!$E$6:$S$41,(MATCH(AN$21,Dates,0)),(MATCH($C$21,Learning!$E$4:$S$4,0)+MATCH($C$42,Learning!$E$5:$S$5,0)-1)))</f>
        <v>41.468249317991464</v>
      </c>
      <c r="AO43" s="436"/>
      <c r="AP43" s="21"/>
    </row>
    <row r="44" spans="2:42" ht="15" customHeight="1" x14ac:dyDescent="0.35">
      <c r="B44" s="429"/>
      <c r="C44" s="777" t="s">
        <v>78</v>
      </c>
      <c r="D44" s="776"/>
      <c r="E44" s="530">
        <f ca="1">OFFSET(OFFSET(Shipments!$D$1,0,MATCH(E$7,Dates)),
MATCH(OFFSET($C42,((MATCH($C42,EL_List,0)-1)*-10)-3,0),Shipments!$C:$C,0)+
MATCH(OFFSET($C42,((MATCH($C42,EL_List,0)-1)*-10)-1,0),Shipments!$D:$D,0)+
MATCH($C42,EL_List,0)-10,
MATCH(Shipments_Scenario_X,Shipments!$F$5:$AQ$5,0))</f>
        <v>0.37571259739793256</v>
      </c>
      <c r="F44" s="530">
        <f ca="1">OFFSET(OFFSET(Shipments!$D$1,0,MATCH(F$7,Dates)),
MATCH(OFFSET($C42,((MATCH($C42,EL_List,0)-1)*-10)-3,0),Shipments!$C:$C,0)+
MATCH(OFFSET($C42,((MATCH($C42,EL_List,0)-1)*-10)-1,0),Shipments!$D:$D,0)+
MATCH($C42,EL_List,0)-10,
MATCH(Shipments_Scenario_X,Shipments!$F$5:$AQ$5,0))</f>
        <v>0.39251392184055678</v>
      </c>
      <c r="G44" s="530">
        <f ca="1">OFFSET(OFFSET(Shipments!$D$1,0,MATCH(G$7,Dates)),
MATCH(OFFSET($C42,((MATCH($C42,EL_List,0)-1)*-10)-3,0),Shipments!$C:$C,0)+
MATCH(OFFSET($C42,((MATCH($C42,EL_List,0)-1)*-10)-1,0),Shipments!$D:$D,0)+
MATCH($C42,EL_List,0)-10,
MATCH(Shipments_Scenario_X,Shipments!$F$5:$AQ$5,0))</f>
        <v>0.40756974281296954</v>
      </c>
      <c r="H44" s="530">
        <f ca="1">OFFSET(OFFSET(Shipments!$D$1,0,MATCH(H$7,Dates)),
MATCH(OFFSET($C42,((MATCH($C42,EL_List,0)-1)*-10)-3,0),Shipments!$C:$C,0)+
MATCH(OFFSET($C42,((MATCH($C42,EL_List,0)-1)*-10)-1,0),Shipments!$D:$D,0)+
MATCH($C42,EL_List,0)-10,
MATCH(Shipments_Scenario_X,Shipments!$F$5:$AQ$5,0))</f>
        <v>0.42671043996157326</v>
      </c>
      <c r="I44" s="530">
        <f ca="1">OFFSET(OFFSET(Shipments!$D$1,0,MATCH(I$7,Dates)),
MATCH(OFFSET($C42,((MATCH($C42,EL_List,0)-1)*-10)-3,0),Shipments!$C:$C,0)+
MATCH(OFFSET($C42,((MATCH($C42,EL_List,0)-1)*-10)-1,0),Shipments!$D:$D,0)+
MATCH($C42,EL_List,0)-10,
MATCH(Shipments_Scenario_X,Shipments!$F$5:$AQ$5,0))</f>
        <v>2.0717104476232389</v>
      </c>
      <c r="J44" s="530">
        <f ca="1">OFFSET(OFFSET(Shipments!$D$1,0,MATCH(J$7,Dates)),
MATCH(OFFSET($C42,((MATCH($C42,EL_List,0)-1)*-10)-3,0),Shipments!$C:$C,0)+
MATCH(OFFSET($C42,((MATCH($C42,EL_List,0)-1)*-10)-1,0),Shipments!$D:$D,0)+
MATCH($C42,EL_List,0)-10,
MATCH(Shipments_Scenario_X,Shipments!$F$5:$AQ$5,0))</f>
        <v>2.1796587860490586</v>
      </c>
      <c r="K44" s="530">
        <f ca="1">OFFSET(OFFSET(Shipments!$D$1,0,MATCH(K$7,Dates)),
MATCH(OFFSET($C42,((MATCH($C42,EL_List,0)-1)*-10)-3,0),Shipments!$C:$C,0)+
MATCH(OFFSET($C42,((MATCH($C42,EL_List,0)-1)*-10)-1,0),Shipments!$D:$D,0)+
MATCH($C42,EL_List,0)-10,
MATCH(Shipments_Scenario_X,Shipments!$F$5:$AQ$5,0))</f>
        <v>2.2967835518599933</v>
      </c>
      <c r="L44" s="530">
        <f ca="1">OFFSET(OFFSET(Shipments!$D$1,0,MATCH(L$7,Dates)),
MATCH(OFFSET($C42,((MATCH($C42,EL_List,0)-1)*-10)-3,0),Shipments!$C:$C,0)+
MATCH(OFFSET($C42,((MATCH($C42,EL_List,0)-1)*-10)-1,0),Shipments!$D:$D,0)+
MATCH($C42,EL_List,0)-10,
MATCH(Shipments_Scenario_X,Shipments!$F$5:$AQ$5,0))</f>
        <v>2.4191181432990843</v>
      </c>
      <c r="M44" s="530">
        <f ca="1">OFFSET(OFFSET(Shipments!$D$1,0,MATCH(M$7,Dates)),
MATCH(OFFSET($C42,((MATCH($C42,EL_List,0)-1)*-10)-3,0),Shipments!$C:$C,0)+
MATCH(OFFSET($C42,((MATCH($C42,EL_List,0)-1)*-10)-1,0),Shipments!$D:$D,0)+
MATCH($C42,EL_List,0)-10,
MATCH(Shipments_Scenario_X,Shipments!$F$5:$AQ$5,0))</f>
        <v>2.5471472409565217</v>
      </c>
      <c r="N44" s="530">
        <f ca="1">OFFSET(OFFSET(Shipments!$D$1,0,MATCH(N$7,Dates)),
MATCH(OFFSET($C42,((MATCH($C42,EL_List,0)-1)*-10)-3,0),Shipments!$C:$C,0)+
MATCH(OFFSET($C42,((MATCH($C42,EL_List,0)-1)*-10)-1,0),Shipments!$D:$D,0)+
MATCH($C42,EL_List,0)-10,
MATCH(Shipments_Scenario_X,Shipments!$F$5:$AQ$5,0))</f>
        <v>2.6799060836505078</v>
      </c>
      <c r="O44" s="530">
        <f ca="1">OFFSET(OFFSET(Shipments!$D$1,0,MATCH(O$7,Dates)),
MATCH(OFFSET($C42,((MATCH($C42,EL_List,0)-1)*-10)-3,0),Shipments!$C:$C,0)+
MATCH(OFFSET($C42,((MATCH($C42,EL_List,0)-1)*-10)-1,0),Shipments!$D:$D,0)+
MATCH($C42,EL_List,0)-10,
MATCH(Shipments_Scenario_X,Shipments!$F$5:$AQ$5,0))</f>
        <v>2.8173416448408934</v>
      </c>
      <c r="P44" s="530">
        <f ca="1">OFFSET(OFFSET(Shipments!$D$1,0,MATCH(P$7,Dates)),
MATCH(OFFSET($C42,((MATCH($C42,EL_List,0)-1)*-10)-3,0),Shipments!$C:$C,0)+
MATCH(OFFSET($C42,((MATCH($C42,EL_List,0)-1)*-10)-1,0),Shipments!$D:$D,0)+
MATCH($C42,EL_List,0)-10,
MATCH(Shipments_Scenario_X,Shipments!$F$5:$AQ$5,0))</f>
        <v>2.9600429464990095</v>
      </c>
      <c r="Q44" s="530">
        <f ca="1">OFFSET(OFFSET(Shipments!$D$1,0,MATCH(Q$7,Dates)),
MATCH(OFFSET($C42,((MATCH($C42,EL_List,0)-1)*-10)-3,0),Shipments!$C:$C,0)+
MATCH(OFFSET($C42,((MATCH($C42,EL_List,0)-1)*-10)-1,0),Shipments!$D:$D,0)+
MATCH($C42,EL_List,0)-10,
MATCH(Shipments_Scenario_X,Shipments!$F$5:$AQ$5,0))</f>
        <v>3.1080315468787267</v>
      </c>
      <c r="R44" s="530">
        <f ca="1">OFFSET(OFFSET(Shipments!$D$1,0,MATCH(R$7,Dates)),
MATCH(OFFSET($C42,((MATCH($C42,EL_List,0)-1)*-10)-3,0),Shipments!$C:$C,0)+
MATCH(OFFSET($C42,((MATCH($C42,EL_List,0)-1)*-10)-1,0),Shipments!$D:$D,0)+
MATCH($C42,EL_List,0)-10,
MATCH(Shipments_Scenario_X,Shipments!$F$5:$AQ$5,0))</f>
        <v>3.2631506194539206</v>
      </c>
      <c r="S44" s="530">
        <f ca="1">OFFSET(OFFSET(Shipments!$D$1,0,MATCH(S$7,Dates)),
MATCH(OFFSET($C42,((MATCH($C42,EL_List,0)-1)*-10)-3,0),Shipments!$C:$C,0)+
MATCH(OFFSET($C42,((MATCH($C42,EL_List,0)-1)*-10)-1,0),Shipments!$D:$D,0)+
MATCH($C42,EL_List,0)-10,
MATCH(Shipments_Scenario_X,Shipments!$F$5:$AQ$5,0))</f>
        <v>3.4262779709694318</v>
      </c>
      <c r="T44" s="530">
        <f ca="1">OFFSET(OFFSET(Shipments!$D$1,0,MATCH(T$7,Dates)),
MATCH(OFFSET($C42,((MATCH($C42,EL_List,0)-1)*-10)-3,0),Shipments!$C:$C,0)+
MATCH(OFFSET($C42,((MATCH($C42,EL_List,0)-1)*-10)-1,0),Shipments!$D:$D,0)+
MATCH($C42,EL_List,0)-10,
MATCH(Shipments_Scenario_X,Shipments!$F$5:$AQ$5,0))</f>
        <v>3.5979693429370059</v>
      </c>
      <c r="U44" s="530">
        <f ca="1">OFFSET(OFFSET(Shipments!$D$1,0,MATCH(U$7,Dates)),
MATCH(OFFSET($C42,((MATCH($C42,EL_List,0)-1)*-10)-3,0),Shipments!$C:$C,0)+
MATCH(OFFSET($C42,((MATCH($C42,EL_List,0)-1)*-10)-1,0),Shipments!$D:$D,0)+
MATCH($C42,EL_List,0)-10,
MATCH(Shipments_Scenario_X,Shipments!$F$5:$AQ$5,0))</f>
        <v>3.7788423782943057</v>
      </c>
      <c r="V44" s="530">
        <f ca="1">OFFSET(OFFSET(Shipments!$D$1,0,MATCH(V$7,Dates)),
MATCH(OFFSET($C42,((MATCH($C42,EL_List,0)-1)*-10)-3,0),Shipments!$C:$C,0)+
MATCH(OFFSET($C42,((MATCH($C42,EL_List,0)-1)*-10)-1,0),Shipments!$D:$D,0)+
MATCH($C42,EL_List,0)-10,
MATCH(Shipments_Scenario_X,Shipments!$F$5:$AQ$5,0))</f>
        <v>3.968535695112394</v>
      </c>
      <c r="W44" s="530">
        <f ca="1">OFFSET(OFFSET(Shipments!$D$1,0,MATCH(W$7,Dates)),
MATCH(OFFSET($C42,((MATCH($C42,EL_List,0)-1)*-10)-3,0),Shipments!$C:$C,0)+
MATCH(OFFSET($C42,((MATCH($C42,EL_List,0)-1)*-10)-1,0),Shipments!$D:$D,0)+
MATCH($C42,EL_List,0)-10,
MATCH(Shipments_Scenario_X,Shipments!$F$5:$AQ$5,0))</f>
        <v>4.1676261907271712</v>
      </c>
      <c r="X44" s="530">
        <f ca="1">OFFSET(OFFSET(Shipments!$D$1,0,MATCH(X$7,Dates)),
MATCH(OFFSET($C42,((MATCH($C42,EL_List,0)-1)*-10)-3,0),Shipments!$C:$C,0)+
MATCH(OFFSET($C42,((MATCH($C42,EL_List,0)-1)*-10)-1,0),Shipments!$D:$D,0)+
MATCH($C42,EL_List,0)-10,
MATCH(Shipments_Scenario_X,Shipments!$F$5:$AQ$5,0))</f>
        <v>4.3763549480393884</v>
      </c>
      <c r="Y44" s="530">
        <f ca="1">OFFSET(OFFSET(Shipments!$D$1,0,MATCH(Y$7,Dates)),
MATCH(OFFSET($C42,((MATCH($C42,EL_List,0)-1)*-10)-3,0),Shipments!$C:$C,0)+
MATCH(OFFSET($C42,((MATCH($C42,EL_List,0)-1)*-10)-1,0),Shipments!$D:$D,0)+
MATCH($C42,EL_List,0)-10,
MATCH(Shipments_Scenario_X,Shipments!$F$5:$AQ$5,0))</f>
        <v>4.5950781559720477</v>
      </c>
      <c r="Z44" s="530">
        <f ca="1">OFFSET(OFFSET(Shipments!$D$1,0,MATCH(Z$7,Dates)),
MATCH(OFFSET($C42,((MATCH($C42,EL_List,0)-1)*-10)-3,0),Shipments!$C:$C,0)+
MATCH(OFFSET($C42,((MATCH($C42,EL_List,0)-1)*-10)-1,0),Shipments!$D:$D,0)+
MATCH($C42,EL_List,0)-10,
MATCH(Shipments_Scenario_X,Shipments!$F$5:$AQ$5,0))</f>
        <v>4.8242731065556468</v>
      </c>
      <c r="AA44" s="530">
        <f ca="1">OFFSET(OFFSET(Shipments!$D$1,0,MATCH(AA$7,Dates)),
MATCH(OFFSET($C42,((MATCH($C42,EL_List,0)-1)*-10)-3,0),Shipments!$C:$C,0)+
MATCH(OFFSET($C42,((MATCH($C42,EL_List,0)-1)*-10)-1,0),Shipments!$D:$D,0)+
MATCH($C42,EL_List,0)-10,
MATCH(Shipments_Scenario_X,Shipments!$F$5:$AQ$5,0))</f>
        <v>5.0643736916963151</v>
      </c>
      <c r="AB44" s="530">
        <f ca="1">OFFSET(OFFSET(Shipments!$D$1,0,MATCH(AB$7,Dates)),
MATCH(OFFSET($C42,((MATCH($C42,EL_List,0)-1)*-10)-3,0),Shipments!$C:$C,0)+
MATCH(OFFSET($C42,((MATCH($C42,EL_List,0)-1)*-10)-1,0),Shipments!$D:$D,0)+
MATCH($C42,EL_List,0)-10,
MATCH(Shipments_Scenario_X,Shipments!$F$5:$AQ$5,0))</f>
        <v>5.3161163775900935</v>
      </c>
      <c r="AC44" s="530">
        <f ca="1">OFFSET(OFFSET(Shipments!$D$1,0,MATCH(AC$7,Dates)),
MATCH(OFFSET($C42,((MATCH($C42,EL_List,0)-1)*-10)-3,0),Shipments!$C:$C,0)+
MATCH(OFFSET($C42,((MATCH($C42,EL_List,0)-1)*-10)-1,0),Shipments!$D:$D,0)+
MATCH($C42,EL_List,0)-10,
MATCH(Shipments_Scenario_X,Shipments!$F$5:$AQ$5,0))</f>
        <v>5.5801378021103663</v>
      </c>
      <c r="AD44" s="530">
        <f ca="1">OFFSET(OFFSET(Shipments!$D$1,0,MATCH(AD$7,Dates)),
MATCH(OFFSET($C42,((MATCH($C42,EL_List,0)-1)*-10)-3,0),Shipments!$C:$C,0)+
MATCH(OFFSET($C42,((MATCH($C42,EL_List,0)-1)*-10)-1,0),Shipments!$D:$D,0)+
MATCH($C42,EL_List,0)-10,
MATCH(Shipments_Scenario_X,Shipments!$F$5:$AQ$5,0))</f>
        <v>5.8570781820092757</v>
      </c>
      <c r="AE44" s="530">
        <f ca="1">OFFSET(OFFSET(Shipments!$D$1,0,MATCH(AE$7,Dates)),
MATCH(OFFSET($C42,((MATCH($C42,EL_List,0)-1)*-10)-3,0),Shipments!$C:$C,0)+
MATCH(OFFSET($C42,((MATCH($C42,EL_List,0)-1)*-10)-1,0),Shipments!$D:$D,0)+
MATCH($C42,EL_List,0)-10,
MATCH(Shipments_Scenario_X,Shipments!$F$5:$AQ$5,0))</f>
        <v>6.1475778962202892</v>
      </c>
      <c r="AF44" s="530">
        <f ca="1">OFFSET(OFFSET(Shipments!$D$1,0,MATCH(AF$7,Dates)),
MATCH(OFFSET($C42,((MATCH($C42,EL_List,0)-1)*-10)-3,0),Shipments!$C:$C,0)+
MATCH(OFFSET($C42,((MATCH($C42,EL_List,0)-1)*-10)-1,0),Shipments!$D:$D,0)+
MATCH($C42,EL_List,0)-10,
MATCH(Shipments_Scenario_X,Shipments!$F$5:$AQ$5,0))</f>
        <v>6.4522836793793257</v>
      </c>
      <c r="AG44" s="530">
        <f ca="1">OFFSET(OFFSET(Shipments!$D$1,0,MATCH(AG$7,Dates)),
MATCH(OFFSET($C42,((MATCH($C42,EL_List,0)-1)*-10)-3,0),Shipments!$C:$C,0)+
MATCH(OFFSET($C42,((MATCH($C42,EL_List,0)-1)*-10)-1,0),Shipments!$D:$D,0)+
MATCH($C42,EL_List,0)-10,
MATCH(Shipments_Scenario_X,Shipments!$F$5:$AQ$5,0))</f>
        <v>6.7718623480417239</v>
      </c>
      <c r="AH44" s="530">
        <f ca="1">OFFSET(OFFSET(Shipments!$D$1,0,MATCH(AH$7,Dates)),
MATCH(OFFSET($C42,((MATCH($C42,EL_List,0)-1)*-10)-3,0),Shipments!$C:$C,0)+
MATCH(OFFSET($C42,((MATCH($C42,EL_List,0)-1)*-10)-1,0),Shipments!$D:$D,0)+
MATCH($C42,EL_List,0)-10,
MATCH(Shipments_Scenario_X,Shipments!$F$5:$AQ$5,0))</f>
        <v>7.1070131824730893</v>
      </c>
      <c r="AI44" s="530">
        <f ca="1">OFFSET(OFFSET(Shipments!$D$1,0,MATCH(AI$7,Dates)),
MATCH(OFFSET($C42,((MATCH($C42,EL_List,0)-1)*-10)-3,0),Shipments!$C:$C,0)+
MATCH(OFFSET($C42,((MATCH($C42,EL_List,0)-1)*-10)-1,0),Shipments!$D:$D,0)+
MATCH($C42,EL_List,0)-10,
MATCH(Shipments_Scenario_X,Shipments!$F$5:$AQ$5,0))</f>
        <v>7.458477278794156</v>
      </c>
      <c r="AJ44" s="530">
        <f ca="1">OFFSET(OFFSET(Shipments!$D$1,0,MATCH(AJ$7,Dates)),
MATCH(OFFSET($C42,((MATCH($C42,EL_List,0)-1)*-10)-3,0),Shipments!$C:$C,0)+
MATCH(OFFSET($C42,((MATCH($C42,EL_List,0)-1)*-10)-1,0),Shipments!$D:$D,0)+
MATCH($C42,EL_List,0)-10,
MATCH(Shipments_Scenario_X,Shipments!$F$5:$AQ$5,0))</f>
        <v>7.827042657736067</v>
      </c>
      <c r="AK44" s="530">
        <f ca="1">OFFSET(OFFSET(Shipments!$D$1,0,MATCH(AK$7,Dates)),
MATCH(OFFSET($C42,((MATCH($C42,EL_List,0)-1)*-10)-3,0),Shipments!$C:$C,0)+
MATCH(OFFSET($C42,((MATCH($C42,EL_List,0)-1)*-10)-1,0),Shipments!$D:$D,0)+
MATCH($C42,EL_List,0)-10,
MATCH(Shipments_Scenario_X,Shipments!$F$5:$AQ$5,0))</f>
        <v>8.2135447182629413</v>
      </c>
      <c r="AL44" s="530">
        <f ca="1">OFFSET(OFFSET(Shipments!$D$1,0,MATCH(AL$7,Dates)),
MATCH(OFFSET($C42,((MATCH($C42,EL_List,0)-1)*-10)-3,0),Shipments!$C:$C,0)+
MATCH(OFFSET($C42,((MATCH($C42,EL_List,0)-1)*-10)-1,0),Shipments!$D:$D,0)+
MATCH($C42,EL_List,0)-10,
MATCH(Shipments_Scenario_X,Shipments!$F$5:$AQ$5,0))</f>
        <v>8.6188647051474589</v>
      </c>
      <c r="AM44" s="530">
        <f ca="1">OFFSET(OFFSET(Shipments!$D$1,0,MATCH(AM$7,Dates)),
MATCH(OFFSET($C42,((MATCH($C42,EL_List,0)-1)*-10)-3,0),Shipments!$C:$C,0)+
MATCH(OFFSET($C42,((MATCH($C42,EL_List,0)-1)*-10)-1,0),Shipments!$D:$D,0)+
MATCH($C42,EL_List,0)-10,
MATCH(Shipments_Scenario_X,Shipments!$F$5:$AQ$5,0))</f>
        <v>9.043928690596104</v>
      </c>
      <c r="AN44" s="530">
        <f ca="1">OFFSET(OFFSET(Shipments!$D$1,0,MATCH(AN$7,Dates)),
MATCH(OFFSET($C42,((MATCH($C42,EL_List,0)-1)*-10)-3,0),Shipments!$C:$C,0)+
MATCH(OFFSET($C42,((MATCH($C42,EL_List,0)-1)*-10)-1,0),Shipments!$D:$D,0)+
MATCH($C42,EL_List,0)-10,
MATCH(Shipments_Scenario_X,Shipments!$F$5:$AQ$5,0))</f>
        <v>9.4897039065904139</v>
      </c>
      <c r="AO44" s="436"/>
      <c r="AP44" s="21"/>
    </row>
    <row r="45" spans="2:42" ht="15" customHeight="1" x14ac:dyDescent="0.35">
      <c r="B45" s="429"/>
      <c r="C45" s="777" t="s">
        <v>79</v>
      </c>
      <c r="D45" s="776"/>
      <c r="E45" s="531">
        <f t="shared" ref="E45:AN45" ca="1" si="13">E43*E44</f>
        <v>19.008877355988986</v>
      </c>
      <c r="F45" s="531">
        <f t="shared" ca="1" si="13"/>
        <v>19.687893063054851</v>
      </c>
      <c r="G45" s="531">
        <f t="shared" ca="1" si="13"/>
        <v>20.285208283889844</v>
      </c>
      <c r="H45" s="531">
        <f t="shared" ca="1" si="13"/>
        <v>21.093246691384699</v>
      </c>
      <c r="I45" s="531">
        <f t="shared" ca="1" si="13"/>
        <v>101.17853837093539</v>
      </c>
      <c r="J45" s="531">
        <f t="shared" ca="1" si="13"/>
        <v>105.71567158133267</v>
      </c>
      <c r="K45" s="531">
        <f t="shared" ca="1" si="13"/>
        <v>110.62198812342311</v>
      </c>
      <c r="L45" s="531">
        <f t="shared" ca="1" si="13"/>
        <v>115.81501110571362</v>
      </c>
      <c r="M45" s="531">
        <f t="shared" ca="1" si="13"/>
        <v>121.08562655744974</v>
      </c>
      <c r="N45" s="531">
        <f t="shared" ca="1" si="13"/>
        <v>126.6222341594911</v>
      </c>
      <c r="O45" s="531">
        <f t="shared" ca="1" si="13"/>
        <v>132.30172925078375</v>
      </c>
      <c r="P45" s="531">
        <f t="shared" ca="1" si="13"/>
        <v>138.29011460180652</v>
      </c>
      <c r="Q45" s="531">
        <f t="shared" ca="1" si="13"/>
        <v>144.30581843833627</v>
      </c>
      <c r="R45" s="531">
        <f t="shared" ca="1" si="13"/>
        <v>150.72216283417438</v>
      </c>
      <c r="S45" s="531">
        <f t="shared" ca="1" si="13"/>
        <v>157.26674013841733</v>
      </c>
      <c r="T45" s="531">
        <f t="shared" ca="1" si="13"/>
        <v>164.28094257174121</v>
      </c>
      <c r="U45" s="531">
        <f t="shared" ca="1" si="13"/>
        <v>171.62946945579142</v>
      </c>
      <c r="V45" s="531">
        <f t="shared" ca="1" si="13"/>
        <v>179.28936101516246</v>
      </c>
      <c r="W45" s="531">
        <f t="shared" ca="1" si="13"/>
        <v>187.28016893970036</v>
      </c>
      <c r="X45" s="531">
        <f t="shared" ca="1" si="13"/>
        <v>195.81666181847254</v>
      </c>
      <c r="Y45" s="531">
        <f t="shared" ca="1" si="13"/>
        <v>204.49668104113323</v>
      </c>
      <c r="Z45" s="531">
        <f t="shared" ca="1" si="13"/>
        <v>213.53486123421314</v>
      </c>
      <c r="AA45" s="531">
        <f t="shared" ca="1" si="13"/>
        <v>223.18665754044216</v>
      </c>
      <c r="AB45" s="531">
        <f t="shared" ca="1" si="13"/>
        <v>233.00071950642499</v>
      </c>
      <c r="AC45" s="531">
        <f t="shared" ca="1" si="13"/>
        <v>243.4975028787691</v>
      </c>
      <c r="AD45" s="531">
        <f t="shared" ca="1" si="13"/>
        <v>254.17170500881642</v>
      </c>
      <c r="AE45" s="531">
        <f t="shared" ca="1" si="13"/>
        <v>265.59376383555002</v>
      </c>
      <c r="AF45" s="531">
        <f t="shared" ca="1" si="13"/>
        <v>277.51489775268993</v>
      </c>
      <c r="AG45" s="531">
        <f t="shared" ca="1" si="13"/>
        <v>289.95544766799463</v>
      </c>
      <c r="AH45" s="531">
        <f t="shared" ca="1" si="13"/>
        <v>302.93662439225773</v>
      </c>
      <c r="AI45" s="531">
        <f t="shared" ca="1" si="13"/>
        <v>316.48087420142787</v>
      </c>
      <c r="AJ45" s="531">
        <f t="shared" ca="1" si="13"/>
        <v>330.61205434870845</v>
      </c>
      <c r="AK45" s="531">
        <f t="shared" ca="1" si="13"/>
        <v>345.35540693663461</v>
      </c>
      <c r="AL45" s="531">
        <f t="shared" ca="1" si="13"/>
        <v>360.73744913997911</v>
      </c>
      <c r="AM45" s="531">
        <f t="shared" ref="AM45" ca="1" si="14">AM43*AM44</f>
        <v>376.78588661624667</v>
      </c>
      <c r="AN45" s="531">
        <f t="shared" ca="1" si="13"/>
        <v>393.52140755240885</v>
      </c>
      <c r="AO45" s="436"/>
      <c r="AP45" s="21"/>
    </row>
    <row r="46" spans="2:42" ht="15" customHeight="1" x14ac:dyDescent="0.35">
      <c r="B46" s="429"/>
      <c r="C46" s="777"/>
      <c r="D46" s="776"/>
      <c r="E46" s="776"/>
      <c r="F46" s="776"/>
      <c r="G46" s="776"/>
      <c r="H46" s="776"/>
      <c r="I46" s="776"/>
      <c r="J46" s="776"/>
      <c r="K46" s="776"/>
      <c r="L46" s="776"/>
      <c r="M46" s="776"/>
      <c r="N46" s="776"/>
      <c r="O46" s="776"/>
      <c r="P46" s="776"/>
      <c r="Q46" s="776"/>
      <c r="R46" s="776"/>
      <c r="S46" s="776"/>
      <c r="T46" s="776"/>
      <c r="U46" s="776"/>
      <c r="V46" s="776"/>
      <c r="W46" s="776"/>
      <c r="X46" s="776"/>
      <c r="Y46" s="776"/>
      <c r="Z46" s="776"/>
      <c r="AA46" s="776"/>
      <c r="AB46" s="776"/>
      <c r="AC46" s="776"/>
      <c r="AD46" s="776"/>
      <c r="AE46" s="776"/>
      <c r="AF46" s="776"/>
      <c r="AG46" s="776"/>
      <c r="AH46" s="776"/>
      <c r="AI46" s="776"/>
      <c r="AJ46" s="776"/>
      <c r="AK46" s="776"/>
      <c r="AL46" s="776"/>
      <c r="AM46" s="776"/>
      <c r="AN46" s="776"/>
      <c r="AO46" s="436"/>
      <c r="AP46" s="21"/>
    </row>
    <row r="47" spans="2:42" ht="15" customHeight="1" x14ac:dyDescent="0.35">
      <c r="B47" s="429"/>
      <c r="C47" s="780" t="s">
        <v>212</v>
      </c>
      <c r="D47" s="776"/>
      <c r="E47" s="532" cm="1">
        <f t="array" aca="1" ref="E47" ca="1">IF(E$21&lt;Standard_Year,'No STDs Case Rev &amp; Cost'!E47,
OFFSET(E47,-3,0)*
OFFSET(MSP!$D$1,
MATCH(OFFSET($C42,((MATCH($C42,EL_List,0)-1)*-10)-1,0),MSP!$C:$C,0)+MATCH($C42,EL_List,0)-1,0)
*INDEX(Learning!$E$6:$S$41,(MATCH(E$21,Dates,0)),(MATCH($C$21,Learning!$E$4:$S$4,0)+MATCH($C$42,Learning!$E$5:$S$5,0)-1)))</f>
        <v>11.989044644467294</v>
      </c>
      <c r="F47" s="532" cm="1">
        <f t="array" aca="1" ref="F47" ca="1">IF(F$21&lt;Standard_Year,'No STDs Case Rev &amp; Cost'!F47,
OFFSET(F47,-3,0)*
OFFSET(MSP!$D$1,
MATCH(OFFSET($C42,((MATCH($C42,EL_List,0)-1)*-10)-1,0),MSP!$C:$C,0)+MATCH($C42,EL_List,0)-1,0)
*INDEX(Learning!$E$6:$S$41,(MATCH(F$21,Dates,0)),(MATCH($C$21,Learning!$E$4:$S$4,0)+MATCH($C$42,Learning!$E$5:$S$5,0)-1)))</f>
        <v>12.417305055319087</v>
      </c>
      <c r="G47" s="532" cm="1">
        <f t="array" aca="1" ref="G47" ca="1">IF(G$21&lt;Standard_Year,'No STDs Case Rev &amp; Cost'!G47,
OFFSET(G47,-3,0)*
OFFSET(MSP!$D$1,
MATCH(OFFSET($C42,((MATCH($C42,EL_List,0)-1)*-10)-1,0),MSP!$C:$C,0)+MATCH($C42,EL_List,0)-1,0)
*INDEX(Learning!$E$6:$S$41,(MATCH(G$21,Dates,0)),(MATCH($C$21,Learning!$E$4:$S$4,0)+MATCH($C$42,Learning!$E$5:$S$5,0)-1)))</f>
        <v>12.794036343300929</v>
      </c>
      <c r="H47" s="532" cm="1">
        <f t="array" aca="1" ref="H47" ca="1">IF(H$21&lt;Standard_Year,'No STDs Case Rev &amp; Cost'!H47,
OFFSET(H47,-3,0)*
OFFSET(MSP!$D$1,
MATCH(OFFSET($C42,((MATCH($C42,EL_List,0)-1)*-10)-1,0),MSP!$C:$C,0)+MATCH($C42,EL_List,0)-1,0)
*INDEX(Learning!$E$6:$S$41,(MATCH(H$21,Dates,0)),(MATCH($C$21,Learning!$E$4:$S$4,0)+MATCH($C$42,Learning!$E$5:$S$5,0)-1)))</f>
        <v>13.303672360224772</v>
      </c>
      <c r="I47" s="532" cm="1">
        <f t="array" aca="1" ref="I47" ca="1">IF(I$21&lt;Standard_Year,'No STDs Case Rev &amp; Cost'!I47,
OFFSET(I47,-3,0)*
OFFSET(MSP!$D$1,
MATCH(OFFSET($C42,((MATCH($C42,EL_List,0)-1)*-10)-1,0),MSP!$C:$C,0)+MATCH($C42,EL_List,0)-1,0)
*INDEX(Learning!$E$6:$S$41,(MATCH(I$21,Dates,0)),(MATCH($C$21,Learning!$E$4:$S$4,0)+MATCH($C$42,Learning!$E$5:$S$5,0)-1)))</f>
        <v>64.147471318723078</v>
      </c>
      <c r="J47" s="532" cm="1">
        <f t="array" aca="1" ref="J47" ca="1">IF(J$21&lt;Standard_Year,'No STDs Case Rev &amp; Cost'!J47,
OFFSET(J47,-3,0)*
OFFSET(MSP!$D$1,
MATCH(OFFSET($C42,((MATCH($C42,EL_List,0)-1)*-10)-1,0),MSP!$C:$C,0)+MATCH($C42,EL_List,0)-1,0)
*INDEX(Learning!$E$6:$S$41,(MATCH(J$21,Dates,0)),(MATCH($C$21,Learning!$E$4:$S$4,0)+MATCH($C$42,Learning!$E$5:$S$5,0)-1)))</f>
        <v>67.024026240046112</v>
      </c>
      <c r="K47" s="532" cm="1">
        <f t="array" aca="1" ref="K47" ca="1">IF(K$21&lt;Standard_Year,'No STDs Case Rev &amp; Cost'!K47,
OFFSET(K47,-3,0)*
OFFSET(MSP!$D$1,
MATCH(OFFSET($C42,((MATCH($C42,EL_List,0)-1)*-10)-1,0),MSP!$C:$C,0)+MATCH($C42,EL_List,0)-1,0)
*INDEX(Learning!$E$6:$S$41,(MATCH(K$21,Dates,0)),(MATCH($C$21,Learning!$E$4:$S$4,0)+MATCH($C$42,Learning!$E$5:$S$5,0)-1)))</f>
        <v>70.134644408006636</v>
      </c>
      <c r="L47" s="532" cm="1">
        <f t="array" aca="1" ref="L47" ca="1">IF(L$21&lt;Standard_Year,'No STDs Case Rev &amp; Cost'!L47,
OFFSET(L47,-3,0)*
OFFSET(MSP!$D$1,
MATCH(OFFSET($C42,((MATCH($C42,EL_List,0)-1)*-10)-1,0),MSP!$C:$C,0)+MATCH($C42,EL_List,0)-1,0)
*INDEX(Learning!$E$6:$S$41,(MATCH(L$21,Dates,0)),(MATCH($C$21,Learning!$E$4:$S$4,0)+MATCH($C$42,Learning!$E$5:$S$5,0)-1)))</f>
        <v>73.427035246789927</v>
      </c>
      <c r="M47" s="532" cm="1">
        <f t="array" aca="1" ref="M47" ca="1">IF(M$21&lt;Standard_Year,'No STDs Case Rev &amp; Cost'!M47,
OFFSET(M47,-3,0)*
OFFSET(MSP!$D$1,
MATCH(OFFSET($C42,((MATCH($C42,EL_List,0)-1)*-10)-1,0),MSP!$C:$C,0)+MATCH($C42,EL_List,0)-1,0)
*INDEX(Learning!$E$6:$S$41,(MATCH(M$21,Dates,0)),(MATCH($C$21,Learning!$E$4:$S$4,0)+MATCH($C$42,Learning!$E$5:$S$5,0)-1)))</f>
        <v>76.768619924389711</v>
      </c>
      <c r="N47" s="532" cm="1">
        <f t="array" aca="1" ref="N47" ca="1">IF(N$21&lt;Standard_Year,'No STDs Case Rev &amp; Cost'!N47,
OFFSET(N47,-3,0)*
OFFSET(MSP!$D$1,
MATCH(OFFSET($C42,((MATCH($C42,EL_List,0)-1)*-10)-1,0),MSP!$C:$C,0)+MATCH($C42,EL_List,0)-1,0)
*INDEX(Learning!$E$6:$S$41,(MATCH(N$21,Dates,0)),(MATCH($C$21,Learning!$E$4:$S$4,0)+MATCH($C$42,Learning!$E$5:$S$5,0)-1)))</f>
        <v>80.278844356105722</v>
      </c>
      <c r="O47" s="532" cm="1">
        <f t="array" aca="1" ref="O47" ca="1">IF(O$21&lt;Standard_Year,'No STDs Case Rev &amp; Cost'!O47,
OFFSET(O47,-3,0)*
OFFSET(MSP!$D$1,
MATCH(OFFSET($C42,((MATCH($C42,EL_List,0)-1)*-10)-1,0),MSP!$C:$C,0)+MATCH($C42,EL_List,0)-1,0)
*INDEX(Learning!$E$6:$S$41,(MATCH(O$21,Dates,0)),(MATCH($C$21,Learning!$E$4:$S$4,0)+MATCH($C$42,Learning!$E$5:$S$5,0)-1)))</f>
        <v>83.879659848595381</v>
      </c>
      <c r="P47" s="532" cm="1">
        <f t="array" aca="1" ref="P47" ca="1">IF(P$21&lt;Standard_Year,'No STDs Case Rev &amp; Cost'!P47,
OFFSET(P47,-3,0)*
OFFSET(MSP!$D$1,
MATCH(OFFSET($C42,((MATCH($C42,EL_List,0)-1)*-10)-1,0),MSP!$C:$C,0)+MATCH($C42,EL_List,0)-1,0)
*INDEX(Learning!$E$6:$S$41,(MATCH(P$21,Dates,0)),(MATCH($C$21,Learning!$E$4:$S$4,0)+MATCH($C$42,Learning!$E$5:$S$5,0)-1)))</f>
        <v>87.676312614440647</v>
      </c>
      <c r="Q47" s="532" cm="1">
        <f t="array" aca="1" ref="Q47" ca="1">IF(Q$21&lt;Standard_Year,'No STDs Case Rev &amp; Cost'!Q47,
OFFSET(Q47,-3,0)*
OFFSET(MSP!$D$1,
MATCH(OFFSET($C42,((MATCH($C42,EL_List,0)-1)*-10)-1,0),MSP!$C:$C,0)+MATCH($C42,EL_List,0)-1,0)
*INDEX(Learning!$E$6:$S$41,(MATCH(Q$21,Dates,0)),(MATCH($C$21,Learning!$E$4:$S$4,0)+MATCH($C$42,Learning!$E$5:$S$5,0)-1)))</f>
        <v>91.490285375155864</v>
      </c>
      <c r="R47" s="532" cm="1">
        <f t="array" aca="1" ref="R47" ca="1">IF(R$21&lt;Standard_Year,'No STDs Case Rev &amp; Cost'!R47,
OFFSET(R47,-3,0)*
OFFSET(MSP!$D$1,
MATCH(OFFSET($C42,((MATCH($C42,EL_List,0)-1)*-10)-1,0),MSP!$C:$C,0)+MATCH($C42,EL_List,0)-1,0)
*INDEX(Learning!$E$6:$S$41,(MATCH(R$21,Dates,0)),(MATCH($C$21,Learning!$E$4:$S$4,0)+MATCH($C$42,Learning!$E$5:$S$5,0)-1)))</f>
        <v>95.558265351246405</v>
      </c>
      <c r="S47" s="532" cm="1">
        <f t="array" aca="1" ref="S47" ca="1">IF(S$21&lt;Standard_Year,'No STDs Case Rev &amp; Cost'!S47,
OFFSET(S47,-3,0)*
OFFSET(MSP!$D$1,
MATCH(OFFSET($C42,((MATCH($C42,EL_List,0)-1)*-10)-1,0),MSP!$C:$C,0)+MATCH($C42,EL_List,0)-1,0)
*INDEX(Learning!$E$6:$S$41,(MATCH(S$21,Dates,0)),(MATCH($C$21,Learning!$E$4:$S$4,0)+MATCH($C$42,Learning!$E$5:$S$5,0)-1)))</f>
        <v>99.707545343589999</v>
      </c>
      <c r="T47" s="532" cm="1">
        <f t="array" aca="1" ref="T47" ca="1">IF(T$21&lt;Standard_Year,'No STDs Case Rev &amp; Cost'!T47,
OFFSET(T47,-3,0)*
OFFSET(MSP!$D$1,
MATCH(OFFSET($C42,((MATCH($C42,EL_List,0)-1)*-10)-1,0),MSP!$C:$C,0)+MATCH($C42,EL_List,0)-1,0)
*INDEX(Learning!$E$6:$S$41,(MATCH(T$21,Dates,0)),(MATCH($C$21,Learning!$E$4:$S$4,0)+MATCH($C$42,Learning!$E$5:$S$5,0)-1)))</f>
        <v>104.15456895808227</v>
      </c>
      <c r="U47" s="532" cm="1">
        <f t="array" aca="1" ref="U47" ca="1">IF(U$21&lt;Standard_Year,'No STDs Case Rev &amp; Cost'!U47,
OFFSET(U47,-3,0)*
OFFSET(MSP!$D$1,
MATCH(OFFSET($C42,((MATCH($C42,EL_List,0)-1)*-10)-1,0),MSP!$C:$C,0)+MATCH($C42,EL_List,0)-1,0)
*INDEX(Learning!$E$6:$S$41,(MATCH(U$21,Dates,0)),(MATCH($C$21,Learning!$E$4:$S$4,0)+MATCH($C$42,Learning!$E$5:$S$5,0)-1)))</f>
        <v>108.81355519290307</v>
      </c>
      <c r="V47" s="532" cm="1">
        <f t="array" aca="1" ref="V47" ca="1">IF(V$21&lt;Standard_Year,'No STDs Case Rev &amp; Cost'!V47,
OFFSET(V47,-3,0)*
OFFSET(MSP!$D$1,
MATCH(OFFSET($C42,((MATCH($C42,EL_List,0)-1)*-10)-1,0),MSP!$C:$C,0)+MATCH($C42,EL_List,0)-1,0)
*INDEX(Learning!$E$6:$S$41,(MATCH(V$21,Dates,0)),(MATCH($C$21,Learning!$E$4:$S$4,0)+MATCH($C$42,Learning!$E$5:$S$5,0)-1)))</f>
        <v>113.66994748736253</v>
      </c>
      <c r="W47" s="532" cm="1">
        <f t="array" aca="1" ref="W47" ca="1">IF(W$21&lt;Standard_Year,'No STDs Case Rev &amp; Cost'!W47,
OFFSET(W47,-3,0)*
OFFSET(MSP!$D$1,
MATCH(OFFSET($C42,((MATCH($C42,EL_List,0)-1)*-10)-1,0),MSP!$C:$C,0)+MATCH($C42,EL_List,0)-1,0)
*INDEX(Learning!$E$6:$S$41,(MATCH(W$21,Dates,0)),(MATCH($C$21,Learning!$E$4:$S$4,0)+MATCH($C$42,Learning!$E$5:$S$5,0)-1)))</f>
        <v>118.73614166654198</v>
      </c>
      <c r="X47" s="532" cm="1">
        <f t="array" aca="1" ref="X47" ca="1">IF(X$21&lt;Standard_Year,'No STDs Case Rev &amp; Cost'!X47,
OFFSET(X47,-3,0)*
OFFSET(MSP!$D$1,
MATCH(OFFSET($C42,((MATCH($C42,EL_List,0)-1)*-10)-1,0),MSP!$C:$C,0)+MATCH($C42,EL_List,0)-1,0)
*INDEX(Learning!$E$6:$S$41,(MATCH(X$21,Dates,0)),(MATCH($C$21,Learning!$E$4:$S$4,0)+MATCH($C$42,Learning!$E$5:$S$5,0)-1)))</f>
        <v>124.14830160599439</v>
      </c>
      <c r="Y47" s="532" cm="1">
        <f t="array" aca="1" ref="Y47" ca="1">IF(Y$21&lt;Standard_Year,'No STDs Case Rev &amp; Cost'!Y47,
OFFSET(Y47,-3,0)*
OFFSET(MSP!$D$1,
MATCH(OFFSET($C42,((MATCH($C42,EL_List,0)-1)*-10)-1,0),MSP!$C:$C,0)+MATCH($C42,EL_List,0)-1,0)
*INDEX(Learning!$E$6:$S$41,(MATCH(Y$21,Dates,0)),(MATCH($C$21,Learning!$E$4:$S$4,0)+MATCH($C$42,Learning!$E$5:$S$5,0)-1)))</f>
        <v>129.65145764181571</v>
      </c>
      <c r="Z47" s="532" cm="1">
        <f t="array" aca="1" ref="Z47" ca="1">IF(Z$21&lt;Standard_Year,'No STDs Case Rev &amp; Cost'!Z47,
OFFSET(Z47,-3,0)*
OFFSET(MSP!$D$1,
MATCH(OFFSET($C42,((MATCH($C42,EL_List,0)-1)*-10)-1,0),MSP!$C:$C,0)+MATCH($C42,EL_List,0)-1,0)
*INDEX(Learning!$E$6:$S$41,(MATCH(Z$21,Dates,0)),(MATCH($C$21,Learning!$E$4:$S$4,0)+MATCH($C$42,Learning!$E$5:$S$5,0)-1)))</f>
        <v>135.38168871694253</v>
      </c>
      <c r="AA47" s="532" cm="1">
        <f t="array" aca="1" ref="AA47" ca="1">IF(AA$21&lt;Standard_Year,'No STDs Case Rev &amp; Cost'!AA47,
OFFSET(AA47,-3,0)*
OFFSET(MSP!$D$1,
MATCH(OFFSET($C42,((MATCH($C42,EL_List,0)-1)*-10)-1,0),MSP!$C:$C,0)+MATCH($C42,EL_List,0)-1,0)
*INDEX(Learning!$E$6:$S$41,(MATCH(AA$21,Dates,0)),(MATCH($C$21,Learning!$E$4:$S$4,0)+MATCH($C$42,Learning!$E$5:$S$5,0)-1)))</f>
        <v>141.50095409373745</v>
      </c>
      <c r="AB47" s="532" cm="1">
        <f t="array" aca="1" ref="AB47" ca="1">IF(AB$21&lt;Standard_Year,'No STDs Case Rev &amp; Cost'!AB47,
OFFSET(AB47,-3,0)*
OFFSET(MSP!$D$1,
MATCH(OFFSET($C42,((MATCH($C42,EL_List,0)-1)*-10)-1,0),MSP!$C:$C,0)+MATCH($C42,EL_List,0)-1,0)
*INDEX(Learning!$E$6:$S$41,(MATCH(AB$21,Dates,0)),(MATCH($C$21,Learning!$E$4:$S$4,0)+MATCH($C$42,Learning!$E$5:$S$5,0)-1)))</f>
        <v>147.72309634464685</v>
      </c>
      <c r="AC47" s="532" cm="1">
        <f t="array" aca="1" ref="AC47" ca="1">IF(AC$21&lt;Standard_Year,'No STDs Case Rev &amp; Cost'!AC47,
OFFSET(AC47,-3,0)*
OFFSET(MSP!$D$1,
MATCH(OFFSET($C42,((MATCH($C42,EL_List,0)-1)*-10)-1,0),MSP!$C:$C,0)+MATCH($C42,EL_List,0)-1,0)
*INDEX(Learning!$E$6:$S$41,(MATCH(AC$21,Dates,0)),(MATCH($C$21,Learning!$E$4:$S$4,0)+MATCH($C$42,Learning!$E$5:$S$5,0)-1)))</f>
        <v>154.37808584299009</v>
      </c>
      <c r="AD47" s="532" cm="1">
        <f t="array" aca="1" ref="AD47" ca="1">IF(AD$21&lt;Standard_Year,'No STDs Case Rev &amp; Cost'!AD47,
OFFSET(AD47,-3,0)*
OFFSET(MSP!$D$1,
MATCH(OFFSET($C42,((MATCH($C42,EL_List,0)-1)*-10)-1,0),MSP!$C:$C,0)+MATCH($C42,EL_List,0)-1,0)
*INDEX(Learning!$E$6:$S$41,(MATCH(AD$21,Dates,0)),(MATCH($C$21,Learning!$E$4:$S$4,0)+MATCH($C$42,Learning!$E$5:$S$5,0)-1)))</f>
        <v>161.14555932118137</v>
      </c>
      <c r="AE47" s="532" cm="1">
        <f t="array" aca="1" ref="AE47" ca="1">IF(AE$21&lt;Standard_Year,'No STDs Case Rev &amp; Cost'!AE47,
OFFSET(AE47,-3,0)*
OFFSET(MSP!$D$1,
MATCH(OFFSET($C42,((MATCH($C42,EL_List,0)-1)*-10)-1,0),MSP!$C:$C,0)+MATCH($C42,EL_List,0)-1,0)
*INDEX(Learning!$E$6:$S$41,(MATCH(AE$21,Dates,0)),(MATCH($C$21,Learning!$E$4:$S$4,0)+MATCH($C$42,Learning!$E$5:$S$5,0)-1)))</f>
        <v>168.387175999834</v>
      </c>
      <c r="AF47" s="532" cm="1">
        <f t="array" aca="1" ref="AF47" ca="1">IF(AF$21&lt;Standard_Year,'No STDs Case Rev &amp; Cost'!AF47,
OFFSET(AF47,-3,0)*
OFFSET(MSP!$D$1,
MATCH(OFFSET($C42,((MATCH($C42,EL_List,0)-1)*-10)-1,0),MSP!$C:$C,0)+MATCH($C42,EL_List,0)-1,0)
*INDEX(Learning!$E$6:$S$41,(MATCH(AF$21,Dates,0)),(MATCH($C$21,Learning!$E$4:$S$4,0)+MATCH($C$42,Learning!$E$5:$S$5,0)-1)))</f>
        <v>175.94520765703038</v>
      </c>
      <c r="AG47" s="532" cm="1">
        <f t="array" aca="1" ref="AG47" ca="1">IF(AG$21&lt;Standard_Year,'No STDs Case Rev &amp; Cost'!AG47,
OFFSET(AG47,-3,0)*
OFFSET(MSP!$D$1,
MATCH(OFFSET($C42,((MATCH($C42,EL_List,0)-1)*-10)-1,0),MSP!$C:$C,0)+MATCH($C42,EL_List,0)-1,0)
*INDEX(Learning!$E$6:$S$41,(MATCH(AG$21,Dates,0)),(MATCH($C$21,Learning!$E$4:$S$4,0)+MATCH($C$42,Learning!$E$5:$S$5,0)-1)))</f>
        <v>183.83255048417675</v>
      </c>
      <c r="AH47" s="532" cm="1">
        <f t="array" aca="1" ref="AH47" ca="1">IF(AH$21&lt;Standard_Year,'No STDs Case Rev &amp; Cost'!AH47,
OFFSET(AH47,-3,0)*
OFFSET(MSP!$D$1,
MATCH(OFFSET($C42,((MATCH($C42,EL_List,0)-1)*-10)-1,0),MSP!$C:$C,0)+MATCH($C42,EL_List,0)-1,0)
*INDEX(Learning!$E$6:$S$41,(MATCH(AH$21,Dates,0)),(MATCH($C$21,Learning!$E$4:$S$4,0)+MATCH($C$42,Learning!$E$5:$S$5,0)-1)))</f>
        <v>192.06265219359366</v>
      </c>
      <c r="AI47" s="532" cm="1">
        <f t="array" aca="1" ref="AI47" ca="1">IF(AI$21&lt;Standard_Year,'No STDs Case Rev &amp; Cost'!AI47,
OFFSET(AI47,-3,0)*
OFFSET(MSP!$D$1,
MATCH(OFFSET($C42,((MATCH($C42,EL_List,0)-1)*-10)-1,0),MSP!$C:$C,0)+MATCH($C42,EL_List,0)-1,0)
*INDEX(Learning!$E$6:$S$41,(MATCH(AI$21,Dates,0)),(MATCH($C$21,Learning!$E$4:$S$4,0)+MATCH($C$42,Learning!$E$5:$S$5,0)-1)))</f>
        <v>200.64974378590458</v>
      </c>
      <c r="AJ47" s="532" cm="1">
        <f t="array" aca="1" ref="AJ47" ca="1">IF(AJ$21&lt;Standard_Year,'No STDs Case Rev &amp; Cost'!AJ47,
OFFSET(AJ47,-3,0)*
OFFSET(MSP!$D$1,
MATCH(OFFSET($C42,((MATCH($C42,EL_List,0)-1)*-10)-1,0),MSP!$C:$C,0)+MATCH($C42,EL_List,0)-1,0)
*INDEX(Learning!$E$6:$S$41,(MATCH(AJ$21,Dates,0)),(MATCH($C$21,Learning!$E$4:$S$4,0)+MATCH($C$42,Learning!$E$5:$S$5,0)-1)))</f>
        <v>209.60895082518897</v>
      </c>
      <c r="AK47" s="532" cm="1">
        <f t="array" aca="1" ref="AK47" ca="1">IF(AK$21&lt;Standard_Year,'No STDs Case Rev &amp; Cost'!AK47,
OFFSET(AK47,-3,0)*
OFFSET(MSP!$D$1,
MATCH(OFFSET($C42,((MATCH($C42,EL_List,0)-1)*-10)-1,0),MSP!$C:$C,0)+MATCH($C42,EL_List,0)-1,0)
*INDEX(Learning!$E$6:$S$41,(MATCH(AK$21,Dates,0)),(MATCH($C$21,Learning!$E$4:$S$4,0)+MATCH($C$42,Learning!$E$5:$S$5,0)-1)))</f>
        <v>218.95627687380767</v>
      </c>
      <c r="AL47" s="532" cm="1">
        <f t="array" aca="1" ref="AL47" ca="1">IF(AL$21&lt;Standard_Year,'No STDs Case Rev &amp; Cost'!AL47,
OFFSET(AL47,-3,0)*
OFFSET(MSP!$D$1,
MATCH(OFFSET($C42,((MATCH($C42,EL_List,0)-1)*-10)-1,0),MSP!$C:$C,0)+MATCH($C42,EL_List,0)-1,0)
*INDEX(Learning!$E$6:$S$41,(MATCH(AL$21,Dates,0)),(MATCH($C$21,Learning!$E$4:$S$4,0)+MATCH($C$42,Learning!$E$5:$S$5,0)-1)))</f>
        <v>228.70853389342355</v>
      </c>
      <c r="AM47" s="532" cm="1">
        <f t="array" aca="1" ref="AM47" ca="1">IF(AM$21&lt;Standard_Year,'No STDs Case Rev &amp; Cost'!AM47,
OFFSET(AM47,-3,0)*
OFFSET(MSP!$D$1,
MATCH(OFFSET($C42,((MATCH($C42,EL_List,0)-1)*-10)-1,0),MSP!$C:$C,0)+MATCH($C42,EL_List,0)-1,0)
*INDEX(Learning!$E$6:$S$41,(MATCH(AM$21,Dates,0)),(MATCH($C$21,Learning!$E$4:$S$4,0)+MATCH($C$42,Learning!$E$5:$S$5,0)-1)))</f>
        <v>238.88328734701682</v>
      </c>
      <c r="AN47" s="532" cm="1">
        <f t="array" aca="1" ref="AN47" ca="1">IF(AN$21&lt;Standard_Year,'No STDs Case Rev &amp; Cost'!AN47,
OFFSET(AN47,-3,0)*
OFFSET(MSP!$D$1,
MATCH(OFFSET($C42,((MATCH($C42,EL_List,0)-1)*-10)-1,0),MSP!$C:$C,0)+MATCH($C42,EL_List,0)-1,0)
*INDEX(Learning!$E$6:$S$41,(MATCH(AN$21,Dates,0)),(MATCH($C$21,Learning!$E$4:$S$4,0)+MATCH($C$42,Learning!$E$5:$S$5,0)-1)))</f>
        <v>249.49365360196899</v>
      </c>
      <c r="AO47" s="436"/>
      <c r="AP47" s="21"/>
    </row>
    <row r="48" spans="2:42" ht="15" customHeight="1" x14ac:dyDescent="0.35">
      <c r="B48" s="429"/>
      <c r="C48" s="780" t="s">
        <v>213</v>
      </c>
      <c r="D48" s="776"/>
      <c r="E48" s="533" cm="1">
        <f t="array" aca="1" ref="E48" ca="1">IF(E$21&lt;Standard_Year,'No STDs Case Rev &amp; Cost'!E48,
OFFSET(E48,-4,0)*
OFFSET(MSP!$E$1,
MATCH(OFFSET($C42,((MATCH($C42,EL_List,0)-1)*-10)-1,0),MSP!$C:$C,0)+MATCH($C42,EL_List,0)-1,0)
*INDEX(Learning!$E$6:$S$41,(MATCH(E$21,Dates,0)),(MATCH($C$21,Learning!$E$4:$S$4,0)+MATCH($C$42,Learning!$E$5:$S$5,0)-1)))</f>
        <v>0.20150054344203389</v>
      </c>
      <c r="F48" s="533" cm="1">
        <f t="array" aca="1" ref="F48" ca="1">IF(F$21&lt;Standard_Year,'No STDs Case Rev &amp; Cost'!F48,
OFFSET(F48,-4,0)*
OFFSET(MSP!$E$1,
MATCH(OFFSET($C42,((MATCH($C42,EL_List,0)-1)*-10)-1,0),MSP!$C:$C,0)+MATCH($C42,EL_List,0)-1,0)
*INDEX(Learning!$E$6:$S$41,(MATCH(F$21,Dates,0)),(MATCH($C$21,Learning!$E$4:$S$4,0)+MATCH($C$42,Learning!$E$5:$S$5,0)-1)))</f>
        <v>0.20869834010393623</v>
      </c>
      <c r="G48" s="533" cm="1">
        <f t="array" aca="1" ref="G48" ca="1">IF(G$21&lt;Standard_Year,'No STDs Case Rev &amp; Cost'!G48,
OFFSET(G48,-4,0)*
OFFSET(MSP!$E$1,
MATCH(OFFSET($C42,((MATCH($C42,EL_List,0)-1)*-10)-1,0),MSP!$C:$C,0)+MATCH($C42,EL_List,0)-1,0)
*INDEX(Learning!$E$6:$S$41,(MATCH(G$21,Dates,0)),(MATCH($C$21,Learning!$E$4:$S$4,0)+MATCH($C$42,Learning!$E$5:$S$5,0)-1)))</f>
        <v>0.21503008391765119</v>
      </c>
      <c r="H48" s="533" cm="1">
        <f t="array" aca="1" ref="H48" ca="1">IF(H$21&lt;Standard_Year,'No STDs Case Rev &amp; Cost'!H48,
OFFSET(H48,-4,0)*
OFFSET(MSP!$E$1,
MATCH(OFFSET($C42,((MATCH($C42,EL_List,0)-1)*-10)-1,0),MSP!$C:$C,0)+MATCH($C42,EL_List,0)-1,0)
*INDEX(Learning!$E$6:$S$41,(MATCH(H$21,Dates,0)),(MATCH($C$21,Learning!$E$4:$S$4,0)+MATCH($C$42,Learning!$E$5:$S$5,0)-1)))</f>
        <v>0.22359556493912511</v>
      </c>
      <c r="I48" s="533" cm="1">
        <f t="array" aca="1" ref="I48" ca="1">IF(I$21&lt;Standard_Year,'No STDs Case Rev &amp; Cost'!I48,
OFFSET(I48,-4,0)*
OFFSET(MSP!$E$1,
MATCH(OFFSET($C42,((MATCH($C42,EL_List,0)-1)*-10)-1,0),MSP!$C:$C,0)+MATCH($C42,EL_List,0)-1,0)
*INDEX(Learning!$E$6:$S$41,(MATCH(I$21,Dates,0)),(MATCH($C$21,Learning!$E$4:$S$4,0)+MATCH($C$42,Learning!$E$5:$S$5,0)-1)))</f>
        <v>1.0781301358419713</v>
      </c>
      <c r="J48" s="533" cm="1">
        <f t="array" aca="1" ref="J48" ca="1">IF(J$21&lt;Standard_Year,'No STDs Case Rev &amp; Cost'!J48,
OFFSET(J48,-4,0)*
OFFSET(MSP!$E$1,
MATCH(OFFSET($C42,((MATCH($C42,EL_List,0)-1)*-10)-1,0),MSP!$C:$C,0)+MATCH($C42,EL_List,0)-1,0)
*INDEX(Learning!$E$6:$S$41,(MATCH(J$21,Dates,0)),(MATCH($C$21,Learning!$E$4:$S$4,0)+MATCH($C$42,Learning!$E$5:$S$5,0)-1)))</f>
        <v>1.1264765551836438</v>
      </c>
      <c r="K48" s="533" cm="1">
        <f t="array" aca="1" ref="K48" ca="1">IF(K$21&lt;Standard_Year,'No STDs Case Rev &amp; Cost'!K48,
OFFSET(K48,-4,0)*
OFFSET(MSP!$E$1,
MATCH(OFFSET($C42,((MATCH($C42,EL_List,0)-1)*-10)-1,0),MSP!$C:$C,0)+MATCH($C42,EL_List,0)-1,0)
*INDEX(Learning!$E$6:$S$41,(MATCH(K$21,Dates,0)),(MATCH($C$21,Learning!$E$4:$S$4,0)+MATCH($C$42,Learning!$E$5:$S$5,0)-1)))</f>
        <v>1.1787568885940261</v>
      </c>
      <c r="L48" s="533" cm="1">
        <f t="array" aca="1" ref="L48" ca="1">IF(L$21&lt;Standard_Year,'No STDs Case Rev &amp; Cost'!L48,
OFFSET(L48,-4,0)*
OFFSET(MSP!$E$1,
MATCH(OFFSET($C42,((MATCH($C42,EL_List,0)-1)*-10)-1,0),MSP!$C:$C,0)+MATCH($C42,EL_List,0)-1,0)
*INDEX(Learning!$E$6:$S$41,(MATCH(L$21,Dates,0)),(MATCH($C$21,Learning!$E$4:$S$4,0)+MATCH($C$42,Learning!$E$5:$S$5,0)-1)))</f>
        <v>1.2340922854427283</v>
      </c>
      <c r="M48" s="533" cm="1">
        <f t="array" aca="1" ref="M48" ca="1">IF(M$21&lt;Standard_Year,'No STDs Case Rev &amp; Cost'!M48,
OFFSET(M48,-4,0)*
OFFSET(MSP!$E$1,
MATCH(OFFSET($C42,((MATCH($C42,EL_List,0)-1)*-10)-1,0),MSP!$C:$C,0)+MATCH($C42,EL_List,0)-1,0)
*INDEX(Learning!$E$6:$S$41,(MATCH(M$21,Dates,0)),(MATCH($C$21,Learning!$E$4:$S$4,0)+MATCH($C$42,Learning!$E$5:$S$5,0)-1)))</f>
        <v>1.290254485890006</v>
      </c>
      <c r="N48" s="533" cm="1">
        <f t="array" aca="1" ref="N48" ca="1">IF(N$21&lt;Standard_Year,'No STDs Case Rev &amp; Cost'!N48,
OFFSET(N48,-4,0)*
OFFSET(MSP!$E$1,
MATCH(OFFSET($C42,((MATCH($C42,EL_List,0)-1)*-10)-1,0),MSP!$C:$C,0)+MATCH($C42,EL_List,0)-1,0)
*INDEX(Learning!$E$6:$S$41,(MATCH(N$21,Dates,0)),(MATCH($C$21,Learning!$E$4:$S$4,0)+MATCH($C$42,Learning!$E$5:$S$5,0)-1)))</f>
        <v>1.3492510241104798</v>
      </c>
      <c r="O48" s="533" cm="1">
        <f t="array" aca="1" ref="O48" ca="1">IF(O$21&lt;Standard_Year,'No STDs Case Rev &amp; Cost'!O48,
OFFSET(O48,-4,0)*
OFFSET(MSP!$E$1,
MATCH(OFFSET($C42,((MATCH($C42,EL_List,0)-1)*-10)-1,0),MSP!$C:$C,0)+MATCH($C42,EL_List,0)-1,0)
*INDEX(Learning!$E$6:$S$41,(MATCH(O$21,Dates,0)),(MATCH($C$21,Learning!$E$4:$S$4,0)+MATCH($C$42,Learning!$E$5:$S$5,0)-1)))</f>
        <v>1.4097701313527731</v>
      </c>
      <c r="P48" s="533" cm="1">
        <f t="array" aca="1" ref="P48" ca="1">IF(P$21&lt;Standard_Year,'No STDs Case Rev &amp; Cost'!P48,
OFFSET(P48,-4,0)*
OFFSET(MSP!$E$1,
MATCH(OFFSET($C42,((MATCH($C42,EL_List,0)-1)*-10)-1,0),MSP!$C:$C,0)+MATCH($C42,EL_List,0)-1,0)
*INDEX(Learning!$E$6:$S$41,(MATCH(P$21,Dates,0)),(MATCH($C$21,Learning!$E$4:$S$4,0)+MATCH($C$42,Learning!$E$5:$S$5,0)-1)))</f>
        <v>1.4735806865942676</v>
      </c>
      <c r="Q48" s="533" cm="1">
        <f t="array" aca="1" ref="Q48" ca="1">IF(Q$21&lt;Standard_Year,'No STDs Case Rev &amp; Cost'!Q48,
OFFSET(Q48,-4,0)*
OFFSET(MSP!$E$1,
MATCH(OFFSET($C42,((MATCH($C42,EL_List,0)-1)*-10)-1,0),MSP!$C:$C,0)+MATCH($C42,EL_List,0)-1,0)
*INDEX(Learning!$E$6:$S$41,(MATCH(Q$21,Dates,0)),(MATCH($C$21,Learning!$E$4:$S$4,0)+MATCH($C$42,Learning!$E$5:$S$5,0)-1)))</f>
        <v>1.5376823399576058</v>
      </c>
      <c r="R48" s="533" cm="1">
        <f t="array" aca="1" ref="R48" ca="1">IF(R$21&lt;Standard_Year,'No STDs Case Rev &amp; Cost'!R48,
OFFSET(R48,-4,0)*
OFFSET(MSP!$E$1,
MATCH(OFFSET($C42,((MATCH($C42,EL_List,0)-1)*-10)-1,0),MSP!$C:$C,0)+MATCH($C42,EL_List,0)-1,0)
*INDEX(Learning!$E$6:$S$41,(MATCH(R$21,Dates,0)),(MATCH($C$21,Learning!$E$4:$S$4,0)+MATCH($C$42,Learning!$E$5:$S$5,0)-1)))</f>
        <v>1.606053106786957</v>
      </c>
      <c r="S48" s="533" cm="1">
        <f t="array" aca="1" ref="S48" ca="1">IF(S$21&lt;Standard_Year,'No STDs Case Rev &amp; Cost'!S48,
OFFSET(S48,-4,0)*
OFFSET(MSP!$E$1,
MATCH(OFFSET($C42,((MATCH($C42,EL_List,0)-1)*-10)-1,0),MSP!$C:$C,0)+MATCH($C42,EL_List,0)-1,0)
*INDEX(Learning!$E$6:$S$41,(MATCH(S$21,Dates,0)),(MATCH($C$21,Learning!$E$4:$S$4,0)+MATCH($C$42,Learning!$E$5:$S$5,0)-1)))</f>
        <v>1.6757902875335671</v>
      </c>
      <c r="T48" s="533" cm="1">
        <f t="array" aca="1" ref="T48" ca="1">IF(T$21&lt;Standard_Year,'No STDs Case Rev &amp; Cost'!T48,
OFFSET(T48,-4,0)*
OFFSET(MSP!$E$1,
MATCH(OFFSET($C42,((MATCH($C42,EL_List,0)-1)*-10)-1,0),MSP!$C:$C,0)+MATCH($C42,EL_List,0)-1,0)
*INDEX(Learning!$E$6:$S$41,(MATCH(T$21,Dates,0)),(MATCH($C$21,Learning!$E$4:$S$4,0)+MATCH($C$42,Learning!$E$5:$S$5,0)-1)))</f>
        <v>1.7505316619793843</v>
      </c>
      <c r="U48" s="533" cm="1">
        <f t="array" aca="1" ref="U48" ca="1">IF(U$21&lt;Standard_Year,'No STDs Case Rev &amp; Cost'!U48,
OFFSET(U48,-4,0)*
OFFSET(MSP!$E$1,
MATCH(OFFSET($C42,((MATCH($C42,EL_List,0)-1)*-10)-1,0),MSP!$C:$C,0)+MATCH($C42,EL_List,0)-1,0)
*INDEX(Learning!$E$6:$S$41,(MATCH(U$21,Dates,0)),(MATCH($C$21,Learning!$E$4:$S$4,0)+MATCH($C$42,Learning!$E$5:$S$5,0)-1)))</f>
        <v>1.8288355040322686</v>
      </c>
      <c r="V48" s="533" cm="1">
        <f t="array" aca="1" ref="V48" ca="1">IF(V$21&lt;Standard_Year,'No STDs Case Rev &amp; Cost'!V48,
OFFSET(V48,-4,0)*
OFFSET(MSP!$E$1,
MATCH(OFFSET($C42,((MATCH($C42,EL_List,0)-1)*-10)-1,0),MSP!$C:$C,0)+MATCH($C42,EL_List,0)-1,0)
*INDEX(Learning!$E$6:$S$41,(MATCH(V$21,Dates,0)),(MATCH($C$21,Learning!$E$4:$S$4,0)+MATCH($C$42,Learning!$E$5:$S$5,0)-1)))</f>
        <v>1.9104571607630974</v>
      </c>
      <c r="W48" s="533" cm="1">
        <f t="array" aca="1" ref="W48" ca="1">IF(W$21&lt;Standard_Year,'No STDs Case Rev &amp; Cost'!W48,
OFFSET(W48,-4,0)*
OFFSET(MSP!$E$1,
MATCH(OFFSET($C42,((MATCH($C42,EL_List,0)-1)*-10)-1,0),MSP!$C:$C,0)+MATCH($C42,EL_List,0)-1,0)
*INDEX(Learning!$E$6:$S$41,(MATCH(W$21,Dates,0)),(MATCH($C$21,Learning!$E$4:$S$4,0)+MATCH($C$42,Learning!$E$5:$S$5,0)-1)))</f>
        <v>1.9956049694968507</v>
      </c>
      <c r="X48" s="533" cm="1">
        <f t="array" aca="1" ref="X48" ca="1">IF(X$21&lt;Standard_Year,'No STDs Case Rev &amp; Cost'!X48,
OFFSET(X48,-4,0)*
OFFSET(MSP!$E$1,
MATCH(OFFSET($C42,((MATCH($C42,EL_List,0)-1)*-10)-1,0),MSP!$C:$C,0)+MATCH($C42,EL_List,0)-1,0)
*INDEX(Learning!$E$6:$S$41,(MATCH(X$21,Dates,0)),(MATCH($C$21,Learning!$E$4:$S$4,0)+MATCH($C$42,Learning!$E$5:$S$5,0)-1)))</f>
        <v>2.0865674441005408</v>
      </c>
      <c r="Y48" s="533" cm="1">
        <f t="array" aca="1" ref="Y48" ca="1">IF(Y$21&lt;Standard_Year,'No STDs Case Rev &amp; Cost'!Y48,
OFFSET(Y48,-4,0)*
OFFSET(MSP!$E$1,
MATCH(OFFSET($C42,((MATCH($C42,EL_List,0)-1)*-10)-1,0),MSP!$C:$C,0)+MATCH($C42,EL_List,0)-1,0)
*INDEX(Learning!$E$6:$S$41,(MATCH(Y$21,Dates,0)),(MATCH($C$21,Learning!$E$4:$S$4,0)+MATCH($C$42,Learning!$E$5:$S$5,0)-1)))</f>
        <v>2.1790592951819385</v>
      </c>
      <c r="Z48" s="533" cm="1">
        <f t="array" aca="1" ref="Z48" ca="1">IF(Z$21&lt;Standard_Year,'No STDs Case Rev &amp; Cost'!Z48,
OFFSET(Z48,-4,0)*
OFFSET(MSP!$E$1,
MATCH(OFFSET($C42,((MATCH($C42,EL_List,0)-1)*-10)-1,0),MSP!$C:$C,0)+MATCH($C42,EL_List,0)-1,0)
*INDEX(Learning!$E$6:$S$41,(MATCH(Z$21,Dates,0)),(MATCH($C$21,Learning!$E$4:$S$4,0)+MATCH($C$42,Learning!$E$5:$S$5,0)-1)))</f>
        <v>2.2753676091408273</v>
      </c>
      <c r="AA48" s="533" cm="1">
        <f t="array" aca="1" ref="AA48" ca="1">IF(AA$21&lt;Standard_Year,'No STDs Case Rev &amp; Cost'!AA48,
OFFSET(AA48,-4,0)*
OFFSET(MSP!$E$1,
MATCH(OFFSET($C42,((MATCH($C42,EL_List,0)-1)*-10)-1,0),MSP!$C:$C,0)+MATCH($C42,EL_List,0)-1,0)
*INDEX(Learning!$E$6:$S$41,(MATCH(AA$21,Dates,0)),(MATCH($C$21,Learning!$E$4:$S$4,0)+MATCH($C$42,Learning!$E$5:$S$5,0)-1)))</f>
        <v>2.3782144443521069</v>
      </c>
      <c r="AB48" s="533" cm="1">
        <f t="array" aca="1" ref="AB48" ca="1">IF(AB$21&lt;Standard_Year,'No STDs Case Rev &amp; Cost'!AB48,
OFFSET(AB48,-4,0)*
OFFSET(MSP!$E$1,
MATCH(OFFSET($C42,((MATCH($C42,EL_List,0)-1)*-10)-1,0),MSP!$C:$C,0)+MATCH($C42,EL_List,0)-1,0)
*INDEX(Learning!$E$6:$S$41,(MATCH(AB$21,Dates,0)),(MATCH($C$21,Learning!$E$4:$S$4,0)+MATCH($C$42,Learning!$E$5:$S$5,0)-1)))</f>
        <v>2.482790336936715</v>
      </c>
      <c r="AC48" s="533" cm="1">
        <f t="array" aca="1" ref="AC48" ca="1">IF(AC$21&lt;Standard_Year,'No STDs Case Rev &amp; Cost'!AC48,
OFFSET(AC48,-4,0)*
OFFSET(MSP!$E$1,
MATCH(OFFSET($C42,((MATCH($C42,EL_List,0)-1)*-10)-1,0),MSP!$C:$C,0)+MATCH($C42,EL_List,0)-1,0)
*INDEX(Learning!$E$6:$S$41,(MATCH(AC$21,Dates,0)),(MATCH($C$21,Learning!$E$4:$S$4,0)+MATCH($C$42,Learning!$E$5:$S$5,0)-1)))</f>
        <v>2.5946411174020314</v>
      </c>
      <c r="AD48" s="533" cm="1">
        <f t="array" aca="1" ref="AD48" ca="1">IF(AD$21&lt;Standard_Year,'No STDs Case Rev &amp; Cost'!AD48,
OFFSET(AD48,-4,0)*
OFFSET(MSP!$E$1,
MATCH(OFFSET($C42,((MATCH($C42,EL_List,0)-1)*-10)-1,0),MSP!$C:$C,0)+MATCH($C42,EL_List,0)-1,0)
*INDEX(Learning!$E$6:$S$41,(MATCH(AD$21,Dates,0)),(MATCH($C$21,Learning!$E$4:$S$4,0)+MATCH($C$42,Learning!$E$5:$S$5,0)-1)))</f>
        <v>2.7083824224037101</v>
      </c>
      <c r="AE48" s="533" cm="1">
        <f t="array" aca="1" ref="AE48" ca="1">IF(AE$21&lt;Standard_Year,'No STDs Case Rev &amp; Cost'!AE48,
OFFSET(AE48,-4,0)*
OFFSET(MSP!$E$1,
MATCH(OFFSET($C42,((MATCH($C42,EL_List,0)-1)*-10)-1,0),MSP!$C:$C,0)+MATCH($C42,EL_List,0)-1,0)
*INDEX(Learning!$E$6:$S$41,(MATCH(AE$21,Dates,0)),(MATCH($C$21,Learning!$E$4:$S$4,0)+MATCH($C$42,Learning!$E$5:$S$5,0)-1)))</f>
        <v>2.830092678676781</v>
      </c>
      <c r="AF48" s="533" cm="1">
        <f t="array" aca="1" ref="AF48" ca="1">IF(AF$21&lt;Standard_Year,'No STDs Case Rev &amp; Cost'!AF48,
OFFSET(AF48,-4,0)*
OFFSET(MSP!$E$1,
MATCH(OFFSET($C42,((MATCH($C42,EL_List,0)-1)*-10)-1,0),MSP!$C:$C,0)+MATCH($C42,EL_List,0)-1,0)
*INDEX(Learning!$E$6:$S$41,(MATCH(AF$21,Dates,0)),(MATCH($C$21,Learning!$E$4:$S$4,0)+MATCH($C$42,Learning!$E$5:$S$5,0)-1)))</f>
        <v>2.9571209391795872</v>
      </c>
      <c r="AG48" s="533" cm="1">
        <f t="array" aca="1" ref="AG48" ca="1">IF(AG$21&lt;Standard_Year,'No STDs Case Rev &amp; Cost'!AG48,
OFFSET(AG48,-4,0)*
OFFSET(MSP!$E$1,
MATCH(OFFSET($C42,((MATCH($C42,EL_List,0)-1)*-10)-1,0),MSP!$C:$C,0)+MATCH($C42,EL_List,0)-1,0)
*INDEX(Learning!$E$6:$S$41,(MATCH(AG$21,Dates,0)),(MATCH($C$21,Learning!$E$4:$S$4,0)+MATCH($C$42,Learning!$E$5:$S$5,0)-1)))</f>
        <v>3.0896839509218994</v>
      </c>
      <c r="AH48" s="533" cm="1">
        <f t="array" aca="1" ref="AH48" ca="1">IF(AH$21&lt;Standard_Year,'No STDs Case Rev &amp; Cost'!AH48,
OFFSET(AH48,-4,0)*
OFFSET(MSP!$E$1,
MATCH(OFFSET($C42,((MATCH($C42,EL_List,0)-1)*-10)-1,0),MSP!$C:$C,0)+MATCH($C42,EL_List,0)-1,0)
*INDEX(Learning!$E$6:$S$41,(MATCH(AH$21,Dates,0)),(MATCH($C$21,Learning!$E$4:$S$4,0)+MATCH($C$42,Learning!$E$5:$S$5,0)-1)))</f>
        <v>3.2280077303563206</v>
      </c>
      <c r="AI48" s="533" cm="1">
        <f t="array" aca="1" ref="AI48" ca="1">IF(AI$21&lt;Standard_Year,'No STDs Case Rev &amp; Cost'!AI48,
OFFSET(AI48,-4,0)*
OFFSET(MSP!$E$1,
MATCH(OFFSET($C42,((MATCH($C42,EL_List,0)-1)*-10)-1,0),MSP!$C:$C,0)+MATCH($C42,EL_List,0)-1,0)
*INDEX(Learning!$E$6:$S$41,(MATCH(AI$21,Dates,0)),(MATCH($C$21,Learning!$E$4:$S$4,0)+MATCH($C$42,Learning!$E$5:$S$5,0)-1)))</f>
        <v>3.37233145870574</v>
      </c>
      <c r="AJ48" s="533" cm="1">
        <f t="array" aca="1" ref="AJ48" ca="1">IF(AJ$21&lt;Standard_Year,'No STDs Case Rev &amp; Cost'!AJ48,
OFFSET(AJ48,-4,0)*
OFFSET(MSP!$E$1,
MATCH(OFFSET($C42,((MATCH($C42,EL_List,0)-1)*-10)-1,0),MSP!$C:$C,0)+MATCH($C42,EL_List,0)-1,0)
*INDEX(Learning!$E$6:$S$41,(MATCH(AJ$21,Dates,0)),(MATCH($C$21,Learning!$E$4:$S$4,0)+MATCH($C$42,Learning!$E$5:$S$5,0)-1)))</f>
        <v>3.5229093521710548</v>
      </c>
      <c r="AK48" s="533" cm="1">
        <f t="array" aca="1" ref="AK48" ca="1">IF(AK$21&lt;Standard_Year,'No STDs Case Rev &amp; Cost'!AK48,
OFFSET(AK48,-4,0)*
OFFSET(MSP!$E$1,
MATCH(OFFSET($C42,((MATCH($C42,EL_List,0)-1)*-10)-1,0),MSP!$C:$C,0)+MATCH($C42,EL_List,0)-1,0)
*INDEX(Learning!$E$6:$S$41,(MATCH(AK$21,Dates,0)),(MATCH($C$21,Learning!$E$4:$S$4,0)+MATCH($C$42,Learning!$E$5:$S$5,0)-1)))</f>
        <v>3.6800103835193489</v>
      </c>
      <c r="AL48" s="533" cm="1">
        <f t="array" aca="1" ref="AL48" ca="1">IF(AL$21&lt;Standard_Year,'No STDs Case Rev &amp; Cost'!AL48,
OFFSET(AL48,-4,0)*
OFFSET(MSP!$E$1,
MATCH(OFFSET($C42,((MATCH($C42,EL_List,0)-1)*-10)-1,0),MSP!$C:$C,0)+MATCH($C42,EL_List,0)-1,0)
*INDEX(Learning!$E$6:$S$41,(MATCH(AL$21,Dates,0)),(MATCH($C$21,Learning!$E$4:$S$4,0)+MATCH($C$42,Learning!$E$5:$S$5,0)-1)))</f>
        <v>3.8439171123299585</v>
      </c>
      <c r="AM48" s="533" cm="1">
        <f t="array" aca="1" ref="AM48" ca="1">IF(AM$21&lt;Standard_Year,'No STDs Case Rev &amp; Cost'!AM48,
OFFSET(AM48,-4,0)*
OFFSET(MSP!$E$1,
MATCH(OFFSET($C42,((MATCH($C42,EL_List,0)-1)*-10)-1,0),MSP!$C:$C,0)+MATCH($C42,EL_List,0)-1,0)
*INDEX(Learning!$E$6:$S$41,(MATCH(AM$21,Dates,0)),(MATCH($C$21,Learning!$E$4:$S$4,0)+MATCH($C$42,Learning!$E$5:$S$5,0)-1)))</f>
        <v>4.0149247623209758</v>
      </c>
      <c r="AN48" s="533" cm="1">
        <f t="array" aca="1" ref="AN48" ca="1">IF(AN$21&lt;Standard_Year,'No STDs Case Rev &amp; Cost'!AN48,
OFFSET(AN48,-4,0)*
OFFSET(MSP!$E$1,
MATCH(OFFSET($C42,((MATCH($C42,EL_List,0)-1)*-10)-1,0),MSP!$C:$C,0)+MATCH($C42,EL_List,0)-1,0)
*INDEX(Learning!$E$6:$S$41,(MATCH(AN$21,Dates,0)),(MATCH($C$21,Learning!$E$4:$S$4,0)+MATCH($C$42,Learning!$E$5:$S$5,0)-1)))</f>
        <v>4.1932537810120962</v>
      </c>
      <c r="AO48" s="436"/>
      <c r="AP48" s="21"/>
    </row>
    <row r="49" spans="2:42" ht="15" customHeight="1" x14ac:dyDescent="0.35">
      <c r="B49" s="429"/>
      <c r="C49" s="780" t="s">
        <v>214</v>
      </c>
      <c r="D49" s="776"/>
      <c r="E49" s="533" cm="1">
        <f t="array" aca="1" ref="E49" ca="1">IF(E$21&lt;Standard_Year,'No STDs Case Rev &amp; Cost'!E49,
OFFSET(E49,-5,0)*
OFFSET(MSP!$F$1,
MATCH(OFFSET($C42,((MATCH($C42,EL_List,0)-1)*-10)-1,0),MSP!$C:$C,0)+MATCH($C42,EL_List,0)-1,0)
*INDEX(Learning!$E$6:$S$41,(MATCH(E$21,Dates,0)),(MATCH($C$21,Learning!$E$4:$S$4,0)+MATCH($C$42,Learning!$E$5:$S$5,0)-1)))</f>
        <v>0.6653107074596144</v>
      </c>
      <c r="F49" s="533" cm="1">
        <f t="array" aca="1" ref="F49" ca="1">IF(F$21&lt;Standard_Year,'No STDs Case Rev &amp; Cost'!F49,
OFFSET(F49,-5,0)*
OFFSET(MSP!$F$1,
MATCH(OFFSET($C42,((MATCH($C42,EL_List,0)-1)*-10)-1,0),MSP!$C:$C,0)+MATCH($C42,EL_List,0)-1,0)
*INDEX(Learning!$E$6:$S$41,(MATCH(F$21,Dates,0)),(MATCH($C$21,Learning!$E$4:$S$4,0)+MATCH($C$42,Learning!$E$5:$S$5,0)-1)))</f>
        <v>0.68907625720691978</v>
      </c>
      <c r="G49" s="533" cm="1">
        <f t="array" aca="1" ref="G49" ca="1">IF(G$21&lt;Standard_Year,'No STDs Case Rev &amp; Cost'!G49,
OFFSET(G49,-5,0)*
OFFSET(MSP!$F$1,
MATCH(OFFSET($C42,((MATCH($C42,EL_List,0)-1)*-10)-1,0),MSP!$C:$C,0)+MATCH($C42,EL_List,0)-1,0)
*INDEX(Learning!$E$6:$S$41,(MATCH(G$21,Dates,0)),(MATCH($C$21,Learning!$E$4:$S$4,0)+MATCH($C$42,Learning!$E$5:$S$5,0)-1)))</f>
        <v>0.70998228993614454</v>
      </c>
      <c r="H49" s="533" cm="1">
        <f t="array" aca="1" ref="H49" ca="1">IF(H$21&lt;Standard_Year,'No STDs Case Rev &amp; Cost'!H49,
OFFSET(H49,-5,0)*
OFFSET(MSP!$F$1,
MATCH(OFFSET($C42,((MATCH($C42,EL_List,0)-1)*-10)-1,0),MSP!$C:$C,0)+MATCH($C42,EL_List,0)-1,0)
*INDEX(Learning!$E$6:$S$41,(MATCH(H$21,Dates,0)),(MATCH($C$21,Learning!$E$4:$S$4,0)+MATCH($C$42,Learning!$E$5:$S$5,0)-1)))</f>
        <v>0.73826363419846441</v>
      </c>
      <c r="I49" s="533" cm="1">
        <f t="array" aca="1" ref="I49" ca="1">IF(I$21&lt;Standard_Year,'No STDs Case Rev &amp; Cost'!I49,
OFFSET(I49,-5,0)*
OFFSET(MSP!$F$1,
MATCH(OFFSET($C42,((MATCH($C42,EL_List,0)-1)*-10)-1,0),MSP!$C:$C,0)+MATCH($C42,EL_List,0)-1,0)
*INDEX(Learning!$E$6:$S$41,(MATCH(I$21,Dates,0)),(MATCH($C$21,Learning!$E$4:$S$4,0)+MATCH($C$42,Learning!$E$5:$S$5,0)-1)))</f>
        <v>3.5597498208082849</v>
      </c>
      <c r="J49" s="533" cm="1">
        <f t="array" aca="1" ref="J49" ca="1">IF(J$21&lt;Standard_Year,'No STDs Case Rev &amp; Cost'!J49,
OFFSET(J49,-5,0)*
OFFSET(MSP!$F$1,
MATCH(OFFSET($C42,((MATCH($C42,EL_List,0)-1)*-10)-1,0),MSP!$C:$C,0)+MATCH($C42,EL_List,0)-1,0)
*INDEX(Learning!$E$6:$S$41,(MATCH(J$21,Dates,0)),(MATCH($C$21,Learning!$E$4:$S$4,0)+MATCH($C$42,Learning!$E$5:$S$5,0)-1)))</f>
        <v>3.7193791195977464</v>
      </c>
      <c r="K49" s="533" cm="1">
        <f t="array" aca="1" ref="K49" ca="1">IF(K$21&lt;Standard_Year,'No STDs Case Rev &amp; Cost'!K49,
OFFSET(K49,-5,0)*
OFFSET(MSP!$F$1,
MATCH(OFFSET($C42,((MATCH($C42,EL_List,0)-1)*-10)-1,0),MSP!$C:$C,0)+MATCH($C42,EL_List,0)-1,0)
*INDEX(Learning!$E$6:$S$41,(MATCH(K$21,Dates,0)),(MATCH($C$21,Learning!$E$4:$S$4,0)+MATCH($C$42,Learning!$E$5:$S$5,0)-1)))</f>
        <v>3.8919973419277127</v>
      </c>
      <c r="L49" s="533" cm="1">
        <f t="array" aca="1" ref="L49" ca="1">IF(L$21&lt;Standard_Year,'No STDs Case Rev &amp; Cost'!L49,
OFFSET(L49,-5,0)*
OFFSET(MSP!$F$1,
MATCH(OFFSET($C42,((MATCH($C42,EL_List,0)-1)*-10)-1,0),MSP!$C:$C,0)+MATCH($C42,EL_List,0)-1,0)
*INDEX(Learning!$E$6:$S$41,(MATCH(L$21,Dates,0)),(MATCH($C$21,Learning!$E$4:$S$4,0)+MATCH($C$42,Learning!$E$5:$S$5,0)-1)))</f>
        <v>4.0747027153033404</v>
      </c>
      <c r="M49" s="533" cm="1">
        <f t="array" aca="1" ref="M49" ca="1">IF(M$21&lt;Standard_Year,'No STDs Case Rev &amp; Cost'!M49,
OFFSET(M49,-5,0)*
OFFSET(MSP!$F$1,
MATCH(OFFSET($C42,((MATCH($C42,EL_List,0)-1)*-10)-1,0),MSP!$C:$C,0)+MATCH($C42,EL_List,0)-1,0)
*INDEX(Learning!$E$6:$S$41,(MATCH(M$21,Dates,0)),(MATCH($C$21,Learning!$E$4:$S$4,0)+MATCH($C$42,Learning!$E$5:$S$5,0)-1)))</f>
        <v>4.2601380132623055</v>
      </c>
      <c r="N49" s="533" cm="1">
        <f t="array" aca="1" ref="N49" ca="1">IF(N$21&lt;Standard_Year,'No STDs Case Rev &amp; Cost'!N49,
OFFSET(N49,-5,0)*
OFFSET(MSP!$F$1,
MATCH(OFFSET($C42,((MATCH($C42,EL_List,0)-1)*-10)-1,0),MSP!$C:$C,0)+MATCH($C42,EL_List,0)-1,0)
*INDEX(Learning!$E$6:$S$41,(MATCH(N$21,Dates,0)),(MATCH($C$21,Learning!$E$4:$S$4,0)+MATCH($C$42,Learning!$E$5:$S$5,0)-1)))</f>
        <v>4.4549316744140084</v>
      </c>
      <c r="O49" s="533" cm="1">
        <f t="array" aca="1" ref="O49" ca="1">IF(O$21&lt;Standard_Year,'No STDs Case Rev &amp; Cost'!O49,
OFFSET(O49,-5,0)*
OFFSET(MSP!$F$1,
MATCH(OFFSET($C42,((MATCH($C42,EL_List,0)-1)*-10)-1,0),MSP!$C:$C,0)+MATCH($C42,EL_List,0)-1,0)
*INDEX(Learning!$E$6:$S$41,(MATCH(O$21,Dates,0)),(MATCH($C$21,Learning!$E$4:$S$4,0)+MATCH($C$42,Learning!$E$5:$S$5,0)-1)))</f>
        <v>4.6547525253477291</v>
      </c>
      <c r="P49" s="533" cm="1">
        <f t="array" aca="1" ref="P49" ca="1">IF(P$21&lt;Standard_Year,'No STDs Case Rev &amp; Cost'!P49,
OFFSET(P49,-5,0)*
OFFSET(MSP!$F$1,
MATCH(OFFSET($C42,((MATCH($C42,EL_List,0)-1)*-10)-1,0),MSP!$C:$C,0)+MATCH($C42,EL_List,0)-1,0)
*INDEX(Learning!$E$6:$S$41,(MATCH(P$21,Dates,0)),(MATCH($C$21,Learning!$E$4:$S$4,0)+MATCH($C$42,Learning!$E$5:$S$5,0)-1)))</f>
        <v>4.8654410174277638</v>
      </c>
      <c r="Q49" s="533" cm="1">
        <f t="array" aca="1" ref="Q49" ca="1">IF(Q$21&lt;Standard_Year,'No STDs Case Rev &amp; Cost'!Q49,
OFFSET(Q49,-5,0)*
OFFSET(MSP!$F$1,
MATCH(OFFSET($C42,((MATCH($C42,EL_List,0)-1)*-10)-1,0),MSP!$C:$C,0)+MATCH($C42,EL_List,0)-1,0)
*INDEX(Learning!$E$6:$S$41,(MATCH(Q$21,Dates,0)),(MATCH($C$21,Learning!$E$4:$S$4,0)+MATCH($C$42,Learning!$E$5:$S$5,0)-1)))</f>
        <v>5.0770906518157819</v>
      </c>
      <c r="R49" s="533" cm="1">
        <f t="array" aca="1" ref="R49" ca="1">IF(R$21&lt;Standard_Year,'No STDs Case Rev &amp; Cost'!R49,
OFFSET(R49,-5,0)*
OFFSET(MSP!$F$1,
MATCH(OFFSET($C42,((MATCH($C42,EL_List,0)-1)*-10)-1,0),MSP!$C:$C,0)+MATCH($C42,EL_List,0)-1,0)
*INDEX(Learning!$E$6:$S$41,(MATCH(R$21,Dates,0)),(MATCH($C$21,Learning!$E$4:$S$4,0)+MATCH($C$42,Learning!$E$5:$S$5,0)-1)))</f>
        <v>5.3028359648147889</v>
      </c>
      <c r="S49" s="533" cm="1">
        <f t="array" aca="1" ref="S49" ca="1">IF(S$21&lt;Standard_Year,'No STDs Case Rev &amp; Cost'!S49,
OFFSET(S49,-5,0)*
OFFSET(MSP!$F$1,
MATCH(OFFSET($C42,((MATCH($C42,EL_List,0)-1)*-10)-1,0),MSP!$C:$C,0)+MATCH($C42,EL_List,0)-1,0)
*INDEX(Learning!$E$6:$S$41,(MATCH(S$21,Dates,0)),(MATCH($C$21,Learning!$E$4:$S$4,0)+MATCH($C$42,Learning!$E$5:$S$5,0)-1)))</f>
        <v>5.5330928776062596</v>
      </c>
      <c r="T49" s="533" cm="1">
        <f t="array" aca="1" ref="T49" ca="1">IF(T$21&lt;Standard_Year,'No STDs Case Rev &amp; Cost'!T49,
OFFSET(T49,-5,0)*
OFFSET(MSP!$F$1,
MATCH(OFFSET($C42,((MATCH($C42,EL_List,0)-1)*-10)-1,0),MSP!$C:$C,0)+MATCH($C42,EL_List,0)-1,0)
*INDEX(Learning!$E$6:$S$41,(MATCH(T$21,Dates,0)),(MATCH($C$21,Learning!$E$4:$S$4,0)+MATCH($C$42,Learning!$E$5:$S$5,0)-1)))</f>
        <v>5.7798725431080324</v>
      </c>
      <c r="U49" s="533" cm="1">
        <f t="array" aca="1" ref="U49" ca="1">IF(U$21&lt;Standard_Year,'No STDs Case Rev &amp; Cost'!U49,
OFFSET(U49,-5,0)*
OFFSET(MSP!$F$1,
MATCH(OFFSET($C42,((MATCH($C42,EL_List,0)-1)*-10)-1,0),MSP!$C:$C,0)+MATCH($C42,EL_List,0)-1,0)
*INDEX(Learning!$E$6:$S$41,(MATCH(U$21,Dates,0)),(MATCH($C$21,Learning!$E$4:$S$4,0)+MATCH($C$42,Learning!$E$5:$S$5,0)-1)))</f>
        <v>6.0384146972039945</v>
      </c>
      <c r="V49" s="533" cm="1">
        <f t="array" aca="1" ref="V49" ca="1">IF(V$21&lt;Standard_Year,'No STDs Case Rev &amp; Cost'!V49,
OFFSET(V49,-5,0)*
OFFSET(MSP!$F$1,
MATCH(OFFSET($C42,((MATCH($C42,EL_List,0)-1)*-10)-1,0),MSP!$C:$C,0)+MATCH($C42,EL_List,0)-1,0)
*INDEX(Learning!$E$6:$S$41,(MATCH(V$21,Dates,0)),(MATCH($C$21,Learning!$E$4:$S$4,0)+MATCH($C$42,Learning!$E$5:$S$5,0)-1)))</f>
        <v>6.3079115494506244</v>
      </c>
      <c r="W49" s="533" cm="1">
        <f t="array" aca="1" ref="W49" ca="1">IF(W$21&lt;Standard_Year,'No STDs Case Rev &amp; Cost'!W49,
OFFSET(W49,-5,0)*
OFFSET(MSP!$F$1,
MATCH(OFFSET($C42,((MATCH($C42,EL_List,0)-1)*-10)-1,0),MSP!$C:$C,0)+MATCH($C42,EL_List,0)-1,0)
*INDEX(Learning!$E$6:$S$41,(MATCH(W$21,Dates,0)),(MATCH($C$21,Learning!$E$4:$S$4,0)+MATCH($C$42,Learning!$E$5:$S$5,0)-1)))</f>
        <v>6.5890509841121787</v>
      </c>
      <c r="X49" s="533" cm="1">
        <f t="array" aca="1" ref="X49" ca="1">IF(X$21&lt;Standard_Year,'No STDs Case Rev &amp; Cost'!X49,
OFFSET(X49,-5,0)*
OFFSET(MSP!$F$1,
MATCH(OFFSET($C42,((MATCH($C42,EL_List,0)-1)*-10)-1,0),MSP!$C:$C,0)+MATCH($C42,EL_List,0)-1,0)
*INDEX(Learning!$E$6:$S$41,(MATCH(X$21,Dates,0)),(MATCH($C$21,Learning!$E$4:$S$4,0)+MATCH($C$42,Learning!$E$5:$S$5,0)-1)))</f>
        <v>6.889389173265835</v>
      </c>
      <c r="Y49" s="533" cm="1">
        <f t="array" aca="1" ref="Y49" ca="1">IF(Y$21&lt;Standard_Year,'No STDs Case Rev &amp; Cost'!Y49,
OFFSET(Y49,-5,0)*
OFFSET(MSP!$F$1,
MATCH(OFFSET($C42,((MATCH($C42,EL_List,0)-1)*-10)-1,0),MSP!$C:$C,0)+MATCH($C42,EL_List,0)-1,0)
*INDEX(Learning!$E$6:$S$41,(MATCH(Y$21,Dates,0)),(MATCH($C$21,Learning!$E$4:$S$4,0)+MATCH($C$42,Learning!$E$5:$S$5,0)-1)))</f>
        <v>7.1947770289314281</v>
      </c>
      <c r="Z49" s="533" cm="1">
        <f t="array" aca="1" ref="Z49" ca="1">IF(Z$21&lt;Standard_Year,'No STDs Case Rev &amp; Cost'!Z49,
OFFSET(Z49,-5,0)*
OFFSET(MSP!$F$1,
MATCH(OFFSET($C42,((MATCH($C42,EL_List,0)-1)*-10)-1,0),MSP!$C:$C,0)+MATCH($C42,EL_List,0)-1,0)
*INDEX(Learning!$E$6:$S$41,(MATCH(Z$21,Dates,0)),(MATCH($C$21,Learning!$E$4:$S$4,0)+MATCH($C$42,Learning!$E$5:$S$5,0)-1)))</f>
        <v>7.5127660100016609</v>
      </c>
      <c r="AA49" s="533" cm="1">
        <f t="array" aca="1" ref="AA49" ca="1">IF(AA$21&lt;Standard_Year,'No STDs Case Rev &amp; Cost'!AA49,
OFFSET(AA49,-5,0)*
OFFSET(MSP!$F$1,
MATCH(OFFSET($C42,((MATCH($C42,EL_List,0)-1)*-10)-1,0),MSP!$C:$C,0)+MATCH($C42,EL_List,0)-1,0)
*INDEX(Learning!$E$6:$S$41,(MATCH(AA$21,Dates,0)),(MATCH($C$21,Learning!$E$4:$S$4,0)+MATCH($C$42,Learning!$E$5:$S$5,0)-1)))</f>
        <v>7.8523437576620925</v>
      </c>
      <c r="AB49" s="533" cm="1">
        <f t="array" aca="1" ref="AB49" ca="1">IF(AB$21&lt;Standard_Year,'No STDs Case Rev &amp; Cost'!AB49,
OFFSET(AB49,-5,0)*
OFFSET(MSP!$F$1,
MATCH(OFFSET($C42,((MATCH($C42,EL_List,0)-1)*-10)-1,0),MSP!$C:$C,0)+MATCH($C42,EL_List,0)-1,0)
*INDEX(Learning!$E$6:$S$41,(MATCH(AB$21,Dates,0)),(MATCH($C$21,Learning!$E$4:$S$4,0)+MATCH($C$42,Learning!$E$5:$S$5,0)-1)))</f>
        <v>8.1976304744629402</v>
      </c>
      <c r="AC49" s="533" cm="1">
        <f t="array" aca="1" ref="AC49" ca="1">IF(AC$21&lt;Standard_Year,'No STDs Case Rev &amp; Cost'!AC49,
OFFSET(AC49,-5,0)*
OFFSET(MSP!$F$1,
MATCH(OFFSET($C42,((MATCH($C42,EL_List,0)-1)*-10)-1,0),MSP!$C:$C,0)+MATCH($C42,EL_List,0)-1,0)
*INDEX(Learning!$E$6:$S$41,(MATCH(AC$21,Dates,0)),(MATCH($C$21,Learning!$E$4:$S$4,0)+MATCH($C$42,Learning!$E$5:$S$5,0)-1)))</f>
        <v>8.5669372793485401</v>
      </c>
      <c r="AD49" s="533" cm="1">
        <f t="array" aca="1" ref="AD49" ca="1">IF(AD$21&lt;Standard_Year,'No STDs Case Rev &amp; Cost'!AD49,
OFFSET(AD49,-5,0)*
OFFSET(MSP!$F$1,
MATCH(OFFSET($C42,((MATCH($C42,EL_List,0)-1)*-10)-1,0),MSP!$C:$C,0)+MATCH($C42,EL_List,0)-1,0)
*INDEX(Learning!$E$6:$S$41,(MATCH(AD$21,Dates,0)),(MATCH($C$21,Learning!$E$4:$S$4,0)+MATCH($C$42,Learning!$E$5:$S$5,0)-1)))</f>
        <v>8.9424861826189463</v>
      </c>
      <c r="AE49" s="533" cm="1">
        <f t="array" aca="1" ref="AE49" ca="1">IF(AE$21&lt;Standard_Year,'No STDs Case Rev &amp; Cost'!AE49,
OFFSET(AE49,-5,0)*
OFFSET(MSP!$F$1,
MATCH(OFFSET($C42,((MATCH($C42,EL_List,0)-1)*-10)-1,0),MSP!$C:$C,0)+MATCH($C42,EL_List,0)-1,0)
*INDEX(Learning!$E$6:$S$41,(MATCH(AE$21,Dates,0)),(MATCH($C$21,Learning!$E$4:$S$4,0)+MATCH($C$42,Learning!$E$5:$S$5,0)-1)))</f>
        <v>9.3443468194336656</v>
      </c>
      <c r="AF49" s="533" cm="1">
        <f t="array" aca="1" ref="AF49" ca="1">IF(AF$21&lt;Standard_Year,'No STDs Case Rev &amp; Cost'!AF49,
OFFSET(AF49,-5,0)*
OFFSET(MSP!$F$1,
MATCH(OFFSET($C42,((MATCH($C42,EL_List,0)-1)*-10)-1,0),MSP!$C:$C,0)+MATCH($C42,EL_List,0)-1,0)
*INDEX(Learning!$E$6:$S$41,(MATCH(AF$21,Dates,0)),(MATCH($C$21,Learning!$E$4:$S$4,0)+MATCH($C$42,Learning!$E$5:$S$5,0)-1)))</f>
        <v>9.7637663426708254</v>
      </c>
      <c r="AG49" s="533" cm="1">
        <f t="array" aca="1" ref="AG49" ca="1">IF(AG$21&lt;Standard_Year,'No STDs Case Rev &amp; Cost'!AG49,
OFFSET(AG49,-5,0)*
OFFSET(MSP!$F$1,
MATCH(OFFSET($C42,((MATCH($C42,EL_List,0)-1)*-10)-1,0),MSP!$C:$C,0)+MATCH($C42,EL_List,0)-1,0)
*INDEX(Learning!$E$6:$S$41,(MATCH(AG$21,Dates,0)),(MATCH($C$21,Learning!$E$4:$S$4,0)+MATCH($C$42,Learning!$E$5:$S$5,0)-1)))</f>
        <v>10.201460403533874</v>
      </c>
      <c r="AH49" s="533" cm="1">
        <f t="array" aca="1" ref="AH49" ca="1">IF(AH$21&lt;Standard_Year,'No STDs Case Rev &amp; Cost'!AH49,
OFFSET(AH49,-5,0)*
OFFSET(MSP!$F$1,
MATCH(OFFSET($C42,((MATCH($C42,EL_List,0)-1)*-10)-1,0),MSP!$C:$C,0)+MATCH($C42,EL_List,0)-1,0)
*INDEX(Learning!$E$6:$S$41,(MATCH(AH$21,Dates,0)),(MATCH($C$21,Learning!$E$4:$S$4,0)+MATCH($C$42,Learning!$E$5:$S$5,0)-1)))</f>
        <v>10.658175258898401</v>
      </c>
      <c r="AI49" s="533" cm="1">
        <f t="array" aca="1" ref="AI49" ca="1">IF(AI$21&lt;Standard_Year,'No STDs Case Rev &amp; Cost'!AI49,
OFFSET(AI49,-5,0)*
OFFSET(MSP!$F$1,
MATCH(OFFSET($C42,((MATCH($C42,EL_List,0)-1)*-10)-1,0),MSP!$C:$C,0)+MATCH($C42,EL_List,0)-1,0)
*INDEX(Learning!$E$6:$S$41,(MATCH(AI$21,Dates,0)),(MATCH($C$21,Learning!$E$4:$S$4,0)+MATCH($C$42,Learning!$E$5:$S$5,0)-1)))</f>
        <v>11.134700632831121</v>
      </c>
      <c r="AJ49" s="533" cm="1">
        <f t="array" aca="1" ref="AJ49" ca="1">IF(AJ$21&lt;Standard_Year,'No STDs Case Rev &amp; Cost'!AJ49,
OFFSET(AJ49,-5,0)*
OFFSET(MSP!$F$1,
MATCH(OFFSET($C42,((MATCH($C42,EL_List,0)-1)*-10)-1,0),MSP!$C:$C,0)+MATCH($C42,EL_List,0)-1,0)
*INDEX(Learning!$E$6:$S$41,(MATCH(AJ$21,Dates,0)),(MATCH($C$21,Learning!$E$4:$S$4,0)+MATCH($C$42,Learning!$E$5:$S$5,0)-1)))</f>
        <v>11.631875891606574</v>
      </c>
      <c r="AK49" s="533" cm="1">
        <f t="array" aca="1" ref="AK49" ca="1">IF(AK$21&lt;Standard_Year,'No STDs Case Rev &amp; Cost'!AK49,
OFFSET(AK49,-5,0)*
OFFSET(MSP!$F$1,
MATCH(OFFSET($C42,((MATCH($C42,EL_List,0)-1)*-10)-1,0),MSP!$C:$C,0)+MATCH($C42,EL_List,0)-1,0)
*INDEX(Learning!$E$6:$S$41,(MATCH(AK$21,Dates,0)),(MATCH($C$21,Learning!$E$4:$S$4,0)+MATCH($C$42,Learning!$E$5:$S$5,0)-1)))</f>
        <v>12.150589124452202</v>
      </c>
      <c r="AL49" s="533" cm="1">
        <f t="array" aca="1" ref="AL49" ca="1">IF(AL$21&lt;Standard_Year,'No STDs Case Rev &amp; Cost'!AL49,
OFFSET(AL49,-5,0)*
OFFSET(MSP!$F$1,
MATCH(OFFSET($C42,((MATCH($C42,EL_List,0)-1)*-10)-1,0),MSP!$C:$C,0)+MATCH($C42,EL_List,0)-1,0)
*INDEX(Learning!$E$6:$S$41,(MATCH(AL$21,Dates,0)),(MATCH($C$21,Learning!$E$4:$S$4,0)+MATCH($C$42,Learning!$E$5:$S$5,0)-1)))</f>
        <v>12.691773281276811</v>
      </c>
      <c r="AM49" s="533" cm="1">
        <f t="array" aca="1" ref="AM49" ca="1">IF(AM$21&lt;Standard_Year,'No STDs Case Rev &amp; Cost'!AM49,
OFFSET(AM49,-5,0)*
OFFSET(MSP!$F$1,
MATCH(OFFSET($C42,((MATCH($C42,EL_List,0)-1)*-10)-1,0),MSP!$C:$C,0)+MATCH($C42,EL_List,0)-1,0)
*INDEX(Learning!$E$6:$S$41,(MATCH(AM$21,Dates,0)),(MATCH($C$21,Learning!$E$4:$S$4,0)+MATCH($C$42,Learning!$E$5:$S$5,0)-1)))</f>
        <v>13.256403126204548</v>
      </c>
      <c r="AN49" s="533" cm="1">
        <f t="array" aca="1" ref="AN49" ca="1">IF(AN$21&lt;Standard_Year,'No STDs Case Rev &amp; Cost'!AN49,
OFFSET(AN49,-5,0)*
OFFSET(MSP!$F$1,
MATCH(OFFSET($C42,((MATCH($C42,EL_List,0)-1)*-10)-1,0),MSP!$C:$C,0)+MATCH($C42,EL_List,0)-1,0)
*INDEX(Learning!$E$6:$S$41,(MATCH(AN$21,Dates,0)),(MATCH($C$21,Learning!$E$4:$S$4,0)+MATCH($C$42,Learning!$E$5:$S$5,0)-1)))</f>
        <v>13.845206528712982</v>
      </c>
      <c r="AO49" s="436"/>
      <c r="AP49" s="21"/>
    </row>
    <row r="50" spans="2:42" ht="15" customHeight="1" collapsed="1" x14ac:dyDescent="0.35">
      <c r="B50" s="429"/>
      <c r="C50" s="780" t="s">
        <v>215</v>
      </c>
      <c r="D50" s="776"/>
      <c r="E50" s="531" cm="1">
        <f t="array" aca="1" ref="E50" ca="1">IF(E$21&lt;Standard_Year,'No STDs Case Rev &amp; Cost'!E50,
OFFSET(E50,-6,0)*
OFFSET(MSP!$G$1,
MATCH(OFFSET($C42,((MATCH($C42,EL_List,0)-1)*-10)-1,0),MSP!$C:$C,0)+MATCH($C42,EL_List,0)-1,0)
*INDEX(Learning!$E$6:$S$41,(MATCH(E$21,Dates,0)),(MATCH($C$21,Learning!$E$4:$S$4,0)+MATCH($C$42,Learning!$E$5:$S$5,0)-1)))</f>
        <v>0.25371469496828986</v>
      </c>
      <c r="F50" s="531" cm="1">
        <f t="array" aca="1" ref="F50" ca="1">IF(F$21&lt;Standard_Year,'No STDs Case Rev &amp; Cost'!F50,
OFFSET(F50,-6,0)*
OFFSET(MSP!$G$1,
MATCH(OFFSET($C42,((MATCH($C42,EL_List,0)-1)*-10)-1,0),MSP!$C:$C,0)+MATCH($C42,EL_List,0)-1,0)
*INDEX(Learning!$E$6:$S$41,(MATCH(F$21,Dates,0)),(MATCH($C$21,Learning!$E$4:$S$4,0)+MATCH($C$42,Learning!$E$5:$S$5,0)-1)))</f>
        <v>0.26277763223547229</v>
      </c>
      <c r="G50" s="531" cm="1">
        <f t="array" aca="1" ref="G50" ca="1">IF(G$21&lt;Standard_Year,'No STDs Case Rev &amp; Cost'!G50,
OFFSET(G50,-6,0)*
OFFSET(MSP!$G$1,
MATCH(OFFSET($C42,((MATCH($C42,EL_List,0)-1)*-10)-1,0),MSP!$C:$C,0)+MATCH($C42,EL_List,0)-1,0)
*INDEX(Learning!$E$6:$S$41,(MATCH(G$21,Dates,0)),(MATCH($C$21,Learning!$E$4:$S$4,0)+MATCH($C$42,Learning!$E$5:$S$5,0)-1)))</f>
        <v>0.27075009932103222</v>
      </c>
      <c r="H50" s="531" cm="1">
        <f t="array" aca="1" ref="H50" ca="1">IF(H$21&lt;Standard_Year,'No STDs Case Rev &amp; Cost'!H50,
OFFSET(H50,-6,0)*
OFFSET(MSP!$G$1,
MATCH(OFFSET($C42,((MATCH($C42,EL_List,0)-1)*-10)-1,0),MSP!$C:$C,0)+MATCH($C42,EL_List,0)-1,0)
*INDEX(Learning!$E$6:$S$41,(MATCH(H$21,Dates,0)),(MATCH($C$21,Learning!$E$4:$S$4,0)+MATCH($C$42,Learning!$E$5:$S$5,0)-1)))</f>
        <v>0.28153512435122569</v>
      </c>
      <c r="I50" s="531" cm="1">
        <f t="array" aca="1" ref="I50" ca="1">IF(I$21&lt;Standard_Year,'No STDs Case Rev &amp; Cost'!I50,
OFFSET(I50,-6,0)*
OFFSET(MSP!$G$1,
MATCH(OFFSET($C42,((MATCH($C42,EL_List,0)-1)*-10)-1,0),MSP!$C:$C,0)+MATCH($C42,EL_List,0)-1,0)
*INDEX(Learning!$E$6:$S$41,(MATCH(I$21,Dates,0)),(MATCH($C$21,Learning!$E$4:$S$4,0)+MATCH($C$42,Learning!$E$5:$S$5,0)-1)))</f>
        <v>1.3575023366125845</v>
      </c>
      <c r="J50" s="531" cm="1">
        <f t="array" aca="1" ref="J50" ca="1">IF(J$21&lt;Standard_Year,'No STDs Case Rev &amp; Cost'!J50,
OFFSET(J50,-6,0)*
OFFSET(MSP!$G$1,
MATCH(OFFSET($C42,((MATCH($C42,EL_List,0)-1)*-10)-1,0),MSP!$C:$C,0)+MATCH($C42,EL_List,0)-1,0)
*INDEX(Learning!$E$6:$S$41,(MATCH(J$21,Dates,0)),(MATCH($C$21,Learning!$E$4:$S$4,0)+MATCH($C$42,Learning!$E$5:$S$5,0)-1)))</f>
        <v>1.4183765994138167</v>
      </c>
      <c r="K50" s="531" cm="1">
        <f t="array" aca="1" ref="K50" ca="1">IF(K$21&lt;Standard_Year,'No STDs Case Rev &amp; Cost'!K50,
OFFSET(K50,-6,0)*
OFFSET(MSP!$G$1,
MATCH(OFFSET($C42,((MATCH($C42,EL_List,0)-1)*-10)-1,0),MSP!$C:$C,0)+MATCH($C42,EL_List,0)-1,0)
*INDEX(Learning!$E$6:$S$41,(MATCH(K$21,Dates,0)),(MATCH($C$21,Learning!$E$4:$S$4,0)+MATCH($C$42,Learning!$E$5:$S$5,0)-1)))</f>
        <v>1.4842041580768108</v>
      </c>
      <c r="L50" s="531" cm="1">
        <f t="array" aca="1" ref="L50" ca="1">IF(L$21&lt;Standard_Year,'No STDs Case Rev &amp; Cost'!L50,
OFFSET(L50,-6,0)*
OFFSET(MSP!$G$1,
MATCH(OFFSET($C42,((MATCH($C42,EL_List,0)-1)*-10)-1,0),MSP!$C:$C,0)+MATCH($C42,EL_List,0)-1,0)
*INDEX(Learning!$E$6:$S$41,(MATCH(L$21,Dates,0)),(MATCH($C$21,Learning!$E$4:$S$4,0)+MATCH($C$42,Learning!$E$5:$S$5,0)-1)))</f>
        <v>1.5538784283919007</v>
      </c>
      <c r="M50" s="531" cm="1">
        <f t="array" aca="1" ref="M50" ca="1">IF(M$21&lt;Standard_Year,'No STDs Case Rev &amp; Cost'!M50,
OFFSET(M50,-6,0)*
OFFSET(MSP!$G$1,
MATCH(OFFSET($C42,((MATCH($C42,EL_List,0)-1)*-10)-1,0),MSP!$C:$C,0)+MATCH($C42,EL_List,0)-1,0)
*INDEX(Learning!$E$6:$S$41,(MATCH(M$21,Dates,0)),(MATCH($C$21,Learning!$E$4:$S$4,0)+MATCH($C$42,Learning!$E$5:$S$5,0)-1)))</f>
        <v>1.6245937491142393</v>
      </c>
      <c r="N50" s="531" cm="1">
        <f t="array" aca="1" ref="N50" ca="1">IF(N$21&lt;Standard_Year,'No STDs Case Rev &amp; Cost'!N50,
OFFSET(N50,-6,0)*
OFFSET(MSP!$G$1,
MATCH(OFFSET($C42,((MATCH($C42,EL_List,0)-1)*-10)-1,0),MSP!$C:$C,0)+MATCH($C42,EL_List,0)-1,0)
*INDEX(Learning!$E$6:$S$41,(MATCH(N$21,Dates,0)),(MATCH($C$21,Learning!$E$4:$S$4,0)+MATCH($C$42,Learning!$E$5:$S$5,0)-1)))</f>
        <v>1.6988778599315311</v>
      </c>
      <c r="O50" s="531" cm="1">
        <f t="array" aca="1" ref="O50" ca="1">IF(O$21&lt;Standard_Year,'No STDs Case Rev &amp; Cost'!O50,
OFFSET(O50,-6,0)*
OFFSET(MSP!$G$1,
MATCH(OFFSET($C42,((MATCH($C42,EL_List,0)-1)*-10)-1,0),MSP!$C:$C,0)+MATCH($C42,EL_List,0)-1,0)
*INDEX(Learning!$E$6:$S$41,(MATCH(O$21,Dates,0)),(MATCH($C$21,Learning!$E$4:$S$4,0)+MATCH($C$42,Learning!$E$5:$S$5,0)-1)))</f>
        <v>1.775079077910622</v>
      </c>
      <c r="P50" s="531" cm="1">
        <f t="array" aca="1" ref="P50" ca="1">IF(P$21&lt;Standard_Year,'No STDs Case Rev &amp; Cost'!P50,
OFFSET(P50,-6,0)*
OFFSET(MSP!$G$1,
MATCH(OFFSET($C42,((MATCH($C42,EL_List,0)-1)*-10)-1,0),MSP!$C:$C,0)+MATCH($C42,EL_List,0)-1,0)
*INDEX(Learning!$E$6:$S$41,(MATCH(P$21,Dates,0)),(MATCH($C$21,Learning!$E$4:$S$4,0)+MATCH($C$42,Learning!$E$5:$S$5,0)-1)))</f>
        <v>1.8554246456311891</v>
      </c>
      <c r="Q50" s="531" cm="1">
        <f t="array" aca="1" ref="Q50" ca="1">IF(Q$21&lt;Standard_Year,'No STDs Case Rev &amp; Cost'!Q50,
OFFSET(Q50,-6,0)*
OFFSET(MSP!$G$1,
MATCH(OFFSET($C42,((MATCH($C42,EL_List,0)-1)*-10)-1,0),MSP!$C:$C,0)+MATCH($C42,EL_List,0)-1,0)
*INDEX(Learning!$E$6:$S$41,(MATCH(Q$21,Dates,0)),(MATCH($C$21,Learning!$E$4:$S$4,0)+MATCH($C$42,Learning!$E$5:$S$5,0)-1)))</f>
        <v>1.9361367427413434</v>
      </c>
      <c r="R50" s="531" cm="1">
        <f t="array" aca="1" ref="R50" ca="1">IF(R$21&lt;Standard_Year,'No STDs Case Rev &amp; Cost'!R50,
OFFSET(R50,-6,0)*
OFFSET(MSP!$G$1,
MATCH(OFFSET($C42,((MATCH($C42,EL_List,0)-1)*-10)-1,0),MSP!$C:$C,0)+MATCH($C42,EL_List,0)-1,0)
*INDEX(Learning!$E$6:$S$41,(MATCH(R$21,Dates,0)),(MATCH($C$21,Learning!$E$4:$S$4,0)+MATCH($C$42,Learning!$E$5:$S$5,0)-1)))</f>
        <v>2.0222241941920491</v>
      </c>
      <c r="S50" s="531" cm="1">
        <f t="array" aca="1" ref="S50" ca="1">IF(S$21&lt;Standard_Year,'No STDs Case Rev &amp; Cost'!S50,
OFFSET(S50,-6,0)*
OFFSET(MSP!$G$1,
MATCH(OFFSET($C42,((MATCH($C42,EL_List,0)-1)*-10)-1,0),MSP!$C:$C,0)+MATCH($C42,EL_List,0)-1,0)
*INDEX(Learning!$E$6:$S$41,(MATCH(S$21,Dates,0)),(MATCH($C$21,Learning!$E$4:$S$4,0)+MATCH($C$42,Learning!$E$5:$S$5,0)-1)))</f>
        <v>2.1100321337580517</v>
      </c>
      <c r="T50" s="531" cm="1">
        <f t="array" aca="1" ref="T50" ca="1">IF(T$21&lt;Standard_Year,'No STDs Case Rev &amp; Cost'!T50,
OFFSET(T50,-6,0)*
OFFSET(MSP!$G$1,
MATCH(OFFSET($C42,((MATCH($C42,EL_List,0)-1)*-10)-1,0),MSP!$C:$C,0)+MATCH($C42,EL_List,0)-1,0)
*INDEX(Learning!$E$6:$S$41,(MATCH(T$21,Dates,0)),(MATCH($C$21,Learning!$E$4:$S$4,0)+MATCH($C$42,Learning!$E$5:$S$5,0)-1)))</f>
        <v>2.2041409867422934</v>
      </c>
      <c r="U50" s="531" cm="1">
        <f t="array" aca="1" ref="U50" ca="1">IF(U$21&lt;Standard_Year,'No STDs Case Rev &amp; Cost'!U50,
OFFSET(U50,-6,0)*
OFFSET(MSP!$G$1,
MATCH(OFFSET($C42,((MATCH($C42,EL_List,0)-1)*-10)-1,0),MSP!$C:$C,0)+MATCH($C42,EL_List,0)-1,0)
*INDEX(Learning!$E$6:$S$41,(MATCH(U$21,Dates,0)),(MATCH($C$21,Learning!$E$4:$S$4,0)+MATCH($C$42,Learning!$E$5:$S$5,0)-1)))</f>
        <v>2.3027354374664815</v>
      </c>
      <c r="V50" s="531" cm="1">
        <f t="array" aca="1" ref="V50" ca="1">IF(V$21&lt;Standard_Year,'No STDs Case Rev &amp; Cost'!V50,
OFFSET(V50,-6,0)*
OFFSET(MSP!$G$1,
MATCH(OFFSET($C42,((MATCH($C42,EL_List,0)-1)*-10)-1,0),MSP!$C:$C,0)+MATCH($C42,EL_List,0)-1,0)
*INDEX(Learning!$E$6:$S$41,(MATCH(V$21,Dates,0)),(MATCH($C$21,Learning!$E$4:$S$4,0)+MATCH($C$42,Learning!$E$5:$S$5,0)-1)))</f>
        <v>2.4055074369188101</v>
      </c>
      <c r="W50" s="531" cm="1">
        <f t="array" aca="1" ref="W50" ca="1">IF(W$21&lt;Standard_Year,'No STDs Case Rev &amp; Cost'!W50,
OFFSET(W50,-6,0)*
OFFSET(MSP!$G$1,
MATCH(OFFSET($C42,((MATCH($C42,EL_List,0)-1)*-10)-1,0),MSP!$C:$C,0)+MATCH($C42,EL_List,0)-1,0)
*INDEX(Learning!$E$6:$S$41,(MATCH(W$21,Dates,0)),(MATCH($C$21,Learning!$E$4:$S$4,0)+MATCH($C$42,Learning!$E$5:$S$5,0)-1)))</f>
        <v>2.5127193081677688</v>
      </c>
      <c r="X50" s="531" cm="1">
        <f t="array" aca="1" ref="X50" ca="1">IF(X$21&lt;Standard_Year,'No STDs Case Rev &amp; Cost'!X50,
OFFSET(X50,-6,0)*
OFFSET(MSP!$G$1,
MATCH(OFFSET($C42,((MATCH($C42,EL_List,0)-1)*-10)-1,0),MSP!$C:$C,0)+MATCH($C42,EL_List,0)-1,0)
*INDEX(Learning!$E$6:$S$41,(MATCH(X$21,Dates,0)),(MATCH($C$21,Learning!$E$4:$S$4,0)+MATCH($C$42,Learning!$E$5:$S$5,0)-1)))</f>
        <v>2.6272525799069344</v>
      </c>
      <c r="Y50" s="531" cm="1">
        <f t="array" aca="1" ref="Y50" ca="1">IF(Y$21&lt;Standard_Year,'No STDs Case Rev &amp; Cost'!Y50,
OFFSET(Y50,-6,0)*
OFFSET(MSP!$G$1,
MATCH(OFFSET($C42,((MATCH($C42,EL_List,0)-1)*-10)-1,0),MSP!$C:$C,0)+MATCH($C42,EL_List,0)-1,0)
*INDEX(Learning!$E$6:$S$41,(MATCH(Y$21,Dates,0)),(MATCH($C$21,Learning!$E$4:$S$4,0)+MATCH($C$42,Learning!$E$5:$S$5,0)-1)))</f>
        <v>2.7437115302567139</v>
      </c>
      <c r="Z50" s="531" cm="1">
        <f t="array" aca="1" ref="Z50" ca="1">IF(Z$21&lt;Standard_Year,'No STDs Case Rev &amp; Cost'!Z50,
OFFSET(Z50,-6,0)*
OFFSET(MSP!$G$1,
MATCH(OFFSET($C42,((MATCH($C42,EL_List,0)-1)*-10)-1,0),MSP!$C:$C,0)+MATCH($C42,EL_List,0)-1,0)
*INDEX(Learning!$E$6:$S$41,(MATCH(Z$21,Dates,0)),(MATCH($C$21,Learning!$E$4:$S$4,0)+MATCH($C$42,Learning!$E$5:$S$5,0)-1)))</f>
        <v>2.864975890548719</v>
      </c>
      <c r="AA50" s="531" cm="1">
        <f t="array" aca="1" ref="AA50" ca="1">IF(AA$21&lt;Standard_Year,'No STDs Case Rev &amp; Cost'!AA50,
OFFSET(AA50,-6,0)*
OFFSET(MSP!$G$1,
MATCH(OFFSET($C42,((MATCH($C42,EL_List,0)-1)*-10)-1,0),MSP!$C:$C,0)+MATCH($C42,EL_List,0)-1,0)
*INDEX(Learning!$E$6:$S$41,(MATCH(AA$21,Dates,0)),(MATCH($C$21,Learning!$E$4:$S$4,0)+MATCH($C$42,Learning!$E$5:$S$5,0)-1)))</f>
        <v>2.9944730769004289</v>
      </c>
      <c r="AB50" s="531" cm="1">
        <f t="array" aca="1" ref="AB50" ca="1">IF(AB$21&lt;Standard_Year,'No STDs Case Rev &amp; Cost'!AB50,
OFFSET(AB50,-6,0)*
OFFSET(MSP!$G$1,
MATCH(OFFSET($C42,((MATCH($C42,EL_List,0)-1)*-10)-1,0),MSP!$C:$C,0)+MATCH($C42,EL_List,0)-1,0)
*INDEX(Learning!$E$6:$S$41,(MATCH(AB$21,Dates,0)),(MATCH($C$21,Learning!$E$4:$S$4,0)+MATCH($C$42,Learning!$E$5:$S$5,0)-1)))</f>
        <v>3.1261473653907381</v>
      </c>
      <c r="AC50" s="531" cm="1">
        <f t="array" aca="1" ref="AC50" ca="1">IF(AC$21&lt;Standard_Year,'No STDs Case Rev &amp; Cost'!AC50,
OFFSET(AC50,-6,0)*
OFFSET(MSP!$G$1,
MATCH(OFFSET($C42,((MATCH($C42,EL_List,0)-1)*-10)-1,0),MSP!$C:$C,0)+MATCH($C42,EL_List,0)-1,0)
*INDEX(Learning!$E$6:$S$41,(MATCH(AC$21,Dates,0)),(MATCH($C$21,Learning!$E$4:$S$4,0)+MATCH($C$42,Learning!$E$5:$S$5,0)-1)))</f>
        <v>3.2669816587527638</v>
      </c>
      <c r="AD50" s="531" cm="1">
        <f t="array" aca="1" ref="AD50" ca="1">IF(AD$21&lt;Standard_Year,'No STDs Case Rev &amp; Cost'!AD50,
OFFSET(AD50,-6,0)*
OFFSET(MSP!$G$1,
MATCH(OFFSET($C42,((MATCH($C42,EL_List,0)-1)*-10)-1,0),MSP!$C:$C,0)+MATCH($C42,EL_List,0)-1,0)
*INDEX(Learning!$E$6:$S$41,(MATCH(AD$21,Dates,0)),(MATCH($C$21,Learning!$E$4:$S$4,0)+MATCH($C$42,Learning!$E$5:$S$5,0)-1)))</f>
        <v>3.4101963618540365</v>
      </c>
      <c r="AE50" s="531" cm="1">
        <f t="array" aca="1" ref="AE50" ca="1">IF(AE$21&lt;Standard_Year,'No STDs Case Rev &amp; Cost'!AE50,
OFFSET(AE50,-6,0)*
OFFSET(MSP!$G$1,
MATCH(OFFSET($C42,((MATCH($C42,EL_List,0)-1)*-10)-1,0),MSP!$C:$C,0)+MATCH($C42,EL_List,0)-1,0)
*INDEX(Learning!$E$6:$S$41,(MATCH(AE$21,Dates,0)),(MATCH($C$21,Learning!$E$4:$S$4,0)+MATCH($C$42,Learning!$E$5:$S$5,0)-1)))</f>
        <v>3.563444983507098</v>
      </c>
      <c r="AF50" s="531" cm="1">
        <f t="array" aca="1" ref="AF50" ca="1">IF(AF$21&lt;Standard_Year,'No STDs Case Rev &amp; Cost'!AF50,
OFFSET(AF50,-6,0)*
OFFSET(MSP!$G$1,
MATCH(OFFSET($C42,((MATCH($C42,EL_List,0)-1)*-10)-1,0),MSP!$C:$C,0)+MATCH($C42,EL_List,0)-1,0)
*INDEX(Learning!$E$6:$S$41,(MATCH(AF$21,Dates,0)),(MATCH($C$21,Learning!$E$4:$S$4,0)+MATCH($C$42,Learning!$E$5:$S$5,0)-1)))</f>
        <v>3.7233896457660034</v>
      </c>
      <c r="AG50" s="531" cm="1">
        <f t="array" aca="1" ref="AG50" ca="1">IF(AG$21&lt;Standard_Year,'No STDs Case Rev &amp; Cost'!AG50,
OFFSET(AG50,-6,0)*
OFFSET(MSP!$G$1,
MATCH(OFFSET($C42,((MATCH($C42,EL_List,0)-1)*-10)-1,0),MSP!$C:$C,0)+MATCH($C42,EL_List,0)-1,0)
*INDEX(Learning!$E$6:$S$41,(MATCH(AG$21,Dates,0)),(MATCH($C$21,Learning!$E$4:$S$4,0)+MATCH($C$42,Learning!$E$5:$S$5,0)-1)))</f>
        <v>3.8903032605570917</v>
      </c>
      <c r="AH50" s="531" cm="1">
        <f t="array" aca="1" ref="AH50" ca="1">IF(AH$21&lt;Standard_Year,'No STDs Case Rev &amp; Cost'!AH50,
OFFSET(AH50,-6,0)*
OFFSET(MSP!$G$1,
MATCH(OFFSET($C42,((MATCH($C42,EL_List,0)-1)*-10)-1,0),MSP!$C:$C,0)+MATCH($C42,EL_List,0)-1,0)
*INDEX(Learning!$E$6:$S$41,(MATCH(AH$21,Dates,0)),(MATCH($C$21,Learning!$E$4:$S$4,0)+MATCH($C$42,Learning!$E$5:$S$5,0)-1)))</f>
        <v>4.0644704112087764</v>
      </c>
      <c r="AI50" s="531" cm="1">
        <f t="array" aca="1" ref="AI50" ca="1">IF(AI$21&lt;Standard_Year,'No STDs Case Rev &amp; Cost'!AI50,
OFFSET(AI50,-6,0)*
OFFSET(MSP!$G$1,
MATCH(OFFSET($C42,((MATCH($C42,EL_List,0)-1)*-10)-1,0),MSP!$C:$C,0)+MATCH($C42,EL_List,0)-1,0)
*INDEX(Learning!$E$6:$S$41,(MATCH(AI$21,Dates,0)),(MATCH($C$21,Learning!$E$4:$S$4,0)+MATCH($C$42,Learning!$E$5:$S$5,0)-1)))</f>
        <v>4.2461922571619768</v>
      </c>
      <c r="AJ50" s="531" cm="1">
        <f t="array" aca="1" ref="AJ50" ca="1">IF(AJ$21&lt;Standard_Year,'No STDs Case Rev &amp; Cost'!AJ50,
OFFSET(AJ50,-6,0)*
OFFSET(MSP!$G$1,
MATCH(OFFSET($C42,((MATCH($C42,EL_List,0)-1)*-10)-1,0),MSP!$C:$C,0)+MATCH($C42,EL_List,0)-1,0)
*INDEX(Learning!$E$6:$S$41,(MATCH(AJ$21,Dates,0)),(MATCH($C$21,Learning!$E$4:$S$4,0)+MATCH($C$42,Learning!$E$5:$S$5,0)-1)))</f>
        <v>4.4357888887984078</v>
      </c>
      <c r="AK50" s="531" cm="1">
        <f t="array" aca="1" ref="AK50" ca="1">IF(AK$21&lt;Standard_Year,'No STDs Case Rev &amp; Cost'!AK50,
OFFSET(AK50,-6,0)*
OFFSET(MSP!$G$1,
MATCH(OFFSET($C42,((MATCH($C42,EL_List,0)-1)*-10)-1,0),MSP!$C:$C,0)+MATCH($C42,EL_List,0)-1,0)
*INDEX(Learning!$E$6:$S$41,(MATCH(AK$21,Dates,0)),(MATCH($C$21,Learning!$E$4:$S$4,0)+MATCH($C$42,Learning!$E$5:$S$5,0)-1)))</f>
        <v>4.6335989768848567</v>
      </c>
      <c r="AL50" s="531" cm="1">
        <f t="array" aca="1" ref="AL50" ca="1">IF(AL$21&lt;Standard_Year,'No STDs Case Rev &amp; Cost'!AL50,
OFFSET(AL50,-6,0)*
OFFSET(MSP!$G$1,
MATCH(OFFSET($C42,((MATCH($C42,EL_List,0)-1)*-10)-1,0),MSP!$C:$C,0)+MATCH($C42,EL_List,0)-1,0)
*INDEX(Learning!$E$6:$S$41,(MATCH(AL$21,Dates,0)),(MATCH($C$21,Learning!$E$4:$S$4,0)+MATCH($C$42,Learning!$E$5:$S$5,0)-1)))</f>
        <v>4.8399782997048826</v>
      </c>
      <c r="AM50" s="531" cm="1">
        <f t="array" aca="1" ref="AM50" ca="1">IF(AM$21&lt;Standard_Year,'No STDs Case Rev &amp; Cost'!AM50,
OFFSET(AM50,-6,0)*
OFFSET(MSP!$G$1,
MATCH(OFFSET($C42,((MATCH($C42,EL_List,0)-1)*-10)-1,0),MSP!$C:$C,0)+MATCH($C42,EL_List,0)-1,0)
*INDEX(Learning!$E$6:$S$41,(MATCH(AM$21,Dates,0)),(MATCH($C$21,Learning!$E$4:$S$4,0)+MATCH($C$42,Learning!$E$5:$S$5,0)-1)))</f>
        <v>5.055298581296066</v>
      </c>
      <c r="AN50" s="531" cm="1">
        <f t="array" aca="1" ref="AN50" ca="1">IF(AN$21&lt;Standard_Year,'No STDs Case Rev &amp; Cost'!AN50,
OFFSET(AN50,-6,0)*
OFFSET(MSP!$G$1,
MATCH(OFFSET($C42,((MATCH($C42,EL_List,0)-1)*-10)-1,0),MSP!$C:$C,0)+MATCH($C42,EL_List,0)-1,0)
*INDEX(Learning!$E$6:$S$41,(MATCH(AN$21,Dates,0)),(MATCH($C$21,Learning!$E$4:$S$4,0)+MATCH($C$42,Learning!$E$5:$S$5,0)-1)))</f>
        <v>5.2798373929952387</v>
      </c>
      <c r="AO50" s="436"/>
      <c r="AP50" s="21"/>
    </row>
    <row r="51" spans="2:42" ht="15" customHeight="1" x14ac:dyDescent="0.35">
      <c r="B51" s="429"/>
      <c r="C51" s="776"/>
      <c r="D51" s="776"/>
      <c r="E51" s="776"/>
      <c r="F51" s="776"/>
      <c r="G51" s="776"/>
      <c r="H51" s="776"/>
      <c r="I51" s="776"/>
      <c r="J51" s="776"/>
      <c r="K51" s="776"/>
      <c r="L51" s="776"/>
      <c r="M51" s="776"/>
      <c r="N51" s="776"/>
      <c r="O51" s="776"/>
      <c r="P51" s="776"/>
      <c r="Q51" s="776"/>
      <c r="R51" s="776"/>
      <c r="S51" s="776"/>
      <c r="T51" s="776"/>
      <c r="U51" s="776"/>
      <c r="V51" s="776"/>
      <c r="W51" s="776"/>
      <c r="X51" s="776"/>
      <c r="Y51" s="776"/>
      <c r="Z51" s="776"/>
      <c r="AA51" s="776"/>
      <c r="AB51" s="776"/>
      <c r="AC51" s="776"/>
      <c r="AD51" s="776"/>
      <c r="AE51" s="776"/>
      <c r="AF51" s="776"/>
      <c r="AG51" s="776"/>
      <c r="AH51" s="776"/>
      <c r="AI51" s="776"/>
      <c r="AJ51" s="776"/>
      <c r="AK51" s="776"/>
      <c r="AL51" s="776"/>
      <c r="AM51" s="776"/>
      <c r="AN51" s="776"/>
      <c r="AO51" s="436"/>
      <c r="AP51" s="21"/>
    </row>
    <row r="52" spans="2:42" ht="15" customHeight="1" x14ac:dyDescent="0.35">
      <c r="B52" s="429"/>
      <c r="C52" s="772" t="s">
        <v>343</v>
      </c>
      <c r="D52" s="776"/>
      <c r="E52" s="776"/>
      <c r="F52" s="776"/>
      <c r="G52" s="776"/>
      <c r="H52" s="776"/>
      <c r="I52" s="776"/>
      <c r="J52" s="776"/>
      <c r="K52" s="776"/>
      <c r="L52" s="776"/>
      <c r="M52" s="776"/>
      <c r="N52" s="776"/>
      <c r="O52" s="776"/>
      <c r="P52" s="776"/>
      <c r="Q52" s="776"/>
      <c r="R52" s="776"/>
      <c r="S52" s="776"/>
      <c r="T52" s="776"/>
      <c r="U52" s="776"/>
      <c r="V52" s="776"/>
      <c r="W52" s="776"/>
      <c r="X52" s="776"/>
      <c r="Y52" s="776"/>
      <c r="Z52" s="776"/>
      <c r="AA52" s="776"/>
      <c r="AB52" s="776"/>
      <c r="AC52" s="776"/>
      <c r="AD52" s="776"/>
      <c r="AE52" s="776"/>
      <c r="AF52" s="776"/>
      <c r="AG52" s="776"/>
      <c r="AH52" s="776"/>
      <c r="AI52" s="776"/>
      <c r="AJ52" s="776"/>
      <c r="AK52" s="776"/>
      <c r="AL52" s="776"/>
      <c r="AM52" s="776"/>
      <c r="AN52" s="776"/>
      <c r="AO52" s="436"/>
      <c r="AP52" s="21"/>
    </row>
    <row r="53" spans="2:42" ht="15" customHeight="1" x14ac:dyDescent="0.35">
      <c r="B53" s="429"/>
      <c r="C53" s="777" t="s">
        <v>10</v>
      </c>
      <c r="D53" s="776"/>
      <c r="E53" s="778" cm="1">
        <f t="array" aca="1" ref="E53" ca="1">IF(E$21&lt;Standard_Year,'No STDs Case Rev &amp; Cost'!E53,
OFFSET(MSP!$C$1,
MATCH(OFFSET($C52,((MATCH($C52,EL_List,0)-1)*-10)-1,0),MSP!$C:$C,0)+MATCH($C52,EL_List,0)-1,
MATCH(OFFSET($C52,((MATCH($C52,EL_List,0)-1)*-10)-3,0),MSP!$D$5:$N$5,0)+1)
*INDEX(Learning!$E$6:$S$41,(MATCH(E$21,Dates,0)),(MATCH($C$21,Learning!$E$4:$S$4,0)+MATCH($C$52,Learning!$E$5:$S$5,0)-1)))</f>
        <v>59.219160000000009</v>
      </c>
      <c r="F53" s="778" cm="1">
        <f t="array" aca="1" ref="F53" ca="1">IF(F$21&lt;Standard_Year,'No STDs Case Rev &amp; Cost'!F53,
OFFSET(MSP!$C$1,
MATCH(OFFSET($C52,((MATCH($C52,EL_List,0)-1)*-10)-1,0),MSP!$C:$C,0)+MATCH($C52,EL_List,0)-1,
MATCH(OFFSET($C52,((MATCH($C52,EL_List,0)-1)*-10)-3,0),MSP!$D$5:$N$5,0)+1)
*INDEX(Learning!$E$6:$S$41,(MATCH(F$21,Dates,0)),(MATCH($C$21,Learning!$E$4:$S$4,0)+MATCH($C$52,Learning!$E$5:$S$5,0)-1)))</f>
        <v>58.763628000000004</v>
      </c>
      <c r="G53" s="778" cm="1">
        <f t="array" aca="1" ref="G53" ca="1">IF(G$21&lt;Standard_Year,'No STDs Case Rev &amp; Cost'!G53,
OFFSET(MSP!$C$1,
MATCH(OFFSET($C52,((MATCH($C52,EL_List,0)-1)*-10)-1,0),MSP!$C:$C,0)+MATCH($C52,EL_List,0)-1,
MATCH(OFFSET($C52,((MATCH($C52,EL_List,0)-1)*-10)-3,0),MSP!$D$5:$N$5,0)+1)
*INDEX(Learning!$E$6:$S$41,(MATCH(G$21,Dates,0)),(MATCH($C$21,Learning!$E$4:$S$4,0)+MATCH($C$52,Learning!$E$5:$S$5,0)-1)))</f>
        <v>58.3650375</v>
      </c>
      <c r="H53" s="778" cm="1">
        <f t="array" aca="1" ref="H53" ca="1">IF(H$21&lt;Standard_Year,'No STDs Case Rev &amp; Cost'!H53,
OFFSET(MSP!$C$1,
MATCH(OFFSET($C52,((MATCH($C52,EL_List,0)-1)*-10)-1,0),MSP!$C:$C,0)+MATCH($C52,EL_List,0)-1,
MATCH(OFFSET($C52,((MATCH($C52,EL_List,0)-1)*-10)-3,0),MSP!$D$5:$N$5,0)+1)
*INDEX(Learning!$E$6:$S$41,(MATCH(H$21,Dates,0)),(MATCH($C$21,Learning!$E$4:$S$4,0)+MATCH($C$52,Learning!$E$5:$S$5,0)-1)))</f>
        <v>58.023388500000003</v>
      </c>
      <c r="I53" s="778" cm="1">
        <f t="array" aca="1" ref="I53" ca="1">IF(I$21&lt;Standard_Year,'No STDs Case Rev &amp; Cost'!I53,
OFFSET(MSP!$C$1,
MATCH(OFFSET($C52,((MATCH($C52,EL_List,0)-1)*-10)-1,0),MSP!$C:$C,0)+MATCH($C52,EL_List,0)-1,
MATCH(OFFSET($C52,((MATCH($C52,EL_List,0)-1)*-10)-3,0),MSP!$D$5:$N$5,0)+1)
*INDEX(Learning!$E$6:$S$41,(MATCH(I$21,Dates,0)),(MATCH($C$21,Learning!$E$4:$S$4,0)+MATCH($C$52,Learning!$E$5:$S$5,0)-1)))</f>
        <v>57.624798000000006</v>
      </c>
      <c r="J53" s="778" cm="1">
        <f t="array" aca="1" ref="J53" ca="1">IF(J$21&lt;Standard_Year,'No STDs Case Rev &amp; Cost'!J53,
OFFSET(MSP!$C$1,
MATCH(OFFSET($C52,((MATCH($C52,EL_List,0)-1)*-10)-1,0),MSP!$C:$C,0)+MATCH($C52,EL_List,0)-1,
MATCH(OFFSET($C52,((MATCH($C52,EL_List,0)-1)*-10)-3,0),MSP!$D$5:$N$5,0)+1)
*INDEX(Learning!$E$6:$S$41,(MATCH(J$21,Dates,0)),(MATCH($C$21,Learning!$E$4:$S$4,0)+MATCH($C$52,Learning!$E$5:$S$5,0)-1)))</f>
        <v>57.283149000000009</v>
      </c>
      <c r="K53" s="778" cm="1">
        <f t="array" aca="1" ref="K53" ca="1">IF(K$21&lt;Standard_Year,'No STDs Case Rev &amp; Cost'!K53,
OFFSET(MSP!$C$1,
MATCH(OFFSET($C52,((MATCH($C52,EL_List,0)-1)*-10)-1,0),MSP!$C:$C,0)+MATCH($C52,EL_List,0)-1,
MATCH(OFFSET($C52,((MATCH($C52,EL_List,0)-1)*-10)-3,0),MSP!$D$5:$N$5,0)+1)
*INDEX(Learning!$E$6:$S$41,(MATCH(K$21,Dates,0)),(MATCH($C$21,Learning!$E$4:$S$4,0)+MATCH($C$52,Learning!$E$5:$S$5,0)-1)))</f>
        <v>56.941500000000005</v>
      </c>
      <c r="L53" s="778" cm="1">
        <f t="array" aca="1" ref="L53" ca="1">IF(L$21&lt;Standard_Year,'No STDs Case Rev &amp; Cost'!L53,
OFFSET(MSP!$C$1,
MATCH(OFFSET($C52,((MATCH($C52,EL_List,0)-1)*-10)-1,0),MSP!$C:$C,0)+MATCH($C52,EL_List,0)-1,
MATCH(OFFSET($C52,((MATCH($C52,EL_List,0)-1)*-10)-3,0),MSP!$D$5:$N$5,0)+1)
*INDEX(Learning!$E$6:$S$41,(MATCH(L$21,Dates,0)),(MATCH($C$21,Learning!$E$4:$S$4,0)+MATCH($C$52,Learning!$E$5:$S$5,0)-1)))</f>
        <v>56.599851000000001</v>
      </c>
      <c r="M53" s="778" cm="1">
        <f t="array" aca="1" ref="M53" ca="1">IF(M$21&lt;Standard_Year,'No STDs Case Rev &amp; Cost'!M53,
OFFSET(MSP!$C$1,
MATCH(OFFSET($C52,((MATCH($C52,EL_List,0)-1)*-10)-1,0),MSP!$C:$C,0)+MATCH($C52,EL_List,0)-1,
MATCH(OFFSET($C52,((MATCH($C52,EL_List,0)-1)*-10)-3,0),MSP!$D$5:$N$5,0)+1)
*INDEX(Learning!$E$6:$S$41,(MATCH(M$21,Dates,0)),(MATCH($C$21,Learning!$E$4:$S$4,0)+MATCH($C$52,Learning!$E$5:$S$5,0)-1)))</f>
        <v>56.315143500000005</v>
      </c>
      <c r="N53" s="778" cm="1">
        <f t="array" aca="1" ref="N53" ca="1">IF(N$21&lt;Standard_Year,'No STDs Case Rev &amp; Cost'!N53,
OFFSET(MSP!$C$1,
MATCH(OFFSET($C52,((MATCH($C52,EL_List,0)-1)*-10)-1,0),MSP!$C:$C,0)+MATCH($C52,EL_List,0)-1,
MATCH(OFFSET($C52,((MATCH($C52,EL_List,0)-1)*-10)-3,0),MSP!$D$5:$N$5,0)+1)
*INDEX(Learning!$E$6:$S$41,(MATCH(N$21,Dates,0)),(MATCH($C$21,Learning!$E$4:$S$4,0)+MATCH($C$52,Learning!$E$5:$S$5,0)-1)))</f>
        <v>55.973494500000001</v>
      </c>
      <c r="O53" s="778" cm="1">
        <f t="array" aca="1" ref="O53" ca="1">IF(O$21&lt;Standard_Year,'No STDs Case Rev &amp; Cost'!O53,
OFFSET(MSP!$C$1,
MATCH(OFFSET($C52,((MATCH($C52,EL_List,0)-1)*-10)-1,0),MSP!$C:$C,0)+MATCH($C52,EL_List,0)-1,
MATCH(OFFSET($C52,((MATCH($C52,EL_List,0)-1)*-10)-3,0),MSP!$D$5:$N$5,0)+1)
*INDEX(Learning!$E$6:$S$41,(MATCH(O$21,Dates,0)),(MATCH($C$21,Learning!$E$4:$S$4,0)+MATCH($C$52,Learning!$E$5:$S$5,0)-1)))</f>
        <v>55.688787000000005</v>
      </c>
      <c r="P53" s="778" cm="1">
        <f t="array" aca="1" ref="P53" ca="1">IF(P$21&lt;Standard_Year,'No STDs Case Rev &amp; Cost'!P53,
OFFSET(MSP!$C$1,
MATCH(OFFSET($C52,((MATCH($C52,EL_List,0)-1)*-10)-1,0),MSP!$C:$C,0)+MATCH($C52,EL_List,0)-1,
MATCH(OFFSET($C52,((MATCH($C52,EL_List,0)-1)*-10)-3,0),MSP!$D$5:$N$5,0)+1)
*INDEX(Learning!$E$6:$S$41,(MATCH(P$21,Dates,0)),(MATCH($C$21,Learning!$E$4:$S$4,0)+MATCH($C$52,Learning!$E$5:$S$5,0)-1)))</f>
        <v>55.404079500000002</v>
      </c>
      <c r="Q53" s="778" cm="1">
        <f t="array" aca="1" ref="Q53" ca="1">IF(Q$21&lt;Standard_Year,'No STDs Case Rev &amp; Cost'!Q53,
OFFSET(MSP!$C$1,
MATCH(OFFSET($C52,((MATCH($C52,EL_List,0)-1)*-10)-1,0),MSP!$C:$C,0)+MATCH($C52,EL_List,0)-1,
MATCH(OFFSET($C52,((MATCH($C52,EL_List,0)-1)*-10)-3,0),MSP!$D$5:$N$5,0)+1)
*INDEX(Learning!$E$6:$S$41,(MATCH(Q$21,Dates,0)),(MATCH($C$21,Learning!$E$4:$S$4,0)+MATCH($C$52,Learning!$E$5:$S$5,0)-1)))</f>
        <v>55.119372000000006</v>
      </c>
      <c r="R53" s="778" cm="1">
        <f t="array" aca="1" ref="R53" ca="1">IF(R$21&lt;Standard_Year,'No STDs Case Rev &amp; Cost'!R53,
OFFSET(MSP!$C$1,
MATCH(OFFSET($C52,((MATCH($C52,EL_List,0)-1)*-10)-1,0),MSP!$C:$C,0)+MATCH($C52,EL_List,0)-1,
MATCH(OFFSET($C52,((MATCH($C52,EL_List,0)-1)*-10)-3,0),MSP!$D$5:$N$5,0)+1)
*INDEX(Learning!$E$6:$S$41,(MATCH(R$21,Dates,0)),(MATCH($C$21,Learning!$E$4:$S$4,0)+MATCH($C$52,Learning!$E$5:$S$5,0)-1)))</f>
        <v>54.834664500000002</v>
      </c>
      <c r="S53" s="778" cm="1">
        <f t="array" aca="1" ref="S53" ca="1">IF(S$21&lt;Standard_Year,'No STDs Case Rev &amp; Cost'!S53,
OFFSET(MSP!$C$1,
MATCH(OFFSET($C52,((MATCH($C52,EL_List,0)-1)*-10)-1,0),MSP!$C:$C,0)+MATCH($C52,EL_List,0)-1,
MATCH(OFFSET($C52,((MATCH($C52,EL_List,0)-1)*-10)-3,0),MSP!$D$5:$N$5,0)+1)
*INDEX(Learning!$E$6:$S$41,(MATCH(S$21,Dates,0)),(MATCH($C$21,Learning!$E$4:$S$4,0)+MATCH($C$52,Learning!$E$5:$S$5,0)-1)))</f>
        <v>54.549956999999999</v>
      </c>
      <c r="T53" s="778" cm="1">
        <f t="array" aca="1" ref="T53" ca="1">IF(T$21&lt;Standard_Year,'No STDs Case Rev &amp; Cost'!T53,
OFFSET(MSP!$C$1,
MATCH(OFFSET($C52,((MATCH($C52,EL_List,0)-1)*-10)-1,0),MSP!$C:$C,0)+MATCH($C52,EL_List,0)-1,
MATCH(OFFSET($C52,((MATCH($C52,EL_List,0)-1)*-10)-3,0),MSP!$D$5:$N$5,0)+1)
*INDEX(Learning!$E$6:$S$41,(MATCH(T$21,Dates,0)),(MATCH($C$21,Learning!$E$4:$S$4,0)+MATCH($C$52,Learning!$E$5:$S$5,0)-1)))</f>
        <v>54.322191000000004</v>
      </c>
      <c r="U53" s="778" cm="1">
        <f t="array" aca="1" ref="U53" ca="1">IF(U$21&lt;Standard_Year,'No STDs Case Rev &amp; Cost'!U53,
OFFSET(MSP!$C$1,
MATCH(OFFSET($C52,((MATCH($C52,EL_List,0)-1)*-10)-1,0),MSP!$C:$C,0)+MATCH($C52,EL_List,0)-1,
MATCH(OFFSET($C52,((MATCH($C52,EL_List,0)-1)*-10)-3,0),MSP!$D$5:$N$5,0)+1)
*INDEX(Learning!$E$6:$S$41,(MATCH(U$21,Dates,0)),(MATCH($C$21,Learning!$E$4:$S$4,0)+MATCH($C$52,Learning!$E$5:$S$5,0)-1)))</f>
        <v>54.0374835</v>
      </c>
      <c r="V53" s="778" cm="1">
        <f t="array" aca="1" ref="V53" ca="1">IF(V$21&lt;Standard_Year,'No STDs Case Rev &amp; Cost'!V53,
OFFSET(MSP!$C$1,
MATCH(OFFSET($C52,((MATCH($C52,EL_List,0)-1)*-10)-1,0),MSP!$C:$C,0)+MATCH($C52,EL_List,0)-1,
MATCH(OFFSET($C52,((MATCH($C52,EL_List,0)-1)*-10)-3,0),MSP!$D$5:$N$5,0)+1)
*INDEX(Learning!$E$6:$S$41,(MATCH(V$21,Dates,0)),(MATCH($C$21,Learning!$E$4:$S$4,0)+MATCH($C$52,Learning!$E$5:$S$5,0)-1)))</f>
        <v>53.809717500000005</v>
      </c>
      <c r="W53" s="778" cm="1">
        <f t="array" aca="1" ref="W53" ca="1">IF(W$21&lt;Standard_Year,'No STDs Case Rev &amp; Cost'!W53,
OFFSET(MSP!$C$1,
MATCH(OFFSET($C52,((MATCH($C52,EL_List,0)-1)*-10)-1,0),MSP!$C:$C,0)+MATCH($C52,EL_List,0)-1,
MATCH(OFFSET($C52,((MATCH($C52,EL_List,0)-1)*-10)-3,0),MSP!$D$5:$N$5,0)+1)
*INDEX(Learning!$E$6:$S$41,(MATCH(W$21,Dates,0)),(MATCH($C$21,Learning!$E$4:$S$4,0)+MATCH($C$52,Learning!$E$5:$S$5,0)-1)))</f>
        <v>53.525010000000002</v>
      </c>
      <c r="X53" s="778" cm="1">
        <f t="array" aca="1" ref="X53" ca="1">IF(X$21&lt;Standard_Year,'No STDs Case Rev &amp; Cost'!X53,
OFFSET(MSP!$C$1,
MATCH(OFFSET($C52,((MATCH($C52,EL_List,0)-1)*-10)-1,0),MSP!$C:$C,0)+MATCH($C52,EL_List,0)-1,
MATCH(OFFSET($C52,((MATCH($C52,EL_List,0)-1)*-10)-3,0),MSP!$D$5:$N$5,0)+1)
*INDEX(Learning!$E$6:$S$41,(MATCH(X$21,Dates,0)),(MATCH($C$21,Learning!$E$4:$S$4,0)+MATCH($C$52,Learning!$E$5:$S$5,0)-1)))</f>
        <v>53.297244000000006</v>
      </c>
      <c r="Y53" s="778" cm="1">
        <f t="array" aca="1" ref="Y53" ca="1">IF(Y$21&lt;Standard_Year,'No STDs Case Rev &amp; Cost'!Y53,
OFFSET(MSP!$C$1,
MATCH(OFFSET($C52,((MATCH($C52,EL_List,0)-1)*-10)-1,0),MSP!$C:$C,0)+MATCH($C52,EL_List,0)-1,
MATCH(OFFSET($C52,((MATCH($C52,EL_List,0)-1)*-10)-3,0),MSP!$D$5:$N$5,0)+1)
*INDEX(Learning!$E$6:$S$41,(MATCH(Y$21,Dates,0)),(MATCH($C$21,Learning!$E$4:$S$4,0)+MATCH($C$52,Learning!$E$5:$S$5,0)-1)))</f>
        <v>53.069478000000011</v>
      </c>
      <c r="Z53" s="778" cm="1">
        <f t="array" aca="1" ref="Z53" ca="1">IF(Z$21&lt;Standard_Year,'No STDs Case Rev &amp; Cost'!Z53,
OFFSET(MSP!$C$1,
MATCH(OFFSET($C52,((MATCH($C52,EL_List,0)-1)*-10)-1,0),MSP!$C:$C,0)+MATCH($C52,EL_List,0)-1,
MATCH(OFFSET($C52,((MATCH($C52,EL_List,0)-1)*-10)-3,0),MSP!$D$5:$N$5,0)+1)
*INDEX(Learning!$E$6:$S$41,(MATCH(Z$21,Dates,0)),(MATCH($C$21,Learning!$E$4:$S$4,0)+MATCH($C$52,Learning!$E$5:$S$5,0)-1)))</f>
        <v>52.841712000000008</v>
      </c>
      <c r="AA53" s="778" cm="1">
        <f t="array" aca="1" ref="AA53" ca="1">IF(AA$21&lt;Standard_Year,'No STDs Case Rev &amp; Cost'!AA53,
OFFSET(MSP!$C$1,
MATCH(OFFSET($C52,((MATCH($C52,EL_List,0)-1)*-10)-1,0),MSP!$C:$C,0)+MATCH($C52,EL_List,0)-1,
MATCH(OFFSET($C52,((MATCH($C52,EL_List,0)-1)*-10)-3,0),MSP!$D$5:$N$5,0)+1)
*INDEX(Learning!$E$6:$S$41,(MATCH(AA$21,Dates,0)),(MATCH($C$21,Learning!$E$4:$S$4,0)+MATCH($C$52,Learning!$E$5:$S$5,0)-1)))</f>
        <v>52.613946000000006</v>
      </c>
      <c r="AB53" s="778" cm="1">
        <f t="array" aca="1" ref="AB53" ca="1">IF(AB$21&lt;Standard_Year,'No STDs Case Rev &amp; Cost'!AB53,
OFFSET(MSP!$C$1,
MATCH(OFFSET($C52,((MATCH($C52,EL_List,0)-1)*-10)-1,0),MSP!$C:$C,0)+MATCH($C52,EL_List,0)-1,
MATCH(OFFSET($C52,((MATCH($C52,EL_List,0)-1)*-10)-3,0),MSP!$D$5:$N$5,0)+1)
*INDEX(Learning!$E$6:$S$41,(MATCH(AB$21,Dates,0)),(MATCH($C$21,Learning!$E$4:$S$4,0)+MATCH($C$52,Learning!$E$5:$S$5,0)-1)))</f>
        <v>52.38618000000001</v>
      </c>
      <c r="AC53" s="778" cm="1">
        <f t="array" aca="1" ref="AC53" ca="1">IF(AC$21&lt;Standard_Year,'No STDs Case Rev &amp; Cost'!AC53,
OFFSET(MSP!$C$1,
MATCH(OFFSET($C52,((MATCH($C52,EL_List,0)-1)*-10)-1,0),MSP!$C:$C,0)+MATCH($C52,EL_List,0)-1,
MATCH(OFFSET($C52,((MATCH($C52,EL_List,0)-1)*-10)-3,0),MSP!$D$5:$N$5,0)+1)
*INDEX(Learning!$E$6:$S$41,(MATCH(AC$21,Dates,0)),(MATCH($C$21,Learning!$E$4:$S$4,0)+MATCH($C$52,Learning!$E$5:$S$5,0)-1)))</f>
        <v>52.158414000000008</v>
      </c>
      <c r="AD53" s="778" cm="1">
        <f t="array" aca="1" ref="AD53" ca="1">IF(AD$21&lt;Standard_Year,'No STDs Case Rev &amp; Cost'!AD53,
OFFSET(MSP!$C$1,
MATCH(OFFSET($C52,((MATCH($C52,EL_List,0)-1)*-10)-1,0),MSP!$C:$C,0)+MATCH($C52,EL_List,0)-1,
MATCH(OFFSET($C52,((MATCH($C52,EL_List,0)-1)*-10)-3,0),MSP!$D$5:$N$5,0)+1)
*INDEX(Learning!$E$6:$S$41,(MATCH(AD$21,Dates,0)),(MATCH($C$21,Learning!$E$4:$S$4,0)+MATCH($C$52,Learning!$E$5:$S$5,0)-1)))</f>
        <v>51.930648000000005</v>
      </c>
      <c r="AE53" s="778" cm="1">
        <f t="array" aca="1" ref="AE53" ca="1">IF(AE$21&lt;Standard_Year,'No STDs Case Rev &amp; Cost'!AE53,
OFFSET(MSP!$C$1,
MATCH(OFFSET($C52,((MATCH($C52,EL_List,0)-1)*-10)-1,0),MSP!$C:$C,0)+MATCH($C52,EL_List,0)-1,
MATCH(OFFSET($C52,((MATCH($C52,EL_List,0)-1)*-10)-3,0),MSP!$D$5:$N$5,0)+1)
*INDEX(Learning!$E$6:$S$41,(MATCH(AE$21,Dates,0)),(MATCH($C$21,Learning!$E$4:$S$4,0)+MATCH($C$52,Learning!$E$5:$S$5,0)-1)))</f>
        <v>51.70288200000001</v>
      </c>
      <c r="AF53" s="778" cm="1">
        <f t="array" aca="1" ref="AF53" ca="1">IF(AF$21&lt;Standard_Year,'No STDs Case Rev &amp; Cost'!AF53,
OFFSET(MSP!$C$1,
MATCH(OFFSET($C52,((MATCH($C52,EL_List,0)-1)*-10)-1,0),MSP!$C:$C,0)+MATCH($C52,EL_List,0)-1,
MATCH(OFFSET($C52,((MATCH($C52,EL_List,0)-1)*-10)-3,0),MSP!$D$5:$N$5,0)+1)
*INDEX(Learning!$E$6:$S$41,(MATCH(AF$21,Dates,0)),(MATCH($C$21,Learning!$E$4:$S$4,0)+MATCH($C$52,Learning!$E$5:$S$5,0)-1)))</f>
        <v>51.475116000000007</v>
      </c>
      <c r="AG53" s="778" cm="1">
        <f t="array" aca="1" ref="AG53" ca="1">IF(AG$21&lt;Standard_Year,'No STDs Case Rev &amp; Cost'!AG53,
OFFSET(MSP!$C$1,
MATCH(OFFSET($C52,((MATCH($C52,EL_List,0)-1)*-10)-1,0),MSP!$C:$C,0)+MATCH($C52,EL_List,0)-1,
MATCH(OFFSET($C52,((MATCH($C52,EL_List,0)-1)*-10)-3,0),MSP!$D$5:$N$5,0)+1)
*INDEX(Learning!$E$6:$S$41,(MATCH(AG$21,Dates,0)),(MATCH($C$21,Learning!$E$4:$S$4,0)+MATCH($C$52,Learning!$E$5:$S$5,0)-1)))</f>
        <v>51.304291500000005</v>
      </c>
      <c r="AH53" s="778" cm="1">
        <f t="array" aca="1" ref="AH53" ca="1">IF(AH$21&lt;Standard_Year,'No STDs Case Rev &amp; Cost'!AH53,
OFFSET(MSP!$C$1,
MATCH(OFFSET($C52,((MATCH($C52,EL_List,0)-1)*-10)-1,0),MSP!$C:$C,0)+MATCH($C52,EL_List,0)-1,
MATCH(OFFSET($C52,((MATCH($C52,EL_List,0)-1)*-10)-3,0),MSP!$D$5:$N$5,0)+1)
*INDEX(Learning!$E$6:$S$41,(MATCH(AH$21,Dates,0)),(MATCH($C$21,Learning!$E$4:$S$4,0)+MATCH($C$52,Learning!$E$5:$S$5,0)-1)))</f>
        <v>51.076525500000002</v>
      </c>
      <c r="AI53" s="778" cm="1">
        <f t="array" aca="1" ref="AI53" ca="1">IF(AI$21&lt;Standard_Year,'No STDs Case Rev &amp; Cost'!AI53,
OFFSET(MSP!$C$1,
MATCH(OFFSET($C52,((MATCH($C52,EL_List,0)-1)*-10)-1,0),MSP!$C:$C,0)+MATCH($C52,EL_List,0)-1,
MATCH(OFFSET($C52,((MATCH($C52,EL_List,0)-1)*-10)-3,0),MSP!$D$5:$N$5,0)+1)
*INDEX(Learning!$E$6:$S$41,(MATCH(AI$21,Dates,0)),(MATCH($C$21,Learning!$E$4:$S$4,0)+MATCH($C$52,Learning!$E$5:$S$5,0)-1)))</f>
        <v>50.848759500000007</v>
      </c>
      <c r="AJ53" s="778" cm="1">
        <f t="array" aca="1" ref="AJ53" ca="1">IF(AJ$21&lt;Standard_Year,'No STDs Case Rev &amp; Cost'!AJ53,
OFFSET(MSP!$C$1,
MATCH(OFFSET($C52,((MATCH($C52,EL_List,0)-1)*-10)-1,0),MSP!$C:$C,0)+MATCH($C52,EL_List,0)-1,
MATCH(OFFSET($C52,((MATCH($C52,EL_List,0)-1)*-10)-3,0),MSP!$D$5:$N$5,0)+1)
*INDEX(Learning!$E$6:$S$41,(MATCH(AJ$21,Dates,0)),(MATCH($C$21,Learning!$E$4:$S$4,0)+MATCH($C$52,Learning!$E$5:$S$5,0)-1)))</f>
        <v>50.677935000000005</v>
      </c>
      <c r="AK53" s="778" cm="1">
        <f t="array" aca="1" ref="AK53" ca="1">IF(AK$21&lt;Standard_Year,'No STDs Case Rev &amp; Cost'!AK53,
OFFSET(MSP!$C$1,
MATCH(OFFSET($C52,((MATCH($C52,EL_List,0)-1)*-10)-1,0),MSP!$C:$C,0)+MATCH($C52,EL_List,0)-1,
MATCH(OFFSET($C52,((MATCH($C52,EL_List,0)-1)*-10)-3,0),MSP!$D$5:$N$5,0)+1)
*INDEX(Learning!$E$6:$S$41,(MATCH(AK$21,Dates,0)),(MATCH($C$21,Learning!$E$4:$S$4,0)+MATCH($C$52,Learning!$E$5:$S$5,0)-1)))</f>
        <v>50.450169000000002</v>
      </c>
      <c r="AL53" s="778" cm="1">
        <f t="array" aca="1" ref="AL53" ca="1">IF(AL$21&lt;Standard_Year,'No STDs Case Rev &amp; Cost'!AL53,
OFFSET(MSP!$C$1,
MATCH(OFFSET($C52,((MATCH($C52,EL_List,0)-1)*-10)-1,0),MSP!$C:$C,0)+MATCH($C52,EL_List,0)-1,
MATCH(OFFSET($C52,((MATCH($C52,EL_List,0)-1)*-10)-3,0),MSP!$D$5:$N$5,0)+1)
*INDEX(Learning!$E$6:$S$41,(MATCH(AL$21,Dates,0)),(MATCH($C$21,Learning!$E$4:$S$4,0)+MATCH($C$52,Learning!$E$5:$S$5,0)-1)))</f>
        <v>50.279344500000008</v>
      </c>
      <c r="AM53" s="778" cm="1">
        <f t="array" aca="1" ref="AM53" ca="1">IF(AM$21&lt;Standard_Year,'No STDs Case Rev &amp; Cost'!AM53,
OFFSET(MSP!$C$1,
MATCH(OFFSET($C52,((MATCH($C52,EL_List,0)-1)*-10)-1,0),MSP!$C:$C,0)+MATCH($C52,EL_List,0)-1,
MATCH(OFFSET($C52,((MATCH($C52,EL_List,0)-1)*-10)-3,0),MSP!$D$5:$N$5,0)+1)
*INDEX(Learning!$E$6:$S$41,(MATCH(AM$21,Dates,0)),(MATCH($C$21,Learning!$E$4:$S$4,0)+MATCH($C$52,Learning!$E$5:$S$5,0)-1)))</f>
        <v>50.051578500000005</v>
      </c>
      <c r="AN53" s="778" cm="1">
        <f t="array" aca="1" ref="AN53" ca="1">IF(AN$21&lt;Standard_Year,'No STDs Case Rev &amp; Cost'!AN53,
OFFSET(MSP!$C$1,
MATCH(OFFSET($C52,((MATCH($C52,EL_List,0)-1)*-10)-1,0),MSP!$C:$C,0)+MATCH($C52,EL_List,0)-1,
MATCH(OFFSET($C52,((MATCH($C52,EL_List,0)-1)*-10)-3,0),MSP!$D$5:$N$5,0)+1)
*INDEX(Learning!$E$6:$S$41,(MATCH(AN$21,Dates,0)),(MATCH($C$21,Learning!$E$4:$S$4,0)+MATCH($C$52,Learning!$E$5:$S$5,0)-1)))</f>
        <v>49.878072965985339</v>
      </c>
      <c r="AO53" s="436"/>
      <c r="AP53" s="21"/>
    </row>
    <row r="54" spans="2:42" ht="15" customHeight="1" x14ac:dyDescent="0.35">
      <c r="B54" s="429"/>
      <c r="C54" s="777" t="s">
        <v>78</v>
      </c>
      <c r="D54" s="776"/>
      <c r="E54" s="530">
        <f ca="1">OFFSET(OFFSET(Shipments!$D$1,0,MATCH(E$7,Dates)),
MATCH(OFFSET($C52,((MATCH($C52,EL_List,0)-1)*-10)-3,0),Shipments!$C:$C,0)+
MATCH(OFFSET($C52,((MATCH($C52,EL_List,0)-1)*-10)-1,0),Shipments!$D:$D,0)+
MATCH($C52,EL_List,0)-10,
MATCH(Shipments_Scenario_X,Shipments!$F$5:$AQ$5,0))</f>
        <v>0.1470179728948432</v>
      </c>
      <c r="F54" s="530">
        <f ca="1">OFFSET(OFFSET(Shipments!$D$1,0,MATCH(F$7,Dates)),
MATCH(OFFSET($C52,((MATCH($C52,EL_List,0)-1)*-10)-3,0),Shipments!$C:$C,0)+
MATCH(OFFSET($C52,((MATCH($C52,EL_List,0)-1)*-10)-1,0),Shipments!$D:$D,0)+
MATCH($C52,EL_List,0)-10,
MATCH(Shipments_Scenario_X,Shipments!$F$5:$AQ$5,0))</f>
        <v>0.15359240419847875</v>
      </c>
      <c r="G54" s="530">
        <f ca="1">OFFSET(OFFSET(Shipments!$D$1,0,MATCH(G$7,Dates)),
MATCH(OFFSET($C52,((MATCH($C52,EL_List,0)-1)*-10)-3,0),Shipments!$C:$C,0)+
MATCH(OFFSET($C52,((MATCH($C52,EL_List,0)-1)*-10)-1,0),Shipments!$D:$D,0)+
MATCH($C52,EL_List,0)-10,
MATCH(Shipments_Scenario_X,Shipments!$F$5:$AQ$5,0))</f>
        <v>0.15948381240507503</v>
      </c>
      <c r="H54" s="530">
        <f ca="1">OFFSET(OFFSET(Shipments!$D$1,0,MATCH(H$7,Dates)),
MATCH(OFFSET($C52,((MATCH($C52,EL_List,0)-1)*-10)-3,0),Shipments!$C:$C,0)+
MATCH(OFFSET($C52,((MATCH($C52,EL_List,0)-1)*-10)-1,0),Shipments!$D:$D,0)+
MATCH($C52,EL_List,0)-10,
MATCH(Shipments_Scenario_X,Shipments!$F$5:$AQ$5,0))</f>
        <v>0.16697365041974607</v>
      </c>
      <c r="I54" s="530">
        <f ca="1">OFFSET(OFFSET(Shipments!$D$1,0,MATCH(I$7,Dates)),
MATCH(OFFSET($C52,((MATCH($C52,EL_List,0)-1)*-10)-3,0),Shipments!$C:$C,0)+
MATCH(OFFSET($C52,((MATCH($C52,EL_List,0)-1)*-10)-1,0),Shipments!$D:$D,0)+
MATCH($C52,EL_List,0)-10,
MATCH(Shipments_Scenario_X,Shipments!$F$5:$AQ$5,0))</f>
        <v>0.17501046882051471</v>
      </c>
      <c r="J54" s="530">
        <f ca="1">OFFSET(OFFSET(Shipments!$D$1,0,MATCH(J$7,Dates)),
MATCH(OFFSET($C52,((MATCH($C52,EL_List,0)-1)*-10)-3,0),Shipments!$C:$C,0)+
MATCH(OFFSET($C52,((MATCH($C52,EL_List,0)-1)*-10)-1,0),Shipments!$D:$D,0)+
MATCH($C52,EL_List,0)-10,
MATCH(Shipments_Scenario_X,Shipments!$F$5:$AQ$5,0))</f>
        <v>0.18390473856501038</v>
      </c>
      <c r="K54" s="530">
        <f ca="1">OFFSET(OFFSET(Shipments!$D$1,0,MATCH(K$7,Dates)),
MATCH(OFFSET($C52,((MATCH($C52,EL_List,0)-1)*-10)-3,0),Shipments!$C:$C,0)+
MATCH(OFFSET($C52,((MATCH($C52,EL_List,0)-1)*-10)-1,0),Shipments!$D:$D,0)+
MATCH($C52,EL_List,0)-10,
MATCH(Shipments_Scenario_X,Shipments!$F$5:$AQ$5,0))</f>
        <v>0.19355184138362869</v>
      </c>
      <c r="L54" s="530">
        <f ca="1">OFFSET(OFFSET(Shipments!$D$1,0,MATCH(L$7,Dates)),
MATCH(OFFSET($C52,((MATCH($C52,EL_List,0)-1)*-10)-3,0),Shipments!$C:$C,0)+
MATCH(OFFSET($C52,((MATCH($C52,EL_List,0)-1)*-10)-1,0),Shipments!$D:$D,0)+
MATCH($C52,EL_List,0)-10,
MATCH(Shipments_Scenario_X,Shipments!$F$5:$AQ$5,0))</f>
        <v>0.20379475905247554</v>
      </c>
      <c r="M54" s="530">
        <f ca="1">OFFSET(OFFSET(Shipments!$D$1,0,MATCH(M$7,Dates)),
MATCH(OFFSET($C52,((MATCH($C52,EL_List,0)-1)*-10)-3,0),Shipments!$C:$C,0)+
MATCH(OFFSET($C52,((MATCH($C52,EL_List,0)-1)*-10)-1,0),Shipments!$D:$D,0)+
MATCH($C52,EL_List,0)-10,
MATCH(Shipments_Scenario_X,Shipments!$F$5:$AQ$5,0))</f>
        <v>0.21451095855761876</v>
      </c>
      <c r="N54" s="530">
        <f ca="1">OFFSET(OFFSET(Shipments!$D$1,0,MATCH(N$7,Dates)),
MATCH(OFFSET($C52,((MATCH($C52,EL_List,0)-1)*-10)-3,0),Shipments!$C:$C,0)+
MATCH(OFFSET($C52,((MATCH($C52,EL_List,0)-1)*-10)-1,0),Shipments!$D:$D,0)+
MATCH($C52,EL_List,0)-10,
MATCH(Shipments_Scenario_X,Shipments!$F$5:$AQ$5,0))</f>
        <v>0.22561880133364354</v>
      </c>
      <c r="O54" s="530">
        <f ca="1">OFFSET(OFFSET(Shipments!$D$1,0,MATCH(O$7,Dates)),
MATCH(OFFSET($C52,((MATCH($C52,EL_List,0)-1)*-10)-3,0),Shipments!$C:$C,0)+
MATCH(OFFSET($C52,((MATCH($C52,EL_List,0)-1)*-10)-1,0),Shipments!$D:$D,0)+
MATCH($C52,EL_List,0)-10,
MATCH(Shipments_Scenario_X,Shipments!$F$5:$AQ$5,0))</f>
        <v>0.23711349048083075</v>
      </c>
      <c r="P54" s="530">
        <f ca="1">OFFSET(OFFSET(Shipments!$D$1,0,MATCH(P$7,Dates)),
MATCH(OFFSET($C52,((MATCH($C52,EL_List,0)-1)*-10)-3,0),Shipments!$C:$C,0)+
MATCH(OFFSET($C52,((MATCH($C52,EL_List,0)-1)*-10)-1,0),Shipments!$D:$D,0)+
MATCH($C52,EL_List,0)-10,
MATCH(Shipments_Scenario_X,Shipments!$F$5:$AQ$5,0))</f>
        <v>0.24904425629245625</v>
      </c>
      <c r="Q54" s="530">
        <f ca="1">OFFSET(OFFSET(Shipments!$D$1,0,MATCH(Q$7,Dates)),
MATCH(OFFSET($C52,((MATCH($C52,EL_List,0)-1)*-10)-3,0),Shipments!$C:$C,0)+
MATCH(OFFSET($C52,((MATCH($C52,EL_List,0)-1)*-10)-1,0),Shipments!$D:$D,0)+
MATCH($C52,EL_List,0)-10,
MATCH(Shipments_Scenario_X,Shipments!$F$5:$AQ$5,0))</f>
        <v>0.26148631694079039</v>
      </c>
      <c r="R54" s="530">
        <f ca="1">OFFSET(OFFSET(Shipments!$D$1,0,MATCH(R$7,Dates)),
MATCH(OFFSET($C52,((MATCH($C52,EL_List,0)-1)*-10)-3,0),Shipments!$C:$C,0)+
MATCH(OFFSET($C52,((MATCH($C52,EL_List,0)-1)*-10)-1,0),Shipments!$D:$D,0)+
MATCH($C52,EL_List,0)-10,
MATCH(Shipments_Scenario_X,Shipments!$F$5:$AQ$5,0))</f>
        <v>0.27452747456356424</v>
      </c>
      <c r="S54" s="530">
        <f ca="1">OFFSET(OFFSET(Shipments!$D$1,0,MATCH(S$7,Dates)),
MATCH(OFFSET($C52,((MATCH($C52,EL_List,0)-1)*-10)-3,0),Shipments!$C:$C,0)+
MATCH(OFFSET($C52,((MATCH($C52,EL_List,0)-1)*-10)-1,0),Shipments!$D:$D,0)+
MATCH($C52,EL_List,0)-10,
MATCH(Shipments_Scenario_X,Shipments!$F$5:$AQ$5,0))</f>
        <v>0.28824151978128176</v>
      </c>
      <c r="T54" s="530">
        <f ca="1">OFFSET(OFFSET(Shipments!$D$1,0,MATCH(T$7,Dates)),
MATCH(OFFSET($C52,((MATCH($C52,EL_List,0)-1)*-10)-3,0),Shipments!$C:$C,0)+
MATCH(OFFSET($C52,((MATCH($C52,EL_List,0)-1)*-10)-1,0),Shipments!$D:$D,0)+
MATCH($C52,EL_List,0)-10,
MATCH(Shipments_Scenario_X,Shipments!$F$5:$AQ$5,0))</f>
        <v>0.30267514027071213</v>
      </c>
      <c r="U54" s="530">
        <f ca="1">OFFSET(OFFSET(Shipments!$D$1,0,MATCH(U$7,Dates)),
MATCH(OFFSET($C52,((MATCH($C52,EL_List,0)-1)*-10)-3,0),Shipments!$C:$C,0)+
MATCH(OFFSET($C52,((MATCH($C52,EL_List,0)-1)*-10)-1,0),Shipments!$D:$D,0)+
MATCH($C52,EL_List,0)-10,
MATCH(Shipments_Scenario_X,Shipments!$F$5:$AQ$5,0))</f>
        <v>0.31788022507667402</v>
      </c>
      <c r="V54" s="530">
        <f ca="1">OFFSET(OFFSET(Shipments!$D$1,0,MATCH(V$7,Dates)),
MATCH(OFFSET($C52,((MATCH($C52,EL_List,0)-1)*-10)-3,0),Shipments!$C:$C,0)+
MATCH(OFFSET($C52,((MATCH($C52,EL_List,0)-1)*-10)-1,0),Shipments!$D:$D,0)+
MATCH($C52,EL_List,0)-10,
MATCH(Shipments_Scenario_X,Shipments!$F$5:$AQ$5,0))</f>
        <v>0.33382630371524991</v>
      </c>
      <c r="W54" s="530">
        <f ca="1">OFFSET(OFFSET(Shipments!$D$1,0,MATCH(W$7,Dates)),
MATCH(OFFSET($C52,((MATCH($C52,EL_List,0)-1)*-10)-3,0),Shipments!$C:$C,0)+
MATCH(OFFSET($C52,((MATCH($C52,EL_List,0)-1)*-10)-1,0),Shipments!$D:$D,0)+
MATCH($C52,EL_List,0)-10,
MATCH(Shipments_Scenario_X,Shipments!$F$5:$AQ$5,0))</f>
        <v>0.35056183402214924</v>
      </c>
      <c r="X54" s="530">
        <f ca="1">OFFSET(OFFSET(Shipments!$D$1,0,MATCH(X$7,Dates)),
MATCH(OFFSET($C52,((MATCH($C52,EL_List,0)-1)*-10)-3,0),Shipments!$C:$C,0)+
MATCH(OFFSET($C52,((MATCH($C52,EL_List,0)-1)*-10)-1,0),Shipments!$D:$D,0)+
MATCH($C52,EL_List,0)-10,
MATCH(Shipments_Scenario_X,Shipments!$F$5:$AQ$5,0))</f>
        <v>0.36810702188828293</v>
      </c>
      <c r="Y54" s="530">
        <f ca="1">OFFSET(OFFSET(Shipments!$D$1,0,MATCH(Y$7,Dates)),
MATCH(OFFSET($C52,((MATCH($C52,EL_List,0)-1)*-10)-3,0),Shipments!$C:$C,0)+
MATCH(OFFSET($C52,((MATCH($C52,EL_List,0)-1)*-10)-1,0),Shipments!$D:$D,0)+
MATCH($C52,EL_List,0)-10,
MATCH(Shipments_Scenario_X,Shipments!$F$5:$AQ$5,0))</f>
        <v>0.38649175275064573</v>
      </c>
      <c r="Z54" s="530">
        <f ca="1">OFFSET(OFFSET(Shipments!$D$1,0,MATCH(Z$7,Dates)),
MATCH(OFFSET($C52,((MATCH($C52,EL_List,0)-1)*-10)-3,0),Shipments!$C:$C,0)+
MATCH(OFFSET($C52,((MATCH($C52,EL_List,0)-1)*-10)-1,0),Shipments!$D:$D,0)+
MATCH($C52,EL_List,0)-10,
MATCH(Shipments_Scenario_X,Shipments!$F$5:$AQ$5,0))</f>
        <v>0.40575609433352255</v>
      </c>
      <c r="AA54" s="530">
        <f ca="1">OFFSET(OFFSET(Shipments!$D$1,0,MATCH(AA$7,Dates)),
MATCH(OFFSET($C52,((MATCH($C52,EL_List,0)-1)*-10)-3,0),Shipments!$C:$C,0)+
MATCH(OFFSET($C52,((MATCH($C52,EL_List,0)-1)*-10)-1,0),Shipments!$D:$D,0)+
MATCH($C52,EL_List,0)-10,
MATCH(Shipments_Scenario_X,Shipments!$F$5:$AQ$5,0))</f>
        <v>0.4259462651808219</v>
      </c>
      <c r="AB54" s="530">
        <f ca="1">OFFSET(OFFSET(Shipments!$D$1,0,MATCH(AB$7,Dates)),
MATCH(OFFSET($C52,((MATCH($C52,EL_List,0)-1)*-10)-3,0),Shipments!$C:$C,0)+
MATCH(OFFSET($C52,((MATCH($C52,EL_List,0)-1)*-10)-1,0),Shipments!$D:$D,0)+
MATCH($C52,EL_List,0)-10,
MATCH(Shipments_Scenario_X,Shipments!$F$5:$AQ$5,0))</f>
        <v>0.44711524741041686</v>
      </c>
      <c r="AC54" s="530">
        <f ca="1">OFFSET(OFFSET(Shipments!$D$1,0,MATCH(AC$7,Dates)),
MATCH(OFFSET($C52,((MATCH($C52,EL_List,0)-1)*-10)-3,0),Shipments!$C:$C,0)+
MATCH(OFFSET($C52,((MATCH($C52,EL_List,0)-1)*-10)-1,0),Shipments!$D:$D,0)+
MATCH($C52,EL_List,0)-10,
MATCH(Shipments_Scenario_X,Shipments!$F$5:$AQ$5,0))</f>
        <v>0.46931655912517156</v>
      </c>
      <c r="AD54" s="530">
        <f ca="1">OFFSET(OFFSET(Shipments!$D$1,0,MATCH(AD$7,Dates)),
MATCH(OFFSET($C52,((MATCH($C52,EL_List,0)-1)*-10)-3,0),Shipments!$C:$C,0)+
MATCH(OFFSET($C52,((MATCH($C52,EL_List,0)-1)*-10)-1,0),Shipments!$D:$D,0)+
MATCH($C52,EL_List,0)-10,
MATCH(Shipments_Scenario_X,Shipments!$F$5:$AQ$5,0))</f>
        <v>0.49260401746884147</v>
      </c>
      <c r="AE54" s="530">
        <f ca="1">OFFSET(OFFSET(Shipments!$D$1,0,MATCH(AE$7,Dates)),
MATCH(OFFSET($C52,((MATCH($C52,EL_List,0)-1)*-10)-3,0),Shipments!$C:$C,0)+
MATCH(OFFSET($C52,((MATCH($C52,EL_List,0)-1)*-10)-1,0),Shipments!$D:$D,0)+
MATCH($C52,EL_List,0)-10,
MATCH(Shipments_Scenario_X,Shipments!$F$5:$AQ$5,0))</f>
        <v>0.51703145127981276</v>
      </c>
      <c r="AF54" s="530">
        <f ca="1">OFFSET(OFFSET(Shipments!$D$1,0,MATCH(AF$7,Dates)),
MATCH(OFFSET($C52,((MATCH($C52,EL_List,0)-1)*-10)-3,0),Shipments!$C:$C,0)+
MATCH(OFFSET($C52,((MATCH($C52,EL_List,0)-1)*-10)-1,0),Shipments!$D:$D,0)+
MATCH($C52,EL_List,0)-10,
MATCH(Shipments_Scenario_X,Shipments!$F$5:$AQ$5,0))</f>
        <v>0.54265322199804866</v>
      </c>
      <c r="AG54" s="530">
        <f ca="1">OFFSET(OFFSET(Shipments!$D$1,0,MATCH(AG$7,Dates)),
MATCH(OFFSET($C52,((MATCH($C52,EL_List,0)-1)*-10)-3,0),Shipments!$C:$C,0)+
MATCH(OFFSET($C52,((MATCH($C52,EL_List,0)-1)*-10)-1,0),Shipments!$D:$D,0)+
MATCH($C52,EL_List,0)-10,
MATCH(Shipments_Scenario_X,Shipments!$F$5:$AQ$5,0))</f>
        <v>0.569525378044905</v>
      </c>
      <c r="AH54" s="530">
        <f ca="1">OFFSET(OFFSET(Shipments!$D$1,0,MATCH(AH$7,Dates)),
MATCH(OFFSET($C52,((MATCH($C52,EL_List,0)-1)*-10)-3,0),Shipments!$C:$C,0)+
MATCH(OFFSET($C52,((MATCH($C52,EL_List,0)-1)*-10)-1,0),Shipments!$D:$D,0)+
MATCH($C52,EL_List,0)-10,
MATCH(Shipments_Scenario_X,Shipments!$F$5:$AQ$5,0))</f>
        <v>0.59770669606280125</v>
      </c>
      <c r="AI54" s="530">
        <f ca="1">OFFSET(OFFSET(Shipments!$D$1,0,MATCH(AI$7,Dates)),
MATCH(OFFSET($C52,((MATCH($C52,EL_List,0)-1)*-10)-3,0),Shipments!$C:$C,0)+
MATCH(OFFSET($C52,((MATCH($C52,EL_List,0)-1)*-10)-1,0),Shipments!$D:$D,0)+
MATCH($C52,EL_List,0)-10,
MATCH(Shipments_Scenario_X,Shipments!$F$5:$AQ$5,0))</f>
        <v>0.62725946729796611</v>
      </c>
      <c r="AJ54" s="530">
        <f ca="1">OFFSET(OFFSET(Shipments!$D$1,0,MATCH(AJ$7,Dates)),
MATCH(OFFSET($C52,((MATCH($C52,EL_List,0)-1)*-10)-3,0),Shipments!$C:$C,0)+
MATCH(OFFSET($C52,((MATCH($C52,EL_List,0)-1)*-10)-1,0),Shipments!$D:$D,0)+
MATCH($C52,EL_List,0)-10,
MATCH(Shipments_Scenario_X,Shipments!$F$5:$AQ$5,0))</f>
        <v>0.65824992707111352</v>
      </c>
      <c r="AK54" s="530">
        <f ca="1">OFFSET(OFFSET(Shipments!$D$1,0,MATCH(AK$7,Dates)),
MATCH(OFFSET($C52,((MATCH($C52,EL_List,0)-1)*-10)-3,0),Shipments!$C:$C,0)+
MATCH(OFFSET($C52,((MATCH($C52,EL_List,0)-1)*-10)-1,0),Shipments!$D:$D,0)+
MATCH($C52,EL_List,0)-10,
MATCH(Shipments_Scenario_X,Shipments!$F$5:$AQ$5,0))</f>
        <v>0.69074829273533167</v>
      </c>
      <c r="AL54" s="530">
        <f ca="1">OFFSET(OFFSET(Shipments!$D$1,0,MATCH(AL$7,Dates)),
MATCH(OFFSET($C52,((MATCH($C52,EL_List,0)-1)*-10)-3,0),Shipments!$C:$C,0)+
MATCH(OFFSET($C52,((MATCH($C52,EL_List,0)-1)*-10)-1,0),Shipments!$D:$D,0)+
MATCH($C52,EL_List,0)-10,
MATCH(Shipments_Scenario_X,Shipments!$F$5:$AQ$5,0))</f>
        <v>0.72482863461193447</v>
      </c>
      <c r="AM54" s="530">
        <f ca="1">OFFSET(OFFSET(Shipments!$D$1,0,MATCH(AM$7,Dates)),
MATCH(OFFSET($C52,((MATCH($C52,EL_List,0)-1)*-10)-3,0),Shipments!$C:$C,0)+
MATCH(OFFSET($C52,((MATCH($C52,EL_List,0)-1)*-10)-1,0),Shipments!$D:$D,0)+
MATCH($C52,EL_List,0)-10,
MATCH(Shipments_Scenario_X,Shipments!$F$5:$AQ$5,0))</f>
        <v>0.76056879016526202</v>
      </c>
      <c r="AN54" s="530">
        <f ca="1">OFFSET(OFFSET(Shipments!$D$1,0,MATCH(AN$7,Dates)),
MATCH(OFFSET($C52,((MATCH($C52,EL_List,0)-1)*-10)-3,0),Shipments!$C:$C,0)+
MATCH(OFFSET($C52,((MATCH($C52,EL_List,0)-1)*-10)-1,0),Shipments!$D:$D,0)+
MATCH($C52,EL_List,0)-10,
MATCH(Shipments_Scenario_X,Shipments!$F$5:$AQ$5,0))</f>
        <v>0.7980500553904577</v>
      </c>
      <c r="AO54" s="436"/>
      <c r="AP54" s="21"/>
    </row>
    <row r="55" spans="2:42" ht="15" customHeight="1" x14ac:dyDescent="0.35">
      <c r="B55" s="429"/>
      <c r="C55" s="777" t="s">
        <v>79</v>
      </c>
      <c r="D55" s="776"/>
      <c r="E55" s="531">
        <f t="shared" ref="E55:AN55" ca="1" si="15">E53*E54</f>
        <v>8.7062808597353829</v>
      </c>
      <c r="F55" s="531">
        <f t="shared" ca="1" si="15"/>
        <v>9.0256469039450433</v>
      </c>
      <c r="G55" s="531">
        <f t="shared" ca="1" si="15"/>
        <v>9.3082786916651692</v>
      </c>
      <c r="H55" s="531">
        <f t="shared" ca="1" si="15"/>
        <v>9.6883769875681143</v>
      </c>
      <c r="I55" s="531">
        <f t="shared" ca="1" si="15"/>
        <v>10.08494291366746</v>
      </c>
      <c r="J55" s="531">
        <f t="shared" ca="1" si="15"/>
        <v>10.534642541025537</v>
      </c>
      <c r="K55" s="531">
        <f t="shared" ca="1" si="15"/>
        <v>11.021132176145894</v>
      </c>
      <c r="L55" s="531">
        <f t="shared" ca="1" si="15"/>
        <v>11.534752996951017</v>
      </c>
      <c r="M55" s="531">
        <f t="shared" ca="1" si="15"/>
        <v>12.080215413494855</v>
      </c>
      <c r="N55" s="531">
        <f t="shared" ca="1" si="15"/>
        <v>12.628672735545289</v>
      </c>
      <c r="O55" s="531">
        <f t="shared" ca="1" si="15"/>
        <v>13.204562666213512</v>
      </c>
      <c r="P55" s="531">
        <f t="shared" ca="1" si="15"/>
        <v>13.798067774645622</v>
      </c>
      <c r="Q55" s="531">
        <f t="shared" ca="1" si="15"/>
        <v>14.412961576369328</v>
      </c>
      <c r="R55" s="531">
        <f t="shared" ca="1" si="15"/>
        <v>15.05362196372533</v>
      </c>
      <c r="S55" s="531">
        <f t="shared" ca="1" si="15"/>
        <v>15.723562509683569</v>
      </c>
      <c r="T55" s="531">
        <f t="shared" ca="1" si="15"/>
        <v>16.441976780737416</v>
      </c>
      <c r="U55" s="531">
        <f t="shared" ca="1" si="15"/>
        <v>17.177447417557058</v>
      </c>
      <c r="V55" s="531">
        <f t="shared" ca="1" si="15"/>
        <v>17.963099096986799</v>
      </c>
      <c r="W55" s="531">
        <f t="shared" ca="1" si="15"/>
        <v>18.76382567165388</v>
      </c>
      <c r="X55" s="531">
        <f t="shared" ca="1" si="15"/>
        <v>19.619089763693157</v>
      </c>
      <c r="Y55" s="531">
        <f t="shared" ca="1" si="15"/>
        <v>20.510915569781837</v>
      </c>
      <c r="Z55" s="531">
        <f t="shared" ca="1" si="15"/>
        <v>21.440846679016833</v>
      </c>
      <c r="AA55" s="531">
        <f t="shared" ca="1" si="15"/>
        <v>22.410713795125446</v>
      </c>
      <c r="AB55" s="531">
        <f t="shared" ca="1" si="15"/>
        <v>23.422659831586635</v>
      </c>
      <c r="AC55" s="531">
        <f t="shared" ca="1" si="15"/>
        <v>24.47880738790618</v>
      </c>
      <c r="AD55" s="531">
        <f t="shared" ca="1" si="15"/>
        <v>25.58124583456026</v>
      </c>
      <c r="AE55" s="531">
        <f t="shared" ca="1" si="15"/>
        <v>26.732016115808914</v>
      </c>
      <c r="AF55" s="531">
        <f t="shared" ca="1" si="15"/>
        <v>27.933137550123309</v>
      </c>
      <c r="AG55" s="531">
        <f t="shared" ca="1" si="15"/>
        <v>29.21909601186351</v>
      </c>
      <c r="AH55" s="531">
        <f t="shared" ca="1" si="15"/>
        <v>30.528781302972419</v>
      </c>
      <c r="AI55" s="531">
        <f t="shared" ca="1" si="15"/>
        <v>31.895365796732399</v>
      </c>
      <c r="AJ55" s="531">
        <f t="shared" ca="1" si="15"/>
        <v>33.358747017864637</v>
      </c>
      <c r="AK55" s="531">
        <f t="shared" ca="1" si="15"/>
        <v>34.848368104958958</v>
      </c>
      <c r="AL55" s="531">
        <f t="shared" ca="1" si="15"/>
        <v>36.443908623118084</v>
      </c>
      <c r="AM55" s="531">
        <f t="shared" ref="AM55" ca="1" si="16">AM53*AM54</f>
        <v>38.06766850560664</v>
      </c>
      <c r="AN55" s="531">
        <f t="shared" ca="1" si="15"/>
        <v>39.805198893273889</v>
      </c>
      <c r="AO55" s="436"/>
      <c r="AP55" s="21"/>
    </row>
    <row r="56" spans="2:42" ht="15" customHeight="1" x14ac:dyDescent="0.35">
      <c r="B56" s="429"/>
      <c r="C56" s="777"/>
      <c r="D56" s="776"/>
      <c r="E56" s="776"/>
      <c r="F56" s="776"/>
      <c r="G56" s="776"/>
      <c r="H56" s="776"/>
      <c r="I56" s="776"/>
      <c r="J56" s="776"/>
      <c r="K56" s="776"/>
      <c r="L56" s="776"/>
      <c r="M56" s="776"/>
      <c r="N56" s="776"/>
      <c r="O56" s="776"/>
      <c r="P56" s="776"/>
      <c r="Q56" s="776"/>
      <c r="R56" s="776"/>
      <c r="S56" s="776"/>
      <c r="T56" s="776"/>
      <c r="U56" s="776"/>
      <c r="V56" s="776"/>
      <c r="W56" s="776"/>
      <c r="X56" s="776"/>
      <c r="Y56" s="776"/>
      <c r="Z56" s="776"/>
      <c r="AA56" s="776"/>
      <c r="AB56" s="776"/>
      <c r="AC56" s="776"/>
      <c r="AD56" s="776"/>
      <c r="AE56" s="776"/>
      <c r="AF56" s="776"/>
      <c r="AG56" s="776"/>
      <c r="AH56" s="776"/>
      <c r="AI56" s="776"/>
      <c r="AJ56" s="776"/>
      <c r="AK56" s="776"/>
      <c r="AL56" s="776"/>
      <c r="AM56" s="776"/>
      <c r="AN56" s="776"/>
      <c r="AO56" s="436"/>
      <c r="AP56" s="21"/>
    </row>
    <row r="57" spans="2:42" ht="15" customHeight="1" x14ac:dyDescent="0.35">
      <c r="B57" s="429"/>
      <c r="C57" s="780" t="s">
        <v>212</v>
      </c>
      <c r="D57" s="776"/>
      <c r="E57" s="532" cm="1">
        <f t="array" aca="1" ref="E57" ca="1">IF(E$21&lt;Standard_Year,'No STDs Case Rev &amp; Cost'!E57,
OFFSET(E57,-3,0)*
OFFSET(MSP!$D$1,
MATCH(OFFSET($C52,((MATCH($C52,EL_List,0)-1)*-10)-1,0),MSP!$C:$C,0)+MATCH($C52,EL_List,0)-1,0)
*INDEX(Learning!$E$6:$S$41,(MATCH(E$21,Dates,0)),(MATCH($C$21,Learning!$E$4:$S$4,0)+MATCH($C$52,Learning!$E$5:$S$5,0)-1)))</f>
        <v>5.4585318825547828</v>
      </c>
      <c r="F57" s="532" cm="1">
        <f t="array" aca="1" ref="F57" ca="1">IF(F$21&lt;Standard_Year,'No STDs Case Rev &amp; Cost'!F57,
OFFSET(F57,-3,0)*
OFFSET(MSP!$D$1,
MATCH(OFFSET($C52,((MATCH($C52,EL_List,0)-1)*-10)-1,0),MSP!$C:$C,0)+MATCH($C52,EL_List,0)-1,0)
*INDEX(Learning!$E$6:$S$41,(MATCH(F$21,Dates,0)),(MATCH($C$21,Learning!$E$4:$S$4,0)+MATCH($C$52,Learning!$E$5:$S$5,0)-1)))</f>
        <v>5.6587631595614862</v>
      </c>
      <c r="G57" s="532" cm="1">
        <f t="array" aca="1" ref="G57" ca="1">IF(G$21&lt;Standard_Year,'No STDs Case Rev &amp; Cost'!G57,
OFFSET(G57,-3,0)*
OFFSET(MSP!$D$1,
MATCH(OFFSET($C52,((MATCH($C52,EL_List,0)-1)*-10)-1,0),MSP!$C:$C,0)+MATCH($C52,EL_List,0)-1,0)
*INDEX(Learning!$E$6:$S$41,(MATCH(G$21,Dates,0)),(MATCH($C$21,Learning!$E$4:$S$4,0)+MATCH($C$52,Learning!$E$5:$S$5,0)-1)))</f>
        <v>5.8359633497630972</v>
      </c>
      <c r="H57" s="532" cm="1">
        <f t="array" aca="1" ref="H57" ca="1">IF(H$21&lt;Standard_Year,'No STDs Case Rev &amp; Cost'!H57,
OFFSET(H57,-3,0)*
OFFSET(MSP!$D$1,
MATCH(OFFSET($C52,((MATCH($C52,EL_List,0)-1)*-10)-1,0),MSP!$C:$C,0)+MATCH($C52,EL_List,0)-1,0)
*INDEX(Learning!$E$6:$S$41,(MATCH(H$21,Dates,0)),(MATCH($C$21,Learning!$E$4:$S$4,0)+MATCH($C$52,Learning!$E$5:$S$5,0)-1)))</f>
        <v>6.0742716125123914</v>
      </c>
      <c r="I57" s="532" cm="1">
        <f t="array" aca="1" ref="I57" ca="1">IF(I$21&lt;Standard_Year,'No STDs Case Rev &amp; Cost'!I57,
OFFSET(I57,-3,0)*
OFFSET(MSP!$D$1,
MATCH(OFFSET($C52,((MATCH($C52,EL_List,0)-1)*-10)-1,0),MSP!$C:$C,0)+MATCH($C52,EL_List,0)-1,0)
*INDEX(Learning!$E$6:$S$41,(MATCH(I$21,Dates,0)),(MATCH($C$21,Learning!$E$4:$S$4,0)+MATCH($C$52,Learning!$E$5:$S$5,0)-1)))</f>
        <v>6.3229045001968727</v>
      </c>
      <c r="J57" s="532" cm="1">
        <f t="array" aca="1" ref="J57" ca="1">IF(J$21&lt;Standard_Year,'No STDs Case Rev &amp; Cost'!J57,
OFFSET(J57,-3,0)*
OFFSET(MSP!$D$1,
MATCH(OFFSET($C52,((MATCH($C52,EL_List,0)-1)*-10)-1,0),MSP!$C:$C,0)+MATCH($C52,EL_List,0)-1,0)
*INDEX(Learning!$E$6:$S$41,(MATCH(J$21,Dates,0)),(MATCH($C$21,Learning!$E$4:$S$4,0)+MATCH($C$52,Learning!$E$5:$S$5,0)-1)))</f>
        <v>6.6048503497569886</v>
      </c>
      <c r="K57" s="532" cm="1">
        <f t="array" aca="1" ref="K57" ca="1">IF(K$21&lt;Standard_Year,'No STDs Case Rev &amp; Cost'!K57,
OFFSET(K57,-3,0)*
OFFSET(MSP!$D$1,
MATCH(OFFSET($C52,((MATCH($C52,EL_List,0)-1)*-10)-1,0),MSP!$C:$C,0)+MATCH($C52,EL_List,0)-1,0)
*INDEX(Learning!$E$6:$S$41,(MATCH(K$21,Dates,0)),(MATCH($C$21,Learning!$E$4:$S$4,0)+MATCH($C$52,Learning!$E$5:$S$5,0)-1)))</f>
        <v>6.9098622402093284</v>
      </c>
      <c r="L57" s="532" cm="1">
        <f t="array" aca="1" ref="L57" ca="1">IF(L$21&lt;Standard_Year,'No STDs Case Rev &amp; Cost'!L57,
OFFSET(L57,-3,0)*
OFFSET(MSP!$D$1,
MATCH(OFFSET($C52,((MATCH($C52,EL_List,0)-1)*-10)-1,0),MSP!$C:$C,0)+MATCH($C52,EL_List,0)-1,0)
*INDEX(Learning!$E$6:$S$41,(MATCH(L$21,Dates,0)),(MATCH($C$21,Learning!$E$4:$S$4,0)+MATCH($C$52,Learning!$E$5:$S$5,0)-1)))</f>
        <v>7.2318844298304823</v>
      </c>
      <c r="M57" s="532" cm="1">
        <f t="array" aca="1" ref="M57" ca="1">IF(M$21&lt;Standard_Year,'No STDs Case Rev &amp; Cost'!M57,
OFFSET(M57,-3,0)*
OFFSET(MSP!$D$1,
MATCH(OFFSET($C52,((MATCH($C52,EL_List,0)-1)*-10)-1,0),MSP!$C:$C,0)+MATCH($C52,EL_List,0)-1,0)
*INDEX(Learning!$E$6:$S$41,(MATCH(M$21,Dates,0)),(MATCH($C$21,Learning!$E$4:$S$4,0)+MATCH($C$52,Learning!$E$5:$S$5,0)-1)))</f>
        <v>7.5738701800501689</v>
      </c>
      <c r="N57" s="532" cm="1">
        <f t="array" aca="1" ref="N57" ca="1">IF(N$21&lt;Standard_Year,'No STDs Case Rev &amp; Cost'!N57,
OFFSET(N57,-3,0)*
OFFSET(MSP!$D$1,
MATCH(OFFSET($C52,((MATCH($C52,EL_List,0)-1)*-10)-1,0),MSP!$C:$C,0)+MATCH($C52,EL_List,0)-1,0)
*INDEX(Learning!$E$6:$S$41,(MATCH(N$21,Dates,0)),(MATCH($C$21,Learning!$E$4:$S$4,0)+MATCH($C$52,Learning!$E$5:$S$5,0)-1)))</f>
        <v>7.917733630685956</v>
      </c>
      <c r="O57" s="532" cm="1">
        <f t="array" aca="1" ref="O57" ca="1">IF(O$21&lt;Standard_Year,'No STDs Case Rev &amp; Cost'!O57,
OFFSET(O57,-3,0)*
OFFSET(MSP!$D$1,
MATCH(OFFSET($C52,((MATCH($C52,EL_List,0)-1)*-10)-1,0),MSP!$C:$C,0)+MATCH($C52,EL_List,0)-1,0)
*INDEX(Learning!$E$6:$S$41,(MATCH(O$21,Dates,0)),(MATCH($C$21,Learning!$E$4:$S$4,0)+MATCH($C$52,Learning!$E$5:$S$5,0)-1)))</f>
        <v>8.2787963620679417</v>
      </c>
      <c r="P57" s="532" cm="1">
        <f t="array" aca="1" ref="P57" ca="1">IF(P$21&lt;Standard_Year,'No STDs Case Rev &amp; Cost'!P57,
OFFSET(P57,-3,0)*
OFFSET(MSP!$D$1,
MATCH(OFFSET($C52,((MATCH($C52,EL_List,0)-1)*-10)-1,0),MSP!$C:$C,0)+MATCH($C52,EL_List,0)-1,0)
*INDEX(Learning!$E$6:$S$41,(MATCH(P$21,Dates,0)),(MATCH($C$21,Learning!$E$4:$S$4,0)+MATCH($C$52,Learning!$E$5:$S$5,0)-1)))</f>
        <v>8.6509031903484921</v>
      </c>
      <c r="Q57" s="532" cm="1">
        <f t="array" aca="1" ref="Q57" ca="1">IF(Q$21&lt;Standard_Year,'No STDs Case Rev &amp; Cost'!Q57,
OFFSET(Q57,-3,0)*
OFFSET(MSP!$D$1,
MATCH(OFFSET($C52,((MATCH($C52,EL_List,0)-1)*-10)-1,0),MSP!$C:$C,0)+MATCH($C52,EL_List,0)-1,0)
*INDEX(Learning!$E$6:$S$41,(MATCH(Q$21,Dates,0)),(MATCH($C$21,Learning!$E$4:$S$4,0)+MATCH($C$52,Learning!$E$5:$S$5,0)-1)))</f>
        <v>9.0364199770417475</v>
      </c>
      <c r="R57" s="532" cm="1">
        <f t="array" aca="1" ref="R57" ca="1">IF(R$21&lt;Standard_Year,'No STDs Case Rev &amp; Cost'!R57,
OFFSET(R57,-3,0)*
OFFSET(MSP!$D$1,
MATCH(OFFSET($C52,((MATCH($C52,EL_List,0)-1)*-10)-1,0),MSP!$C:$C,0)+MATCH($C52,EL_List,0)-1,0)
*INDEX(Learning!$E$6:$S$41,(MATCH(R$21,Dates,0)),(MATCH($C$21,Learning!$E$4:$S$4,0)+MATCH($C$52,Learning!$E$5:$S$5,0)-1)))</f>
        <v>9.4380915066665008</v>
      </c>
      <c r="S57" s="532" cm="1">
        <f t="array" aca="1" ref="S57" ca="1">IF(S$21&lt;Standard_Year,'No STDs Case Rev &amp; Cost'!S57,
OFFSET(S57,-3,0)*
OFFSET(MSP!$D$1,
MATCH(OFFSET($C52,((MATCH($C52,EL_List,0)-1)*-10)-1,0),MSP!$C:$C,0)+MATCH($C52,EL_List,0)-1,0)
*INDEX(Learning!$E$6:$S$41,(MATCH(S$21,Dates,0)),(MATCH($C$21,Learning!$E$4:$S$4,0)+MATCH($C$52,Learning!$E$5:$S$5,0)-1)))</f>
        <v>9.85812066589585</v>
      </c>
      <c r="T57" s="532" cm="1">
        <f t="array" aca="1" ref="T57" ca="1">IF(T$21&lt;Standard_Year,'No STDs Case Rev &amp; Cost'!T57,
OFFSET(T57,-3,0)*
OFFSET(MSP!$D$1,
MATCH(OFFSET($C52,((MATCH($C52,EL_List,0)-1)*-10)-1,0),MSP!$C:$C,0)+MATCH($C52,EL_List,0)-1,0)
*INDEX(Learning!$E$6:$S$41,(MATCH(T$21,Dates,0)),(MATCH($C$21,Learning!$E$4:$S$4,0)+MATCH($C$52,Learning!$E$5:$S$5,0)-1)))</f>
        <v>10.308541145846798</v>
      </c>
      <c r="U57" s="532" cm="1">
        <f t="array" aca="1" ref="U57" ca="1">IF(U$21&lt;Standard_Year,'No STDs Case Rev &amp; Cost'!U57,
OFFSET(U57,-3,0)*
OFFSET(MSP!$D$1,
MATCH(OFFSET($C52,((MATCH($C52,EL_List,0)-1)*-10)-1,0),MSP!$C:$C,0)+MATCH($C52,EL_List,0)-1,0)
*INDEX(Learning!$E$6:$S$41,(MATCH(U$21,Dates,0)),(MATCH($C$21,Learning!$E$4:$S$4,0)+MATCH($C$52,Learning!$E$5:$S$5,0)-1)))</f>
        <v>10.769655367227994</v>
      </c>
      <c r="V57" s="532" cm="1">
        <f t="array" aca="1" ref="V57" ca="1">IF(V$21&lt;Standard_Year,'No STDs Case Rev &amp; Cost'!V57,
OFFSET(V57,-3,0)*
OFFSET(MSP!$D$1,
MATCH(OFFSET($C52,((MATCH($C52,EL_List,0)-1)*-10)-1,0),MSP!$C:$C,0)+MATCH($C52,EL_List,0)-1,0)
*INDEX(Learning!$E$6:$S$41,(MATCH(V$21,Dates,0)),(MATCH($C$21,Learning!$E$4:$S$4,0)+MATCH($C$52,Learning!$E$5:$S$5,0)-1)))</f>
        <v>11.262231337362765</v>
      </c>
      <c r="W57" s="532" cm="1">
        <f t="array" aca="1" ref="W57" ca="1">IF(W$21&lt;Standard_Year,'No STDs Case Rev &amp; Cost'!W57,
OFFSET(W57,-3,0)*
OFFSET(MSP!$D$1,
MATCH(OFFSET($C52,((MATCH($C52,EL_List,0)-1)*-10)-1,0),MSP!$C:$C,0)+MATCH($C52,EL_List,0)-1,0)
*INDEX(Learning!$E$6:$S$41,(MATCH(W$21,Dates,0)),(MATCH($C$21,Learning!$E$4:$S$4,0)+MATCH($C$52,Learning!$E$5:$S$5,0)-1)))</f>
        <v>11.764258736598537</v>
      </c>
      <c r="X57" s="532" cm="1">
        <f t="array" aca="1" ref="X57" ca="1">IF(X$21&lt;Standard_Year,'No STDs Case Rev &amp; Cost'!X57,
OFFSET(X57,-3,0)*
OFFSET(MSP!$D$1,
MATCH(OFFSET($C52,((MATCH($C52,EL_List,0)-1)*-10)-1,0),MSP!$C:$C,0)+MATCH($C52,EL_List,0)-1,0)
*INDEX(Learning!$E$6:$S$41,(MATCH(X$21,Dates,0)),(MATCH($C$21,Learning!$E$4:$S$4,0)+MATCH($C$52,Learning!$E$5:$S$5,0)-1)))</f>
        <v>12.300479241038198</v>
      </c>
      <c r="Y57" s="532" cm="1">
        <f t="array" aca="1" ref="Y57" ca="1">IF(Y$21&lt;Standard_Year,'No STDs Case Rev &amp; Cost'!Y57,
OFFSET(Y57,-3,0)*
OFFSET(MSP!$D$1,
MATCH(OFFSET($C52,((MATCH($C52,EL_List,0)-1)*-10)-1,0),MSP!$C:$C,0)+MATCH($C52,EL_List,0)-1,0)
*INDEX(Learning!$E$6:$S$41,(MATCH(Y$21,Dates,0)),(MATCH($C$21,Learning!$E$4:$S$4,0)+MATCH($C$52,Learning!$E$5:$S$5,0)-1)))</f>
        <v>12.859622654241631</v>
      </c>
      <c r="Z57" s="532" cm="1">
        <f t="array" aca="1" ref="Z57" ca="1">IF(Z$21&lt;Standard_Year,'No STDs Case Rev &amp; Cost'!Z57,
OFFSET(Z57,-3,0)*
OFFSET(MSP!$D$1,
MATCH(OFFSET($C52,((MATCH($C52,EL_List,0)-1)*-10)-1,0),MSP!$C:$C,0)+MATCH($C52,EL_List,0)-1,0)
*INDEX(Learning!$E$6:$S$41,(MATCH(Z$21,Dates,0)),(MATCH($C$21,Learning!$E$4:$S$4,0)+MATCH($C$52,Learning!$E$5:$S$5,0)-1)))</f>
        <v>13.442656752281636</v>
      </c>
      <c r="AA57" s="532" cm="1">
        <f t="array" aca="1" ref="AA57" ca="1">IF(AA$21&lt;Standard_Year,'No STDs Case Rev &amp; Cost'!AA57,
OFFSET(AA57,-3,0)*
OFFSET(MSP!$D$1,
MATCH(OFFSET($C52,((MATCH($C52,EL_List,0)-1)*-10)-1,0),MSP!$C:$C,0)+MATCH($C52,EL_List,0)-1,0)
*INDEX(Learning!$E$6:$S$41,(MATCH(AA$21,Dates,0)),(MATCH($C$21,Learning!$E$4:$S$4,0)+MATCH($C$52,Learning!$E$5:$S$5,0)-1)))</f>
        <v>14.050729322005884</v>
      </c>
      <c r="AB57" s="532" cm="1">
        <f t="array" aca="1" ref="AB57" ca="1">IF(AB$21&lt;Standard_Year,'No STDs Case Rev &amp; Cost'!AB57,
OFFSET(AB57,-3,0)*
OFFSET(MSP!$D$1,
MATCH(OFFSET($C52,((MATCH($C52,EL_List,0)-1)*-10)-1,0),MSP!$C:$C,0)+MATCH($C52,EL_List,0)-1,0)
*INDEX(Learning!$E$6:$S$41,(MATCH(AB$21,Dates,0)),(MATCH($C$21,Learning!$E$4:$S$4,0)+MATCH($C$52,Learning!$E$5:$S$5,0)-1)))</f>
        <v>14.68518389479533</v>
      </c>
      <c r="AC57" s="532" cm="1">
        <f t="array" aca="1" ref="AC57" ca="1">IF(AC$21&lt;Standard_Year,'No STDs Case Rev &amp; Cost'!AC57,
OFFSET(AC57,-3,0)*
OFFSET(MSP!$D$1,
MATCH(OFFSET($C52,((MATCH($C52,EL_List,0)-1)*-10)-1,0),MSP!$C:$C,0)+MATCH($C52,EL_List,0)-1,0)
*INDEX(Learning!$E$6:$S$41,(MATCH(AC$21,Dates,0)),(MATCH($C$21,Learning!$E$4:$S$4,0)+MATCH($C$52,Learning!$E$5:$S$5,0)-1)))</f>
        <v>15.347351265884225</v>
      </c>
      <c r="AD57" s="532" cm="1">
        <f t="array" aca="1" ref="AD57" ca="1">IF(AD$21&lt;Standard_Year,'No STDs Case Rev &amp; Cost'!AD57,
OFFSET(AD57,-3,0)*
OFFSET(MSP!$D$1,
MATCH(OFFSET($C52,((MATCH($C52,EL_List,0)-1)*-10)-1,0),MSP!$C:$C,0)+MATCH($C52,EL_List,0)-1,0)
*INDEX(Learning!$E$6:$S$41,(MATCH(AD$21,Dates,0)),(MATCH($C$21,Learning!$E$4:$S$4,0)+MATCH($C$52,Learning!$E$5:$S$5,0)-1)))</f>
        <v>16.038541397073992</v>
      </c>
      <c r="AE57" s="532" cm="1">
        <f t="array" aca="1" ref="AE57" ca="1">IF(AE$21&lt;Standard_Year,'No STDs Case Rev &amp; Cost'!AE57,
OFFSET(AE57,-3,0)*
OFFSET(MSP!$D$1,
MATCH(OFFSET($C52,((MATCH($C52,EL_List,0)-1)*-10)-1,0),MSP!$C:$C,0)+MATCH($C52,EL_List,0)-1,0)
*INDEX(Learning!$E$6:$S$41,(MATCH(AE$21,Dates,0)),(MATCH($C$21,Learning!$E$4:$S$4,0)+MATCH($C$52,Learning!$E$5:$S$5,0)-1)))</f>
        <v>16.760033888631774</v>
      </c>
      <c r="AF57" s="532" cm="1">
        <f t="array" aca="1" ref="AF57" ca="1">IF(AF$21&lt;Standard_Year,'No STDs Case Rev &amp; Cost'!AF57,
OFFSET(AF57,-3,0)*
OFFSET(MSP!$D$1,
MATCH(OFFSET($C52,((MATCH($C52,EL_List,0)-1)*-10)-1,0),MSP!$C:$C,0)+MATCH($C52,EL_List,0)-1,0)
*INDEX(Learning!$E$6:$S$41,(MATCH(AF$21,Dates,0)),(MATCH($C$21,Learning!$E$4:$S$4,0)+MATCH($C$52,Learning!$E$5:$S$5,0)-1)))</f>
        <v>17.513094782215713</v>
      </c>
      <c r="AG57" s="532" cm="1">
        <f t="array" aca="1" ref="AG57" ca="1">IF(AG$21&lt;Standard_Year,'No STDs Case Rev &amp; Cost'!AG57,
OFFSET(AG57,-3,0)*
OFFSET(MSP!$D$1,
MATCH(OFFSET($C52,((MATCH($C52,EL_List,0)-1)*-10)-1,0),MSP!$C:$C,0)+MATCH($C52,EL_List,0)-1,0)
*INDEX(Learning!$E$6:$S$41,(MATCH(AG$21,Dates,0)),(MATCH($C$21,Learning!$E$4:$S$4,0)+MATCH($C$52,Learning!$E$5:$S$5,0)-1)))</f>
        <v>18.319345508115603</v>
      </c>
      <c r="AH57" s="532" cm="1">
        <f t="array" aca="1" ref="AH57" ca="1">IF(AH$21&lt;Standard_Year,'No STDs Case Rev &amp; Cost'!AH57,
OFFSET(AH57,-3,0)*
OFFSET(MSP!$D$1,
MATCH(OFFSET($C52,((MATCH($C52,EL_List,0)-1)*-10)-1,0),MSP!$C:$C,0)+MATCH($C52,EL_List,0)-1,0)
*INDEX(Learning!$E$6:$S$41,(MATCH(AH$21,Dates,0)),(MATCH($C$21,Learning!$E$4:$S$4,0)+MATCH($C$52,Learning!$E$5:$S$5,0)-1)))</f>
        <v>19.140472121511845</v>
      </c>
      <c r="AI57" s="532" cm="1">
        <f t="array" aca="1" ref="AI57" ca="1">IF(AI$21&lt;Standard_Year,'No STDs Case Rev &amp; Cost'!AI57,
OFFSET(AI57,-3,0)*
OFFSET(MSP!$D$1,
MATCH(OFFSET($C52,((MATCH($C52,EL_List,0)-1)*-10)-1,0),MSP!$C:$C,0)+MATCH($C52,EL_List,0)-1,0)
*INDEX(Learning!$E$6:$S$41,(MATCH(AI$21,Dates,0)),(MATCH($C$21,Learning!$E$4:$S$4,0)+MATCH($C$52,Learning!$E$5:$S$5,0)-1)))</f>
        <v>19.997272533716849</v>
      </c>
      <c r="AJ57" s="532" cm="1">
        <f t="array" aca="1" ref="AJ57" ca="1">IF(AJ$21&lt;Standard_Year,'No STDs Case Rev &amp; Cost'!AJ57,
OFFSET(AJ57,-3,0)*
OFFSET(MSP!$D$1,
MATCH(OFFSET($C52,((MATCH($C52,EL_List,0)-1)*-10)-1,0),MSP!$C:$C,0)+MATCH($C52,EL_List,0)-1,0)
*INDEX(Learning!$E$6:$S$41,(MATCH(AJ$21,Dates,0)),(MATCH($C$21,Learning!$E$4:$S$4,0)+MATCH($C$52,Learning!$E$5:$S$5,0)-1)))</f>
        <v>20.914761089458786</v>
      </c>
      <c r="AK57" s="532" cm="1">
        <f t="array" aca="1" ref="AK57" ca="1">IF(AK$21&lt;Standard_Year,'No STDs Case Rev &amp; Cost'!AK57,
OFFSET(AK57,-3,0)*
OFFSET(MSP!$D$1,
MATCH(OFFSET($C52,((MATCH($C52,EL_List,0)-1)*-10)-1,0),MSP!$C:$C,0)+MATCH($C52,EL_List,0)-1,0)
*INDEX(Learning!$E$6:$S$41,(MATCH(AK$21,Dates,0)),(MATCH($C$21,Learning!$E$4:$S$4,0)+MATCH($C$52,Learning!$E$5:$S$5,0)-1)))</f>
        <v>21.848701118252826</v>
      </c>
      <c r="AL57" s="532" cm="1">
        <f t="array" aca="1" ref="AL57" ca="1">IF(AL$21&lt;Standard_Year,'No STDs Case Rev &amp; Cost'!AL57,
OFFSET(AL57,-3,0)*
OFFSET(MSP!$D$1,
MATCH(OFFSET($C52,((MATCH($C52,EL_List,0)-1)*-10)-1,0),MSP!$C:$C,0)+MATCH($C52,EL_List,0)-1,0)
*INDEX(Learning!$E$6:$S$41,(MATCH(AL$21,Dates,0)),(MATCH($C$21,Learning!$E$4:$S$4,0)+MATCH($C$52,Learning!$E$5:$S$5,0)-1)))</f>
        <v>22.849048904936136</v>
      </c>
      <c r="AM57" s="532" cm="1">
        <f t="array" aca="1" ref="AM57" ca="1">IF(AM$21&lt;Standard_Year,'No STDs Case Rev &amp; Cost'!AM57,
OFFSET(AM57,-3,0)*
OFFSET(MSP!$D$1,
MATCH(OFFSET($C52,((MATCH($C52,EL_List,0)-1)*-10)-1,0),MSP!$C:$C,0)+MATCH($C52,EL_List,0)-1,0)
*INDEX(Learning!$E$6:$S$41,(MATCH(AM$21,Dates,0)),(MATCH($C$21,Learning!$E$4:$S$4,0)+MATCH($C$52,Learning!$E$5:$S$5,0)-1)))</f>
        <v>23.86708924052515</v>
      </c>
      <c r="AN57" s="532" cm="1">
        <f t="array" aca="1" ref="AN57" ca="1">IF(AN$21&lt;Standard_Year,'No STDs Case Rev &amp; Cost'!AN57,
OFFSET(AN57,-3,0)*
OFFSET(MSP!$D$1,
MATCH(OFFSET($C52,((MATCH($C52,EL_List,0)-1)*-10)-1,0),MSP!$C:$C,0)+MATCH($C52,EL_List,0)-1,0)
*INDEX(Learning!$E$6:$S$41,(MATCH(AN$21,Dates,0)),(MATCH($C$21,Learning!$E$4:$S$4,0)+MATCH($C$52,Learning!$E$5:$S$5,0)-1)))</f>
        <v>24.956459681335591</v>
      </c>
      <c r="AO57" s="436"/>
      <c r="AP57" s="21"/>
    </row>
    <row r="58" spans="2:42" ht="15" customHeight="1" x14ac:dyDescent="0.35">
      <c r="B58" s="429"/>
      <c r="C58" s="780" t="s">
        <v>213</v>
      </c>
      <c r="D58" s="776"/>
      <c r="E58" s="533" cm="1">
        <f t="array" aca="1" ref="E58" ca="1">IF(E$21&lt;Standard_Year,'No STDs Case Rev &amp; Cost'!E58,
OFFSET(E58,-4,0)*
OFFSET(MSP!$E$1,
MATCH(OFFSET($C52,((MATCH($C52,EL_List,0)-1)*-10)-1,0),MSP!$C:$C,0)+MATCH($C52,EL_List,0)-1,0)
*INDEX(Learning!$E$6:$S$41,(MATCH(E$21,Dates,0)),(MATCH($C$21,Learning!$E$4:$S$4,0)+MATCH($C$52,Learning!$E$5:$S$5,0)-1)))</f>
        <v>0.12434376771006389</v>
      </c>
      <c r="F58" s="533" cm="1">
        <f t="array" aca="1" ref="F58" ca="1">IF(F$21&lt;Standard_Year,'No STDs Case Rev &amp; Cost'!F58,
OFFSET(F58,-4,0)*
OFFSET(MSP!$E$1,
MATCH(OFFSET($C52,((MATCH($C52,EL_List,0)-1)*-10)-1,0),MSP!$C:$C,0)+MATCH($C52,EL_List,0)-1,0)
*INDEX(Learning!$E$6:$S$41,(MATCH(F$21,Dates,0)),(MATCH($C$21,Learning!$E$4:$S$4,0)+MATCH($C$52,Learning!$E$5:$S$5,0)-1)))</f>
        <v>0.12890497792777506</v>
      </c>
      <c r="G58" s="533" cm="1">
        <f t="array" aca="1" ref="G58" ca="1">IF(G$21&lt;Standard_Year,'No STDs Case Rev &amp; Cost'!G58,
OFFSET(G58,-4,0)*
OFFSET(MSP!$E$1,
MATCH(OFFSET($C52,((MATCH($C52,EL_List,0)-1)*-10)-1,0),MSP!$C:$C,0)+MATCH($C52,EL_List,0)-1,0)
*INDEX(Learning!$E$6:$S$41,(MATCH(G$21,Dates,0)),(MATCH($C$21,Learning!$E$4:$S$4,0)+MATCH($C$52,Learning!$E$5:$S$5,0)-1)))</f>
        <v>0.13294154669071059</v>
      </c>
      <c r="H58" s="533" cm="1">
        <f t="array" aca="1" ref="H58" ca="1">IF(H$21&lt;Standard_Year,'No STDs Case Rev &amp; Cost'!H58,
OFFSET(H58,-4,0)*
OFFSET(MSP!$E$1,
MATCH(OFFSET($C52,((MATCH($C52,EL_List,0)-1)*-10)-1,0),MSP!$C:$C,0)+MATCH($C52,EL_List,0)-1,0)
*INDEX(Learning!$E$6:$S$41,(MATCH(H$21,Dates,0)),(MATCH($C$21,Learning!$E$4:$S$4,0)+MATCH($C$52,Learning!$E$5:$S$5,0)-1)))</f>
        <v>0.13837013956224625</v>
      </c>
      <c r="I58" s="533" cm="1">
        <f t="array" aca="1" ref="I58" ca="1">IF(I$21&lt;Standard_Year,'No STDs Case Rev &amp; Cost'!I58,
OFFSET(I58,-4,0)*
OFFSET(MSP!$E$1,
MATCH(OFFSET($C52,((MATCH($C52,EL_List,0)-1)*-10)-1,0),MSP!$C:$C,0)+MATCH($C52,EL_List,0)-1,0)
*INDEX(Learning!$E$6:$S$41,(MATCH(I$21,Dates,0)),(MATCH($C$21,Learning!$E$4:$S$4,0)+MATCH($C$52,Learning!$E$5:$S$5,0)-1)))</f>
        <v>0.14403392438507151</v>
      </c>
      <c r="J58" s="533" cm="1">
        <f t="array" aca="1" ref="J58" ca="1">IF(J$21&lt;Standard_Year,'No STDs Case Rev &amp; Cost'!J58,
OFFSET(J58,-4,0)*
OFFSET(MSP!$E$1,
MATCH(OFFSET($C52,((MATCH($C52,EL_List,0)-1)*-10)-1,0),MSP!$C:$C,0)+MATCH($C52,EL_List,0)-1,0)
*INDEX(Learning!$E$6:$S$41,(MATCH(J$21,Dates,0)),(MATCH($C$21,Learning!$E$4:$S$4,0)+MATCH($C$52,Learning!$E$5:$S$5,0)-1)))</f>
        <v>0.15045656878448671</v>
      </c>
      <c r="K58" s="533" cm="1">
        <f t="array" aca="1" ref="K58" ca="1">IF(K$21&lt;Standard_Year,'No STDs Case Rev &amp; Cost'!K58,
OFFSET(K58,-4,0)*
OFFSET(MSP!$E$1,
MATCH(OFFSET($C52,((MATCH($C52,EL_List,0)-1)*-10)-1,0),MSP!$C:$C,0)+MATCH($C52,EL_List,0)-1,0)
*INDEX(Learning!$E$6:$S$41,(MATCH(K$21,Dates,0)),(MATCH($C$21,Learning!$E$4:$S$4,0)+MATCH($C$52,Learning!$E$5:$S$5,0)-1)))</f>
        <v>0.15740465088260983</v>
      </c>
      <c r="L58" s="533" cm="1">
        <f t="array" aca="1" ref="L58" ca="1">IF(L$21&lt;Standard_Year,'No STDs Case Rev &amp; Cost'!L58,
OFFSET(L58,-4,0)*
OFFSET(MSP!$E$1,
MATCH(OFFSET($C52,((MATCH($C52,EL_List,0)-1)*-10)-1,0),MSP!$C:$C,0)+MATCH($C52,EL_List,0)-1,0)
*INDEX(Learning!$E$6:$S$41,(MATCH(L$21,Dates,0)),(MATCH($C$21,Learning!$E$4:$S$4,0)+MATCH($C$52,Learning!$E$5:$S$5,0)-1)))</f>
        <v>0.1647402226453597</v>
      </c>
      <c r="M58" s="533" cm="1">
        <f t="array" aca="1" ref="M58" ca="1">IF(M$21&lt;Standard_Year,'No STDs Case Rev &amp; Cost'!M58,
OFFSET(M58,-4,0)*
OFFSET(MSP!$E$1,
MATCH(OFFSET($C52,((MATCH($C52,EL_List,0)-1)*-10)-1,0),MSP!$C:$C,0)+MATCH($C52,EL_List,0)-1,0)
*INDEX(Learning!$E$6:$S$41,(MATCH(M$21,Dates,0)),(MATCH($C$21,Learning!$E$4:$S$4,0)+MATCH($C$52,Learning!$E$5:$S$5,0)-1)))</f>
        <v>0.17253055850862961</v>
      </c>
      <c r="N58" s="533" cm="1">
        <f t="array" aca="1" ref="N58" ca="1">IF(N$21&lt;Standard_Year,'No STDs Case Rev &amp; Cost'!N58,
OFFSET(N58,-4,0)*
OFFSET(MSP!$E$1,
MATCH(OFFSET($C52,((MATCH($C52,EL_List,0)-1)*-10)-1,0),MSP!$C:$C,0)+MATCH($C52,EL_List,0)-1,0)
*INDEX(Learning!$E$6:$S$41,(MATCH(N$21,Dates,0)),(MATCH($C$21,Learning!$E$4:$S$4,0)+MATCH($C$52,Learning!$E$5:$S$5,0)-1)))</f>
        <v>0.1803636678409187</v>
      </c>
      <c r="O58" s="533" cm="1">
        <f t="array" aca="1" ref="O58" ca="1">IF(O$21&lt;Standard_Year,'No STDs Case Rev &amp; Cost'!O58,
OFFSET(O58,-4,0)*
OFFSET(MSP!$E$1,
MATCH(OFFSET($C52,((MATCH($C52,EL_List,0)-1)*-10)-1,0),MSP!$C:$C,0)+MATCH($C52,EL_List,0)-1,0)
*INDEX(Learning!$E$6:$S$41,(MATCH(O$21,Dates,0)),(MATCH($C$21,Learning!$E$4:$S$4,0)+MATCH($C$52,Learning!$E$5:$S$5,0)-1)))</f>
        <v>0.18858857178316882</v>
      </c>
      <c r="P58" s="533" cm="1">
        <f t="array" aca="1" ref="P58" ca="1">IF(P$21&lt;Standard_Year,'No STDs Case Rev &amp; Cost'!P58,
OFFSET(P58,-4,0)*
OFFSET(MSP!$E$1,
MATCH(OFFSET($C52,((MATCH($C52,EL_List,0)-1)*-10)-1,0),MSP!$C:$C,0)+MATCH($C52,EL_List,0)-1,0)
*INDEX(Learning!$E$6:$S$41,(MATCH(P$21,Dates,0)),(MATCH($C$21,Learning!$E$4:$S$4,0)+MATCH($C$52,Learning!$E$5:$S$5,0)-1)))</f>
        <v>0.19706505703864924</v>
      </c>
      <c r="Q58" s="533" cm="1">
        <f t="array" aca="1" ref="Q58" ca="1">IF(Q$21&lt;Standard_Year,'No STDs Case Rev &amp; Cost'!Q58,
OFFSET(Q58,-4,0)*
OFFSET(MSP!$E$1,
MATCH(OFFSET($C52,((MATCH($C52,EL_List,0)-1)*-10)-1,0),MSP!$C:$C,0)+MATCH($C52,EL_List,0)-1,0)
*INDEX(Learning!$E$6:$S$41,(MATCH(Q$21,Dates,0)),(MATCH($C$21,Learning!$E$4:$S$4,0)+MATCH($C$52,Learning!$E$5:$S$5,0)-1)))</f>
        <v>0.20584701724412491</v>
      </c>
      <c r="R58" s="533" cm="1">
        <f t="array" aca="1" ref="R58" ca="1">IF(R$21&lt;Standard_Year,'No STDs Case Rev &amp; Cost'!R58,
OFFSET(R58,-4,0)*
OFFSET(MSP!$E$1,
MATCH(OFFSET($C52,((MATCH($C52,EL_List,0)-1)*-10)-1,0),MSP!$C:$C,0)+MATCH($C52,EL_List,0)-1,0)
*INDEX(Learning!$E$6:$S$41,(MATCH(R$21,Dates,0)),(MATCH($C$21,Learning!$E$4:$S$4,0)+MATCH($C$52,Learning!$E$5:$S$5,0)-1)))</f>
        <v>0.21499697779213042</v>
      </c>
      <c r="S58" s="533" cm="1">
        <f t="array" aca="1" ref="S58" ca="1">IF(S$21&lt;Standard_Year,'No STDs Case Rev &amp; Cost'!S58,
OFFSET(S58,-4,0)*
OFFSET(MSP!$E$1,
MATCH(OFFSET($C52,((MATCH($C52,EL_List,0)-1)*-10)-1,0),MSP!$C:$C,0)+MATCH($C52,EL_List,0)-1,0)
*INDEX(Learning!$E$6:$S$41,(MATCH(S$21,Dates,0)),(MATCH($C$21,Learning!$E$4:$S$4,0)+MATCH($C$52,Learning!$E$5:$S$5,0)-1)))</f>
        <v>0.22456511979998159</v>
      </c>
      <c r="T58" s="533" cm="1">
        <f t="array" aca="1" ref="T58" ca="1">IF(T$21&lt;Standard_Year,'No STDs Case Rev &amp; Cost'!T58,
OFFSET(T58,-4,0)*
OFFSET(MSP!$E$1,
MATCH(OFFSET($C52,((MATCH($C52,EL_List,0)-1)*-10)-1,0),MSP!$C:$C,0)+MATCH($C52,EL_List,0)-1,0)
*INDEX(Learning!$E$6:$S$41,(MATCH(T$21,Dates,0)),(MATCH($C$21,Learning!$E$4:$S$4,0)+MATCH($C$52,Learning!$E$5:$S$5,0)-1)))</f>
        <v>0.23482556724920731</v>
      </c>
      <c r="U58" s="533" cm="1">
        <f t="array" aca="1" ref="U58" ca="1">IF(U$21&lt;Standard_Year,'No STDs Case Rev &amp; Cost'!U58,
OFFSET(U58,-4,0)*
OFFSET(MSP!$E$1,
MATCH(OFFSET($C52,((MATCH($C52,EL_List,0)-1)*-10)-1,0),MSP!$C:$C,0)+MATCH($C52,EL_List,0)-1,0)
*INDEX(Learning!$E$6:$S$41,(MATCH(U$21,Dates,0)),(MATCH($C$21,Learning!$E$4:$S$4,0)+MATCH($C$52,Learning!$E$5:$S$5,0)-1)))</f>
        <v>0.24532961501605752</v>
      </c>
      <c r="V58" s="533" cm="1">
        <f t="array" aca="1" ref="V58" ca="1">IF(V$21&lt;Standard_Year,'No STDs Case Rev &amp; Cost'!V58,
OFFSET(V58,-4,0)*
OFFSET(MSP!$E$1,
MATCH(OFFSET($C52,((MATCH($C52,EL_List,0)-1)*-10)-1,0),MSP!$C:$C,0)+MATCH($C52,EL_List,0)-1,0)
*INDEX(Learning!$E$6:$S$41,(MATCH(V$21,Dates,0)),(MATCH($C$21,Learning!$E$4:$S$4,0)+MATCH($C$52,Learning!$E$5:$S$5,0)-1)))</f>
        <v>0.25655035226332829</v>
      </c>
      <c r="W58" s="533" cm="1">
        <f t="array" aca="1" ref="W58" ca="1">IF(W$21&lt;Standard_Year,'No STDs Case Rev &amp; Cost'!W58,
OFFSET(W58,-4,0)*
OFFSET(MSP!$E$1,
MATCH(OFFSET($C52,((MATCH($C52,EL_List,0)-1)*-10)-1,0),MSP!$C:$C,0)+MATCH($C52,EL_List,0)-1,0)
*INDEX(Learning!$E$6:$S$41,(MATCH(W$21,Dates,0)),(MATCH($C$21,Learning!$E$4:$S$4,0)+MATCH($C$52,Learning!$E$5:$S$5,0)-1)))</f>
        <v>0.26798639031490851</v>
      </c>
      <c r="X58" s="533" cm="1">
        <f t="array" aca="1" ref="X58" ca="1">IF(X$21&lt;Standard_Year,'No STDs Case Rev &amp; Cost'!X58,
OFFSET(X58,-4,0)*
OFFSET(MSP!$E$1,
MATCH(OFFSET($C52,((MATCH($C52,EL_List,0)-1)*-10)-1,0),MSP!$C:$C,0)+MATCH($C52,EL_List,0)-1,0)
*INDEX(Learning!$E$6:$S$41,(MATCH(X$21,Dates,0)),(MATCH($C$21,Learning!$E$4:$S$4,0)+MATCH($C$52,Learning!$E$5:$S$5,0)-1)))</f>
        <v>0.28020133735195174</v>
      </c>
      <c r="Y58" s="533" cm="1">
        <f t="array" aca="1" ref="Y58" ca="1">IF(Y$21&lt;Standard_Year,'No STDs Case Rev &amp; Cost'!Y58,
OFFSET(Y58,-4,0)*
OFFSET(MSP!$E$1,
MATCH(OFFSET($C52,((MATCH($C52,EL_List,0)-1)*-10)-1,0),MSP!$C:$C,0)+MATCH($C52,EL_List,0)-1,0)
*INDEX(Learning!$E$6:$S$41,(MATCH(Y$21,Dates,0)),(MATCH($C$21,Learning!$E$4:$S$4,0)+MATCH($C$52,Learning!$E$5:$S$5,0)-1)))</f>
        <v>0.29293846157947195</v>
      </c>
      <c r="Z58" s="533" cm="1">
        <f t="array" aca="1" ref="Z58" ca="1">IF(Z$21&lt;Standard_Year,'No STDs Case Rev &amp; Cost'!Z58,
OFFSET(Z58,-4,0)*
OFFSET(MSP!$E$1,
MATCH(OFFSET($C52,((MATCH($C52,EL_List,0)-1)*-10)-1,0),MSP!$C:$C,0)+MATCH($C52,EL_List,0)-1,0)
*INDEX(Learning!$E$6:$S$41,(MATCH(Z$21,Dates,0)),(MATCH($C$21,Learning!$E$4:$S$4,0)+MATCH($C$52,Learning!$E$5:$S$5,0)-1)))</f>
        <v>0.30621980865475951</v>
      </c>
      <c r="AA58" s="533" cm="1">
        <f t="array" aca="1" ref="AA58" ca="1">IF(AA$21&lt;Standard_Year,'No STDs Case Rev &amp; Cost'!AA58,
OFFSET(AA58,-4,0)*
OFFSET(MSP!$E$1,
MATCH(OFFSET($C52,((MATCH($C52,EL_List,0)-1)*-10)-1,0),MSP!$C:$C,0)+MATCH($C52,EL_List,0)-1,0)
*INDEX(Learning!$E$6:$S$41,(MATCH(AA$21,Dates,0)),(MATCH($C$21,Learning!$E$4:$S$4,0)+MATCH($C$52,Learning!$E$5:$S$5,0)-1)))</f>
        <v>0.32007152482816864</v>
      </c>
      <c r="AB58" s="533" cm="1">
        <f t="array" aca="1" ref="AB58" ca="1">IF(AB$21&lt;Standard_Year,'No STDs Case Rev &amp; Cost'!AB58,
OFFSET(AB58,-4,0)*
OFFSET(MSP!$E$1,
MATCH(OFFSET($C52,((MATCH($C52,EL_List,0)-1)*-10)-1,0),MSP!$C:$C,0)+MATCH($C52,EL_List,0)-1,0)
*INDEX(Learning!$E$6:$S$41,(MATCH(AB$21,Dates,0)),(MATCH($C$21,Learning!$E$4:$S$4,0)+MATCH($C$52,Learning!$E$5:$S$5,0)-1)))</f>
        <v>0.33452421535355492</v>
      </c>
      <c r="AC58" s="533" cm="1">
        <f t="array" aca="1" ref="AC58" ca="1">IF(AC$21&lt;Standard_Year,'No STDs Case Rev &amp; Cost'!AC58,
OFFSET(AC58,-4,0)*
OFFSET(MSP!$E$1,
MATCH(OFFSET($C52,((MATCH($C52,EL_List,0)-1)*-10)-1,0),MSP!$C:$C,0)+MATCH($C52,EL_List,0)-1,0)
*INDEX(Learning!$E$6:$S$41,(MATCH(AC$21,Dates,0)),(MATCH($C$21,Learning!$E$4:$S$4,0)+MATCH($C$52,Learning!$E$5:$S$5,0)-1)))</f>
        <v>0.34960819535905879</v>
      </c>
      <c r="AD58" s="533" cm="1">
        <f t="array" aca="1" ref="AD58" ca="1">IF(AD$21&lt;Standard_Year,'No STDs Case Rev &amp; Cost'!AD58,
OFFSET(AD58,-4,0)*
OFFSET(MSP!$E$1,
MATCH(OFFSET($C52,((MATCH($C52,EL_List,0)-1)*-10)-1,0),MSP!$C:$C,0)+MATCH($C52,EL_List,0)-1,0)
*INDEX(Learning!$E$6:$S$41,(MATCH(AD$21,Dates,0)),(MATCH($C$21,Learning!$E$4:$S$4,0)+MATCH($C$52,Learning!$E$5:$S$5,0)-1)))</f>
        <v>0.36535330539328353</v>
      </c>
      <c r="AE58" s="533" cm="1">
        <f t="array" aca="1" ref="AE58" ca="1">IF(AE$21&lt;Standard_Year,'No STDs Case Rev &amp; Cost'!AE58,
OFFSET(AE58,-4,0)*
OFFSET(MSP!$E$1,
MATCH(OFFSET($C52,((MATCH($C52,EL_List,0)-1)*-10)-1,0),MSP!$C:$C,0)+MATCH($C52,EL_List,0)-1,0)
*INDEX(Learning!$E$6:$S$41,(MATCH(AE$21,Dates,0)),(MATCH($C$21,Learning!$E$4:$S$4,0)+MATCH($C$52,Learning!$E$5:$S$5,0)-1)))</f>
        <v>0.38178869437791785</v>
      </c>
      <c r="AF58" s="533" cm="1">
        <f t="array" aca="1" ref="AF58" ca="1">IF(AF$21&lt;Standard_Year,'No STDs Case Rev &amp; Cost'!AF58,
OFFSET(AF58,-4,0)*
OFFSET(MSP!$E$1,
MATCH(OFFSET($C52,((MATCH($C52,EL_List,0)-1)*-10)-1,0),MSP!$C:$C,0)+MATCH($C52,EL_List,0)-1,0)
*INDEX(Learning!$E$6:$S$41,(MATCH(AF$21,Dates,0)),(MATCH($C$21,Learning!$E$4:$S$4,0)+MATCH($C$52,Learning!$E$5:$S$5,0)-1)))</f>
        <v>0.39894320237348319</v>
      </c>
      <c r="AG58" s="533" cm="1">
        <f t="array" aca="1" ref="AG58" ca="1">IF(AG$21&lt;Standard_Year,'No STDs Case Rev &amp; Cost'!AG58,
OFFSET(AG58,-4,0)*
OFFSET(MSP!$E$1,
MATCH(OFFSET($C52,((MATCH($C52,EL_List,0)-1)*-10)-1,0),MSP!$C:$C,0)+MATCH($C52,EL_List,0)-1,0)
*INDEX(Learning!$E$6:$S$41,(MATCH(AG$21,Dates,0)),(MATCH($C$21,Learning!$E$4:$S$4,0)+MATCH($C$52,Learning!$E$5:$S$5,0)-1)))</f>
        <v>0.41730935926958346</v>
      </c>
      <c r="AH58" s="533" cm="1">
        <f t="array" aca="1" ref="AH58" ca="1">IF(AH$21&lt;Standard_Year,'No STDs Case Rev &amp; Cost'!AH58,
OFFSET(AH58,-4,0)*
OFFSET(MSP!$E$1,
MATCH(OFFSET($C52,((MATCH($C52,EL_List,0)-1)*-10)-1,0),MSP!$C:$C,0)+MATCH($C52,EL_List,0)-1,0)
*INDEX(Learning!$E$6:$S$41,(MATCH(AH$21,Dates,0)),(MATCH($C$21,Learning!$E$4:$S$4,0)+MATCH($C$52,Learning!$E$5:$S$5,0)-1)))</f>
        <v>0.43601438455358094</v>
      </c>
      <c r="AI58" s="533" cm="1">
        <f t="array" aca="1" ref="AI58" ca="1">IF(AI$21&lt;Standard_Year,'No STDs Case Rev &amp; Cost'!AI58,
OFFSET(AI58,-4,0)*
OFFSET(MSP!$E$1,
MATCH(OFFSET($C52,((MATCH($C52,EL_List,0)-1)*-10)-1,0),MSP!$C:$C,0)+MATCH($C52,EL_List,0)-1,0)
*INDEX(Learning!$E$6:$S$41,(MATCH(AI$21,Dates,0)),(MATCH($C$21,Learning!$E$4:$S$4,0)+MATCH($C$52,Learning!$E$5:$S$5,0)-1)))</f>
        <v>0.45553204859244018</v>
      </c>
      <c r="AJ58" s="533" cm="1">
        <f t="array" aca="1" ref="AJ58" ca="1">IF(AJ$21&lt;Standard_Year,'No STDs Case Rev &amp; Cost'!AJ58,
OFFSET(AJ58,-4,0)*
OFFSET(MSP!$E$1,
MATCH(OFFSET($C52,((MATCH($C52,EL_List,0)-1)*-10)-1,0),MSP!$C:$C,0)+MATCH($C52,EL_List,0)-1,0)
*INDEX(Learning!$E$6:$S$41,(MATCH(AJ$21,Dates,0)),(MATCH($C$21,Learning!$E$4:$S$4,0)+MATCH($C$52,Learning!$E$5:$S$5,0)-1)))</f>
        <v>0.47643217087924489</v>
      </c>
      <c r="AK58" s="533" cm="1">
        <f t="array" aca="1" ref="AK58" ca="1">IF(AK$21&lt;Standard_Year,'No STDs Case Rev &amp; Cost'!AK58,
OFFSET(AK58,-4,0)*
OFFSET(MSP!$E$1,
MATCH(OFFSET($C52,((MATCH($C52,EL_List,0)-1)*-10)-1,0),MSP!$C:$C,0)+MATCH($C52,EL_List,0)-1,0)
*INDEX(Learning!$E$6:$S$41,(MATCH(AK$21,Dates,0)),(MATCH($C$21,Learning!$E$4:$S$4,0)+MATCH($C$52,Learning!$E$5:$S$5,0)-1)))</f>
        <v>0.49770705293437062</v>
      </c>
      <c r="AL58" s="533" cm="1">
        <f t="array" aca="1" ref="AL58" ca="1">IF(AL$21&lt;Standard_Year,'No STDs Case Rev &amp; Cost'!AL58,
OFFSET(AL58,-4,0)*
OFFSET(MSP!$E$1,
MATCH(OFFSET($C52,((MATCH($C52,EL_List,0)-1)*-10)-1,0),MSP!$C:$C,0)+MATCH($C52,EL_List,0)-1,0)
*INDEX(Learning!$E$6:$S$41,(MATCH(AL$21,Dates,0)),(MATCH($C$21,Learning!$E$4:$S$4,0)+MATCH($C$52,Learning!$E$5:$S$5,0)-1)))</f>
        <v>0.52049468438783186</v>
      </c>
      <c r="AM58" s="533" cm="1">
        <f t="array" aca="1" ref="AM58" ca="1">IF(AM$21&lt;Standard_Year,'No STDs Case Rev &amp; Cost'!AM58,
OFFSET(AM58,-4,0)*
OFFSET(MSP!$E$1,
MATCH(OFFSET($C52,((MATCH($C52,EL_List,0)-1)*-10)-1,0),MSP!$C:$C,0)+MATCH($C52,EL_List,0)-1,0)
*INDEX(Learning!$E$6:$S$41,(MATCH(AM$21,Dates,0)),(MATCH($C$21,Learning!$E$4:$S$4,0)+MATCH($C$52,Learning!$E$5:$S$5,0)-1)))</f>
        <v>0.54368534695637383</v>
      </c>
      <c r="AN58" s="533" cm="1">
        <f t="array" aca="1" ref="AN58" ca="1">IF(AN$21&lt;Standard_Year,'No STDs Case Rev &amp; Cost'!AN58,
OFFSET(AN58,-4,0)*
OFFSET(MSP!$E$1,
MATCH(OFFSET($C52,((MATCH($C52,EL_List,0)-1)*-10)-1,0),MSP!$C:$C,0)+MATCH($C52,EL_List,0)-1,0)
*INDEX(Learning!$E$6:$S$41,(MATCH(AN$21,Dates,0)),(MATCH($C$21,Learning!$E$4:$S$4,0)+MATCH($C$52,Learning!$E$5:$S$5,0)-1)))</f>
        <v>0.56850088856294678</v>
      </c>
      <c r="AO58" s="436"/>
      <c r="AP58" s="21"/>
    </row>
    <row r="59" spans="2:42" ht="15" customHeight="1" x14ac:dyDescent="0.35">
      <c r="B59" s="429"/>
      <c r="C59" s="780" t="s">
        <v>214</v>
      </c>
      <c r="D59" s="776"/>
      <c r="E59" s="533" cm="1">
        <f t="array" aca="1" ref="E59" ca="1">IF(E$21&lt;Standard_Year,'No STDs Case Rev &amp; Cost'!E59,
OFFSET(E59,-5,0)*
OFFSET(MSP!$F$1,
MATCH(OFFSET($C52,((MATCH($C52,EL_List,0)-1)*-10)-1,0),MSP!$C:$C,0)+MATCH($C52,EL_List,0)-1,0)
*INDEX(Learning!$E$6:$S$41,(MATCH(E$21,Dates,0)),(MATCH($C$21,Learning!$E$4:$S$4,0)+MATCH($C$52,Learning!$E$5:$S$5,0)-1)))</f>
        <v>0.30471983009073844</v>
      </c>
      <c r="F59" s="533" cm="1">
        <f t="array" aca="1" ref="F59" ca="1">IF(F$21&lt;Standard_Year,'No STDs Case Rev &amp; Cost'!F59,
OFFSET(F59,-5,0)*
OFFSET(MSP!$F$1,
MATCH(OFFSET($C52,((MATCH($C52,EL_List,0)-1)*-10)-1,0),MSP!$C:$C,0)+MATCH($C52,EL_List,0)-1,0)
*INDEX(Learning!$E$6:$S$41,(MATCH(F$21,Dates,0)),(MATCH($C$21,Learning!$E$4:$S$4,0)+MATCH($C$52,Learning!$E$5:$S$5,0)-1)))</f>
        <v>0.31589764163807654</v>
      </c>
      <c r="G59" s="533" cm="1">
        <f t="array" aca="1" ref="G59" ca="1">IF(G$21&lt;Standard_Year,'No STDs Case Rev &amp; Cost'!G59,
OFFSET(G59,-5,0)*
OFFSET(MSP!$F$1,
MATCH(OFFSET($C52,((MATCH($C52,EL_List,0)-1)*-10)-1,0),MSP!$C:$C,0)+MATCH($C52,EL_List,0)-1,0)
*INDEX(Learning!$E$6:$S$41,(MATCH(G$21,Dates,0)),(MATCH($C$21,Learning!$E$4:$S$4,0)+MATCH($C$52,Learning!$E$5:$S$5,0)-1)))</f>
        <v>0.32578975420828094</v>
      </c>
      <c r="H59" s="533" cm="1">
        <f t="array" aca="1" ref="H59" ca="1">IF(H$21&lt;Standard_Year,'No STDs Case Rev &amp; Cost'!H59,
OFFSET(H59,-5,0)*
OFFSET(MSP!$F$1,
MATCH(OFFSET($C52,((MATCH($C52,EL_List,0)-1)*-10)-1,0),MSP!$C:$C,0)+MATCH($C52,EL_List,0)-1,0)
*INDEX(Learning!$E$6:$S$41,(MATCH(H$21,Dates,0)),(MATCH($C$21,Learning!$E$4:$S$4,0)+MATCH($C$52,Learning!$E$5:$S$5,0)-1)))</f>
        <v>0.33909319456488402</v>
      </c>
      <c r="I59" s="533" cm="1">
        <f t="array" aca="1" ref="I59" ca="1">IF(I$21&lt;Standard_Year,'No STDs Case Rev &amp; Cost'!I59,
OFFSET(I59,-5,0)*
OFFSET(MSP!$F$1,
MATCH(OFFSET($C52,((MATCH($C52,EL_List,0)-1)*-10)-1,0),MSP!$C:$C,0)+MATCH($C52,EL_List,0)-1,0)
*INDEX(Learning!$E$6:$S$41,(MATCH(I$21,Dates,0)),(MATCH($C$21,Learning!$E$4:$S$4,0)+MATCH($C$52,Learning!$E$5:$S$5,0)-1)))</f>
        <v>0.35297300197836112</v>
      </c>
      <c r="J59" s="533" cm="1">
        <f t="array" aca="1" ref="J59" ca="1">IF(J$21&lt;Standard_Year,'No STDs Case Rev &amp; Cost'!J59,
OFFSET(J59,-5,0)*
OFFSET(MSP!$F$1,
MATCH(OFFSET($C52,((MATCH($C52,EL_List,0)-1)*-10)-1,0),MSP!$C:$C,0)+MATCH($C52,EL_List,0)-1,0)
*INDEX(Learning!$E$6:$S$41,(MATCH(J$21,Dates,0)),(MATCH($C$21,Learning!$E$4:$S$4,0)+MATCH($C$52,Learning!$E$5:$S$5,0)-1)))</f>
        <v>0.36871248893589381</v>
      </c>
      <c r="K59" s="533" cm="1">
        <f t="array" aca="1" ref="K59" ca="1">IF(K$21&lt;Standard_Year,'No STDs Case Rev &amp; Cost'!K59,
OFFSET(K59,-5,0)*
OFFSET(MSP!$F$1,
MATCH(OFFSET($C52,((MATCH($C52,EL_List,0)-1)*-10)-1,0),MSP!$C:$C,0)+MATCH($C52,EL_List,0)-1,0)
*INDEX(Learning!$E$6:$S$41,(MATCH(K$21,Dates,0)),(MATCH($C$21,Learning!$E$4:$S$4,0)+MATCH($C$52,Learning!$E$5:$S$5,0)-1)))</f>
        <v>0.38573962616510632</v>
      </c>
      <c r="L59" s="533" cm="1">
        <f t="array" aca="1" ref="L59" ca="1">IF(L$21&lt;Standard_Year,'No STDs Case Rev &amp; Cost'!L59,
OFFSET(L59,-5,0)*
OFFSET(MSP!$F$1,
MATCH(OFFSET($C52,((MATCH($C52,EL_List,0)-1)*-10)-1,0),MSP!$C:$C,0)+MATCH($C52,EL_List,0)-1,0)
*INDEX(Learning!$E$6:$S$41,(MATCH(L$21,Dates,0)),(MATCH($C$21,Learning!$E$4:$S$4,0)+MATCH($C$52,Learning!$E$5:$S$5,0)-1)))</f>
        <v>0.40371635489328567</v>
      </c>
      <c r="M59" s="533" cm="1">
        <f t="array" aca="1" ref="M59" ca="1">IF(M$21&lt;Standard_Year,'No STDs Case Rev &amp; Cost'!M59,
OFFSET(M59,-5,0)*
OFFSET(MSP!$F$1,
MATCH(OFFSET($C52,((MATCH($C52,EL_List,0)-1)*-10)-1,0),MSP!$C:$C,0)+MATCH($C52,EL_List,0)-1,0)
*INDEX(Learning!$E$6:$S$41,(MATCH(M$21,Dates,0)),(MATCH($C$21,Learning!$E$4:$S$4,0)+MATCH($C$52,Learning!$E$5:$S$5,0)-1)))</f>
        <v>0.42280753947231997</v>
      </c>
      <c r="N59" s="533" cm="1">
        <f t="array" aca="1" ref="N59" ca="1">IF(N$21&lt;Standard_Year,'No STDs Case Rev &amp; Cost'!N59,
OFFSET(N59,-5,0)*
OFFSET(MSP!$F$1,
MATCH(OFFSET($C52,((MATCH($C52,EL_List,0)-1)*-10)-1,0),MSP!$C:$C,0)+MATCH($C52,EL_List,0)-1,0)
*INDEX(Learning!$E$6:$S$41,(MATCH(N$21,Dates,0)),(MATCH($C$21,Learning!$E$4:$S$4,0)+MATCH($C$52,Learning!$E$5:$S$5,0)-1)))</f>
        <v>0.44200354574408518</v>
      </c>
      <c r="O59" s="533" cm="1">
        <f t="array" aca="1" ref="O59" ca="1">IF(O$21&lt;Standard_Year,'No STDs Case Rev &amp; Cost'!O59,
OFFSET(O59,-5,0)*
OFFSET(MSP!$F$1,
MATCH(OFFSET($C52,((MATCH($C52,EL_List,0)-1)*-10)-1,0),MSP!$C:$C,0)+MATCH($C52,EL_List,0)-1,0)
*INDEX(Learning!$E$6:$S$41,(MATCH(O$21,Dates,0)),(MATCH($C$21,Learning!$E$4:$S$4,0)+MATCH($C$52,Learning!$E$5:$S$5,0)-1)))</f>
        <v>0.46215969331747297</v>
      </c>
      <c r="P59" s="533" cm="1">
        <f t="array" aca="1" ref="P59" ca="1">IF(P$21&lt;Standard_Year,'No STDs Case Rev &amp; Cost'!P59,
OFFSET(P59,-5,0)*
OFFSET(MSP!$F$1,
MATCH(OFFSET($C52,((MATCH($C52,EL_List,0)-1)*-10)-1,0),MSP!$C:$C,0)+MATCH($C52,EL_List,0)-1,0)
*INDEX(Learning!$E$6:$S$41,(MATCH(P$21,Dates,0)),(MATCH($C$21,Learning!$E$4:$S$4,0)+MATCH($C$52,Learning!$E$5:$S$5,0)-1)))</f>
        <v>0.48293237211259682</v>
      </c>
      <c r="Q59" s="533" cm="1">
        <f t="array" aca="1" ref="Q59" ca="1">IF(Q$21&lt;Standard_Year,'No STDs Case Rev &amp; Cost'!Q59,
OFFSET(Q59,-5,0)*
OFFSET(MSP!$F$1,
MATCH(OFFSET($C52,((MATCH($C52,EL_List,0)-1)*-10)-1,0),MSP!$C:$C,0)+MATCH($C52,EL_List,0)-1,0)
*INDEX(Learning!$E$6:$S$41,(MATCH(Q$21,Dates,0)),(MATCH($C$21,Learning!$E$4:$S$4,0)+MATCH($C$52,Learning!$E$5:$S$5,0)-1)))</f>
        <v>0.50445365517292651</v>
      </c>
      <c r="R59" s="533" cm="1">
        <f t="array" aca="1" ref="R59" ca="1">IF(R$21&lt;Standard_Year,'No STDs Case Rev &amp; Cost'!R59,
OFFSET(R59,-5,0)*
OFFSET(MSP!$F$1,
MATCH(OFFSET($C52,((MATCH($C52,EL_List,0)-1)*-10)-1,0),MSP!$C:$C,0)+MATCH($C52,EL_List,0)-1,0)
*INDEX(Learning!$E$6:$S$41,(MATCH(R$21,Dates,0)),(MATCH($C$21,Learning!$E$4:$S$4,0)+MATCH($C$52,Learning!$E$5:$S$5,0)-1)))</f>
        <v>0.52687676873038658</v>
      </c>
      <c r="S59" s="533" cm="1">
        <f t="array" aca="1" ref="S59" ca="1">IF(S$21&lt;Standard_Year,'No STDs Case Rev &amp; Cost'!S59,
OFFSET(S59,-5,0)*
OFFSET(MSP!$F$1,
MATCH(OFFSET($C52,((MATCH($C52,EL_List,0)-1)*-10)-1,0),MSP!$C:$C,0)+MATCH($C52,EL_List,0)-1,0)
*INDEX(Learning!$E$6:$S$41,(MATCH(S$21,Dates,0)),(MATCH($C$21,Learning!$E$4:$S$4,0)+MATCH($C$52,Learning!$E$5:$S$5,0)-1)))</f>
        <v>0.55032468783892508</v>
      </c>
      <c r="T59" s="533" cm="1">
        <f t="array" aca="1" ref="T59" ca="1">IF(T$21&lt;Standard_Year,'No STDs Case Rev &amp; Cost'!T59,
OFFSET(T59,-5,0)*
OFFSET(MSP!$F$1,
MATCH(OFFSET($C52,((MATCH($C52,EL_List,0)-1)*-10)-1,0),MSP!$C:$C,0)+MATCH($C52,EL_List,0)-1,0)
*INDEX(Learning!$E$6:$S$41,(MATCH(T$21,Dates,0)),(MATCH($C$21,Learning!$E$4:$S$4,0)+MATCH($C$52,Learning!$E$5:$S$5,0)-1)))</f>
        <v>0.57546918732580965</v>
      </c>
      <c r="U59" s="533" cm="1">
        <f t="array" aca="1" ref="U59" ca="1">IF(U$21&lt;Standard_Year,'No STDs Case Rev &amp; Cost'!U59,
OFFSET(U59,-5,0)*
OFFSET(MSP!$F$1,
MATCH(OFFSET($C52,((MATCH($C52,EL_List,0)-1)*-10)-1,0),MSP!$C:$C,0)+MATCH($C52,EL_List,0)-1,0)
*INDEX(Learning!$E$6:$S$41,(MATCH(U$21,Dates,0)),(MATCH($C$21,Learning!$E$4:$S$4,0)+MATCH($C$52,Learning!$E$5:$S$5,0)-1)))</f>
        <v>0.60121065961449716</v>
      </c>
      <c r="V59" s="533" cm="1">
        <f t="array" aca="1" ref="V59" ca="1">IF(V$21&lt;Standard_Year,'No STDs Case Rev &amp; Cost'!V59,
OFFSET(V59,-5,0)*
OFFSET(MSP!$F$1,
MATCH(OFFSET($C52,((MATCH($C52,EL_List,0)-1)*-10)-1,0),MSP!$C:$C,0)+MATCH($C52,EL_List,0)-1,0)
*INDEX(Learning!$E$6:$S$41,(MATCH(V$21,Dates,0)),(MATCH($C$21,Learning!$E$4:$S$4,0)+MATCH($C$52,Learning!$E$5:$S$5,0)-1)))</f>
        <v>0.62870846839453798</v>
      </c>
      <c r="W59" s="533" cm="1">
        <f t="array" aca="1" ref="W59" ca="1">IF(W$21&lt;Standard_Year,'No STDs Case Rev &amp; Cost'!W59,
OFFSET(W59,-5,0)*
OFFSET(MSP!$F$1,
MATCH(OFFSET($C52,((MATCH($C52,EL_List,0)-1)*-10)-1,0),MSP!$C:$C,0)+MATCH($C52,EL_List,0)-1,0)
*INDEX(Learning!$E$6:$S$41,(MATCH(W$21,Dates,0)),(MATCH($C$21,Learning!$E$4:$S$4,0)+MATCH($C$52,Learning!$E$5:$S$5,0)-1)))</f>
        <v>0.65673389850788588</v>
      </c>
      <c r="X59" s="533" cm="1">
        <f t="array" aca="1" ref="X59" ca="1">IF(X$21&lt;Standard_Year,'No STDs Case Rev &amp; Cost'!X59,
OFFSET(X59,-5,0)*
OFFSET(MSP!$F$1,
MATCH(OFFSET($C52,((MATCH($C52,EL_List,0)-1)*-10)-1,0),MSP!$C:$C,0)+MATCH($C52,EL_List,0)-1,0)
*INDEX(Learning!$E$6:$S$41,(MATCH(X$21,Dates,0)),(MATCH($C$21,Learning!$E$4:$S$4,0)+MATCH($C$52,Learning!$E$5:$S$5,0)-1)))</f>
        <v>0.68666814172926061</v>
      </c>
      <c r="Y59" s="533" cm="1">
        <f t="array" aca="1" ref="Y59" ca="1">IF(Y$21&lt;Standard_Year,'No STDs Case Rev &amp; Cost'!Y59,
OFFSET(Y59,-5,0)*
OFFSET(MSP!$F$1,
MATCH(OFFSET($C52,((MATCH($C52,EL_List,0)-1)*-10)-1,0),MSP!$C:$C,0)+MATCH($C52,EL_List,0)-1,0)
*INDEX(Learning!$E$6:$S$41,(MATCH(Y$21,Dates,0)),(MATCH($C$21,Learning!$E$4:$S$4,0)+MATCH($C$52,Learning!$E$5:$S$5,0)-1)))</f>
        <v>0.71788204494236441</v>
      </c>
      <c r="Z59" s="533" cm="1">
        <f t="array" aca="1" ref="Z59" ca="1">IF(Z$21&lt;Standard_Year,'No STDs Case Rev &amp; Cost'!Z59,
OFFSET(Z59,-5,0)*
OFFSET(MSP!$F$1,
MATCH(OFFSET($C52,((MATCH($C52,EL_List,0)-1)*-10)-1,0),MSP!$C:$C,0)+MATCH($C52,EL_List,0)-1,0)
*INDEX(Learning!$E$6:$S$41,(MATCH(Z$21,Dates,0)),(MATCH($C$21,Learning!$E$4:$S$4,0)+MATCH($C$52,Learning!$E$5:$S$5,0)-1)))</f>
        <v>0.75042963376558924</v>
      </c>
      <c r="AA59" s="533" cm="1">
        <f t="array" aca="1" ref="AA59" ca="1">IF(AA$21&lt;Standard_Year,'No STDs Case Rev &amp; Cost'!AA59,
OFFSET(AA59,-5,0)*
OFFSET(MSP!$F$1,
MATCH(OFFSET($C52,((MATCH($C52,EL_List,0)-1)*-10)-1,0),MSP!$C:$C,0)+MATCH($C52,EL_List,0)-1,0)
*INDEX(Learning!$E$6:$S$41,(MATCH(AA$21,Dates,0)),(MATCH($C$21,Learning!$E$4:$S$4,0)+MATCH($C$52,Learning!$E$5:$S$5,0)-1)))</f>
        <v>0.78437498282939067</v>
      </c>
      <c r="AB59" s="533" cm="1">
        <f t="array" aca="1" ref="AB59" ca="1">IF(AB$21&lt;Standard_Year,'No STDs Case Rev &amp; Cost'!AB59,
OFFSET(AB59,-5,0)*
OFFSET(MSP!$F$1,
MATCH(OFFSET($C52,((MATCH($C52,EL_List,0)-1)*-10)-1,0),MSP!$C:$C,0)+MATCH($C52,EL_List,0)-1,0)
*INDEX(Learning!$E$6:$S$41,(MATCH(AB$21,Dates,0)),(MATCH($C$21,Learning!$E$4:$S$4,0)+MATCH($C$52,Learning!$E$5:$S$5,0)-1)))</f>
        <v>0.81979309410553236</v>
      </c>
      <c r="AC59" s="533" cm="1">
        <f t="array" aca="1" ref="AC59" ca="1">IF(AC$21&lt;Standard_Year,'No STDs Case Rev &amp; Cost'!AC59,
OFFSET(AC59,-5,0)*
OFFSET(MSP!$F$1,
MATCH(OFFSET($C52,((MATCH($C52,EL_List,0)-1)*-10)-1,0),MSP!$C:$C,0)+MATCH($C52,EL_List,0)-1,0)
*INDEX(Learning!$E$6:$S$41,(MATCH(AC$21,Dates,0)),(MATCH($C$21,Learning!$E$4:$S$4,0)+MATCH($C$52,Learning!$E$5:$S$5,0)-1)))</f>
        <v>0.85675825857671639</v>
      </c>
      <c r="AD59" s="533" cm="1">
        <f t="array" aca="1" ref="AD59" ca="1">IF(AD$21&lt;Standard_Year,'No STDs Case Rev &amp; Cost'!AD59,
OFFSET(AD59,-5,0)*
OFFSET(MSP!$F$1,
MATCH(OFFSET($C52,((MATCH($C52,EL_List,0)-1)*-10)-1,0),MSP!$C:$C,0)+MATCH($C52,EL_List,0)-1,0)
*INDEX(Learning!$E$6:$S$41,(MATCH(AD$21,Dates,0)),(MATCH($C$21,Learning!$E$4:$S$4,0)+MATCH($C$52,Learning!$E$5:$S$5,0)-1)))</f>
        <v>0.89534360420960912</v>
      </c>
      <c r="AE59" s="533" cm="1">
        <f t="array" aca="1" ref="AE59" ca="1">IF(AE$21&lt;Standard_Year,'No STDs Case Rev &amp; Cost'!AE59,
OFFSET(AE59,-5,0)*
OFFSET(MSP!$F$1,
MATCH(OFFSET($C52,((MATCH($C52,EL_List,0)-1)*-10)-1,0),MSP!$C:$C,0)+MATCH($C52,EL_List,0)-1,0)
*INDEX(Learning!$E$6:$S$41,(MATCH(AE$21,Dates,0)),(MATCH($C$21,Learning!$E$4:$S$4,0)+MATCH($C$52,Learning!$E$5:$S$5,0)-1)))</f>
        <v>0.93562056405331195</v>
      </c>
      <c r="AF59" s="533" cm="1">
        <f t="array" aca="1" ref="AF59" ca="1">IF(AF$21&lt;Standard_Year,'No STDs Case Rev &amp; Cost'!AF59,
OFFSET(AF59,-5,0)*
OFFSET(MSP!$F$1,
MATCH(OFFSET($C52,((MATCH($C52,EL_List,0)-1)*-10)-1,0),MSP!$C:$C,0)+MATCH($C52,EL_List,0)-1,0)
*INDEX(Learning!$E$6:$S$41,(MATCH(AF$21,Dates,0)),(MATCH($C$21,Learning!$E$4:$S$4,0)+MATCH($C$52,Learning!$E$5:$S$5,0)-1)))</f>
        <v>0.97765981425431592</v>
      </c>
      <c r="AG59" s="533" cm="1">
        <f t="array" aca="1" ref="AG59" ca="1">IF(AG$21&lt;Standard_Year,'No STDs Case Rev &amp; Cost'!AG59,
OFFSET(AG59,-5,0)*
OFFSET(MSP!$F$1,
MATCH(OFFSET($C52,((MATCH($C52,EL_List,0)-1)*-10)-1,0),MSP!$C:$C,0)+MATCH($C52,EL_List,0)-1,0)
*INDEX(Learning!$E$6:$S$41,(MATCH(AG$21,Dates,0)),(MATCH($C$21,Learning!$E$4:$S$4,0)+MATCH($C$52,Learning!$E$5:$S$5,0)-1)))</f>
        <v>1.0226683604152229</v>
      </c>
      <c r="AH59" s="533" cm="1">
        <f t="array" aca="1" ref="AH59" ca="1">IF(AH$21&lt;Standard_Year,'No STDs Case Rev &amp; Cost'!AH59,
OFFSET(AH59,-5,0)*
OFFSET(MSP!$F$1,
MATCH(OFFSET($C52,((MATCH($C52,EL_List,0)-1)*-10)-1,0),MSP!$C:$C,0)+MATCH($C52,EL_List,0)-1,0)
*INDEX(Learning!$E$6:$S$41,(MATCH(AH$21,Dates,0)),(MATCH($C$21,Learning!$E$4:$S$4,0)+MATCH($C$52,Learning!$E$5:$S$5,0)-1)))</f>
        <v>1.0685073456040348</v>
      </c>
      <c r="AI59" s="533" cm="1">
        <f t="array" aca="1" ref="AI59" ca="1">IF(AI$21&lt;Standard_Year,'No STDs Case Rev &amp; Cost'!AI59,
OFFSET(AI59,-5,0)*
OFFSET(MSP!$F$1,
MATCH(OFFSET($C52,((MATCH($C52,EL_List,0)-1)*-10)-1,0),MSP!$C:$C,0)+MATCH($C52,EL_List,0)-1,0)
*INDEX(Learning!$E$6:$S$41,(MATCH(AI$21,Dates,0)),(MATCH($C$21,Learning!$E$4:$S$4,0)+MATCH($C$52,Learning!$E$5:$S$5,0)-1)))</f>
        <v>1.1163378028856339</v>
      </c>
      <c r="AJ59" s="533" cm="1">
        <f t="array" aca="1" ref="AJ59" ca="1">IF(AJ$21&lt;Standard_Year,'No STDs Case Rev &amp; Cost'!AJ59,
OFFSET(AJ59,-5,0)*
OFFSET(MSP!$F$1,
MATCH(OFFSET($C52,((MATCH($C52,EL_List,0)-1)*-10)-1,0),MSP!$C:$C,0)+MATCH($C52,EL_List,0)-1,0)
*INDEX(Learning!$E$6:$S$41,(MATCH(AJ$21,Dates,0)),(MATCH($C$21,Learning!$E$4:$S$4,0)+MATCH($C$52,Learning!$E$5:$S$5,0)-1)))</f>
        <v>1.1675561456252623</v>
      </c>
      <c r="AK59" s="533" cm="1">
        <f t="array" aca="1" ref="AK59" ca="1">IF(AK$21&lt;Standard_Year,'No STDs Case Rev &amp; Cost'!AK59,
OFFSET(AK59,-5,0)*
OFFSET(MSP!$F$1,
MATCH(OFFSET($C52,((MATCH($C52,EL_List,0)-1)*-10)-1,0),MSP!$C:$C,0)+MATCH($C52,EL_List,0)-1,0)
*INDEX(Learning!$E$6:$S$41,(MATCH(AK$21,Dates,0)),(MATCH($C$21,Learning!$E$4:$S$4,0)+MATCH($C$52,Learning!$E$5:$S$5,0)-1)))</f>
        <v>1.2196928836735637</v>
      </c>
      <c r="AL59" s="533" cm="1">
        <f t="array" aca="1" ref="AL59" ca="1">IF(AL$21&lt;Standard_Year,'No STDs Case Rev &amp; Cost'!AL59,
OFFSET(AL59,-5,0)*
OFFSET(MSP!$F$1,
MATCH(OFFSET($C52,((MATCH($C52,EL_List,0)-1)*-10)-1,0),MSP!$C:$C,0)+MATCH($C52,EL_List,0)-1,0)
*INDEX(Learning!$E$6:$S$41,(MATCH(AL$21,Dates,0)),(MATCH($C$21,Learning!$E$4:$S$4,0)+MATCH($C$52,Learning!$E$5:$S$5,0)-1)))</f>
        <v>1.2755368018091329</v>
      </c>
      <c r="AM59" s="533" cm="1">
        <f t="array" aca="1" ref="AM59" ca="1">IF(AM$21&lt;Standard_Year,'No STDs Case Rev &amp; Cost'!AM59,
OFFSET(AM59,-5,0)*
OFFSET(MSP!$F$1,
MATCH(OFFSET($C52,((MATCH($C52,EL_List,0)-1)*-10)-1,0),MSP!$C:$C,0)+MATCH($C52,EL_List,0)-1,0)
*INDEX(Learning!$E$6:$S$41,(MATCH(AM$21,Dates,0)),(MATCH($C$21,Learning!$E$4:$S$4,0)+MATCH($C$52,Learning!$E$5:$S$5,0)-1)))</f>
        <v>1.3323683976962326</v>
      </c>
      <c r="AN59" s="533" cm="1">
        <f t="array" aca="1" ref="AN59" ca="1">IF(AN$21&lt;Standard_Year,'No STDs Case Rev &amp; Cost'!AN59,
OFFSET(AN59,-5,0)*
OFFSET(MSP!$F$1,
MATCH(OFFSET($C52,((MATCH($C52,EL_List,0)-1)*-10)-1,0),MSP!$C:$C,0)+MATCH($C52,EL_List,0)-1,0)
*INDEX(Learning!$E$6:$S$41,(MATCH(AN$21,Dates,0)),(MATCH($C$21,Learning!$E$4:$S$4,0)+MATCH($C$52,Learning!$E$5:$S$5,0)-1)))</f>
        <v>1.3931819612645862</v>
      </c>
      <c r="AO59" s="436"/>
      <c r="AP59" s="21"/>
    </row>
    <row r="60" spans="2:42" ht="15" customHeight="1" collapsed="1" x14ac:dyDescent="0.35">
      <c r="B60" s="429"/>
      <c r="C60" s="780" t="s">
        <v>215</v>
      </c>
      <c r="D60" s="776"/>
      <c r="E60" s="531" cm="1">
        <f t="array" aca="1" ref="E60" ca="1">IF(E$21&lt;Standard_Year,'No STDs Case Rev &amp; Cost'!E60,
OFFSET(E60,-6,0)*
OFFSET(MSP!$G$1,
MATCH(OFFSET($C52,((MATCH($C52,EL_List,0)-1)*-10)-1,0),MSP!$C:$C,0)+MATCH($C52,EL_List,0)-1,0)
*INDEX(Learning!$E$6:$S$41,(MATCH(E$21,Dates,0)),(MATCH($C$21,Learning!$E$4:$S$4,0)+MATCH($C$52,Learning!$E$5:$S$5,0)-1)))</f>
        <v>0.11673614704812806</v>
      </c>
      <c r="F60" s="531" cm="1">
        <f t="array" aca="1" ref="F60" ca="1">IF(F$21&lt;Standard_Year,'No STDs Case Rev &amp; Cost'!F60,
OFFSET(F60,-6,0)*
OFFSET(MSP!$G$1,
MATCH(OFFSET($C52,((MATCH($C52,EL_List,0)-1)*-10)-1,0),MSP!$C:$C,0)+MATCH($C52,EL_List,0)-1,0)
*INDEX(Learning!$E$6:$S$41,(MATCH(F$21,Dates,0)),(MATCH($C$21,Learning!$E$4:$S$4,0)+MATCH($C$52,Learning!$E$5:$S$5,0)-1)))</f>
        <v>0.12101829255890026</v>
      </c>
      <c r="G60" s="531" cm="1">
        <f t="array" aca="1" ref="G60" ca="1">IF(G$21&lt;Standard_Year,'No STDs Case Rev &amp; Cost'!G60,
OFFSET(G60,-6,0)*
OFFSET(MSP!$G$1,
MATCH(OFFSET($C52,((MATCH($C52,EL_List,0)-1)*-10)-1,0),MSP!$C:$C,0)+MATCH($C52,EL_List,0)-1,0)
*INDEX(Learning!$E$6:$S$41,(MATCH(G$21,Dates,0)),(MATCH($C$21,Learning!$E$4:$S$4,0)+MATCH($C$52,Learning!$E$5:$S$5,0)-1)))</f>
        <v>0.12480789531389049</v>
      </c>
      <c r="H60" s="531" cm="1">
        <f t="array" aca="1" ref="H60" ca="1">IF(H$21&lt;Standard_Year,'No STDs Case Rev &amp; Cost'!H60,
OFFSET(H60,-6,0)*
OFFSET(MSP!$G$1,
MATCH(OFFSET($C52,((MATCH($C52,EL_List,0)-1)*-10)-1,0),MSP!$C:$C,0)+MATCH($C52,EL_List,0)-1,0)
*INDEX(Learning!$E$6:$S$41,(MATCH(H$21,Dates,0)),(MATCH($C$21,Learning!$E$4:$S$4,0)+MATCH($C$52,Learning!$E$5:$S$5,0)-1)))</f>
        <v>0.12990435513159243</v>
      </c>
      <c r="I60" s="531" cm="1">
        <f t="array" aca="1" ref="I60" ca="1">IF(I$21&lt;Standard_Year,'No STDs Case Rev &amp; Cost'!I60,
OFFSET(I60,-6,0)*
OFFSET(MSP!$G$1,
MATCH(OFFSET($C52,((MATCH($C52,EL_List,0)-1)*-10)-1,0),MSP!$C:$C,0)+MATCH($C52,EL_List,0)-1,0)
*INDEX(Learning!$E$6:$S$41,(MATCH(I$21,Dates,0)),(MATCH($C$21,Learning!$E$4:$S$4,0)+MATCH($C$52,Learning!$E$5:$S$5,0)-1)))</f>
        <v>0.13522161734828797</v>
      </c>
      <c r="J60" s="531" cm="1">
        <f t="array" aca="1" ref="J60" ca="1">IF(J$21&lt;Standard_Year,'No STDs Case Rev &amp; Cost'!J60,
OFFSET(J60,-6,0)*
OFFSET(MSP!$G$1,
MATCH(OFFSET($C52,((MATCH($C52,EL_List,0)-1)*-10)-1,0),MSP!$C:$C,0)+MATCH($C52,EL_List,0)-1,0)
*INDEX(Learning!$E$6:$S$41,(MATCH(J$21,Dates,0)),(MATCH($C$21,Learning!$E$4:$S$4,0)+MATCH($C$52,Learning!$E$5:$S$5,0)-1)))</f>
        <v>0.1412513104712774</v>
      </c>
      <c r="K60" s="531" cm="1">
        <f t="array" aca="1" ref="K60" ca="1">IF(K$21&lt;Standard_Year,'No STDs Case Rev &amp; Cost'!K60,
OFFSET(K60,-6,0)*
OFFSET(MSP!$G$1,
MATCH(OFFSET($C52,((MATCH($C52,EL_List,0)-1)*-10)-1,0),MSP!$C:$C,0)+MATCH($C52,EL_List,0)-1,0)
*INDEX(Learning!$E$6:$S$41,(MATCH(K$21,Dates,0)),(MATCH($C$21,Learning!$E$4:$S$4,0)+MATCH($C$52,Learning!$E$5:$S$5,0)-1)))</f>
        <v>0.14777429387805507</v>
      </c>
      <c r="L60" s="531" cm="1">
        <f t="array" aca="1" ref="L60" ca="1">IF(L$21&lt;Standard_Year,'No STDs Case Rev &amp; Cost'!L60,
OFFSET(L60,-6,0)*
OFFSET(MSP!$G$1,
MATCH(OFFSET($C52,((MATCH($C52,EL_List,0)-1)*-10)-1,0),MSP!$C:$C,0)+MATCH($C52,EL_List,0)-1,0)
*INDEX(Learning!$E$6:$S$41,(MATCH(L$21,Dates,0)),(MATCH($C$21,Learning!$E$4:$S$4,0)+MATCH($C$52,Learning!$E$5:$S$5,0)-1)))</f>
        <v>0.1546610594936442</v>
      </c>
      <c r="M60" s="531" cm="1">
        <f t="array" aca="1" ref="M60" ca="1">IF(M$21&lt;Standard_Year,'No STDs Case Rev &amp; Cost'!M60,
OFFSET(M60,-6,0)*
OFFSET(MSP!$G$1,
MATCH(OFFSET($C52,((MATCH($C52,EL_List,0)-1)*-10)-1,0),MSP!$C:$C,0)+MATCH($C52,EL_List,0)-1,0)
*INDEX(Learning!$E$6:$S$41,(MATCH(M$21,Dates,0)),(MATCH($C$21,Learning!$E$4:$S$4,0)+MATCH($C$52,Learning!$E$5:$S$5,0)-1)))</f>
        <v>0.16197476575843656</v>
      </c>
      <c r="N60" s="531" cm="1">
        <f t="array" aca="1" ref="N60" ca="1">IF(N$21&lt;Standard_Year,'No STDs Case Rev &amp; Cost'!N60,
OFFSET(N60,-6,0)*
OFFSET(MSP!$G$1,
MATCH(OFFSET($C52,((MATCH($C52,EL_List,0)-1)*-10)-1,0),MSP!$C:$C,0)+MATCH($C52,EL_List,0)-1,0)
*INDEX(Learning!$E$6:$S$41,(MATCH(N$21,Dates,0)),(MATCH($C$21,Learning!$E$4:$S$4,0)+MATCH($C$52,Learning!$E$5:$S$5,0)-1)))</f>
        <v>0.16932862851889521</v>
      </c>
      <c r="O60" s="531" cm="1">
        <f t="array" aca="1" ref="O60" ca="1">IF(O$21&lt;Standard_Year,'No STDs Case Rev &amp; Cost'!O60,
OFFSET(O60,-6,0)*
OFFSET(MSP!$G$1,
MATCH(OFFSET($C52,((MATCH($C52,EL_List,0)-1)*-10)-1,0),MSP!$C:$C,0)+MATCH($C52,EL_List,0)-1,0)
*INDEX(Learning!$E$6:$S$41,(MATCH(O$21,Dates,0)),(MATCH($C$21,Learning!$E$4:$S$4,0)+MATCH($C$52,Learning!$E$5:$S$5,0)-1)))</f>
        <v>0.17705031504763249</v>
      </c>
      <c r="P60" s="531" cm="1">
        <f t="array" aca="1" ref="P60" ca="1">IF(P$21&lt;Standard_Year,'No STDs Case Rev &amp; Cost'!P60,
OFFSET(P60,-6,0)*
OFFSET(MSP!$G$1,
MATCH(OFFSET($C52,((MATCH($C52,EL_List,0)-1)*-10)-1,0),MSP!$C:$C,0)+MATCH($C52,EL_List,0)-1,0)
*INDEX(Learning!$E$6:$S$41,(MATCH(P$21,Dates,0)),(MATCH($C$21,Learning!$E$4:$S$4,0)+MATCH($C$52,Learning!$E$5:$S$5,0)-1)))</f>
        <v>0.1850081906006906</v>
      </c>
      <c r="Q60" s="531" cm="1">
        <f t="array" aca="1" ref="Q60" ca="1">IF(Q$21&lt;Standard_Year,'No STDs Case Rev &amp; Cost'!Q60,
OFFSET(Q60,-6,0)*
OFFSET(MSP!$G$1,
MATCH(OFFSET($C52,((MATCH($C52,EL_List,0)-1)*-10)-1,0),MSP!$C:$C,0)+MATCH($C52,EL_List,0)-1,0)
*INDEX(Learning!$E$6:$S$41,(MATCH(Q$21,Dates,0)),(MATCH($C$21,Learning!$E$4:$S$4,0)+MATCH($C$52,Learning!$E$5:$S$5,0)-1)))</f>
        <v>0.19325285148556615</v>
      </c>
      <c r="R60" s="531" cm="1">
        <f t="array" aca="1" ref="R60" ca="1">IF(R$21&lt;Standard_Year,'No STDs Case Rev &amp; Cost'!R60,
OFFSET(R60,-6,0)*
OFFSET(MSP!$G$1,
MATCH(OFFSET($C52,((MATCH($C52,EL_List,0)-1)*-10)-1,0),MSP!$C:$C,0)+MATCH($C52,EL_List,0)-1,0)
*INDEX(Learning!$E$6:$S$41,(MATCH(R$21,Dates,0)),(MATCH($C$21,Learning!$E$4:$S$4,0)+MATCH($C$52,Learning!$E$5:$S$5,0)-1)))</f>
        <v>0.20184299765603717</v>
      </c>
      <c r="S60" s="531" cm="1">
        <f t="array" aca="1" ref="S60" ca="1">IF(S$21&lt;Standard_Year,'No STDs Case Rev &amp; Cost'!S60,
OFFSET(S60,-6,0)*
OFFSET(MSP!$G$1,
MATCH(OFFSET($C52,((MATCH($C52,EL_List,0)-1)*-10)-1,0),MSP!$C:$C,0)+MATCH($C52,EL_List,0)-1,0)
*INDEX(Learning!$E$6:$S$41,(MATCH(S$21,Dates,0)),(MATCH($C$21,Learning!$E$4:$S$4,0)+MATCH($C$52,Learning!$E$5:$S$5,0)-1)))</f>
        <v>0.21082574004012114</v>
      </c>
      <c r="T60" s="531" cm="1">
        <f t="array" aca="1" ref="T60" ca="1">IF(T$21&lt;Standard_Year,'No STDs Case Rev &amp; Cost'!T60,
OFFSET(T60,-6,0)*
OFFSET(MSP!$G$1,
MATCH(OFFSET($C52,((MATCH($C52,EL_List,0)-1)*-10)-1,0),MSP!$C:$C,0)+MATCH($C52,EL_List,0)-1,0)
*INDEX(Learning!$E$6:$S$41,(MATCH(T$21,Dates,0)),(MATCH($C$21,Learning!$E$4:$S$4,0)+MATCH($C$52,Learning!$E$5:$S$5,0)-1)))</f>
        <v>0.22045843112123159</v>
      </c>
      <c r="U60" s="531" cm="1">
        <f t="array" aca="1" ref="U60" ca="1">IF(U$21&lt;Standard_Year,'No STDs Case Rev &amp; Cost'!U60,
OFFSET(U60,-6,0)*
OFFSET(MSP!$G$1,
MATCH(OFFSET($C52,((MATCH($C52,EL_List,0)-1)*-10)-1,0),MSP!$C:$C,0)+MATCH($C52,EL_List,0)-1,0)
*INDEX(Learning!$E$6:$S$41,(MATCH(U$21,Dates,0)),(MATCH($C$21,Learning!$E$4:$S$4,0)+MATCH($C$52,Learning!$E$5:$S$5,0)-1)))</f>
        <v>0.23031981852563099</v>
      </c>
      <c r="V60" s="531" cm="1">
        <f t="array" aca="1" ref="V60" ca="1">IF(V$21&lt;Standard_Year,'No STDs Case Rev &amp; Cost'!V60,
OFFSET(V60,-6,0)*
OFFSET(MSP!$G$1,
MATCH(OFFSET($C52,((MATCH($C52,EL_List,0)-1)*-10)-1,0),MSP!$C:$C,0)+MATCH($C52,EL_List,0)-1,0)
*INDEX(Learning!$E$6:$S$41,(MATCH(V$21,Dates,0)),(MATCH($C$21,Learning!$E$4:$S$4,0)+MATCH($C$52,Learning!$E$5:$S$5,0)-1)))</f>
        <v>0.24085404679785177</v>
      </c>
      <c r="W60" s="531" cm="1">
        <f t="array" aca="1" ref="W60" ca="1">IF(W$21&lt;Standard_Year,'No STDs Case Rev &amp; Cost'!W60,
OFFSET(W60,-6,0)*
OFFSET(MSP!$G$1,
MATCH(OFFSET($C52,((MATCH($C52,EL_List,0)-1)*-10)-1,0),MSP!$C:$C,0)+MATCH($C52,EL_List,0)-1,0)
*INDEX(Learning!$E$6:$S$41,(MATCH(W$21,Dates,0)),(MATCH($C$21,Learning!$E$4:$S$4,0)+MATCH($C$52,Learning!$E$5:$S$5,0)-1)))</f>
        <v>0.25159040330548244</v>
      </c>
      <c r="X60" s="531" cm="1">
        <f t="array" aca="1" ref="X60" ca="1">IF(X$21&lt;Standard_Year,'No STDs Case Rev &amp; Cost'!X60,
OFFSET(X60,-6,0)*
OFFSET(MSP!$G$1,
MATCH(OFFSET($C52,((MATCH($C52,EL_List,0)-1)*-10)-1,0),MSP!$C:$C,0)+MATCH($C52,EL_List,0)-1,0)
*INDEX(Learning!$E$6:$S$41,(MATCH(X$21,Dates,0)),(MATCH($C$21,Learning!$E$4:$S$4,0)+MATCH($C$52,Learning!$E$5:$S$5,0)-1)))</f>
        <v>0.26305801346207863</v>
      </c>
      <c r="Y60" s="531" cm="1">
        <f t="array" aca="1" ref="Y60" ca="1">IF(Y$21&lt;Standard_Year,'No STDs Case Rev &amp; Cost'!Y60,
OFFSET(Y60,-6,0)*
OFFSET(MSP!$G$1,
MATCH(OFFSET($C52,((MATCH($C52,EL_List,0)-1)*-10)-1,0),MSP!$C:$C,0)+MATCH($C52,EL_List,0)-1,0)
*INDEX(Learning!$E$6:$S$41,(MATCH(Y$21,Dates,0)),(MATCH($C$21,Learning!$E$4:$S$4,0)+MATCH($C$52,Learning!$E$5:$S$5,0)-1)))</f>
        <v>0.27501585287917824</v>
      </c>
      <c r="Z60" s="531" cm="1">
        <f t="array" aca="1" ref="Z60" ca="1">IF(Z$21&lt;Standard_Year,'No STDs Case Rev &amp; Cost'!Z60,
OFFSET(Z60,-6,0)*
OFFSET(MSP!$G$1,
MATCH(OFFSET($C52,((MATCH($C52,EL_List,0)-1)*-10)-1,0),MSP!$C:$C,0)+MATCH($C52,EL_List,0)-1,0)
*INDEX(Learning!$E$6:$S$41,(MATCH(Z$21,Dates,0)),(MATCH($C$21,Learning!$E$4:$S$4,0)+MATCH($C$52,Learning!$E$5:$S$5,0)-1)))</f>
        <v>0.28748461841307404</v>
      </c>
      <c r="AA60" s="531" cm="1">
        <f t="array" aca="1" ref="AA60" ca="1">IF(AA$21&lt;Standard_Year,'No STDs Case Rev &amp; Cost'!AA60,
OFFSET(AA60,-6,0)*
OFFSET(MSP!$G$1,
MATCH(OFFSET($C52,((MATCH($C52,EL_List,0)-1)*-10)-1,0),MSP!$C:$C,0)+MATCH($C52,EL_List,0)-1,0)
*INDEX(Learning!$E$6:$S$41,(MATCH(AA$21,Dates,0)),(MATCH($C$21,Learning!$E$4:$S$4,0)+MATCH($C$52,Learning!$E$5:$S$5,0)-1)))</f>
        <v>0.30048885662996977</v>
      </c>
      <c r="AB60" s="531" cm="1">
        <f t="array" aca="1" ref="AB60" ca="1">IF(AB$21&lt;Standard_Year,'No STDs Case Rev &amp; Cost'!AB60,
OFFSET(AB60,-6,0)*
OFFSET(MSP!$G$1,
MATCH(OFFSET($C52,((MATCH($C52,EL_List,0)-1)*-10)-1,0),MSP!$C:$C,0)+MATCH($C52,EL_List,0)-1,0)
*INDEX(Learning!$E$6:$S$41,(MATCH(AB$21,Dates,0)),(MATCH($C$21,Learning!$E$4:$S$4,0)+MATCH($C$52,Learning!$E$5:$S$5,0)-1)))</f>
        <v>0.31405730028809159</v>
      </c>
      <c r="AC60" s="531" cm="1">
        <f t="array" aca="1" ref="AC60" ca="1">IF(AC$21&lt;Standard_Year,'No STDs Case Rev &amp; Cost'!AC60,
OFFSET(AC60,-6,0)*
OFFSET(MSP!$G$1,
MATCH(OFFSET($C52,((MATCH($C52,EL_List,0)-1)*-10)-1,0),MSP!$C:$C,0)+MATCH($C52,EL_List,0)-1,0)
*INDEX(Learning!$E$6:$S$41,(MATCH(AC$21,Dates,0)),(MATCH($C$21,Learning!$E$4:$S$4,0)+MATCH($C$52,Learning!$E$5:$S$5,0)-1)))</f>
        <v>0.32821840977046901</v>
      </c>
      <c r="AD60" s="531" cm="1">
        <f t="array" aca="1" ref="AD60" ca="1">IF(AD$21&lt;Standard_Year,'No STDs Case Rev &amp; Cost'!AD60,
OFFSET(AD60,-6,0)*
OFFSET(MSP!$G$1,
MATCH(OFFSET($C52,((MATCH($C52,EL_List,0)-1)*-10)-1,0),MSP!$C:$C,0)+MATCH($C52,EL_List,0)-1,0)
*INDEX(Learning!$E$6:$S$41,(MATCH(AD$21,Dates,0)),(MATCH($C$21,Learning!$E$4:$S$4,0)+MATCH($C$52,Learning!$E$5:$S$5,0)-1)))</f>
        <v>0.34300019991639724</v>
      </c>
      <c r="AE60" s="531" cm="1">
        <f t="array" aca="1" ref="AE60" ca="1">IF(AE$21&lt;Standard_Year,'No STDs Case Rev &amp; Cost'!AE60,
OFFSET(AE60,-6,0)*
OFFSET(MSP!$G$1,
MATCH(OFFSET($C52,((MATCH($C52,EL_List,0)-1)*-10)-1,0),MSP!$C:$C,0)+MATCH($C52,EL_List,0)-1,0)
*INDEX(Learning!$E$6:$S$41,(MATCH(AE$21,Dates,0)),(MATCH($C$21,Learning!$E$4:$S$4,0)+MATCH($C$52,Learning!$E$5:$S$5,0)-1)))</f>
        <v>0.35843003625348752</v>
      </c>
      <c r="AF60" s="531" cm="1">
        <f t="array" aca="1" ref="AF60" ca="1">IF(AF$21&lt;Standard_Year,'No STDs Case Rev &amp; Cost'!AF60,
OFFSET(AF60,-6,0)*
OFFSET(MSP!$G$1,
MATCH(OFFSET($C52,((MATCH($C52,EL_List,0)-1)*-10)-1,0),MSP!$C:$C,0)+MATCH($C52,EL_List,0)-1,0)
*INDEX(Learning!$E$6:$S$41,(MATCH(AF$21,Dates,0)),(MATCH($C$21,Learning!$E$4:$S$4,0)+MATCH($C$52,Learning!$E$5:$S$5,0)-1)))</f>
        <v>0.37453499434497795</v>
      </c>
      <c r="AG60" s="531" cm="1">
        <f t="array" aca="1" ref="AG60" ca="1">IF(AG$21&lt;Standard_Year,'No STDs Case Rev &amp; Cost'!AG60,
OFFSET(AG60,-6,0)*
OFFSET(MSP!$G$1,
MATCH(OFFSET($C52,((MATCH($C52,EL_List,0)-1)*-10)-1,0),MSP!$C:$C,0)+MATCH($C52,EL_List,0)-1,0)
*INDEX(Learning!$E$6:$S$41,(MATCH(AG$21,Dates,0)),(MATCH($C$21,Learning!$E$4:$S$4,0)+MATCH($C$52,Learning!$E$5:$S$5,0)-1)))</f>
        <v>0.39177747003649288</v>
      </c>
      <c r="AH60" s="531" cm="1">
        <f t="array" aca="1" ref="AH60" ca="1">IF(AH$21&lt;Standard_Year,'No STDs Case Rev &amp; Cost'!AH60,
OFFSET(AH60,-6,0)*
OFFSET(MSP!$G$1,
MATCH(OFFSET($C52,((MATCH($C52,EL_List,0)-1)*-10)-1,0),MSP!$C:$C,0)+MATCH($C52,EL_List,0)-1,0)
*INDEX(Learning!$E$6:$S$41,(MATCH(AH$21,Dates,0)),(MATCH($C$21,Learning!$E$4:$S$4,0)+MATCH($C$52,Learning!$E$5:$S$5,0)-1)))</f>
        <v>0.40933808141496691</v>
      </c>
      <c r="AI60" s="531" cm="1">
        <f t="array" aca="1" ref="AI60" ca="1">IF(AI$21&lt;Standard_Year,'No STDs Case Rev &amp; Cost'!AI60,
OFFSET(AI60,-6,0)*
OFFSET(MSP!$G$1,
MATCH(OFFSET($C52,((MATCH($C52,EL_List,0)-1)*-10)-1,0),MSP!$C:$C,0)+MATCH($C52,EL_List,0)-1,0)
*INDEX(Learning!$E$6:$S$41,(MATCH(AI$21,Dates,0)),(MATCH($C$21,Learning!$E$4:$S$4,0)+MATCH($C$52,Learning!$E$5:$S$5,0)-1)))</f>
        <v>0.4276616125515566</v>
      </c>
      <c r="AJ60" s="531" cm="1">
        <f t="array" aca="1" ref="AJ60" ca="1">IF(AJ$21&lt;Standard_Year,'No STDs Case Rev &amp; Cost'!AJ60,
OFFSET(AJ60,-6,0)*
OFFSET(MSP!$G$1,
MATCH(OFFSET($C52,((MATCH($C52,EL_List,0)-1)*-10)-1,0),MSP!$C:$C,0)+MATCH($C52,EL_List,0)-1,0)
*INDEX(Learning!$E$6:$S$41,(MATCH(AJ$21,Dates,0)),(MATCH($C$21,Learning!$E$4:$S$4,0)+MATCH($C$52,Learning!$E$5:$S$5,0)-1)))</f>
        <v>0.44728302015024901</v>
      </c>
      <c r="AK60" s="531" cm="1">
        <f t="array" aca="1" ref="AK60" ca="1">IF(AK$21&lt;Standard_Year,'No STDs Case Rev &amp; Cost'!AK60,
OFFSET(AK60,-6,0)*
OFFSET(MSP!$G$1,
MATCH(OFFSET($C52,((MATCH($C52,EL_List,0)-1)*-10)-1,0),MSP!$C:$C,0)+MATCH($C52,EL_List,0)-1,0)
*INDEX(Learning!$E$6:$S$41,(MATCH(AK$21,Dates,0)),(MATCH($C$21,Learning!$E$4:$S$4,0)+MATCH($C$52,Learning!$E$5:$S$5,0)-1)))</f>
        <v>0.46725625890403771</v>
      </c>
      <c r="AL60" s="531" cm="1">
        <f t="array" aca="1" ref="AL60" ca="1">IF(AL$21&lt;Standard_Year,'No STDs Case Rev &amp; Cost'!AL60,
OFFSET(AL60,-6,0)*
OFFSET(MSP!$G$1,
MATCH(OFFSET($C52,((MATCH($C52,EL_List,0)-1)*-10)-1,0),MSP!$C:$C,0)+MATCH($C52,EL_List,0)-1,0)
*INDEX(Learning!$E$6:$S$41,(MATCH(AL$21,Dates,0)),(MATCH($C$21,Learning!$E$4:$S$4,0)+MATCH($C$52,Learning!$E$5:$S$5,0)-1)))</f>
        <v>0.4886496937759206</v>
      </c>
      <c r="AM60" s="531" cm="1">
        <f t="array" aca="1" ref="AM60" ca="1">IF(AM$21&lt;Standard_Year,'No STDs Case Rev &amp; Cost'!AM60,
OFFSET(AM60,-6,0)*
OFFSET(MSP!$G$1,
MATCH(OFFSET($C52,((MATCH($C52,EL_List,0)-1)*-10)-1,0),MSP!$C:$C,0)+MATCH($C52,EL_List,0)-1,0)
*INDEX(Learning!$E$6:$S$41,(MATCH(AM$21,Dates,0)),(MATCH($C$21,Learning!$E$4:$S$4,0)+MATCH($C$52,Learning!$E$5:$S$5,0)-1)))</f>
        <v>0.5104215014475143</v>
      </c>
      <c r="AN60" s="531" cm="1">
        <f t="array" aca="1" ref="AN60" ca="1">IF(AN$21&lt;Standard_Year,'No STDs Case Rev &amp; Cost'!AN60,
OFFSET(AN60,-6,0)*
OFFSET(MSP!$G$1,
MATCH(OFFSET($C52,((MATCH($C52,EL_List,0)-1)*-10)-1,0),MSP!$C:$C,0)+MATCH($C52,EL_List,0)-1,0)
*INDEX(Learning!$E$6:$S$41,(MATCH(AN$21,Dates,0)),(MATCH($C$21,Learning!$E$4:$S$4,0)+MATCH($C$52,Learning!$E$5:$S$5,0)-1)))</f>
        <v>0.53371877454300687</v>
      </c>
      <c r="AO60" s="436"/>
      <c r="AP60" s="21"/>
    </row>
    <row r="61" spans="2:42" ht="15" customHeight="1" x14ac:dyDescent="0.35">
      <c r="B61" s="429"/>
      <c r="C61" s="776"/>
      <c r="D61" s="776"/>
      <c r="E61" s="776"/>
      <c r="F61" s="776"/>
      <c r="G61" s="776"/>
      <c r="H61" s="776"/>
      <c r="I61" s="776"/>
      <c r="J61" s="776"/>
      <c r="K61" s="776"/>
      <c r="L61" s="776"/>
      <c r="M61" s="776"/>
      <c r="N61" s="776"/>
      <c r="O61" s="776"/>
      <c r="P61" s="776"/>
      <c r="Q61" s="776"/>
      <c r="R61" s="776"/>
      <c r="S61" s="776"/>
      <c r="T61" s="776"/>
      <c r="U61" s="776"/>
      <c r="V61" s="776"/>
      <c r="W61" s="776"/>
      <c r="X61" s="776"/>
      <c r="Y61" s="776"/>
      <c r="Z61" s="776"/>
      <c r="AA61" s="776"/>
      <c r="AB61" s="776"/>
      <c r="AC61" s="776"/>
      <c r="AD61" s="776"/>
      <c r="AE61" s="776"/>
      <c r="AF61" s="776"/>
      <c r="AG61" s="776"/>
      <c r="AH61" s="776"/>
      <c r="AI61" s="776"/>
      <c r="AJ61" s="776"/>
      <c r="AK61" s="776"/>
      <c r="AL61" s="776"/>
      <c r="AM61" s="776"/>
      <c r="AN61" s="776"/>
      <c r="AO61" s="436"/>
      <c r="AP61" s="21"/>
    </row>
    <row r="62" spans="2:42" ht="15" customHeight="1" x14ac:dyDescent="0.35">
      <c r="B62" s="429"/>
      <c r="C62" s="772" t="s">
        <v>342</v>
      </c>
      <c r="D62" s="776"/>
      <c r="E62" s="776"/>
      <c r="F62" s="776"/>
      <c r="G62" s="776"/>
      <c r="H62" s="776"/>
      <c r="I62" s="776"/>
      <c r="J62" s="776"/>
      <c r="K62" s="776"/>
      <c r="L62" s="776"/>
      <c r="M62" s="776"/>
      <c r="N62" s="776"/>
      <c r="O62" s="776"/>
      <c r="P62" s="776"/>
      <c r="Q62" s="776"/>
      <c r="R62" s="776"/>
      <c r="S62" s="776"/>
      <c r="T62" s="776"/>
      <c r="U62" s="776"/>
      <c r="V62" s="776"/>
      <c r="W62" s="776"/>
      <c r="X62" s="776"/>
      <c r="Y62" s="776"/>
      <c r="Z62" s="776"/>
      <c r="AA62" s="776"/>
      <c r="AB62" s="776"/>
      <c r="AC62" s="776"/>
      <c r="AD62" s="776"/>
      <c r="AE62" s="776"/>
      <c r="AF62" s="776"/>
      <c r="AG62" s="776"/>
      <c r="AH62" s="776"/>
      <c r="AI62" s="776"/>
      <c r="AJ62" s="776"/>
      <c r="AK62" s="776"/>
      <c r="AL62" s="776"/>
      <c r="AM62" s="776"/>
      <c r="AN62" s="776"/>
      <c r="AO62" s="436"/>
      <c r="AP62" s="21"/>
    </row>
    <row r="63" spans="2:42" ht="15" customHeight="1" x14ac:dyDescent="0.35">
      <c r="B63" s="429"/>
      <c r="C63" s="777" t="s">
        <v>10</v>
      </c>
      <c r="D63" s="776"/>
      <c r="E63" s="778" cm="1">
        <f t="array" aca="1" ref="E63" ca="1">IF(E$21&lt;Standard_Year,'No STDs Case Rev &amp; Cost'!E63,
OFFSET(MSP!$C$1,
MATCH(OFFSET($C62,((MATCH($C62,EL_List,0)-1)*-10)-1,0),MSP!$C:$C,0)+MATCH($C62,EL_List,0)-1,
MATCH(OFFSET($C62,((MATCH($C62,EL_List,0)-1)*-10)-3,0),MSP!$D$5:$N$5,0)+1)
*INDEX(Learning!$E$6:$S$41,(MATCH(E$21,Dates,0)),(MATCH($C$21,Learning!$E$4:$S$4,0)+MATCH($C$62,Learning!$E$5:$S$5,0)-1)))</f>
        <v>66.442480000000003</v>
      </c>
      <c r="F63" s="778" cm="1">
        <f t="array" aca="1" ref="F63" ca="1">IF(F$21&lt;Standard_Year,'No STDs Case Rev &amp; Cost'!F63,
OFFSET(MSP!$C$1,
MATCH(OFFSET($C62,((MATCH($C62,EL_List,0)-1)*-10)-1,0),MSP!$C:$C,0)+MATCH($C62,EL_List,0)-1,
MATCH(OFFSET($C62,((MATCH($C62,EL_List,0)-1)*-10)-3,0),MSP!$D$5:$N$5,0)+1)
*INDEX(Learning!$E$6:$S$41,(MATCH(F$21,Dates,0)),(MATCH($C$21,Learning!$E$4:$S$4,0)+MATCH($C$62,Learning!$E$5:$S$5,0)-1)))</f>
        <v>65.995270999999988</v>
      </c>
      <c r="G63" s="778" cm="1">
        <f t="array" aca="1" ref="G63" ca="1">IF(G$21&lt;Standard_Year,'No STDs Case Rev &amp; Cost'!G63,
OFFSET(MSP!$C$1,
MATCH(OFFSET($C62,((MATCH($C62,EL_List,0)-1)*-10)-1,0),MSP!$C:$C,0)+MATCH($C62,EL_List,0)-1,
MATCH(OFFSET($C62,((MATCH($C62,EL_List,0)-1)*-10)-3,0),MSP!$D$5:$N$5,0)+1)
*INDEX(Learning!$E$6:$S$41,(MATCH(G$21,Dates,0)),(MATCH($C$21,Learning!$E$4:$S$4,0)+MATCH($C$62,Learning!$E$5:$S$5,0)-1)))</f>
        <v>65.548062000000002</v>
      </c>
      <c r="H63" s="778" cm="1">
        <f t="array" aca="1" ref="H63" ca="1">IF(H$21&lt;Standard_Year,'No STDs Case Rev &amp; Cost'!H63,
OFFSET(MSP!$C$1,
MATCH(OFFSET($C62,((MATCH($C62,EL_List,0)-1)*-10)-1,0),MSP!$C:$C,0)+MATCH($C62,EL_List,0)-1,
MATCH(OFFSET($C62,((MATCH($C62,EL_List,0)-1)*-10)-3,0),MSP!$D$5:$N$5,0)+1)
*INDEX(Learning!$E$6:$S$41,(MATCH(H$21,Dates,0)),(MATCH($C$21,Learning!$E$4:$S$4,0)+MATCH($C$62,Learning!$E$5:$S$5,0)-1)))</f>
        <v>65.100853000000001</v>
      </c>
      <c r="I63" s="778" cm="1">
        <f t="array" aca="1" ref="I63" ca="1">IF(I$21&lt;Standard_Year,'No STDs Case Rev &amp; Cost'!I63,
OFFSET(MSP!$C$1,
MATCH(OFFSET($C62,((MATCH($C62,EL_List,0)-1)*-10)-1,0),MSP!$C:$C,0)+MATCH($C62,EL_List,0)-1,
MATCH(OFFSET($C62,((MATCH($C62,EL_List,0)-1)*-10)-3,0),MSP!$D$5:$N$5,0)+1)
*INDEX(Learning!$E$6:$S$41,(MATCH(I$21,Dates,0)),(MATCH($C$21,Learning!$E$4:$S$4,0)+MATCH($C$62,Learning!$E$5:$S$5,0)-1)))</f>
        <v>64.653644</v>
      </c>
      <c r="J63" s="778" cm="1">
        <f t="array" aca="1" ref="J63" ca="1">IF(J$21&lt;Standard_Year,'No STDs Case Rev &amp; Cost'!J63,
OFFSET(MSP!$C$1,
MATCH(OFFSET($C62,((MATCH($C62,EL_List,0)-1)*-10)-1,0),MSP!$C:$C,0)+MATCH($C62,EL_List,0)-1,
MATCH(OFFSET($C62,((MATCH($C62,EL_List,0)-1)*-10)-3,0),MSP!$D$5:$N$5,0)+1)
*INDEX(Learning!$E$6:$S$41,(MATCH(J$21,Dates,0)),(MATCH($C$21,Learning!$E$4:$S$4,0)+MATCH($C$62,Learning!$E$5:$S$5,0)-1)))</f>
        <v>64.270322000000007</v>
      </c>
      <c r="K63" s="778" cm="1">
        <f t="array" aca="1" ref="K63" ca="1">IF(K$21&lt;Standard_Year,'No STDs Case Rev &amp; Cost'!K63,
OFFSET(MSP!$C$1,
MATCH(OFFSET($C62,((MATCH($C62,EL_List,0)-1)*-10)-1,0),MSP!$C:$C,0)+MATCH($C62,EL_List,0)-1,
MATCH(OFFSET($C62,((MATCH($C62,EL_List,0)-1)*-10)-3,0),MSP!$D$5:$N$5,0)+1)
*INDEX(Learning!$E$6:$S$41,(MATCH(K$21,Dates,0)),(MATCH($C$21,Learning!$E$4:$S$4,0)+MATCH($C$62,Learning!$E$5:$S$5,0)-1)))</f>
        <v>63.887</v>
      </c>
      <c r="L63" s="778" cm="1">
        <f t="array" aca="1" ref="L63" ca="1">IF(L$21&lt;Standard_Year,'No STDs Case Rev &amp; Cost'!L63,
OFFSET(MSP!$C$1,
MATCH(OFFSET($C62,((MATCH($C62,EL_List,0)-1)*-10)-1,0),MSP!$C:$C,0)+MATCH($C62,EL_List,0)-1,
MATCH(OFFSET($C62,((MATCH($C62,EL_List,0)-1)*-10)-3,0),MSP!$D$5:$N$5,0)+1)
*INDEX(Learning!$E$6:$S$41,(MATCH(L$21,Dates,0)),(MATCH($C$21,Learning!$E$4:$S$4,0)+MATCH($C$62,Learning!$E$5:$S$5,0)-1)))</f>
        <v>63.503678000000001</v>
      </c>
      <c r="M63" s="778" cm="1">
        <f t="array" aca="1" ref="M63" ca="1">IF(M$21&lt;Standard_Year,'No STDs Case Rev &amp; Cost'!M63,
OFFSET(MSP!$C$1,
MATCH(OFFSET($C62,((MATCH($C62,EL_List,0)-1)*-10)-1,0),MSP!$C:$C,0)+MATCH($C62,EL_List,0)-1,
MATCH(OFFSET($C62,((MATCH($C62,EL_List,0)-1)*-10)-3,0),MSP!$D$5:$N$5,0)+1)
*INDEX(Learning!$E$6:$S$41,(MATCH(M$21,Dates,0)),(MATCH($C$21,Learning!$E$4:$S$4,0)+MATCH($C$62,Learning!$E$5:$S$5,0)-1)))</f>
        <v>63.184243000000002</v>
      </c>
      <c r="N63" s="778" cm="1">
        <f t="array" aca="1" ref="N63" ca="1">IF(N$21&lt;Standard_Year,'No STDs Case Rev &amp; Cost'!N63,
OFFSET(MSP!$C$1,
MATCH(OFFSET($C62,((MATCH($C62,EL_List,0)-1)*-10)-1,0),MSP!$C:$C,0)+MATCH($C62,EL_List,0)-1,
MATCH(OFFSET($C62,((MATCH($C62,EL_List,0)-1)*-10)-3,0),MSP!$D$5:$N$5,0)+1)
*INDEX(Learning!$E$6:$S$41,(MATCH(N$21,Dates,0)),(MATCH($C$21,Learning!$E$4:$S$4,0)+MATCH($C$62,Learning!$E$5:$S$5,0)-1)))</f>
        <v>62.800921000000002</v>
      </c>
      <c r="O63" s="778" cm="1">
        <f t="array" aca="1" ref="O63" ca="1">IF(O$21&lt;Standard_Year,'No STDs Case Rev &amp; Cost'!O63,
OFFSET(MSP!$C$1,
MATCH(OFFSET($C62,((MATCH($C62,EL_List,0)-1)*-10)-1,0),MSP!$C:$C,0)+MATCH($C62,EL_List,0)-1,
MATCH(OFFSET($C62,((MATCH($C62,EL_List,0)-1)*-10)-3,0),MSP!$D$5:$N$5,0)+1)
*INDEX(Learning!$E$6:$S$41,(MATCH(O$21,Dates,0)),(MATCH($C$21,Learning!$E$4:$S$4,0)+MATCH($C$62,Learning!$E$5:$S$5,0)-1)))</f>
        <v>62.481485999999997</v>
      </c>
      <c r="P63" s="778" cm="1">
        <f t="array" aca="1" ref="P63" ca="1">IF(P$21&lt;Standard_Year,'No STDs Case Rev &amp; Cost'!P63,
OFFSET(MSP!$C$1,
MATCH(OFFSET($C62,((MATCH($C62,EL_List,0)-1)*-10)-1,0),MSP!$C:$C,0)+MATCH($C62,EL_List,0)-1,
MATCH(OFFSET($C62,((MATCH($C62,EL_List,0)-1)*-10)-3,0),MSP!$D$5:$N$5,0)+1)
*INDEX(Learning!$E$6:$S$41,(MATCH(P$21,Dates,0)),(MATCH($C$21,Learning!$E$4:$S$4,0)+MATCH($C$62,Learning!$E$5:$S$5,0)-1)))</f>
        <v>62.162050999999998</v>
      </c>
      <c r="Q63" s="778" cm="1">
        <f t="array" aca="1" ref="Q63" ca="1">IF(Q$21&lt;Standard_Year,'No STDs Case Rev &amp; Cost'!Q63,
OFFSET(MSP!$C$1,
MATCH(OFFSET($C62,((MATCH($C62,EL_List,0)-1)*-10)-1,0),MSP!$C:$C,0)+MATCH($C62,EL_List,0)-1,
MATCH(OFFSET($C62,((MATCH($C62,EL_List,0)-1)*-10)-3,0),MSP!$D$5:$N$5,0)+1)
*INDEX(Learning!$E$6:$S$41,(MATCH(Q$21,Dates,0)),(MATCH($C$21,Learning!$E$4:$S$4,0)+MATCH($C$62,Learning!$E$5:$S$5,0)-1)))</f>
        <v>61.842616</v>
      </c>
      <c r="R63" s="778" cm="1">
        <f t="array" aca="1" ref="R63" ca="1">IF(R$21&lt;Standard_Year,'No STDs Case Rev &amp; Cost'!R63,
OFFSET(MSP!$C$1,
MATCH(OFFSET($C62,((MATCH($C62,EL_List,0)-1)*-10)-1,0),MSP!$C:$C,0)+MATCH($C62,EL_List,0)-1,
MATCH(OFFSET($C62,((MATCH($C62,EL_List,0)-1)*-10)-3,0),MSP!$D$5:$N$5,0)+1)
*INDEX(Learning!$E$6:$S$41,(MATCH(R$21,Dates,0)),(MATCH($C$21,Learning!$E$4:$S$4,0)+MATCH($C$62,Learning!$E$5:$S$5,0)-1)))</f>
        <v>61.523181000000001</v>
      </c>
      <c r="S63" s="778" cm="1">
        <f t="array" aca="1" ref="S63" ca="1">IF(S$21&lt;Standard_Year,'No STDs Case Rev &amp; Cost'!S63,
OFFSET(MSP!$C$1,
MATCH(OFFSET($C62,((MATCH($C62,EL_List,0)-1)*-10)-1,0),MSP!$C:$C,0)+MATCH($C62,EL_List,0)-1,
MATCH(OFFSET($C62,((MATCH($C62,EL_List,0)-1)*-10)-3,0),MSP!$D$5:$N$5,0)+1)
*INDEX(Learning!$E$6:$S$41,(MATCH(S$21,Dates,0)),(MATCH($C$21,Learning!$E$4:$S$4,0)+MATCH($C$62,Learning!$E$5:$S$5,0)-1)))</f>
        <v>61.203745999999995</v>
      </c>
      <c r="T63" s="778" cm="1">
        <f t="array" aca="1" ref="T63" ca="1">IF(T$21&lt;Standard_Year,'No STDs Case Rev &amp; Cost'!T63,
OFFSET(MSP!$C$1,
MATCH(OFFSET($C62,((MATCH($C62,EL_List,0)-1)*-10)-1,0),MSP!$C:$C,0)+MATCH($C62,EL_List,0)-1,
MATCH(OFFSET($C62,((MATCH($C62,EL_List,0)-1)*-10)-3,0),MSP!$D$5:$N$5,0)+1)
*INDEX(Learning!$E$6:$S$41,(MATCH(T$21,Dates,0)),(MATCH($C$21,Learning!$E$4:$S$4,0)+MATCH($C$62,Learning!$E$5:$S$5,0)-1)))</f>
        <v>60.884310999999997</v>
      </c>
      <c r="U63" s="778" cm="1">
        <f t="array" aca="1" ref="U63" ca="1">IF(U$21&lt;Standard_Year,'No STDs Case Rev &amp; Cost'!U63,
OFFSET(MSP!$C$1,
MATCH(OFFSET($C62,((MATCH($C62,EL_List,0)-1)*-10)-1,0),MSP!$C:$C,0)+MATCH($C62,EL_List,0)-1,
MATCH(OFFSET($C62,((MATCH($C62,EL_List,0)-1)*-10)-3,0),MSP!$D$5:$N$5,0)+1)
*INDEX(Learning!$E$6:$S$41,(MATCH(U$21,Dates,0)),(MATCH($C$21,Learning!$E$4:$S$4,0)+MATCH($C$62,Learning!$E$5:$S$5,0)-1)))</f>
        <v>60.628762999999999</v>
      </c>
      <c r="V63" s="778" cm="1">
        <f t="array" aca="1" ref="V63" ca="1">IF(V$21&lt;Standard_Year,'No STDs Case Rev &amp; Cost'!V63,
OFFSET(MSP!$C$1,
MATCH(OFFSET($C62,((MATCH($C62,EL_List,0)-1)*-10)-1,0),MSP!$C:$C,0)+MATCH($C62,EL_List,0)-1,
MATCH(OFFSET($C62,((MATCH($C62,EL_List,0)-1)*-10)-3,0),MSP!$D$5:$N$5,0)+1)
*INDEX(Learning!$E$6:$S$41,(MATCH(V$21,Dates,0)),(MATCH($C$21,Learning!$E$4:$S$4,0)+MATCH($C$62,Learning!$E$5:$S$5,0)-1)))</f>
        <v>60.309328000000001</v>
      </c>
      <c r="W63" s="778" cm="1">
        <f t="array" aca="1" ref="W63" ca="1">IF(W$21&lt;Standard_Year,'No STDs Case Rev &amp; Cost'!W63,
OFFSET(MSP!$C$1,
MATCH(OFFSET($C62,((MATCH($C62,EL_List,0)-1)*-10)-1,0),MSP!$C:$C,0)+MATCH($C62,EL_List,0)-1,
MATCH(OFFSET($C62,((MATCH($C62,EL_List,0)-1)*-10)-3,0),MSP!$D$5:$N$5,0)+1)
*INDEX(Learning!$E$6:$S$41,(MATCH(W$21,Dates,0)),(MATCH($C$21,Learning!$E$4:$S$4,0)+MATCH($C$62,Learning!$E$5:$S$5,0)-1)))</f>
        <v>60.053779999999996</v>
      </c>
      <c r="X63" s="778" cm="1">
        <f t="array" aca="1" ref="X63" ca="1">IF(X$21&lt;Standard_Year,'No STDs Case Rev &amp; Cost'!X63,
OFFSET(MSP!$C$1,
MATCH(OFFSET($C62,((MATCH($C62,EL_List,0)-1)*-10)-1,0),MSP!$C:$C,0)+MATCH($C62,EL_List,0)-1,
MATCH(OFFSET($C62,((MATCH($C62,EL_List,0)-1)*-10)-3,0),MSP!$D$5:$N$5,0)+1)
*INDEX(Learning!$E$6:$S$41,(MATCH(X$21,Dates,0)),(MATCH($C$21,Learning!$E$4:$S$4,0)+MATCH($C$62,Learning!$E$5:$S$5,0)-1)))</f>
        <v>59.798232000000006</v>
      </c>
      <c r="Y63" s="778" cm="1">
        <f t="array" aca="1" ref="Y63" ca="1">IF(Y$21&lt;Standard_Year,'No STDs Case Rev &amp; Cost'!Y63,
OFFSET(MSP!$C$1,
MATCH(OFFSET($C62,((MATCH($C62,EL_List,0)-1)*-10)-1,0),MSP!$C:$C,0)+MATCH($C62,EL_List,0)-1,
MATCH(OFFSET($C62,((MATCH($C62,EL_List,0)-1)*-10)-3,0),MSP!$D$5:$N$5,0)+1)
*INDEX(Learning!$E$6:$S$41,(MATCH(Y$21,Dates,0)),(MATCH($C$21,Learning!$E$4:$S$4,0)+MATCH($C$62,Learning!$E$5:$S$5,0)-1)))</f>
        <v>59.478797</v>
      </c>
      <c r="Z63" s="778" cm="1">
        <f t="array" aca="1" ref="Z63" ca="1">IF(Z$21&lt;Standard_Year,'No STDs Case Rev &amp; Cost'!Z63,
OFFSET(MSP!$C$1,
MATCH(OFFSET($C62,((MATCH($C62,EL_List,0)-1)*-10)-1,0),MSP!$C:$C,0)+MATCH($C62,EL_List,0)-1,
MATCH(OFFSET($C62,((MATCH($C62,EL_List,0)-1)*-10)-3,0),MSP!$D$5:$N$5,0)+1)
*INDEX(Learning!$E$6:$S$41,(MATCH(Z$21,Dates,0)),(MATCH($C$21,Learning!$E$4:$S$4,0)+MATCH($C$62,Learning!$E$5:$S$5,0)-1)))</f>
        <v>59.223249000000003</v>
      </c>
      <c r="AA63" s="778" cm="1">
        <f t="array" aca="1" ref="AA63" ca="1">IF(AA$21&lt;Standard_Year,'No STDs Case Rev &amp; Cost'!AA63,
OFFSET(MSP!$C$1,
MATCH(OFFSET($C62,((MATCH($C62,EL_List,0)-1)*-10)-1,0),MSP!$C:$C,0)+MATCH($C62,EL_List,0)-1,
MATCH(OFFSET($C62,((MATCH($C62,EL_List,0)-1)*-10)-3,0),MSP!$D$5:$N$5,0)+1)
*INDEX(Learning!$E$6:$S$41,(MATCH(AA$21,Dates,0)),(MATCH($C$21,Learning!$E$4:$S$4,0)+MATCH($C$62,Learning!$E$5:$S$5,0)-1)))</f>
        <v>58.967701000000005</v>
      </c>
      <c r="AB63" s="778" cm="1">
        <f t="array" aca="1" ref="AB63" ca="1">IF(AB$21&lt;Standard_Year,'No STDs Case Rev &amp; Cost'!AB63,
OFFSET(MSP!$C$1,
MATCH(OFFSET($C62,((MATCH($C62,EL_List,0)-1)*-10)-1,0),MSP!$C:$C,0)+MATCH($C62,EL_List,0)-1,
MATCH(OFFSET($C62,((MATCH($C62,EL_List,0)-1)*-10)-3,0),MSP!$D$5:$N$5,0)+1)
*INDEX(Learning!$E$6:$S$41,(MATCH(AB$21,Dates,0)),(MATCH($C$21,Learning!$E$4:$S$4,0)+MATCH($C$62,Learning!$E$5:$S$5,0)-1)))</f>
        <v>58.712153000000001</v>
      </c>
      <c r="AC63" s="778" cm="1">
        <f t="array" aca="1" ref="AC63" ca="1">IF(AC$21&lt;Standard_Year,'No STDs Case Rev &amp; Cost'!AC63,
OFFSET(MSP!$C$1,
MATCH(OFFSET($C62,((MATCH($C62,EL_List,0)-1)*-10)-1,0),MSP!$C:$C,0)+MATCH($C62,EL_List,0)-1,
MATCH(OFFSET($C62,((MATCH($C62,EL_List,0)-1)*-10)-3,0),MSP!$D$5:$N$5,0)+1)
*INDEX(Learning!$E$6:$S$41,(MATCH(AC$21,Dates,0)),(MATCH($C$21,Learning!$E$4:$S$4,0)+MATCH($C$62,Learning!$E$5:$S$5,0)-1)))</f>
        <v>58.456605000000003</v>
      </c>
      <c r="AD63" s="778" cm="1">
        <f t="array" aca="1" ref="AD63" ca="1">IF(AD$21&lt;Standard_Year,'No STDs Case Rev &amp; Cost'!AD63,
OFFSET(MSP!$C$1,
MATCH(OFFSET($C62,((MATCH($C62,EL_List,0)-1)*-10)-1,0),MSP!$C:$C,0)+MATCH($C62,EL_List,0)-1,
MATCH(OFFSET($C62,((MATCH($C62,EL_List,0)-1)*-10)-3,0),MSP!$D$5:$N$5,0)+1)
*INDEX(Learning!$E$6:$S$41,(MATCH(AD$21,Dates,0)),(MATCH($C$21,Learning!$E$4:$S$4,0)+MATCH($C$62,Learning!$E$5:$S$5,0)-1)))</f>
        <v>58.201057000000006</v>
      </c>
      <c r="AE63" s="778" cm="1">
        <f t="array" aca="1" ref="AE63" ca="1">IF(AE$21&lt;Standard_Year,'No STDs Case Rev &amp; Cost'!AE63,
OFFSET(MSP!$C$1,
MATCH(OFFSET($C62,((MATCH($C62,EL_List,0)-1)*-10)-1,0),MSP!$C:$C,0)+MATCH($C62,EL_List,0)-1,
MATCH(OFFSET($C62,((MATCH($C62,EL_List,0)-1)*-10)-3,0),MSP!$D$5:$N$5,0)+1)
*INDEX(Learning!$E$6:$S$41,(MATCH(AE$21,Dates,0)),(MATCH($C$21,Learning!$E$4:$S$4,0)+MATCH($C$62,Learning!$E$5:$S$5,0)-1)))</f>
        <v>57.945509000000001</v>
      </c>
      <c r="AF63" s="778" cm="1">
        <f t="array" aca="1" ref="AF63" ca="1">IF(AF$21&lt;Standard_Year,'No STDs Case Rev &amp; Cost'!AF63,
OFFSET(MSP!$C$1,
MATCH(OFFSET($C62,((MATCH($C62,EL_List,0)-1)*-10)-1,0),MSP!$C:$C,0)+MATCH($C62,EL_List,0)-1,
MATCH(OFFSET($C62,((MATCH($C62,EL_List,0)-1)*-10)-3,0),MSP!$D$5:$N$5,0)+1)
*INDEX(Learning!$E$6:$S$41,(MATCH(AF$21,Dates,0)),(MATCH($C$21,Learning!$E$4:$S$4,0)+MATCH($C$62,Learning!$E$5:$S$5,0)-1)))</f>
        <v>57.689961000000004</v>
      </c>
      <c r="AG63" s="778" cm="1">
        <f t="array" aca="1" ref="AG63" ca="1">IF(AG$21&lt;Standard_Year,'No STDs Case Rev &amp; Cost'!AG63,
OFFSET(MSP!$C$1,
MATCH(OFFSET($C62,((MATCH($C62,EL_List,0)-1)*-10)-1,0),MSP!$C:$C,0)+MATCH($C62,EL_List,0)-1,
MATCH(OFFSET($C62,((MATCH($C62,EL_List,0)-1)*-10)-3,0),MSP!$D$5:$N$5,0)+1)
*INDEX(Learning!$E$6:$S$41,(MATCH(AG$21,Dates,0)),(MATCH($C$21,Learning!$E$4:$S$4,0)+MATCH($C$62,Learning!$E$5:$S$5,0)-1)))</f>
        <v>57.4983</v>
      </c>
      <c r="AH63" s="778" cm="1">
        <f t="array" aca="1" ref="AH63" ca="1">IF(AH$21&lt;Standard_Year,'No STDs Case Rev &amp; Cost'!AH63,
OFFSET(MSP!$C$1,
MATCH(OFFSET($C62,((MATCH($C62,EL_List,0)-1)*-10)-1,0),MSP!$C:$C,0)+MATCH($C62,EL_List,0)-1,
MATCH(OFFSET($C62,((MATCH($C62,EL_List,0)-1)*-10)-3,0),MSP!$D$5:$N$5,0)+1)
*INDEX(Learning!$E$6:$S$41,(MATCH(AH$21,Dates,0)),(MATCH($C$21,Learning!$E$4:$S$4,0)+MATCH($C$62,Learning!$E$5:$S$5,0)-1)))</f>
        <v>57.242752000000003</v>
      </c>
      <c r="AI63" s="778" cm="1">
        <f t="array" aca="1" ref="AI63" ca="1">IF(AI$21&lt;Standard_Year,'No STDs Case Rev &amp; Cost'!AI63,
OFFSET(MSP!$C$1,
MATCH(OFFSET($C62,((MATCH($C62,EL_List,0)-1)*-10)-1,0),MSP!$C:$C,0)+MATCH($C62,EL_List,0)-1,
MATCH(OFFSET($C62,((MATCH($C62,EL_List,0)-1)*-10)-3,0),MSP!$D$5:$N$5,0)+1)
*INDEX(Learning!$E$6:$S$41,(MATCH(AI$21,Dates,0)),(MATCH($C$21,Learning!$E$4:$S$4,0)+MATCH($C$62,Learning!$E$5:$S$5,0)-1)))</f>
        <v>56.987203999999998</v>
      </c>
      <c r="AJ63" s="778" cm="1">
        <f t="array" aca="1" ref="AJ63" ca="1">IF(AJ$21&lt;Standard_Year,'No STDs Case Rev &amp; Cost'!AJ63,
OFFSET(MSP!$C$1,
MATCH(OFFSET($C62,((MATCH($C62,EL_List,0)-1)*-10)-1,0),MSP!$C:$C,0)+MATCH($C62,EL_List,0)-1,
MATCH(OFFSET($C62,((MATCH($C62,EL_List,0)-1)*-10)-3,0),MSP!$D$5:$N$5,0)+1)
*INDEX(Learning!$E$6:$S$41,(MATCH(AJ$21,Dates,0)),(MATCH($C$21,Learning!$E$4:$S$4,0)+MATCH($C$62,Learning!$E$5:$S$5,0)-1)))</f>
        <v>56.795543000000002</v>
      </c>
      <c r="AK63" s="778" cm="1">
        <f t="array" aca="1" ref="AK63" ca="1">IF(AK$21&lt;Standard_Year,'No STDs Case Rev &amp; Cost'!AK63,
OFFSET(MSP!$C$1,
MATCH(OFFSET($C62,((MATCH($C62,EL_List,0)-1)*-10)-1,0),MSP!$C:$C,0)+MATCH($C62,EL_List,0)-1,
MATCH(OFFSET($C62,((MATCH($C62,EL_List,0)-1)*-10)-3,0),MSP!$D$5:$N$5,0)+1)
*INDEX(Learning!$E$6:$S$41,(MATCH(AK$21,Dates,0)),(MATCH($C$21,Learning!$E$4:$S$4,0)+MATCH($C$62,Learning!$E$5:$S$5,0)-1)))</f>
        <v>56.539994999999998</v>
      </c>
      <c r="AL63" s="778" cm="1">
        <f t="array" aca="1" ref="AL63" ca="1">IF(AL$21&lt;Standard_Year,'No STDs Case Rev &amp; Cost'!AL63,
OFFSET(MSP!$C$1,
MATCH(OFFSET($C62,((MATCH($C62,EL_List,0)-1)*-10)-1,0),MSP!$C:$C,0)+MATCH($C62,EL_List,0)-1,
MATCH(OFFSET($C62,((MATCH($C62,EL_List,0)-1)*-10)-3,0),MSP!$D$5:$N$5,0)+1)
*INDEX(Learning!$E$6:$S$41,(MATCH(AL$21,Dates,0)),(MATCH($C$21,Learning!$E$4:$S$4,0)+MATCH($C$62,Learning!$E$5:$S$5,0)-1)))</f>
        <v>56.348334000000001</v>
      </c>
      <c r="AM63" s="778" cm="1">
        <f t="array" aca="1" ref="AM63" ca="1">IF(AM$21&lt;Standard_Year,'No STDs Case Rev &amp; Cost'!AM63,
OFFSET(MSP!$C$1,
MATCH(OFFSET($C62,((MATCH($C62,EL_List,0)-1)*-10)-1,0),MSP!$C:$C,0)+MATCH($C62,EL_List,0)-1,
MATCH(OFFSET($C62,((MATCH($C62,EL_List,0)-1)*-10)-3,0),MSP!$D$5:$N$5,0)+1)
*INDEX(Learning!$E$6:$S$41,(MATCH(AM$21,Dates,0)),(MATCH($C$21,Learning!$E$4:$S$4,0)+MATCH($C$62,Learning!$E$5:$S$5,0)-1)))</f>
        <v>56.092786000000004</v>
      </c>
      <c r="AN63" s="778" cm="1">
        <f t="array" aca="1" ref="AN63" ca="1">IF(AN$21&lt;Standard_Year,'No STDs Case Rev &amp; Cost'!AN63,
OFFSET(MSP!$C$1,
MATCH(OFFSET($C62,((MATCH($C62,EL_List,0)-1)*-10)-1,0),MSP!$C:$C,0)+MATCH($C62,EL_List,0)-1,
MATCH(OFFSET($C62,((MATCH($C62,EL_List,0)-1)*-10)-3,0),MSP!$D$5:$N$5,0)+1)
*INDEX(Learning!$E$6:$S$41,(MATCH(AN$21,Dates,0)),(MATCH($C$21,Learning!$E$4:$S$4,0)+MATCH($C$62,Learning!$E$5:$S$5,0)-1)))</f>
        <v>55.880298995563471</v>
      </c>
      <c r="AO63" s="436"/>
      <c r="AP63" s="21"/>
    </row>
    <row r="64" spans="2:42" ht="15" customHeight="1" x14ac:dyDescent="0.35">
      <c r="B64" s="429"/>
      <c r="C64" s="777" t="s">
        <v>78</v>
      </c>
      <c r="D64" s="776"/>
      <c r="E64" s="530">
        <f ca="1">OFFSET(OFFSET(Shipments!$D$1,0,MATCH(E$7,Dates)),
MATCH(OFFSET($C62,((MATCH($C62,EL_List,0)-1)*-10)-3,0),Shipments!$C:$C,0)+
MATCH(OFFSET($C62,((MATCH($C62,EL_List,0)-1)*-10)-1,0),Shipments!$D:$D,0)+
MATCH($C62,EL_List,0)-10,
MATCH(Shipments_Scenario_X,Shipments!$F$5:$AQ$5,0))</f>
        <v>6.5341321286596976E-2</v>
      </c>
      <c r="F64" s="530">
        <f ca="1">OFFSET(OFFSET(Shipments!$D$1,0,MATCH(F$7,Dates)),
MATCH(OFFSET($C62,((MATCH($C62,EL_List,0)-1)*-10)-3,0),Shipments!$C:$C,0)+
MATCH(OFFSET($C62,((MATCH($C62,EL_List,0)-1)*-10)-1,0),Shipments!$D:$D,0)+
MATCH($C62,EL_List,0)-10,
MATCH(Shipments_Scenario_X,Shipments!$F$5:$AQ$5,0))</f>
        <v>6.8263290754879441E-2</v>
      </c>
      <c r="G64" s="530">
        <f ca="1">OFFSET(OFFSET(Shipments!$D$1,0,MATCH(G$7,Dates)),
MATCH(OFFSET($C62,((MATCH($C62,EL_List,0)-1)*-10)-3,0),Shipments!$C:$C,0)+
MATCH(OFFSET($C62,((MATCH($C62,EL_List,0)-1)*-10)-1,0),Shipments!$D:$D,0)+
MATCH($C62,EL_List,0)-10,
MATCH(Shipments_Scenario_X,Shipments!$F$5:$AQ$5,0))</f>
        <v>7.0881694402255557E-2</v>
      </c>
      <c r="H64" s="530">
        <f ca="1">OFFSET(OFFSET(Shipments!$D$1,0,MATCH(H$7,Dates)),
MATCH(OFFSET($C62,((MATCH($C62,EL_List,0)-1)*-10)-3,0),Shipments!$C:$C,0)+
MATCH(OFFSET($C62,((MATCH($C62,EL_List,0)-1)*-10)-1,0),Shipments!$D:$D,0)+
MATCH($C62,EL_List,0)-10,
MATCH(Shipments_Scenario_X,Shipments!$F$5:$AQ$5,0))</f>
        <v>7.4210511297664927E-2</v>
      </c>
      <c r="I64" s="530">
        <f ca="1">OFFSET(OFFSET(Shipments!$D$1,0,MATCH(I$7,Dates)),
MATCH(OFFSET($C62,((MATCH($C62,EL_List,0)-1)*-10)-3,0),Shipments!$C:$C,0)+
MATCH(OFFSET($C62,((MATCH($C62,EL_List,0)-1)*-10)-1,0),Shipments!$D:$D,0)+
MATCH($C62,EL_List,0)-10,
MATCH(Shipments_Scenario_X,Shipments!$F$5:$AQ$5,0))</f>
        <v>7.7782430586895435E-2</v>
      </c>
      <c r="J64" s="530">
        <f ca="1">OFFSET(OFFSET(Shipments!$D$1,0,MATCH(J$7,Dates)),
MATCH(OFFSET($C62,((MATCH($C62,EL_List,0)-1)*-10)-3,0),Shipments!$C:$C,0)+
MATCH(OFFSET($C62,((MATCH($C62,EL_List,0)-1)*-10)-1,0),Shipments!$D:$D,0)+
MATCH($C62,EL_List,0)-10,
MATCH(Shipments_Scenario_X,Shipments!$F$5:$AQ$5,0))</f>
        <v>8.1735439362226853E-2</v>
      </c>
      <c r="K64" s="530">
        <f ca="1">OFFSET(OFFSET(Shipments!$D$1,0,MATCH(K$7,Dates)),
MATCH(OFFSET($C62,((MATCH($C62,EL_List,0)-1)*-10)-3,0),Shipments!$C:$C,0)+
MATCH(OFFSET($C62,((MATCH($C62,EL_List,0)-1)*-10)-1,0),Shipments!$D:$D,0)+
MATCH($C62,EL_List,0)-10,
MATCH(Shipments_Scenario_X,Shipments!$F$5:$AQ$5,0))</f>
        <v>8.6023040614946103E-2</v>
      </c>
      <c r="L64" s="530">
        <f ca="1">OFFSET(OFFSET(Shipments!$D$1,0,MATCH(L$7,Dates)),
MATCH(OFFSET($C62,((MATCH($C62,EL_List,0)-1)*-10)-3,0),Shipments!$C:$C,0)+
MATCH(OFFSET($C62,((MATCH($C62,EL_List,0)-1)*-10)-1,0),Shipments!$D:$D,0)+
MATCH($C62,EL_List,0)-10,
MATCH(Shipments_Scenario_X,Shipments!$F$5:$AQ$5,0))</f>
        <v>9.0575448467766911E-2</v>
      </c>
      <c r="M64" s="530">
        <f ca="1">OFFSET(OFFSET(Shipments!$D$1,0,MATCH(M$7,Dates)),
MATCH(OFFSET($C62,((MATCH($C62,EL_List,0)-1)*-10)-3,0),Shipments!$C:$C,0)+
MATCH(OFFSET($C62,((MATCH($C62,EL_List,0)-1)*-10)-1,0),Shipments!$D:$D,0)+
MATCH($C62,EL_List,0)-10,
MATCH(Shipments_Scenario_X,Shipments!$F$5:$AQ$5,0))</f>
        <v>9.5338203803386132E-2</v>
      </c>
      <c r="N64" s="530">
        <f ca="1">OFFSET(OFFSET(Shipments!$D$1,0,MATCH(N$7,Dates)),
MATCH(OFFSET($C62,((MATCH($C62,EL_List,0)-1)*-10)-3,0),Shipments!$C:$C,0)+
MATCH(OFFSET($C62,((MATCH($C62,EL_List,0)-1)*-10)-1,0),Shipments!$D:$D,0)+
MATCH($C62,EL_List,0)-10,
MATCH(Shipments_Scenario_X,Shipments!$F$5:$AQ$5,0))</f>
        <v>0.10027502281495268</v>
      </c>
      <c r="O64" s="530">
        <f ca="1">OFFSET(OFFSET(Shipments!$D$1,0,MATCH(O$7,Dates)),
MATCH(OFFSET($C62,((MATCH($C62,EL_List,0)-1)*-10)-3,0),Shipments!$C:$C,0)+
MATCH(OFFSET($C62,((MATCH($C62,EL_List,0)-1)*-10)-1,0),Shipments!$D:$D,0)+
MATCH($C62,EL_List,0)-10,
MATCH(Shipments_Scenario_X,Shipments!$F$5:$AQ$5,0))</f>
        <v>0.10538377354703587</v>
      </c>
      <c r="P64" s="530">
        <f ca="1">OFFSET(OFFSET(Shipments!$D$1,0,MATCH(P$7,Dates)),
MATCH(OFFSET($C62,((MATCH($C62,EL_List,0)-1)*-10)-3,0),Shipments!$C:$C,0)+
MATCH(OFFSET($C62,((MATCH($C62,EL_List,0)-1)*-10)-1,0),Shipments!$D:$D,0)+
MATCH($C62,EL_List,0)-10,
MATCH(Shipments_Scenario_X,Shipments!$F$5:$AQ$5,0))</f>
        <v>0.11068633612998055</v>
      </c>
      <c r="Q64" s="530">
        <f ca="1">OFFSET(OFFSET(Shipments!$D$1,0,MATCH(Q$7,Dates)),
MATCH(OFFSET($C62,((MATCH($C62,EL_List,0)-1)*-10)-3,0),Shipments!$C:$C,0)+
MATCH(OFFSET($C62,((MATCH($C62,EL_List,0)-1)*-10)-1,0),Shipments!$D:$D,0)+
MATCH($C62,EL_List,0)-10,
MATCH(Shipments_Scenario_X,Shipments!$F$5:$AQ$5,0))</f>
        <v>0.11621614086257351</v>
      </c>
      <c r="R64" s="530">
        <f ca="1">OFFSET(OFFSET(Shipments!$D$1,0,MATCH(R$7,Dates)),
MATCH(OFFSET($C62,((MATCH($C62,EL_List,0)-1)*-10)-3,0),Shipments!$C:$C,0)+
MATCH(OFFSET($C62,((MATCH($C62,EL_List,0)-1)*-10)-1,0),Shipments!$D:$D,0)+
MATCH($C62,EL_List,0)-10,
MATCH(Shipments_Scenario_X,Shipments!$F$5:$AQ$5,0))</f>
        <v>0.12201221091713968</v>
      </c>
      <c r="S64" s="530">
        <f ca="1">OFFSET(OFFSET(Shipments!$D$1,0,MATCH(S$7,Dates)),
MATCH(OFFSET($C62,((MATCH($C62,EL_List,0)-1)*-10)-3,0),Shipments!$C:$C,0)+
MATCH(OFFSET($C62,((MATCH($C62,EL_List,0)-1)*-10)-1,0),Shipments!$D:$D,0)+
MATCH($C62,EL_List,0)-10,
MATCH(Shipments_Scenario_X,Shipments!$F$5:$AQ$5,0))</f>
        <v>0.12810734212501415</v>
      </c>
      <c r="T64" s="530">
        <f ca="1">OFFSET(OFFSET(Shipments!$D$1,0,MATCH(T$7,Dates)),
MATCH(OFFSET($C62,((MATCH($C62,EL_List,0)-1)*-10)-3,0),Shipments!$C:$C,0)+
MATCH(OFFSET($C62,((MATCH($C62,EL_List,0)-1)*-10)-1,0),Shipments!$D:$D,0)+
MATCH($C62,EL_List,0)-10,
MATCH(Shipments_Scenario_X,Shipments!$F$5:$AQ$5,0))</f>
        <v>0.13452228456476095</v>
      </c>
      <c r="U64" s="530">
        <f ca="1">OFFSET(OFFSET(Shipments!$D$1,0,MATCH(U$7,Dates)),
MATCH(OFFSET($C62,((MATCH($C62,EL_List,0)-1)*-10)-3,0),Shipments!$C:$C,0)+
MATCH(OFFSET($C62,((MATCH($C62,EL_List,0)-1)*-10)-1,0),Shipments!$D:$D,0)+
MATCH($C62,EL_List,0)-10,
MATCH(Shipments_Scenario_X,Shipments!$F$5:$AQ$5,0))</f>
        <v>0.14128010003407737</v>
      </c>
      <c r="V64" s="530">
        <f ca="1">OFFSET(OFFSET(Shipments!$D$1,0,MATCH(V$7,Dates)),
MATCH(OFFSET($C62,((MATCH($C62,EL_List,0)-1)*-10)-3,0),Shipments!$C:$C,0)+
MATCH(OFFSET($C62,((MATCH($C62,EL_List,0)-1)*-10)-1,0),Shipments!$D:$D,0)+
MATCH($C62,EL_List,0)-10,
MATCH(Shipments_Scenario_X,Shipments!$F$5:$AQ$5,0))</f>
        <v>0.14836724609566665</v>
      </c>
      <c r="W64" s="530">
        <f ca="1">OFFSET(OFFSET(Shipments!$D$1,0,MATCH(W$7,Dates)),
MATCH(OFFSET($C62,((MATCH($C62,EL_List,0)-1)*-10)-3,0),Shipments!$C:$C,0)+
MATCH(OFFSET($C62,((MATCH($C62,EL_List,0)-1)*-10)-1,0),Shipments!$D:$D,0)+
MATCH($C62,EL_List,0)-10,
MATCH(Shipments_Scenario_X,Shipments!$F$5:$AQ$5,0))</f>
        <v>0.15580525956539967</v>
      </c>
      <c r="X64" s="530">
        <f ca="1">OFFSET(OFFSET(Shipments!$D$1,0,MATCH(X$7,Dates)),
MATCH(OFFSET($C62,((MATCH($C62,EL_List,0)-1)*-10)-3,0),Shipments!$C:$C,0)+
MATCH(OFFSET($C62,((MATCH($C62,EL_List,0)-1)*-10)-1,0),Shipments!$D:$D,0)+
MATCH($C62,EL_List,0)-10,
MATCH(Shipments_Scenario_X,Shipments!$F$5:$AQ$5,0))</f>
        <v>0.16360312083923689</v>
      </c>
      <c r="Y64" s="530">
        <f ca="1">OFFSET(OFFSET(Shipments!$D$1,0,MATCH(Y$7,Dates)),
MATCH(OFFSET($C62,((MATCH($C62,EL_List,0)-1)*-10)-3,0),Shipments!$C:$C,0)+
MATCH(OFFSET($C62,((MATCH($C62,EL_List,0)-1)*-10)-1,0),Shipments!$D:$D,0)+
MATCH($C62,EL_List,0)-10,
MATCH(Shipments_Scenario_X,Shipments!$F$5:$AQ$5,0))</f>
        <v>0.17177411233362033</v>
      </c>
      <c r="Z64" s="530">
        <f ca="1">OFFSET(OFFSET(Shipments!$D$1,0,MATCH(Z$7,Dates)),
MATCH(OFFSET($C62,((MATCH($C62,EL_List,0)-1)*-10)-3,0),Shipments!$C:$C,0)+
MATCH(OFFSET($C62,((MATCH($C62,EL_List,0)-1)*-10)-1,0),Shipments!$D:$D,0)+
MATCH($C62,EL_List,0)-10,
MATCH(Shipments_Scenario_X,Shipments!$F$5:$AQ$5,0))</f>
        <v>0.18033604192601005</v>
      </c>
      <c r="AA64" s="530">
        <f ca="1">OFFSET(OFFSET(Shipments!$D$1,0,MATCH(AA$7,Dates)),
MATCH(OFFSET($C62,((MATCH($C62,EL_List,0)-1)*-10)-3,0),Shipments!$C:$C,0)+
MATCH(OFFSET($C62,((MATCH($C62,EL_List,0)-1)*-10)-1,0),Shipments!$D:$D,0)+
MATCH($C62,EL_List,0)-10,
MATCH(Shipments_Scenario_X,Shipments!$F$5:$AQ$5,0))</f>
        <v>0.18930945119147641</v>
      </c>
      <c r="AB64" s="530">
        <f ca="1">OFFSET(OFFSET(Shipments!$D$1,0,MATCH(AB$7,Dates)),
MATCH(OFFSET($C62,((MATCH($C62,EL_List,0)-1)*-10)-3,0),Shipments!$C:$C,0)+
MATCH(OFFSET($C62,((MATCH($C62,EL_List,0)-1)*-10)-1,0),Shipments!$D:$D,0)+
MATCH($C62,EL_List,0)-10,
MATCH(Shipments_Scenario_X,Shipments!$F$5:$AQ$5,0))</f>
        <v>0.19871788773796306</v>
      </c>
      <c r="AC64" s="530">
        <f ca="1">OFFSET(OFFSET(Shipments!$D$1,0,MATCH(AC$7,Dates)),
MATCH(OFFSET($C62,((MATCH($C62,EL_List,0)-1)*-10)-3,0),Shipments!$C:$C,0)+
MATCH(OFFSET($C62,((MATCH($C62,EL_List,0)-1)*-10)-1,0),Shipments!$D:$D,0)+
MATCH($C62,EL_List,0)-10,
MATCH(Shipments_Scenario_X,Shipments!$F$5:$AQ$5,0))</f>
        <v>0.20858513738896511</v>
      </c>
      <c r="AD64" s="530">
        <f ca="1">OFFSET(OFFSET(Shipments!$D$1,0,MATCH(AD$7,Dates)),
MATCH(OFFSET($C62,((MATCH($C62,EL_List,0)-1)*-10)-3,0),Shipments!$C:$C,0)+
MATCH(OFFSET($C62,((MATCH($C62,EL_List,0)-1)*-10)-1,0),Shipments!$D:$D,0)+
MATCH($C62,EL_List,0)-10,
MATCH(Shipments_Scenario_X,Shipments!$F$5:$AQ$5,0))</f>
        <v>0.21893511887504069</v>
      </c>
      <c r="AE64" s="530">
        <f ca="1">OFFSET(OFFSET(Shipments!$D$1,0,MATCH(AE$7,Dates)),
MATCH(OFFSET($C62,((MATCH($C62,EL_List,0)-1)*-10)-3,0),Shipments!$C:$C,0)+
MATCH(OFFSET($C62,((MATCH($C62,EL_List,0)-1)*-10)-1,0),Shipments!$D:$D,0)+
MATCH($C62,EL_List,0)-10,
MATCH(Shipments_Scenario_X,Shipments!$F$5:$AQ$5,0))</f>
        <v>0.2297917561243612</v>
      </c>
      <c r="AF64" s="530">
        <f ca="1">OFFSET(OFFSET(Shipments!$D$1,0,MATCH(AF$7,Dates)),
MATCH(OFFSET($C62,((MATCH($C62,EL_List,0)-1)*-10)-3,0),Shipments!$C:$C,0)+
MATCH(OFFSET($C62,((MATCH($C62,EL_List,0)-1)*-10)-1,0),Shipments!$D:$D,0)+
MATCH($C62,EL_List,0)-10,
MATCH(Shipments_Scenario_X,Shipments!$F$5:$AQ$5,0))</f>
        <v>0.24117920977691049</v>
      </c>
      <c r="AG64" s="530">
        <f ca="1">OFFSET(OFFSET(Shipments!$D$1,0,MATCH(AG$7,Dates)),
MATCH(OFFSET($C62,((MATCH($C62,EL_List,0)-1)*-10)-3,0),Shipments!$C:$C,0)+
MATCH(OFFSET($C62,((MATCH($C62,EL_List,0)-1)*-10)-1,0),Shipments!$D:$D,0)+
MATCH($C62,EL_List,0)-10,
MATCH(Shipments_Scenario_X,Shipments!$F$5:$AQ$5,0))</f>
        <v>0.25312239024218003</v>
      </c>
      <c r="AH64" s="530">
        <f ca="1">OFFSET(OFFSET(Shipments!$D$1,0,MATCH(AH$7,Dates)),
MATCH(OFFSET($C62,((MATCH($C62,EL_List,0)-1)*-10)-3,0),Shipments!$C:$C,0)+
MATCH(OFFSET($C62,((MATCH($C62,EL_List,0)-1)*-10)-1,0),Shipments!$D:$D,0)+
MATCH($C62,EL_List,0)-10,
MATCH(Shipments_Scenario_X,Shipments!$F$5:$AQ$5,0))</f>
        <v>0.26564742047235612</v>
      </c>
      <c r="AI64" s="530">
        <f ca="1">OFFSET(OFFSET(Shipments!$D$1,0,MATCH(AI$7,Dates)),
MATCH(OFFSET($C62,((MATCH($C62,EL_List,0)-1)*-10)-3,0),Shipments!$C:$C,0)+
MATCH(OFFSET($C62,((MATCH($C62,EL_List,0)-1)*-10)-1,0),Shipments!$D:$D,0)+
MATCH($C62,EL_List,0)-10,
MATCH(Shipments_Scenario_X,Shipments!$F$5:$AQ$5,0))</f>
        <v>0.27878198546576272</v>
      </c>
      <c r="AJ64" s="530">
        <f ca="1">OFFSET(OFFSET(Shipments!$D$1,0,MATCH(AJ$7,Dates)),
MATCH(OFFSET($C62,((MATCH($C62,EL_List,0)-1)*-10)-3,0),Shipments!$C:$C,0)+
MATCH(OFFSET($C62,((MATCH($C62,EL_List,0)-1)*-10)-1,0),Shipments!$D:$D,0)+
MATCH($C62,EL_List,0)-10,
MATCH(Shipments_Scenario_X,Shipments!$F$5:$AQ$5,0))</f>
        <v>0.29255552314271704</v>
      </c>
      <c r="AK64" s="530">
        <f ca="1">OFFSET(OFFSET(Shipments!$D$1,0,MATCH(AK$7,Dates)),
MATCH(OFFSET($C62,((MATCH($C62,EL_List,0)-1)*-10)-3,0),Shipments!$C:$C,0)+
MATCH(OFFSET($C62,((MATCH($C62,EL_List,0)-1)*-10)-1,0),Shipments!$D:$D,0)+
MATCH($C62,EL_List,0)-10,
MATCH(Shipments_Scenario_X,Shipments!$F$5:$AQ$5,0))</f>
        <v>0.30699924121570293</v>
      </c>
      <c r="AL64" s="530">
        <f ca="1">OFFSET(OFFSET(Shipments!$D$1,0,MATCH(AL$7,Dates)),
MATCH(OFFSET($C62,((MATCH($C62,EL_List,0)-1)*-10)-3,0),Shipments!$C:$C,0)+
MATCH(OFFSET($C62,((MATCH($C62,EL_List,0)-1)*-10)-1,0),Shipments!$D:$D,0)+
MATCH($C62,EL_List,0)-10,
MATCH(Shipments_Scenario_X,Shipments!$F$5:$AQ$5,0))</f>
        <v>0.32214605982752642</v>
      </c>
      <c r="AM64" s="530">
        <f ca="1">OFFSET(OFFSET(Shipments!$D$1,0,MATCH(AM$7,Dates)),
MATCH(OFFSET($C62,((MATCH($C62,EL_List,0)-1)*-10)-3,0),Shipments!$C:$C,0)+
MATCH(OFFSET($C62,((MATCH($C62,EL_List,0)-1)*-10)-1,0),Shipments!$D:$D,0)+
MATCH($C62,EL_List,0)-10,
MATCH(Shipments_Scenario_X,Shipments!$F$5:$AQ$5,0))</f>
        <v>0.33803057340678311</v>
      </c>
      <c r="AN64" s="530">
        <f ca="1">OFFSET(OFFSET(Shipments!$D$1,0,MATCH(AN$7,Dates)),
MATCH(OFFSET($C62,((MATCH($C62,EL_List,0)-1)*-10)-3,0),Shipments!$C:$C,0)+
MATCH(OFFSET($C62,((MATCH($C62,EL_List,0)-1)*-10)-1,0),Shipments!$D:$D,0)+
MATCH($C62,EL_List,0)-10,
MATCH(Shipments_Scenario_X,Shipments!$F$5:$AQ$5,0))</f>
        <v>0.35468891350687004</v>
      </c>
      <c r="AO64" s="436"/>
      <c r="AP64" s="21"/>
    </row>
    <row r="65" spans="2:42" ht="15" customHeight="1" x14ac:dyDescent="0.35">
      <c r="B65" s="429"/>
      <c r="C65" s="777" t="s">
        <v>79</v>
      </c>
      <c r="D65" s="776"/>
      <c r="E65" s="531">
        <f t="shared" ref="E65:AN65" ca="1" si="17">E63*E64</f>
        <v>4.3414394327582944</v>
      </c>
      <c r="F65" s="531">
        <f t="shared" ca="1" si="17"/>
        <v>4.5050543727200623</v>
      </c>
      <c r="G65" s="531">
        <f t="shared" ca="1" si="17"/>
        <v>4.6461576993441005</v>
      </c>
      <c r="H65" s="531">
        <f t="shared" ca="1" si="17"/>
        <v>4.8311675870441233</v>
      </c>
      <c r="I65" s="531">
        <f t="shared" ca="1" si="17"/>
        <v>5.0289175766198486</v>
      </c>
      <c r="J65" s="531">
        <f t="shared" ca="1" si="17"/>
        <v>5.2531630066217954</v>
      </c>
      <c r="K65" s="531">
        <f t="shared" ca="1" si="17"/>
        <v>5.4957539957670614</v>
      </c>
      <c r="L65" s="531">
        <f t="shared" ca="1" si="17"/>
        <v>5.7518741142026633</v>
      </c>
      <c r="M65" s="531">
        <f t="shared" ca="1" si="17"/>
        <v>6.0238722362966737</v>
      </c>
      <c r="N65" s="531">
        <f t="shared" ca="1" si="17"/>
        <v>6.2973637860750413</v>
      </c>
      <c r="O65" s="531">
        <f t="shared" ca="1" si="17"/>
        <v>6.5845347715062923</v>
      </c>
      <c r="P65" s="531">
        <f t="shared" ca="1" si="17"/>
        <v>6.8804896715149937</v>
      </c>
      <c r="Q65" s="531">
        <f t="shared" ca="1" si="17"/>
        <v>7.187110172366042</v>
      </c>
      <c r="R65" s="531">
        <f t="shared" ca="1" si="17"/>
        <v>7.5065793364653608</v>
      </c>
      <c r="S65" s="531">
        <f t="shared" ca="1" si="17"/>
        <v>7.840649228154466</v>
      </c>
      <c r="T65" s="531">
        <f t="shared" ca="1" si="17"/>
        <v>8.190296609871405</v>
      </c>
      <c r="U65" s="531">
        <f t="shared" ca="1" si="17"/>
        <v>8.5656377015823679</v>
      </c>
      <c r="V65" s="531">
        <f t="shared" ca="1" si="17"/>
        <v>8.9479289092402787</v>
      </c>
      <c r="W65" s="531">
        <f t="shared" ca="1" si="17"/>
        <v>9.3566947807834069</v>
      </c>
      <c r="X65" s="531">
        <f t="shared" ca="1" si="17"/>
        <v>9.783177375868723</v>
      </c>
      <c r="Y65" s="531">
        <f t="shared" ca="1" si="17"/>
        <v>10.2169175573466</v>
      </c>
      <c r="Z65" s="531">
        <f t="shared" ca="1" si="17"/>
        <v>10.680086314658533</v>
      </c>
      <c r="AA65" s="531">
        <f t="shared" ca="1" si="17"/>
        <v>11.163143114333076</v>
      </c>
      <c r="AB65" s="531">
        <f t="shared" ca="1" si="17"/>
        <v>11.667155028708111</v>
      </c>
      <c r="AC65" s="531">
        <f t="shared" ca="1" si="17"/>
        <v>12.193178985217466</v>
      </c>
      <c r="AD65" s="531">
        <f t="shared" ca="1" si="17"/>
        <v>12.742255332948021</v>
      </c>
      <c r="AE65" s="531">
        <f t="shared" ca="1" si="17"/>
        <v>13.315400272629978</v>
      </c>
      <c r="AF65" s="531">
        <f t="shared" ca="1" si="17"/>
        <v>13.913619206040785</v>
      </c>
      <c r="AG65" s="531">
        <f t="shared" ca="1" si="17"/>
        <v>14.55410713086194</v>
      </c>
      <c r="AH65" s="531">
        <f t="shared" ca="1" si="17"/>
        <v>15.206389409538804</v>
      </c>
      <c r="AI65" s="531">
        <f t="shared" ca="1" si="17"/>
        <v>15.887005877262455</v>
      </c>
      <c r="AJ65" s="531">
        <f t="shared" ca="1" si="17"/>
        <v>16.615849794539681</v>
      </c>
      <c r="AK65" s="531">
        <f t="shared" ca="1" si="17"/>
        <v>17.357735563339638</v>
      </c>
      <c r="AL65" s="531">
        <f t="shared" ca="1" si="17"/>
        <v>18.152393775945441</v>
      </c>
      <c r="AM65" s="531">
        <f t="shared" ref="AM65" ca="1" si="18">AM63*AM64</f>
        <v>18.961076615563979</v>
      </c>
      <c r="AN65" s="531">
        <f t="shared" ca="1" si="17"/>
        <v>19.82012253717545</v>
      </c>
      <c r="AO65" s="436"/>
      <c r="AP65" s="21"/>
    </row>
    <row r="66" spans="2:42" ht="15" customHeight="1" x14ac:dyDescent="0.35">
      <c r="B66" s="429"/>
      <c r="C66" s="777"/>
      <c r="D66" s="776"/>
      <c r="E66" s="776"/>
      <c r="F66" s="776"/>
      <c r="G66" s="776"/>
      <c r="H66" s="776"/>
      <c r="I66" s="776"/>
      <c r="J66" s="776"/>
      <c r="K66" s="776"/>
      <c r="L66" s="776"/>
      <c r="M66" s="776"/>
      <c r="N66" s="776"/>
      <c r="O66" s="776"/>
      <c r="P66" s="776"/>
      <c r="Q66" s="776"/>
      <c r="R66" s="776"/>
      <c r="S66" s="776"/>
      <c r="T66" s="776"/>
      <c r="U66" s="776"/>
      <c r="V66" s="776"/>
      <c r="W66" s="776"/>
      <c r="X66" s="776"/>
      <c r="Y66" s="776"/>
      <c r="Z66" s="776"/>
      <c r="AA66" s="776"/>
      <c r="AB66" s="776"/>
      <c r="AC66" s="776"/>
      <c r="AD66" s="776"/>
      <c r="AE66" s="776"/>
      <c r="AF66" s="776"/>
      <c r="AG66" s="776"/>
      <c r="AH66" s="776"/>
      <c r="AI66" s="776"/>
      <c r="AJ66" s="776"/>
      <c r="AK66" s="776"/>
      <c r="AL66" s="776"/>
      <c r="AM66" s="776"/>
      <c r="AN66" s="776"/>
      <c r="AO66" s="436"/>
      <c r="AP66" s="21"/>
    </row>
    <row r="67" spans="2:42" ht="15" customHeight="1" x14ac:dyDescent="0.35">
      <c r="B67" s="429"/>
      <c r="C67" s="780" t="s">
        <v>212</v>
      </c>
      <c r="D67" s="776"/>
      <c r="E67" s="532" cm="1">
        <f t="array" aca="1" ref="E67" ca="1">IF(E$21&lt;Standard_Year,'No STDs Case Rev &amp; Cost'!E67,
OFFSET(E67,-3,0)*
OFFSET(MSP!$D$1,
MATCH(OFFSET($C62,((MATCH($C62,EL_List,0)-1)*-10)-1,0),MSP!$C:$C,0)+MATCH($C62,EL_List,0)-1,0)
*INDEX(Learning!$E$6:$S$41,(MATCH(E$21,Dates,0)),(MATCH($C$21,Learning!$E$4:$S$4,0)+MATCH($C$62,Learning!$E$5:$S$5,0)-1)))</f>
        <v>2.7261622971897199</v>
      </c>
      <c r="F67" s="532" cm="1">
        <f t="array" aca="1" ref="F67" ca="1">IF(F$21&lt;Standard_Year,'No STDs Case Rev &amp; Cost'!F67,
OFFSET(F67,-3,0)*
OFFSET(MSP!$D$1,
MATCH(OFFSET($C62,((MATCH($C62,EL_List,0)-1)*-10)-1,0),MSP!$C:$C,0)+MATCH($C62,EL_List,0)-1,0)
*INDEX(Learning!$E$6:$S$41,(MATCH(F$21,Dates,0)),(MATCH($C$21,Learning!$E$4:$S$4,0)+MATCH($C$62,Learning!$E$5:$S$5,0)-1)))</f>
        <v>2.8289026181107344</v>
      </c>
      <c r="G67" s="532" cm="1">
        <f t="array" aca="1" ref="G67" ca="1">IF(G$21&lt;Standard_Year,'No STDs Case Rev &amp; Cost'!G67,
OFFSET(G67,-3,0)*
OFFSET(MSP!$D$1,
MATCH(OFFSET($C62,((MATCH($C62,EL_List,0)-1)*-10)-1,0),MSP!$C:$C,0)+MATCH($C62,EL_List,0)-1,0)
*INDEX(Learning!$E$6:$S$41,(MATCH(G$21,Dates,0)),(MATCH($C$21,Learning!$E$4:$S$4,0)+MATCH($C$62,Learning!$E$5:$S$5,0)-1)))</f>
        <v>2.9175070026722172</v>
      </c>
      <c r="H67" s="532" cm="1">
        <f t="array" aca="1" ref="H67" ca="1">IF(H$21&lt;Standard_Year,'No STDs Case Rev &amp; Cost'!H67,
OFFSET(H67,-3,0)*
OFFSET(MSP!$D$1,
MATCH(OFFSET($C62,((MATCH($C62,EL_List,0)-1)*-10)-1,0),MSP!$C:$C,0)+MATCH($C62,EL_List,0)-1,0)
*INDEX(Learning!$E$6:$S$41,(MATCH(H$21,Dates,0)),(MATCH($C$21,Learning!$E$4:$S$4,0)+MATCH($C$62,Learning!$E$5:$S$5,0)-1)))</f>
        <v>3.0336820612597921</v>
      </c>
      <c r="I67" s="532" cm="1">
        <f t="array" aca="1" ref="I67" ca="1">IF(I$21&lt;Standard_Year,'No STDs Case Rev &amp; Cost'!I67,
OFFSET(I67,-3,0)*
OFFSET(MSP!$D$1,
MATCH(OFFSET($C62,((MATCH($C62,EL_List,0)-1)*-10)-1,0),MSP!$C:$C,0)+MATCH($C62,EL_List,0)-1,0)
*INDEX(Learning!$E$6:$S$41,(MATCH(I$21,Dates,0)),(MATCH($C$21,Learning!$E$4:$S$4,0)+MATCH($C$62,Learning!$E$5:$S$5,0)-1)))</f>
        <v>3.157857135955811</v>
      </c>
      <c r="J67" s="532" cm="1">
        <f t="array" aca="1" ref="J67" ca="1">IF(J$21&lt;Standard_Year,'No STDs Case Rev &amp; Cost'!J67,
OFFSET(J67,-3,0)*
OFFSET(MSP!$D$1,
MATCH(OFFSET($C62,((MATCH($C62,EL_List,0)-1)*-10)-1,0),MSP!$C:$C,0)+MATCH($C62,EL_List,0)-1,0)
*INDEX(Learning!$E$6:$S$41,(MATCH(J$21,Dates,0)),(MATCH($C$21,Learning!$E$4:$S$4,0)+MATCH($C$62,Learning!$E$5:$S$5,0)-1)))</f>
        <v>3.298669750310308</v>
      </c>
      <c r="K67" s="532" cm="1">
        <f t="array" aca="1" ref="K67" ca="1">IF(K$21&lt;Standard_Year,'No STDs Case Rev &amp; Cost'!K67,
OFFSET(K67,-3,0)*
OFFSET(MSP!$D$1,
MATCH(OFFSET($C62,((MATCH($C62,EL_List,0)-1)*-10)-1,0),MSP!$C:$C,0)+MATCH($C62,EL_List,0)-1,0)
*INDEX(Learning!$E$6:$S$41,(MATCH(K$21,Dates,0)),(MATCH($C$21,Learning!$E$4:$S$4,0)+MATCH($C$62,Learning!$E$5:$S$5,0)-1)))</f>
        <v>3.4510022700860383</v>
      </c>
      <c r="L67" s="532" cm="1">
        <f t="array" aca="1" ref="L67" ca="1">IF(L$21&lt;Standard_Year,'No STDs Case Rev &amp; Cost'!L67,
OFFSET(L67,-3,0)*
OFFSET(MSP!$D$1,
MATCH(OFFSET($C62,((MATCH($C62,EL_List,0)-1)*-10)-1,0),MSP!$C:$C,0)+MATCH($C62,EL_List,0)-1,0)
*INDEX(Learning!$E$6:$S$41,(MATCH(L$21,Dates,0)),(MATCH($C$21,Learning!$E$4:$S$4,0)+MATCH($C$62,Learning!$E$5:$S$5,0)-1)))</f>
        <v>3.6118302676304594</v>
      </c>
      <c r="M67" s="532" cm="1">
        <f t="array" aca="1" ref="M67" ca="1">IF(M$21&lt;Standard_Year,'No STDs Case Rev &amp; Cost'!M67,
OFFSET(M67,-3,0)*
OFFSET(MSP!$D$1,
MATCH(OFFSET($C62,((MATCH($C62,EL_List,0)-1)*-10)-1,0),MSP!$C:$C,0)+MATCH($C62,EL_List,0)-1,0)
*INDEX(Learning!$E$6:$S$41,(MATCH(M$21,Dates,0)),(MATCH($C$21,Learning!$E$4:$S$4,0)+MATCH($C$62,Learning!$E$5:$S$5,0)-1)))</f>
        <v>3.7826286944757199</v>
      </c>
      <c r="N67" s="532" cm="1">
        <f t="array" aca="1" ref="N67" ca="1">IF(N$21&lt;Standard_Year,'No STDs Case Rev &amp; Cost'!N67,
OFFSET(N67,-3,0)*
OFFSET(MSP!$D$1,
MATCH(OFFSET($C62,((MATCH($C62,EL_List,0)-1)*-10)-1,0),MSP!$C:$C,0)+MATCH($C62,EL_List,0)-1,0)
*INDEX(Learning!$E$6:$S$41,(MATCH(N$21,Dates,0)),(MATCH($C$21,Learning!$E$4:$S$4,0)+MATCH($C$62,Learning!$E$5:$S$5,0)-1)))</f>
        <v>3.9543649038951085</v>
      </c>
      <c r="O67" s="532" cm="1">
        <f t="array" aca="1" ref="O67" ca="1">IF(O$21&lt;Standard_Year,'No STDs Case Rev &amp; Cost'!O67,
OFFSET(O67,-3,0)*
OFFSET(MSP!$D$1,
MATCH(OFFSET($C62,((MATCH($C62,EL_List,0)-1)*-10)-1,0),MSP!$C:$C,0)+MATCH($C62,EL_List,0)-1,0)
*INDEX(Learning!$E$6:$S$41,(MATCH(O$21,Dates,0)),(MATCH($C$21,Learning!$E$4:$S$4,0)+MATCH($C$62,Learning!$E$5:$S$5,0)-1)))</f>
        <v>4.1346909744196267</v>
      </c>
      <c r="P67" s="532" cm="1">
        <f t="array" aca="1" ref="P67" ca="1">IF(P$21&lt;Standard_Year,'No STDs Case Rev &amp; Cost'!P67,
OFFSET(P67,-3,0)*
OFFSET(MSP!$D$1,
MATCH(OFFSET($C62,((MATCH($C62,EL_List,0)-1)*-10)-1,0),MSP!$C:$C,0)+MATCH($C62,EL_List,0)-1,0)
*INDEX(Learning!$E$6:$S$41,(MATCH(P$21,Dates,0)),(MATCH($C$21,Learning!$E$4:$S$4,0)+MATCH($C$62,Learning!$E$5:$S$5,0)-1)))</f>
        <v>4.3205328138760093</v>
      </c>
      <c r="Q67" s="532" cm="1">
        <f t="array" aca="1" ref="Q67" ca="1">IF(Q$21&lt;Standard_Year,'No STDs Case Rev &amp; Cost'!Q67,
OFFSET(Q67,-3,0)*
OFFSET(MSP!$D$1,
MATCH(OFFSET($C62,((MATCH($C62,EL_List,0)-1)*-10)-1,0),MSP!$C:$C,0)+MATCH($C62,EL_List,0)-1,0)
*INDEX(Learning!$E$6:$S$41,(MATCH(Q$21,Dates,0)),(MATCH($C$21,Learning!$E$4:$S$4,0)+MATCH($C$62,Learning!$E$5:$S$5,0)-1)))</f>
        <v>4.513072007825901</v>
      </c>
      <c r="R67" s="532" cm="1">
        <f t="array" aca="1" ref="R67" ca="1">IF(R$21&lt;Standard_Year,'No STDs Case Rev &amp; Cost'!R67,
OFFSET(R67,-3,0)*
OFFSET(MSP!$D$1,
MATCH(OFFSET($C62,((MATCH($C62,EL_List,0)-1)*-10)-1,0),MSP!$C:$C,0)+MATCH($C62,EL_List,0)-1,0)
*INDEX(Learning!$E$6:$S$41,(MATCH(R$21,Dates,0)),(MATCH($C$21,Learning!$E$4:$S$4,0)+MATCH($C$62,Learning!$E$5:$S$5,0)-1)))</f>
        <v>4.7136793878830137</v>
      </c>
      <c r="S67" s="532" cm="1">
        <f t="array" aca="1" ref="S67" ca="1">IF(S$21&lt;Standard_Year,'No STDs Case Rev &amp; Cost'!S67,
OFFSET(S67,-3,0)*
OFFSET(MSP!$D$1,
MATCH(OFFSET($C62,((MATCH($C62,EL_List,0)-1)*-10)-1,0),MSP!$C:$C,0)+MATCH($C62,EL_List,0)-1,0)
*INDEX(Learning!$E$6:$S$41,(MATCH(S$21,Dates,0)),(MATCH($C$21,Learning!$E$4:$S$4,0)+MATCH($C$62,Learning!$E$5:$S$5,0)-1)))</f>
        <v>4.9234551448536612</v>
      </c>
      <c r="T67" s="532" cm="1">
        <f t="array" aca="1" ref="T67" ca="1">IF(T$21&lt;Standard_Year,'No STDs Case Rev &amp; Cost'!T67,
OFFSET(T67,-3,0)*
OFFSET(MSP!$D$1,
MATCH(OFFSET($C62,((MATCH($C62,EL_List,0)-1)*-10)-1,0),MSP!$C:$C,0)+MATCH($C62,EL_List,0)-1,0)
*INDEX(Learning!$E$6:$S$41,(MATCH(T$21,Dates,0)),(MATCH($C$21,Learning!$E$4:$S$4,0)+MATCH($C$62,Learning!$E$5:$S$5,0)-1)))</f>
        <v>5.1430126266776606</v>
      </c>
      <c r="U67" s="532" cm="1">
        <f t="array" aca="1" ref="U67" ca="1">IF(U$21&lt;Standard_Year,'No STDs Case Rev &amp; Cost'!U67,
OFFSET(U67,-3,0)*
OFFSET(MSP!$D$1,
MATCH(OFFSET($C62,((MATCH($C62,EL_List,0)-1)*-10)-1,0),MSP!$C:$C,0)+MATCH($C62,EL_List,0)-1,0)
*INDEX(Learning!$E$6:$S$41,(MATCH(U$21,Dates,0)),(MATCH($C$21,Learning!$E$4:$S$4,0)+MATCH($C$62,Learning!$E$5:$S$5,0)-1)))</f>
        <v>5.3787042097704951</v>
      </c>
      <c r="V67" s="532" cm="1">
        <f t="array" aca="1" ref="V67" ca="1">IF(V$21&lt;Standard_Year,'No STDs Case Rev &amp; Cost'!V67,
OFFSET(V67,-3,0)*
OFFSET(MSP!$D$1,
MATCH(OFFSET($C62,((MATCH($C62,EL_List,0)-1)*-10)-1,0),MSP!$C:$C,0)+MATCH($C62,EL_List,0)-1,0)
*INDEX(Learning!$E$6:$S$41,(MATCH(V$21,Dates,0)),(MATCH($C$21,Learning!$E$4:$S$4,0)+MATCH($C$62,Learning!$E$5:$S$5,0)-1)))</f>
        <v>5.618760046781671</v>
      </c>
      <c r="W67" s="532" cm="1">
        <f t="array" aca="1" ref="W67" ca="1">IF(W$21&lt;Standard_Year,'No STDs Case Rev &amp; Cost'!W67,
OFFSET(W67,-3,0)*
OFFSET(MSP!$D$1,
MATCH(OFFSET($C62,((MATCH($C62,EL_List,0)-1)*-10)-1,0),MSP!$C:$C,0)+MATCH($C62,EL_List,0)-1,0)
*INDEX(Learning!$E$6:$S$41,(MATCH(W$21,Dates,0)),(MATCH($C$21,Learning!$E$4:$S$4,0)+MATCH($C$62,Learning!$E$5:$S$5,0)-1)))</f>
        <v>5.8754403770358179</v>
      </c>
      <c r="X67" s="532" cm="1">
        <f t="array" aca="1" ref="X67" ca="1">IF(X$21&lt;Standard_Year,'No STDs Case Rev &amp; Cost'!X67,
OFFSET(X67,-3,0)*
OFFSET(MSP!$D$1,
MATCH(OFFSET($C62,((MATCH($C62,EL_List,0)-1)*-10)-1,0),MSP!$C:$C,0)+MATCH($C62,EL_List,0)-1,0)
*INDEX(Learning!$E$6:$S$41,(MATCH(X$21,Dates,0)),(MATCH($C$21,Learning!$E$4:$S$4,0)+MATCH($C$62,Learning!$E$5:$S$5,0)-1)))</f>
        <v>6.1432457418547699</v>
      </c>
      <c r="Y67" s="532" cm="1">
        <f t="array" aca="1" ref="Y67" ca="1">IF(Y$21&lt;Standard_Year,'No STDs Case Rev &amp; Cost'!Y67,
OFFSET(Y67,-3,0)*
OFFSET(MSP!$D$1,
MATCH(OFFSET($C62,((MATCH($C62,EL_List,0)-1)*-10)-1,0),MSP!$C:$C,0)+MATCH($C62,EL_List,0)-1,0)
*INDEX(Learning!$E$6:$S$41,(MATCH(Y$21,Dates,0)),(MATCH($C$21,Learning!$E$4:$S$4,0)+MATCH($C$62,Learning!$E$5:$S$5,0)-1)))</f>
        <v>6.4156084335000978</v>
      </c>
      <c r="Z67" s="532" cm="1">
        <f t="array" aca="1" ref="Z67" ca="1">IF(Z$21&lt;Standard_Year,'No STDs Case Rev &amp; Cost'!Z67,
OFFSET(Z67,-3,0)*
OFFSET(MSP!$D$1,
MATCH(OFFSET($C62,((MATCH($C62,EL_List,0)-1)*-10)-1,0),MSP!$C:$C,0)+MATCH($C62,EL_List,0)-1,0)
*INDEX(Learning!$E$6:$S$41,(MATCH(Z$21,Dates,0)),(MATCH($C$21,Learning!$E$4:$S$4,0)+MATCH($C$62,Learning!$E$5:$S$5,0)-1)))</f>
        <v>6.7064504970545302</v>
      </c>
      <c r="AA67" s="532" cm="1">
        <f t="array" aca="1" ref="AA67" ca="1">IF(AA$21&lt;Standard_Year,'No STDs Case Rev &amp; Cost'!AA67,
OFFSET(AA67,-3,0)*
OFFSET(MSP!$D$1,
MATCH(OFFSET($C62,((MATCH($C62,EL_List,0)-1)*-10)-1,0),MSP!$C:$C,0)+MATCH($C62,EL_List,0)-1,0)
*INDEX(Learning!$E$6:$S$41,(MATCH(AA$21,Dates,0)),(MATCH($C$21,Learning!$E$4:$S$4,0)+MATCH($C$62,Learning!$E$5:$S$5,0)-1)))</f>
        <v>7.009781052523592</v>
      </c>
      <c r="AB67" s="532" cm="1">
        <f t="array" aca="1" ref="AB67" ca="1">IF(AB$21&lt;Standard_Year,'No STDs Case Rev &amp; Cost'!AB67,
OFFSET(AB67,-3,0)*
OFFSET(MSP!$D$1,
MATCH(OFFSET($C62,((MATCH($C62,EL_List,0)-1)*-10)-1,0),MSP!$C:$C,0)+MATCH($C62,EL_List,0)-1,0)
*INDEX(Learning!$E$6:$S$41,(MATCH(AB$21,Dates,0)),(MATCH($C$21,Learning!$E$4:$S$4,0)+MATCH($C$62,Learning!$E$5:$S$5,0)-1)))</f>
        <v>7.3262701570210531</v>
      </c>
      <c r="AC67" s="532" cm="1">
        <f t="array" aca="1" ref="AC67" ca="1">IF(AC$21&lt;Standard_Year,'No STDs Case Rev &amp; Cost'!AC67,
OFFSET(AC67,-3,0)*
OFFSET(MSP!$D$1,
MATCH(OFFSET($C62,((MATCH($C62,EL_List,0)-1)*-10)-1,0),MSP!$C:$C,0)+MATCH($C62,EL_List,0)-1,0)
*INDEX(Learning!$E$6:$S$41,(MATCH(AC$21,Dates,0)),(MATCH($C$21,Learning!$E$4:$S$4,0)+MATCH($C$62,Learning!$E$5:$S$5,0)-1)))</f>
        <v>7.6565814972723834</v>
      </c>
      <c r="AD67" s="532" cm="1">
        <f t="array" aca="1" ref="AD67" ca="1">IF(AD$21&lt;Standard_Year,'No STDs Case Rev &amp; Cost'!AD67,
OFFSET(AD67,-3,0)*
OFFSET(MSP!$D$1,
MATCH(OFFSET($C62,((MATCH($C62,EL_List,0)-1)*-10)-1,0),MSP!$C:$C,0)+MATCH($C62,EL_List,0)-1,0)
*INDEX(Learning!$E$6:$S$41,(MATCH(AD$21,Dates,0)),(MATCH($C$21,Learning!$E$4:$S$4,0)+MATCH($C$62,Learning!$E$5:$S$5,0)-1)))</f>
        <v>8.0013683498003818</v>
      </c>
      <c r="AE67" s="532" cm="1">
        <f t="array" aca="1" ref="AE67" ca="1">IF(AE$21&lt;Standard_Year,'No STDs Case Rev &amp; Cost'!AE67,
OFFSET(AE67,-3,0)*
OFFSET(MSP!$D$1,
MATCH(OFFSET($C62,((MATCH($C62,EL_List,0)-1)*-10)-1,0),MSP!$C:$C,0)+MATCH($C62,EL_List,0)-1,0)
*INDEX(Learning!$E$6:$S$41,(MATCH(AE$21,Dates,0)),(MATCH($C$21,Learning!$E$4:$S$4,0)+MATCH($C$62,Learning!$E$5:$S$5,0)-1)))</f>
        <v>8.3612688274153175</v>
      </c>
      <c r="AF67" s="532" cm="1">
        <f t="array" aca="1" ref="AF67" ca="1">IF(AF$21&lt;Standard_Year,'No STDs Case Rev &amp; Cost'!AF67,
OFFSET(AF67,-3,0)*
OFFSET(MSP!$D$1,
MATCH(OFFSET($C62,((MATCH($C62,EL_List,0)-1)*-10)-1,0),MSP!$C:$C,0)+MATCH($C62,EL_List,0)-1,0)
*INDEX(Learning!$E$6:$S$41,(MATCH(AF$21,Dates,0)),(MATCH($C$21,Learning!$E$4:$S$4,0)+MATCH($C$62,Learning!$E$5:$S$5,0)-1)))</f>
        <v>8.7369142618360041</v>
      </c>
      <c r="AG67" s="532" cm="1">
        <f t="array" aca="1" ref="AG67" ca="1">IF(AG$21&lt;Standard_Year,'No STDs Case Rev &amp; Cost'!AG67,
OFFSET(AG67,-3,0)*
OFFSET(MSP!$D$1,
MATCH(OFFSET($C62,((MATCH($C62,EL_List,0)-1)*-10)-1,0),MSP!$C:$C,0)+MATCH($C62,EL_List,0)-1,0)
*INDEX(Learning!$E$6:$S$41,(MATCH(AG$21,Dates,0)),(MATCH($C$21,Learning!$E$4:$S$4,0)+MATCH($C$62,Learning!$E$5:$S$5,0)-1)))</f>
        <v>9.1391020752321168</v>
      </c>
      <c r="AH67" s="532" cm="1">
        <f t="array" aca="1" ref="AH67" ca="1">IF(AH$21&lt;Standard_Year,'No STDs Case Rev &amp; Cost'!AH67,
OFFSET(AH67,-3,0)*
OFFSET(MSP!$D$1,
MATCH(OFFSET($C62,((MATCH($C62,EL_List,0)-1)*-10)-1,0),MSP!$C:$C,0)+MATCH($C62,EL_List,0)-1,0)
*INDEX(Learning!$E$6:$S$41,(MATCH(AH$21,Dates,0)),(MATCH($C$21,Learning!$E$4:$S$4,0)+MATCH($C$62,Learning!$E$5:$S$5,0)-1)))</f>
        <v>9.5486960319821002</v>
      </c>
      <c r="AI67" s="532" cm="1">
        <f t="array" aca="1" ref="AI67" ca="1">IF(AI$21&lt;Standard_Year,'No STDs Case Rev &amp; Cost'!AI67,
OFFSET(AI67,-3,0)*
OFFSET(MSP!$D$1,
MATCH(OFFSET($C62,((MATCH($C62,EL_List,0)-1)*-10)-1,0),MSP!$C:$C,0)+MATCH($C62,EL_List,0)-1,0)
*INDEX(Learning!$E$6:$S$41,(MATCH(AI$21,Dates,0)),(MATCH($C$21,Learning!$E$4:$S$4,0)+MATCH($C$62,Learning!$E$5:$S$5,0)-1)))</f>
        <v>9.9760821516994955</v>
      </c>
      <c r="AJ67" s="532" cm="1">
        <f t="array" aca="1" ref="AJ67" ca="1">IF(AJ$21&lt;Standard_Year,'No STDs Case Rev &amp; Cost'!AJ67,
OFFSET(AJ67,-3,0)*
OFFSET(MSP!$D$1,
MATCH(OFFSET($C62,((MATCH($C62,EL_List,0)-1)*-10)-1,0),MSP!$C:$C,0)+MATCH($C62,EL_List,0)-1,0)
*INDEX(Learning!$E$6:$S$41,(MATCH(AJ$21,Dates,0)),(MATCH($C$21,Learning!$E$4:$S$4,0)+MATCH($C$62,Learning!$E$5:$S$5,0)-1)))</f>
        <v>10.433752202978974</v>
      </c>
      <c r="AK67" s="532" cm="1">
        <f t="array" aca="1" ref="AK67" ca="1">IF(AK$21&lt;Standard_Year,'No STDs Case Rev &amp; Cost'!AK67,
OFFSET(AK67,-3,0)*
OFFSET(MSP!$D$1,
MATCH(OFFSET($C62,((MATCH($C62,EL_List,0)-1)*-10)-1,0),MSP!$C:$C,0)+MATCH($C62,EL_List,0)-1,0)
*INDEX(Learning!$E$6:$S$41,(MATCH(AK$21,Dates,0)),(MATCH($C$21,Learning!$E$4:$S$4,0)+MATCH($C$62,Learning!$E$5:$S$5,0)-1)))</f>
        <v>10.899611750958218</v>
      </c>
      <c r="AL67" s="532" cm="1">
        <f t="array" aca="1" ref="AL67" ca="1">IF(AL$21&lt;Standard_Year,'No STDs Case Rev &amp; Cost'!AL67,
OFFSET(AL67,-3,0)*
OFFSET(MSP!$D$1,
MATCH(OFFSET($C62,((MATCH($C62,EL_List,0)-1)*-10)-1,0),MSP!$C:$C,0)+MATCH($C62,EL_List,0)-1,0)
*INDEX(Learning!$E$6:$S$41,(MATCH(AL$21,Dates,0)),(MATCH($C$21,Learning!$E$4:$S$4,0)+MATCH($C$62,Learning!$E$5:$S$5,0)-1)))</f>
        <v>11.398609212954765</v>
      </c>
      <c r="AM67" s="532" cm="1">
        <f t="array" aca="1" ref="AM67" ca="1">IF(AM$21&lt;Standard_Year,'No STDs Case Rev &amp; Cost'!AM67,
OFFSET(AM67,-3,0)*
OFFSET(MSP!$D$1,
MATCH(OFFSET($C62,((MATCH($C62,EL_List,0)-1)*-10)-1,0),MSP!$C:$C,0)+MATCH($C62,EL_List,0)-1,0)
*INDEX(Learning!$E$6:$S$41,(MATCH(AM$21,Dates,0)),(MATCH($C$21,Learning!$E$4:$S$4,0)+MATCH($C$62,Learning!$E$5:$S$5,0)-1)))</f>
        <v>11.906413295425102</v>
      </c>
      <c r="AN67" s="532" cm="1">
        <f t="array" aca="1" ref="AN67" ca="1">IF(AN$21&lt;Standard_Year,'No STDs Case Rev &amp; Cost'!AN67,
OFFSET(AN67,-3,0)*
OFFSET(MSP!$D$1,
MATCH(OFFSET($C62,((MATCH($C62,EL_List,0)-1)*-10)-1,0),MSP!$C:$C,0)+MATCH($C62,EL_List,0)-1,0)
*INDEX(Learning!$E$6:$S$41,(MATCH(AN$21,Dates,0)),(MATCH($C$21,Learning!$E$4:$S$4,0)+MATCH($C$62,Learning!$E$5:$S$5,0)-1)))</f>
        <v>12.445842357910927</v>
      </c>
      <c r="AO67" s="436"/>
      <c r="AP67" s="21"/>
    </row>
    <row r="68" spans="2:42" ht="15" customHeight="1" x14ac:dyDescent="0.35">
      <c r="B68" s="429"/>
      <c r="C68" s="780" t="s">
        <v>213</v>
      </c>
      <c r="D68" s="776"/>
      <c r="E68" s="533" cm="1">
        <f t="array" aca="1" ref="E68" ca="1">IF(E$21&lt;Standard_Year,'No STDs Case Rev &amp; Cost'!E68,
OFFSET(E68,-4,0)*
OFFSET(MSP!$E$1,
MATCH(OFFSET($C62,((MATCH($C62,EL_List,0)-1)*-10)-1,0),MSP!$C:$C,0)+MATCH($C62,EL_List,0)-1,0)
*INDEX(Learning!$E$6:$S$41,(MATCH(E$21,Dates,0)),(MATCH($C$21,Learning!$E$4:$S$4,0)+MATCH($C$62,Learning!$E$5:$S$5,0)-1)))</f>
        <v>5.8056093518620233E-2</v>
      </c>
      <c r="F68" s="533" cm="1">
        <f t="array" aca="1" ref="F68" ca="1">IF(F$21&lt;Standard_Year,'No STDs Case Rev &amp; Cost'!F68,
OFFSET(F68,-4,0)*
OFFSET(MSP!$E$1,
MATCH(OFFSET($C62,((MATCH($C62,EL_List,0)-1)*-10)-1,0),MSP!$C:$C,0)+MATCH($C62,EL_List,0)-1,0)
*INDEX(Learning!$E$6:$S$41,(MATCH(F$21,Dates,0)),(MATCH($C$21,Learning!$E$4:$S$4,0)+MATCH($C$62,Learning!$E$5:$S$5,0)-1)))</f>
        <v>6.0244041641031074E-2</v>
      </c>
      <c r="G68" s="533" cm="1">
        <f t="array" aca="1" ref="G68" ca="1">IF(G$21&lt;Standard_Year,'No STDs Case Rev &amp; Cost'!G68,
OFFSET(G68,-4,0)*
OFFSET(MSP!$E$1,
MATCH(OFFSET($C62,((MATCH($C62,EL_List,0)-1)*-10)-1,0),MSP!$C:$C,0)+MATCH($C62,EL_List,0)-1,0)
*INDEX(Learning!$E$6:$S$41,(MATCH(G$21,Dates,0)),(MATCH($C$21,Learning!$E$4:$S$4,0)+MATCH($C$62,Learning!$E$5:$S$5,0)-1)))</f>
        <v>6.2130952204486507E-2</v>
      </c>
      <c r="H68" s="533" cm="1">
        <f t="array" aca="1" ref="H68" ca="1">IF(H$21&lt;Standard_Year,'No STDs Case Rev &amp; Cost'!H68,
OFFSET(H68,-4,0)*
OFFSET(MSP!$E$1,
MATCH(OFFSET($C62,((MATCH($C62,EL_List,0)-1)*-10)-1,0),MSP!$C:$C,0)+MATCH($C62,EL_List,0)-1,0)
*INDEX(Learning!$E$6:$S$41,(MATCH(H$21,Dates,0)),(MATCH($C$21,Learning!$E$4:$S$4,0)+MATCH($C$62,Learning!$E$5:$S$5,0)-1)))</f>
        <v>6.4605005225043741E-2</v>
      </c>
      <c r="I68" s="533" cm="1">
        <f t="array" aca="1" ref="I68" ca="1">IF(I$21&lt;Standard_Year,'No STDs Case Rev &amp; Cost'!I68,
OFFSET(I68,-4,0)*
OFFSET(MSP!$E$1,
MATCH(OFFSET($C62,((MATCH($C62,EL_List,0)-1)*-10)-1,0),MSP!$C:$C,0)+MATCH($C62,EL_List,0)-1,0)
*INDEX(Learning!$E$6:$S$41,(MATCH(I$21,Dates,0)),(MATCH($C$21,Learning!$E$4:$S$4,0)+MATCH($C$62,Learning!$E$5:$S$5,0)-1)))</f>
        <v>6.7249425829299492E-2</v>
      </c>
      <c r="J68" s="533" cm="1">
        <f t="array" aca="1" ref="J68" ca="1">IF(J$21&lt;Standard_Year,'No STDs Case Rev &amp; Cost'!J68,
OFFSET(J68,-4,0)*
OFFSET(MSP!$E$1,
MATCH(OFFSET($C62,((MATCH($C62,EL_List,0)-1)*-10)-1,0),MSP!$C:$C,0)+MATCH($C62,EL_List,0)-1,0)
*INDEX(Learning!$E$6:$S$41,(MATCH(J$21,Dates,0)),(MATCH($C$21,Learning!$E$4:$S$4,0)+MATCH($C$62,Learning!$E$5:$S$5,0)-1)))</f>
        <v>7.0248157898917432E-2</v>
      </c>
      <c r="K68" s="533" cm="1">
        <f t="array" aca="1" ref="K68" ca="1">IF(K$21&lt;Standard_Year,'No STDs Case Rev &amp; Cost'!K68,
OFFSET(K68,-4,0)*
OFFSET(MSP!$E$1,
MATCH(OFFSET($C62,((MATCH($C62,EL_List,0)-1)*-10)-1,0),MSP!$C:$C,0)+MATCH($C62,EL_List,0)-1,0)
*INDEX(Learning!$E$6:$S$41,(MATCH(K$21,Dates,0)),(MATCH($C$21,Learning!$E$4:$S$4,0)+MATCH($C$62,Learning!$E$5:$S$5,0)-1)))</f>
        <v>7.3492216780937605E-2</v>
      </c>
      <c r="L68" s="533" cm="1">
        <f t="array" aca="1" ref="L68" ca="1">IF(L$21&lt;Standard_Year,'No STDs Case Rev &amp; Cost'!L68,
OFFSET(L68,-4,0)*
OFFSET(MSP!$E$1,
MATCH(OFFSET($C62,((MATCH($C62,EL_List,0)-1)*-10)-1,0),MSP!$C:$C,0)+MATCH($C62,EL_List,0)-1,0)
*INDEX(Learning!$E$6:$S$41,(MATCH(L$21,Dates,0)),(MATCH($C$21,Learning!$E$4:$S$4,0)+MATCH($C$62,Learning!$E$5:$S$5,0)-1)))</f>
        <v>7.6917194551144638E-2</v>
      </c>
      <c r="M68" s="533" cm="1">
        <f t="array" aca="1" ref="M68" ca="1">IF(M$21&lt;Standard_Year,'No STDs Case Rev &amp; Cost'!M68,
OFFSET(M68,-4,0)*
OFFSET(MSP!$E$1,
MATCH(OFFSET($C62,((MATCH($C62,EL_List,0)-1)*-10)-1,0),MSP!$C:$C,0)+MATCH($C62,EL_List,0)-1,0)
*INDEX(Learning!$E$6:$S$41,(MATCH(M$21,Dates,0)),(MATCH($C$21,Learning!$E$4:$S$4,0)+MATCH($C$62,Learning!$E$5:$S$5,0)-1)))</f>
        <v>8.0554501637367465E-2</v>
      </c>
      <c r="N68" s="533" cm="1">
        <f t="array" aca="1" ref="N68" ca="1">IF(N$21&lt;Standard_Year,'No STDs Case Rev &amp; Cost'!N68,
OFFSET(N68,-4,0)*
OFFSET(MSP!$E$1,
MATCH(OFFSET($C62,((MATCH($C62,EL_List,0)-1)*-10)-1,0),MSP!$C:$C,0)+MATCH($C62,EL_List,0)-1,0)
*INDEX(Learning!$E$6:$S$41,(MATCH(N$21,Dates,0)),(MATCH($C$21,Learning!$E$4:$S$4,0)+MATCH($C$62,Learning!$E$5:$S$5,0)-1)))</f>
        <v>8.4211779652276331E-2</v>
      </c>
      <c r="O68" s="533" cm="1">
        <f t="array" aca="1" ref="O68" ca="1">IF(O$21&lt;Standard_Year,'No STDs Case Rev &amp; Cost'!O68,
OFFSET(O68,-4,0)*
OFFSET(MSP!$E$1,
MATCH(OFFSET($C62,((MATCH($C62,EL_List,0)-1)*-10)-1,0),MSP!$C:$C,0)+MATCH($C62,EL_List,0)-1,0)
*INDEX(Learning!$E$6:$S$41,(MATCH(O$21,Dates,0)),(MATCH($C$21,Learning!$E$4:$S$4,0)+MATCH($C$62,Learning!$E$5:$S$5,0)-1)))</f>
        <v>8.8051986533946122E-2</v>
      </c>
      <c r="P68" s="533" cm="1">
        <f t="array" aca="1" ref="P68" ca="1">IF(P$21&lt;Standard_Year,'No STDs Case Rev &amp; Cost'!P68,
OFFSET(P68,-4,0)*
OFFSET(MSP!$E$1,
MATCH(OFFSET($C62,((MATCH($C62,EL_List,0)-1)*-10)-1,0),MSP!$C:$C,0)+MATCH($C62,EL_List,0)-1,0)
*INDEX(Learning!$E$6:$S$41,(MATCH(P$21,Dates,0)),(MATCH($C$21,Learning!$E$4:$S$4,0)+MATCH($C$62,Learning!$E$5:$S$5,0)-1)))</f>
        <v>9.2009656707242232E-2</v>
      </c>
      <c r="Q68" s="533" cm="1">
        <f t="array" aca="1" ref="Q68" ca="1">IF(Q$21&lt;Standard_Year,'No STDs Case Rev &amp; Cost'!Q68,
OFFSET(Q68,-4,0)*
OFFSET(MSP!$E$1,
MATCH(OFFSET($C62,((MATCH($C62,EL_List,0)-1)*-10)-1,0),MSP!$C:$C,0)+MATCH($C62,EL_List,0)-1,0)
*INDEX(Learning!$E$6:$S$41,(MATCH(Q$21,Dates,0)),(MATCH($C$21,Learning!$E$4:$S$4,0)+MATCH($C$62,Learning!$E$5:$S$5,0)-1)))</f>
        <v>9.6109953106131477E-2</v>
      </c>
      <c r="R68" s="533" cm="1">
        <f t="array" aca="1" ref="R68" ca="1">IF(R$21&lt;Standard_Year,'No STDs Case Rev &amp; Cost'!R68,
OFFSET(R68,-4,0)*
OFFSET(MSP!$E$1,
MATCH(OFFSET($C62,((MATCH($C62,EL_List,0)-1)*-10)-1,0),MSP!$C:$C,0)+MATCH($C62,EL_List,0)-1,0)
*INDEX(Learning!$E$6:$S$41,(MATCH(R$21,Dates,0)),(MATCH($C$21,Learning!$E$4:$S$4,0)+MATCH($C$62,Learning!$E$5:$S$5,0)-1)))</f>
        <v>0.10038206883054267</v>
      </c>
      <c r="S68" s="533" cm="1">
        <f t="array" aca="1" ref="S68" ca="1">IF(S$21&lt;Standard_Year,'No STDs Case Rev &amp; Cost'!S68,
OFFSET(S68,-4,0)*
OFFSET(MSP!$E$1,
MATCH(OFFSET($C62,((MATCH($C62,EL_List,0)-1)*-10)-1,0),MSP!$C:$C,0)+MATCH($C62,EL_List,0)-1,0)
*INDEX(Learning!$E$6:$S$41,(MATCH(S$21,Dates,0)),(MATCH($C$21,Learning!$E$4:$S$4,0)+MATCH($C$62,Learning!$E$5:$S$5,0)-1)))</f>
        <v>0.10484943343945897</v>
      </c>
      <c r="T68" s="533" cm="1">
        <f t="array" aca="1" ref="T68" ca="1">IF(T$21&lt;Standard_Year,'No STDs Case Rev &amp; Cost'!T68,
OFFSET(T68,-4,0)*
OFFSET(MSP!$E$1,
MATCH(OFFSET($C62,((MATCH($C62,EL_List,0)-1)*-10)-1,0),MSP!$C:$C,0)+MATCH($C62,EL_List,0)-1,0)
*INDEX(Learning!$E$6:$S$41,(MATCH(T$21,Dates,0)),(MATCH($C$21,Learning!$E$4:$S$4,0)+MATCH($C$62,Learning!$E$5:$S$5,0)-1)))</f>
        <v>0.10952510873238881</v>
      </c>
      <c r="U68" s="533" cm="1">
        <f t="array" aca="1" ref="U68" ca="1">IF(U$21&lt;Standard_Year,'No STDs Case Rev &amp; Cost'!U68,
OFFSET(U68,-4,0)*
OFFSET(MSP!$E$1,
MATCH(OFFSET($C62,((MATCH($C62,EL_List,0)-1)*-10)-1,0),MSP!$C:$C,0)+MATCH($C62,EL_List,0)-1,0)
*INDEX(Learning!$E$6:$S$41,(MATCH(U$21,Dates,0)),(MATCH($C$21,Learning!$E$4:$S$4,0)+MATCH($C$62,Learning!$E$5:$S$5,0)-1)))</f>
        <v>0.11454437431452043</v>
      </c>
      <c r="V68" s="533" cm="1">
        <f t="array" aca="1" ref="V68" ca="1">IF(V$21&lt;Standard_Year,'No STDs Case Rev &amp; Cost'!V68,
OFFSET(V68,-4,0)*
OFFSET(MSP!$E$1,
MATCH(OFFSET($C62,((MATCH($C62,EL_List,0)-1)*-10)-1,0),MSP!$C:$C,0)+MATCH($C62,EL_List,0)-1,0)
*INDEX(Learning!$E$6:$S$41,(MATCH(V$21,Dates,0)),(MATCH($C$21,Learning!$E$4:$S$4,0)+MATCH($C$62,Learning!$E$5:$S$5,0)-1)))</f>
        <v>0.1196565806338501</v>
      </c>
      <c r="W68" s="533" cm="1">
        <f t="array" aca="1" ref="W68" ca="1">IF(W$21&lt;Standard_Year,'No STDs Case Rev &amp; Cost'!W68,
OFFSET(W68,-4,0)*
OFFSET(MSP!$E$1,
MATCH(OFFSET($C62,((MATCH($C62,EL_List,0)-1)*-10)-1,0),MSP!$C:$C,0)+MATCH($C62,EL_List,0)-1,0)
*INDEX(Learning!$E$6:$S$41,(MATCH(W$21,Dates,0)),(MATCH($C$21,Learning!$E$4:$S$4,0)+MATCH($C$62,Learning!$E$5:$S$5,0)-1)))</f>
        <v>0.12512282058331556</v>
      </c>
      <c r="X68" s="533" cm="1">
        <f t="array" aca="1" ref="X68" ca="1">IF(X$21&lt;Standard_Year,'No STDs Case Rev &amp; Cost'!X68,
OFFSET(X68,-4,0)*
OFFSET(MSP!$E$1,
MATCH(OFFSET($C62,((MATCH($C62,EL_List,0)-1)*-10)-1,0),MSP!$C:$C,0)+MATCH($C62,EL_List,0)-1,0)
*INDEX(Learning!$E$6:$S$41,(MATCH(X$21,Dates,0)),(MATCH($C$21,Learning!$E$4:$S$4,0)+MATCH($C$62,Learning!$E$5:$S$5,0)-1)))</f>
        <v>0.13082597821290523</v>
      </c>
      <c r="Y68" s="533" cm="1">
        <f t="array" aca="1" ref="Y68" ca="1">IF(Y$21&lt;Standard_Year,'No STDs Case Rev &amp; Cost'!Y68,
OFFSET(Y68,-4,0)*
OFFSET(MSP!$E$1,
MATCH(OFFSET($C62,((MATCH($C62,EL_List,0)-1)*-10)-1,0),MSP!$C:$C,0)+MATCH($C62,EL_List,0)-1,0)
*INDEX(Learning!$E$6:$S$41,(MATCH(Y$21,Dates,0)),(MATCH($C$21,Learning!$E$4:$S$4,0)+MATCH($C$62,Learning!$E$5:$S$5,0)-1)))</f>
        <v>0.13662618824201631</v>
      </c>
      <c r="Z68" s="533" cm="1">
        <f t="array" aca="1" ref="Z68" ca="1">IF(Z$21&lt;Standard_Year,'No STDs Case Rev &amp; Cost'!Z68,
OFFSET(Z68,-4,0)*
OFFSET(MSP!$E$1,
MATCH(OFFSET($C62,((MATCH($C62,EL_List,0)-1)*-10)-1,0),MSP!$C:$C,0)+MATCH($C62,EL_List,0)-1,0)
*INDEX(Learning!$E$6:$S$41,(MATCH(Z$21,Dates,0)),(MATCH($C$21,Learning!$E$4:$S$4,0)+MATCH($C$62,Learning!$E$5:$S$5,0)-1)))</f>
        <v>0.14281993322127556</v>
      </c>
      <c r="AA68" s="533" cm="1">
        <f t="array" aca="1" ref="AA68" ca="1">IF(AA$21&lt;Standard_Year,'No STDs Case Rev &amp; Cost'!AA68,
OFFSET(AA68,-4,0)*
OFFSET(MSP!$E$1,
MATCH(OFFSET($C62,((MATCH($C62,EL_List,0)-1)*-10)-1,0),MSP!$C:$C,0)+MATCH($C62,EL_List,0)-1,0)
*INDEX(Learning!$E$6:$S$41,(MATCH(AA$21,Dates,0)),(MATCH($C$21,Learning!$E$4:$S$4,0)+MATCH($C$62,Learning!$E$5:$S$5,0)-1)))</f>
        <v>0.14927963193896393</v>
      </c>
      <c r="AB68" s="533" cm="1">
        <f t="array" aca="1" ref="AB68" ca="1">IF(AB$21&lt;Standard_Year,'No STDs Case Rev &amp; Cost'!AB68,
OFFSET(AB68,-4,0)*
OFFSET(MSP!$E$1,
MATCH(OFFSET($C62,((MATCH($C62,EL_List,0)-1)*-10)-1,0),MSP!$C:$C,0)+MATCH($C62,EL_List,0)-1,0)
*INDEX(Learning!$E$6:$S$41,(MATCH(AB$21,Dates,0)),(MATCH($C$21,Learning!$E$4:$S$4,0)+MATCH($C$62,Learning!$E$5:$S$5,0)-1)))</f>
        <v>0.15601955386777577</v>
      </c>
      <c r="AC68" s="533" cm="1">
        <f t="array" aca="1" ref="AC68" ca="1">IF(AC$21&lt;Standard_Year,'No STDs Case Rev &amp; Cost'!AC68,
OFFSET(AC68,-4,0)*
OFFSET(MSP!$E$1,
MATCH(OFFSET($C62,((MATCH($C62,EL_List,0)-1)*-10)-1,0),MSP!$C:$C,0)+MATCH($C62,EL_List,0)-1,0)
*INDEX(Learning!$E$6:$S$41,(MATCH(AC$21,Dates,0)),(MATCH($C$21,Learning!$E$4:$S$4,0)+MATCH($C$62,Learning!$E$5:$S$5,0)-1)))</f>
        <v>0.16305383281722066</v>
      </c>
      <c r="AD68" s="533" cm="1">
        <f t="array" aca="1" ref="AD68" ca="1">IF(AD$21&lt;Standard_Year,'No STDs Case Rev &amp; Cost'!AD68,
OFFSET(AD68,-4,0)*
OFFSET(MSP!$E$1,
MATCH(OFFSET($C62,((MATCH($C62,EL_List,0)-1)*-10)-1,0),MSP!$C:$C,0)+MATCH($C62,EL_List,0)-1,0)
*INDEX(Learning!$E$6:$S$41,(MATCH(AD$21,Dates,0)),(MATCH($C$21,Learning!$E$4:$S$4,0)+MATCH($C$62,Learning!$E$5:$S$5,0)-1)))</f>
        <v>0.17039638090212036</v>
      </c>
      <c r="AE68" s="533" cm="1">
        <f t="array" aca="1" ref="AE68" ca="1">IF(AE$21&lt;Standard_Year,'No STDs Case Rev &amp; Cost'!AE68,
OFFSET(AE68,-4,0)*
OFFSET(MSP!$E$1,
MATCH(OFFSET($C62,((MATCH($C62,EL_List,0)-1)*-10)-1,0),MSP!$C:$C,0)+MATCH($C62,EL_List,0)-1,0)
*INDEX(Learning!$E$6:$S$41,(MATCH(AE$21,Dates,0)),(MATCH($C$21,Learning!$E$4:$S$4,0)+MATCH($C$62,Learning!$E$5:$S$5,0)-1)))</f>
        <v>0.17806078731231392</v>
      </c>
      <c r="AF68" s="533" cm="1">
        <f t="array" aca="1" ref="AF68" ca="1">IF(AF$21&lt;Standard_Year,'No STDs Case Rev &amp; Cost'!AF68,
OFFSET(AF68,-4,0)*
OFFSET(MSP!$E$1,
MATCH(OFFSET($C62,((MATCH($C62,EL_List,0)-1)*-10)-1,0),MSP!$C:$C,0)+MATCH($C62,EL_List,0)-1,0)
*INDEX(Learning!$E$6:$S$41,(MATCH(AF$21,Dates,0)),(MATCH($C$21,Learning!$E$4:$S$4,0)+MATCH($C$62,Learning!$E$5:$S$5,0)-1)))</f>
        <v>0.18606049682816025</v>
      </c>
      <c r="AG68" s="533" cm="1">
        <f t="array" aca="1" ref="AG68" ca="1">IF(AG$21&lt;Standard_Year,'No STDs Case Rev &amp; Cost'!AG68,
OFFSET(AG68,-4,0)*
OFFSET(MSP!$E$1,
MATCH(OFFSET($C62,((MATCH($C62,EL_List,0)-1)*-10)-1,0),MSP!$C:$C,0)+MATCH($C62,EL_List,0)-1,0)
*INDEX(Learning!$E$6:$S$41,(MATCH(AG$21,Dates,0)),(MATCH($C$21,Learning!$E$4:$S$4,0)+MATCH($C$62,Learning!$E$5:$S$5,0)-1)))</f>
        <v>0.19462545032731327</v>
      </c>
      <c r="AH68" s="533" cm="1">
        <f t="array" aca="1" ref="AH68" ca="1">IF(AH$21&lt;Standard_Year,'No STDs Case Rev &amp; Cost'!AH68,
OFFSET(AH68,-4,0)*
OFFSET(MSP!$E$1,
MATCH(OFFSET($C62,((MATCH($C62,EL_List,0)-1)*-10)-1,0),MSP!$C:$C,0)+MATCH($C62,EL_List,0)-1,0)
*INDEX(Learning!$E$6:$S$41,(MATCH(AH$21,Dates,0)),(MATCH($C$21,Learning!$E$4:$S$4,0)+MATCH($C$62,Learning!$E$5:$S$5,0)-1)))</f>
        <v>0.20334812435235269</v>
      </c>
      <c r="AI68" s="533" cm="1">
        <f t="array" aca="1" ref="AI68" ca="1">IF(AI$21&lt;Standard_Year,'No STDs Case Rev &amp; Cost'!AI68,
OFFSET(AI68,-4,0)*
OFFSET(MSP!$E$1,
MATCH(OFFSET($C62,((MATCH($C62,EL_List,0)-1)*-10)-1,0),MSP!$C:$C,0)+MATCH($C62,EL_List,0)-1,0)
*INDEX(Learning!$E$6:$S$41,(MATCH(AI$21,Dates,0)),(MATCH($C$21,Learning!$E$4:$S$4,0)+MATCH($C$62,Learning!$E$5:$S$5,0)-1)))</f>
        <v>0.21244969859114668</v>
      </c>
      <c r="AJ68" s="533" cm="1">
        <f t="array" aca="1" ref="AJ68" ca="1">IF(AJ$21&lt;Standard_Year,'No STDs Case Rev &amp; Cost'!AJ68,
OFFSET(AJ68,-4,0)*
OFFSET(MSP!$E$1,
MATCH(OFFSET($C62,((MATCH($C62,EL_List,0)-1)*-10)-1,0),MSP!$C:$C,0)+MATCH($C62,EL_List,0)-1,0)
*INDEX(Learning!$E$6:$S$41,(MATCH(AJ$21,Dates,0)),(MATCH($C$21,Learning!$E$4:$S$4,0)+MATCH($C$62,Learning!$E$5:$S$5,0)-1)))</f>
        <v>0.22219619656199144</v>
      </c>
      <c r="AK68" s="533" cm="1">
        <f t="array" aca="1" ref="AK68" ca="1">IF(AK$21&lt;Standard_Year,'No STDs Case Rev &amp; Cost'!AK68,
OFFSET(AK68,-4,0)*
OFFSET(MSP!$E$1,
MATCH(OFFSET($C62,((MATCH($C62,EL_List,0)-1)*-10)-1,0),MSP!$C:$C,0)+MATCH($C62,EL_List,0)-1,0)
*INDEX(Learning!$E$6:$S$41,(MATCH(AK$21,Dates,0)),(MATCH($C$21,Learning!$E$4:$S$4,0)+MATCH($C$62,Learning!$E$5:$S$5,0)-1)))</f>
        <v>0.23211709727722241</v>
      </c>
      <c r="AL68" s="533" cm="1">
        <f t="array" aca="1" ref="AL68" ca="1">IF(AL$21&lt;Standard_Year,'No STDs Case Rev &amp; Cost'!AL68,
OFFSET(AL68,-4,0)*
OFFSET(MSP!$E$1,
MATCH(OFFSET($C62,((MATCH($C62,EL_List,0)-1)*-10)-1,0),MSP!$C:$C,0)+MATCH($C62,EL_List,0)-1,0)
*INDEX(Learning!$E$6:$S$41,(MATCH(AL$21,Dates,0)),(MATCH($C$21,Learning!$E$4:$S$4,0)+MATCH($C$62,Learning!$E$5:$S$5,0)-1)))</f>
        <v>0.24274369986397576</v>
      </c>
      <c r="AM68" s="533" cm="1">
        <f t="array" aca="1" ref="AM68" ca="1">IF(AM$21&lt;Standard_Year,'No STDs Case Rev &amp; Cost'!AM68,
OFFSET(AM68,-4,0)*
OFFSET(MSP!$E$1,
MATCH(OFFSET($C62,((MATCH($C62,EL_List,0)-1)*-10)-1,0),MSP!$C:$C,0)+MATCH($C62,EL_List,0)-1,0)
*INDEX(Learning!$E$6:$S$41,(MATCH(AM$21,Dates,0)),(MATCH($C$21,Learning!$E$4:$S$4,0)+MATCH($C$62,Learning!$E$5:$S$5,0)-1)))</f>
        <v>0.25355784740443066</v>
      </c>
      <c r="AN68" s="533" cm="1">
        <f t="array" aca="1" ref="AN68" ca="1">IF(AN$21&lt;Standard_Year,'No STDs Case Rev &amp; Cost'!AN68,
OFFSET(AN68,-4,0)*
OFFSET(MSP!$E$1,
MATCH(OFFSET($C62,((MATCH($C62,EL_List,0)-1)*-10)-1,0),MSP!$C:$C,0)+MATCH($C62,EL_List,0)-1,0)
*INDEX(Learning!$E$6:$S$41,(MATCH(AN$21,Dates,0)),(MATCH($C$21,Learning!$E$4:$S$4,0)+MATCH($C$62,Learning!$E$5:$S$5,0)-1)))</f>
        <v>0.26504547751751012</v>
      </c>
      <c r="AO68" s="436"/>
      <c r="AP68" s="21"/>
    </row>
    <row r="69" spans="2:42" ht="15" customHeight="1" x14ac:dyDescent="0.35">
      <c r="B69" s="429"/>
      <c r="C69" s="780" t="s">
        <v>214</v>
      </c>
      <c r="D69" s="776"/>
      <c r="E69" s="533" cm="1">
        <f t="array" aca="1" ref="E69" ca="1">IF(E$21&lt;Standard_Year,'No STDs Case Rev &amp; Cost'!E69,
OFFSET(E69,-5,0)*
OFFSET(MSP!$F$1,
MATCH(OFFSET($C62,((MATCH($C62,EL_List,0)-1)*-10)-1,0),MSP!$C:$C,0)+MATCH($C62,EL_List,0)-1,0)
*INDEX(Learning!$E$6:$S$41,(MATCH(E$21,Dates,0)),(MATCH($C$21,Learning!$E$4:$S$4,0)+MATCH($C$62,Learning!$E$5:$S$5,0)-1)))</f>
        <v>0.1519503801465403</v>
      </c>
      <c r="F69" s="533" cm="1">
        <f t="array" aca="1" ref="F69" ca="1">IF(F$21&lt;Standard_Year,'No STDs Case Rev &amp; Cost'!F69,
OFFSET(F69,-5,0)*
OFFSET(MSP!$F$1,
MATCH(OFFSET($C62,((MATCH($C62,EL_List,0)-1)*-10)-1,0),MSP!$C:$C,0)+MATCH($C62,EL_List,0)-1,0)
*INDEX(Learning!$E$6:$S$41,(MATCH(F$21,Dates,0)),(MATCH($C$21,Learning!$E$4:$S$4,0)+MATCH($C$62,Learning!$E$5:$S$5,0)-1)))</f>
        <v>0.15767690304520224</v>
      </c>
      <c r="G69" s="533" cm="1">
        <f t="array" aca="1" ref="G69" ca="1">IF(G$21&lt;Standard_Year,'No STDs Case Rev &amp; Cost'!G69,
OFFSET(G69,-5,0)*
OFFSET(MSP!$F$1,
MATCH(OFFSET($C62,((MATCH($C62,EL_List,0)-1)*-10)-1,0),MSP!$C:$C,0)+MATCH($C62,EL_List,0)-1,0)
*INDEX(Learning!$E$6:$S$41,(MATCH(G$21,Dates,0)),(MATCH($C$21,Learning!$E$4:$S$4,0)+MATCH($C$62,Learning!$E$5:$S$5,0)-1)))</f>
        <v>0.16261551947704356</v>
      </c>
      <c r="H69" s="533" cm="1">
        <f t="array" aca="1" ref="H69" ca="1">IF(H$21&lt;Standard_Year,'No STDs Case Rev &amp; Cost'!H69,
OFFSET(H69,-5,0)*
OFFSET(MSP!$F$1,
MATCH(OFFSET($C62,((MATCH($C62,EL_List,0)-1)*-10)-1,0),MSP!$C:$C,0)+MATCH($C62,EL_List,0)-1,0)
*INDEX(Learning!$E$6:$S$41,(MATCH(H$21,Dates,0)),(MATCH($C$21,Learning!$E$4:$S$4,0)+MATCH($C$62,Learning!$E$5:$S$5,0)-1)))</f>
        <v>0.16909086554654434</v>
      </c>
      <c r="I69" s="533" cm="1">
        <f t="array" aca="1" ref="I69" ca="1">IF(I$21&lt;Standard_Year,'No STDs Case Rev &amp; Cost'!I69,
OFFSET(I69,-5,0)*
OFFSET(MSP!$F$1,
MATCH(OFFSET($C62,((MATCH($C62,EL_List,0)-1)*-10)-1,0),MSP!$C:$C,0)+MATCH($C62,EL_List,0)-1,0)
*INDEX(Learning!$E$6:$S$41,(MATCH(I$21,Dates,0)),(MATCH($C$21,Learning!$E$4:$S$4,0)+MATCH($C$62,Learning!$E$5:$S$5,0)-1)))</f>
        <v>0.17601211518169471</v>
      </c>
      <c r="J69" s="533" cm="1">
        <f t="array" aca="1" ref="J69" ca="1">IF(J$21&lt;Standard_Year,'No STDs Case Rev &amp; Cost'!J69,
OFFSET(J69,-5,0)*
OFFSET(MSP!$F$1,
MATCH(OFFSET($C62,((MATCH($C62,EL_List,0)-1)*-10)-1,0),MSP!$C:$C,0)+MATCH($C62,EL_List,0)-1,0)
*INDEX(Learning!$E$6:$S$41,(MATCH(J$21,Dates,0)),(MATCH($C$21,Learning!$E$4:$S$4,0)+MATCH($C$62,Learning!$E$5:$S$5,0)-1)))</f>
        <v>0.18386070523176284</v>
      </c>
      <c r="K69" s="533" cm="1">
        <f t="array" aca="1" ref="K69" ca="1">IF(K$21&lt;Standard_Year,'No STDs Case Rev &amp; Cost'!K69,
OFFSET(K69,-5,0)*
OFFSET(MSP!$F$1,
MATCH(OFFSET($C62,((MATCH($C62,EL_List,0)-1)*-10)-1,0),MSP!$C:$C,0)+MATCH($C62,EL_List,0)-1,0)
*INDEX(Learning!$E$6:$S$41,(MATCH(K$21,Dates,0)),(MATCH($C$21,Learning!$E$4:$S$4,0)+MATCH($C$62,Learning!$E$5:$S$5,0)-1)))</f>
        <v>0.19235138985184719</v>
      </c>
      <c r="L69" s="533" cm="1">
        <f t="array" aca="1" ref="L69" ca="1">IF(L$21&lt;Standard_Year,'No STDs Case Rev &amp; Cost'!L69,
OFFSET(L69,-5,0)*
OFFSET(MSP!$F$1,
MATCH(OFFSET($C62,((MATCH($C62,EL_List,0)-1)*-10)-1,0),MSP!$C:$C,0)+MATCH($C62,EL_List,0)-1,0)
*INDEX(Learning!$E$6:$S$41,(MATCH(L$21,Dates,0)),(MATCH($C$21,Learning!$E$4:$S$4,0)+MATCH($C$62,Learning!$E$5:$S$5,0)-1)))</f>
        <v>0.20131559399709326</v>
      </c>
      <c r="M69" s="533" cm="1">
        <f t="array" aca="1" ref="M69" ca="1">IF(M$21&lt;Standard_Year,'No STDs Case Rev &amp; Cost'!M69,
OFFSET(M69,-5,0)*
OFFSET(MSP!$F$1,
MATCH(OFFSET($C62,((MATCH($C62,EL_List,0)-1)*-10)-1,0),MSP!$C:$C,0)+MATCH($C62,EL_List,0)-1,0)
*INDEX(Learning!$E$6:$S$41,(MATCH(M$21,Dates,0)),(MATCH($C$21,Learning!$E$4:$S$4,0)+MATCH($C$62,Learning!$E$5:$S$5,0)-1)))</f>
        <v>0.2108355282703836</v>
      </c>
      <c r="N69" s="533" cm="1">
        <f t="array" aca="1" ref="N69" ca="1">IF(N$21&lt;Standard_Year,'No STDs Case Rev &amp; Cost'!N69,
OFFSET(N69,-5,0)*
OFFSET(MSP!$F$1,
MATCH(OFFSET($C62,((MATCH($C62,EL_List,0)-1)*-10)-1,0),MSP!$C:$C,0)+MATCH($C62,EL_List,0)-1,0)
*INDEX(Learning!$E$6:$S$41,(MATCH(N$21,Dates,0)),(MATCH($C$21,Learning!$E$4:$S$4,0)+MATCH($C$62,Learning!$E$5:$S$5,0)-1)))</f>
        <v>0.22040773251262644</v>
      </c>
      <c r="O69" s="533" cm="1">
        <f t="array" aca="1" ref="O69" ca="1">IF(O$21&lt;Standard_Year,'No STDs Case Rev &amp; Cost'!O69,
OFFSET(O69,-5,0)*
OFFSET(MSP!$F$1,
MATCH(OFFSET($C62,((MATCH($C62,EL_List,0)-1)*-10)-1,0),MSP!$C:$C,0)+MATCH($C62,EL_List,0)-1,0)
*INDEX(Learning!$E$6:$S$41,(MATCH(O$21,Dates,0)),(MATCH($C$21,Learning!$E$4:$S$4,0)+MATCH($C$62,Learning!$E$5:$S$5,0)-1)))</f>
        <v>0.23045871700272025</v>
      </c>
      <c r="P69" s="533" cm="1">
        <f t="array" aca="1" ref="P69" ca="1">IF(P$21&lt;Standard_Year,'No STDs Case Rev &amp; Cost'!P69,
OFFSET(P69,-5,0)*
OFFSET(MSP!$F$1,
MATCH(OFFSET($C62,((MATCH($C62,EL_List,0)-1)*-10)-1,0),MSP!$C:$C,0)+MATCH($C62,EL_List,0)-1,0)
*INDEX(Learning!$E$6:$S$41,(MATCH(P$21,Dates,0)),(MATCH($C$21,Learning!$E$4:$S$4,0)+MATCH($C$62,Learning!$E$5:$S$5,0)-1)))</f>
        <v>0.24081713850302477</v>
      </c>
      <c r="Q69" s="533" cm="1">
        <f t="array" aca="1" ref="Q69" ca="1">IF(Q$21&lt;Standard_Year,'No STDs Case Rev &amp; Cost'!Q69,
OFFSET(Q69,-5,0)*
OFFSET(MSP!$F$1,
MATCH(OFFSET($C62,((MATCH($C62,EL_List,0)-1)*-10)-1,0),MSP!$C:$C,0)+MATCH($C62,EL_List,0)-1,0)
*INDEX(Learning!$E$6:$S$41,(MATCH(Q$21,Dates,0)),(MATCH($C$21,Learning!$E$4:$S$4,0)+MATCH($C$62,Learning!$E$5:$S$5,0)-1)))</f>
        <v>0.25154885603281152</v>
      </c>
      <c r="R69" s="533" cm="1">
        <f t="array" aca="1" ref="R69" ca="1">IF(R$21&lt;Standard_Year,'No STDs Case Rev &amp; Cost'!R69,
OFFSET(R69,-5,0)*
OFFSET(MSP!$F$1,
MATCH(OFFSET($C62,((MATCH($C62,EL_List,0)-1)*-10)-1,0),MSP!$C:$C,0)+MATCH($C62,EL_List,0)-1,0)
*INDEX(Learning!$E$6:$S$41,(MATCH(R$21,Dates,0)),(MATCH($C$21,Learning!$E$4:$S$4,0)+MATCH($C$62,Learning!$E$5:$S$5,0)-1)))</f>
        <v>0.26273027677628769</v>
      </c>
      <c r="S69" s="533" cm="1">
        <f t="array" aca="1" ref="S69" ca="1">IF(S$21&lt;Standard_Year,'No STDs Case Rev &amp; Cost'!S69,
OFFSET(S69,-5,0)*
OFFSET(MSP!$F$1,
MATCH(OFFSET($C62,((MATCH($C62,EL_List,0)-1)*-10)-1,0),MSP!$C:$C,0)+MATCH($C62,EL_List,0)-1,0)
*INDEX(Learning!$E$6:$S$41,(MATCH(S$21,Dates,0)),(MATCH($C$21,Learning!$E$4:$S$4,0)+MATCH($C$62,Learning!$E$5:$S$5,0)-1)))</f>
        <v>0.27442272298540638</v>
      </c>
      <c r="T69" s="533" cm="1">
        <f t="array" aca="1" ref="T69" ca="1">IF(T$21&lt;Standard_Year,'No STDs Case Rev &amp; Cost'!T69,
OFFSET(T69,-5,0)*
OFFSET(MSP!$F$1,
MATCH(OFFSET($C62,((MATCH($C62,EL_List,0)-1)*-10)-1,0),MSP!$C:$C,0)+MATCH($C62,EL_List,0)-1,0)
*INDEX(Learning!$E$6:$S$41,(MATCH(T$21,Dates,0)),(MATCH($C$21,Learning!$E$4:$S$4,0)+MATCH($C$62,Learning!$E$5:$S$5,0)-1)))</f>
        <v>0.2866603813454992</v>
      </c>
      <c r="U69" s="533" cm="1">
        <f t="array" aca="1" ref="U69" ca="1">IF(U$21&lt;Standard_Year,'No STDs Case Rev &amp; Cost'!U69,
OFFSET(U69,-5,0)*
OFFSET(MSP!$F$1,
MATCH(OFFSET($C62,((MATCH($C62,EL_List,0)-1)*-10)-1,0),MSP!$C:$C,0)+MATCH($C62,EL_List,0)-1,0)
*INDEX(Learning!$E$6:$S$41,(MATCH(U$21,Dates,0)),(MATCH($C$21,Learning!$E$4:$S$4,0)+MATCH($C$62,Learning!$E$5:$S$5,0)-1)))</f>
        <v>0.29979731955538291</v>
      </c>
      <c r="V69" s="533" cm="1">
        <f t="array" aca="1" ref="V69" ca="1">IF(V$21&lt;Standard_Year,'No STDs Case Rev &amp; Cost'!V69,
OFFSET(V69,-5,0)*
OFFSET(MSP!$F$1,
MATCH(OFFSET($C62,((MATCH($C62,EL_List,0)-1)*-10)-1,0),MSP!$C:$C,0)+MATCH($C62,EL_List,0)-1,0)
*INDEX(Learning!$E$6:$S$41,(MATCH(V$21,Dates,0)),(MATCH($C$21,Learning!$E$4:$S$4,0)+MATCH($C$62,Learning!$E$5:$S$5,0)-1)))</f>
        <v>0.3131775118234098</v>
      </c>
      <c r="W69" s="533" cm="1">
        <f t="array" aca="1" ref="W69" ca="1">IF(W$21&lt;Standard_Year,'No STDs Case Rev &amp; Cost'!W69,
OFFSET(W69,-5,0)*
OFFSET(MSP!$F$1,
MATCH(OFFSET($C62,((MATCH($C62,EL_List,0)-1)*-10)-1,0),MSP!$C:$C,0)+MATCH($C62,EL_List,0)-1,0)
*INDEX(Learning!$E$6:$S$41,(MATCH(W$21,Dates,0)),(MATCH($C$21,Learning!$E$4:$S$4,0)+MATCH($C$62,Learning!$E$5:$S$5,0)-1)))</f>
        <v>0.32748431732741934</v>
      </c>
      <c r="X69" s="533" cm="1">
        <f t="array" aca="1" ref="X69" ca="1">IF(X$21&lt;Standard_Year,'No STDs Case Rev &amp; Cost'!X69,
OFFSET(X69,-5,0)*
OFFSET(MSP!$F$1,
MATCH(OFFSET($C62,((MATCH($C62,EL_List,0)-1)*-10)-1,0),MSP!$C:$C,0)+MATCH($C62,EL_List,0)-1,0)
*INDEX(Learning!$E$6:$S$41,(MATCH(X$21,Dates,0)),(MATCH($C$21,Learning!$E$4:$S$4,0)+MATCH($C$62,Learning!$E$5:$S$5,0)-1)))</f>
        <v>0.34241120815540538</v>
      </c>
      <c r="Y69" s="533" cm="1">
        <f t="array" aca="1" ref="Y69" ca="1">IF(Y$21&lt;Standard_Year,'No STDs Case Rev &amp; Cost'!Y69,
OFFSET(Y69,-5,0)*
OFFSET(MSP!$F$1,
MATCH(OFFSET($C62,((MATCH($C62,EL_List,0)-1)*-10)-1,0),MSP!$C:$C,0)+MATCH($C62,EL_List,0)-1,0)
*INDEX(Learning!$E$6:$S$41,(MATCH(Y$21,Dates,0)),(MATCH($C$21,Learning!$E$4:$S$4,0)+MATCH($C$62,Learning!$E$5:$S$5,0)-1)))</f>
        <v>0.35759211450713108</v>
      </c>
      <c r="Z69" s="533" cm="1">
        <f t="array" aca="1" ref="Z69" ca="1">IF(Z$21&lt;Standard_Year,'No STDs Case Rev &amp; Cost'!Z69,
OFFSET(Z69,-5,0)*
OFFSET(MSP!$F$1,
MATCH(OFFSET($C62,((MATCH($C62,EL_List,0)-1)*-10)-1,0),MSP!$C:$C,0)+MATCH($C62,EL_List,0)-1,0)
*INDEX(Learning!$E$6:$S$41,(MATCH(Z$21,Dates,0)),(MATCH($C$21,Learning!$E$4:$S$4,0)+MATCH($C$62,Learning!$E$5:$S$5,0)-1)))</f>
        <v>0.37380302101304869</v>
      </c>
      <c r="AA69" s="533" cm="1">
        <f t="array" aca="1" ref="AA69" ca="1">IF(AA$21&lt;Standard_Year,'No STDs Case Rev &amp; Cost'!AA69,
OFFSET(AA69,-5,0)*
OFFSET(MSP!$F$1,
MATCH(OFFSET($C62,((MATCH($C62,EL_List,0)-1)*-10)-1,0),MSP!$C:$C,0)+MATCH($C62,EL_List,0)-1,0)
*INDEX(Learning!$E$6:$S$41,(MATCH(AA$21,Dates,0)),(MATCH($C$21,Learning!$E$4:$S$4,0)+MATCH($C$62,Learning!$E$5:$S$5,0)-1)))</f>
        <v>0.3907100090016577</v>
      </c>
      <c r="AB69" s="533" cm="1">
        <f t="array" aca="1" ref="AB69" ca="1">IF(AB$21&lt;Standard_Year,'No STDs Case Rev &amp; Cost'!AB69,
OFFSET(AB69,-5,0)*
OFFSET(MSP!$F$1,
MATCH(OFFSET($C62,((MATCH($C62,EL_List,0)-1)*-10)-1,0),MSP!$C:$C,0)+MATCH($C62,EL_List,0)-1,0)
*INDEX(Learning!$E$6:$S$41,(MATCH(AB$21,Dates,0)),(MATCH($C$21,Learning!$E$4:$S$4,0)+MATCH($C$62,Learning!$E$5:$S$5,0)-1)))</f>
        <v>0.40835042600478394</v>
      </c>
      <c r="AC69" s="533" cm="1">
        <f t="array" aca="1" ref="AC69" ca="1">IF(AC$21&lt;Standard_Year,'No STDs Case Rev &amp; Cost'!AC69,
OFFSET(AC69,-5,0)*
OFFSET(MSP!$F$1,
MATCH(OFFSET($C62,((MATCH($C62,EL_List,0)-1)*-10)-1,0),MSP!$C:$C,0)+MATCH($C62,EL_List,0)-1,0)
*INDEX(Learning!$E$6:$S$41,(MATCH(AC$21,Dates,0)),(MATCH($C$21,Learning!$E$4:$S$4,0)+MATCH($C$62,Learning!$E$5:$S$5,0)-1)))</f>
        <v>0.42676126448261137</v>
      </c>
      <c r="AD69" s="533" cm="1">
        <f t="array" aca="1" ref="AD69" ca="1">IF(AD$21&lt;Standard_Year,'No STDs Case Rev &amp; Cost'!AD69,
OFFSET(AD69,-5,0)*
OFFSET(MSP!$F$1,
MATCH(OFFSET($C62,((MATCH($C62,EL_List,0)-1)*-10)-1,0),MSP!$C:$C,0)+MATCH($C62,EL_List,0)-1,0)
*INDEX(Learning!$E$6:$S$41,(MATCH(AD$21,Dates,0)),(MATCH($C$21,Learning!$E$4:$S$4,0)+MATCH($C$62,Learning!$E$5:$S$5,0)-1)))</f>
        <v>0.44597893665318078</v>
      </c>
      <c r="AE69" s="533" cm="1">
        <f t="array" aca="1" ref="AE69" ca="1">IF(AE$21&lt;Standard_Year,'No STDs Case Rev &amp; Cost'!AE69,
OFFSET(AE69,-5,0)*
OFFSET(MSP!$F$1,
MATCH(OFFSET($C62,((MATCH($C62,EL_List,0)-1)*-10)-1,0),MSP!$C:$C,0)+MATCH($C62,EL_List,0)-1,0)
*INDEX(Learning!$E$6:$S$41,(MATCH(AE$21,Dates,0)),(MATCH($C$21,Learning!$E$4:$S$4,0)+MATCH($C$62,Learning!$E$5:$S$5,0)-1)))</f>
        <v>0.46603900954204924</v>
      </c>
      <c r="AF69" s="533" cm="1">
        <f t="array" aca="1" ref="AF69" ca="1">IF(AF$21&lt;Standard_Year,'No STDs Case Rev &amp; Cost'!AF69,
OFFSET(AF69,-5,0)*
OFFSET(MSP!$F$1,
MATCH(OFFSET($C62,((MATCH($C62,EL_List,0)-1)*-10)-1,0),MSP!$C:$C,0)+MATCH($C62,EL_List,0)-1,0)
*INDEX(Learning!$E$6:$S$41,(MATCH(AF$21,Dates,0)),(MATCH($C$21,Learning!$E$4:$S$4,0)+MATCH($C$62,Learning!$E$5:$S$5,0)-1)))</f>
        <v>0.48697667221142754</v>
      </c>
      <c r="AG69" s="533" cm="1">
        <f t="array" aca="1" ref="AG69" ca="1">IF(AG$21&lt;Standard_Year,'No STDs Case Rev &amp; Cost'!AG69,
OFFSET(AG69,-5,0)*
OFFSET(MSP!$F$1,
MATCH(OFFSET($C62,((MATCH($C62,EL_List,0)-1)*-10)-1,0),MSP!$C:$C,0)+MATCH($C62,EL_List,0)-1,0)
*INDEX(Learning!$E$6:$S$41,(MATCH(AG$21,Dates,0)),(MATCH($C$21,Learning!$E$4:$S$4,0)+MATCH($C$62,Learning!$E$5:$S$5,0)-1)))</f>
        <v>0.50939374958016792</v>
      </c>
      <c r="AH69" s="533" cm="1">
        <f t="array" aca="1" ref="AH69" ca="1">IF(AH$21&lt;Standard_Year,'No STDs Case Rev &amp; Cost'!AH69,
OFFSET(AH69,-5,0)*
OFFSET(MSP!$F$1,
MATCH(OFFSET($C62,((MATCH($C62,EL_List,0)-1)*-10)-1,0),MSP!$C:$C,0)+MATCH($C62,EL_List,0)-1,0)
*INDEX(Learning!$E$6:$S$41,(MATCH(AH$21,Dates,0)),(MATCH($C$21,Learning!$E$4:$S$4,0)+MATCH($C$62,Learning!$E$5:$S$5,0)-1)))</f>
        <v>0.53222362933385825</v>
      </c>
      <c r="AI69" s="533" cm="1">
        <f t="array" aca="1" ref="AI69" ca="1">IF(AI$21&lt;Standard_Year,'No STDs Case Rev &amp; Cost'!AI69,
OFFSET(AI69,-5,0)*
OFFSET(MSP!$F$1,
MATCH(OFFSET($C62,((MATCH($C62,EL_List,0)-1)*-10)-1,0),MSP!$C:$C,0)+MATCH($C62,EL_List,0)-1,0)
*INDEX(Learning!$E$6:$S$41,(MATCH(AI$21,Dates,0)),(MATCH($C$21,Learning!$E$4:$S$4,0)+MATCH($C$62,Learning!$E$5:$S$5,0)-1)))</f>
        <v>0.55604520570418603</v>
      </c>
      <c r="AJ69" s="533" cm="1">
        <f t="array" aca="1" ref="AJ69" ca="1">IF(AJ$21&lt;Standard_Year,'No STDs Case Rev &amp; Cost'!AJ69,
OFFSET(AJ69,-5,0)*
OFFSET(MSP!$F$1,
MATCH(OFFSET($C62,((MATCH($C62,EL_List,0)-1)*-10)-1,0),MSP!$C:$C,0)+MATCH($C62,EL_List,0)-1,0)
*INDEX(Learning!$E$6:$S$41,(MATCH(AJ$21,Dates,0)),(MATCH($C$21,Learning!$E$4:$S$4,0)+MATCH($C$62,Learning!$E$5:$S$5,0)-1)))</f>
        <v>0.58155474280888897</v>
      </c>
      <c r="AK69" s="533" cm="1">
        <f t="array" aca="1" ref="AK69" ca="1">IF(AK$21&lt;Standard_Year,'No STDs Case Rev &amp; Cost'!AK69,
OFFSET(AK69,-5,0)*
OFFSET(MSP!$F$1,
MATCH(OFFSET($C62,((MATCH($C62,EL_List,0)-1)*-10)-1,0),MSP!$C:$C,0)+MATCH($C62,EL_List,0)-1,0)
*INDEX(Learning!$E$6:$S$41,(MATCH(AK$21,Dates,0)),(MATCH($C$21,Learning!$E$4:$S$4,0)+MATCH($C$62,Learning!$E$5:$S$5,0)-1)))</f>
        <v>0.60752074471688744</v>
      </c>
      <c r="AL69" s="533" cm="1">
        <f t="array" aca="1" ref="AL69" ca="1">IF(AL$21&lt;Standard_Year,'No STDs Case Rev &amp; Cost'!AL69,
OFFSET(AL69,-5,0)*
OFFSET(MSP!$F$1,
MATCH(OFFSET($C62,((MATCH($C62,EL_List,0)-1)*-10)-1,0),MSP!$C:$C,0)+MATCH($C62,EL_List,0)-1,0)
*INDEX(Learning!$E$6:$S$41,(MATCH(AL$21,Dates,0)),(MATCH($C$21,Learning!$E$4:$S$4,0)+MATCH($C$62,Learning!$E$5:$S$5,0)-1)))</f>
        <v>0.63533378215809055</v>
      </c>
      <c r="AM69" s="533" cm="1">
        <f t="array" aca="1" ref="AM69" ca="1">IF(AM$21&lt;Standard_Year,'No STDs Case Rev &amp; Cost'!AM69,
OFFSET(AM69,-5,0)*
OFFSET(MSP!$F$1,
MATCH(OFFSET($C62,((MATCH($C62,EL_List,0)-1)*-10)-1,0),MSP!$C:$C,0)+MATCH($C62,EL_List,0)-1,0)
*INDEX(Learning!$E$6:$S$41,(MATCH(AM$21,Dates,0)),(MATCH($C$21,Learning!$E$4:$S$4,0)+MATCH($C$62,Learning!$E$5:$S$5,0)-1)))</f>
        <v>0.66363768154473923</v>
      </c>
      <c r="AN69" s="533" cm="1">
        <f t="array" aca="1" ref="AN69" ca="1">IF(AN$21&lt;Standard_Year,'No STDs Case Rev &amp; Cost'!AN69,
OFFSET(AN69,-5,0)*
OFFSET(MSP!$F$1,
MATCH(OFFSET($C62,((MATCH($C62,EL_List,0)-1)*-10)-1,0),MSP!$C:$C,0)+MATCH($C62,EL_List,0)-1,0)
*INDEX(Learning!$E$6:$S$41,(MATCH(AN$21,Dates,0)),(MATCH($C$21,Learning!$E$4:$S$4,0)+MATCH($C$62,Learning!$E$5:$S$5,0)-1)))</f>
        <v>0.69370428880114077</v>
      </c>
      <c r="AO69" s="436"/>
      <c r="AP69" s="21"/>
    </row>
    <row r="70" spans="2:42" ht="15" customHeight="1" collapsed="1" x14ac:dyDescent="0.35">
      <c r="B70" s="429"/>
      <c r="C70" s="780" t="s">
        <v>215</v>
      </c>
      <c r="D70" s="776"/>
      <c r="E70" s="531" cm="1">
        <f t="array" aca="1" ref="E70" ca="1">IF(E$21&lt;Standard_Year,'No STDs Case Rev &amp; Cost'!E70,
OFFSET(E70,-6,0)*
OFFSET(MSP!$G$1,
MATCH(OFFSET($C62,((MATCH($C62,EL_List,0)-1)*-10)-1,0),MSP!$C:$C,0)+MATCH($C62,EL_List,0)-1,0)
*INDEX(Learning!$E$6:$S$41,(MATCH(E$21,Dates,0)),(MATCH($C$21,Learning!$E$4:$S$4,0)+MATCH($C$62,Learning!$E$5:$S$5,0)-1)))</f>
        <v>5.7927389668081128E-2</v>
      </c>
      <c r="F70" s="531" cm="1">
        <f t="array" aca="1" ref="F70" ca="1">IF(F$21&lt;Standard_Year,'No STDs Case Rev &amp; Cost'!F70,
OFFSET(F70,-6,0)*
OFFSET(MSP!$G$1,
MATCH(OFFSET($C62,((MATCH($C62,EL_List,0)-1)*-10)-1,0),MSP!$C:$C,0)+MATCH($C62,EL_List,0)-1,0)
*INDEX(Learning!$E$6:$S$41,(MATCH(F$21,Dates,0)),(MATCH($C$21,Learning!$E$4:$S$4,0)+MATCH($C$62,Learning!$E$5:$S$5,0)-1)))</f>
        <v>6.0110487354800082E-2</v>
      </c>
      <c r="G70" s="531" cm="1">
        <f t="array" aca="1" ref="G70" ca="1">IF(G$21&lt;Standard_Year,'No STDs Case Rev &amp; Cost'!G70,
OFFSET(G70,-6,0)*
OFFSET(MSP!$G$1,
MATCH(OFFSET($C62,((MATCH($C62,EL_List,0)-1)*-10)-1,0),MSP!$C:$C,0)+MATCH($C62,EL_List,0)-1,0)
*INDEX(Learning!$E$6:$S$41,(MATCH(G$21,Dates,0)),(MATCH($C$21,Learning!$E$4:$S$4,0)+MATCH($C$62,Learning!$E$5:$S$5,0)-1)))</f>
        <v>6.1993214849081872E-2</v>
      </c>
      <c r="H70" s="531" cm="1">
        <f t="array" aca="1" ref="H70" ca="1">IF(H$21&lt;Standard_Year,'No STDs Case Rev &amp; Cost'!H70,
OFFSET(H70,-6,0)*
OFFSET(MSP!$G$1,
MATCH(OFFSET($C62,((MATCH($C62,EL_List,0)-1)*-10)-1,0),MSP!$C:$C,0)+MATCH($C62,EL_List,0)-1,0)
*INDEX(Learning!$E$6:$S$41,(MATCH(H$21,Dates,0)),(MATCH($C$21,Learning!$E$4:$S$4,0)+MATCH($C$62,Learning!$E$5:$S$5,0)-1)))</f>
        <v>6.4461783171463852E-2</v>
      </c>
      <c r="I70" s="531" cm="1">
        <f t="array" aca="1" ref="I70" ca="1">IF(I$21&lt;Standard_Year,'No STDs Case Rev &amp; Cost'!I70,
OFFSET(I70,-6,0)*
OFFSET(MSP!$G$1,
MATCH(OFFSET($C62,((MATCH($C62,EL_List,0)-1)*-10)-1,0),MSP!$C:$C,0)+MATCH($C62,EL_List,0)-1,0)
*INDEX(Learning!$E$6:$S$41,(MATCH(I$21,Dates,0)),(MATCH($C$21,Learning!$E$4:$S$4,0)+MATCH($C$62,Learning!$E$5:$S$5,0)-1)))</f>
        <v>6.7100341391711574E-2</v>
      </c>
      <c r="J70" s="531" cm="1">
        <f t="array" aca="1" ref="J70" ca="1">IF(J$21&lt;Standard_Year,'No STDs Case Rev &amp; Cost'!J70,
OFFSET(J70,-6,0)*
OFFSET(MSP!$G$1,
MATCH(OFFSET($C62,((MATCH($C62,EL_List,0)-1)*-10)-1,0),MSP!$C:$C,0)+MATCH($C62,EL_List,0)-1,0)
*INDEX(Learning!$E$6:$S$41,(MATCH(J$21,Dates,0)),(MATCH($C$21,Learning!$E$4:$S$4,0)+MATCH($C$62,Learning!$E$5:$S$5,0)-1)))</f>
        <v>7.0092425608525369E-2</v>
      </c>
      <c r="K70" s="531" cm="1">
        <f t="array" aca="1" ref="K70" ca="1">IF(K$21&lt;Standard_Year,'No STDs Case Rev &amp; Cost'!K70,
OFFSET(K70,-6,0)*
OFFSET(MSP!$G$1,
MATCH(OFFSET($C62,((MATCH($C62,EL_List,0)-1)*-10)-1,0),MSP!$C:$C,0)+MATCH($C62,EL_List,0)-1,0)
*INDEX(Learning!$E$6:$S$41,(MATCH(K$21,Dates,0)),(MATCH($C$21,Learning!$E$4:$S$4,0)+MATCH($C$62,Learning!$E$5:$S$5,0)-1)))</f>
        <v>7.3329292775702437E-2</v>
      </c>
      <c r="L70" s="531" cm="1">
        <f t="array" aca="1" ref="L70" ca="1">IF(L$21&lt;Standard_Year,'No STDs Case Rev &amp; Cost'!L70,
OFFSET(L70,-6,0)*
OFFSET(MSP!$G$1,
MATCH(OFFSET($C62,((MATCH($C62,EL_List,0)-1)*-10)-1,0),MSP!$C:$C,0)+MATCH($C62,EL_List,0)-1,0)
*INDEX(Learning!$E$6:$S$41,(MATCH(L$21,Dates,0)),(MATCH($C$21,Learning!$E$4:$S$4,0)+MATCH($C$62,Learning!$E$5:$S$5,0)-1)))</f>
        <v>7.674667775417443E-2</v>
      </c>
      <c r="M70" s="531" cm="1">
        <f t="array" aca="1" ref="M70" ca="1">IF(M$21&lt;Standard_Year,'No STDs Case Rev &amp; Cost'!M70,
OFFSET(M70,-6,0)*
OFFSET(MSP!$G$1,
MATCH(OFFSET($C62,((MATCH($C62,EL_List,0)-1)*-10)-1,0),MSP!$C:$C,0)+MATCH($C62,EL_List,0)-1,0)
*INDEX(Learning!$E$6:$S$41,(MATCH(M$21,Dates,0)),(MATCH($C$21,Learning!$E$4:$S$4,0)+MATCH($C$62,Learning!$E$5:$S$5,0)-1)))</f>
        <v>8.0375921338373318E-2</v>
      </c>
      <c r="N70" s="531" cm="1">
        <f t="array" aca="1" ref="N70" ca="1">IF(N$21&lt;Standard_Year,'No STDs Case Rev &amp; Cost'!N70,
OFFSET(N70,-6,0)*
OFFSET(MSP!$G$1,
MATCH(OFFSET($C62,((MATCH($C62,EL_List,0)-1)*-10)-1,0),MSP!$C:$C,0)+MATCH($C62,EL_List,0)-1,0)
*INDEX(Learning!$E$6:$S$41,(MATCH(N$21,Dates,0)),(MATCH($C$21,Learning!$E$4:$S$4,0)+MATCH($C$62,Learning!$E$5:$S$5,0)-1)))</f>
        <v>8.402509157794831E-2</v>
      </c>
      <c r="O70" s="531" cm="1">
        <f t="array" aca="1" ref="O70" ca="1">IF(O$21&lt;Standard_Year,'No STDs Case Rev &amp; Cost'!O70,
OFFSET(O70,-6,0)*
OFFSET(MSP!$G$1,
MATCH(OFFSET($C62,((MATCH($C62,EL_List,0)-1)*-10)-1,0),MSP!$C:$C,0)+MATCH($C62,EL_List,0)-1,0)
*INDEX(Learning!$E$6:$S$41,(MATCH(O$21,Dates,0)),(MATCH($C$21,Learning!$E$4:$S$4,0)+MATCH($C$62,Learning!$E$5:$S$5,0)-1)))</f>
        <v>8.7856785151495184E-2</v>
      </c>
      <c r="P70" s="531" cm="1">
        <f t="array" aca="1" ref="P70" ca="1">IF(P$21&lt;Standard_Year,'No STDs Case Rev &amp; Cost'!P70,
OFFSET(P70,-6,0)*
OFFSET(MSP!$G$1,
MATCH(OFFSET($C62,((MATCH($C62,EL_List,0)-1)*-10)-1,0),MSP!$C:$C,0)+MATCH($C62,EL_List,0)-1,0)
*INDEX(Learning!$E$6:$S$41,(MATCH(P$21,Dates,0)),(MATCH($C$21,Learning!$E$4:$S$4,0)+MATCH($C$62,Learning!$E$5:$S$5,0)-1)))</f>
        <v>9.1805681613719881E-2</v>
      </c>
      <c r="Q70" s="531" cm="1">
        <f t="array" aca="1" ref="Q70" ca="1">IF(Q$21&lt;Standard_Year,'No STDs Case Rev &amp; Cost'!Q70,
OFFSET(Q70,-6,0)*
OFFSET(MSP!$G$1,
MATCH(OFFSET($C62,((MATCH($C62,EL_List,0)-1)*-10)-1,0),MSP!$C:$C,0)+MATCH($C62,EL_List,0)-1,0)
*INDEX(Learning!$E$6:$S$41,(MATCH(Q$21,Dates,0)),(MATCH($C$21,Learning!$E$4:$S$4,0)+MATCH($C$62,Learning!$E$5:$S$5,0)-1)))</f>
        <v>9.5896888115185708E-2</v>
      </c>
      <c r="R70" s="531" cm="1">
        <f t="array" aca="1" ref="R70" ca="1">IF(R$21&lt;Standard_Year,'No STDs Case Rev &amp; Cost'!R70,
OFFSET(R70,-6,0)*
OFFSET(MSP!$G$1,
MATCH(OFFSET($C62,((MATCH($C62,EL_List,0)-1)*-10)-1,0),MSP!$C:$C,0)+MATCH($C62,EL_List,0)-1,0)
*INDEX(Learning!$E$6:$S$41,(MATCH(R$21,Dates,0)),(MATCH($C$21,Learning!$E$4:$S$4,0)+MATCH($C$62,Learning!$E$5:$S$5,0)-1)))</f>
        <v>0.10015953303799181</v>
      </c>
      <c r="S70" s="531" cm="1">
        <f t="array" aca="1" ref="S70" ca="1">IF(S$21&lt;Standard_Year,'No STDs Case Rev &amp; Cost'!S70,
OFFSET(S70,-6,0)*
OFFSET(MSP!$G$1,
MATCH(OFFSET($C62,((MATCH($C62,EL_List,0)-1)*-10)-1,0),MSP!$C:$C,0)+MATCH($C62,EL_List,0)-1,0)
*INDEX(Learning!$E$6:$S$41,(MATCH(S$21,Dates,0)),(MATCH($C$21,Learning!$E$4:$S$4,0)+MATCH($C$62,Learning!$E$5:$S$5,0)-1)))</f>
        <v>0.10461699400041585</v>
      </c>
      <c r="T70" s="531" cm="1">
        <f t="array" aca="1" ref="T70" ca="1">IF(T$21&lt;Standard_Year,'No STDs Case Rev &amp; Cost'!T70,
OFFSET(T70,-6,0)*
OFFSET(MSP!$G$1,
MATCH(OFFSET($C62,((MATCH($C62,EL_List,0)-1)*-10)-1,0),MSP!$C:$C,0)+MATCH($C62,EL_List,0)-1,0)
*INDEX(Learning!$E$6:$S$41,(MATCH(T$21,Dates,0)),(MATCH($C$21,Learning!$E$4:$S$4,0)+MATCH($C$62,Learning!$E$5:$S$5,0)-1)))</f>
        <v>0.10928230384542115</v>
      </c>
      <c r="U70" s="531" cm="1">
        <f t="array" aca="1" ref="U70" ca="1">IF(U$21&lt;Standard_Year,'No STDs Case Rev &amp; Cost'!U70,
OFFSET(U70,-6,0)*
OFFSET(MSP!$G$1,
MATCH(OFFSET($C62,((MATCH($C62,EL_List,0)-1)*-10)-1,0),MSP!$C:$C,0)+MATCH($C62,EL_List,0)-1,0)
*INDEX(Learning!$E$6:$S$41,(MATCH(U$21,Dates,0)),(MATCH($C$21,Learning!$E$4:$S$4,0)+MATCH($C$62,Learning!$E$5:$S$5,0)-1)))</f>
        <v>0.11429044227847768</v>
      </c>
      <c r="V70" s="531" cm="1">
        <f t="array" aca="1" ref="V70" ca="1">IF(V$21&lt;Standard_Year,'No STDs Case Rev &amp; Cost'!V70,
OFFSET(V70,-6,0)*
OFFSET(MSP!$G$1,
MATCH(OFFSET($C62,((MATCH($C62,EL_List,0)-1)*-10)-1,0),MSP!$C:$C,0)+MATCH($C62,EL_List,0)-1,0)
*INDEX(Learning!$E$6:$S$41,(MATCH(V$21,Dates,0)),(MATCH($C$21,Learning!$E$4:$S$4,0)+MATCH($C$62,Learning!$E$5:$S$5,0)-1)))</f>
        <v>0.11939131540953765</v>
      </c>
      <c r="W70" s="531" cm="1">
        <f t="array" aca="1" ref="W70" ca="1">IF(W$21&lt;Standard_Year,'No STDs Case Rev &amp; Cost'!W70,
OFFSET(W70,-6,0)*
OFFSET(MSP!$G$1,
MATCH(OFFSET($C62,((MATCH($C62,EL_List,0)-1)*-10)-1,0),MSP!$C:$C,0)+MATCH($C62,EL_List,0)-1,0)
*INDEX(Learning!$E$6:$S$41,(MATCH(W$21,Dates,0)),(MATCH($C$21,Learning!$E$4:$S$4,0)+MATCH($C$62,Learning!$E$5:$S$5,0)-1)))</f>
        <v>0.12484543731786693</v>
      </c>
      <c r="X70" s="531" cm="1">
        <f t="array" aca="1" ref="X70" ca="1">IF(X$21&lt;Standard_Year,'No STDs Case Rev &amp; Cost'!X70,
OFFSET(X70,-6,0)*
OFFSET(MSP!$G$1,
MATCH(OFFSET($C62,((MATCH($C62,EL_List,0)-1)*-10)-1,0),MSP!$C:$C,0)+MATCH($C62,EL_List,0)-1,0)
*INDEX(Learning!$E$6:$S$41,(MATCH(X$21,Dates,0)),(MATCH($C$21,Learning!$E$4:$S$4,0)+MATCH($C$62,Learning!$E$5:$S$5,0)-1)))</f>
        <v>0.1305359516863849</v>
      </c>
      <c r="Y70" s="531" cm="1">
        <f t="array" aca="1" ref="Y70" ca="1">IF(Y$21&lt;Standard_Year,'No STDs Case Rev &amp; Cost'!Y70,
OFFSET(Y70,-6,0)*
OFFSET(MSP!$G$1,
MATCH(OFFSET($C62,((MATCH($C62,EL_List,0)-1)*-10)-1,0),MSP!$C:$C,0)+MATCH($C62,EL_List,0)-1,0)
*INDEX(Learning!$E$6:$S$41,(MATCH(Y$21,Dates,0)),(MATCH($C$21,Learning!$E$4:$S$4,0)+MATCH($C$62,Learning!$E$5:$S$5,0)-1)))</f>
        <v>0.13632330330013526</v>
      </c>
      <c r="Z70" s="531" cm="1">
        <f t="array" aca="1" ref="Z70" ca="1">IF(Z$21&lt;Standard_Year,'No STDs Case Rev &amp; Cost'!Z70,
OFFSET(Z70,-6,0)*
OFFSET(MSP!$G$1,
MATCH(OFFSET($C62,((MATCH($C62,EL_List,0)-1)*-10)-1,0),MSP!$C:$C,0)+MATCH($C62,EL_List,0)-1,0)
*INDEX(Learning!$E$6:$S$41,(MATCH(Z$21,Dates,0)),(MATCH($C$21,Learning!$E$4:$S$4,0)+MATCH($C$62,Learning!$E$5:$S$5,0)-1)))</f>
        <v>0.14250331744116937</v>
      </c>
      <c r="AA70" s="531" cm="1">
        <f t="array" aca="1" ref="AA70" ca="1">IF(AA$21&lt;Standard_Year,'No STDs Case Rev &amp; Cost'!AA70,
OFFSET(AA70,-6,0)*
OFFSET(MSP!$G$1,
MATCH(OFFSET($C62,((MATCH($C62,EL_List,0)-1)*-10)-1,0),MSP!$C:$C,0)+MATCH($C62,EL_List,0)-1,0)
*INDEX(Learning!$E$6:$S$41,(MATCH(AA$21,Dates,0)),(MATCH($C$21,Learning!$E$4:$S$4,0)+MATCH($C$62,Learning!$E$5:$S$5,0)-1)))</f>
        <v>0.14894869573101113</v>
      </c>
      <c r="AB70" s="531" cm="1">
        <f t="array" aca="1" ref="AB70" ca="1">IF(AB$21&lt;Standard_Year,'No STDs Case Rev &amp; Cost'!AB70,
OFFSET(AB70,-6,0)*
OFFSET(MSP!$G$1,
MATCH(OFFSET($C62,((MATCH($C62,EL_List,0)-1)*-10)-1,0),MSP!$C:$C,0)+MATCH($C62,EL_List,0)-1,0)
*INDEX(Learning!$E$6:$S$41,(MATCH(AB$21,Dates,0)),(MATCH($C$21,Learning!$E$4:$S$4,0)+MATCH($C$62,Learning!$E$5:$S$5,0)-1)))</f>
        <v>0.15567367600853371</v>
      </c>
      <c r="AC70" s="531" cm="1">
        <f t="array" aca="1" ref="AC70" ca="1">IF(AC$21&lt;Standard_Year,'No STDs Case Rev &amp; Cost'!AC70,
OFFSET(AC70,-6,0)*
OFFSET(MSP!$G$1,
MATCH(OFFSET($C62,((MATCH($C62,EL_List,0)-1)*-10)-1,0),MSP!$C:$C,0)+MATCH($C62,EL_List,0)-1,0)
*INDEX(Learning!$E$6:$S$41,(MATCH(AC$21,Dates,0)),(MATCH($C$21,Learning!$E$4:$S$4,0)+MATCH($C$62,Learning!$E$5:$S$5,0)-1)))</f>
        <v>0.1626923607501756</v>
      </c>
      <c r="AD70" s="531" cm="1">
        <f t="array" aca="1" ref="AD70" ca="1">IF(AD$21&lt;Standard_Year,'No STDs Case Rev &amp; Cost'!AD70,
OFFSET(AD70,-6,0)*
OFFSET(MSP!$G$1,
MATCH(OFFSET($C62,((MATCH($C62,EL_List,0)-1)*-10)-1,0),MSP!$C:$C,0)+MATCH($C62,EL_List,0)-1,0)
*INDEX(Learning!$E$6:$S$41,(MATCH(AD$21,Dates,0)),(MATCH($C$21,Learning!$E$4:$S$4,0)+MATCH($C$62,Learning!$E$5:$S$5,0)-1)))</f>
        <v>0.17001863122915972</v>
      </c>
      <c r="AE70" s="531" cm="1">
        <f t="array" aca="1" ref="AE70" ca="1">IF(AE$21&lt;Standard_Year,'No STDs Case Rev &amp; Cost'!AE70,
OFFSET(AE70,-6,0)*
OFFSET(MSP!$G$1,
MATCH(OFFSET($C62,((MATCH($C62,EL_List,0)-1)*-10)-1,0),MSP!$C:$C,0)+MATCH($C62,EL_List,0)-1,0)
*INDEX(Learning!$E$6:$S$41,(MATCH(AE$21,Dates,0)),(MATCH($C$21,Learning!$E$4:$S$4,0)+MATCH($C$62,Learning!$E$5:$S$5,0)-1)))</f>
        <v>0.17766604650961473</v>
      </c>
      <c r="AF70" s="531" cm="1">
        <f t="array" aca="1" ref="AF70" ca="1">IF(AF$21&lt;Standard_Year,'No STDs Case Rev &amp; Cost'!AF70,
OFFSET(AF70,-6,0)*
OFFSET(MSP!$G$1,
MATCH(OFFSET($C62,((MATCH($C62,EL_List,0)-1)*-10)-1,0),MSP!$C:$C,0)+MATCH($C62,EL_List,0)-1,0)
*INDEX(Learning!$E$6:$S$41,(MATCH(AF$21,Dates,0)),(MATCH($C$21,Learning!$E$4:$S$4,0)+MATCH($C$62,Learning!$E$5:$S$5,0)-1)))</f>
        <v>0.18564802156632881</v>
      </c>
      <c r="AG70" s="531" cm="1">
        <f t="array" aca="1" ref="AG70" ca="1">IF(AG$21&lt;Standard_Year,'No STDs Case Rev &amp; Cost'!AG70,
OFFSET(AG70,-6,0)*
OFFSET(MSP!$G$1,
MATCH(OFFSET($C62,((MATCH($C62,EL_List,0)-1)*-10)-1,0),MSP!$C:$C,0)+MATCH($C62,EL_List,0)-1,0)
*INDEX(Learning!$E$6:$S$41,(MATCH(AG$21,Dates,0)),(MATCH($C$21,Learning!$E$4:$S$4,0)+MATCH($C$62,Learning!$E$5:$S$5,0)-1)))</f>
        <v>0.19419398752380929</v>
      </c>
      <c r="AH70" s="531" cm="1">
        <f t="array" aca="1" ref="AH70" ca="1">IF(AH$21&lt;Standard_Year,'No STDs Case Rev &amp; Cost'!AH70,
OFFSET(AH70,-6,0)*
OFFSET(MSP!$G$1,
MATCH(OFFSET($C62,((MATCH($C62,EL_List,0)-1)*-10)-1,0),MSP!$C:$C,0)+MATCH($C62,EL_List,0)-1,0)
*INDEX(Learning!$E$6:$S$41,(MATCH(AH$21,Dates,0)),(MATCH($C$21,Learning!$E$4:$S$4,0)+MATCH($C$62,Learning!$E$5:$S$5,0)-1)))</f>
        <v>0.20289732435845267</v>
      </c>
      <c r="AI70" s="531" cm="1">
        <f t="array" aca="1" ref="AI70" ca="1">IF(AI$21&lt;Standard_Year,'No STDs Case Rev &amp; Cost'!AI70,
OFFSET(AI70,-6,0)*
OFFSET(MSP!$G$1,
MATCH(OFFSET($C62,((MATCH($C62,EL_List,0)-1)*-10)-1,0),MSP!$C:$C,0)+MATCH($C62,EL_List,0)-1,0)
*INDEX(Learning!$E$6:$S$41,(MATCH(AI$21,Dates,0)),(MATCH($C$21,Learning!$E$4:$S$4,0)+MATCH($C$62,Learning!$E$5:$S$5,0)-1)))</f>
        <v>0.21197872142755603</v>
      </c>
      <c r="AJ70" s="531" cm="1">
        <f t="array" aca="1" ref="AJ70" ca="1">IF(AJ$21&lt;Standard_Year,'No STDs Case Rev &amp; Cost'!AJ70,
OFFSET(AJ70,-6,0)*
OFFSET(MSP!$G$1,
MATCH(OFFSET($C62,((MATCH($C62,EL_List,0)-1)*-10)-1,0),MSP!$C:$C,0)+MATCH($C62,EL_List,0)-1,0)
*INDEX(Learning!$E$6:$S$41,(MATCH(AJ$21,Dates,0)),(MATCH($C$21,Learning!$E$4:$S$4,0)+MATCH($C$62,Learning!$E$5:$S$5,0)-1)))</f>
        <v>0.22170361250509998</v>
      </c>
      <c r="AK70" s="531" cm="1">
        <f t="array" aca="1" ref="AK70" ca="1">IF(AK$21&lt;Standard_Year,'No STDs Case Rev &amp; Cost'!AK70,
OFFSET(AK70,-6,0)*
OFFSET(MSP!$G$1,
MATCH(OFFSET($C62,((MATCH($C62,EL_List,0)-1)*-10)-1,0),MSP!$C:$C,0)+MATCH($C62,EL_List,0)-1,0)
*INDEX(Learning!$E$6:$S$41,(MATCH(AK$21,Dates,0)),(MATCH($C$21,Learning!$E$4:$S$4,0)+MATCH($C$62,Learning!$E$5:$S$5,0)-1)))</f>
        <v>0.23160251969569851</v>
      </c>
      <c r="AL70" s="531" cm="1">
        <f t="array" aca="1" ref="AL70" ca="1">IF(AL$21&lt;Standard_Year,'No STDs Case Rev &amp; Cost'!AL70,
OFFSET(AL70,-6,0)*
OFFSET(MSP!$G$1,
MATCH(OFFSET($C62,((MATCH($C62,EL_List,0)-1)*-10)-1,0),MSP!$C:$C,0)+MATCH($C62,EL_List,0)-1,0)
*INDEX(Learning!$E$6:$S$41,(MATCH(AL$21,Dates,0)),(MATCH($C$21,Learning!$E$4:$S$4,0)+MATCH($C$62,Learning!$E$5:$S$5,0)-1)))</f>
        <v>0.24220556429588788</v>
      </c>
      <c r="AM70" s="531" cm="1">
        <f t="array" aca="1" ref="AM70" ca="1">IF(AM$21&lt;Standard_Year,'No STDs Case Rev &amp; Cost'!AM70,
OFFSET(AM70,-6,0)*
OFFSET(MSP!$G$1,
MATCH(OFFSET($C62,((MATCH($C62,EL_List,0)-1)*-10)-1,0),MSP!$C:$C,0)+MATCH($C62,EL_List,0)-1,0)
*INDEX(Learning!$E$6:$S$41,(MATCH(AM$21,Dates,0)),(MATCH($C$21,Learning!$E$4:$S$4,0)+MATCH($C$62,Learning!$E$5:$S$5,0)-1)))</f>
        <v>0.25299573808364262</v>
      </c>
      <c r="AN70" s="531" cm="1">
        <f t="array" aca="1" ref="AN70" ca="1">IF(AN$21&lt;Standard_Year,'No STDs Case Rev &amp; Cost'!AN70,
OFFSET(AN70,-6,0)*
OFFSET(MSP!$G$1,
MATCH(OFFSET($C62,((MATCH($C62,EL_List,0)-1)*-10)-1,0),MSP!$C:$C,0)+MATCH($C62,EL_List,0)-1,0)
*INDEX(Learning!$E$6:$S$41,(MATCH(AN$21,Dates,0)),(MATCH($C$21,Learning!$E$4:$S$4,0)+MATCH($C$62,Learning!$E$5:$S$5,0)-1)))</f>
        <v>0.26445790140866393</v>
      </c>
      <c r="AO70" s="436"/>
      <c r="AP70" s="21"/>
    </row>
    <row r="71" spans="2:42" ht="15" customHeight="1" x14ac:dyDescent="0.35">
      <c r="B71" s="429"/>
      <c r="C71" s="776"/>
      <c r="D71" s="776"/>
      <c r="E71" s="776"/>
      <c r="F71" s="776"/>
      <c r="G71" s="776"/>
      <c r="H71" s="776"/>
      <c r="I71" s="776"/>
      <c r="J71" s="776"/>
      <c r="K71" s="776"/>
      <c r="L71" s="776"/>
      <c r="M71" s="776"/>
      <c r="N71" s="776"/>
      <c r="O71" s="776"/>
      <c r="P71" s="776"/>
      <c r="Q71" s="776"/>
      <c r="R71" s="776"/>
      <c r="S71" s="776"/>
      <c r="T71" s="776"/>
      <c r="U71" s="776"/>
      <c r="V71" s="776"/>
      <c r="W71" s="776"/>
      <c r="X71" s="776"/>
      <c r="Y71" s="776"/>
      <c r="Z71" s="776"/>
      <c r="AA71" s="776"/>
      <c r="AB71" s="776"/>
      <c r="AC71" s="776"/>
      <c r="AD71" s="776"/>
      <c r="AE71" s="776"/>
      <c r="AF71" s="776"/>
      <c r="AG71" s="776"/>
      <c r="AH71" s="776"/>
      <c r="AI71" s="776"/>
      <c r="AJ71" s="776"/>
      <c r="AK71" s="776"/>
      <c r="AL71" s="776"/>
      <c r="AM71" s="776"/>
      <c r="AN71" s="776"/>
      <c r="AO71" s="436"/>
      <c r="AP71" s="21"/>
    </row>
    <row r="72" spans="2:42" ht="15" customHeight="1" x14ac:dyDescent="0.35">
      <c r="B72" s="429"/>
      <c r="C72" s="776"/>
      <c r="D72" s="776"/>
      <c r="E72" s="776"/>
      <c r="F72" s="776"/>
      <c r="G72" s="776"/>
      <c r="H72" s="776"/>
      <c r="I72" s="776"/>
      <c r="J72" s="776"/>
      <c r="K72" s="776"/>
      <c r="L72" s="776"/>
      <c r="M72" s="776"/>
      <c r="N72" s="776"/>
      <c r="O72" s="776"/>
      <c r="P72" s="776"/>
      <c r="Q72" s="776"/>
      <c r="R72" s="776"/>
      <c r="S72" s="776"/>
      <c r="T72" s="776"/>
      <c r="U72" s="776"/>
      <c r="V72" s="776"/>
      <c r="W72" s="776"/>
      <c r="X72" s="776"/>
      <c r="Y72" s="776"/>
      <c r="Z72" s="776"/>
      <c r="AA72" s="776"/>
      <c r="AB72" s="776"/>
      <c r="AC72" s="776"/>
      <c r="AD72" s="776"/>
      <c r="AE72" s="776"/>
      <c r="AF72" s="776"/>
      <c r="AG72" s="776"/>
      <c r="AH72" s="776"/>
      <c r="AI72" s="776"/>
      <c r="AJ72" s="776"/>
      <c r="AK72" s="776"/>
      <c r="AL72" s="776"/>
      <c r="AM72" s="776"/>
      <c r="AN72" s="776"/>
      <c r="AO72" s="436"/>
      <c r="AP72" s="21"/>
    </row>
    <row r="73" spans="2:42" ht="15" customHeight="1" collapsed="1" x14ac:dyDescent="0.35">
      <c r="B73" s="429"/>
      <c r="C73" s="772" t="s">
        <v>57</v>
      </c>
      <c r="D73" s="779"/>
      <c r="E73" s="772">
        <f>Reference_Year - 1</f>
        <v>2022</v>
      </c>
      <c r="F73" s="772">
        <f ca="1">OFFSET(F73,0,-1)+1</f>
        <v>2023</v>
      </c>
      <c r="G73" s="772">
        <f t="shared" ref="G73:AN73" ca="1" si="19">OFFSET(G73,0,-1)+1</f>
        <v>2024</v>
      </c>
      <c r="H73" s="772">
        <f t="shared" ca="1" si="19"/>
        <v>2025</v>
      </c>
      <c r="I73" s="772">
        <f t="shared" ca="1" si="19"/>
        <v>2026</v>
      </c>
      <c r="J73" s="772">
        <f t="shared" ca="1" si="19"/>
        <v>2027</v>
      </c>
      <c r="K73" s="772">
        <f t="shared" ca="1" si="19"/>
        <v>2028</v>
      </c>
      <c r="L73" s="772">
        <f t="shared" ca="1" si="19"/>
        <v>2029</v>
      </c>
      <c r="M73" s="772">
        <f t="shared" ca="1" si="19"/>
        <v>2030</v>
      </c>
      <c r="N73" s="772">
        <f t="shared" ca="1" si="19"/>
        <v>2031</v>
      </c>
      <c r="O73" s="772">
        <f t="shared" ca="1" si="19"/>
        <v>2032</v>
      </c>
      <c r="P73" s="772">
        <f t="shared" ca="1" si="19"/>
        <v>2033</v>
      </c>
      <c r="Q73" s="772">
        <f t="shared" ca="1" si="19"/>
        <v>2034</v>
      </c>
      <c r="R73" s="772">
        <f t="shared" ca="1" si="19"/>
        <v>2035</v>
      </c>
      <c r="S73" s="772">
        <f t="shared" ca="1" si="19"/>
        <v>2036</v>
      </c>
      <c r="T73" s="772">
        <f t="shared" ca="1" si="19"/>
        <v>2037</v>
      </c>
      <c r="U73" s="772">
        <f t="shared" ca="1" si="19"/>
        <v>2038</v>
      </c>
      <c r="V73" s="772">
        <f t="shared" ca="1" si="19"/>
        <v>2039</v>
      </c>
      <c r="W73" s="772">
        <f t="shared" ca="1" si="19"/>
        <v>2040</v>
      </c>
      <c r="X73" s="772">
        <f t="shared" ca="1" si="19"/>
        <v>2041</v>
      </c>
      <c r="Y73" s="772">
        <f t="shared" ca="1" si="19"/>
        <v>2042</v>
      </c>
      <c r="Z73" s="772">
        <f t="shared" ca="1" si="19"/>
        <v>2043</v>
      </c>
      <c r="AA73" s="772">
        <f t="shared" ca="1" si="19"/>
        <v>2044</v>
      </c>
      <c r="AB73" s="772">
        <f t="shared" ca="1" si="19"/>
        <v>2045</v>
      </c>
      <c r="AC73" s="772">
        <f t="shared" ca="1" si="19"/>
        <v>2046</v>
      </c>
      <c r="AD73" s="772">
        <f t="shared" ca="1" si="19"/>
        <v>2047</v>
      </c>
      <c r="AE73" s="772">
        <f t="shared" ca="1" si="19"/>
        <v>2048</v>
      </c>
      <c r="AF73" s="772">
        <f t="shared" ca="1" si="19"/>
        <v>2049</v>
      </c>
      <c r="AG73" s="772">
        <f t="shared" ca="1" si="19"/>
        <v>2050</v>
      </c>
      <c r="AH73" s="772">
        <f t="shared" ca="1" si="19"/>
        <v>2051</v>
      </c>
      <c r="AI73" s="772">
        <f t="shared" ca="1" si="19"/>
        <v>2052</v>
      </c>
      <c r="AJ73" s="772">
        <f t="shared" ca="1" si="19"/>
        <v>2053</v>
      </c>
      <c r="AK73" s="772">
        <f t="shared" ca="1" si="19"/>
        <v>2054</v>
      </c>
      <c r="AL73" s="772">
        <f t="shared" ca="1" si="19"/>
        <v>2055</v>
      </c>
      <c r="AM73" s="772">
        <f t="shared" ca="1" si="19"/>
        <v>2056</v>
      </c>
      <c r="AN73" s="772">
        <f t="shared" ca="1" si="19"/>
        <v>2057</v>
      </c>
      <c r="AO73" s="436"/>
      <c r="AP73" s="21"/>
    </row>
    <row r="74" spans="2:42" ht="15" customHeight="1" x14ac:dyDescent="0.35">
      <c r="B74" s="429"/>
      <c r="C74" s="777" t="s">
        <v>141</v>
      </c>
      <c r="D74" s="777"/>
      <c r="E74" s="534">
        <f ca="1">IF(OFFSET(NAMES!$G$1,MATCH($C21,NAMES!$D:$D,0)-1,0)=TRUE,
(SUMIF($C22:$C71,"Unit Sales (MM)",E22:E71)),
0)</f>
        <v>1.9684073037587337</v>
      </c>
      <c r="F74" s="534">
        <f ca="1">IF(OFFSET(NAMES!$G$1,MATCH($C21,NAMES!$D:$D,0)-1,0)=TRUE,
(SUMIF($C22:$C71,"Unit Sales (MM)",F22:F71)),
0)</f>
        <v>2.0564316339907434</v>
      </c>
      <c r="G74" s="534">
        <f ca="1">IF(OFFSET(NAMES!$G$1,MATCH($C21,NAMES!$D:$D,0)-1,0)=TRUE,
(SUMIF($C22:$C71,"Unit Sales (MM)",G22:G71)),
0)</f>
        <v>2.1281275993372439</v>
      </c>
      <c r="H74" s="534">
        <f ca="1">IF(OFFSET(NAMES!$G$1,MATCH($C21,NAMES!$D:$D,0)-1,0)=TRUE,
(SUMIF($C22:$C71,"Unit Sales (MM)",H22:H71)),
0)</f>
        <v>2.2297987001167909</v>
      </c>
      <c r="I74" s="534">
        <f ca="1">IF(OFFSET(NAMES!$G$1,MATCH($C21,NAMES!$D:$D,0)-1,0)=TRUE,
(SUMIF($C22:$C71,"Unit Sales (MM)",I22:I71)),
0)</f>
        <v>2.3245033470306491</v>
      </c>
      <c r="J74" s="534">
        <f ca="1">IF(OFFSET(NAMES!$G$1,MATCH($C21,NAMES!$D:$D,0)-1,0)=TRUE,
(SUMIF($C22:$C71,"Unit Sales (MM)",J22:J71)),
0)</f>
        <v>2.4452989639762959</v>
      </c>
      <c r="K74" s="534">
        <f ca="1">IF(OFFSET(NAMES!$G$1,MATCH($C21,NAMES!$D:$D,0)-1,0)=TRUE,
(SUMIF($C22:$C71,"Unit Sales (MM)",K22:K71)),
0)</f>
        <v>2.5763584338585681</v>
      </c>
      <c r="L74" s="534">
        <f ca="1">IF(OFFSET(NAMES!$G$1,MATCH($C21,NAMES!$D:$D,0)-1,0)=TRUE,
(SUMIF($C22:$C71,"Unit Sales (MM)",L22:L71)),
0)</f>
        <v>2.7134883508193264</v>
      </c>
      <c r="M74" s="534">
        <f ca="1">IF(OFFSET(NAMES!$G$1,MATCH($C21,NAMES!$D:$D,0)-1,0)=TRUE,
(SUMIF($C22:$C71,"Unit Sales (MM)",M22:M71)),
0)</f>
        <v>2.8569964033175266</v>
      </c>
      <c r="N74" s="534">
        <f ca="1">IF(OFFSET(NAMES!$G$1,MATCH($C21,NAMES!$D:$D,0)-1,0)=TRUE,
(SUMIF($C22:$C71,"Unit Sales (MM)",N22:N71)),
0)</f>
        <v>3.005799907799104</v>
      </c>
      <c r="O74" s="534">
        <f ca="1">IF(OFFSET(NAMES!$G$1,MATCH($C21,NAMES!$D:$D,0)-1,0)=TRUE,
(SUMIF($C22:$C71,"Unit Sales (MM)",O22:O71)),
0)</f>
        <v>3.1598389088687604</v>
      </c>
      <c r="P74" s="534">
        <f ca="1">IF(OFFSET(NAMES!$G$1,MATCH($C21,NAMES!$D:$D,0)-1,0)=TRUE,
(SUMIF($C22:$C71,"Unit Sales (MM)",P22:P71)),
0)</f>
        <v>3.3197735389214462</v>
      </c>
      <c r="Q74" s="534">
        <f ca="1">IF(OFFSET(NAMES!$G$1,MATCH($C21,NAMES!$D:$D,0)-1,0)=TRUE,
(SUMIF($C22:$C71,"Unit Sales (MM)",Q22:Q71)),
0)</f>
        <v>3.485734004682091</v>
      </c>
      <c r="R74" s="534">
        <f ca="1">IF(OFFSET(NAMES!$G$1,MATCH($C21,NAMES!$D:$D,0)-1,0)=TRUE,
(SUMIF($C22:$C71,"Unit Sales (MM)",R22:R71)),
0)</f>
        <v>3.6596903049346245</v>
      </c>
      <c r="S74" s="534">
        <f ca="1">IF(OFFSET(NAMES!$G$1,MATCH($C21,NAMES!$D:$D,0)-1,0)=TRUE,
(SUMIF($C22:$C71,"Unit Sales (MM)",S22:S71)),
0)</f>
        <v>3.8426268328757276</v>
      </c>
      <c r="T74" s="534">
        <f ca="1">IF(OFFSET(NAMES!$G$1,MATCH($C21,NAMES!$D:$D,0)-1,0)=TRUE,
(SUMIF($C22:$C71,"Unit Sales (MM)",T22:T71)),
0)</f>
        <v>4.0351667677724787</v>
      </c>
      <c r="U74" s="534">
        <f ca="1">IF(OFFSET(NAMES!$G$1,MATCH($C21,NAMES!$D:$D,0)-1,0)=TRUE,
(SUMIF($C22:$C71,"Unit Sales (MM)",U22:U71)),
0)</f>
        <v>4.2380027034050567</v>
      </c>
      <c r="V74" s="534">
        <f ca="1">IF(OFFSET(NAMES!$G$1,MATCH($C21,NAMES!$D:$D,0)-1,0)=TRUE,
(SUMIF($C22:$C71,"Unit Sales (MM)",V22:V71)),
0)</f>
        <v>4.4507292449233109</v>
      </c>
      <c r="W74" s="534">
        <f ca="1">IF(OFFSET(NAMES!$G$1,MATCH($C21,NAMES!$D:$D,0)-1,0)=TRUE,
(SUMIF($C22:$C71,"Unit Sales (MM)",W22:W71)),
0)</f>
        <v>4.6739932843147196</v>
      </c>
      <c r="X74" s="534">
        <f ca="1">IF(OFFSET(NAMES!$G$1,MATCH($C21,NAMES!$D:$D,0)-1,0)=TRUE,
(SUMIF($C22:$C71,"Unit Sales (MM)",X22:X71)),
0)</f>
        <v>4.9080650907669083</v>
      </c>
      <c r="Y74" s="534">
        <f ca="1">IF(OFFSET(NAMES!$G$1,MATCH($C21,NAMES!$D:$D,0)-1,0)=TRUE,
(SUMIF($C22:$C71,"Unit Sales (MM)",Y22:Y71)),
0)</f>
        <v>5.1533440210563146</v>
      </c>
      <c r="Z74" s="534">
        <f ca="1">IF(OFFSET(NAMES!$G$1,MATCH($C21,NAMES!$D:$D,0)-1,0)=TRUE,
(SUMIF($C22:$C71,"Unit Sales (MM)",Z22:Z71)),
0)</f>
        <v>5.4103652428151792</v>
      </c>
      <c r="AA74" s="534">
        <f ca="1">IF(OFFSET(NAMES!$G$1,MATCH($C21,NAMES!$D:$D,0)-1,0)=TRUE,
(SUMIF($C22:$C71,"Unit Sales (MM)",AA22:AA71)),
0)</f>
        <v>5.6796294080686138</v>
      </c>
      <c r="AB74" s="534">
        <f ca="1">IF(OFFSET(NAMES!$G$1,MATCH($C21,NAMES!$D:$D,0)-1,0)=TRUE,
(SUMIF($C22:$C71,"Unit Sales (MM)",AB22:AB71)),
0)</f>
        <v>5.9619495127384736</v>
      </c>
      <c r="AC74" s="534">
        <f ca="1">IF(OFFSET(NAMES!$G$1,MATCH($C21,NAMES!$D:$D,0)-1,0)=TRUE,
(SUMIF($C22:$C71,"Unit Sales (MM)",AC22:AC71)),
0)</f>
        <v>6.2580394986245036</v>
      </c>
      <c r="AD74" s="534">
        <f ca="1">IF(OFFSET(NAMES!$G$1,MATCH($C21,NAMES!$D:$D,0)-1,0)=TRUE,
(SUMIF($C22:$C71,"Unit Sales (MM)",AD22:AD71)),
0)</f>
        <v>6.5686173183531578</v>
      </c>
      <c r="AE74" s="534">
        <f ca="1">IF(OFFSET(NAMES!$G$1,MATCH($C21,NAMES!$D:$D,0)-1,0)=TRUE,
(SUMIF($C22:$C71,"Unit Sales (MM)",AE22:AE71)),
0)</f>
        <v>6.894401103624463</v>
      </c>
      <c r="AF74" s="534">
        <f ca="1">IF(OFFSET(NAMES!$G$1,MATCH($C21,NAMES!$D:$D,0)-1,0)=TRUE,
(SUMIF($C22:$C71,"Unit Sales (MM)",AF22:AF71)),
0)</f>
        <v>7.2361161111542849</v>
      </c>
      <c r="AG74" s="534">
        <f ca="1">IF(OFFSET(NAMES!$G$1,MATCH($C21,NAMES!$D:$D,0)-1,0)=TRUE,
(SUMIF($C22:$C71,"Unit Sales (MM)",AG22:AG71)),
0)</f>
        <v>7.5945101163288093</v>
      </c>
      <c r="AH74" s="534">
        <f ca="1">IF(OFFSET(NAMES!$G$1,MATCH($C21,NAMES!$D:$D,0)-1,0)=TRUE,
(SUMIF($C22:$C71,"Unit Sales (MM)",AH22:AH71)),
0)</f>
        <v>7.9703672990082461</v>
      </c>
      <c r="AI74" s="534">
        <f ca="1">IF(OFFSET(NAMES!$G$1,MATCH($C21,NAMES!$D:$D,0)-1,0)=TRUE,
(SUMIF($C22:$C71,"Unit Sales (MM)",AI22:AI71)),
0)</f>
        <v>8.3645187315578848</v>
      </c>
      <c r="AJ74" s="534">
        <f ca="1">IF(OFFSET(NAMES!$G$1,MATCH($C21,NAMES!$D:$D,0)-1,0)=TRUE,
(SUMIF($C22:$C71,"Unit Sales (MM)",AJ22:AJ71)),
0)</f>
        <v>8.7778481079498967</v>
      </c>
      <c r="AK74" s="534">
        <f ca="1">IF(OFFSET(NAMES!$G$1,MATCH($C21,NAMES!$D:$D,0)-1,0)=TRUE,
(SUMIF($C22:$C71,"Unit Sales (MM)",AK22:AK71)),
0)</f>
        <v>9.2112922522139762</v>
      </c>
      <c r="AL74" s="534">
        <f ca="1">IF(OFFSET(NAMES!$G$1,MATCH($C21,NAMES!$D:$D,0)-1,0)=TRUE,
(SUMIF($C22:$C71,"Unit Sales (MM)",AL22:AL71)),
0)</f>
        <v>9.6658393995869201</v>
      </c>
      <c r="AM74" s="534">
        <f ca="1">IF(OFFSET(NAMES!$G$1,MATCH($C21,NAMES!$D:$D,0)-1,0)=TRUE,
(SUMIF($C22:$C71,"Unit Sales (MM)",AM22:AM71)),
0)</f>
        <v>10.14252805416815</v>
      </c>
      <c r="AN74" s="534">
        <f ca="1">IF(OFFSET(NAMES!$G$1,MATCH($C21,NAMES!$D:$D,0)-1,0)=TRUE,
(SUMIF($C22:$C71,"Unit Sales (MM)",AN22:AN71)),
0)</f>
        <v>10.642442875487742</v>
      </c>
      <c r="AO74" s="436"/>
      <c r="AP74" s="21"/>
    </row>
    <row r="75" spans="2:42" ht="15" customHeight="1" x14ac:dyDescent="0.35">
      <c r="B75" s="429"/>
      <c r="C75" s="777" t="s">
        <v>142</v>
      </c>
      <c r="D75" s="777"/>
      <c r="E75" s="535">
        <f ca="1">IF(OFFSET(NAMES!$G$1,MATCH($C21,NAMES!$D:$D,0)-1,0)=TRUE,
(SUMIF($C22:$C71,"Revenues (MM)",E22:E71)),
0)</f>
        <v>98.575452008678639</v>
      </c>
      <c r="F75" s="535">
        <f ca="1">IF(OFFSET(NAMES!$G$1,MATCH($C21,NAMES!$D:$D,0)-1,0)=TRUE,
(SUMIF($C22:$C71,"Revenues (MM)",F22:F71)),
0)</f>
        <v>102.17935842449249</v>
      </c>
      <c r="G75" s="535">
        <f ca="1">IF(OFFSET(NAMES!$G$1,MATCH($C21,NAMES!$D:$D,0)-1,0)=TRUE,
(SUMIF($C22:$C71,"Revenues (MM)",G22:G71)),
0)</f>
        <v>105.87594778163957</v>
      </c>
      <c r="H75" s="535">
        <f ca="1">IF(OFFSET(NAMES!$G$1,MATCH($C21,NAMES!$D:$D,0)-1,0)=TRUE,
(SUMIF($C22:$C71,"Revenues (MM)",H22:H71)),
0)</f>
        <v>110.185141017662</v>
      </c>
      <c r="I75" s="535">
        <f ca="1">IF(OFFSET(NAMES!$G$1,MATCH($C21,NAMES!$D:$D,0)-1,0)=TRUE,
(SUMIF($C22:$C71,"Revenues (MM)",I22:I71)),
0)</f>
        <v>116.29239886122269</v>
      </c>
      <c r="J75" s="535">
        <f ca="1">IF(OFFSET(NAMES!$G$1,MATCH($C21,NAMES!$D:$D,0)-1,0)=TRUE,
(SUMIF($C22:$C71,"Revenues (MM)",J22:J71)),
0)</f>
        <v>121.50347712897999</v>
      </c>
      <c r="K75" s="535">
        <f ca="1">IF(OFFSET(NAMES!$G$1,MATCH($C21,NAMES!$D:$D,0)-1,0)=TRUE,
(SUMIF($C22:$C71,"Revenues (MM)",K22:K71)),
0)</f>
        <v>127.13887429533607</v>
      </c>
      <c r="L75" s="535">
        <f ca="1">IF(OFFSET(NAMES!$G$1,MATCH($C21,NAMES!$D:$D,0)-1,0)=TRUE,
(SUMIF($C22:$C71,"Revenues (MM)",L22:L71)),
0)</f>
        <v>133.10163821686729</v>
      </c>
      <c r="M75" s="535">
        <f ca="1">IF(OFFSET(NAMES!$G$1,MATCH($C21,NAMES!$D:$D,0)-1,0)=TRUE,
(SUMIF($C22:$C71,"Revenues (MM)",M22:M71)),
0)</f>
        <v>139.18971420724128</v>
      </c>
      <c r="N75" s="535">
        <f ca="1">IF(OFFSET(NAMES!$G$1,MATCH($C21,NAMES!$D:$D,0)-1,0)=TRUE,
(SUMIF($C22:$C71,"Revenues (MM)",N22:N71)),
0)</f>
        <v>145.54827068111143</v>
      </c>
      <c r="O75" s="535">
        <f ca="1">IF(OFFSET(NAMES!$G$1,MATCH($C21,NAMES!$D:$D,0)-1,0)=TRUE,
(SUMIF($C22:$C71,"Revenues (MM)",O22:O71)),
0)</f>
        <v>152.09082668850357</v>
      </c>
      <c r="P75" s="535">
        <f ca="1">IF(OFFSET(NAMES!$G$1,MATCH($C21,NAMES!$D:$D,0)-1,0)=TRUE,
(SUMIF($C22:$C71,"Revenues (MM)",P22:P71)),
0)</f>
        <v>158.96867204796715</v>
      </c>
      <c r="Q75" s="535">
        <f ca="1">IF(OFFSET(NAMES!$G$1,MATCH($C21,NAMES!$D:$D,0)-1,0)=TRUE,
(SUMIF($C22:$C71,"Revenues (MM)",Q22:Q71)),
0)</f>
        <v>165.90589018707163</v>
      </c>
      <c r="R75" s="535">
        <f ca="1">IF(OFFSET(NAMES!$G$1,MATCH($C21,NAMES!$D:$D,0)-1,0)=TRUE,
(SUMIF($C22:$C71,"Revenues (MM)",R22:R71)),
0)</f>
        <v>173.28236413436508</v>
      </c>
      <c r="S75" s="535">
        <f ca="1">IF(OFFSET(NAMES!$G$1,MATCH($C21,NAMES!$D:$D,0)-1,0)=TRUE,
(SUMIF($C22:$C71,"Revenues (MM)",S22:S71)),
0)</f>
        <v>180.83095187625537</v>
      </c>
      <c r="T75" s="535">
        <f ca="1">IF(OFFSET(NAMES!$G$1,MATCH($C21,NAMES!$D:$D,0)-1,0)=TRUE,
(SUMIF($C22:$C71,"Revenues (MM)",T22:T71)),
0)</f>
        <v>188.91321596235002</v>
      </c>
      <c r="U75" s="535">
        <f ca="1">IF(OFFSET(NAMES!$G$1,MATCH($C21,NAMES!$D:$D,0)-1,0)=TRUE,
(SUMIF($C22:$C71,"Revenues (MM)",U22:U71)),
0)</f>
        <v>197.37255457493086</v>
      </c>
      <c r="V75" s="535">
        <f ca="1">IF(OFFSET(NAMES!$G$1,MATCH($C21,NAMES!$D:$D,0)-1,0)=TRUE,
(SUMIF($C22:$C71,"Revenues (MM)",V22:V71)),
0)</f>
        <v>206.20038902138955</v>
      </c>
      <c r="W75" s="535">
        <f ca="1">IF(OFFSET(NAMES!$G$1,MATCH($C21,NAMES!$D:$D,0)-1,0)=TRUE,
(SUMIF($C22:$C71,"Revenues (MM)",W22:W71)),
0)</f>
        <v>215.40068939213765</v>
      </c>
      <c r="X75" s="535">
        <f ca="1">IF(OFFSET(NAMES!$G$1,MATCH($C21,NAMES!$D:$D,0)-1,0)=TRUE,
(SUMIF($C22:$C71,"Revenues (MM)",X22:X71)),
0)</f>
        <v>225.21892895803441</v>
      </c>
      <c r="Y75" s="535">
        <f ca="1">IF(OFFSET(NAMES!$G$1,MATCH($C21,NAMES!$D:$D,0)-1,0)=TRUE,
(SUMIF($C22:$C71,"Revenues (MM)",Y22:Y71)),
0)</f>
        <v>235.22451416826166</v>
      </c>
      <c r="Z75" s="535">
        <f ca="1">IF(OFFSET(NAMES!$G$1,MATCH($C21,NAMES!$D:$D,0)-1,0)=TRUE,
(SUMIF($C22:$C71,"Revenues (MM)",Z22:Z71)),
0)</f>
        <v>245.65579422788849</v>
      </c>
      <c r="AA75" s="535">
        <f ca="1">IF(OFFSET(NAMES!$G$1,MATCH($C21,NAMES!$D:$D,0)-1,0)=TRUE,
(SUMIF($C22:$C71,"Revenues (MM)",AA22:AA71)),
0)</f>
        <v>256.76051444990065</v>
      </c>
      <c r="AB75" s="535">
        <f ca="1">IF(OFFSET(NAMES!$G$1,MATCH($C21,NAMES!$D:$D,0)-1,0)=TRUE,
(SUMIF($C22:$C71,"Revenues (MM)",AB22:AB71)),
0)</f>
        <v>268.09053436671974</v>
      </c>
      <c r="AC75" s="535">
        <f ca="1">IF(OFFSET(NAMES!$G$1,MATCH($C21,NAMES!$D:$D,0)-1,0)=TRUE,
(SUMIF($C22:$C71,"Revenues (MM)",AC22:AC71)),
0)</f>
        <v>280.16948925189274</v>
      </c>
      <c r="AD75" s="535">
        <f ca="1">IF(OFFSET(NAMES!$G$1,MATCH($C21,NAMES!$D:$D,0)-1,0)=TRUE,
(SUMIF($C22:$C71,"Revenues (MM)",AD22:AD71)),
0)</f>
        <v>292.4952061763247</v>
      </c>
      <c r="AE75" s="535">
        <f ca="1">IF(OFFSET(NAMES!$G$1,MATCH($C21,NAMES!$D:$D,0)-1,0)=TRUE,
(SUMIF($C22:$C71,"Revenues (MM)",AE22:AE71)),
0)</f>
        <v>305.6411802239889</v>
      </c>
      <c r="AF75" s="535">
        <f ca="1">IF(OFFSET(NAMES!$G$1,MATCH($C21,NAMES!$D:$D,0)-1,0)=TRUE,
(SUMIF($C22:$C71,"Revenues (MM)",AF22:AF71)),
0)</f>
        <v>319.36165450885403</v>
      </c>
      <c r="AG75" s="535">
        <f ca="1">IF(OFFSET(NAMES!$G$1,MATCH($C21,NAMES!$D:$D,0)-1,0)=TRUE,
(SUMIF($C22:$C71,"Revenues (MM)",AG22:AG71)),
0)</f>
        <v>333.72865081072007</v>
      </c>
      <c r="AH75" s="535">
        <f ca="1">IF(OFFSET(NAMES!$G$1,MATCH($C21,NAMES!$D:$D,0)-1,0)=TRUE,
(SUMIF($C22:$C71,"Revenues (MM)",AH22:AH71)),
0)</f>
        <v>348.67179510476899</v>
      </c>
      <c r="AI75" s="535">
        <f ca="1">IF(OFFSET(NAMES!$G$1,MATCH($C21,NAMES!$D:$D,0)-1,0)=TRUE,
(SUMIF($C22:$C71,"Revenues (MM)",AI22:AI71)),
0)</f>
        <v>364.26324587542274</v>
      </c>
      <c r="AJ75" s="535">
        <f ca="1">IF(OFFSET(NAMES!$G$1,MATCH($C21,NAMES!$D:$D,0)-1,0)=TRUE,
(SUMIF($C22:$C71,"Revenues (MM)",AJ22:AJ71)),
0)</f>
        <v>380.58665116111274</v>
      </c>
      <c r="AK75" s="535">
        <f ca="1">IF(OFFSET(NAMES!$G$1,MATCH($C21,NAMES!$D:$D,0)-1,0)=TRUE,
(SUMIF($C22:$C71,"Revenues (MM)",AK22:AK71)),
0)</f>
        <v>397.56151060493323</v>
      </c>
      <c r="AL75" s="535">
        <f ca="1">IF(OFFSET(NAMES!$G$1,MATCH($C21,NAMES!$D:$D,0)-1,0)=TRUE,
(SUMIF($C22:$C71,"Revenues (MM)",AL22:AL71)),
0)</f>
        <v>415.33375153904262</v>
      </c>
      <c r="AM75" s="535">
        <f ca="1">IF(OFFSET(NAMES!$G$1,MATCH($C21,NAMES!$D:$D,0)-1,0)=TRUE,
(SUMIF($C22:$C71,"Revenues (MM)",AM22:AM71)),
0)</f>
        <v>433.8146317374173</v>
      </c>
      <c r="AN75" s="535">
        <f ca="1">IF(OFFSET(NAMES!$G$1,MATCH($C21,NAMES!$D:$D,0)-1,0)=TRUE,
(SUMIF($C22:$C71,"Revenues (MM)",AN22:AN71)),
0)</f>
        <v>453.14672898285818</v>
      </c>
      <c r="AO75" s="436"/>
      <c r="AP75" s="21"/>
    </row>
    <row r="76" spans="2:42" ht="15" customHeight="1" x14ac:dyDescent="0.35">
      <c r="B76" s="429"/>
      <c r="C76" s="777"/>
      <c r="D76" s="776"/>
      <c r="E76" s="468"/>
      <c r="F76" s="468"/>
      <c r="G76" s="468"/>
      <c r="H76" s="468"/>
      <c r="I76" s="468"/>
      <c r="J76" s="468"/>
      <c r="K76" s="468"/>
      <c r="L76" s="468"/>
      <c r="M76" s="468"/>
      <c r="N76" s="468"/>
      <c r="O76" s="468"/>
      <c r="P76" s="468"/>
      <c r="Q76" s="468"/>
      <c r="R76" s="468"/>
      <c r="S76" s="468"/>
      <c r="T76" s="468"/>
      <c r="U76" s="468"/>
      <c r="V76" s="468"/>
      <c r="W76" s="468"/>
      <c r="X76" s="468"/>
      <c r="Y76" s="468"/>
      <c r="Z76" s="468"/>
      <c r="AA76" s="468"/>
      <c r="AB76" s="468"/>
      <c r="AC76" s="468"/>
      <c r="AD76" s="468"/>
      <c r="AE76" s="468"/>
      <c r="AF76" s="468"/>
      <c r="AG76" s="468"/>
      <c r="AH76" s="468"/>
      <c r="AI76" s="468"/>
      <c r="AJ76" s="468"/>
      <c r="AK76" s="468"/>
      <c r="AL76" s="468"/>
      <c r="AM76" s="468"/>
      <c r="AN76" s="468"/>
      <c r="AO76" s="436"/>
      <c r="AP76" s="21"/>
    </row>
    <row r="77" spans="2:42" ht="15" customHeight="1" x14ac:dyDescent="0.35">
      <c r="B77" s="429"/>
      <c r="C77" s="777" t="s">
        <v>216</v>
      </c>
      <c r="D77" s="776"/>
      <c r="E77" s="536">
        <f ca="1">IF(OFFSET(NAMES!$G$1,MATCH($C21,NAMES!$D:$D,0)-1,0)=TRUE,
(SUMIF($C22:$C72,"Materials (MM)",E22:E72)),
0)</f>
        <v>61.083676823561099</v>
      </c>
      <c r="F77" s="536">
        <f ca="1">IF(OFFSET(NAMES!$G$1,MATCH($C21,NAMES!$D:$D,0)-1,0)=TRUE,
(SUMIF($C22:$C72,"Materials (MM)",F22:F72)),
0)</f>
        <v>63.316714287262855</v>
      </c>
      <c r="G77" s="536">
        <f ca="1">IF(OFFSET(NAMES!$G$1,MATCH($C21,NAMES!$D:$D,0)-1,0)=TRUE,
(SUMIF($C22:$C72,"Materials (MM)",G22:G72)),
0)</f>
        <v>65.262540503486008</v>
      </c>
      <c r="H77" s="536">
        <f ca="1">IF(OFFSET(NAMES!$G$1,MATCH($C21,NAMES!$D:$D,0)-1,0)=TRUE,
(SUMIF($C22:$C72,"Materials (MM)",H22:H72)),
0)</f>
        <v>67.850535436061165</v>
      </c>
      <c r="I77" s="536">
        <f ca="1">IF(OFFSET(NAMES!$G$1,MATCH($C21,NAMES!$D:$D,0)-1,0)=TRUE,
(SUMIF($C22:$C72,"Materials (MM)",I22:I72)),
0)</f>
        <v>73.628232954875756</v>
      </c>
      <c r="J77" s="536">
        <f ca="1">IF(OFFSET(NAMES!$G$1,MATCH($C21,NAMES!$D:$D,0)-1,0)=TRUE,
(SUMIF($C22:$C72,"Materials (MM)",J22:J72)),
0)</f>
        <v>76.927546340113409</v>
      </c>
      <c r="K77" s="536">
        <f ca="1">IF(OFFSET(NAMES!$G$1,MATCH($C21,NAMES!$D:$D,0)-1,0)=TRUE,
(SUMIF($C22:$C72,"Materials (MM)",K22:K72)),
0)</f>
        <v>80.495508918301994</v>
      </c>
      <c r="L77" s="536">
        <f ca="1">IF(OFFSET(NAMES!$G$1,MATCH($C21,NAMES!$D:$D,0)-1,0)=TRUE,
(SUMIF($C22:$C72,"Materials (MM)",L22:L72)),
0)</f>
        <v>84.270749944250866</v>
      </c>
      <c r="M77" s="536">
        <f ca="1">IF(OFFSET(NAMES!$G$1,MATCH($C21,NAMES!$D:$D,0)-1,0)=TRUE,
(SUMIF($C22:$C72,"Materials (MM)",M22:M72)),
0)</f>
        <v>88.125118798915594</v>
      </c>
      <c r="N77" s="536">
        <f ca="1">IF(OFFSET(NAMES!$G$1,MATCH($C21,NAMES!$D:$D,0)-1,0)=TRUE,
(SUMIF($C22:$C72,"Materials (MM)",N22:N72)),
0)</f>
        <v>92.150942890686792</v>
      </c>
      <c r="O77" s="536">
        <f ca="1">IF(OFFSET(NAMES!$G$1,MATCH($C21,NAMES!$D:$D,0)-1,0)=TRUE,
(SUMIF($C22:$C72,"Materials (MM)",O22:O72)),
0)</f>
        <v>96.293147185082944</v>
      </c>
      <c r="P77" s="536">
        <f ca="1">IF(OFFSET(NAMES!$G$1,MATCH($C21,NAMES!$D:$D,0)-1,0)=TRUE,
(SUMIF($C22:$C72,"Materials (MM)",P22:P72)),
0)</f>
        <v>100.64774861866515</v>
      </c>
      <c r="Q77" s="536">
        <f ca="1">IF(OFFSET(NAMES!$G$1,MATCH($C21,NAMES!$D:$D,0)-1,0)=TRUE,
(SUMIF($C22:$C72,"Materials (MM)",Q22:Q72)),
0)</f>
        <v>105.03977736002351</v>
      </c>
      <c r="R77" s="536">
        <f ca="1">IF(OFFSET(NAMES!$G$1,MATCH($C21,NAMES!$D:$D,0)-1,0)=TRUE,
(SUMIF($C22:$C72,"Materials (MM)",R22:R72)),
0)</f>
        <v>109.71003624579592</v>
      </c>
      <c r="S77" s="536">
        <f ca="1">IF(OFFSET(NAMES!$G$1,MATCH($C21,NAMES!$D:$D,0)-1,0)=TRUE,
(SUMIF($C22:$C72,"Materials (MM)",S22:S72)),
0)</f>
        <v>114.48912115433951</v>
      </c>
      <c r="T77" s="536">
        <f ca="1">IF(OFFSET(NAMES!$G$1,MATCH($C21,NAMES!$D:$D,0)-1,0)=TRUE,
(SUMIF($C22:$C72,"Materials (MM)",T22:T72)),
0)</f>
        <v>119.60612273060673</v>
      </c>
      <c r="U77" s="536">
        <f ca="1">IF(OFFSET(NAMES!$G$1,MATCH($C21,NAMES!$D:$D,0)-1,0)=TRUE,
(SUMIF($C22:$C72,"Materials (MM)",U22:U72)),
0)</f>
        <v>124.96191476990155</v>
      </c>
      <c r="V77" s="536">
        <f ca="1">IF(OFFSET(NAMES!$G$1,MATCH($C21,NAMES!$D:$D,0)-1,0)=TRUE,
(SUMIF($C22:$C72,"Materials (MM)",V22:V72)),
0)</f>
        <v>130.55093887150696</v>
      </c>
      <c r="W77" s="536">
        <f ca="1">IF(OFFSET(NAMES!$G$1,MATCH($C21,NAMES!$D:$D,0)-1,0)=TRUE,
(SUMIF($C22:$C72,"Materials (MM)",W22:W72)),
0)</f>
        <v>136.37584078017636</v>
      </c>
      <c r="X77" s="536">
        <f ca="1">IF(OFFSET(NAMES!$G$1,MATCH($C21,NAMES!$D:$D,0)-1,0)=TRUE,
(SUMIF($C22:$C72,"Materials (MM)",X22:X72)),
0)</f>
        <v>142.59202658888736</v>
      </c>
      <c r="Y77" s="536">
        <f ca="1">IF(OFFSET(NAMES!$G$1,MATCH($C21,NAMES!$D:$D,0)-1,0)=TRUE,
(SUMIF($C22:$C72,"Materials (MM)",Y22:Y72)),
0)</f>
        <v>148.92668872955744</v>
      </c>
      <c r="Z77" s="536">
        <f ca="1">IF(OFFSET(NAMES!$G$1,MATCH($C21,NAMES!$D:$D,0)-1,0)=TRUE,
(SUMIF($C22:$C72,"Materials (MM)",Z22:Z72)),
0)</f>
        <v>155.5307959662787</v>
      </c>
      <c r="AA77" s="536">
        <f ca="1">IF(OFFSET(NAMES!$G$1,MATCH($C21,NAMES!$D:$D,0)-1,0)=TRUE,
(SUMIF($C22:$C72,"Materials (MM)",AA22:AA72)),
0)</f>
        <v>162.56146446826691</v>
      </c>
      <c r="AB77" s="536">
        <f ca="1">IF(OFFSET(NAMES!$G$1,MATCH($C21,NAMES!$D:$D,0)-1,0)=TRUE,
(SUMIF($C22:$C72,"Materials (MM)",AB22:AB72)),
0)</f>
        <v>169.73455039646322</v>
      </c>
      <c r="AC77" s="536">
        <f ca="1">IF(OFFSET(NAMES!$G$1,MATCH($C21,NAMES!$D:$D,0)-1,0)=TRUE,
(SUMIF($C22:$C72,"Materials (MM)",AC22:AC72)),
0)</f>
        <v>177.38201860614669</v>
      </c>
      <c r="AD77" s="536">
        <f ca="1">IF(OFFSET(NAMES!$G$1,MATCH($C21,NAMES!$D:$D,0)-1,0)=TRUE,
(SUMIF($C22:$C72,"Materials (MM)",AD22:AD72)),
0)</f>
        <v>185.18546906805574</v>
      </c>
      <c r="AE77" s="536">
        <f ca="1">IF(OFFSET(NAMES!$G$1,MATCH($C21,NAMES!$D:$D,0)-1,0)=TRUE,
(SUMIF($C22:$C72,"Materials (MM)",AE22:AE72)),
0)</f>
        <v>193.5084787158811</v>
      </c>
      <c r="AF77" s="536">
        <f ca="1">IF(OFFSET(NAMES!$G$1,MATCH($C21,NAMES!$D:$D,0)-1,0)=TRUE,
(SUMIF($C22:$C72,"Materials (MM)",AF22:AF72)),
0)</f>
        <v>202.1952167010821</v>
      </c>
      <c r="AG77" s="536">
        <f ca="1">IF(OFFSET(NAMES!$G$1,MATCH($C21,NAMES!$D:$D,0)-1,0)=TRUE,
(SUMIF($C22:$C72,"Materials (MM)",AG22:AG72)),
0)</f>
        <v>211.29099806752447</v>
      </c>
      <c r="AH77" s="536">
        <f ca="1">IF(OFFSET(NAMES!$G$1,MATCH($C21,NAMES!$D:$D,0)-1,0)=TRUE,
(SUMIF($C22:$C72,"Materials (MM)",AH22:AH72)),
0)</f>
        <v>220.7518203470876</v>
      </c>
      <c r="AI77" s="536">
        <f ca="1">IF(OFFSET(NAMES!$G$1,MATCH($C21,NAMES!$D:$D,0)-1,0)=TRUE,
(SUMIF($C22:$C72,"Materials (MM)",AI22:AI72)),
0)</f>
        <v>230.62309847132093</v>
      </c>
      <c r="AJ77" s="536">
        <f ca="1">IF(OFFSET(NAMES!$G$1,MATCH($C21,NAMES!$D:$D,0)-1,0)=TRUE,
(SUMIF($C22:$C72,"Materials (MM)",AJ22:AJ72)),
0)</f>
        <v>240.95746411762673</v>
      </c>
      <c r="AK77" s="536">
        <f ca="1">IF(OFFSET(NAMES!$G$1,MATCH($C21,NAMES!$D:$D,0)-1,0)=TRUE,
(SUMIF($C22:$C72,"Materials (MM)",AK22:AK72)),
0)</f>
        <v>251.70458974301872</v>
      </c>
      <c r="AL77" s="536">
        <f ca="1">IF(OFFSET(NAMES!$G$1,MATCH($C21,NAMES!$D:$D,0)-1,0)=TRUE,
(SUMIF($C22:$C72,"Materials (MM)",AL22:AL72)),
0)</f>
        <v>262.95619201131444</v>
      </c>
      <c r="AM77" s="536">
        <f ca="1">IF(OFFSET(NAMES!$G$1,MATCH($C21,NAMES!$D:$D,0)-1,0)=TRUE,
(SUMIF($C22:$C72,"Materials (MM)",AM22:AM72)),
0)</f>
        <v>274.65678988296708</v>
      </c>
      <c r="AN77" s="536">
        <f ca="1">IF(OFFSET(NAMES!$G$1,MATCH($C21,NAMES!$D:$D,0)-1,0)=TRUE,
(SUMIF($C22:$C72,"Materials (MM)",AN22:AN72)),
0)</f>
        <v>286.89595564121549</v>
      </c>
      <c r="AO77" s="436"/>
      <c r="AP77" s="21"/>
    </row>
    <row r="78" spans="2:42" ht="15" customHeight="1" x14ac:dyDescent="0.35">
      <c r="B78" s="429"/>
      <c r="C78" s="777" t="s">
        <v>217</v>
      </c>
      <c r="D78" s="776"/>
      <c r="E78" s="537">
        <f ca="1">IF(OFFSET(NAMES!$G$1,MATCH($C21,NAMES!$D:$D,0)-1,0)=TRUE,
(SUMIF($C22:$C72,"Labor (MM)",E22:E72)),
0)</f>
        <v>1.3988886672684662</v>
      </c>
      <c r="F78" s="537">
        <f ca="1">IF(OFFSET(NAMES!$G$1,MATCH($C21,NAMES!$D:$D,0)-1,0)=TRUE,
(SUMIF($C22:$C72,"Labor (MM)",F22:F72)),
0)</f>
        <v>1.4500961533683541</v>
      </c>
      <c r="G78" s="537">
        <f ca="1">IF(OFFSET(NAMES!$G$1,MATCH($C21,NAMES!$D:$D,0)-1,0)=TRUE,
(SUMIF($C22:$C72,"Labor (MM)",G22:G72)),
0)</f>
        <v>1.4946499155773754</v>
      </c>
      <c r="H78" s="537">
        <f ca="1">IF(OFFSET(NAMES!$G$1,MATCH($C21,NAMES!$D:$D,0)-1,0)=TRUE,
(SUMIF($C22:$C72,"Labor (MM)",H22:H72)),
0)</f>
        <v>1.5539250074902613</v>
      </c>
      <c r="I78" s="537">
        <f ca="1">IF(OFFSET(NAMES!$G$1,MATCH($C21,NAMES!$D:$D,0)-1,0)=TRUE,
(SUMIF($C22:$C72,"Labor (MM)",I22:I72)),
0)</f>
        <v>1.2894134860563422</v>
      </c>
      <c r="J78" s="537">
        <f ca="1">IF(OFFSET(NAMES!$G$1,MATCH($C21,NAMES!$D:$D,0)-1,0)=TRUE,
(SUMIF($C22:$C72,"Labor (MM)",J22:J72)),
0)</f>
        <v>1.3471812818670479</v>
      </c>
      <c r="K78" s="537">
        <f ca="1">IF(OFFSET(NAMES!$G$1,MATCH($C21,NAMES!$D:$D,0)-1,0)=TRUE,
(SUMIF($C22:$C72,"Labor (MM)",K22:K72)),
0)</f>
        <v>1.4096537562575735</v>
      </c>
      <c r="L78" s="537">
        <f ca="1">IF(OFFSET(NAMES!$G$1,MATCH($C21,NAMES!$D:$D,0)-1,0)=TRUE,
(SUMIF($C22:$C72,"Labor (MM)",L22:L72)),
0)</f>
        <v>1.4757497026392328</v>
      </c>
      <c r="M78" s="537">
        <f ca="1">IF(OFFSET(NAMES!$G$1,MATCH($C21,NAMES!$D:$D,0)-1,0)=TRUE,
(SUMIF($C22:$C72,"Labor (MM)",M22:M72)),
0)</f>
        <v>1.5433395460360031</v>
      </c>
      <c r="N78" s="537">
        <f ca="1">IF(OFFSET(NAMES!$G$1,MATCH($C21,NAMES!$D:$D,0)-1,0)=TRUE,
(SUMIF($C22:$C72,"Labor (MM)",N22:N72)),
0)</f>
        <v>1.6138264716036748</v>
      </c>
      <c r="O78" s="537">
        <f ca="1">IF(OFFSET(NAMES!$G$1,MATCH($C21,NAMES!$D:$D,0)-1,0)=TRUE,
(SUMIF($C22:$C72,"Labor (MM)",O22:O72)),
0)</f>
        <v>1.6864106896698881</v>
      </c>
      <c r="P78" s="537">
        <f ca="1">IF(OFFSET(NAMES!$G$1,MATCH($C21,NAMES!$D:$D,0)-1,0)=TRUE,
(SUMIF($C22:$C72,"Labor (MM)",P22:P72)),
0)</f>
        <v>1.7626554003401589</v>
      </c>
      <c r="Q78" s="537">
        <f ca="1">IF(OFFSET(NAMES!$G$1,MATCH($C21,NAMES!$D:$D,0)-1,0)=TRUE,
(SUMIF($C22:$C72,"Labor (MM)",Q22:Q72)),
0)</f>
        <v>1.8396393103078623</v>
      </c>
      <c r="R78" s="537">
        <f ca="1">IF(OFFSET(NAMES!$G$1,MATCH($C21,NAMES!$D:$D,0)-1,0)=TRUE,
(SUMIF($C22:$C72,"Labor (MM)",R22:R72)),
0)</f>
        <v>1.9214321534096299</v>
      </c>
      <c r="S78" s="537">
        <f ca="1">IF(OFFSET(NAMES!$G$1,MATCH($C21,NAMES!$D:$D,0)-1,0)=TRUE,
(SUMIF($C22:$C72,"Labor (MM)",S22:S72)),
0)</f>
        <v>2.0052048407730076</v>
      </c>
      <c r="T78" s="537">
        <f ca="1">IF(OFFSET(NAMES!$G$1,MATCH($C21,NAMES!$D:$D,0)-1,0)=TRUE,
(SUMIF($C22:$C72,"Labor (MM)",T22:T72)),
0)</f>
        <v>2.0948823379609802</v>
      </c>
      <c r="U78" s="537">
        <f ca="1">IF(OFFSET(NAMES!$G$1,MATCH($C21,NAMES!$D:$D,0)-1,0)=TRUE,
(SUMIF($C22:$C72,"Labor (MM)",U22:U72)),
0)</f>
        <v>2.1887094933628464</v>
      </c>
      <c r="V78" s="537">
        <f ca="1">IF(OFFSET(NAMES!$G$1,MATCH($C21,NAMES!$D:$D,0)-1,0)=TRUE,
(SUMIF($C22:$C72,"Labor (MM)",V22:V72)),
0)</f>
        <v>2.286664093660276</v>
      </c>
      <c r="W78" s="537">
        <f ca="1">IF(OFFSET(NAMES!$G$1,MATCH($C21,NAMES!$D:$D,0)-1,0)=TRUE,
(SUMIF($C22:$C72,"Labor (MM)",W22:W72)),
0)</f>
        <v>2.3887141803950751</v>
      </c>
      <c r="X78" s="537">
        <f ca="1">IF(OFFSET(NAMES!$G$1,MATCH($C21,NAMES!$D:$D,0)-1,0)=TRUE,
(SUMIF($C22:$C72,"Labor (MM)",X22:X72)),
0)</f>
        <v>2.4975947596653976</v>
      </c>
      <c r="Y78" s="537">
        <f ca="1">IF(OFFSET(NAMES!$G$1,MATCH($C21,NAMES!$D:$D,0)-1,0)=TRUE,
(SUMIF($C22:$C72,"Labor (MM)",Y22:Y72)),
0)</f>
        <v>2.6086239450034268</v>
      </c>
      <c r="Z78" s="537">
        <f ca="1">IF(OFFSET(NAMES!$G$1,MATCH($C21,NAMES!$D:$D,0)-1,0)=TRUE,
(SUMIF($C22:$C72,"Labor (MM)",Z22:Z72)),
0)</f>
        <v>2.7244073510168625</v>
      </c>
      <c r="AA78" s="537">
        <f ca="1">IF(OFFSET(NAMES!$G$1,MATCH($C21,NAMES!$D:$D,0)-1,0)=TRUE,
(SUMIF($C22:$C72,"Labor (MM)",AA22:AA72)),
0)</f>
        <v>2.8475656011192392</v>
      </c>
      <c r="AB78" s="537">
        <f ca="1">IF(OFFSET(NAMES!$G$1,MATCH($C21,NAMES!$D:$D,0)-1,0)=TRUE,
(SUMIF($C22:$C72,"Labor (MM)",AB22:AB72)),
0)</f>
        <v>2.9733341061580458</v>
      </c>
      <c r="AC78" s="537">
        <f ca="1">IF(OFFSET(NAMES!$G$1,MATCH($C21,NAMES!$D:$D,0)-1,0)=TRUE,
(SUMIF($C22:$C72,"Labor (MM)",AC22:AC72)),
0)</f>
        <v>3.1073031455783107</v>
      </c>
      <c r="AD78" s="537">
        <f ca="1">IF(OFFSET(NAMES!$G$1,MATCH($C21,NAMES!$D:$D,0)-1,0)=TRUE,
(SUMIF($C22:$C72,"Labor (MM)",AD22:AD72)),
0)</f>
        <v>3.2441321086991137</v>
      </c>
      <c r="AE78" s="537">
        <f ca="1">IF(OFFSET(NAMES!$G$1,MATCH($C21,NAMES!$D:$D,0)-1,0)=TRUE,
(SUMIF($C22:$C72,"Labor (MM)",AE22:AE72)),
0)</f>
        <v>3.389942160367013</v>
      </c>
      <c r="AF78" s="537">
        <f ca="1">IF(OFFSET(NAMES!$G$1,MATCH($C21,NAMES!$D:$D,0)-1,0)=TRUE,
(SUMIF($C22:$C72,"Labor (MM)",AF22:AF72)),
0)</f>
        <v>3.5421246383812308</v>
      </c>
      <c r="AG78" s="537">
        <f ca="1">IF(OFFSET(NAMES!$G$1,MATCH($C21,NAMES!$D:$D,0)-1,0)=TRUE,
(SUMIF($C22:$C72,"Labor (MM)",AG22:AG72)),
0)</f>
        <v>3.7016187605187962</v>
      </c>
      <c r="AH78" s="537">
        <f ca="1">IF(OFFSET(NAMES!$G$1,MATCH($C21,NAMES!$D:$D,0)-1,0)=TRUE,
(SUMIF($C22:$C72,"Labor (MM)",AH22:AH72)),
0)</f>
        <v>3.8673702392622542</v>
      </c>
      <c r="AI78" s="537">
        <f ca="1">IF(OFFSET(NAMES!$G$1,MATCH($C21,NAMES!$D:$D,0)-1,0)=TRUE,
(SUMIF($C22:$C72,"Labor (MM)",AI22:AI72)),
0)</f>
        <v>4.0403132058893272</v>
      </c>
      <c r="AJ78" s="537">
        <f ca="1">IF(OFFSET(NAMES!$G$1,MATCH($C21,NAMES!$D:$D,0)-1,0)=TRUE,
(SUMIF($C22:$C72,"Labor (MM)",AJ22:AJ72)),
0)</f>
        <v>4.2215377196122912</v>
      </c>
      <c r="AK78" s="537">
        <f ca="1">IF(OFFSET(NAMES!$G$1,MATCH($C21,NAMES!$D:$D,0)-1,0)=TRUE,
(SUMIF($C22:$C72,"Labor (MM)",AK22:AK72)),
0)</f>
        <v>4.4098345337309421</v>
      </c>
      <c r="AL78" s="537">
        <f ca="1">IF(OFFSET(NAMES!$G$1,MATCH($C21,NAMES!$D:$D,0)-1,0)=TRUE,
(SUMIF($C22:$C72,"Labor (MM)",AL22:AL72)),
0)</f>
        <v>4.6071554965817656</v>
      </c>
      <c r="AM78" s="537">
        <f ca="1">IF(OFFSET(NAMES!$G$1,MATCH($C21,NAMES!$D:$D,0)-1,0)=TRUE,
(SUMIF($C22:$C72,"Labor (MM)",AM22:AM72)),
0)</f>
        <v>4.8121679566817805</v>
      </c>
      <c r="AN78" s="537">
        <f ca="1">IF(OFFSET(NAMES!$G$1,MATCH($C21,NAMES!$D:$D,0)-1,0)=TRUE,
(SUMIF($C22:$C72,"Labor (MM)",AN22:AN72)),
0)</f>
        <v>5.026800147092553</v>
      </c>
      <c r="AO78" s="436"/>
      <c r="AP78" s="21"/>
    </row>
    <row r="79" spans="2:42" ht="15" customHeight="1" x14ac:dyDescent="0.35">
      <c r="B79" s="429"/>
      <c r="C79" s="777" t="s">
        <v>218</v>
      </c>
      <c r="D79" s="776"/>
      <c r="E79" s="537">
        <f ca="1">IF(OFFSET(NAMES!$G$1,MATCH($C21,NAMES!$D:$D,0)-1,0)=TRUE,
(SUMIF($C22:$C72,"Depreciation (MM)",E22:E72)),
0)</f>
        <v>3.4501408203037527</v>
      </c>
      <c r="F79" s="537">
        <f ca="1">IF(OFFSET(NAMES!$G$1,MATCH($C21,NAMES!$D:$D,0)-1,0)=TRUE,
(SUMIF($C22:$C72,"Depreciation (MM)",F22:F72)),
0)</f>
        <v>3.5762775448572373</v>
      </c>
      <c r="G79" s="537">
        <f ca="1">IF(OFFSET(NAMES!$G$1,MATCH($C21,NAMES!$D:$D,0)-1,0)=TRUE,
(SUMIF($C22:$C72,"Depreciation (MM)",G22:G72)),
0)</f>
        <v>3.6861841083411795</v>
      </c>
      <c r="H79" s="537">
        <f ca="1">IF(OFFSET(NAMES!$G$1,MATCH($C21,NAMES!$D:$D,0)-1,0)=TRUE,
(SUMIF($C22:$C72,"Depreciation (MM)",H22:H72)),
0)</f>
        <v>3.8323486206916848</v>
      </c>
      <c r="I79" s="537">
        <f ca="1">IF(OFFSET(NAMES!$G$1,MATCH($C21,NAMES!$D:$D,0)-1,0)=TRUE,
(SUMIF($C22:$C72,"Depreciation (MM)",I22:I72)),
0)</f>
        <v>4.0887349379683409</v>
      </c>
      <c r="J79" s="537">
        <f ca="1">IF(OFFSET(NAMES!$G$1,MATCH($C21,NAMES!$D:$D,0)-1,0)=TRUE,
(SUMIF($C22:$C72,"Depreciation (MM)",J22:J72)),
0)</f>
        <v>4.2719523137654027</v>
      </c>
      <c r="K79" s="537">
        <f ca="1">IF(OFFSET(NAMES!$G$1,MATCH($C21,NAMES!$D:$D,0)-1,0)=TRUE,
(SUMIF($C22:$C72,"Depreciation (MM)",K22:K72)),
0)</f>
        <v>4.4700883579446664</v>
      </c>
      <c r="L79" s="537">
        <f ca="1">IF(OFFSET(NAMES!$G$1,MATCH($C21,NAMES!$D:$D,0)-1,0)=TRUE,
(SUMIF($C22:$C72,"Depreciation (MM)",L22:L72)),
0)</f>
        <v>4.6797346641937194</v>
      </c>
      <c r="M79" s="537">
        <f ca="1">IF(OFFSET(NAMES!$G$1,MATCH($C21,NAMES!$D:$D,0)-1,0)=TRUE,
(SUMIF($C22:$C72,"Depreciation (MM)",M22:M72)),
0)</f>
        <v>4.8937810810050086</v>
      </c>
      <c r="N79" s="537">
        <f ca="1">IF(OFFSET(NAMES!$G$1,MATCH($C21,NAMES!$D:$D,0)-1,0)=TRUE,
(SUMIF($C22:$C72,"Depreciation (MM)",N22:N72)),
0)</f>
        <v>5.1173429526707199</v>
      </c>
      <c r="O79" s="537">
        <f ca="1">IF(OFFSET(NAMES!$G$1,MATCH($C21,NAMES!$D:$D,0)-1,0)=TRUE,
(SUMIF($C22:$C72,"Depreciation (MM)",O22:O72)),
0)</f>
        <v>5.3473709356679224</v>
      </c>
      <c r="P79" s="537">
        <f ca="1">IF(OFFSET(NAMES!$G$1,MATCH($C21,NAMES!$D:$D,0)-1,0)=TRUE,
(SUMIF($C22:$C72,"Depreciation (MM)",P22:P72)),
0)</f>
        <v>5.5891905280433853</v>
      </c>
      <c r="Q79" s="537">
        <f ca="1">IF(OFFSET(NAMES!$G$1,MATCH($C21,NAMES!$D:$D,0)-1,0)=TRUE,
(SUMIF($C22:$C72,"Depreciation (MM)",Q22:Q72)),
0)</f>
        <v>5.8330931630215197</v>
      </c>
      <c r="R79" s="537">
        <f ca="1">IF(OFFSET(NAMES!$G$1,MATCH($C21,NAMES!$D:$D,0)-1,0)=TRUE,
(SUMIF($C22:$C72,"Depreciation (MM)",R22:R72)),
0)</f>
        <v>6.0924430103214631</v>
      </c>
      <c r="S79" s="537">
        <f ca="1">IF(OFFSET(NAMES!$G$1,MATCH($C21,NAMES!$D:$D,0)-1,0)=TRUE,
(SUMIF($C22:$C72,"Depreciation (MM)",S22:S72)),
0)</f>
        <v>6.3578402884305909</v>
      </c>
      <c r="T79" s="537">
        <f ca="1">IF(OFFSET(NAMES!$G$1,MATCH($C21,NAMES!$D:$D,0)-1,0)=TRUE,
(SUMIF($C22:$C72,"Depreciation (MM)",T22:T72)),
0)</f>
        <v>6.642002111779342</v>
      </c>
      <c r="U79" s="537">
        <f ca="1">IF(OFFSET(NAMES!$G$1,MATCH($C21,NAMES!$D:$D,0)-1,0)=TRUE,
(SUMIF($C22:$C72,"Depreciation (MM)",U22:U72)),
0)</f>
        <v>6.9394226763738747</v>
      </c>
      <c r="V79" s="537">
        <f ca="1">IF(OFFSET(NAMES!$G$1,MATCH($C21,NAMES!$D:$D,0)-1,0)=TRUE,
(SUMIF($C22:$C72,"Depreciation (MM)",V22:V72)),
0)</f>
        <v>7.2497975296685722</v>
      </c>
      <c r="W79" s="537">
        <f ca="1">IF(OFFSET(NAMES!$G$1,MATCH($C21,NAMES!$D:$D,0)-1,0)=TRUE,
(SUMIF($C22:$C72,"Depreciation (MM)",W22:W72)),
0)</f>
        <v>7.5732691999474842</v>
      </c>
      <c r="X79" s="537">
        <f ca="1">IF(OFFSET(NAMES!$G$1,MATCH($C21,NAMES!$D:$D,0)-1,0)=TRUE,
(SUMIF($C22:$C72,"Depreciation (MM)",X22:X72)),
0)</f>
        <v>7.9184685231505005</v>
      </c>
      <c r="Y79" s="537">
        <f ca="1">IF(OFFSET(NAMES!$G$1,MATCH($C21,NAMES!$D:$D,0)-1,0)=TRUE,
(SUMIF($C22:$C72,"Depreciation (MM)",Y22:Y72)),
0)</f>
        <v>8.2702511883809233</v>
      </c>
      <c r="Z79" s="537">
        <f ca="1">IF(OFFSET(NAMES!$G$1,MATCH($C21,NAMES!$D:$D,0)-1,0)=TRUE,
(SUMIF($C22:$C72,"Depreciation (MM)",Z22:Z72)),
0)</f>
        <v>8.6369986647802985</v>
      </c>
      <c r="AA79" s="537">
        <f ca="1">IF(OFFSET(NAMES!$G$1,MATCH($C21,NAMES!$D:$D,0)-1,0)=TRUE,
(SUMIF($C22:$C72,"Depreciation (MM)",AA22:AA72)),
0)</f>
        <v>9.0274287494931418</v>
      </c>
      <c r="AB79" s="537">
        <f ca="1">IF(OFFSET(NAMES!$G$1,MATCH($C21,NAMES!$D:$D,0)-1,0)=TRUE,
(SUMIF($C22:$C72,"Depreciation (MM)",AB22:AB72)),
0)</f>
        <v>9.425773994573257</v>
      </c>
      <c r="AC79" s="537">
        <f ca="1">IF(OFFSET(NAMES!$G$1,MATCH($C21,NAMES!$D:$D,0)-1,0)=TRUE,
(SUMIF($C22:$C72,"Depreciation (MM)",AC22:AC72)),
0)</f>
        <v>9.8504568024078676</v>
      </c>
      <c r="AD79" s="537">
        <f ca="1">IF(OFFSET(NAMES!$G$1,MATCH($C21,NAMES!$D:$D,0)-1,0)=TRUE,
(SUMIF($C22:$C72,"Depreciation (MM)",AD22:AD72)),
0)</f>
        <v>10.283808723481735</v>
      </c>
      <c r="AE79" s="537">
        <f ca="1">IF(OFFSET(NAMES!$G$1,MATCH($C21,NAMES!$D:$D,0)-1,0)=TRUE,
(SUMIF($C22:$C72,"Depreciation (MM)",AE22:AE72)),
0)</f>
        <v>10.746006393029027</v>
      </c>
      <c r="AF79" s="537">
        <f ca="1">IF(OFFSET(NAMES!$G$1,MATCH($C21,NAMES!$D:$D,0)-1,0)=TRUE,
(SUMIF($C22:$C72,"Depreciation (MM)",AF22:AF72)),
0)</f>
        <v>11.22840282913657</v>
      </c>
      <c r="AG79" s="537">
        <f ca="1">IF(OFFSET(NAMES!$G$1,MATCH($C21,NAMES!$D:$D,0)-1,0)=TRUE,
(SUMIF($C22:$C72,"Depreciation (MM)",AG22:AG72)),
0)</f>
        <v>11.733522513529264</v>
      </c>
      <c r="AH79" s="537">
        <f ca="1">IF(OFFSET(NAMES!$G$1,MATCH($C21,NAMES!$D:$D,0)-1,0)=TRUE,
(SUMIF($C22:$C72,"Depreciation (MM)",AH22:AH72)),
0)</f>
        <v>12.258906233836294</v>
      </c>
      <c r="AI79" s="537">
        <f ca="1">IF(OFFSET(NAMES!$G$1,MATCH($C21,NAMES!$D:$D,0)-1,0)=TRUE,
(SUMIF($C22:$C72,"Depreciation (MM)",AI22:AI72)),
0)</f>
        <v>12.80708364142094</v>
      </c>
      <c r="AJ79" s="537">
        <f ca="1">IF(OFFSET(NAMES!$G$1,MATCH($C21,NAMES!$D:$D,0)-1,0)=TRUE,
(SUMIF($C22:$C72,"Depreciation (MM)",AJ22:AJ72)),
0)</f>
        <v>13.380986780040725</v>
      </c>
      <c r="AK79" s="537">
        <f ca="1">IF(OFFSET(NAMES!$G$1,MATCH($C21,NAMES!$D:$D,0)-1,0)=TRUE,
(SUMIF($C22:$C72,"Depreciation (MM)",AK22:AK72)),
0)</f>
        <v>13.977802752842653</v>
      </c>
      <c r="AL79" s="537">
        <f ca="1">IF(OFFSET(NAMES!$G$1,MATCH($C21,NAMES!$D:$D,0)-1,0)=TRUE,
(SUMIF($C22:$C72,"Depreciation (MM)",AL22:AL72)),
0)</f>
        <v>14.602643865244035</v>
      </c>
      <c r="AM79" s="537">
        <f ca="1">IF(OFFSET(NAMES!$G$1,MATCH($C21,NAMES!$D:$D,0)-1,0)=TRUE,
(SUMIF($C22:$C72,"Depreciation (MM)",AM22:AM72)),
0)</f>
        <v>15.252409205445518</v>
      </c>
      <c r="AN79" s="537">
        <f ca="1">IF(OFFSET(NAMES!$G$1,MATCH($C21,NAMES!$D:$D,0)-1,0)=TRUE,
(SUMIF($C22:$C72,"Depreciation (MM)",AN22:AN72)),
0)</f>
        <v>15.93209277877871</v>
      </c>
      <c r="AO79" s="436"/>
      <c r="AP79" s="21"/>
    </row>
    <row r="80" spans="2:42" ht="15" customHeight="1" x14ac:dyDescent="0.35">
      <c r="B80" s="429"/>
      <c r="C80" s="777" t="s">
        <v>219</v>
      </c>
      <c r="D80" s="776"/>
      <c r="E80" s="535">
        <f ca="1">IF(OFFSET(NAMES!$G$1,MATCH($C21,NAMES!$D:$D,0)-1,0)=TRUE,
(SUMIF($C22:$C72,"Overhead (MM)",E22:E72)),
0)</f>
        <v>2.0503640396795335</v>
      </c>
      <c r="F80" s="535">
        <f ca="1">IF(OFFSET(NAMES!$G$1,MATCH($C21,NAMES!$D:$D,0)-1,0)=TRUE,
(SUMIF($C22:$C72,"Overhead (MM)",F22:F72)),
0)</f>
        <v>2.12543506588568</v>
      </c>
      <c r="G80" s="535">
        <f ca="1">IF(OFFSET(NAMES!$G$1,MATCH($C21,NAMES!$D:$D,0)-1,0)=TRUE,
(SUMIF($C22:$C72,"Overhead (MM)",G22:G72)),
0)</f>
        <v>2.1907950950817341</v>
      </c>
      <c r="H80" s="535">
        <f ca="1">IF(OFFSET(NAMES!$G$1,MATCH($C21,NAMES!$D:$D,0)-1,0)=TRUE,
(SUMIF($C22:$C72,"Overhead (MM)",H22:H72)),
0)</f>
        <v>2.2774494715536533</v>
      </c>
      <c r="I80" s="535">
        <f ca="1">IF(OFFSET(NAMES!$G$1,MATCH($C21,NAMES!$D:$D,0)-1,0)=TRUE,
(SUMIF($C22:$C72,"Overhead (MM)",I22:I72)),
0)</f>
        <v>1.5598242953525838</v>
      </c>
      <c r="J80" s="535">
        <f ca="1">IF(OFFSET(NAMES!$G$1,MATCH($C21,NAMES!$D:$D,0)-1,0)=TRUE,
(SUMIF($C22:$C72,"Overhead (MM)",J22:J72)),
0)</f>
        <v>1.6297203354936194</v>
      </c>
      <c r="K80" s="535">
        <f ca="1">IF(OFFSET(NAMES!$G$1,MATCH($C21,NAMES!$D:$D,0)-1,0)=TRUE,
(SUMIF($C22:$C72,"Overhead (MM)",K22:K72)),
0)</f>
        <v>1.7053077447305682</v>
      </c>
      <c r="L80" s="535">
        <f ca="1">IF(OFFSET(NAMES!$G$1,MATCH($C21,NAMES!$D:$D,0)-1,0)=TRUE,
(SUMIF($C22:$C72,"Overhead (MM)",L22:L72)),
0)</f>
        <v>1.7852861656397194</v>
      </c>
      <c r="M80" s="535">
        <f ca="1">IF(OFFSET(NAMES!$G$1,MATCH($C21,NAMES!$D:$D,0)-1,0)=TRUE,
(SUMIF($C22:$C72,"Overhead (MM)",M22:M72)),
0)</f>
        <v>1.866944436211049</v>
      </c>
      <c r="N80" s="535">
        <f ca="1">IF(OFFSET(NAMES!$G$1,MATCH($C21,NAMES!$D:$D,0)-1,0)=TRUE,
(SUMIF($C22:$C72,"Overhead (MM)",N22:N72)),
0)</f>
        <v>1.9522315800283747</v>
      </c>
      <c r="O80" s="535">
        <f ca="1">IF(OFFSET(NAMES!$G$1,MATCH($C21,NAMES!$D:$D,0)-1,0)=TRUE,
(SUMIF($C22:$C72,"Overhead (MM)",O22:O72)),
0)</f>
        <v>2.0399861781097499</v>
      </c>
      <c r="P80" s="535">
        <f ca="1">IF(OFFSET(NAMES!$G$1,MATCH($C21,NAMES!$D:$D,0)-1,0)=TRUE,
(SUMIF($C22:$C72,"Overhead (MM)",P22:P72)),
0)</f>
        <v>2.1322385178455998</v>
      </c>
      <c r="Q80" s="535">
        <f ca="1">IF(OFFSET(NAMES!$G$1,MATCH($C21,NAMES!$D:$D,0)-1,0)=TRUE,
(SUMIF($C22:$C72,"Overhead (MM)",Q22:Q72)),
0)</f>
        <v>2.2252864823420953</v>
      </c>
      <c r="R80" s="535">
        <f ca="1">IF(OFFSET(NAMES!$G$1,MATCH($C21,NAMES!$D:$D,0)-1,0)=TRUE,
(SUMIF($C22:$C72,"Overhead (MM)",R22:R72)),
0)</f>
        <v>2.3242267248860777</v>
      </c>
      <c r="S80" s="535">
        <f ca="1">IF(OFFSET(NAMES!$G$1,MATCH($C21,NAMES!$D:$D,0)-1,0)=TRUE,
(SUMIF($C22:$C72,"Overhead (MM)",S22:S72)),
0)</f>
        <v>2.4254748677985885</v>
      </c>
      <c r="T80" s="535">
        <f ca="1">IF(OFFSET(NAMES!$G$1,MATCH($C21,NAMES!$D:$D,0)-1,0)=TRUE,
(SUMIF($C22:$C72,"Overhead (MM)",T22:T72)),
0)</f>
        <v>2.533881721708946</v>
      </c>
      <c r="U80" s="535">
        <f ca="1">IF(OFFSET(NAMES!$G$1,MATCH($C21,NAMES!$D:$D,0)-1,0)=TRUE,
(SUMIF($C22:$C72,"Overhead (MM)",U22:U72)),
0)</f>
        <v>2.6473456982705903</v>
      </c>
      <c r="V80" s="535">
        <f ca="1">IF(OFFSET(NAMES!$G$1,MATCH($C21,NAMES!$D:$D,0)-1,0)=TRUE,
(SUMIF($C22:$C72,"Overhead (MM)",V22:V72)),
0)</f>
        <v>2.7657527991261999</v>
      </c>
      <c r="W80" s="535">
        <f ca="1">IF(OFFSET(NAMES!$G$1,MATCH($C21,NAMES!$D:$D,0)-1,0)=TRUE,
(SUMIF($C22:$C72,"Overhead (MM)",W22:W72)),
0)</f>
        <v>2.8891551487911182</v>
      </c>
      <c r="X80" s="535">
        <f ca="1">IF(OFFSET(NAMES!$G$1,MATCH($C21,NAMES!$D:$D,0)-1,0)=TRUE,
(SUMIF($C22:$C72,"Overhead (MM)",X22:X72)),
0)</f>
        <v>3.0208465450553978</v>
      </c>
      <c r="Y80" s="535">
        <f ca="1">IF(OFFSET(NAMES!$G$1,MATCH($C21,NAMES!$D:$D,0)-1,0)=TRUE,
(SUMIF($C22:$C72,"Overhead (MM)",Y22:Y72)),
0)</f>
        <v>3.1550506864360273</v>
      </c>
      <c r="Z80" s="535">
        <f ca="1">IF(OFFSET(NAMES!$G$1,MATCH($C21,NAMES!$D:$D,0)-1,0)=TRUE,
(SUMIF($C22:$C72,"Overhead (MM)",Z22:Z72)),
0)</f>
        <v>3.2949638264029626</v>
      </c>
      <c r="AA80" s="535">
        <f ca="1">IF(OFFSET(NAMES!$G$1,MATCH($C21,NAMES!$D:$D,0)-1,0)=TRUE,
(SUMIF($C22:$C72,"Overhead (MM)",AA22:AA72)),
0)</f>
        <v>3.4439106292614099</v>
      </c>
      <c r="AB80" s="535">
        <f ca="1">IF(OFFSET(NAMES!$G$1,MATCH($C21,NAMES!$D:$D,0)-1,0)=TRUE,
(SUMIF($C22:$C72,"Overhead (MM)",AB22:AB72)),
0)</f>
        <v>3.5958783416873636</v>
      </c>
      <c r="AC80" s="535">
        <f ca="1">IF(OFFSET(NAMES!$G$1,MATCH($C21,NAMES!$D:$D,0)-1,0)=TRUE,
(SUMIF($C22:$C72,"Overhead (MM)",AC22:AC72)),
0)</f>
        <v>3.7578924292734084</v>
      </c>
      <c r="AD80" s="535">
        <f ca="1">IF(OFFSET(NAMES!$G$1,MATCH($C21,NAMES!$D:$D,0)-1,0)=TRUE,
(SUMIF($C22:$C72,"Overhead (MM)",AD22:AD72)),
0)</f>
        <v>3.9232151929995935</v>
      </c>
      <c r="AE80" s="535">
        <f ca="1">IF(OFFSET(NAMES!$G$1,MATCH($C21,NAMES!$D:$D,0)-1,0)=TRUE,
(SUMIF($C22:$C72,"Overhead (MM)",AE22:AE72)),
0)</f>
        <v>4.0995410662702003</v>
      </c>
      <c r="AF80" s="535">
        <f ca="1">IF(OFFSET(NAMES!$G$1,MATCH($C21,NAMES!$D:$D,0)-1,0)=TRUE,
(SUMIF($C22:$C72,"Overhead (MM)",AF22:AF72)),
0)</f>
        <v>4.2835726616773098</v>
      </c>
      <c r="AG80" s="535">
        <f ca="1">IF(OFFSET(NAMES!$G$1,MATCH($C21,NAMES!$D:$D,0)-1,0)=TRUE,
(SUMIF($C22:$C72,"Overhead (MM)",AG22:AG72)),
0)</f>
        <v>4.4762747181173941</v>
      </c>
      <c r="AH80" s="535">
        <f ca="1">IF(OFFSET(NAMES!$G$1,MATCH($C21,NAMES!$D:$D,0)-1,0)=TRUE,
(SUMIF($C22:$C72,"Overhead (MM)",AH22:AH72)),
0)</f>
        <v>4.6767058169821967</v>
      </c>
      <c r="AI80" s="535">
        <f ca="1">IF(OFFSET(NAMES!$G$1,MATCH($C21,NAMES!$D:$D,0)-1,0)=TRUE,
(SUMIF($C22:$C72,"Overhead (MM)",AI22:AI72)),
0)</f>
        <v>4.8858325911410896</v>
      </c>
      <c r="AJ80" s="535">
        <f ca="1">IF(OFFSET(NAMES!$G$1,MATCH($C21,NAMES!$D:$D,0)-1,0)=TRUE,
(SUMIF($C22:$C72,"Overhead (MM)",AJ22:AJ72)),
0)</f>
        <v>5.1047755214537567</v>
      </c>
      <c r="AK80" s="535">
        <f ca="1">IF(OFFSET(NAMES!$G$1,MATCH($C21,NAMES!$D:$D,0)-1,0)=TRUE,
(SUMIF($C22:$C72,"Overhead (MM)",AK22:AK72)),
0)</f>
        <v>5.3324577554845929</v>
      </c>
      <c r="AL80" s="535">
        <f ca="1">IF(OFFSET(NAMES!$G$1,MATCH($C21,NAMES!$D:$D,0)-1,0)=TRUE,
(SUMIF($C22:$C72,"Overhead (MM)",AL22:AL72)),
0)</f>
        <v>5.570833557776691</v>
      </c>
      <c r="AM80" s="535">
        <f ca="1">IF(OFFSET(NAMES!$G$1,MATCH($C21,NAMES!$D:$D,0)-1,0)=TRUE,
(SUMIF($C22:$C72,"Overhead (MM)",AM22:AM72)),
0)</f>
        <v>5.8187158208272232</v>
      </c>
      <c r="AN80" s="535">
        <f ca="1">IF(OFFSET(NAMES!$G$1,MATCH($C21,NAMES!$D:$D,0)-1,0)=TRUE,
(SUMIF($C22:$C72,"Overhead (MM)",AN22:AN72)),
0)</f>
        <v>6.07801406894691</v>
      </c>
      <c r="AO80" s="436"/>
      <c r="AP80" s="21"/>
    </row>
    <row r="81" spans="2:42" ht="15" customHeight="1" thickBot="1" x14ac:dyDescent="0.4">
      <c r="B81" s="465"/>
      <c r="C81" s="466"/>
      <c r="D81" s="466"/>
      <c r="E81" s="466"/>
      <c r="F81" s="466"/>
      <c r="G81" s="466"/>
      <c r="H81" s="466"/>
      <c r="I81" s="466"/>
      <c r="J81" s="466"/>
      <c r="K81" s="466"/>
      <c r="L81" s="466"/>
      <c r="M81" s="466"/>
      <c r="N81" s="466"/>
      <c r="O81" s="466"/>
      <c r="P81" s="466"/>
      <c r="Q81" s="466"/>
      <c r="R81" s="466"/>
      <c r="S81" s="466"/>
      <c r="T81" s="466"/>
      <c r="U81" s="466"/>
      <c r="V81" s="466"/>
      <c r="W81" s="466"/>
      <c r="X81" s="466"/>
      <c r="Y81" s="466"/>
      <c r="Z81" s="466"/>
      <c r="AA81" s="466"/>
      <c r="AB81" s="466"/>
      <c r="AC81" s="466"/>
      <c r="AD81" s="466"/>
      <c r="AE81" s="466"/>
      <c r="AF81" s="466"/>
      <c r="AG81" s="466"/>
      <c r="AH81" s="466"/>
      <c r="AI81" s="466"/>
      <c r="AJ81" s="466"/>
      <c r="AK81" s="466"/>
      <c r="AL81" s="466"/>
      <c r="AM81" s="466"/>
      <c r="AN81" s="466"/>
      <c r="AO81" s="467"/>
      <c r="AP81" s="21"/>
    </row>
    <row r="82" spans="2:42" ht="15" customHeight="1" thickBot="1" x14ac:dyDescent="0.4">
      <c r="B82" s="21"/>
      <c r="C82" s="150"/>
      <c r="D82" s="21"/>
      <c r="E82" s="150"/>
      <c r="F82" s="150"/>
      <c r="G82" s="150"/>
      <c r="H82" s="150"/>
      <c r="I82" s="150"/>
      <c r="J82" s="150"/>
      <c r="K82" s="150"/>
      <c r="L82" s="150"/>
      <c r="M82" s="150"/>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row>
    <row r="83" spans="2:42" ht="15" customHeight="1" x14ac:dyDescent="0.35">
      <c r="B83" s="425"/>
      <c r="C83" s="453"/>
      <c r="D83" s="426"/>
      <c r="E83" s="453"/>
      <c r="F83" s="453"/>
      <c r="G83" s="453"/>
      <c r="H83" s="453"/>
      <c r="I83" s="453"/>
      <c r="J83" s="453"/>
      <c r="K83" s="453"/>
      <c r="L83" s="453"/>
      <c r="M83" s="453"/>
      <c r="N83" s="426"/>
      <c r="O83" s="426"/>
      <c r="P83" s="426"/>
      <c r="Q83" s="426"/>
      <c r="R83" s="426"/>
      <c r="S83" s="426"/>
      <c r="T83" s="426"/>
      <c r="U83" s="426"/>
      <c r="V83" s="426"/>
      <c r="W83" s="426"/>
      <c r="X83" s="426"/>
      <c r="Y83" s="426"/>
      <c r="Z83" s="426"/>
      <c r="AA83" s="426"/>
      <c r="AB83" s="426"/>
      <c r="AC83" s="426"/>
      <c r="AD83" s="426"/>
      <c r="AE83" s="426"/>
      <c r="AF83" s="426"/>
      <c r="AG83" s="426"/>
      <c r="AH83" s="426"/>
      <c r="AI83" s="426"/>
      <c r="AJ83" s="426"/>
      <c r="AK83" s="426"/>
      <c r="AL83" s="426"/>
      <c r="AM83" s="426"/>
      <c r="AN83" s="426"/>
      <c r="AO83" s="428"/>
      <c r="AP83" s="21"/>
    </row>
    <row r="84" spans="2:42" ht="15" customHeight="1" x14ac:dyDescent="0.35">
      <c r="B84" s="429"/>
      <c r="C84" s="772" t="str">
        <f>TSL_X</f>
        <v>TSL 1</v>
      </c>
      <c r="D84" s="773"/>
      <c r="E84" s="773"/>
      <c r="F84" s="773"/>
      <c r="G84" s="773"/>
      <c r="H84" s="773"/>
      <c r="I84" s="773"/>
      <c r="J84" s="773"/>
      <c r="K84" s="773"/>
      <c r="L84" s="773"/>
      <c r="M84" s="773"/>
      <c r="N84" s="773"/>
      <c r="O84" s="773"/>
      <c r="P84" s="773"/>
      <c r="Q84" s="773"/>
      <c r="R84" s="773"/>
      <c r="S84" s="773"/>
      <c r="T84" s="773"/>
      <c r="U84" s="773"/>
      <c r="V84" s="773"/>
      <c r="W84" s="773"/>
      <c r="X84" s="773"/>
      <c r="Y84" s="773"/>
      <c r="Z84" s="773"/>
      <c r="AA84" s="773"/>
      <c r="AB84" s="773"/>
      <c r="AC84" s="773"/>
      <c r="AD84" s="773"/>
      <c r="AE84" s="773"/>
      <c r="AF84" s="773"/>
      <c r="AG84" s="773"/>
      <c r="AH84" s="773"/>
      <c r="AI84" s="773"/>
      <c r="AJ84" s="773"/>
      <c r="AK84" s="773"/>
      <c r="AL84" s="773"/>
      <c r="AM84" s="773"/>
      <c r="AN84" s="773"/>
      <c r="AO84" s="436"/>
      <c r="AP84" s="21"/>
    </row>
    <row r="85" spans="2:42" ht="15" customHeight="1" x14ac:dyDescent="0.35">
      <c r="B85" s="429"/>
      <c r="C85" s="772"/>
      <c r="D85" s="773"/>
      <c r="E85" s="774" t="str">
        <f t="shared" ref="E85:AN85" si="20">IF(E86=Announcement_Year,"Ancmt Yr",
IF(E86=Reference_Year,"Ref Yr",
IF(E86=Standard_Year,"Std Yr",
IF(E86=Terminal_Year,"Term Yr",
" "))))</f>
        <v xml:space="preserve"> </v>
      </c>
      <c r="F85" s="774" t="str">
        <f t="shared" ca="1" si="20"/>
        <v>Ancmt Yr</v>
      </c>
      <c r="G85" s="774" t="str">
        <f t="shared" ca="1" si="20"/>
        <v xml:space="preserve"> </v>
      </c>
      <c r="H85" s="774" t="str">
        <f t="shared" ca="1" si="20"/>
        <v xml:space="preserve"> </v>
      </c>
      <c r="I85" s="774" t="str">
        <f t="shared" ca="1" si="20"/>
        <v>Std Yr</v>
      </c>
      <c r="J85" s="774" t="str">
        <f t="shared" ca="1" si="20"/>
        <v xml:space="preserve"> </v>
      </c>
      <c r="K85" s="774" t="str">
        <f t="shared" ca="1" si="20"/>
        <v xml:space="preserve"> </v>
      </c>
      <c r="L85" s="774" t="str">
        <f t="shared" ca="1" si="20"/>
        <v xml:space="preserve"> </v>
      </c>
      <c r="M85" s="774" t="str">
        <f t="shared" ca="1" si="20"/>
        <v xml:space="preserve"> </v>
      </c>
      <c r="N85" s="774" t="str">
        <f t="shared" ca="1" si="20"/>
        <v xml:space="preserve"> </v>
      </c>
      <c r="O85" s="774" t="str">
        <f t="shared" ca="1" si="20"/>
        <v xml:space="preserve"> </v>
      </c>
      <c r="P85" s="774" t="str">
        <f t="shared" ca="1" si="20"/>
        <v xml:space="preserve"> </v>
      </c>
      <c r="Q85" s="774" t="str">
        <f t="shared" ca="1" si="20"/>
        <v xml:space="preserve"> </v>
      </c>
      <c r="R85" s="774" t="str">
        <f t="shared" ca="1" si="20"/>
        <v xml:space="preserve"> </v>
      </c>
      <c r="S85" s="774" t="str">
        <f t="shared" ca="1" si="20"/>
        <v xml:space="preserve"> </v>
      </c>
      <c r="T85" s="774" t="str">
        <f t="shared" ca="1" si="20"/>
        <v xml:space="preserve"> </v>
      </c>
      <c r="U85" s="774" t="str">
        <f t="shared" ca="1" si="20"/>
        <v xml:space="preserve"> </v>
      </c>
      <c r="V85" s="774" t="str">
        <f t="shared" ca="1" si="20"/>
        <v xml:space="preserve"> </v>
      </c>
      <c r="W85" s="774" t="str">
        <f t="shared" ca="1" si="20"/>
        <v xml:space="preserve"> </v>
      </c>
      <c r="X85" s="774" t="str">
        <f t="shared" ca="1" si="20"/>
        <v xml:space="preserve"> </v>
      </c>
      <c r="Y85" s="774" t="str">
        <f t="shared" ca="1" si="20"/>
        <v xml:space="preserve"> </v>
      </c>
      <c r="Z85" s="774" t="str">
        <f t="shared" ca="1" si="20"/>
        <v xml:space="preserve"> </v>
      </c>
      <c r="AA85" s="774" t="str">
        <f t="shared" ca="1" si="20"/>
        <v xml:space="preserve"> </v>
      </c>
      <c r="AB85" s="774" t="str">
        <f t="shared" ca="1" si="20"/>
        <v xml:space="preserve"> </v>
      </c>
      <c r="AC85" s="774" t="str">
        <f t="shared" ca="1" si="20"/>
        <v xml:space="preserve"> </v>
      </c>
      <c r="AD85" s="774" t="str">
        <f t="shared" ca="1" si="20"/>
        <v xml:space="preserve"> </v>
      </c>
      <c r="AE85" s="774" t="str">
        <f t="shared" ca="1" si="20"/>
        <v xml:space="preserve"> </v>
      </c>
      <c r="AF85" s="774" t="str">
        <f t="shared" ca="1" si="20"/>
        <v xml:space="preserve"> </v>
      </c>
      <c r="AG85" s="774" t="str">
        <f t="shared" ca="1" si="20"/>
        <v xml:space="preserve"> </v>
      </c>
      <c r="AH85" s="774" t="str">
        <f t="shared" ca="1" si="20"/>
        <v xml:space="preserve"> </v>
      </c>
      <c r="AI85" s="774" t="str">
        <f t="shared" ca="1" si="20"/>
        <v xml:space="preserve"> </v>
      </c>
      <c r="AJ85" s="774" t="str">
        <f t="shared" ca="1" si="20"/>
        <v xml:space="preserve"> </v>
      </c>
      <c r="AK85" s="774" t="str">
        <f t="shared" ca="1" si="20"/>
        <v xml:space="preserve"> </v>
      </c>
      <c r="AL85" s="774" t="str">
        <f t="shared" ca="1" si="20"/>
        <v xml:space="preserve"> </v>
      </c>
      <c r="AM85" s="774" t="str">
        <f t="shared" ca="1" si="20"/>
        <v xml:space="preserve"> </v>
      </c>
      <c r="AN85" s="774" t="str">
        <f t="shared" ca="1" si="20"/>
        <v>Term Yr</v>
      </c>
      <c r="AO85" s="436"/>
      <c r="AP85" s="21"/>
    </row>
    <row r="86" spans="2:42" ht="15" customHeight="1" x14ac:dyDescent="0.35">
      <c r="B86" s="429"/>
      <c r="C86" s="775" t="s">
        <v>180</v>
      </c>
      <c r="D86" s="776"/>
      <c r="E86" s="772">
        <f>Reference_Year -1</f>
        <v>2022</v>
      </c>
      <c r="F86" s="772">
        <f ca="1">OFFSET(F86,0,-1)+1</f>
        <v>2023</v>
      </c>
      <c r="G86" s="772">
        <f t="shared" ref="G86:AN86" ca="1" si="21">OFFSET(G86,0,-1)+1</f>
        <v>2024</v>
      </c>
      <c r="H86" s="772">
        <f t="shared" ca="1" si="21"/>
        <v>2025</v>
      </c>
      <c r="I86" s="772">
        <f t="shared" ca="1" si="21"/>
        <v>2026</v>
      </c>
      <c r="J86" s="772">
        <f t="shared" ca="1" si="21"/>
        <v>2027</v>
      </c>
      <c r="K86" s="772">
        <f t="shared" ca="1" si="21"/>
        <v>2028</v>
      </c>
      <c r="L86" s="772">
        <f t="shared" ca="1" si="21"/>
        <v>2029</v>
      </c>
      <c r="M86" s="772">
        <f t="shared" ca="1" si="21"/>
        <v>2030</v>
      </c>
      <c r="N86" s="772">
        <f t="shared" ca="1" si="21"/>
        <v>2031</v>
      </c>
      <c r="O86" s="772">
        <f t="shared" ca="1" si="21"/>
        <v>2032</v>
      </c>
      <c r="P86" s="772">
        <f t="shared" ca="1" si="21"/>
        <v>2033</v>
      </c>
      <c r="Q86" s="772">
        <f t="shared" ca="1" si="21"/>
        <v>2034</v>
      </c>
      <c r="R86" s="772">
        <f t="shared" ca="1" si="21"/>
        <v>2035</v>
      </c>
      <c r="S86" s="772">
        <f t="shared" ca="1" si="21"/>
        <v>2036</v>
      </c>
      <c r="T86" s="772">
        <f t="shared" ca="1" si="21"/>
        <v>2037</v>
      </c>
      <c r="U86" s="772">
        <f t="shared" ca="1" si="21"/>
        <v>2038</v>
      </c>
      <c r="V86" s="772">
        <f t="shared" ca="1" si="21"/>
        <v>2039</v>
      </c>
      <c r="W86" s="772">
        <f t="shared" ca="1" si="21"/>
        <v>2040</v>
      </c>
      <c r="X86" s="772">
        <f t="shared" ca="1" si="21"/>
        <v>2041</v>
      </c>
      <c r="Y86" s="772">
        <f t="shared" ca="1" si="21"/>
        <v>2042</v>
      </c>
      <c r="Z86" s="772">
        <f t="shared" ca="1" si="21"/>
        <v>2043</v>
      </c>
      <c r="AA86" s="772">
        <f t="shared" ca="1" si="21"/>
        <v>2044</v>
      </c>
      <c r="AB86" s="772">
        <f t="shared" ca="1" si="21"/>
        <v>2045</v>
      </c>
      <c r="AC86" s="772">
        <f t="shared" ca="1" si="21"/>
        <v>2046</v>
      </c>
      <c r="AD86" s="772">
        <f t="shared" ca="1" si="21"/>
        <v>2047</v>
      </c>
      <c r="AE86" s="772">
        <f t="shared" ca="1" si="21"/>
        <v>2048</v>
      </c>
      <c r="AF86" s="772">
        <f t="shared" ca="1" si="21"/>
        <v>2049</v>
      </c>
      <c r="AG86" s="772">
        <f t="shared" ca="1" si="21"/>
        <v>2050</v>
      </c>
      <c r="AH86" s="772">
        <f t="shared" ca="1" si="21"/>
        <v>2051</v>
      </c>
      <c r="AI86" s="772">
        <f t="shared" ca="1" si="21"/>
        <v>2052</v>
      </c>
      <c r="AJ86" s="772">
        <f t="shared" ca="1" si="21"/>
        <v>2053</v>
      </c>
      <c r="AK86" s="772">
        <f t="shared" ca="1" si="21"/>
        <v>2054</v>
      </c>
      <c r="AL86" s="772">
        <f t="shared" ca="1" si="21"/>
        <v>2055</v>
      </c>
      <c r="AM86" s="772">
        <f t="shared" ca="1" si="21"/>
        <v>2056</v>
      </c>
      <c r="AN86" s="772">
        <f t="shared" ca="1" si="21"/>
        <v>2057</v>
      </c>
      <c r="AO86" s="436"/>
      <c r="AP86" s="21"/>
    </row>
    <row r="87" spans="2:42" ht="15" customHeight="1" x14ac:dyDescent="0.35">
      <c r="B87" s="429"/>
      <c r="C87" s="772" t="s">
        <v>81</v>
      </c>
      <c r="D87" s="776"/>
      <c r="E87" s="776"/>
      <c r="F87" s="776"/>
      <c r="G87" s="776"/>
      <c r="H87" s="776"/>
      <c r="I87" s="776"/>
      <c r="J87" s="776"/>
      <c r="K87" s="776"/>
      <c r="L87" s="776"/>
      <c r="M87" s="776"/>
      <c r="N87" s="776"/>
      <c r="O87" s="776"/>
      <c r="P87" s="776"/>
      <c r="Q87" s="776"/>
      <c r="R87" s="776"/>
      <c r="S87" s="776"/>
      <c r="T87" s="776"/>
      <c r="U87" s="776"/>
      <c r="V87" s="776"/>
      <c r="W87" s="776"/>
      <c r="X87" s="776"/>
      <c r="Y87" s="776"/>
      <c r="Z87" s="776"/>
      <c r="AA87" s="776"/>
      <c r="AB87" s="776"/>
      <c r="AC87" s="776"/>
      <c r="AD87" s="776"/>
      <c r="AE87" s="776"/>
      <c r="AF87" s="776"/>
      <c r="AG87" s="776"/>
      <c r="AH87" s="776"/>
      <c r="AI87" s="776"/>
      <c r="AJ87" s="776"/>
      <c r="AK87" s="776"/>
      <c r="AL87" s="776"/>
      <c r="AM87" s="776"/>
      <c r="AN87" s="776"/>
      <c r="AO87" s="436"/>
      <c r="AP87" s="21"/>
    </row>
    <row r="88" spans="2:42" ht="15" customHeight="1" x14ac:dyDescent="0.35">
      <c r="B88" s="429"/>
      <c r="C88" s="780" t="s">
        <v>10</v>
      </c>
      <c r="D88" s="776"/>
      <c r="E88" s="778" cm="1">
        <f t="array" aca="1" ref="E88" ca="1">IF(E$21&lt;Standard_Year,'No STDs Case Rev &amp; Cost'!E88,
OFFSET(MSP!$C$1,
MATCH(OFFSET($C87,((MATCH($C87,EL_List,0)-1)*-10)-1,0),MSP!$C:$C,0)+MATCH($C87,EL_List,0)-1,
MATCH(OFFSET($C87,((MATCH($C87,EL_List,0)-1)*-10)-3,0),MSP!$D$5:$N$5,0)+1)
*INDEX(Learning!$E$6:$S$41,(MATCH(E$21,Dates,0)),(MATCH($C$86,Learning!$E$4:$S$4,0)+MATCH($C$87,Learning!$E$5:$S$5,0)-1)))</f>
        <v>64.861066499999993</v>
      </c>
      <c r="F88" s="778" cm="1">
        <f t="array" aca="1" ref="F88" ca="1">IF(F$21&lt;Standard_Year,'No STDs Case Rev &amp; Cost'!F88,
OFFSET(MSP!$C$1,
MATCH(OFFSET($C87,((MATCH($C87,EL_List,0)-1)*-10)-1,0),MSP!$C:$C,0)+MATCH($C87,EL_List,0)-1,
MATCH(OFFSET($C87,((MATCH($C87,EL_List,0)-1)*-10)-3,0),MSP!$D$5:$N$5,0)+1)
*INDEX(Learning!$E$6:$S$41,(MATCH(F$21,Dates,0)),(MATCH($C$86,Learning!$E$4:$S$4,0)+MATCH($C$87,Learning!$E$5:$S$5,0)-1)))</f>
        <v>64.362614499999992</v>
      </c>
      <c r="G88" s="778" cm="1">
        <f t="array" aca="1" ref="G88" ca="1">IF(G$21&lt;Standard_Year,'No STDs Case Rev &amp; Cost'!G88,
OFFSET(MSP!$C$1,
MATCH(OFFSET($C87,((MATCH($C87,EL_List,0)-1)*-10)-1,0),MSP!$C:$C,0)+MATCH($C87,EL_List,0)-1,
MATCH(OFFSET($C87,((MATCH($C87,EL_List,0)-1)*-10)-3,0),MSP!$D$5:$N$5,0)+1)
*INDEX(Learning!$E$6:$S$41,(MATCH(G$21,Dates,0)),(MATCH($C$86,Learning!$E$4:$S$4,0)+MATCH($C$87,Learning!$E$5:$S$5,0)-1)))</f>
        <v>63.926469000000004</v>
      </c>
      <c r="H88" s="778" cm="1">
        <f t="array" aca="1" ref="H88" ca="1">IF(H$21&lt;Standard_Year,'No STDs Case Rev &amp; Cost'!H88,
OFFSET(MSP!$C$1,
MATCH(OFFSET($C87,((MATCH($C87,EL_List,0)-1)*-10)-1,0),MSP!$C:$C,0)+MATCH($C87,EL_List,0)-1,
MATCH(OFFSET($C87,((MATCH($C87,EL_List,0)-1)*-10)-3,0),MSP!$D$5:$N$5,0)+1)
*INDEX(Learning!$E$6:$S$41,(MATCH(H$21,Dates,0)),(MATCH($C$86,Learning!$E$4:$S$4,0)+MATCH($C$87,Learning!$E$5:$S$5,0)-1)))</f>
        <v>63.490323499999995</v>
      </c>
      <c r="I88" s="778" cm="1">
        <f t="array" aca="1" ref="I88" ca="1">IF(I$21&lt;Standard_Year,'No STDs Case Rev &amp; Cost'!I88,
OFFSET(MSP!$C$1,
MATCH(OFFSET($C87,((MATCH($C87,EL_List,0)-1)*-10)-1,0),MSP!$C:$C,0)+MATCH($C87,EL_List,0)-1,
MATCH(OFFSET($C87,((MATCH($C87,EL_List,0)-1)*-10)-3,0),MSP!$D$5:$N$5,0)+1)
*INDEX(Learning!$E$6:$S$41,(MATCH(I$21,Dates,0)),(MATCH($C$86,Learning!$E$4:$S$4,0)+MATCH($C$87,Learning!$E$5:$S$5,0)-1)))</f>
        <v>0</v>
      </c>
      <c r="J88" s="778" cm="1">
        <f t="array" aca="1" ref="J88" ca="1">IF(J$21&lt;Standard_Year,'No STDs Case Rev &amp; Cost'!J88,
OFFSET(MSP!$C$1,
MATCH(OFFSET($C87,((MATCH($C87,EL_List,0)-1)*-10)-1,0),MSP!$C:$C,0)+MATCH($C87,EL_List,0)-1,
MATCH(OFFSET($C87,((MATCH($C87,EL_List,0)-1)*-10)-3,0),MSP!$D$5:$N$5,0)+1)
*INDEX(Learning!$E$6:$S$41,(MATCH(J$21,Dates,0)),(MATCH($C$86,Learning!$E$4:$S$4,0)+MATCH($C$87,Learning!$E$5:$S$5,0)-1)))</f>
        <v>0</v>
      </c>
      <c r="K88" s="778" cm="1">
        <f t="array" aca="1" ref="K88" ca="1">IF(K$21&lt;Standard_Year,'No STDs Case Rev &amp; Cost'!K88,
OFFSET(MSP!$C$1,
MATCH(OFFSET($C87,((MATCH($C87,EL_List,0)-1)*-10)-1,0),MSP!$C:$C,0)+MATCH($C87,EL_List,0)-1,
MATCH(OFFSET($C87,((MATCH($C87,EL_List,0)-1)*-10)-3,0),MSP!$D$5:$N$5,0)+1)
*INDEX(Learning!$E$6:$S$41,(MATCH(K$21,Dates,0)),(MATCH($C$86,Learning!$E$4:$S$4,0)+MATCH($C$87,Learning!$E$5:$S$5,0)-1)))</f>
        <v>0</v>
      </c>
      <c r="L88" s="778" cm="1">
        <f t="array" aca="1" ref="L88" ca="1">IF(L$21&lt;Standard_Year,'No STDs Case Rev &amp; Cost'!L88,
OFFSET(MSP!$C$1,
MATCH(OFFSET($C87,((MATCH($C87,EL_List,0)-1)*-10)-1,0),MSP!$C:$C,0)+MATCH($C87,EL_List,0)-1,
MATCH(OFFSET($C87,((MATCH($C87,EL_List,0)-1)*-10)-3,0),MSP!$D$5:$N$5,0)+1)
*INDEX(Learning!$E$6:$S$41,(MATCH(L$21,Dates,0)),(MATCH($C$86,Learning!$E$4:$S$4,0)+MATCH($C$87,Learning!$E$5:$S$5,0)-1)))</f>
        <v>0</v>
      </c>
      <c r="M88" s="778" cm="1">
        <f t="array" aca="1" ref="M88" ca="1">IF(M$21&lt;Standard_Year,'No STDs Case Rev &amp; Cost'!M88,
OFFSET(MSP!$C$1,
MATCH(OFFSET($C87,((MATCH($C87,EL_List,0)-1)*-10)-1,0),MSP!$C:$C,0)+MATCH($C87,EL_List,0)-1,
MATCH(OFFSET($C87,((MATCH($C87,EL_List,0)-1)*-10)-3,0),MSP!$D$5:$N$5,0)+1)
*INDEX(Learning!$E$6:$S$41,(MATCH(M$21,Dates,0)),(MATCH($C$86,Learning!$E$4:$S$4,0)+MATCH($C$87,Learning!$E$5:$S$5,0)-1)))</f>
        <v>0</v>
      </c>
      <c r="N88" s="778" cm="1">
        <f t="array" aca="1" ref="N88" ca="1">IF(N$21&lt;Standard_Year,'No STDs Case Rev &amp; Cost'!N88,
OFFSET(MSP!$C$1,
MATCH(OFFSET($C87,((MATCH($C87,EL_List,0)-1)*-10)-1,0),MSP!$C:$C,0)+MATCH($C87,EL_List,0)-1,
MATCH(OFFSET($C87,((MATCH($C87,EL_List,0)-1)*-10)-3,0),MSP!$D$5:$N$5,0)+1)
*INDEX(Learning!$E$6:$S$41,(MATCH(N$21,Dates,0)),(MATCH($C$86,Learning!$E$4:$S$4,0)+MATCH($C$87,Learning!$E$5:$S$5,0)-1)))</f>
        <v>0</v>
      </c>
      <c r="O88" s="778" cm="1">
        <f t="array" aca="1" ref="O88" ca="1">IF(O$21&lt;Standard_Year,'No STDs Case Rev &amp; Cost'!O88,
OFFSET(MSP!$C$1,
MATCH(OFFSET($C87,((MATCH($C87,EL_List,0)-1)*-10)-1,0),MSP!$C:$C,0)+MATCH($C87,EL_List,0)-1,
MATCH(OFFSET($C87,((MATCH($C87,EL_List,0)-1)*-10)-3,0),MSP!$D$5:$N$5,0)+1)
*INDEX(Learning!$E$6:$S$41,(MATCH(O$21,Dates,0)),(MATCH($C$86,Learning!$E$4:$S$4,0)+MATCH($C$87,Learning!$E$5:$S$5,0)-1)))</f>
        <v>0</v>
      </c>
      <c r="P88" s="778" cm="1">
        <f t="array" aca="1" ref="P88" ca="1">IF(P$21&lt;Standard_Year,'No STDs Case Rev &amp; Cost'!P88,
OFFSET(MSP!$C$1,
MATCH(OFFSET($C87,((MATCH($C87,EL_List,0)-1)*-10)-1,0),MSP!$C:$C,0)+MATCH($C87,EL_List,0)-1,
MATCH(OFFSET($C87,((MATCH($C87,EL_List,0)-1)*-10)-3,0),MSP!$D$5:$N$5,0)+1)
*INDEX(Learning!$E$6:$S$41,(MATCH(P$21,Dates,0)),(MATCH($C$86,Learning!$E$4:$S$4,0)+MATCH($C$87,Learning!$E$5:$S$5,0)-1)))</f>
        <v>0</v>
      </c>
      <c r="Q88" s="778" cm="1">
        <f t="array" aca="1" ref="Q88" ca="1">IF(Q$21&lt;Standard_Year,'No STDs Case Rev &amp; Cost'!Q88,
OFFSET(MSP!$C$1,
MATCH(OFFSET($C87,((MATCH($C87,EL_List,0)-1)*-10)-1,0),MSP!$C:$C,0)+MATCH($C87,EL_List,0)-1,
MATCH(OFFSET($C87,((MATCH($C87,EL_List,0)-1)*-10)-3,0),MSP!$D$5:$N$5,0)+1)
*INDEX(Learning!$E$6:$S$41,(MATCH(Q$21,Dates,0)),(MATCH($C$86,Learning!$E$4:$S$4,0)+MATCH($C$87,Learning!$E$5:$S$5,0)-1)))</f>
        <v>0</v>
      </c>
      <c r="R88" s="778" cm="1">
        <f t="array" aca="1" ref="R88" ca="1">IF(R$21&lt;Standard_Year,'No STDs Case Rev &amp; Cost'!R88,
OFFSET(MSP!$C$1,
MATCH(OFFSET($C87,((MATCH($C87,EL_List,0)-1)*-10)-1,0),MSP!$C:$C,0)+MATCH($C87,EL_List,0)-1,
MATCH(OFFSET($C87,((MATCH($C87,EL_List,0)-1)*-10)-3,0),MSP!$D$5:$N$5,0)+1)
*INDEX(Learning!$E$6:$S$41,(MATCH(R$21,Dates,0)),(MATCH($C$86,Learning!$E$4:$S$4,0)+MATCH($C$87,Learning!$E$5:$S$5,0)-1)))</f>
        <v>0</v>
      </c>
      <c r="S88" s="778" cm="1">
        <f t="array" aca="1" ref="S88" ca="1">IF(S$21&lt;Standard_Year,'No STDs Case Rev &amp; Cost'!S88,
OFFSET(MSP!$C$1,
MATCH(OFFSET($C87,((MATCH($C87,EL_List,0)-1)*-10)-1,0),MSP!$C:$C,0)+MATCH($C87,EL_List,0)-1,
MATCH(OFFSET($C87,((MATCH($C87,EL_List,0)-1)*-10)-3,0),MSP!$D$5:$N$5,0)+1)
*INDEX(Learning!$E$6:$S$41,(MATCH(S$21,Dates,0)),(MATCH($C$86,Learning!$E$4:$S$4,0)+MATCH($C$87,Learning!$E$5:$S$5,0)-1)))</f>
        <v>0</v>
      </c>
      <c r="T88" s="778" cm="1">
        <f t="array" aca="1" ref="T88" ca="1">IF(T$21&lt;Standard_Year,'No STDs Case Rev &amp; Cost'!T88,
OFFSET(MSP!$C$1,
MATCH(OFFSET($C87,((MATCH($C87,EL_List,0)-1)*-10)-1,0),MSP!$C:$C,0)+MATCH($C87,EL_List,0)-1,
MATCH(OFFSET($C87,((MATCH($C87,EL_List,0)-1)*-10)-3,0),MSP!$D$5:$N$5,0)+1)
*INDEX(Learning!$E$6:$S$41,(MATCH(T$21,Dates,0)),(MATCH($C$86,Learning!$E$4:$S$4,0)+MATCH($C$87,Learning!$E$5:$S$5,0)-1)))</f>
        <v>0</v>
      </c>
      <c r="U88" s="778" cm="1">
        <f t="array" aca="1" ref="U88" ca="1">IF(U$21&lt;Standard_Year,'No STDs Case Rev &amp; Cost'!U88,
OFFSET(MSP!$C$1,
MATCH(OFFSET($C87,((MATCH($C87,EL_List,0)-1)*-10)-1,0),MSP!$C:$C,0)+MATCH($C87,EL_List,0)-1,
MATCH(OFFSET($C87,((MATCH($C87,EL_List,0)-1)*-10)-3,0),MSP!$D$5:$N$5,0)+1)
*INDEX(Learning!$E$6:$S$41,(MATCH(U$21,Dates,0)),(MATCH($C$86,Learning!$E$4:$S$4,0)+MATCH($C$87,Learning!$E$5:$S$5,0)-1)))</f>
        <v>0</v>
      </c>
      <c r="V88" s="778" cm="1">
        <f t="array" aca="1" ref="V88" ca="1">IF(V$21&lt;Standard_Year,'No STDs Case Rev &amp; Cost'!V88,
OFFSET(MSP!$C$1,
MATCH(OFFSET($C87,((MATCH($C87,EL_List,0)-1)*-10)-1,0),MSP!$C:$C,0)+MATCH($C87,EL_List,0)-1,
MATCH(OFFSET($C87,((MATCH($C87,EL_List,0)-1)*-10)-3,0),MSP!$D$5:$N$5,0)+1)
*INDEX(Learning!$E$6:$S$41,(MATCH(V$21,Dates,0)),(MATCH($C$86,Learning!$E$4:$S$4,0)+MATCH($C$87,Learning!$E$5:$S$5,0)-1)))</f>
        <v>0</v>
      </c>
      <c r="W88" s="778" cm="1">
        <f t="array" aca="1" ref="W88" ca="1">IF(W$21&lt;Standard_Year,'No STDs Case Rev &amp; Cost'!W88,
OFFSET(MSP!$C$1,
MATCH(OFFSET($C87,((MATCH($C87,EL_List,0)-1)*-10)-1,0),MSP!$C:$C,0)+MATCH($C87,EL_List,0)-1,
MATCH(OFFSET($C87,((MATCH($C87,EL_List,0)-1)*-10)-3,0),MSP!$D$5:$N$5,0)+1)
*INDEX(Learning!$E$6:$S$41,(MATCH(W$21,Dates,0)),(MATCH($C$86,Learning!$E$4:$S$4,0)+MATCH($C$87,Learning!$E$5:$S$5,0)-1)))</f>
        <v>0</v>
      </c>
      <c r="X88" s="778" cm="1">
        <f t="array" aca="1" ref="X88" ca="1">IF(X$21&lt;Standard_Year,'No STDs Case Rev &amp; Cost'!X88,
OFFSET(MSP!$C$1,
MATCH(OFFSET($C87,((MATCH($C87,EL_List,0)-1)*-10)-1,0),MSP!$C:$C,0)+MATCH($C87,EL_List,0)-1,
MATCH(OFFSET($C87,((MATCH($C87,EL_List,0)-1)*-10)-3,0),MSP!$D$5:$N$5,0)+1)
*INDEX(Learning!$E$6:$S$41,(MATCH(X$21,Dates,0)),(MATCH($C$86,Learning!$E$4:$S$4,0)+MATCH($C$87,Learning!$E$5:$S$5,0)-1)))</f>
        <v>0</v>
      </c>
      <c r="Y88" s="778" cm="1">
        <f t="array" aca="1" ref="Y88" ca="1">IF(Y$21&lt;Standard_Year,'No STDs Case Rev &amp; Cost'!Y88,
OFFSET(MSP!$C$1,
MATCH(OFFSET($C87,((MATCH($C87,EL_List,0)-1)*-10)-1,0),MSP!$C:$C,0)+MATCH($C87,EL_List,0)-1,
MATCH(OFFSET($C87,((MATCH($C87,EL_List,0)-1)*-10)-3,0),MSP!$D$5:$N$5,0)+1)
*INDEX(Learning!$E$6:$S$41,(MATCH(Y$21,Dates,0)),(MATCH($C$86,Learning!$E$4:$S$4,0)+MATCH($C$87,Learning!$E$5:$S$5,0)-1)))</f>
        <v>0</v>
      </c>
      <c r="Z88" s="778" cm="1">
        <f t="array" aca="1" ref="Z88" ca="1">IF(Z$21&lt;Standard_Year,'No STDs Case Rev &amp; Cost'!Z88,
OFFSET(MSP!$C$1,
MATCH(OFFSET($C87,((MATCH($C87,EL_List,0)-1)*-10)-1,0),MSP!$C:$C,0)+MATCH($C87,EL_List,0)-1,
MATCH(OFFSET($C87,((MATCH($C87,EL_List,0)-1)*-10)-3,0),MSP!$D$5:$N$5,0)+1)
*INDEX(Learning!$E$6:$S$41,(MATCH(Z$21,Dates,0)),(MATCH($C$86,Learning!$E$4:$S$4,0)+MATCH($C$87,Learning!$E$5:$S$5,0)-1)))</f>
        <v>0</v>
      </c>
      <c r="AA88" s="778" cm="1">
        <f t="array" aca="1" ref="AA88" ca="1">IF(AA$21&lt;Standard_Year,'No STDs Case Rev &amp; Cost'!AA88,
OFFSET(MSP!$C$1,
MATCH(OFFSET($C87,((MATCH($C87,EL_List,0)-1)*-10)-1,0),MSP!$C:$C,0)+MATCH($C87,EL_List,0)-1,
MATCH(OFFSET($C87,((MATCH($C87,EL_List,0)-1)*-10)-3,0),MSP!$D$5:$N$5,0)+1)
*INDEX(Learning!$E$6:$S$41,(MATCH(AA$21,Dates,0)),(MATCH($C$86,Learning!$E$4:$S$4,0)+MATCH($C$87,Learning!$E$5:$S$5,0)-1)))</f>
        <v>0</v>
      </c>
      <c r="AB88" s="778" cm="1">
        <f t="array" aca="1" ref="AB88" ca="1">IF(AB$21&lt;Standard_Year,'No STDs Case Rev &amp; Cost'!AB88,
OFFSET(MSP!$C$1,
MATCH(OFFSET($C87,((MATCH($C87,EL_List,0)-1)*-10)-1,0),MSP!$C:$C,0)+MATCH($C87,EL_List,0)-1,
MATCH(OFFSET($C87,((MATCH($C87,EL_List,0)-1)*-10)-3,0),MSP!$D$5:$N$5,0)+1)
*INDEX(Learning!$E$6:$S$41,(MATCH(AB$21,Dates,0)),(MATCH($C$86,Learning!$E$4:$S$4,0)+MATCH($C$87,Learning!$E$5:$S$5,0)-1)))</f>
        <v>0</v>
      </c>
      <c r="AC88" s="778" cm="1">
        <f t="array" aca="1" ref="AC88" ca="1">IF(AC$21&lt;Standard_Year,'No STDs Case Rev &amp; Cost'!AC88,
OFFSET(MSP!$C$1,
MATCH(OFFSET($C87,((MATCH($C87,EL_List,0)-1)*-10)-1,0),MSP!$C:$C,0)+MATCH($C87,EL_List,0)-1,
MATCH(OFFSET($C87,((MATCH($C87,EL_List,0)-1)*-10)-3,0),MSP!$D$5:$N$5,0)+1)
*INDEX(Learning!$E$6:$S$41,(MATCH(AC$21,Dates,0)),(MATCH($C$86,Learning!$E$4:$S$4,0)+MATCH($C$87,Learning!$E$5:$S$5,0)-1)))</f>
        <v>0</v>
      </c>
      <c r="AD88" s="778" cm="1">
        <f t="array" aca="1" ref="AD88" ca="1">IF(AD$21&lt;Standard_Year,'No STDs Case Rev &amp; Cost'!AD88,
OFFSET(MSP!$C$1,
MATCH(OFFSET($C87,((MATCH($C87,EL_List,0)-1)*-10)-1,0),MSP!$C:$C,0)+MATCH($C87,EL_List,0)-1,
MATCH(OFFSET($C87,((MATCH($C87,EL_List,0)-1)*-10)-3,0),MSP!$D$5:$N$5,0)+1)
*INDEX(Learning!$E$6:$S$41,(MATCH(AD$21,Dates,0)),(MATCH($C$86,Learning!$E$4:$S$4,0)+MATCH($C$87,Learning!$E$5:$S$5,0)-1)))</f>
        <v>0</v>
      </c>
      <c r="AE88" s="778" cm="1">
        <f t="array" aca="1" ref="AE88" ca="1">IF(AE$21&lt;Standard_Year,'No STDs Case Rev &amp; Cost'!AE88,
OFFSET(MSP!$C$1,
MATCH(OFFSET($C87,((MATCH($C87,EL_List,0)-1)*-10)-1,0),MSP!$C:$C,0)+MATCH($C87,EL_List,0)-1,
MATCH(OFFSET($C87,((MATCH($C87,EL_List,0)-1)*-10)-3,0),MSP!$D$5:$N$5,0)+1)
*INDEX(Learning!$E$6:$S$41,(MATCH(AE$21,Dates,0)),(MATCH($C$86,Learning!$E$4:$S$4,0)+MATCH($C$87,Learning!$E$5:$S$5,0)-1)))</f>
        <v>0</v>
      </c>
      <c r="AF88" s="778" cm="1">
        <f t="array" aca="1" ref="AF88" ca="1">IF(AF$21&lt;Standard_Year,'No STDs Case Rev &amp; Cost'!AF88,
OFFSET(MSP!$C$1,
MATCH(OFFSET($C87,((MATCH($C87,EL_List,0)-1)*-10)-1,0),MSP!$C:$C,0)+MATCH($C87,EL_List,0)-1,
MATCH(OFFSET($C87,((MATCH($C87,EL_List,0)-1)*-10)-3,0),MSP!$D$5:$N$5,0)+1)
*INDEX(Learning!$E$6:$S$41,(MATCH(AF$21,Dates,0)),(MATCH($C$86,Learning!$E$4:$S$4,0)+MATCH($C$87,Learning!$E$5:$S$5,0)-1)))</f>
        <v>0</v>
      </c>
      <c r="AG88" s="778" cm="1">
        <f t="array" aca="1" ref="AG88" ca="1">IF(AG$21&lt;Standard_Year,'No STDs Case Rev &amp; Cost'!AG88,
OFFSET(MSP!$C$1,
MATCH(OFFSET($C87,((MATCH($C87,EL_List,0)-1)*-10)-1,0),MSP!$C:$C,0)+MATCH($C87,EL_List,0)-1,
MATCH(OFFSET($C87,((MATCH($C87,EL_List,0)-1)*-10)-3,0),MSP!$D$5:$N$5,0)+1)
*INDEX(Learning!$E$6:$S$41,(MATCH(AG$21,Dates,0)),(MATCH($C$86,Learning!$E$4:$S$4,0)+MATCH($C$87,Learning!$E$5:$S$5,0)-1)))</f>
        <v>0</v>
      </c>
      <c r="AH88" s="778" cm="1">
        <f t="array" aca="1" ref="AH88" ca="1">IF(AH$21&lt;Standard_Year,'No STDs Case Rev &amp; Cost'!AH88,
OFFSET(MSP!$C$1,
MATCH(OFFSET($C87,((MATCH($C87,EL_List,0)-1)*-10)-1,0),MSP!$C:$C,0)+MATCH($C87,EL_List,0)-1,
MATCH(OFFSET($C87,((MATCH($C87,EL_List,0)-1)*-10)-3,0),MSP!$D$5:$N$5,0)+1)
*INDEX(Learning!$E$6:$S$41,(MATCH(AH$21,Dates,0)),(MATCH($C$86,Learning!$E$4:$S$4,0)+MATCH($C$87,Learning!$E$5:$S$5,0)-1)))</f>
        <v>0</v>
      </c>
      <c r="AI88" s="778" cm="1">
        <f t="array" aca="1" ref="AI88" ca="1">IF(AI$21&lt;Standard_Year,'No STDs Case Rev &amp; Cost'!AI88,
OFFSET(MSP!$C$1,
MATCH(OFFSET($C87,((MATCH($C87,EL_List,0)-1)*-10)-1,0),MSP!$C:$C,0)+MATCH($C87,EL_List,0)-1,
MATCH(OFFSET($C87,((MATCH($C87,EL_List,0)-1)*-10)-3,0),MSP!$D$5:$N$5,0)+1)
*INDEX(Learning!$E$6:$S$41,(MATCH(AI$21,Dates,0)),(MATCH($C$86,Learning!$E$4:$S$4,0)+MATCH($C$87,Learning!$E$5:$S$5,0)-1)))</f>
        <v>0</v>
      </c>
      <c r="AJ88" s="778" cm="1">
        <f t="array" aca="1" ref="AJ88" ca="1">IF(AJ$21&lt;Standard_Year,'No STDs Case Rev &amp; Cost'!AJ88,
OFFSET(MSP!$C$1,
MATCH(OFFSET($C87,((MATCH($C87,EL_List,0)-1)*-10)-1,0),MSP!$C:$C,0)+MATCH($C87,EL_List,0)-1,
MATCH(OFFSET($C87,((MATCH($C87,EL_List,0)-1)*-10)-3,0),MSP!$D$5:$N$5,0)+1)
*INDEX(Learning!$E$6:$S$41,(MATCH(AJ$21,Dates,0)),(MATCH($C$86,Learning!$E$4:$S$4,0)+MATCH($C$87,Learning!$E$5:$S$5,0)-1)))</f>
        <v>0</v>
      </c>
      <c r="AK88" s="778" cm="1">
        <f t="array" aca="1" ref="AK88" ca="1">IF(AK$21&lt;Standard_Year,'No STDs Case Rev &amp; Cost'!AK88,
OFFSET(MSP!$C$1,
MATCH(OFFSET($C87,((MATCH($C87,EL_List,0)-1)*-10)-1,0),MSP!$C:$C,0)+MATCH($C87,EL_List,0)-1,
MATCH(OFFSET($C87,((MATCH($C87,EL_List,0)-1)*-10)-3,0),MSP!$D$5:$N$5,0)+1)
*INDEX(Learning!$E$6:$S$41,(MATCH(AK$21,Dates,0)),(MATCH($C$86,Learning!$E$4:$S$4,0)+MATCH($C$87,Learning!$E$5:$S$5,0)-1)))</f>
        <v>0</v>
      </c>
      <c r="AL88" s="778" cm="1">
        <f t="array" aca="1" ref="AL88" ca="1">IF(AL$21&lt;Standard_Year,'No STDs Case Rev &amp; Cost'!AL88,
OFFSET(MSP!$C$1,
MATCH(OFFSET($C87,((MATCH($C87,EL_List,0)-1)*-10)-1,0),MSP!$C:$C,0)+MATCH($C87,EL_List,0)-1,
MATCH(OFFSET($C87,((MATCH($C87,EL_List,0)-1)*-10)-3,0),MSP!$D$5:$N$5,0)+1)
*INDEX(Learning!$E$6:$S$41,(MATCH(AL$21,Dates,0)),(MATCH($C$86,Learning!$E$4:$S$4,0)+MATCH($C$87,Learning!$E$5:$S$5,0)-1)))</f>
        <v>0</v>
      </c>
      <c r="AM88" s="778" cm="1">
        <f t="array" aca="1" ref="AM88" ca="1">IF(AM$21&lt;Standard_Year,'No STDs Case Rev &amp; Cost'!AM88,
OFFSET(MSP!$C$1,
MATCH(OFFSET($C87,((MATCH($C87,EL_List,0)-1)*-10)-1,0),MSP!$C:$C,0)+MATCH($C87,EL_List,0)-1,
MATCH(OFFSET($C87,((MATCH($C87,EL_List,0)-1)*-10)-3,0),MSP!$D$5:$N$5,0)+1)
*INDEX(Learning!$E$6:$S$41,(MATCH(AM$21,Dates,0)),(MATCH($C$86,Learning!$E$4:$S$4,0)+MATCH($C$87,Learning!$E$5:$S$5,0)-1)))</f>
        <v>0</v>
      </c>
      <c r="AN88" s="778" cm="1">
        <f t="array" aca="1" ref="AN88" ca="1">IF(AN$21&lt;Standard_Year,'No STDs Case Rev &amp; Cost'!AN88,
OFFSET(MSP!$C$1,
MATCH(OFFSET($C87,((MATCH($C87,EL_List,0)-1)*-10)-1,0),MSP!$C:$C,0)+MATCH($C87,EL_List,0)-1,
MATCH(OFFSET($C87,((MATCH($C87,EL_List,0)-1)*-10)-3,0),MSP!$D$5:$N$5,0)+1)
*INDEX(Learning!$E$6:$S$41,(MATCH(AN$21,Dates,0)),(MATCH($C$86,Learning!$E$4:$S$4,0)+MATCH($C$87,Learning!$E$5:$S$5,0)-1)))</f>
        <v>0</v>
      </c>
      <c r="AO88" s="436"/>
      <c r="AP88" s="21"/>
    </row>
    <row r="89" spans="2:42" ht="15" customHeight="1" x14ac:dyDescent="0.35">
      <c r="B89" s="429"/>
      <c r="C89" s="780" t="s">
        <v>78</v>
      </c>
      <c r="D89" s="776"/>
      <c r="E89" s="530">
        <f ca="1">OFFSET(OFFSET(Shipments!$D$1,0,MATCH(E$7,Dates)),
MATCH(OFFSET($C87,((MATCH($C87,EL_List,0)-1)*-10)-3,0),Shipments!$C:$C,0)+
MATCH(OFFSET($C87,((MATCH($C87,EL_List,0)-1)*-10)-1,0),Shipments!$D:$D,0)+
MATCH($C87,EL_List,0)-10,
MATCH(Shipments_Scenario_X,Shipments!$F$5:$AQ$5,0))</f>
        <v>0.44289164334571512</v>
      </c>
      <c r="F89" s="530">
        <f ca="1">OFFSET(OFFSET(Shipments!$D$1,0,MATCH(F$7,Dates)),
MATCH(OFFSET($C87,((MATCH($C87,EL_List,0)-1)*-10)-3,0),Shipments!$C:$C,0)+
MATCH(OFFSET($C87,((MATCH($C87,EL_List,0)-1)*-10)-1,0),Shipments!$D:$D,0)+
MATCH($C87,EL_List,0)-10,
MATCH(Shipments_Scenario_X,Shipments!$F$5:$AQ$5,0))</f>
        <v>0.46269711764791721</v>
      </c>
      <c r="G89" s="530">
        <f ca="1">OFFSET(OFFSET(Shipments!$D$1,0,MATCH(G$7,Dates)),
MATCH(OFFSET($C87,((MATCH($C87,EL_List,0)-1)*-10)-3,0),Shipments!$C:$C,0)+
MATCH(OFFSET($C87,((MATCH($C87,EL_List,0)-1)*-10)-1,0),Shipments!$D:$D,0)+
MATCH($C87,EL_List,0)-10,
MATCH(Shipments_Scenario_X,Shipments!$F$5:$AQ$5,0))</f>
        <v>0</v>
      </c>
      <c r="H89" s="530">
        <f ca="1">OFFSET(OFFSET(Shipments!$D$1,0,MATCH(H$7,Dates)),
MATCH(OFFSET($C87,((MATCH($C87,EL_List,0)-1)*-10)-3,0),Shipments!$C:$C,0)+
MATCH(OFFSET($C87,((MATCH($C87,EL_List,0)-1)*-10)-1,0),Shipments!$D:$D,0)+
MATCH($C87,EL_List,0)-10,
MATCH(Shipments_Scenario_X,Shipments!$F$5:$AQ$5,0))</f>
        <v>0</v>
      </c>
      <c r="I89" s="530">
        <f ca="1">OFFSET(OFFSET(Shipments!$D$1,0,MATCH(I$7,Dates)),
MATCH(OFFSET($C87,((MATCH($C87,EL_List,0)-1)*-10)-3,0),Shipments!$C:$C,0)+
MATCH(OFFSET($C87,((MATCH($C87,EL_List,0)-1)*-10)-1,0),Shipments!$D:$D,0)+
MATCH($C87,EL_List,0)-10,
MATCH(Shipments_Scenario_X,Shipments!$F$5:$AQ$5,0))</f>
        <v>0</v>
      </c>
      <c r="J89" s="530">
        <f ca="1">OFFSET(OFFSET(Shipments!$D$1,0,MATCH(J$7,Dates)),
MATCH(OFFSET($C87,((MATCH($C87,EL_List,0)-1)*-10)-3,0),Shipments!$C:$C,0)+
MATCH(OFFSET($C87,((MATCH($C87,EL_List,0)-1)*-10)-1,0),Shipments!$D:$D,0)+
MATCH($C87,EL_List,0)-10,
MATCH(Shipments_Scenario_X,Shipments!$F$5:$AQ$5,0))</f>
        <v>0</v>
      </c>
      <c r="K89" s="530">
        <f ca="1">OFFSET(OFFSET(Shipments!$D$1,0,MATCH(K$7,Dates)),
MATCH(OFFSET($C87,((MATCH($C87,EL_List,0)-1)*-10)-3,0),Shipments!$C:$C,0)+
MATCH(OFFSET($C87,((MATCH($C87,EL_List,0)-1)*-10)-1,0),Shipments!$D:$D,0)+
MATCH($C87,EL_List,0)-10,
MATCH(Shipments_Scenario_X,Shipments!$F$5:$AQ$5,0))</f>
        <v>0</v>
      </c>
      <c r="L89" s="530">
        <f ca="1">OFFSET(OFFSET(Shipments!$D$1,0,MATCH(L$7,Dates)),
MATCH(OFFSET($C87,((MATCH($C87,EL_List,0)-1)*-10)-3,0),Shipments!$C:$C,0)+
MATCH(OFFSET($C87,((MATCH($C87,EL_List,0)-1)*-10)-1,0),Shipments!$D:$D,0)+
MATCH($C87,EL_List,0)-10,
MATCH(Shipments_Scenario_X,Shipments!$F$5:$AQ$5,0))</f>
        <v>0</v>
      </c>
      <c r="M89" s="530">
        <f ca="1">OFFSET(OFFSET(Shipments!$D$1,0,MATCH(M$7,Dates)),
MATCH(OFFSET($C87,((MATCH($C87,EL_List,0)-1)*-10)-3,0),Shipments!$C:$C,0)+
MATCH(OFFSET($C87,((MATCH($C87,EL_List,0)-1)*-10)-1,0),Shipments!$D:$D,0)+
MATCH($C87,EL_List,0)-10,
MATCH(Shipments_Scenario_X,Shipments!$F$5:$AQ$5,0))</f>
        <v>0</v>
      </c>
      <c r="N89" s="530">
        <f ca="1">OFFSET(OFFSET(Shipments!$D$1,0,MATCH(N$7,Dates)),
MATCH(OFFSET($C87,((MATCH($C87,EL_List,0)-1)*-10)-3,0),Shipments!$C:$C,0)+
MATCH(OFFSET($C87,((MATCH($C87,EL_List,0)-1)*-10)-1,0),Shipments!$D:$D,0)+
MATCH($C87,EL_List,0)-10,
MATCH(Shipments_Scenario_X,Shipments!$F$5:$AQ$5,0))</f>
        <v>0</v>
      </c>
      <c r="O89" s="530">
        <f ca="1">OFFSET(OFFSET(Shipments!$D$1,0,MATCH(O$7,Dates)),
MATCH(OFFSET($C87,((MATCH($C87,EL_List,0)-1)*-10)-3,0),Shipments!$C:$C,0)+
MATCH(OFFSET($C87,((MATCH($C87,EL_List,0)-1)*-10)-1,0),Shipments!$D:$D,0)+
MATCH($C87,EL_List,0)-10,
MATCH(Shipments_Scenario_X,Shipments!$F$5:$AQ$5,0))</f>
        <v>0</v>
      </c>
      <c r="P89" s="530">
        <f ca="1">OFFSET(OFFSET(Shipments!$D$1,0,MATCH(P$7,Dates)),
MATCH(OFFSET($C87,((MATCH($C87,EL_List,0)-1)*-10)-3,0),Shipments!$C:$C,0)+
MATCH(OFFSET($C87,((MATCH($C87,EL_List,0)-1)*-10)-1,0),Shipments!$D:$D,0)+
MATCH($C87,EL_List,0)-10,
MATCH(Shipments_Scenario_X,Shipments!$F$5:$AQ$5,0))</f>
        <v>0</v>
      </c>
      <c r="Q89" s="530">
        <f ca="1">OFFSET(OFFSET(Shipments!$D$1,0,MATCH(Q$7,Dates)),
MATCH(OFFSET($C87,((MATCH($C87,EL_List,0)-1)*-10)-3,0),Shipments!$C:$C,0)+
MATCH(OFFSET($C87,((MATCH($C87,EL_List,0)-1)*-10)-1,0),Shipments!$D:$D,0)+
MATCH($C87,EL_List,0)-10,
MATCH(Shipments_Scenario_X,Shipments!$F$5:$AQ$5,0))</f>
        <v>0</v>
      </c>
      <c r="R89" s="530">
        <f ca="1">OFFSET(OFFSET(Shipments!$D$1,0,MATCH(R$7,Dates)),
MATCH(OFFSET($C87,((MATCH($C87,EL_List,0)-1)*-10)-3,0),Shipments!$C:$C,0)+
MATCH(OFFSET($C87,((MATCH($C87,EL_List,0)-1)*-10)-1,0),Shipments!$D:$D,0)+
MATCH($C87,EL_List,0)-10,
MATCH(Shipments_Scenario_X,Shipments!$F$5:$AQ$5,0))</f>
        <v>0</v>
      </c>
      <c r="S89" s="530">
        <f ca="1">OFFSET(OFFSET(Shipments!$D$1,0,MATCH(S$7,Dates)),
MATCH(OFFSET($C87,((MATCH($C87,EL_List,0)-1)*-10)-3,0),Shipments!$C:$C,0)+
MATCH(OFFSET($C87,((MATCH($C87,EL_List,0)-1)*-10)-1,0),Shipments!$D:$D,0)+
MATCH($C87,EL_List,0)-10,
MATCH(Shipments_Scenario_X,Shipments!$F$5:$AQ$5,0))</f>
        <v>0</v>
      </c>
      <c r="T89" s="530">
        <f ca="1">OFFSET(OFFSET(Shipments!$D$1,0,MATCH(T$7,Dates)),
MATCH(OFFSET($C87,((MATCH($C87,EL_List,0)-1)*-10)-3,0),Shipments!$C:$C,0)+
MATCH(OFFSET($C87,((MATCH($C87,EL_List,0)-1)*-10)-1,0),Shipments!$D:$D,0)+
MATCH($C87,EL_List,0)-10,
MATCH(Shipments_Scenario_X,Shipments!$F$5:$AQ$5,0))</f>
        <v>0</v>
      </c>
      <c r="U89" s="530">
        <f ca="1">OFFSET(OFFSET(Shipments!$D$1,0,MATCH(U$7,Dates)),
MATCH(OFFSET($C87,((MATCH($C87,EL_List,0)-1)*-10)-3,0),Shipments!$C:$C,0)+
MATCH(OFFSET($C87,((MATCH($C87,EL_List,0)-1)*-10)-1,0),Shipments!$D:$D,0)+
MATCH($C87,EL_List,0)-10,
MATCH(Shipments_Scenario_X,Shipments!$F$5:$AQ$5,0))</f>
        <v>0</v>
      </c>
      <c r="V89" s="530">
        <f ca="1">OFFSET(OFFSET(Shipments!$D$1,0,MATCH(V$7,Dates)),
MATCH(OFFSET($C87,((MATCH($C87,EL_List,0)-1)*-10)-3,0),Shipments!$C:$C,0)+
MATCH(OFFSET($C87,((MATCH($C87,EL_List,0)-1)*-10)-1,0),Shipments!$D:$D,0)+
MATCH($C87,EL_List,0)-10,
MATCH(Shipments_Scenario_X,Shipments!$F$5:$AQ$5,0))</f>
        <v>0</v>
      </c>
      <c r="W89" s="530">
        <f ca="1">OFFSET(OFFSET(Shipments!$D$1,0,MATCH(W$7,Dates)),
MATCH(OFFSET($C87,((MATCH($C87,EL_List,0)-1)*-10)-3,0),Shipments!$C:$C,0)+
MATCH(OFFSET($C87,((MATCH($C87,EL_List,0)-1)*-10)-1,0),Shipments!$D:$D,0)+
MATCH($C87,EL_List,0)-10,
MATCH(Shipments_Scenario_X,Shipments!$F$5:$AQ$5,0))</f>
        <v>0</v>
      </c>
      <c r="X89" s="530">
        <f ca="1">OFFSET(OFFSET(Shipments!$D$1,0,MATCH(X$7,Dates)),
MATCH(OFFSET($C87,((MATCH($C87,EL_List,0)-1)*-10)-3,0),Shipments!$C:$C,0)+
MATCH(OFFSET($C87,((MATCH($C87,EL_List,0)-1)*-10)-1,0),Shipments!$D:$D,0)+
MATCH($C87,EL_List,0)-10,
MATCH(Shipments_Scenario_X,Shipments!$F$5:$AQ$5,0))</f>
        <v>0</v>
      </c>
      <c r="Y89" s="530">
        <f ca="1">OFFSET(OFFSET(Shipments!$D$1,0,MATCH(Y$7,Dates)),
MATCH(OFFSET($C87,((MATCH($C87,EL_List,0)-1)*-10)-3,0),Shipments!$C:$C,0)+
MATCH(OFFSET($C87,((MATCH($C87,EL_List,0)-1)*-10)-1,0),Shipments!$D:$D,0)+
MATCH($C87,EL_List,0)-10,
MATCH(Shipments_Scenario_X,Shipments!$F$5:$AQ$5,0))</f>
        <v>0</v>
      </c>
      <c r="Z89" s="530">
        <f ca="1">OFFSET(OFFSET(Shipments!$D$1,0,MATCH(Z$7,Dates)),
MATCH(OFFSET($C87,((MATCH($C87,EL_List,0)-1)*-10)-3,0),Shipments!$C:$C,0)+
MATCH(OFFSET($C87,((MATCH($C87,EL_List,0)-1)*-10)-1,0),Shipments!$D:$D,0)+
MATCH($C87,EL_List,0)-10,
MATCH(Shipments_Scenario_X,Shipments!$F$5:$AQ$5,0))</f>
        <v>0</v>
      </c>
      <c r="AA89" s="530">
        <f ca="1">OFFSET(OFFSET(Shipments!$D$1,0,MATCH(AA$7,Dates)),
MATCH(OFFSET($C87,((MATCH($C87,EL_List,0)-1)*-10)-3,0),Shipments!$C:$C,0)+
MATCH(OFFSET($C87,((MATCH($C87,EL_List,0)-1)*-10)-1,0),Shipments!$D:$D,0)+
MATCH($C87,EL_List,0)-10,
MATCH(Shipments_Scenario_X,Shipments!$F$5:$AQ$5,0))</f>
        <v>0</v>
      </c>
      <c r="AB89" s="530">
        <f ca="1">OFFSET(OFFSET(Shipments!$D$1,0,MATCH(AB$7,Dates)),
MATCH(OFFSET($C87,((MATCH($C87,EL_List,0)-1)*-10)-3,0),Shipments!$C:$C,0)+
MATCH(OFFSET($C87,((MATCH($C87,EL_List,0)-1)*-10)-1,0),Shipments!$D:$D,0)+
MATCH($C87,EL_List,0)-10,
MATCH(Shipments_Scenario_X,Shipments!$F$5:$AQ$5,0))</f>
        <v>0</v>
      </c>
      <c r="AC89" s="530">
        <f ca="1">OFFSET(OFFSET(Shipments!$D$1,0,MATCH(AC$7,Dates)),
MATCH(OFFSET($C87,((MATCH($C87,EL_List,0)-1)*-10)-3,0),Shipments!$C:$C,0)+
MATCH(OFFSET($C87,((MATCH($C87,EL_List,0)-1)*-10)-1,0),Shipments!$D:$D,0)+
MATCH($C87,EL_List,0)-10,
MATCH(Shipments_Scenario_X,Shipments!$F$5:$AQ$5,0))</f>
        <v>0</v>
      </c>
      <c r="AD89" s="530">
        <f ca="1">OFFSET(OFFSET(Shipments!$D$1,0,MATCH(AD$7,Dates)),
MATCH(OFFSET($C87,((MATCH($C87,EL_List,0)-1)*-10)-3,0),Shipments!$C:$C,0)+
MATCH(OFFSET($C87,((MATCH($C87,EL_List,0)-1)*-10)-1,0),Shipments!$D:$D,0)+
MATCH($C87,EL_List,0)-10,
MATCH(Shipments_Scenario_X,Shipments!$F$5:$AQ$5,0))</f>
        <v>0</v>
      </c>
      <c r="AE89" s="530">
        <f ca="1">OFFSET(OFFSET(Shipments!$D$1,0,MATCH(AE$7,Dates)),
MATCH(OFFSET($C87,((MATCH($C87,EL_List,0)-1)*-10)-3,0),Shipments!$C:$C,0)+
MATCH(OFFSET($C87,((MATCH($C87,EL_List,0)-1)*-10)-1,0),Shipments!$D:$D,0)+
MATCH($C87,EL_List,0)-10,
MATCH(Shipments_Scenario_X,Shipments!$F$5:$AQ$5,0))</f>
        <v>0</v>
      </c>
      <c r="AF89" s="530">
        <f ca="1">OFFSET(OFFSET(Shipments!$D$1,0,MATCH(AF$7,Dates)),
MATCH(OFFSET($C87,((MATCH($C87,EL_List,0)-1)*-10)-3,0),Shipments!$C:$C,0)+
MATCH(OFFSET($C87,((MATCH($C87,EL_List,0)-1)*-10)-1,0),Shipments!$D:$D,0)+
MATCH($C87,EL_List,0)-10,
MATCH(Shipments_Scenario_X,Shipments!$F$5:$AQ$5,0))</f>
        <v>0</v>
      </c>
      <c r="AG89" s="530">
        <f ca="1">OFFSET(OFFSET(Shipments!$D$1,0,MATCH(AG$7,Dates)),
MATCH(OFFSET($C87,((MATCH($C87,EL_List,0)-1)*-10)-3,0),Shipments!$C:$C,0)+
MATCH(OFFSET($C87,((MATCH($C87,EL_List,0)-1)*-10)-1,0),Shipments!$D:$D,0)+
MATCH($C87,EL_List,0)-10,
MATCH(Shipments_Scenario_X,Shipments!$F$5:$AQ$5,0))</f>
        <v>0</v>
      </c>
      <c r="AH89" s="530">
        <f ca="1">OFFSET(OFFSET(Shipments!$D$1,0,MATCH(AH$7,Dates)),
MATCH(OFFSET($C87,((MATCH($C87,EL_List,0)-1)*-10)-3,0),Shipments!$C:$C,0)+
MATCH(OFFSET($C87,((MATCH($C87,EL_List,0)-1)*-10)-1,0),Shipments!$D:$D,0)+
MATCH($C87,EL_List,0)-10,
MATCH(Shipments_Scenario_X,Shipments!$F$5:$AQ$5,0))</f>
        <v>0</v>
      </c>
      <c r="AI89" s="530">
        <f ca="1">OFFSET(OFFSET(Shipments!$D$1,0,MATCH(AI$7,Dates)),
MATCH(OFFSET($C87,((MATCH($C87,EL_List,0)-1)*-10)-3,0),Shipments!$C:$C,0)+
MATCH(OFFSET($C87,((MATCH($C87,EL_List,0)-1)*-10)-1,0),Shipments!$D:$D,0)+
MATCH($C87,EL_List,0)-10,
MATCH(Shipments_Scenario_X,Shipments!$F$5:$AQ$5,0))</f>
        <v>0</v>
      </c>
      <c r="AJ89" s="530">
        <f ca="1">OFFSET(OFFSET(Shipments!$D$1,0,MATCH(AJ$7,Dates)),
MATCH(OFFSET($C87,((MATCH($C87,EL_List,0)-1)*-10)-3,0),Shipments!$C:$C,0)+
MATCH(OFFSET($C87,((MATCH($C87,EL_List,0)-1)*-10)-1,0),Shipments!$D:$D,0)+
MATCH($C87,EL_List,0)-10,
MATCH(Shipments_Scenario_X,Shipments!$F$5:$AQ$5,0))</f>
        <v>0</v>
      </c>
      <c r="AK89" s="530">
        <f ca="1">OFFSET(OFFSET(Shipments!$D$1,0,MATCH(AK$7,Dates)),
MATCH(OFFSET($C87,((MATCH($C87,EL_List,0)-1)*-10)-3,0),Shipments!$C:$C,0)+
MATCH(OFFSET($C87,((MATCH($C87,EL_List,0)-1)*-10)-1,0),Shipments!$D:$D,0)+
MATCH($C87,EL_List,0)-10,
MATCH(Shipments_Scenario_X,Shipments!$F$5:$AQ$5,0))</f>
        <v>0</v>
      </c>
      <c r="AL89" s="530">
        <f ca="1">OFFSET(OFFSET(Shipments!$D$1,0,MATCH(AL$7,Dates)),
MATCH(OFFSET($C87,((MATCH($C87,EL_List,0)-1)*-10)-3,0),Shipments!$C:$C,0)+
MATCH(OFFSET($C87,((MATCH($C87,EL_List,0)-1)*-10)-1,0),Shipments!$D:$D,0)+
MATCH($C87,EL_List,0)-10,
MATCH(Shipments_Scenario_X,Shipments!$F$5:$AQ$5,0))</f>
        <v>0</v>
      </c>
      <c r="AM89" s="530">
        <f ca="1">OFFSET(OFFSET(Shipments!$D$1,0,MATCH(AM$7,Dates)),
MATCH(OFFSET($C87,((MATCH($C87,EL_List,0)-1)*-10)-3,0),Shipments!$C:$C,0)+
MATCH(OFFSET($C87,((MATCH($C87,EL_List,0)-1)*-10)-1,0),Shipments!$D:$D,0)+
MATCH($C87,EL_List,0)-10,
MATCH(Shipments_Scenario_X,Shipments!$F$5:$AQ$5,0))</f>
        <v>0</v>
      </c>
      <c r="AN89" s="530">
        <f ca="1">OFFSET(OFFSET(Shipments!$D$1,0,MATCH(AN$7,Dates)),
MATCH(OFFSET($C87,((MATCH($C87,EL_List,0)-1)*-10)-3,0),Shipments!$C:$C,0)+
MATCH(OFFSET($C87,((MATCH($C87,EL_List,0)-1)*-10)-1,0),Shipments!$D:$D,0)+
MATCH($C87,EL_List,0)-10,
MATCH(Shipments_Scenario_X,Shipments!$F$5:$AQ$5,0))</f>
        <v>0</v>
      </c>
      <c r="AO89" s="436"/>
      <c r="AP89" s="21"/>
    </row>
    <row r="90" spans="2:42" ht="15" customHeight="1" x14ac:dyDescent="0.35">
      <c r="B90" s="429"/>
      <c r="C90" s="780" t="s">
        <v>79</v>
      </c>
      <c r="D90" s="776"/>
      <c r="E90" s="531">
        <f t="shared" ref="E90:AN90" ca="1" si="22">E88*E89</f>
        <v>28.726424331340709</v>
      </c>
      <c r="F90" s="531">
        <f t="shared" ca="1" si="22"/>
        <v>29.780396213434038</v>
      </c>
      <c r="G90" s="531">
        <f t="shared" ca="1" si="22"/>
        <v>0</v>
      </c>
      <c r="H90" s="531">
        <f t="shared" ca="1" si="22"/>
        <v>0</v>
      </c>
      <c r="I90" s="531">
        <f t="shared" ca="1" si="22"/>
        <v>0</v>
      </c>
      <c r="J90" s="531">
        <f t="shared" ca="1" si="22"/>
        <v>0</v>
      </c>
      <c r="K90" s="531">
        <f t="shared" ca="1" si="22"/>
        <v>0</v>
      </c>
      <c r="L90" s="531">
        <f t="shared" ca="1" si="22"/>
        <v>0</v>
      </c>
      <c r="M90" s="531">
        <f t="shared" ca="1" si="22"/>
        <v>0</v>
      </c>
      <c r="N90" s="531">
        <f t="shared" ca="1" si="22"/>
        <v>0</v>
      </c>
      <c r="O90" s="531">
        <f t="shared" ca="1" si="22"/>
        <v>0</v>
      </c>
      <c r="P90" s="531">
        <f t="shared" ca="1" si="22"/>
        <v>0</v>
      </c>
      <c r="Q90" s="531">
        <f t="shared" ca="1" si="22"/>
        <v>0</v>
      </c>
      <c r="R90" s="531">
        <f t="shared" ca="1" si="22"/>
        <v>0</v>
      </c>
      <c r="S90" s="531">
        <f t="shared" ca="1" si="22"/>
        <v>0</v>
      </c>
      <c r="T90" s="531">
        <f t="shared" ca="1" si="22"/>
        <v>0</v>
      </c>
      <c r="U90" s="531">
        <f t="shared" ca="1" si="22"/>
        <v>0</v>
      </c>
      <c r="V90" s="531">
        <f t="shared" ca="1" si="22"/>
        <v>0</v>
      </c>
      <c r="W90" s="531">
        <f t="shared" ca="1" si="22"/>
        <v>0</v>
      </c>
      <c r="X90" s="531">
        <f t="shared" ca="1" si="22"/>
        <v>0</v>
      </c>
      <c r="Y90" s="531">
        <f t="shared" ca="1" si="22"/>
        <v>0</v>
      </c>
      <c r="Z90" s="531">
        <f t="shared" ca="1" si="22"/>
        <v>0</v>
      </c>
      <c r="AA90" s="531">
        <f t="shared" ca="1" si="22"/>
        <v>0</v>
      </c>
      <c r="AB90" s="531">
        <f t="shared" ca="1" si="22"/>
        <v>0</v>
      </c>
      <c r="AC90" s="531">
        <f t="shared" ca="1" si="22"/>
        <v>0</v>
      </c>
      <c r="AD90" s="531">
        <f t="shared" ca="1" si="22"/>
        <v>0</v>
      </c>
      <c r="AE90" s="531">
        <f t="shared" ca="1" si="22"/>
        <v>0</v>
      </c>
      <c r="AF90" s="531">
        <f t="shared" ca="1" si="22"/>
        <v>0</v>
      </c>
      <c r="AG90" s="531">
        <f t="shared" ca="1" si="22"/>
        <v>0</v>
      </c>
      <c r="AH90" s="531">
        <f t="shared" ca="1" si="22"/>
        <v>0</v>
      </c>
      <c r="AI90" s="531">
        <f t="shared" ca="1" si="22"/>
        <v>0</v>
      </c>
      <c r="AJ90" s="531">
        <f t="shared" ca="1" si="22"/>
        <v>0</v>
      </c>
      <c r="AK90" s="531">
        <f t="shared" ca="1" si="22"/>
        <v>0</v>
      </c>
      <c r="AL90" s="531">
        <f t="shared" ca="1" si="22"/>
        <v>0</v>
      </c>
      <c r="AM90" s="531">
        <f t="shared" ref="AM90" ca="1" si="23">AM88*AM89</f>
        <v>0</v>
      </c>
      <c r="AN90" s="531">
        <f t="shared" ca="1" si="22"/>
        <v>0</v>
      </c>
      <c r="AO90" s="436"/>
      <c r="AP90" s="21"/>
    </row>
    <row r="91" spans="2:42" ht="15" customHeight="1" x14ac:dyDescent="0.35">
      <c r="B91" s="429"/>
      <c r="C91" s="780"/>
      <c r="D91" s="776"/>
      <c r="E91" s="776"/>
      <c r="F91" s="776"/>
      <c r="G91" s="776"/>
      <c r="H91" s="776"/>
      <c r="I91" s="776"/>
      <c r="J91" s="776"/>
      <c r="K91" s="776"/>
      <c r="L91" s="776"/>
      <c r="M91" s="776"/>
      <c r="N91" s="776"/>
      <c r="O91" s="776"/>
      <c r="P91" s="776"/>
      <c r="Q91" s="776"/>
      <c r="R91" s="776"/>
      <c r="S91" s="776"/>
      <c r="T91" s="776"/>
      <c r="U91" s="776"/>
      <c r="V91" s="776"/>
      <c r="W91" s="776"/>
      <c r="X91" s="776"/>
      <c r="Y91" s="776"/>
      <c r="Z91" s="776"/>
      <c r="AA91" s="776"/>
      <c r="AB91" s="776"/>
      <c r="AC91" s="776"/>
      <c r="AD91" s="776"/>
      <c r="AE91" s="776"/>
      <c r="AF91" s="776"/>
      <c r="AG91" s="776"/>
      <c r="AH91" s="776"/>
      <c r="AI91" s="776"/>
      <c r="AJ91" s="776"/>
      <c r="AK91" s="776"/>
      <c r="AL91" s="776"/>
      <c r="AM91" s="776"/>
      <c r="AN91" s="776"/>
      <c r="AO91" s="436"/>
      <c r="AP91" s="21"/>
    </row>
    <row r="92" spans="2:42" ht="15" customHeight="1" x14ac:dyDescent="0.35">
      <c r="B92" s="429"/>
      <c r="C92" s="780" t="s">
        <v>212</v>
      </c>
      <c r="D92" s="776"/>
      <c r="E92" s="532" cm="1">
        <f t="array" aca="1" ref="E92" ca="1">IF(E$21&lt;Standard_Year,'No STDs Case Rev &amp; Cost'!E92,
OFFSET(E92,-3,0)*
OFFSET(MSP!$D$1,
MATCH(OFFSET($C87,((MATCH($C87,EL_List,0)-1)*-10)-1,0),MSP!$C:$C,0)+MATCH($C87,EL_List,0)-1,0)
*INDEX(Learning!$E$6:$S$41,(MATCH(E$21,Dates,0)),(MATCH($C$86,Learning!$E$4:$S$4,0)+MATCH($C$87,Learning!$E$5:$S$5,0)-1)))</f>
        <v>17.601943047353291</v>
      </c>
      <c r="F92" s="532" cm="1">
        <f t="array" aca="1" ref="F92" ca="1">IF(F$21&lt;Standard_Year,'No STDs Case Rev &amp; Cost'!F92,
OFFSET(F92,-3,0)*
OFFSET(MSP!$D$1,
MATCH(OFFSET($C87,((MATCH($C87,EL_List,0)-1)*-10)-1,0),MSP!$C:$C,0)+MATCH($C87,EL_List,0)-1,0)
*INDEX(Learning!$E$6:$S$41,(MATCH(F$21,Dates,0)),(MATCH($C$86,Learning!$E$4:$S$4,0)+MATCH($C$87,Learning!$E$5:$S$5,0)-1)))</f>
        <v>18.247757953800878</v>
      </c>
      <c r="G92" s="532" cm="1">
        <f t="array" aca="1" ref="G92" ca="1">IF(G$21&lt;Standard_Year,'No STDs Case Rev &amp; Cost'!G92,
OFFSET(G92,-3,0)*
OFFSET(MSP!$D$1,
MATCH(OFFSET($C87,((MATCH($C87,EL_List,0)-1)*-10)-1,0),MSP!$C:$C,0)+MATCH($C87,EL_List,0)-1,0)
*INDEX(Learning!$E$6:$S$41,(MATCH(G$21,Dates,0)),(MATCH($C$86,Learning!$E$4:$S$4,0)+MATCH($C$87,Learning!$E$5:$S$5,0)-1)))</f>
        <v>18.819298081330338</v>
      </c>
      <c r="H92" s="532" cm="1">
        <f t="array" aca="1" ref="H92" ca="1">IF(H$21&lt;Standard_Year,'No STDs Case Rev &amp; Cost'!H92,
OFFSET(H92,-3,0)*
OFFSET(MSP!$D$1,
MATCH(OFFSET($C87,((MATCH($C87,EL_List,0)-1)*-10)-1,0),MSP!$C:$C,0)+MATCH($C87,EL_List,0)-1,0)
*INDEX(Learning!$E$6:$S$41,(MATCH(H$21,Dates,0)),(MATCH($C$86,Learning!$E$4:$S$4,0)+MATCH($C$87,Learning!$E$5:$S$5,0)-1)))</f>
        <v>19.568682077726258</v>
      </c>
      <c r="I92" s="532" cm="1">
        <f t="array" aca="1" ref="I92" ca="1">IF(I$21&lt;Standard_Year,'No STDs Case Rev &amp; Cost'!I92,
OFFSET(I92,-3,0)*
OFFSET(MSP!$D$1,
MATCH(OFFSET($C87,((MATCH($C87,EL_List,0)-1)*-10)-1,0),MSP!$C:$C,0)+MATCH($C87,EL_List,0)-1,0)
*INDEX(Learning!$E$6:$S$41,(MATCH(I$21,Dates,0)),(MATCH($C$86,Learning!$E$4:$S$4,0)+MATCH($C$87,Learning!$E$5:$S$5,0)-1)))</f>
        <v>0</v>
      </c>
      <c r="J92" s="532" cm="1">
        <f t="array" aca="1" ref="J92" ca="1">IF(J$21&lt;Standard_Year,'No STDs Case Rev &amp; Cost'!J92,
OFFSET(J92,-3,0)*
OFFSET(MSP!$D$1,
MATCH(OFFSET($C87,((MATCH($C87,EL_List,0)-1)*-10)-1,0),MSP!$C:$C,0)+MATCH($C87,EL_List,0)-1,0)
*INDEX(Learning!$E$6:$S$41,(MATCH(J$21,Dates,0)),(MATCH($C$86,Learning!$E$4:$S$4,0)+MATCH($C$87,Learning!$E$5:$S$5,0)-1)))</f>
        <v>0</v>
      </c>
      <c r="K92" s="532" cm="1">
        <f t="array" aca="1" ref="K92" ca="1">IF(K$21&lt;Standard_Year,'No STDs Case Rev &amp; Cost'!K92,
OFFSET(K92,-3,0)*
OFFSET(MSP!$D$1,
MATCH(OFFSET($C87,((MATCH($C87,EL_List,0)-1)*-10)-1,0),MSP!$C:$C,0)+MATCH($C87,EL_List,0)-1,0)
*INDEX(Learning!$E$6:$S$41,(MATCH(K$21,Dates,0)),(MATCH($C$86,Learning!$E$4:$S$4,0)+MATCH($C$87,Learning!$E$5:$S$5,0)-1)))</f>
        <v>0</v>
      </c>
      <c r="L92" s="532" cm="1">
        <f t="array" aca="1" ref="L92" ca="1">IF(L$21&lt;Standard_Year,'No STDs Case Rev &amp; Cost'!L92,
OFFSET(L92,-3,0)*
OFFSET(MSP!$D$1,
MATCH(OFFSET($C87,((MATCH($C87,EL_List,0)-1)*-10)-1,0),MSP!$C:$C,0)+MATCH($C87,EL_List,0)-1,0)
*INDEX(Learning!$E$6:$S$41,(MATCH(L$21,Dates,0)),(MATCH($C$86,Learning!$E$4:$S$4,0)+MATCH($C$87,Learning!$E$5:$S$5,0)-1)))</f>
        <v>0</v>
      </c>
      <c r="M92" s="532" cm="1">
        <f t="array" aca="1" ref="M92" ca="1">IF(M$21&lt;Standard_Year,'No STDs Case Rev &amp; Cost'!M92,
OFFSET(M92,-3,0)*
OFFSET(MSP!$D$1,
MATCH(OFFSET($C87,((MATCH($C87,EL_List,0)-1)*-10)-1,0),MSP!$C:$C,0)+MATCH($C87,EL_List,0)-1,0)
*INDEX(Learning!$E$6:$S$41,(MATCH(M$21,Dates,0)),(MATCH($C$86,Learning!$E$4:$S$4,0)+MATCH($C$87,Learning!$E$5:$S$5,0)-1)))</f>
        <v>0</v>
      </c>
      <c r="N92" s="532" cm="1">
        <f t="array" aca="1" ref="N92" ca="1">IF(N$21&lt;Standard_Year,'No STDs Case Rev &amp; Cost'!N92,
OFFSET(N92,-3,0)*
OFFSET(MSP!$D$1,
MATCH(OFFSET($C87,((MATCH($C87,EL_List,0)-1)*-10)-1,0),MSP!$C:$C,0)+MATCH($C87,EL_List,0)-1,0)
*INDEX(Learning!$E$6:$S$41,(MATCH(N$21,Dates,0)),(MATCH($C$86,Learning!$E$4:$S$4,0)+MATCH($C$87,Learning!$E$5:$S$5,0)-1)))</f>
        <v>0</v>
      </c>
      <c r="O92" s="532" cm="1">
        <f t="array" aca="1" ref="O92" ca="1">IF(O$21&lt;Standard_Year,'No STDs Case Rev &amp; Cost'!O92,
OFFSET(O92,-3,0)*
OFFSET(MSP!$D$1,
MATCH(OFFSET($C87,((MATCH($C87,EL_List,0)-1)*-10)-1,0),MSP!$C:$C,0)+MATCH($C87,EL_List,0)-1,0)
*INDEX(Learning!$E$6:$S$41,(MATCH(O$21,Dates,0)),(MATCH($C$86,Learning!$E$4:$S$4,0)+MATCH($C$87,Learning!$E$5:$S$5,0)-1)))</f>
        <v>0</v>
      </c>
      <c r="P92" s="532" cm="1">
        <f t="array" aca="1" ref="P92" ca="1">IF(P$21&lt;Standard_Year,'No STDs Case Rev &amp; Cost'!P92,
OFFSET(P92,-3,0)*
OFFSET(MSP!$D$1,
MATCH(OFFSET($C87,((MATCH($C87,EL_List,0)-1)*-10)-1,0),MSP!$C:$C,0)+MATCH($C87,EL_List,0)-1,0)
*INDEX(Learning!$E$6:$S$41,(MATCH(P$21,Dates,0)),(MATCH($C$86,Learning!$E$4:$S$4,0)+MATCH($C$87,Learning!$E$5:$S$5,0)-1)))</f>
        <v>0</v>
      </c>
      <c r="Q92" s="532" cm="1">
        <f t="array" aca="1" ref="Q92" ca="1">IF(Q$21&lt;Standard_Year,'No STDs Case Rev &amp; Cost'!Q92,
OFFSET(Q92,-3,0)*
OFFSET(MSP!$D$1,
MATCH(OFFSET($C87,((MATCH($C87,EL_List,0)-1)*-10)-1,0),MSP!$C:$C,0)+MATCH($C87,EL_List,0)-1,0)
*INDEX(Learning!$E$6:$S$41,(MATCH(Q$21,Dates,0)),(MATCH($C$86,Learning!$E$4:$S$4,0)+MATCH($C$87,Learning!$E$5:$S$5,0)-1)))</f>
        <v>0</v>
      </c>
      <c r="R92" s="532" cm="1">
        <f t="array" aca="1" ref="R92" ca="1">IF(R$21&lt;Standard_Year,'No STDs Case Rev &amp; Cost'!R92,
OFFSET(R92,-3,0)*
OFFSET(MSP!$D$1,
MATCH(OFFSET($C87,((MATCH($C87,EL_List,0)-1)*-10)-1,0),MSP!$C:$C,0)+MATCH($C87,EL_List,0)-1,0)
*INDEX(Learning!$E$6:$S$41,(MATCH(R$21,Dates,0)),(MATCH($C$86,Learning!$E$4:$S$4,0)+MATCH($C$87,Learning!$E$5:$S$5,0)-1)))</f>
        <v>0</v>
      </c>
      <c r="S92" s="532" cm="1">
        <f t="array" aca="1" ref="S92" ca="1">IF(S$21&lt;Standard_Year,'No STDs Case Rev &amp; Cost'!S92,
OFFSET(S92,-3,0)*
OFFSET(MSP!$D$1,
MATCH(OFFSET($C87,((MATCH($C87,EL_List,0)-1)*-10)-1,0),MSP!$C:$C,0)+MATCH($C87,EL_List,0)-1,0)
*INDEX(Learning!$E$6:$S$41,(MATCH(S$21,Dates,0)),(MATCH($C$86,Learning!$E$4:$S$4,0)+MATCH($C$87,Learning!$E$5:$S$5,0)-1)))</f>
        <v>0</v>
      </c>
      <c r="T92" s="532" cm="1">
        <f t="array" aca="1" ref="T92" ca="1">IF(T$21&lt;Standard_Year,'No STDs Case Rev &amp; Cost'!T92,
OFFSET(T92,-3,0)*
OFFSET(MSP!$D$1,
MATCH(OFFSET($C87,((MATCH($C87,EL_List,0)-1)*-10)-1,0),MSP!$C:$C,0)+MATCH($C87,EL_List,0)-1,0)
*INDEX(Learning!$E$6:$S$41,(MATCH(T$21,Dates,0)),(MATCH($C$86,Learning!$E$4:$S$4,0)+MATCH($C$87,Learning!$E$5:$S$5,0)-1)))</f>
        <v>0</v>
      </c>
      <c r="U92" s="532" cm="1">
        <f t="array" aca="1" ref="U92" ca="1">IF(U$21&lt;Standard_Year,'No STDs Case Rev &amp; Cost'!U92,
OFFSET(U92,-3,0)*
OFFSET(MSP!$D$1,
MATCH(OFFSET($C87,((MATCH($C87,EL_List,0)-1)*-10)-1,0),MSP!$C:$C,0)+MATCH($C87,EL_List,0)-1,0)
*INDEX(Learning!$E$6:$S$41,(MATCH(U$21,Dates,0)),(MATCH($C$86,Learning!$E$4:$S$4,0)+MATCH($C$87,Learning!$E$5:$S$5,0)-1)))</f>
        <v>0</v>
      </c>
      <c r="V92" s="532" cm="1">
        <f t="array" aca="1" ref="V92" ca="1">IF(V$21&lt;Standard_Year,'No STDs Case Rev &amp; Cost'!V92,
OFFSET(V92,-3,0)*
OFFSET(MSP!$D$1,
MATCH(OFFSET($C87,((MATCH($C87,EL_List,0)-1)*-10)-1,0),MSP!$C:$C,0)+MATCH($C87,EL_List,0)-1,0)
*INDEX(Learning!$E$6:$S$41,(MATCH(V$21,Dates,0)),(MATCH($C$86,Learning!$E$4:$S$4,0)+MATCH($C$87,Learning!$E$5:$S$5,0)-1)))</f>
        <v>0</v>
      </c>
      <c r="W92" s="532" cm="1">
        <f t="array" aca="1" ref="W92" ca="1">IF(W$21&lt;Standard_Year,'No STDs Case Rev &amp; Cost'!W92,
OFFSET(W92,-3,0)*
OFFSET(MSP!$D$1,
MATCH(OFFSET($C87,((MATCH($C87,EL_List,0)-1)*-10)-1,0),MSP!$C:$C,0)+MATCH($C87,EL_List,0)-1,0)
*INDEX(Learning!$E$6:$S$41,(MATCH(W$21,Dates,0)),(MATCH($C$86,Learning!$E$4:$S$4,0)+MATCH($C$87,Learning!$E$5:$S$5,0)-1)))</f>
        <v>0</v>
      </c>
      <c r="X92" s="532" cm="1">
        <f t="array" aca="1" ref="X92" ca="1">IF(X$21&lt;Standard_Year,'No STDs Case Rev &amp; Cost'!X92,
OFFSET(X92,-3,0)*
OFFSET(MSP!$D$1,
MATCH(OFFSET($C87,((MATCH($C87,EL_List,0)-1)*-10)-1,0),MSP!$C:$C,0)+MATCH($C87,EL_List,0)-1,0)
*INDEX(Learning!$E$6:$S$41,(MATCH(X$21,Dates,0)),(MATCH($C$86,Learning!$E$4:$S$4,0)+MATCH($C$87,Learning!$E$5:$S$5,0)-1)))</f>
        <v>0</v>
      </c>
      <c r="Y92" s="532" cm="1">
        <f t="array" aca="1" ref="Y92" ca="1">IF(Y$21&lt;Standard_Year,'No STDs Case Rev &amp; Cost'!Y92,
OFFSET(Y92,-3,0)*
OFFSET(MSP!$D$1,
MATCH(OFFSET($C87,((MATCH($C87,EL_List,0)-1)*-10)-1,0),MSP!$C:$C,0)+MATCH($C87,EL_List,0)-1,0)
*INDEX(Learning!$E$6:$S$41,(MATCH(Y$21,Dates,0)),(MATCH($C$86,Learning!$E$4:$S$4,0)+MATCH($C$87,Learning!$E$5:$S$5,0)-1)))</f>
        <v>0</v>
      </c>
      <c r="Z92" s="532" cm="1">
        <f t="array" aca="1" ref="Z92" ca="1">IF(Z$21&lt;Standard_Year,'No STDs Case Rev &amp; Cost'!Z92,
OFFSET(Z92,-3,0)*
OFFSET(MSP!$D$1,
MATCH(OFFSET($C87,((MATCH($C87,EL_List,0)-1)*-10)-1,0),MSP!$C:$C,0)+MATCH($C87,EL_List,0)-1,0)
*INDEX(Learning!$E$6:$S$41,(MATCH(Z$21,Dates,0)),(MATCH($C$86,Learning!$E$4:$S$4,0)+MATCH($C$87,Learning!$E$5:$S$5,0)-1)))</f>
        <v>0</v>
      </c>
      <c r="AA92" s="532" cm="1">
        <f t="array" aca="1" ref="AA92" ca="1">IF(AA$21&lt;Standard_Year,'No STDs Case Rev &amp; Cost'!AA92,
OFFSET(AA92,-3,0)*
OFFSET(MSP!$D$1,
MATCH(OFFSET($C87,((MATCH($C87,EL_List,0)-1)*-10)-1,0),MSP!$C:$C,0)+MATCH($C87,EL_List,0)-1,0)
*INDEX(Learning!$E$6:$S$41,(MATCH(AA$21,Dates,0)),(MATCH($C$86,Learning!$E$4:$S$4,0)+MATCH($C$87,Learning!$E$5:$S$5,0)-1)))</f>
        <v>0</v>
      </c>
      <c r="AB92" s="532" cm="1">
        <f t="array" aca="1" ref="AB92" ca="1">IF(AB$21&lt;Standard_Year,'No STDs Case Rev &amp; Cost'!AB92,
OFFSET(AB92,-3,0)*
OFFSET(MSP!$D$1,
MATCH(OFFSET($C87,((MATCH($C87,EL_List,0)-1)*-10)-1,0),MSP!$C:$C,0)+MATCH($C87,EL_List,0)-1,0)
*INDEX(Learning!$E$6:$S$41,(MATCH(AB$21,Dates,0)),(MATCH($C$86,Learning!$E$4:$S$4,0)+MATCH($C$87,Learning!$E$5:$S$5,0)-1)))</f>
        <v>0</v>
      </c>
      <c r="AC92" s="532" cm="1">
        <f t="array" aca="1" ref="AC92" ca="1">IF(AC$21&lt;Standard_Year,'No STDs Case Rev &amp; Cost'!AC92,
OFFSET(AC92,-3,0)*
OFFSET(MSP!$D$1,
MATCH(OFFSET($C87,((MATCH($C87,EL_List,0)-1)*-10)-1,0),MSP!$C:$C,0)+MATCH($C87,EL_List,0)-1,0)
*INDEX(Learning!$E$6:$S$41,(MATCH(AC$21,Dates,0)),(MATCH($C$86,Learning!$E$4:$S$4,0)+MATCH($C$87,Learning!$E$5:$S$5,0)-1)))</f>
        <v>0</v>
      </c>
      <c r="AD92" s="532" cm="1">
        <f t="array" aca="1" ref="AD92" ca="1">IF(AD$21&lt;Standard_Year,'No STDs Case Rev &amp; Cost'!AD92,
OFFSET(AD92,-3,0)*
OFFSET(MSP!$D$1,
MATCH(OFFSET($C87,((MATCH($C87,EL_List,0)-1)*-10)-1,0),MSP!$C:$C,0)+MATCH($C87,EL_List,0)-1,0)
*INDEX(Learning!$E$6:$S$41,(MATCH(AD$21,Dates,0)),(MATCH($C$86,Learning!$E$4:$S$4,0)+MATCH($C$87,Learning!$E$5:$S$5,0)-1)))</f>
        <v>0</v>
      </c>
      <c r="AE92" s="532" cm="1">
        <f t="array" aca="1" ref="AE92" ca="1">IF(AE$21&lt;Standard_Year,'No STDs Case Rev &amp; Cost'!AE92,
OFFSET(AE92,-3,0)*
OFFSET(MSP!$D$1,
MATCH(OFFSET($C87,((MATCH($C87,EL_List,0)-1)*-10)-1,0),MSP!$C:$C,0)+MATCH($C87,EL_List,0)-1,0)
*INDEX(Learning!$E$6:$S$41,(MATCH(AE$21,Dates,0)),(MATCH($C$86,Learning!$E$4:$S$4,0)+MATCH($C$87,Learning!$E$5:$S$5,0)-1)))</f>
        <v>0</v>
      </c>
      <c r="AF92" s="532" cm="1">
        <f t="array" aca="1" ref="AF92" ca="1">IF(AF$21&lt;Standard_Year,'No STDs Case Rev &amp; Cost'!AF92,
OFFSET(AF92,-3,0)*
OFFSET(MSP!$D$1,
MATCH(OFFSET($C87,((MATCH($C87,EL_List,0)-1)*-10)-1,0),MSP!$C:$C,0)+MATCH($C87,EL_List,0)-1,0)
*INDEX(Learning!$E$6:$S$41,(MATCH(AF$21,Dates,0)),(MATCH($C$86,Learning!$E$4:$S$4,0)+MATCH($C$87,Learning!$E$5:$S$5,0)-1)))</f>
        <v>0</v>
      </c>
      <c r="AG92" s="532" cm="1">
        <f t="array" aca="1" ref="AG92" ca="1">IF(AG$21&lt;Standard_Year,'No STDs Case Rev &amp; Cost'!AG92,
OFFSET(AG92,-3,0)*
OFFSET(MSP!$D$1,
MATCH(OFFSET($C87,((MATCH($C87,EL_List,0)-1)*-10)-1,0),MSP!$C:$C,0)+MATCH($C87,EL_List,0)-1,0)
*INDEX(Learning!$E$6:$S$41,(MATCH(AG$21,Dates,0)),(MATCH($C$86,Learning!$E$4:$S$4,0)+MATCH($C$87,Learning!$E$5:$S$5,0)-1)))</f>
        <v>0</v>
      </c>
      <c r="AH92" s="532" cm="1">
        <f t="array" aca="1" ref="AH92" ca="1">IF(AH$21&lt;Standard_Year,'No STDs Case Rev &amp; Cost'!AH92,
OFFSET(AH92,-3,0)*
OFFSET(MSP!$D$1,
MATCH(OFFSET($C87,((MATCH($C87,EL_List,0)-1)*-10)-1,0),MSP!$C:$C,0)+MATCH($C87,EL_List,0)-1,0)
*INDEX(Learning!$E$6:$S$41,(MATCH(AH$21,Dates,0)),(MATCH($C$86,Learning!$E$4:$S$4,0)+MATCH($C$87,Learning!$E$5:$S$5,0)-1)))</f>
        <v>0</v>
      </c>
      <c r="AI92" s="532" cm="1">
        <f t="array" aca="1" ref="AI92" ca="1">IF(AI$21&lt;Standard_Year,'No STDs Case Rev &amp; Cost'!AI92,
OFFSET(AI92,-3,0)*
OFFSET(MSP!$D$1,
MATCH(OFFSET($C87,((MATCH($C87,EL_List,0)-1)*-10)-1,0),MSP!$C:$C,0)+MATCH($C87,EL_List,0)-1,0)
*INDEX(Learning!$E$6:$S$41,(MATCH(AI$21,Dates,0)),(MATCH($C$86,Learning!$E$4:$S$4,0)+MATCH($C$87,Learning!$E$5:$S$5,0)-1)))</f>
        <v>0</v>
      </c>
      <c r="AJ92" s="532" cm="1">
        <f t="array" aca="1" ref="AJ92" ca="1">IF(AJ$21&lt;Standard_Year,'No STDs Case Rev &amp; Cost'!AJ92,
OFFSET(AJ92,-3,0)*
OFFSET(MSP!$D$1,
MATCH(OFFSET($C87,((MATCH($C87,EL_List,0)-1)*-10)-1,0),MSP!$C:$C,0)+MATCH($C87,EL_List,0)-1,0)
*INDEX(Learning!$E$6:$S$41,(MATCH(AJ$21,Dates,0)),(MATCH($C$86,Learning!$E$4:$S$4,0)+MATCH($C$87,Learning!$E$5:$S$5,0)-1)))</f>
        <v>0</v>
      </c>
      <c r="AK92" s="532" cm="1">
        <f t="array" aca="1" ref="AK92" ca="1">IF(AK$21&lt;Standard_Year,'No STDs Case Rev &amp; Cost'!AK92,
OFFSET(AK92,-3,0)*
OFFSET(MSP!$D$1,
MATCH(OFFSET($C87,((MATCH($C87,EL_List,0)-1)*-10)-1,0),MSP!$C:$C,0)+MATCH($C87,EL_List,0)-1,0)
*INDEX(Learning!$E$6:$S$41,(MATCH(AK$21,Dates,0)),(MATCH($C$86,Learning!$E$4:$S$4,0)+MATCH($C$87,Learning!$E$5:$S$5,0)-1)))</f>
        <v>0</v>
      </c>
      <c r="AL92" s="532" cm="1">
        <f t="array" aca="1" ref="AL92" ca="1">IF(AL$21&lt;Standard_Year,'No STDs Case Rev &amp; Cost'!AL92,
OFFSET(AL92,-3,0)*
OFFSET(MSP!$D$1,
MATCH(OFFSET($C87,((MATCH($C87,EL_List,0)-1)*-10)-1,0),MSP!$C:$C,0)+MATCH($C87,EL_List,0)-1,0)
*INDEX(Learning!$E$6:$S$41,(MATCH(AL$21,Dates,0)),(MATCH($C$86,Learning!$E$4:$S$4,0)+MATCH($C$87,Learning!$E$5:$S$5,0)-1)))</f>
        <v>0</v>
      </c>
      <c r="AM92" s="532" cm="1">
        <f t="array" aca="1" ref="AM92" ca="1">IF(AM$21&lt;Standard_Year,'No STDs Case Rev &amp; Cost'!AM92,
OFFSET(AM92,-3,0)*
OFFSET(MSP!$D$1,
MATCH(OFFSET($C87,((MATCH($C87,EL_List,0)-1)*-10)-1,0),MSP!$C:$C,0)+MATCH($C87,EL_List,0)-1,0)
*INDEX(Learning!$E$6:$S$41,(MATCH(AM$21,Dates,0)),(MATCH($C$86,Learning!$E$4:$S$4,0)+MATCH($C$87,Learning!$E$5:$S$5,0)-1)))</f>
        <v>0</v>
      </c>
      <c r="AN92" s="532" cm="1">
        <f t="array" aca="1" ref="AN92" ca="1">IF(AN$21&lt;Standard_Year,'No STDs Case Rev &amp; Cost'!AN92,
OFFSET(AN92,-3,0)*
OFFSET(MSP!$D$1,
MATCH(OFFSET($C87,((MATCH($C87,EL_List,0)-1)*-10)-1,0),MSP!$C:$C,0)+MATCH($C87,EL_List,0)-1,0)
*INDEX(Learning!$E$6:$S$41,(MATCH(AN$21,Dates,0)),(MATCH($C$86,Learning!$E$4:$S$4,0)+MATCH($C$87,Learning!$E$5:$S$5,0)-1)))</f>
        <v>0</v>
      </c>
      <c r="AO92" s="436"/>
      <c r="AP92" s="21"/>
    </row>
    <row r="93" spans="2:42" ht="15" customHeight="1" x14ac:dyDescent="0.35">
      <c r="B93" s="429"/>
      <c r="C93" s="780" t="s">
        <v>213</v>
      </c>
      <c r="D93" s="776"/>
      <c r="E93" s="533" cm="1">
        <f t="array" aca="1" ref="E93" ca="1">IF(E$21&lt;Standard_Year,'No STDs Case Rev &amp; Cost'!E93,
OFFSET(E93,-4,0)*
OFFSET(MSP!$E$1,
MATCH(OFFSET($C87,((MATCH($C87,EL_List,0)-1)*-10)-1,0),MSP!$C:$C,0)+MATCH($C87,EL_List,0)-1,0)
*INDEX(Learning!$E$6:$S$41,(MATCH(E$21,Dates,0)),(MATCH($C$86,Learning!$E$4:$S$4,0)+MATCH($C$87,Learning!$E$5:$S$5,0)-1)))</f>
        <v>0.46892893833402061</v>
      </c>
      <c r="F93" s="533" cm="1">
        <f t="array" aca="1" ref="F93" ca="1">IF(F$21&lt;Standard_Year,'No STDs Case Rev &amp; Cost'!F93,
OFFSET(F93,-4,0)*
OFFSET(MSP!$E$1,
MATCH(OFFSET($C87,((MATCH($C87,EL_List,0)-1)*-10)-1,0),MSP!$C:$C,0)+MATCH($C87,EL_List,0)-1,0)
*INDEX(Learning!$E$6:$S$41,(MATCH(F$21,Dates,0)),(MATCH($C$86,Learning!$E$4:$S$4,0)+MATCH($C$87,Learning!$E$5:$S$5,0)-1)))</f>
        <v>0.48613393085251927</v>
      </c>
      <c r="G93" s="533" cm="1">
        <f t="array" aca="1" ref="G93" ca="1">IF(G$21&lt;Standard_Year,'No STDs Case Rev &amp; Cost'!G93,
OFFSET(G93,-4,0)*
OFFSET(MSP!$E$1,
MATCH(OFFSET($C87,((MATCH($C87,EL_List,0)-1)*-10)-1,0),MSP!$C:$C,0)+MATCH($C87,EL_List,0)-1,0)
*INDEX(Learning!$E$6:$S$41,(MATCH(G$21,Dates,0)),(MATCH($C$86,Learning!$E$4:$S$4,0)+MATCH($C$87,Learning!$E$5:$S$5,0)-1)))</f>
        <v>0.5013601876638647</v>
      </c>
      <c r="H93" s="533" cm="1">
        <f t="array" aca="1" ref="H93" ca="1">IF(H$21&lt;Standard_Year,'No STDs Case Rev &amp; Cost'!H93,
OFFSET(H93,-4,0)*
OFFSET(MSP!$E$1,
MATCH(OFFSET($C87,((MATCH($C87,EL_List,0)-1)*-10)-1,0),MSP!$C:$C,0)+MATCH($C87,EL_List,0)-1,0)
*INDEX(Learning!$E$6:$S$41,(MATCH(H$21,Dates,0)),(MATCH($C$86,Learning!$E$4:$S$4,0)+MATCH($C$87,Learning!$E$5:$S$5,0)-1)))</f>
        <v>0.52132433826298186</v>
      </c>
      <c r="I93" s="533" cm="1">
        <f t="array" aca="1" ref="I93" ca="1">IF(I$21&lt;Standard_Year,'No STDs Case Rev &amp; Cost'!I93,
OFFSET(I93,-4,0)*
OFFSET(MSP!$E$1,
MATCH(OFFSET($C87,((MATCH($C87,EL_List,0)-1)*-10)-1,0),MSP!$C:$C,0)+MATCH($C87,EL_List,0)-1,0)
*INDEX(Learning!$E$6:$S$41,(MATCH(I$21,Dates,0)),(MATCH($C$86,Learning!$E$4:$S$4,0)+MATCH($C$87,Learning!$E$5:$S$5,0)-1)))</f>
        <v>0</v>
      </c>
      <c r="J93" s="533" cm="1">
        <f t="array" aca="1" ref="J93" ca="1">IF(J$21&lt;Standard_Year,'No STDs Case Rev &amp; Cost'!J93,
OFFSET(J93,-4,0)*
OFFSET(MSP!$E$1,
MATCH(OFFSET($C87,((MATCH($C87,EL_List,0)-1)*-10)-1,0),MSP!$C:$C,0)+MATCH($C87,EL_List,0)-1,0)
*INDEX(Learning!$E$6:$S$41,(MATCH(J$21,Dates,0)),(MATCH($C$86,Learning!$E$4:$S$4,0)+MATCH($C$87,Learning!$E$5:$S$5,0)-1)))</f>
        <v>0</v>
      </c>
      <c r="K93" s="533" cm="1">
        <f t="array" aca="1" ref="K93" ca="1">IF(K$21&lt;Standard_Year,'No STDs Case Rev &amp; Cost'!K93,
OFFSET(K93,-4,0)*
OFFSET(MSP!$E$1,
MATCH(OFFSET($C87,((MATCH($C87,EL_List,0)-1)*-10)-1,0),MSP!$C:$C,0)+MATCH($C87,EL_List,0)-1,0)
*INDEX(Learning!$E$6:$S$41,(MATCH(K$21,Dates,0)),(MATCH($C$86,Learning!$E$4:$S$4,0)+MATCH($C$87,Learning!$E$5:$S$5,0)-1)))</f>
        <v>0</v>
      </c>
      <c r="L93" s="533" cm="1">
        <f t="array" aca="1" ref="L93" ca="1">IF(L$21&lt;Standard_Year,'No STDs Case Rev &amp; Cost'!L93,
OFFSET(L93,-4,0)*
OFFSET(MSP!$E$1,
MATCH(OFFSET($C87,((MATCH($C87,EL_List,0)-1)*-10)-1,0),MSP!$C:$C,0)+MATCH($C87,EL_List,0)-1,0)
*INDEX(Learning!$E$6:$S$41,(MATCH(L$21,Dates,0)),(MATCH($C$86,Learning!$E$4:$S$4,0)+MATCH($C$87,Learning!$E$5:$S$5,0)-1)))</f>
        <v>0</v>
      </c>
      <c r="M93" s="533" cm="1">
        <f t="array" aca="1" ref="M93" ca="1">IF(M$21&lt;Standard_Year,'No STDs Case Rev &amp; Cost'!M93,
OFFSET(M93,-4,0)*
OFFSET(MSP!$E$1,
MATCH(OFFSET($C87,((MATCH($C87,EL_List,0)-1)*-10)-1,0),MSP!$C:$C,0)+MATCH($C87,EL_List,0)-1,0)
*INDEX(Learning!$E$6:$S$41,(MATCH(M$21,Dates,0)),(MATCH($C$86,Learning!$E$4:$S$4,0)+MATCH($C$87,Learning!$E$5:$S$5,0)-1)))</f>
        <v>0</v>
      </c>
      <c r="N93" s="533" cm="1">
        <f t="array" aca="1" ref="N93" ca="1">IF(N$21&lt;Standard_Year,'No STDs Case Rev &amp; Cost'!N93,
OFFSET(N93,-4,0)*
OFFSET(MSP!$E$1,
MATCH(OFFSET($C87,((MATCH($C87,EL_List,0)-1)*-10)-1,0),MSP!$C:$C,0)+MATCH($C87,EL_List,0)-1,0)
*INDEX(Learning!$E$6:$S$41,(MATCH(N$21,Dates,0)),(MATCH($C$86,Learning!$E$4:$S$4,0)+MATCH($C$87,Learning!$E$5:$S$5,0)-1)))</f>
        <v>0</v>
      </c>
      <c r="O93" s="533" cm="1">
        <f t="array" aca="1" ref="O93" ca="1">IF(O$21&lt;Standard_Year,'No STDs Case Rev &amp; Cost'!O93,
OFFSET(O93,-4,0)*
OFFSET(MSP!$E$1,
MATCH(OFFSET($C87,((MATCH($C87,EL_List,0)-1)*-10)-1,0),MSP!$C:$C,0)+MATCH($C87,EL_List,0)-1,0)
*INDEX(Learning!$E$6:$S$41,(MATCH(O$21,Dates,0)),(MATCH($C$86,Learning!$E$4:$S$4,0)+MATCH($C$87,Learning!$E$5:$S$5,0)-1)))</f>
        <v>0</v>
      </c>
      <c r="P93" s="533" cm="1">
        <f t="array" aca="1" ref="P93" ca="1">IF(P$21&lt;Standard_Year,'No STDs Case Rev &amp; Cost'!P93,
OFFSET(P93,-4,0)*
OFFSET(MSP!$E$1,
MATCH(OFFSET($C87,((MATCH($C87,EL_List,0)-1)*-10)-1,0),MSP!$C:$C,0)+MATCH($C87,EL_List,0)-1,0)
*INDEX(Learning!$E$6:$S$41,(MATCH(P$21,Dates,0)),(MATCH($C$86,Learning!$E$4:$S$4,0)+MATCH($C$87,Learning!$E$5:$S$5,0)-1)))</f>
        <v>0</v>
      </c>
      <c r="Q93" s="533" cm="1">
        <f t="array" aca="1" ref="Q93" ca="1">IF(Q$21&lt;Standard_Year,'No STDs Case Rev &amp; Cost'!Q93,
OFFSET(Q93,-4,0)*
OFFSET(MSP!$E$1,
MATCH(OFFSET($C87,((MATCH($C87,EL_List,0)-1)*-10)-1,0),MSP!$C:$C,0)+MATCH($C87,EL_List,0)-1,0)
*INDEX(Learning!$E$6:$S$41,(MATCH(Q$21,Dates,0)),(MATCH($C$86,Learning!$E$4:$S$4,0)+MATCH($C$87,Learning!$E$5:$S$5,0)-1)))</f>
        <v>0</v>
      </c>
      <c r="R93" s="533" cm="1">
        <f t="array" aca="1" ref="R93" ca="1">IF(R$21&lt;Standard_Year,'No STDs Case Rev &amp; Cost'!R93,
OFFSET(R93,-4,0)*
OFFSET(MSP!$E$1,
MATCH(OFFSET($C87,((MATCH($C87,EL_List,0)-1)*-10)-1,0),MSP!$C:$C,0)+MATCH($C87,EL_List,0)-1,0)
*INDEX(Learning!$E$6:$S$41,(MATCH(R$21,Dates,0)),(MATCH($C$86,Learning!$E$4:$S$4,0)+MATCH($C$87,Learning!$E$5:$S$5,0)-1)))</f>
        <v>0</v>
      </c>
      <c r="S93" s="533" cm="1">
        <f t="array" aca="1" ref="S93" ca="1">IF(S$21&lt;Standard_Year,'No STDs Case Rev &amp; Cost'!S93,
OFFSET(S93,-4,0)*
OFFSET(MSP!$E$1,
MATCH(OFFSET($C87,((MATCH($C87,EL_List,0)-1)*-10)-1,0),MSP!$C:$C,0)+MATCH($C87,EL_List,0)-1,0)
*INDEX(Learning!$E$6:$S$41,(MATCH(S$21,Dates,0)),(MATCH($C$86,Learning!$E$4:$S$4,0)+MATCH($C$87,Learning!$E$5:$S$5,0)-1)))</f>
        <v>0</v>
      </c>
      <c r="T93" s="533" cm="1">
        <f t="array" aca="1" ref="T93" ca="1">IF(T$21&lt;Standard_Year,'No STDs Case Rev &amp; Cost'!T93,
OFFSET(T93,-4,0)*
OFFSET(MSP!$E$1,
MATCH(OFFSET($C87,((MATCH($C87,EL_List,0)-1)*-10)-1,0),MSP!$C:$C,0)+MATCH($C87,EL_List,0)-1,0)
*INDEX(Learning!$E$6:$S$41,(MATCH(T$21,Dates,0)),(MATCH($C$86,Learning!$E$4:$S$4,0)+MATCH($C$87,Learning!$E$5:$S$5,0)-1)))</f>
        <v>0</v>
      </c>
      <c r="U93" s="533" cm="1">
        <f t="array" aca="1" ref="U93" ca="1">IF(U$21&lt;Standard_Year,'No STDs Case Rev &amp; Cost'!U93,
OFFSET(U93,-4,0)*
OFFSET(MSP!$E$1,
MATCH(OFFSET($C87,((MATCH($C87,EL_List,0)-1)*-10)-1,0),MSP!$C:$C,0)+MATCH($C87,EL_List,0)-1,0)
*INDEX(Learning!$E$6:$S$41,(MATCH(U$21,Dates,0)),(MATCH($C$86,Learning!$E$4:$S$4,0)+MATCH($C$87,Learning!$E$5:$S$5,0)-1)))</f>
        <v>0</v>
      </c>
      <c r="V93" s="533" cm="1">
        <f t="array" aca="1" ref="V93" ca="1">IF(V$21&lt;Standard_Year,'No STDs Case Rev &amp; Cost'!V93,
OFFSET(V93,-4,0)*
OFFSET(MSP!$E$1,
MATCH(OFFSET($C87,((MATCH($C87,EL_List,0)-1)*-10)-1,0),MSP!$C:$C,0)+MATCH($C87,EL_List,0)-1,0)
*INDEX(Learning!$E$6:$S$41,(MATCH(V$21,Dates,0)),(MATCH($C$86,Learning!$E$4:$S$4,0)+MATCH($C$87,Learning!$E$5:$S$5,0)-1)))</f>
        <v>0</v>
      </c>
      <c r="W93" s="533" cm="1">
        <f t="array" aca="1" ref="W93" ca="1">IF(W$21&lt;Standard_Year,'No STDs Case Rev &amp; Cost'!W93,
OFFSET(W93,-4,0)*
OFFSET(MSP!$E$1,
MATCH(OFFSET($C87,((MATCH($C87,EL_List,0)-1)*-10)-1,0),MSP!$C:$C,0)+MATCH($C87,EL_List,0)-1,0)
*INDEX(Learning!$E$6:$S$41,(MATCH(W$21,Dates,0)),(MATCH($C$86,Learning!$E$4:$S$4,0)+MATCH($C$87,Learning!$E$5:$S$5,0)-1)))</f>
        <v>0</v>
      </c>
      <c r="X93" s="533" cm="1">
        <f t="array" aca="1" ref="X93" ca="1">IF(X$21&lt;Standard_Year,'No STDs Case Rev &amp; Cost'!X93,
OFFSET(X93,-4,0)*
OFFSET(MSP!$E$1,
MATCH(OFFSET($C87,((MATCH($C87,EL_List,0)-1)*-10)-1,0),MSP!$C:$C,0)+MATCH($C87,EL_List,0)-1,0)
*INDEX(Learning!$E$6:$S$41,(MATCH(X$21,Dates,0)),(MATCH($C$86,Learning!$E$4:$S$4,0)+MATCH($C$87,Learning!$E$5:$S$5,0)-1)))</f>
        <v>0</v>
      </c>
      <c r="Y93" s="533" cm="1">
        <f t="array" aca="1" ref="Y93" ca="1">IF(Y$21&lt;Standard_Year,'No STDs Case Rev &amp; Cost'!Y93,
OFFSET(Y93,-4,0)*
OFFSET(MSP!$E$1,
MATCH(OFFSET($C87,((MATCH($C87,EL_List,0)-1)*-10)-1,0),MSP!$C:$C,0)+MATCH($C87,EL_List,0)-1,0)
*INDEX(Learning!$E$6:$S$41,(MATCH(Y$21,Dates,0)),(MATCH($C$86,Learning!$E$4:$S$4,0)+MATCH($C$87,Learning!$E$5:$S$5,0)-1)))</f>
        <v>0</v>
      </c>
      <c r="Z93" s="533" cm="1">
        <f t="array" aca="1" ref="Z93" ca="1">IF(Z$21&lt;Standard_Year,'No STDs Case Rev &amp; Cost'!Z93,
OFFSET(Z93,-4,0)*
OFFSET(MSP!$E$1,
MATCH(OFFSET($C87,((MATCH($C87,EL_List,0)-1)*-10)-1,0),MSP!$C:$C,0)+MATCH($C87,EL_List,0)-1,0)
*INDEX(Learning!$E$6:$S$41,(MATCH(Z$21,Dates,0)),(MATCH($C$86,Learning!$E$4:$S$4,0)+MATCH($C$87,Learning!$E$5:$S$5,0)-1)))</f>
        <v>0</v>
      </c>
      <c r="AA93" s="533" cm="1">
        <f t="array" aca="1" ref="AA93" ca="1">IF(AA$21&lt;Standard_Year,'No STDs Case Rev &amp; Cost'!AA93,
OFFSET(AA93,-4,0)*
OFFSET(MSP!$E$1,
MATCH(OFFSET($C87,((MATCH($C87,EL_List,0)-1)*-10)-1,0),MSP!$C:$C,0)+MATCH($C87,EL_List,0)-1,0)
*INDEX(Learning!$E$6:$S$41,(MATCH(AA$21,Dates,0)),(MATCH($C$86,Learning!$E$4:$S$4,0)+MATCH($C$87,Learning!$E$5:$S$5,0)-1)))</f>
        <v>0</v>
      </c>
      <c r="AB93" s="533" cm="1">
        <f t="array" aca="1" ref="AB93" ca="1">IF(AB$21&lt;Standard_Year,'No STDs Case Rev &amp; Cost'!AB93,
OFFSET(AB93,-4,0)*
OFFSET(MSP!$E$1,
MATCH(OFFSET($C87,((MATCH($C87,EL_List,0)-1)*-10)-1,0),MSP!$C:$C,0)+MATCH($C87,EL_List,0)-1,0)
*INDEX(Learning!$E$6:$S$41,(MATCH(AB$21,Dates,0)),(MATCH($C$86,Learning!$E$4:$S$4,0)+MATCH($C$87,Learning!$E$5:$S$5,0)-1)))</f>
        <v>0</v>
      </c>
      <c r="AC93" s="533" cm="1">
        <f t="array" aca="1" ref="AC93" ca="1">IF(AC$21&lt;Standard_Year,'No STDs Case Rev &amp; Cost'!AC93,
OFFSET(AC93,-4,0)*
OFFSET(MSP!$E$1,
MATCH(OFFSET($C87,((MATCH($C87,EL_List,0)-1)*-10)-1,0),MSP!$C:$C,0)+MATCH($C87,EL_List,0)-1,0)
*INDEX(Learning!$E$6:$S$41,(MATCH(AC$21,Dates,0)),(MATCH($C$86,Learning!$E$4:$S$4,0)+MATCH($C$87,Learning!$E$5:$S$5,0)-1)))</f>
        <v>0</v>
      </c>
      <c r="AD93" s="533" cm="1">
        <f t="array" aca="1" ref="AD93" ca="1">IF(AD$21&lt;Standard_Year,'No STDs Case Rev &amp; Cost'!AD93,
OFFSET(AD93,-4,0)*
OFFSET(MSP!$E$1,
MATCH(OFFSET($C87,((MATCH($C87,EL_List,0)-1)*-10)-1,0),MSP!$C:$C,0)+MATCH($C87,EL_List,0)-1,0)
*INDEX(Learning!$E$6:$S$41,(MATCH(AD$21,Dates,0)),(MATCH($C$86,Learning!$E$4:$S$4,0)+MATCH($C$87,Learning!$E$5:$S$5,0)-1)))</f>
        <v>0</v>
      </c>
      <c r="AE93" s="533" cm="1">
        <f t="array" aca="1" ref="AE93" ca="1">IF(AE$21&lt;Standard_Year,'No STDs Case Rev &amp; Cost'!AE93,
OFFSET(AE93,-4,0)*
OFFSET(MSP!$E$1,
MATCH(OFFSET($C87,((MATCH($C87,EL_List,0)-1)*-10)-1,0),MSP!$C:$C,0)+MATCH($C87,EL_List,0)-1,0)
*INDEX(Learning!$E$6:$S$41,(MATCH(AE$21,Dates,0)),(MATCH($C$86,Learning!$E$4:$S$4,0)+MATCH($C$87,Learning!$E$5:$S$5,0)-1)))</f>
        <v>0</v>
      </c>
      <c r="AF93" s="533" cm="1">
        <f t="array" aca="1" ref="AF93" ca="1">IF(AF$21&lt;Standard_Year,'No STDs Case Rev &amp; Cost'!AF93,
OFFSET(AF93,-4,0)*
OFFSET(MSP!$E$1,
MATCH(OFFSET($C87,((MATCH($C87,EL_List,0)-1)*-10)-1,0),MSP!$C:$C,0)+MATCH($C87,EL_List,0)-1,0)
*INDEX(Learning!$E$6:$S$41,(MATCH(AF$21,Dates,0)),(MATCH($C$86,Learning!$E$4:$S$4,0)+MATCH($C$87,Learning!$E$5:$S$5,0)-1)))</f>
        <v>0</v>
      </c>
      <c r="AG93" s="533" cm="1">
        <f t="array" aca="1" ref="AG93" ca="1">IF(AG$21&lt;Standard_Year,'No STDs Case Rev &amp; Cost'!AG93,
OFFSET(AG93,-4,0)*
OFFSET(MSP!$E$1,
MATCH(OFFSET($C87,((MATCH($C87,EL_List,0)-1)*-10)-1,0),MSP!$C:$C,0)+MATCH($C87,EL_List,0)-1,0)
*INDEX(Learning!$E$6:$S$41,(MATCH(AG$21,Dates,0)),(MATCH($C$86,Learning!$E$4:$S$4,0)+MATCH($C$87,Learning!$E$5:$S$5,0)-1)))</f>
        <v>0</v>
      </c>
      <c r="AH93" s="533" cm="1">
        <f t="array" aca="1" ref="AH93" ca="1">IF(AH$21&lt;Standard_Year,'No STDs Case Rev &amp; Cost'!AH93,
OFFSET(AH93,-4,0)*
OFFSET(MSP!$E$1,
MATCH(OFFSET($C87,((MATCH($C87,EL_List,0)-1)*-10)-1,0),MSP!$C:$C,0)+MATCH($C87,EL_List,0)-1,0)
*INDEX(Learning!$E$6:$S$41,(MATCH(AH$21,Dates,0)),(MATCH($C$86,Learning!$E$4:$S$4,0)+MATCH($C$87,Learning!$E$5:$S$5,0)-1)))</f>
        <v>0</v>
      </c>
      <c r="AI93" s="533" cm="1">
        <f t="array" aca="1" ref="AI93" ca="1">IF(AI$21&lt;Standard_Year,'No STDs Case Rev &amp; Cost'!AI93,
OFFSET(AI93,-4,0)*
OFFSET(MSP!$E$1,
MATCH(OFFSET($C87,((MATCH($C87,EL_List,0)-1)*-10)-1,0),MSP!$C:$C,0)+MATCH($C87,EL_List,0)-1,0)
*INDEX(Learning!$E$6:$S$41,(MATCH(AI$21,Dates,0)),(MATCH($C$86,Learning!$E$4:$S$4,0)+MATCH($C$87,Learning!$E$5:$S$5,0)-1)))</f>
        <v>0</v>
      </c>
      <c r="AJ93" s="533" cm="1">
        <f t="array" aca="1" ref="AJ93" ca="1">IF(AJ$21&lt;Standard_Year,'No STDs Case Rev &amp; Cost'!AJ93,
OFFSET(AJ93,-4,0)*
OFFSET(MSP!$E$1,
MATCH(OFFSET($C87,((MATCH($C87,EL_List,0)-1)*-10)-1,0),MSP!$C:$C,0)+MATCH($C87,EL_List,0)-1,0)
*INDEX(Learning!$E$6:$S$41,(MATCH(AJ$21,Dates,0)),(MATCH($C$86,Learning!$E$4:$S$4,0)+MATCH($C$87,Learning!$E$5:$S$5,0)-1)))</f>
        <v>0</v>
      </c>
      <c r="AK93" s="533" cm="1">
        <f t="array" aca="1" ref="AK93" ca="1">IF(AK$21&lt;Standard_Year,'No STDs Case Rev &amp; Cost'!AK93,
OFFSET(AK93,-4,0)*
OFFSET(MSP!$E$1,
MATCH(OFFSET($C87,((MATCH($C87,EL_List,0)-1)*-10)-1,0),MSP!$C:$C,0)+MATCH($C87,EL_List,0)-1,0)
*INDEX(Learning!$E$6:$S$41,(MATCH(AK$21,Dates,0)),(MATCH($C$86,Learning!$E$4:$S$4,0)+MATCH($C$87,Learning!$E$5:$S$5,0)-1)))</f>
        <v>0</v>
      </c>
      <c r="AL93" s="533" cm="1">
        <f t="array" aca="1" ref="AL93" ca="1">IF(AL$21&lt;Standard_Year,'No STDs Case Rev &amp; Cost'!AL93,
OFFSET(AL93,-4,0)*
OFFSET(MSP!$E$1,
MATCH(OFFSET($C87,((MATCH($C87,EL_List,0)-1)*-10)-1,0),MSP!$C:$C,0)+MATCH($C87,EL_List,0)-1,0)
*INDEX(Learning!$E$6:$S$41,(MATCH(AL$21,Dates,0)),(MATCH($C$86,Learning!$E$4:$S$4,0)+MATCH($C$87,Learning!$E$5:$S$5,0)-1)))</f>
        <v>0</v>
      </c>
      <c r="AM93" s="533" cm="1">
        <f t="array" aca="1" ref="AM93" ca="1">IF(AM$21&lt;Standard_Year,'No STDs Case Rev &amp; Cost'!AM93,
OFFSET(AM93,-4,0)*
OFFSET(MSP!$E$1,
MATCH(OFFSET($C87,((MATCH($C87,EL_List,0)-1)*-10)-1,0),MSP!$C:$C,0)+MATCH($C87,EL_List,0)-1,0)
*INDEX(Learning!$E$6:$S$41,(MATCH(AM$21,Dates,0)),(MATCH($C$86,Learning!$E$4:$S$4,0)+MATCH($C$87,Learning!$E$5:$S$5,0)-1)))</f>
        <v>0</v>
      </c>
      <c r="AN93" s="533" cm="1">
        <f t="array" aca="1" ref="AN93" ca="1">IF(AN$21&lt;Standard_Year,'No STDs Case Rev &amp; Cost'!AN93,
OFFSET(AN93,-4,0)*
OFFSET(MSP!$E$1,
MATCH(OFFSET($C87,((MATCH($C87,EL_List,0)-1)*-10)-1,0),MSP!$C:$C,0)+MATCH($C87,EL_List,0)-1,0)
*INDEX(Learning!$E$6:$S$41,(MATCH(AN$21,Dates,0)),(MATCH($C$86,Learning!$E$4:$S$4,0)+MATCH($C$87,Learning!$E$5:$S$5,0)-1)))</f>
        <v>0</v>
      </c>
      <c r="AO93" s="436"/>
      <c r="AP93" s="21"/>
    </row>
    <row r="94" spans="2:42" ht="15" customHeight="1" x14ac:dyDescent="0.35">
      <c r="B94" s="429"/>
      <c r="C94" s="780" t="s">
        <v>214</v>
      </c>
      <c r="D94" s="776"/>
      <c r="E94" s="533" cm="1">
        <f t="array" aca="1" ref="E94" ca="1">IF(E$21&lt;Standard_Year,'No STDs Case Rev &amp; Cost'!E94,
OFFSET(E94,-5,0)*
OFFSET(MSP!$F$1,
MATCH(OFFSET($C87,((MATCH($C87,EL_List,0)-1)*-10)-1,0),MSP!$C:$C,0)+MATCH($C87,EL_List,0)-1,0)
*INDEX(Learning!$E$6:$S$41,(MATCH(E$21,Dates,0)),(MATCH($C$86,Learning!$E$4:$S$4,0)+MATCH($C$87,Learning!$E$5:$S$5,0)-1)))</f>
        <v>1.0054248515969249</v>
      </c>
      <c r="F94" s="533" cm="1">
        <f t="array" aca="1" ref="F94" ca="1">IF(F$21&lt;Standard_Year,'No STDs Case Rev &amp; Cost'!F94,
OFFSET(F94,-5,0)*
OFFSET(MSP!$F$1,
MATCH(OFFSET($C87,((MATCH($C87,EL_List,0)-1)*-10)-1,0),MSP!$C:$C,0)+MATCH($C87,EL_List,0)-1,0)
*INDEX(Learning!$E$6:$S$41,(MATCH(F$21,Dates,0)),(MATCH($C$86,Learning!$E$4:$S$4,0)+MATCH($C$87,Learning!$E$5:$S$5,0)-1)))</f>
        <v>1.0423138674701915</v>
      </c>
      <c r="G94" s="533" cm="1">
        <f t="array" aca="1" ref="G94" ca="1">IF(G$21&lt;Standard_Year,'No STDs Case Rev &amp; Cost'!G94,
OFFSET(G94,-5,0)*
OFFSET(MSP!$F$1,
MATCH(OFFSET($C87,((MATCH($C87,EL_List,0)-1)*-10)-1,0),MSP!$C:$C,0)+MATCH($C87,EL_List,0)-1,0)
*INDEX(Learning!$E$6:$S$41,(MATCH(G$21,Dates,0)),(MATCH($C$86,Learning!$E$4:$S$4,0)+MATCH($C$87,Learning!$E$5:$S$5,0)-1)))</f>
        <v>1.074960300103059</v>
      </c>
      <c r="H94" s="533" cm="1">
        <f t="array" aca="1" ref="H94" ca="1">IF(H$21&lt;Standard_Year,'No STDs Case Rev &amp; Cost'!H94,
OFFSET(H94,-5,0)*
OFFSET(MSP!$F$1,
MATCH(OFFSET($C87,((MATCH($C87,EL_List,0)-1)*-10)-1,0),MSP!$C:$C,0)+MATCH($C87,EL_List,0)-1,0)
*INDEX(Learning!$E$6:$S$41,(MATCH(H$21,Dates,0)),(MATCH($C$86,Learning!$E$4:$S$4,0)+MATCH($C$87,Learning!$E$5:$S$5,0)-1)))</f>
        <v>1.1177651933661794</v>
      </c>
      <c r="I94" s="533" cm="1">
        <f t="array" aca="1" ref="I94" ca="1">IF(I$21&lt;Standard_Year,'No STDs Case Rev &amp; Cost'!I94,
OFFSET(I94,-5,0)*
OFFSET(MSP!$F$1,
MATCH(OFFSET($C87,((MATCH($C87,EL_List,0)-1)*-10)-1,0),MSP!$C:$C,0)+MATCH($C87,EL_List,0)-1,0)
*INDEX(Learning!$E$6:$S$41,(MATCH(I$21,Dates,0)),(MATCH($C$86,Learning!$E$4:$S$4,0)+MATCH($C$87,Learning!$E$5:$S$5,0)-1)))</f>
        <v>0</v>
      </c>
      <c r="J94" s="533" cm="1">
        <f t="array" aca="1" ref="J94" ca="1">IF(J$21&lt;Standard_Year,'No STDs Case Rev &amp; Cost'!J94,
OFFSET(J94,-5,0)*
OFFSET(MSP!$F$1,
MATCH(OFFSET($C87,((MATCH($C87,EL_List,0)-1)*-10)-1,0),MSP!$C:$C,0)+MATCH($C87,EL_List,0)-1,0)
*INDEX(Learning!$E$6:$S$41,(MATCH(J$21,Dates,0)),(MATCH($C$86,Learning!$E$4:$S$4,0)+MATCH($C$87,Learning!$E$5:$S$5,0)-1)))</f>
        <v>0</v>
      </c>
      <c r="K94" s="533" cm="1">
        <f t="array" aca="1" ref="K94" ca="1">IF(K$21&lt;Standard_Year,'No STDs Case Rev &amp; Cost'!K94,
OFFSET(K94,-5,0)*
OFFSET(MSP!$F$1,
MATCH(OFFSET($C87,((MATCH($C87,EL_List,0)-1)*-10)-1,0),MSP!$C:$C,0)+MATCH($C87,EL_List,0)-1,0)
*INDEX(Learning!$E$6:$S$41,(MATCH(K$21,Dates,0)),(MATCH($C$86,Learning!$E$4:$S$4,0)+MATCH($C$87,Learning!$E$5:$S$5,0)-1)))</f>
        <v>0</v>
      </c>
      <c r="L94" s="533" cm="1">
        <f t="array" aca="1" ref="L94" ca="1">IF(L$21&lt;Standard_Year,'No STDs Case Rev &amp; Cost'!L94,
OFFSET(L94,-5,0)*
OFFSET(MSP!$F$1,
MATCH(OFFSET($C87,((MATCH($C87,EL_List,0)-1)*-10)-1,0),MSP!$C:$C,0)+MATCH($C87,EL_List,0)-1,0)
*INDEX(Learning!$E$6:$S$41,(MATCH(L$21,Dates,0)),(MATCH($C$86,Learning!$E$4:$S$4,0)+MATCH($C$87,Learning!$E$5:$S$5,0)-1)))</f>
        <v>0</v>
      </c>
      <c r="M94" s="533" cm="1">
        <f t="array" aca="1" ref="M94" ca="1">IF(M$21&lt;Standard_Year,'No STDs Case Rev &amp; Cost'!M94,
OFFSET(M94,-5,0)*
OFFSET(MSP!$F$1,
MATCH(OFFSET($C87,((MATCH($C87,EL_List,0)-1)*-10)-1,0),MSP!$C:$C,0)+MATCH($C87,EL_List,0)-1,0)
*INDEX(Learning!$E$6:$S$41,(MATCH(M$21,Dates,0)),(MATCH($C$86,Learning!$E$4:$S$4,0)+MATCH($C$87,Learning!$E$5:$S$5,0)-1)))</f>
        <v>0</v>
      </c>
      <c r="N94" s="533" cm="1">
        <f t="array" aca="1" ref="N94" ca="1">IF(N$21&lt;Standard_Year,'No STDs Case Rev &amp; Cost'!N94,
OFFSET(N94,-5,0)*
OFFSET(MSP!$F$1,
MATCH(OFFSET($C87,((MATCH($C87,EL_List,0)-1)*-10)-1,0),MSP!$C:$C,0)+MATCH($C87,EL_List,0)-1,0)
*INDEX(Learning!$E$6:$S$41,(MATCH(N$21,Dates,0)),(MATCH($C$86,Learning!$E$4:$S$4,0)+MATCH($C$87,Learning!$E$5:$S$5,0)-1)))</f>
        <v>0</v>
      </c>
      <c r="O94" s="533" cm="1">
        <f t="array" aca="1" ref="O94" ca="1">IF(O$21&lt;Standard_Year,'No STDs Case Rev &amp; Cost'!O94,
OFFSET(O94,-5,0)*
OFFSET(MSP!$F$1,
MATCH(OFFSET($C87,((MATCH($C87,EL_List,0)-1)*-10)-1,0),MSP!$C:$C,0)+MATCH($C87,EL_List,0)-1,0)
*INDEX(Learning!$E$6:$S$41,(MATCH(O$21,Dates,0)),(MATCH($C$86,Learning!$E$4:$S$4,0)+MATCH($C$87,Learning!$E$5:$S$5,0)-1)))</f>
        <v>0</v>
      </c>
      <c r="P94" s="533" cm="1">
        <f t="array" aca="1" ref="P94" ca="1">IF(P$21&lt;Standard_Year,'No STDs Case Rev &amp; Cost'!P94,
OFFSET(P94,-5,0)*
OFFSET(MSP!$F$1,
MATCH(OFFSET($C87,((MATCH($C87,EL_List,0)-1)*-10)-1,0),MSP!$C:$C,0)+MATCH($C87,EL_List,0)-1,0)
*INDEX(Learning!$E$6:$S$41,(MATCH(P$21,Dates,0)),(MATCH($C$86,Learning!$E$4:$S$4,0)+MATCH($C$87,Learning!$E$5:$S$5,0)-1)))</f>
        <v>0</v>
      </c>
      <c r="Q94" s="533" cm="1">
        <f t="array" aca="1" ref="Q94" ca="1">IF(Q$21&lt;Standard_Year,'No STDs Case Rev &amp; Cost'!Q94,
OFFSET(Q94,-5,0)*
OFFSET(MSP!$F$1,
MATCH(OFFSET($C87,((MATCH($C87,EL_List,0)-1)*-10)-1,0),MSP!$C:$C,0)+MATCH($C87,EL_List,0)-1,0)
*INDEX(Learning!$E$6:$S$41,(MATCH(Q$21,Dates,0)),(MATCH($C$86,Learning!$E$4:$S$4,0)+MATCH($C$87,Learning!$E$5:$S$5,0)-1)))</f>
        <v>0</v>
      </c>
      <c r="R94" s="533" cm="1">
        <f t="array" aca="1" ref="R94" ca="1">IF(R$21&lt;Standard_Year,'No STDs Case Rev &amp; Cost'!R94,
OFFSET(R94,-5,0)*
OFFSET(MSP!$F$1,
MATCH(OFFSET($C87,((MATCH($C87,EL_List,0)-1)*-10)-1,0),MSP!$C:$C,0)+MATCH($C87,EL_List,0)-1,0)
*INDEX(Learning!$E$6:$S$41,(MATCH(R$21,Dates,0)),(MATCH($C$86,Learning!$E$4:$S$4,0)+MATCH($C$87,Learning!$E$5:$S$5,0)-1)))</f>
        <v>0</v>
      </c>
      <c r="S94" s="533" cm="1">
        <f t="array" aca="1" ref="S94" ca="1">IF(S$21&lt;Standard_Year,'No STDs Case Rev &amp; Cost'!S94,
OFFSET(S94,-5,0)*
OFFSET(MSP!$F$1,
MATCH(OFFSET($C87,((MATCH($C87,EL_List,0)-1)*-10)-1,0),MSP!$C:$C,0)+MATCH($C87,EL_List,0)-1,0)
*INDEX(Learning!$E$6:$S$41,(MATCH(S$21,Dates,0)),(MATCH($C$86,Learning!$E$4:$S$4,0)+MATCH($C$87,Learning!$E$5:$S$5,0)-1)))</f>
        <v>0</v>
      </c>
      <c r="T94" s="533" cm="1">
        <f t="array" aca="1" ref="T94" ca="1">IF(T$21&lt;Standard_Year,'No STDs Case Rev &amp; Cost'!T94,
OFFSET(T94,-5,0)*
OFFSET(MSP!$F$1,
MATCH(OFFSET($C87,((MATCH($C87,EL_List,0)-1)*-10)-1,0),MSP!$C:$C,0)+MATCH($C87,EL_List,0)-1,0)
*INDEX(Learning!$E$6:$S$41,(MATCH(T$21,Dates,0)),(MATCH($C$86,Learning!$E$4:$S$4,0)+MATCH($C$87,Learning!$E$5:$S$5,0)-1)))</f>
        <v>0</v>
      </c>
      <c r="U94" s="533" cm="1">
        <f t="array" aca="1" ref="U94" ca="1">IF(U$21&lt;Standard_Year,'No STDs Case Rev &amp; Cost'!U94,
OFFSET(U94,-5,0)*
OFFSET(MSP!$F$1,
MATCH(OFFSET($C87,((MATCH($C87,EL_List,0)-1)*-10)-1,0),MSP!$C:$C,0)+MATCH($C87,EL_List,0)-1,0)
*INDEX(Learning!$E$6:$S$41,(MATCH(U$21,Dates,0)),(MATCH($C$86,Learning!$E$4:$S$4,0)+MATCH($C$87,Learning!$E$5:$S$5,0)-1)))</f>
        <v>0</v>
      </c>
      <c r="V94" s="533" cm="1">
        <f t="array" aca="1" ref="V94" ca="1">IF(V$21&lt;Standard_Year,'No STDs Case Rev &amp; Cost'!V94,
OFFSET(V94,-5,0)*
OFFSET(MSP!$F$1,
MATCH(OFFSET($C87,((MATCH($C87,EL_List,0)-1)*-10)-1,0),MSP!$C:$C,0)+MATCH($C87,EL_List,0)-1,0)
*INDEX(Learning!$E$6:$S$41,(MATCH(V$21,Dates,0)),(MATCH($C$86,Learning!$E$4:$S$4,0)+MATCH($C$87,Learning!$E$5:$S$5,0)-1)))</f>
        <v>0</v>
      </c>
      <c r="W94" s="533" cm="1">
        <f t="array" aca="1" ref="W94" ca="1">IF(W$21&lt;Standard_Year,'No STDs Case Rev &amp; Cost'!W94,
OFFSET(W94,-5,0)*
OFFSET(MSP!$F$1,
MATCH(OFFSET($C87,((MATCH($C87,EL_List,0)-1)*-10)-1,0),MSP!$C:$C,0)+MATCH($C87,EL_List,0)-1,0)
*INDEX(Learning!$E$6:$S$41,(MATCH(W$21,Dates,0)),(MATCH($C$86,Learning!$E$4:$S$4,0)+MATCH($C$87,Learning!$E$5:$S$5,0)-1)))</f>
        <v>0</v>
      </c>
      <c r="X94" s="533" cm="1">
        <f t="array" aca="1" ref="X94" ca="1">IF(X$21&lt;Standard_Year,'No STDs Case Rev &amp; Cost'!X94,
OFFSET(X94,-5,0)*
OFFSET(MSP!$F$1,
MATCH(OFFSET($C87,((MATCH($C87,EL_List,0)-1)*-10)-1,0),MSP!$C:$C,0)+MATCH($C87,EL_List,0)-1,0)
*INDEX(Learning!$E$6:$S$41,(MATCH(X$21,Dates,0)),(MATCH($C$86,Learning!$E$4:$S$4,0)+MATCH($C$87,Learning!$E$5:$S$5,0)-1)))</f>
        <v>0</v>
      </c>
      <c r="Y94" s="533" cm="1">
        <f t="array" aca="1" ref="Y94" ca="1">IF(Y$21&lt;Standard_Year,'No STDs Case Rev &amp; Cost'!Y94,
OFFSET(Y94,-5,0)*
OFFSET(MSP!$F$1,
MATCH(OFFSET($C87,((MATCH($C87,EL_List,0)-1)*-10)-1,0),MSP!$C:$C,0)+MATCH($C87,EL_List,0)-1,0)
*INDEX(Learning!$E$6:$S$41,(MATCH(Y$21,Dates,0)),(MATCH($C$86,Learning!$E$4:$S$4,0)+MATCH($C$87,Learning!$E$5:$S$5,0)-1)))</f>
        <v>0</v>
      </c>
      <c r="Z94" s="533" cm="1">
        <f t="array" aca="1" ref="Z94" ca="1">IF(Z$21&lt;Standard_Year,'No STDs Case Rev &amp; Cost'!Z94,
OFFSET(Z94,-5,0)*
OFFSET(MSP!$F$1,
MATCH(OFFSET($C87,((MATCH($C87,EL_List,0)-1)*-10)-1,0),MSP!$C:$C,0)+MATCH($C87,EL_List,0)-1,0)
*INDEX(Learning!$E$6:$S$41,(MATCH(Z$21,Dates,0)),(MATCH($C$86,Learning!$E$4:$S$4,0)+MATCH($C$87,Learning!$E$5:$S$5,0)-1)))</f>
        <v>0</v>
      </c>
      <c r="AA94" s="533" cm="1">
        <f t="array" aca="1" ref="AA94" ca="1">IF(AA$21&lt;Standard_Year,'No STDs Case Rev &amp; Cost'!AA94,
OFFSET(AA94,-5,0)*
OFFSET(MSP!$F$1,
MATCH(OFFSET($C87,((MATCH($C87,EL_List,0)-1)*-10)-1,0),MSP!$C:$C,0)+MATCH($C87,EL_List,0)-1,0)
*INDEX(Learning!$E$6:$S$41,(MATCH(AA$21,Dates,0)),(MATCH($C$86,Learning!$E$4:$S$4,0)+MATCH($C$87,Learning!$E$5:$S$5,0)-1)))</f>
        <v>0</v>
      </c>
      <c r="AB94" s="533" cm="1">
        <f t="array" aca="1" ref="AB94" ca="1">IF(AB$21&lt;Standard_Year,'No STDs Case Rev &amp; Cost'!AB94,
OFFSET(AB94,-5,0)*
OFFSET(MSP!$F$1,
MATCH(OFFSET($C87,((MATCH($C87,EL_List,0)-1)*-10)-1,0),MSP!$C:$C,0)+MATCH($C87,EL_List,0)-1,0)
*INDEX(Learning!$E$6:$S$41,(MATCH(AB$21,Dates,0)),(MATCH($C$86,Learning!$E$4:$S$4,0)+MATCH($C$87,Learning!$E$5:$S$5,0)-1)))</f>
        <v>0</v>
      </c>
      <c r="AC94" s="533" cm="1">
        <f t="array" aca="1" ref="AC94" ca="1">IF(AC$21&lt;Standard_Year,'No STDs Case Rev &amp; Cost'!AC94,
OFFSET(AC94,-5,0)*
OFFSET(MSP!$F$1,
MATCH(OFFSET($C87,((MATCH($C87,EL_List,0)-1)*-10)-1,0),MSP!$C:$C,0)+MATCH($C87,EL_List,0)-1,0)
*INDEX(Learning!$E$6:$S$41,(MATCH(AC$21,Dates,0)),(MATCH($C$86,Learning!$E$4:$S$4,0)+MATCH($C$87,Learning!$E$5:$S$5,0)-1)))</f>
        <v>0</v>
      </c>
      <c r="AD94" s="533" cm="1">
        <f t="array" aca="1" ref="AD94" ca="1">IF(AD$21&lt;Standard_Year,'No STDs Case Rev &amp; Cost'!AD94,
OFFSET(AD94,-5,0)*
OFFSET(MSP!$F$1,
MATCH(OFFSET($C87,((MATCH($C87,EL_List,0)-1)*-10)-1,0),MSP!$C:$C,0)+MATCH($C87,EL_List,0)-1,0)
*INDEX(Learning!$E$6:$S$41,(MATCH(AD$21,Dates,0)),(MATCH($C$86,Learning!$E$4:$S$4,0)+MATCH($C$87,Learning!$E$5:$S$5,0)-1)))</f>
        <v>0</v>
      </c>
      <c r="AE94" s="533" cm="1">
        <f t="array" aca="1" ref="AE94" ca="1">IF(AE$21&lt;Standard_Year,'No STDs Case Rev &amp; Cost'!AE94,
OFFSET(AE94,-5,0)*
OFFSET(MSP!$F$1,
MATCH(OFFSET($C87,((MATCH($C87,EL_List,0)-1)*-10)-1,0),MSP!$C:$C,0)+MATCH($C87,EL_List,0)-1,0)
*INDEX(Learning!$E$6:$S$41,(MATCH(AE$21,Dates,0)),(MATCH($C$86,Learning!$E$4:$S$4,0)+MATCH($C$87,Learning!$E$5:$S$5,0)-1)))</f>
        <v>0</v>
      </c>
      <c r="AF94" s="533" cm="1">
        <f t="array" aca="1" ref="AF94" ca="1">IF(AF$21&lt;Standard_Year,'No STDs Case Rev &amp; Cost'!AF94,
OFFSET(AF94,-5,0)*
OFFSET(MSP!$F$1,
MATCH(OFFSET($C87,((MATCH($C87,EL_List,0)-1)*-10)-1,0),MSP!$C:$C,0)+MATCH($C87,EL_List,0)-1,0)
*INDEX(Learning!$E$6:$S$41,(MATCH(AF$21,Dates,0)),(MATCH($C$86,Learning!$E$4:$S$4,0)+MATCH($C$87,Learning!$E$5:$S$5,0)-1)))</f>
        <v>0</v>
      </c>
      <c r="AG94" s="533" cm="1">
        <f t="array" aca="1" ref="AG94" ca="1">IF(AG$21&lt;Standard_Year,'No STDs Case Rev &amp; Cost'!AG94,
OFFSET(AG94,-5,0)*
OFFSET(MSP!$F$1,
MATCH(OFFSET($C87,((MATCH($C87,EL_List,0)-1)*-10)-1,0),MSP!$C:$C,0)+MATCH($C87,EL_List,0)-1,0)
*INDEX(Learning!$E$6:$S$41,(MATCH(AG$21,Dates,0)),(MATCH($C$86,Learning!$E$4:$S$4,0)+MATCH($C$87,Learning!$E$5:$S$5,0)-1)))</f>
        <v>0</v>
      </c>
      <c r="AH94" s="533" cm="1">
        <f t="array" aca="1" ref="AH94" ca="1">IF(AH$21&lt;Standard_Year,'No STDs Case Rev &amp; Cost'!AH94,
OFFSET(AH94,-5,0)*
OFFSET(MSP!$F$1,
MATCH(OFFSET($C87,((MATCH($C87,EL_List,0)-1)*-10)-1,0),MSP!$C:$C,0)+MATCH($C87,EL_List,0)-1,0)
*INDEX(Learning!$E$6:$S$41,(MATCH(AH$21,Dates,0)),(MATCH($C$86,Learning!$E$4:$S$4,0)+MATCH($C$87,Learning!$E$5:$S$5,0)-1)))</f>
        <v>0</v>
      </c>
      <c r="AI94" s="533" cm="1">
        <f t="array" aca="1" ref="AI94" ca="1">IF(AI$21&lt;Standard_Year,'No STDs Case Rev &amp; Cost'!AI94,
OFFSET(AI94,-5,0)*
OFFSET(MSP!$F$1,
MATCH(OFFSET($C87,((MATCH($C87,EL_List,0)-1)*-10)-1,0),MSP!$C:$C,0)+MATCH($C87,EL_List,0)-1,0)
*INDEX(Learning!$E$6:$S$41,(MATCH(AI$21,Dates,0)),(MATCH($C$86,Learning!$E$4:$S$4,0)+MATCH($C$87,Learning!$E$5:$S$5,0)-1)))</f>
        <v>0</v>
      </c>
      <c r="AJ94" s="533" cm="1">
        <f t="array" aca="1" ref="AJ94" ca="1">IF(AJ$21&lt;Standard_Year,'No STDs Case Rev &amp; Cost'!AJ94,
OFFSET(AJ94,-5,0)*
OFFSET(MSP!$F$1,
MATCH(OFFSET($C87,((MATCH($C87,EL_List,0)-1)*-10)-1,0),MSP!$C:$C,0)+MATCH($C87,EL_List,0)-1,0)
*INDEX(Learning!$E$6:$S$41,(MATCH(AJ$21,Dates,0)),(MATCH($C$86,Learning!$E$4:$S$4,0)+MATCH($C$87,Learning!$E$5:$S$5,0)-1)))</f>
        <v>0</v>
      </c>
      <c r="AK94" s="533" cm="1">
        <f t="array" aca="1" ref="AK94" ca="1">IF(AK$21&lt;Standard_Year,'No STDs Case Rev &amp; Cost'!AK94,
OFFSET(AK94,-5,0)*
OFFSET(MSP!$F$1,
MATCH(OFFSET($C87,((MATCH($C87,EL_List,0)-1)*-10)-1,0),MSP!$C:$C,0)+MATCH($C87,EL_List,0)-1,0)
*INDEX(Learning!$E$6:$S$41,(MATCH(AK$21,Dates,0)),(MATCH($C$86,Learning!$E$4:$S$4,0)+MATCH($C$87,Learning!$E$5:$S$5,0)-1)))</f>
        <v>0</v>
      </c>
      <c r="AL94" s="533" cm="1">
        <f t="array" aca="1" ref="AL94" ca="1">IF(AL$21&lt;Standard_Year,'No STDs Case Rev &amp; Cost'!AL94,
OFFSET(AL94,-5,0)*
OFFSET(MSP!$F$1,
MATCH(OFFSET($C87,((MATCH($C87,EL_List,0)-1)*-10)-1,0),MSP!$C:$C,0)+MATCH($C87,EL_List,0)-1,0)
*INDEX(Learning!$E$6:$S$41,(MATCH(AL$21,Dates,0)),(MATCH($C$86,Learning!$E$4:$S$4,0)+MATCH($C$87,Learning!$E$5:$S$5,0)-1)))</f>
        <v>0</v>
      </c>
      <c r="AM94" s="533" cm="1">
        <f t="array" aca="1" ref="AM94" ca="1">IF(AM$21&lt;Standard_Year,'No STDs Case Rev &amp; Cost'!AM94,
OFFSET(AM94,-5,0)*
OFFSET(MSP!$F$1,
MATCH(OFFSET($C87,((MATCH($C87,EL_List,0)-1)*-10)-1,0),MSP!$C:$C,0)+MATCH($C87,EL_List,0)-1,0)
*INDEX(Learning!$E$6:$S$41,(MATCH(AM$21,Dates,0)),(MATCH($C$86,Learning!$E$4:$S$4,0)+MATCH($C$87,Learning!$E$5:$S$5,0)-1)))</f>
        <v>0</v>
      </c>
      <c r="AN94" s="533" cm="1">
        <f t="array" aca="1" ref="AN94" ca="1">IF(AN$21&lt;Standard_Year,'No STDs Case Rev &amp; Cost'!AN94,
OFFSET(AN94,-5,0)*
OFFSET(MSP!$F$1,
MATCH(OFFSET($C87,((MATCH($C87,EL_List,0)-1)*-10)-1,0),MSP!$C:$C,0)+MATCH($C87,EL_List,0)-1,0)
*INDEX(Learning!$E$6:$S$41,(MATCH(AN$21,Dates,0)),(MATCH($C$86,Learning!$E$4:$S$4,0)+MATCH($C$87,Learning!$E$5:$S$5,0)-1)))</f>
        <v>0</v>
      </c>
      <c r="AO94" s="436"/>
      <c r="AP94" s="21"/>
    </row>
    <row r="95" spans="2:42" ht="15" customHeight="1" collapsed="1" x14ac:dyDescent="0.35">
      <c r="B95" s="429"/>
      <c r="C95" s="780" t="s">
        <v>215</v>
      </c>
      <c r="D95" s="776"/>
      <c r="E95" s="531" cm="1">
        <f t="array" aca="1" ref="E95" ca="1">IF(E$21&lt;Standard_Year,'No STDs Case Rev &amp; Cost'!E95,
OFFSET(E95,-6,0)*
OFFSET(MSP!$G$1,
MATCH(OFFSET($C87,((MATCH($C87,EL_List,0)-1)*-10)-1,0),MSP!$C:$C,0)+MATCH($C87,EL_List,0)-1,0)
*INDEX(Learning!$E$6:$S$41,(MATCH(E$21,Dates,0)),(MATCH($C$86,Learning!$E$4:$S$4,0)+MATCH($C$87,Learning!$E$5:$S$5,0)-1)))</f>
        <v>0.73503028777832147</v>
      </c>
      <c r="F95" s="531" cm="1">
        <f t="array" aca="1" ref="F95" ca="1">IF(F$21&lt;Standard_Year,'No STDs Case Rev &amp; Cost'!F95,
OFFSET(F95,-6,0)*
OFFSET(MSP!$G$1,
MATCH(OFFSET($C87,((MATCH($C87,EL_List,0)-1)*-10)-1,0),MSP!$C:$C,0)+MATCH($C87,EL_List,0)-1,0)
*INDEX(Learning!$E$6:$S$41,(MATCH(F$21,Dates,0)),(MATCH($C$86,Learning!$E$4:$S$4,0)+MATCH($C$87,Learning!$E$5:$S$5,0)-1)))</f>
        <v>0.76199853300333265</v>
      </c>
      <c r="G95" s="531" cm="1">
        <f t="array" aca="1" ref="G95" ca="1">IF(G$21&lt;Standard_Year,'No STDs Case Rev &amp; Cost'!G95,
OFFSET(G95,-6,0)*
OFFSET(MSP!$G$1,
MATCH(OFFSET($C87,((MATCH($C87,EL_List,0)-1)*-10)-1,0),MSP!$C:$C,0)+MATCH($C87,EL_List,0)-1,0)
*INDEX(Learning!$E$6:$S$41,(MATCH(G$21,Dates,0)),(MATCH($C$86,Learning!$E$4:$S$4,0)+MATCH($C$87,Learning!$E$5:$S$5,0)-1)))</f>
        <v>0.78586517677582235</v>
      </c>
      <c r="H95" s="531" cm="1">
        <f t="array" aca="1" ref="H95" ca="1">IF(H$21&lt;Standard_Year,'No STDs Case Rev &amp; Cost'!H95,
OFFSET(H95,-6,0)*
OFFSET(MSP!$G$1,
MATCH(OFFSET($C87,((MATCH($C87,EL_List,0)-1)*-10)-1,0),MSP!$C:$C,0)+MATCH($C87,EL_List,0)-1,0)
*INDEX(Learning!$E$6:$S$41,(MATCH(H$21,Dates,0)),(MATCH($C$86,Learning!$E$4:$S$4,0)+MATCH($C$87,Learning!$E$5:$S$5,0)-1)))</f>
        <v>0.81715830918998433</v>
      </c>
      <c r="I95" s="531" cm="1">
        <f t="array" aca="1" ref="I95" ca="1">IF(I$21&lt;Standard_Year,'No STDs Case Rev &amp; Cost'!I95,
OFFSET(I95,-6,0)*
OFFSET(MSP!$G$1,
MATCH(OFFSET($C87,((MATCH($C87,EL_List,0)-1)*-10)-1,0),MSP!$C:$C,0)+MATCH($C87,EL_List,0)-1,0)
*INDEX(Learning!$E$6:$S$41,(MATCH(I$21,Dates,0)),(MATCH($C$86,Learning!$E$4:$S$4,0)+MATCH($C$87,Learning!$E$5:$S$5,0)-1)))</f>
        <v>0</v>
      </c>
      <c r="J95" s="531" cm="1">
        <f t="array" aca="1" ref="J95" ca="1">IF(J$21&lt;Standard_Year,'No STDs Case Rev &amp; Cost'!J95,
OFFSET(J95,-6,0)*
OFFSET(MSP!$G$1,
MATCH(OFFSET($C87,((MATCH($C87,EL_List,0)-1)*-10)-1,0),MSP!$C:$C,0)+MATCH($C87,EL_List,0)-1,0)
*INDEX(Learning!$E$6:$S$41,(MATCH(J$21,Dates,0)),(MATCH($C$86,Learning!$E$4:$S$4,0)+MATCH($C$87,Learning!$E$5:$S$5,0)-1)))</f>
        <v>0</v>
      </c>
      <c r="K95" s="531" cm="1">
        <f t="array" aca="1" ref="K95" ca="1">IF(K$21&lt;Standard_Year,'No STDs Case Rev &amp; Cost'!K95,
OFFSET(K95,-6,0)*
OFFSET(MSP!$G$1,
MATCH(OFFSET($C87,((MATCH($C87,EL_List,0)-1)*-10)-1,0),MSP!$C:$C,0)+MATCH($C87,EL_List,0)-1,0)
*INDEX(Learning!$E$6:$S$41,(MATCH(K$21,Dates,0)),(MATCH($C$86,Learning!$E$4:$S$4,0)+MATCH($C$87,Learning!$E$5:$S$5,0)-1)))</f>
        <v>0</v>
      </c>
      <c r="L95" s="531" cm="1">
        <f t="array" aca="1" ref="L95" ca="1">IF(L$21&lt;Standard_Year,'No STDs Case Rev &amp; Cost'!L95,
OFFSET(L95,-6,0)*
OFFSET(MSP!$G$1,
MATCH(OFFSET($C87,((MATCH($C87,EL_List,0)-1)*-10)-1,0),MSP!$C:$C,0)+MATCH($C87,EL_List,0)-1,0)
*INDEX(Learning!$E$6:$S$41,(MATCH(L$21,Dates,0)),(MATCH($C$86,Learning!$E$4:$S$4,0)+MATCH($C$87,Learning!$E$5:$S$5,0)-1)))</f>
        <v>0</v>
      </c>
      <c r="M95" s="531" cm="1">
        <f t="array" aca="1" ref="M95" ca="1">IF(M$21&lt;Standard_Year,'No STDs Case Rev &amp; Cost'!M95,
OFFSET(M95,-6,0)*
OFFSET(MSP!$G$1,
MATCH(OFFSET($C87,((MATCH($C87,EL_List,0)-1)*-10)-1,0),MSP!$C:$C,0)+MATCH($C87,EL_List,0)-1,0)
*INDEX(Learning!$E$6:$S$41,(MATCH(M$21,Dates,0)),(MATCH($C$86,Learning!$E$4:$S$4,0)+MATCH($C$87,Learning!$E$5:$S$5,0)-1)))</f>
        <v>0</v>
      </c>
      <c r="N95" s="531" cm="1">
        <f t="array" aca="1" ref="N95" ca="1">IF(N$21&lt;Standard_Year,'No STDs Case Rev &amp; Cost'!N95,
OFFSET(N95,-6,0)*
OFFSET(MSP!$G$1,
MATCH(OFFSET($C87,((MATCH($C87,EL_List,0)-1)*-10)-1,0),MSP!$C:$C,0)+MATCH($C87,EL_List,0)-1,0)
*INDEX(Learning!$E$6:$S$41,(MATCH(N$21,Dates,0)),(MATCH($C$86,Learning!$E$4:$S$4,0)+MATCH($C$87,Learning!$E$5:$S$5,0)-1)))</f>
        <v>0</v>
      </c>
      <c r="O95" s="531" cm="1">
        <f t="array" aca="1" ref="O95" ca="1">IF(O$21&lt;Standard_Year,'No STDs Case Rev &amp; Cost'!O95,
OFFSET(O95,-6,0)*
OFFSET(MSP!$G$1,
MATCH(OFFSET($C87,((MATCH($C87,EL_List,0)-1)*-10)-1,0),MSP!$C:$C,0)+MATCH($C87,EL_List,0)-1,0)
*INDEX(Learning!$E$6:$S$41,(MATCH(O$21,Dates,0)),(MATCH($C$86,Learning!$E$4:$S$4,0)+MATCH($C$87,Learning!$E$5:$S$5,0)-1)))</f>
        <v>0</v>
      </c>
      <c r="P95" s="531" cm="1">
        <f t="array" aca="1" ref="P95" ca="1">IF(P$21&lt;Standard_Year,'No STDs Case Rev &amp; Cost'!P95,
OFFSET(P95,-6,0)*
OFFSET(MSP!$G$1,
MATCH(OFFSET($C87,((MATCH($C87,EL_List,0)-1)*-10)-1,0),MSP!$C:$C,0)+MATCH($C87,EL_List,0)-1,0)
*INDEX(Learning!$E$6:$S$41,(MATCH(P$21,Dates,0)),(MATCH($C$86,Learning!$E$4:$S$4,0)+MATCH($C$87,Learning!$E$5:$S$5,0)-1)))</f>
        <v>0</v>
      </c>
      <c r="Q95" s="531" cm="1">
        <f t="array" aca="1" ref="Q95" ca="1">IF(Q$21&lt;Standard_Year,'No STDs Case Rev &amp; Cost'!Q95,
OFFSET(Q95,-6,0)*
OFFSET(MSP!$G$1,
MATCH(OFFSET($C87,((MATCH($C87,EL_List,0)-1)*-10)-1,0),MSP!$C:$C,0)+MATCH($C87,EL_List,0)-1,0)
*INDEX(Learning!$E$6:$S$41,(MATCH(Q$21,Dates,0)),(MATCH($C$86,Learning!$E$4:$S$4,0)+MATCH($C$87,Learning!$E$5:$S$5,0)-1)))</f>
        <v>0</v>
      </c>
      <c r="R95" s="531" cm="1">
        <f t="array" aca="1" ref="R95" ca="1">IF(R$21&lt;Standard_Year,'No STDs Case Rev &amp; Cost'!R95,
OFFSET(R95,-6,0)*
OFFSET(MSP!$G$1,
MATCH(OFFSET($C87,((MATCH($C87,EL_List,0)-1)*-10)-1,0),MSP!$C:$C,0)+MATCH($C87,EL_List,0)-1,0)
*INDEX(Learning!$E$6:$S$41,(MATCH(R$21,Dates,0)),(MATCH($C$86,Learning!$E$4:$S$4,0)+MATCH($C$87,Learning!$E$5:$S$5,0)-1)))</f>
        <v>0</v>
      </c>
      <c r="S95" s="531" cm="1">
        <f t="array" aca="1" ref="S95" ca="1">IF(S$21&lt;Standard_Year,'No STDs Case Rev &amp; Cost'!S95,
OFFSET(S95,-6,0)*
OFFSET(MSP!$G$1,
MATCH(OFFSET($C87,((MATCH($C87,EL_List,0)-1)*-10)-1,0),MSP!$C:$C,0)+MATCH($C87,EL_List,0)-1,0)
*INDEX(Learning!$E$6:$S$41,(MATCH(S$21,Dates,0)),(MATCH($C$86,Learning!$E$4:$S$4,0)+MATCH($C$87,Learning!$E$5:$S$5,0)-1)))</f>
        <v>0</v>
      </c>
      <c r="T95" s="531" cm="1">
        <f t="array" aca="1" ref="T95" ca="1">IF(T$21&lt;Standard_Year,'No STDs Case Rev &amp; Cost'!T95,
OFFSET(T95,-6,0)*
OFFSET(MSP!$G$1,
MATCH(OFFSET($C87,((MATCH($C87,EL_List,0)-1)*-10)-1,0),MSP!$C:$C,0)+MATCH($C87,EL_List,0)-1,0)
*INDEX(Learning!$E$6:$S$41,(MATCH(T$21,Dates,0)),(MATCH($C$86,Learning!$E$4:$S$4,0)+MATCH($C$87,Learning!$E$5:$S$5,0)-1)))</f>
        <v>0</v>
      </c>
      <c r="U95" s="531" cm="1">
        <f t="array" aca="1" ref="U95" ca="1">IF(U$21&lt;Standard_Year,'No STDs Case Rev &amp; Cost'!U95,
OFFSET(U95,-6,0)*
OFFSET(MSP!$G$1,
MATCH(OFFSET($C87,((MATCH($C87,EL_List,0)-1)*-10)-1,0),MSP!$C:$C,0)+MATCH($C87,EL_List,0)-1,0)
*INDEX(Learning!$E$6:$S$41,(MATCH(U$21,Dates,0)),(MATCH($C$86,Learning!$E$4:$S$4,0)+MATCH($C$87,Learning!$E$5:$S$5,0)-1)))</f>
        <v>0</v>
      </c>
      <c r="V95" s="531" cm="1">
        <f t="array" aca="1" ref="V95" ca="1">IF(V$21&lt;Standard_Year,'No STDs Case Rev &amp; Cost'!V95,
OFFSET(V95,-6,0)*
OFFSET(MSP!$G$1,
MATCH(OFFSET($C87,((MATCH($C87,EL_List,0)-1)*-10)-1,0),MSP!$C:$C,0)+MATCH($C87,EL_List,0)-1,0)
*INDEX(Learning!$E$6:$S$41,(MATCH(V$21,Dates,0)),(MATCH($C$86,Learning!$E$4:$S$4,0)+MATCH($C$87,Learning!$E$5:$S$5,0)-1)))</f>
        <v>0</v>
      </c>
      <c r="W95" s="531" cm="1">
        <f t="array" aca="1" ref="W95" ca="1">IF(W$21&lt;Standard_Year,'No STDs Case Rev &amp; Cost'!W95,
OFFSET(W95,-6,0)*
OFFSET(MSP!$G$1,
MATCH(OFFSET($C87,((MATCH($C87,EL_List,0)-1)*-10)-1,0),MSP!$C:$C,0)+MATCH($C87,EL_List,0)-1,0)
*INDEX(Learning!$E$6:$S$41,(MATCH(W$21,Dates,0)),(MATCH($C$86,Learning!$E$4:$S$4,0)+MATCH($C$87,Learning!$E$5:$S$5,0)-1)))</f>
        <v>0</v>
      </c>
      <c r="X95" s="531" cm="1">
        <f t="array" aca="1" ref="X95" ca="1">IF(X$21&lt;Standard_Year,'No STDs Case Rev &amp; Cost'!X95,
OFFSET(X95,-6,0)*
OFFSET(MSP!$G$1,
MATCH(OFFSET($C87,((MATCH($C87,EL_List,0)-1)*-10)-1,0),MSP!$C:$C,0)+MATCH($C87,EL_List,0)-1,0)
*INDEX(Learning!$E$6:$S$41,(MATCH(X$21,Dates,0)),(MATCH($C$86,Learning!$E$4:$S$4,0)+MATCH($C$87,Learning!$E$5:$S$5,0)-1)))</f>
        <v>0</v>
      </c>
      <c r="Y95" s="531" cm="1">
        <f t="array" aca="1" ref="Y95" ca="1">IF(Y$21&lt;Standard_Year,'No STDs Case Rev &amp; Cost'!Y95,
OFFSET(Y95,-6,0)*
OFFSET(MSP!$G$1,
MATCH(OFFSET($C87,((MATCH($C87,EL_List,0)-1)*-10)-1,0),MSP!$C:$C,0)+MATCH($C87,EL_List,0)-1,0)
*INDEX(Learning!$E$6:$S$41,(MATCH(Y$21,Dates,0)),(MATCH($C$86,Learning!$E$4:$S$4,0)+MATCH($C$87,Learning!$E$5:$S$5,0)-1)))</f>
        <v>0</v>
      </c>
      <c r="Z95" s="531" cm="1">
        <f t="array" aca="1" ref="Z95" ca="1">IF(Z$21&lt;Standard_Year,'No STDs Case Rev &amp; Cost'!Z95,
OFFSET(Z95,-6,0)*
OFFSET(MSP!$G$1,
MATCH(OFFSET($C87,((MATCH($C87,EL_List,0)-1)*-10)-1,0),MSP!$C:$C,0)+MATCH($C87,EL_List,0)-1,0)
*INDEX(Learning!$E$6:$S$41,(MATCH(Z$21,Dates,0)),(MATCH($C$86,Learning!$E$4:$S$4,0)+MATCH($C$87,Learning!$E$5:$S$5,0)-1)))</f>
        <v>0</v>
      </c>
      <c r="AA95" s="531" cm="1">
        <f t="array" aca="1" ref="AA95" ca="1">IF(AA$21&lt;Standard_Year,'No STDs Case Rev &amp; Cost'!AA95,
OFFSET(AA95,-6,0)*
OFFSET(MSP!$G$1,
MATCH(OFFSET($C87,((MATCH($C87,EL_List,0)-1)*-10)-1,0),MSP!$C:$C,0)+MATCH($C87,EL_List,0)-1,0)
*INDEX(Learning!$E$6:$S$41,(MATCH(AA$21,Dates,0)),(MATCH($C$86,Learning!$E$4:$S$4,0)+MATCH($C$87,Learning!$E$5:$S$5,0)-1)))</f>
        <v>0</v>
      </c>
      <c r="AB95" s="531" cm="1">
        <f t="array" aca="1" ref="AB95" ca="1">IF(AB$21&lt;Standard_Year,'No STDs Case Rev &amp; Cost'!AB95,
OFFSET(AB95,-6,0)*
OFFSET(MSP!$G$1,
MATCH(OFFSET($C87,((MATCH($C87,EL_List,0)-1)*-10)-1,0),MSP!$C:$C,0)+MATCH($C87,EL_List,0)-1,0)
*INDEX(Learning!$E$6:$S$41,(MATCH(AB$21,Dates,0)),(MATCH($C$86,Learning!$E$4:$S$4,0)+MATCH($C$87,Learning!$E$5:$S$5,0)-1)))</f>
        <v>0</v>
      </c>
      <c r="AC95" s="531" cm="1">
        <f t="array" aca="1" ref="AC95" ca="1">IF(AC$21&lt;Standard_Year,'No STDs Case Rev &amp; Cost'!AC95,
OFFSET(AC95,-6,0)*
OFFSET(MSP!$G$1,
MATCH(OFFSET($C87,((MATCH($C87,EL_List,0)-1)*-10)-1,0),MSP!$C:$C,0)+MATCH($C87,EL_List,0)-1,0)
*INDEX(Learning!$E$6:$S$41,(MATCH(AC$21,Dates,0)),(MATCH($C$86,Learning!$E$4:$S$4,0)+MATCH($C$87,Learning!$E$5:$S$5,0)-1)))</f>
        <v>0</v>
      </c>
      <c r="AD95" s="531" cm="1">
        <f t="array" aca="1" ref="AD95" ca="1">IF(AD$21&lt;Standard_Year,'No STDs Case Rev &amp; Cost'!AD95,
OFFSET(AD95,-6,0)*
OFFSET(MSP!$G$1,
MATCH(OFFSET($C87,((MATCH($C87,EL_List,0)-1)*-10)-1,0),MSP!$C:$C,0)+MATCH($C87,EL_List,0)-1,0)
*INDEX(Learning!$E$6:$S$41,(MATCH(AD$21,Dates,0)),(MATCH($C$86,Learning!$E$4:$S$4,0)+MATCH($C$87,Learning!$E$5:$S$5,0)-1)))</f>
        <v>0</v>
      </c>
      <c r="AE95" s="531" cm="1">
        <f t="array" aca="1" ref="AE95" ca="1">IF(AE$21&lt;Standard_Year,'No STDs Case Rev &amp; Cost'!AE95,
OFFSET(AE95,-6,0)*
OFFSET(MSP!$G$1,
MATCH(OFFSET($C87,((MATCH($C87,EL_List,0)-1)*-10)-1,0),MSP!$C:$C,0)+MATCH($C87,EL_List,0)-1,0)
*INDEX(Learning!$E$6:$S$41,(MATCH(AE$21,Dates,0)),(MATCH($C$86,Learning!$E$4:$S$4,0)+MATCH($C$87,Learning!$E$5:$S$5,0)-1)))</f>
        <v>0</v>
      </c>
      <c r="AF95" s="531" cm="1">
        <f t="array" aca="1" ref="AF95" ca="1">IF(AF$21&lt;Standard_Year,'No STDs Case Rev &amp; Cost'!AF95,
OFFSET(AF95,-6,0)*
OFFSET(MSP!$G$1,
MATCH(OFFSET($C87,((MATCH($C87,EL_List,0)-1)*-10)-1,0),MSP!$C:$C,0)+MATCH($C87,EL_List,0)-1,0)
*INDEX(Learning!$E$6:$S$41,(MATCH(AF$21,Dates,0)),(MATCH($C$86,Learning!$E$4:$S$4,0)+MATCH($C$87,Learning!$E$5:$S$5,0)-1)))</f>
        <v>0</v>
      </c>
      <c r="AG95" s="531" cm="1">
        <f t="array" aca="1" ref="AG95" ca="1">IF(AG$21&lt;Standard_Year,'No STDs Case Rev &amp; Cost'!AG95,
OFFSET(AG95,-6,0)*
OFFSET(MSP!$G$1,
MATCH(OFFSET($C87,((MATCH($C87,EL_List,0)-1)*-10)-1,0),MSP!$C:$C,0)+MATCH($C87,EL_List,0)-1,0)
*INDEX(Learning!$E$6:$S$41,(MATCH(AG$21,Dates,0)),(MATCH($C$86,Learning!$E$4:$S$4,0)+MATCH($C$87,Learning!$E$5:$S$5,0)-1)))</f>
        <v>0</v>
      </c>
      <c r="AH95" s="531" cm="1">
        <f t="array" aca="1" ref="AH95" ca="1">IF(AH$21&lt;Standard_Year,'No STDs Case Rev &amp; Cost'!AH95,
OFFSET(AH95,-6,0)*
OFFSET(MSP!$G$1,
MATCH(OFFSET($C87,((MATCH($C87,EL_List,0)-1)*-10)-1,0),MSP!$C:$C,0)+MATCH($C87,EL_List,0)-1,0)
*INDEX(Learning!$E$6:$S$41,(MATCH(AH$21,Dates,0)),(MATCH($C$86,Learning!$E$4:$S$4,0)+MATCH($C$87,Learning!$E$5:$S$5,0)-1)))</f>
        <v>0</v>
      </c>
      <c r="AI95" s="531" cm="1">
        <f t="array" aca="1" ref="AI95" ca="1">IF(AI$21&lt;Standard_Year,'No STDs Case Rev &amp; Cost'!AI95,
OFFSET(AI95,-6,0)*
OFFSET(MSP!$G$1,
MATCH(OFFSET($C87,((MATCH($C87,EL_List,0)-1)*-10)-1,0),MSP!$C:$C,0)+MATCH($C87,EL_List,0)-1,0)
*INDEX(Learning!$E$6:$S$41,(MATCH(AI$21,Dates,0)),(MATCH($C$86,Learning!$E$4:$S$4,0)+MATCH($C$87,Learning!$E$5:$S$5,0)-1)))</f>
        <v>0</v>
      </c>
      <c r="AJ95" s="531" cm="1">
        <f t="array" aca="1" ref="AJ95" ca="1">IF(AJ$21&lt;Standard_Year,'No STDs Case Rev &amp; Cost'!AJ95,
OFFSET(AJ95,-6,0)*
OFFSET(MSP!$G$1,
MATCH(OFFSET($C87,((MATCH($C87,EL_List,0)-1)*-10)-1,0),MSP!$C:$C,0)+MATCH($C87,EL_List,0)-1,0)
*INDEX(Learning!$E$6:$S$41,(MATCH(AJ$21,Dates,0)),(MATCH($C$86,Learning!$E$4:$S$4,0)+MATCH($C$87,Learning!$E$5:$S$5,0)-1)))</f>
        <v>0</v>
      </c>
      <c r="AK95" s="531" cm="1">
        <f t="array" aca="1" ref="AK95" ca="1">IF(AK$21&lt;Standard_Year,'No STDs Case Rev &amp; Cost'!AK95,
OFFSET(AK95,-6,0)*
OFFSET(MSP!$G$1,
MATCH(OFFSET($C87,((MATCH($C87,EL_List,0)-1)*-10)-1,0),MSP!$C:$C,0)+MATCH($C87,EL_List,0)-1,0)
*INDEX(Learning!$E$6:$S$41,(MATCH(AK$21,Dates,0)),(MATCH($C$86,Learning!$E$4:$S$4,0)+MATCH($C$87,Learning!$E$5:$S$5,0)-1)))</f>
        <v>0</v>
      </c>
      <c r="AL95" s="531" cm="1">
        <f t="array" aca="1" ref="AL95" ca="1">IF(AL$21&lt;Standard_Year,'No STDs Case Rev &amp; Cost'!AL95,
OFFSET(AL95,-6,0)*
OFFSET(MSP!$G$1,
MATCH(OFFSET($C87,((MATCH($C87,EL_List,0)-1)*-10)-1,0),MSP!$C:$C,0)+MATCH($C87,EL_List,0)-1,0)
*INDEX(Learning!$E$6:$S$41,(MATCH(AL$21,Dates,0)),(MATCH($C$86,Learning!$E$4:$S$4,0)+MATCH($C$87,Learning!$E$5:$S$5,0)-1)))</f>
        <v>0</v>
      </c>
      <c r="AM95" s="531" cm="1">
        <f t="array" aca="1" ref="AM95" ca="1">IF(AM$21&lt;Standard_Year,'No STDs Case Rev &amp; Cost'!AM95,
OFFSET(AM95,-6,0)*
OFFSET(MSP!$G$1,
MATCH(OFFSET($C87,((MATCH($C87,EL_List,0)-1)*-10)-1,0),MSP!$C:$C,0)+MATCH($C87,EL_List,0)-1,0)
*INDEX(Learning!$E$6:$S$41,(MATCH(AM$21,Dates,0)),(MATCH($C$86,Learning!$E$4:$S$4,0)+MATCH($C$87,Learning!$E$5:$S$5,0)-1)))</f>
        <v>0</v>
      </c>
      <c r="AN95" s="531" cm="1">
        <f t="array" aca="1" ref="AN95" ca="1">IF(AN$21&lt;Standard_Year,'No STDs Case Rev &amp; Cost'!AN95,
OFFSET(AN95,-6,0)*
OFFSET(MSP!$G$1,
MATCH(OFFSET($C87,((MATCH($C87,EL_List,0)-1)*-10)-1,0),MSP!$C:$C,0)+MATCH($C87,EL_List,0)-1,0)
*INDEX(Learning!$E$6:$S$41,(MATCH(AN$21,Dates,0)),(MATCH($C$86,Learning!$E$4:$S$4,0)+MATCH($C$87,Learning!$E$5:$S$5,0)-1)))</f>
        <v>0</v>
      </c>
      <c r="AO95" s="436"/>
      <c r="AP95" s="21"/>
    </row>
    <row r="96" spans="2:42" ht="15" customHeight="1" x14ac:dyDescent="0.35">
      <c r="B96" s="429"/>
      <c r="C96" s="776"/>
      <c r="D96" s="776"/>
      <c r="E96" s="776"/>
      <c r="F96" s="776"/>
      <c r="G96" s="776"/>
      <c r="H96" s="776"/>
      <c r="I96" s="776"/>
      <c r="J96" s="776"/>
      <c r="K96" s="776"/>
      <c r="L96" s="776"/>
      <c r="M96" s="776"/>
      <c r="N96" s="776"/>
      <c r="O96" s="776"/>
      <c r="P96" s="776"/>
      <c r="Q96" s="776"/>
      <c r="R96" s="776"/>
      <c r="S96" s="776"/>
      <c r="T96" s="776"/>
      <c r="U96" s="776"/>
      <c r="V96" s="776"/>
      <c r="W96" s="776"/>
      <c r="X96" s="776"/>
      <c r="Y96" s="776"/>
      <c r="Z96" s="776"/>
      <c r="AA96" s="776"/>
      <c r="AB96" s="776"/>
      <c r="AC96" s="776"/>
      <c r="AD96" s="776"/>
      <c r="AE96" s="776"/>
      <c r="AF96" s="776"/>
      <c r="AG96" s="776"/>
      <c r="AH96" s="776"/>
      <c r="AI96" s="776"/>
      <c r="AJ96" s="776"/>
      <c r="AK96" s="776"/>
      <c r="AL96" s="776"/>
      <c r="AM96" s="776"/>
      <c r="AN96" s="776"/>
      <c r="AO96" s="436"/>
      <c r="AP96" s="21"/>
    </row>
    <row r="97" spans="2:42" ht="15" customHeight="1" x14ac:dyDescent="0.35">
      <c r="B97" s="429"/>
      <c r="C97" s="772" t="s">
        <v>86</v>
      </c>
      <c r="D97" s="776"/>
      <c r="E97" s="776"/>
      <c r="F97" s="776"/>
      <c r="G97" s="776"/>
      <c r="H97" s="776"/>
      <c r="I97" s="776"/>
      <c r="J97" s="776"/>
      <c r="K97" s="776"/>
      <c r="L97" s="776"/>
      <c r="M97" s="776"/>
      <c r="N97" s="776"/>
      <c r="O97" s="776"/>
      <c r="P97" s="776"/>
      <c r="Q97" s="776"/>
      <c r="R97" s="776"/>
      <c r="S97" s="776"/>
      <c r="T97" s="776"/>
      <c r="U97" s="776"/>
      <c r="V97" s="776"/>
      <c r="W97" s="776"/>
      <c r="X97" s="776"/>
      <c r="Y97" s="776"/>
      <c r="Z97" s="776"/>
      <c r="AA97" s="776"/>
      <c r="AB97" s="776"/>
      <c r="AC97" s="776"/>
      <c r="AD97" s="776"/>
      <c r="AE97" s="776"/>
      <c r="AF97" s="776"/>
      <c r="AG97" s="776"/>
      <c r="AH97" s="776"/>
      <c r="AI97" s="776"/>
      <c r="AJ97" s="776"/>
      <c r="AK97" s="776"/>
      <c r="AL97" s="776"/>
      <c r="AM97" s="776"/>
      <c r="AN97" s="776"/>
      <c r="AO97" s="436"/>
      <c r="AP97" s="21"/>
    </row>
    <row r="98" spans="2:42" ht="15" customHeight="1" x14ac:dyDescent="0.35">
      <c r="B98" s="429"/>
      <c r="C98" s="777" t="s">
        <v>10</v>
      </c>
      <c r="D98" s="776"/>
      <c r="E98" s="778" cm="1">
        <f t="array" aca="1" ref="E98" ca="1">IF(E$21&lt;Standard_Year,'No STDs Case Rev &amp; Cost'!E98,
OFFSET(MSP!$C$1,
MATCH(OFFSET($C97,((MATCH($C97,EL_List,0)-1)*-10)-1,0),MSP!$C:$C,0)+MATCH($C97,EL_List,0)-1,
MATCH(OFFSET($C97,((MATCH($C97,EL_List,0)-1)*-10)-3,0),MSP!$D$5:$N$5,0)+1)
*INDEX(Learning!$E$6:$S$41,(MATCH(E$21,Dates,0)),(MATCH($C$86,Learning!$E$4:$S$4,0)+MATCH($C$97,Learning!$E$5:$S$5,0)-1)))</f>
        <v>66.872433999999998</v>
      </c>
      <c r="F98" s="778" cm="1">
        <f t="array" aca="1" ref="F98" ca="1">IF(F$21&lt;Standard_Year,'No STDs Case Rev &amp; Cost'!F98,
OFFSET(MSP!$C$1,
MATCH(OFFSET($C97,((MATCH($C97,EL_List,0)-1)*-10)-1,0),MSP!$C:$C,0)+MATCH($C97,EL_List,0)-1,
MATCH(OFFSET($C97,((MATCH($C97,EL_List,0)-1)*-10)-3,0),MSP!$D$5:$N$5,0)+1)
*INDEX(Learning!$E$6:$S$41,(MATCH(F$21,Dates,0)),(MATCH($C$86,Learning!$E$4:$S$4,0)+MATCH($C$97,Learning!$E$5:$S$5,0)-1)))</f>
        <v>66.359017999999992</v>
      </c>
      <c r="G98" s="778" cm="1">
        <f t="array" aca="1" ref="G98" ca="1">IF(G$21&lt;Standard_Year,'No STDs Case Rev &amp; Cost'!G98,
OFFSET(MSP!$C$1,
MATCH(OFFSET($C97,((MATCH($C97,EL_List,0)-1)*-10)-1,0),MSP!$C:$C,0)+MATCH($C97,EL_List,0)-1,
MATCH(OFFSET($C97,((MATCH($C97,EL_List,0)-1)*-10)-3,0),MSP!$D$5:$N$5,0)+1)
*INDEX(Learning!$E$6:$S$41,(MATCH(G$21,Dates,0)),(MATCH($C$86,Learning!$E$4:$S$4,0)+MATCH($C$97,Learning!$E$5:$S$5,0)-1)))</f>
        <v>65.909778999999986</v>
      </c>
      <c r="H98" s="778" cm="1">
        <f t="array" aca="1" ref="H98" ca="1">IF(H$21&lt;Standard_Year,'No STDs Case Rev &amp; Cost'!H98,
OFFSET(MSP!$C$1,
MATCH(OFFSET($C97,((MATCH($C97,EL_List,0)-1)*-10)-1,0),MSP!$C:$C,0)+MATCH($C97,EL_List,0)-1,
MATCH(OFFSET($C97,((MATCH($C97,EL_List,0)-1)*-10)-3,0),MSP!$D$5:$N$5,0)+1)
*INDEX(Learning!$E$6:$S$41,(MATCH(H$21,Dates,0)),(MATCH($C$86,Learning!$E$4:$S$4,0)+MATCH($C$97,Learning!$E$5:$S$5,0)-1)))</f>
        <v>65.39636299999998</v>
      </c>
      <c r="I98" s="778" cm="1">
        <f t="array" aca="1" ref="I98" ca="1">IF(I$21&lt;Standard_Year,'No STDs Case Rev &amp; Cost'!I98,
OFFSET(MSP!$C$1,
MATCH(OFFSET($C97,((MATCH($C97,EL_List,0)-1)*-10)-1,0),MSP!$C:$C,0)+MATCH($C97,EL_List,0)-1,
MATCH(OFFSET($C97,((MATCH($C97,EL_List,0)-1)*-10)-3,0),MSP!$D$5:$N$5,0)+1)
*INDEX(Learning!$E$6:$S$41,(MATCH(I$21,Dates,0)),(MATCH($C$86,Learning!$E$4:$S$4,0)+MATCH($C$97,Learning!$E$5:$S$5,0)-1)))</f>
        <v>0</v>
      </c>
      <c r="J98" s="778" cm="1">
        <f t="array" aca="1" ref="J98" ca="1">IF(J$21&lt;Standard_Year,'No STDs Case Rev &amp; Cost'!J98,
OFFSET(MSP!$C$1,
MATCH(OFFSET($C97,((MATCH($C97,EL_List,0)-1)*-10)-1,0),MSP!$C:$C,0)+MATCH($C97,EL_List,0)-1,
MATCH(OFFSET($C97,((MATCH($C97,EL_List,0)-1)*-10)-3,0),MSP!$D$5:$N$5,0)+1)
*INDEX(Learning!$E$6:$S$41,(MATCH(J$21,Dates,0)),(MATCH($C$86,Learning!$E$4:$S$4,0)+MATCH($C$97,Learning!$E$5:$S$5,0)-1)))</f>
        <v>0</v>
      </c>
      <c r="K98" s="778" cm="1">
        <f t="array" aca="1" ref="K98" ca="1">IF(K$21&lt;Standard_Year,'No STDs Case Rev &amp; Cost'!K98,
OFFSET(MSP!$C$1,
MATCH(OFFSET($C97,((MATCH($C97,EL_List,0)-1)*-10)-1,0),MSP!$C:$C,0)+MATCH($C97,EL_List,0)-1,
MATCH(OFFSET($C97,((MATCH($C97,EL_List,0)-1)*-10)-3,0),MSP!$D$5:$N$5,0)+1)
*INDEX(Learning!$E$6:$S$41,(MATCH(K$21,Dates,0)),(MATCH($C$86,Learning!$E$4:$S$4,0)+MATCH($C$97,Learning!$E$5:$S$5,0)-1)))</f>
        <v>0</v>
      </c>
      <c r="L98" s="778" cm="1">
        <f t="array" aca="1" ref="L98" ca="1">IF(L$21&lt;Standard_Year,'No STDs Case Rev &amp; Cost'!L98,
OFFSET(MSP!$C$1,
MATCH(OFFSET($C97,((MATCH($C97,EL_List,0)-1)*-10)-1,0),MSP!$C:$C,0)+MATCH($C97,EL_List,0)-1,
MATCH(OFFSET($C97,((MATCH($C97,EL_List,0)-1)*-10)-3,0),MSP!$D$5:$N$5,0)+1)
*INDEX(Learning!$E$6:$S$41,(MATCH(L$21,Dates,0)),(MATCH($C$86,Learning!$E$4:$S$4,0)+MATCH($C$97,Learning!$E$5:$S$5,0)-1)))</f>
        <v>0</v>
      </c>
      <c r="M98" s="778" cm="1">
        <f t="array" aca="1" ref="M98" ca="1">IF(M$21&lt;Standard_Year,'No STDs Case Rev &amp; Cost'!M98,
OFFSET(MSP!$C$1,
MATCH(OFFSET($C97,((MATCH($C97,EL_List,0)-1)*-10)-1,0),MSP!$C:$C,0)+MATCH($C97,EL_List,0)-1,
MATCH(OFFSET($C97,((MATCH($C97,EL_List,0)-1)*-10)-3,0),MSP!$D$5:$N$5,0)+1)
*INDEX(Learning!$E$6:$S$41,(MATCH(M$21,Dates,0)),(MATCH($C$86,Learning!$E$4:$S$4,0)+MATCH($C$97,Learning!$E$5:$S$5,0)-1)))</f>
        <v>0</v>
      </c>
      <c r="N98" s="778" cm="1">
        <f t="array" aca="1" ref="N98" ca="1">IF(N$21&lt;Standard_Year,'No STDs Case Rev &amp; Cost'!N98,
OFFSET(MSP!$C$1,
MATCH(OFFSET($C97,((MATCH($C97,EL_List,0)-1)*-10)-1,0),MSP!$C:$C,0)+MATCH($C97,EL_List,0)-1,
MATCH(OFFSET($C97,((MATCH($C97,EL_List,0)-1)*-10)-3,0),MSP!$D$5:$N$5,0)+1)
*INDEX(Learning!$E$6:$S$41,(MATCH(N$21,Dates,0)),(MATCH($C$86,Learning!$E$4:$S$4,0)+MATCH($C$97,Learning!$E$5:$S$5,0)-1)))</f>
        <v>0</v>
      </c>
      <c r="O98" s="778" cm="1">
        <f t="array" aca="1" ref="O98" ca="1">IF(O$21&lt;Standard_Year,'No STDs Case Rev &amp; Cost'!O98,
OFFSET(MSP!$C$1,
MATCH(OFFSET($C97,((MATCH($C97,EL_List,0)-1)*-10)-1,0),MSP!$C:$C,0)+MATCH($C97,EL_List,0)-1,
MATCH(OFFSET($C97,((MATCH($C97,EL_List,0)-1)*-10)-3,0),MSP!$D$5:$N$5,0)+1)
*INDEX(Learning!$E$6:$S$41,(MATCH(O$21,Dates,0)),(MATCH($C$86,Learning!$E$4:$S$4,0)+MATCH($C$97,Learning!$E$5:$S$5,0)-1)))</f>
        <v>0</v>
      </c>
      <c r="P98" s="778" cm="1">
        <f t="array" aca="1" ref="P98" ca="1">IF(P$21&lt;Standard_Year,'No STDs Case Rev &amp; Cost'!P98,
OFFSET(MSP!$C$1,
MATCH(OFFSET($C97,((MATCH($C97,EL_List,0)-1)*-10)-1,0),MSP!$C:$C,0)+MATCH($C97,EL_List,0)-1,
MATCH(OFFSET($C97,((MATCH($C97,EL_List,0)-1)*-10)-3,0),MSP!$D$5:$N$5,0)+1)
*INDEX(Learning!$E$6:$S$41,(MATCH(P$21,Dates,0)),(MATCH($C$86,Learning!$E$4:$S$4,0)+MATCH($C$97,Learning!$E$5:$S$5,0)-1)))</f>
        <v>0</v>
      </c>
      <c r="Q98" s="778" cm="1">
        <f t="array" aca="1" ref="Q98" ca="1">IF(Q$21&lt;Standard_Year,'No STDs Case Rev &amp; Cost'!Q98,
OFFSET(MSP!$C$1,
MATCH(OFFSET($C97,((MATCH($C97,EL_List,0)-1)*-10)-1,0),MSP!$C:$C,0)+MATCH($C97,EL_List,0)-1,
MATCH(OFFSET($C97,((MATCH($C97,EL_List,0)-1)*-10)-3,0),MSP!$D$5:$N$5,0)+1)
*INDEX(Learning!$E$6:$S$41,(MATCH(Q$21,Dates,0)),(MATCH($C$86,Learning!$E$4:$S$4,0)+MATCH($C$97,Learning!$E$5:$S$5,0)-1)))</f>
        <v>0</v>
      </c>
      <c r="R98" s="778" cm="1">
        <f t="array" aca="1" ref="R98" ca="1">IF(R$21&lt;Standard_Year,'No STDs Case Rev &amp; Cost'!R98,
OFFSET(MSP!$C$1,
MATCH(OFFSET($C97,((MATCH($C97,EL_List,0)-1)*-10)-1,0),MSP!$C:$C,0)+MATCH($C97,EL_List,0)-1,
MATCH(OFFSET($C97,((MATCH($C97,EL_List,0)-1)*-10)-3,0),MSP!$D$5:$N$5,0)+1)
*INDEX(Learning!$E$6:$S$41,(MATCH(R$21,Dates,0)),(MATCH($C$86,Learning!$E$4:$S$4,0)+MATCH($C$97,Learning!$E$5:$S$5,0)-1)))</f>
        <v>0</v>
      </c>
      <c r="S98" s="778" cm="1">
        <f t="array" aca="1" ref="S98" ca="1">IF(S$21&lt;Standard_Year,'No STDs Case Rev &amp; Cost'!S98,
OFFSET(MSP!$C$1,
MATCH(OFFSET($C97,((MATCH($C97,EL_List,0)-1)*-10)-1,0),MSP!$C:$C,0)+MATCH($C97,EL_List,0)-1,
MATCH(OFFSET($C97,((MATCH($C97,EL_List,0)-1)*-10)-3,0),MSP!$D$5:$N$5,0)+1)
*INDEX(Learning!$E$6:$S$41,(MATCH(S$21,Dates,0)),(MATCH($C$86,Learning!$E$4:$S$4,0)+MATCH($C$97,Learning!$E$5:$S$5,0)-1)))</f>
        <v>0</v>
      </c>
      <c r="T98" s="778" cm="1">
        <f t="array" aca="1" ref="T98" ca="1">IF(T$21&lt;Standard_Year,'No STDs Case Rev &amp; Cost'!T98,
OFFSET(MSP!$C$1,
MATCH(OFFSET($C97,((MATCH($C97,EL_List,0)-1)*-10)-1,0),MSP!$C:$C,0)+MATCH($C97,EL_List,0)-1,
MATCH(OFFSET($C97,((MATCH($C97,EL_List,0)-1)*-10)-3,0),MSP!$D$5:$N$5,0)+1)
*INDEX(Learning!$E$6:$S$41,(MATCH(T$21,Dates,0)),(MATCH($C$86,Learning!$E$4:$S$4,0)+MATCH($C$97,Learning!$E$5:$S$5,0)-1)))</f>
        <v>0</v>
      </c>
      <c r="U98" s="778" cm="1">
        <f t="array" aca="1" ref="U98" ca="1">IF(U$21&lt;Standard_Year,'No STDs Case Rev &amp; Cost'!U98,
OFFSET(MSP!$C$1,
MATCH(OFFSET($C97,((MATCH($C97,EL_List,0)-1)*-10)-1,0),MSP!$C:$C,0)+MATCH($C97,EL_List,0)-1,
MATCH(OFFSET($C97,((MATCH($C97,EL_List,0)-1)*-10)-3,0),MSP!$D$5:$N$5,0)+1)
*INDEX(Learning!$E$6:$S$41,(MATCH(U$21,Dates,0)),(MATCH($C$86,Learning!$E$4:$S$4,0)+MATCH($C$97,Learning!$E$5:$S$5,0)-1)))</f>
        <v>0</v>
      </c>
      <c r="V98" s="778" cm="1">
        <f t="array" aca="1" ref="V98" ca="1">IF(V$21&lt;Standard_Year,'No STDs Case Rev &amp; Cost'!V98,
OFFSET(MSP!$C$1,
MATCH(OFFSET($C97,((MATCH($C97,EL_List,0)-1)*-10)-1,0),MSP!$C:$C,0)+MATCH($C97,EL_List,0)-1,
MATCH(OFFSET($C97,((MATCH($C97,EL_List,0)-1)*-10)-3,0),MSP!$D$5:$N$5,0)+1)
*INDEX(Learning!$E$6:$S$41,(MATCH(V$21,Dates,0)),(MATCH($C$86,Learning!$E$4:$S$4,0)+MATCH($C$97,Learning!$E$5:$S$5,0)-1)))</f>
        <v>0</v>
      </c>
      <c r="W98" s="778" cm="1">
        <f t="array" aca="1" ref="W98" ca="1">IF(W$21&lt;Standard_Year,'No STDs Case Rev &amp; Cost'!W98,
OFFSET(MSP!$C$1,
MATCH(OFFSET($C97,((MATCH($C97,EL_List,0)-1)*-10)-1,0),MSP!$C:$C,0)+MATCH($C97,EL_List,0)-1,
MATCH(OFFSET($C97,((MATCH($C97,EL_List,0)-1)*-10)-3,0),MSP!$D$5:$N$5,0)+1)
*INDEX(Learning!$E$6:$S$41,(MATCH(W$21,Dates,0)),(MATCH($C$86,Learning!$E$4:$S$4,0)+MATCH($C$97,Learning!$E$5:$S$5,0)-1)))</f>
        <v>0</v>
      </c>
      <c r="X98" s="778" cm="1">
        <f t="array" aca="1" ref="X98" ca="1">IF(X$21&lt;Standard_Year,'No STDs Case Rev &amp; Cost'!X98,
OFFSET(MSP!$C$1,
MATCH(OFFSET($C97,((MATCH($C97,EL_List,0)-1)*-10)-1,0),MSP!$C:$C,0)+MATCH($C97,EL_List,0)-1,
MATCH(OFFSET($C97,((MATCH($C97,EL_List,0)-1)*-10)-3,0),MSP!$D$5:$N$5,0)+1)
*INDEX(Learning!$E$6:$S$41,(MATCH(X$21,Dates,0)),(MATCH($C$86,Learning!$E$4:$S$4,0)+MATCH($C$97,Learning!$E$5:$S$5,0)-1)))</f>
        <v>0</v>
      </c>
      <c r="Y98" s="778" cm="1">
        <f t="array" aca="1" ref="Y98" ca="1">IF(Y$21&lt;Standard_Year,'No STDs Case Rev &amp; Cost'!Y98,
OFFSET(MSP!$C$1,
MATCH(OFFSET($C97,((MATCH($C97,EL_List,0)-1)*-10)-1,0),MSP!$C:$C,0)+MATCH($C97,EL_List,0)-1,
MATCH(OFFSET($C97,((MATCH($C97,EL_List,0)-1)*-10)-3,0),MSP!$D$5:$N$5,0)+1)
*INDEX(Learning!$E$6:$S$41,(MATCH(Y$21,Dates,0)),(MATCH($C$86,Learning!$E$4:$S$4,0)+MATCH($C$97,Learning!$E$5:$S$5,0)-1)))</f>
        <v>0</v>
      </c>
      <c r="Z98" s="778" cm="1">
        <f t="array" aca="1" ref="Z98" ca="1">IF(Z$21&lt;Standard_Year,'No STDs Case Rev &amp; Cost'!Z98,
OFFSET(MSP!$C$1,
MATCH(OFFSET($C97,((MATCH($C97,EL_List,0)-1)*-10)-1,0),MSP!$C:$C,0)+MATCH($C97,EL_List,0)-1,
MATCH(OFFSET($C97,((MATCH($C97,EL_List,0)-1)*-10)-3,0),MSP!$D$5:$N$5,0)+1)
*INDEX(Learning!$E$6:$S$41,(MATCH(Z$21,Dates,0)),(MATCH($C$86,Learning!$E$4:$S$4,0)+MATCH($C$97,Learning!$E$5:$S$5,0)-1)))</f>
        <v>0</v>
      </c>
      <c r="AA98" s="778" cm="1">
        <f t="array" aca="1" ref="AA98" ca="1">IF(AA$21&lt;Standard_Year,'No STDs Case Rev &amp; Cost'!AA98,
OFFSET(MSP!$C$1,
MATCH(OFFSET($C97,((MATCH($C97,EL_List,0)-1)*-10)-1,0),MSP!$C:$C,0)+MATCH($C97,EL_List,0)-1,
MATCH(OFFSET($C97,((MATCH($C97,EL_List,0)-1)*-10)-3,0),MSP!$D$5:$N$5,0)+1)
*INDEX(Learning!$E$6:$S$41,(MATCH(AA$21,Dates,0)),(MATCH($C$86,Learning!$E$4:$S$4,0)+MATCH($C$97,Learning!$E$5:$S$5,0)-1)))</f>
        <v>0</v>
      </c>
      <c r="AB98" s="778" cm="1">
        <f t="array" aca="1" ref="AB98" ca="1">IF(AB$21&lt;Standard_Year,'No STDs Case Rev &amp; Cost'!AB98,
OFFSET(MSP!$C$1,
MATCH(OFFSET($C97,((MATCH($C97,EL_List,0)-1)*-10)-1,0),MSP!$C:$C,0)+MATCH($C97,EL_List,0)-1,
MATCH(OFFSET($C97,((MATCH($C97,EL_List,0)-1)*-10)-3,0),MSP!$D$5:$N$5,0)+1)
*INDEX(Learning!$E$6:$S$41,(MATCH(AB$21,Dates,0)),(MATCH($C$86,Learning!$E$4:$S$4,0)+MATCH($C$97,Learning!$E$5:$S$5,0)-1)))</f>
        <v>0</v>
      </c>
      <c r="AC98" s="778" cm="1">
        <f t="array" aca="1" ref="AC98" ca="1">IF(AC$21&lt;Standard_Year,'No STDs Case Rev &amp; Cost'!AC98,
OFFSET(MSP!$C$1,
MATCH(OFFSET($C97,((MATCH($C97,EL_List,0)-1)*-10)-1,0),MSP!$C:$C,0)+MATCH($C97,EL_List,0)-1,
MATCH(OFFSET($C97,((MATCH($C97,EL_List,0)-1)*-10)-3,0),MSP!$D$5:$N$5,0)+1)
*INDEX(Learning!$E$6:$S$41,(MATCH(AC$21,Dates,0)),(MATCH($C$86,Learning!$E$4:$S$4,0)+MATCH($C$97,Learning!$E$5:$S$5,0)-1)))</f>
        <v>0</v>
      </c>
      <c r="AD98" s="778" cm="1">
        <f t="array" aca="1" ref="AD98" ca="1">IF(AD$21&lt;Standard_Year,'No STDs Case Rev &amp; Cost'!AD98,
OFFSET(MSP!$C$1,
MATCH(OFFSET($C97,((MATCH($C97,EL_List,0)-1)*-10)-1,0),MSP!$C:$C,0)+MATCH($C97,EL_List,0)-1,
MATCH(OFFSET($C97,((MATCH($C97,EL_List,0)-1)*-10)-3,0),MSP!$D$5:$N$5,0)+1)
*INDEX(Learning!$E$6:$S$41,(MATCH(AD$21,Dates,0)),(MATCH($C$86,Learning!$E$4:$S$4,0)+MATCH($C$97,Learning!$E$5:$S$5,0)-1)))</f>
        <v>0</v>
      </c>
      <c r="AE98" s="778" cm="1">
        <f t="array" aca="1" ref="AE98" ca="1">IF(AE$21&lt;Standard_Year,'No STDs Case Rev &amp; Cost'!AE98,
OFFSET(MSP!$C$1,
MATCH(OFFSET($C97,((MATCH($C97,EL_List,0)-1)*-10)-1,0),MSP!$C:$C,0)+MATCH($C97,EL_List,0)-1,
MATCH(OFFSET($C97,((MATCH($C97,EL_List,0)-1)*-10)-3,0),MSP!$D$5:$N$5,0)+1)
*INDEX(Learning!$E$6:$S$41,(MATCH(AE$21,Dates,0)),(MATCH($C$86,Learning!$E$4:$S$4,0)+MATCH($C$97,Learning!$E$5:$S$5,0)-1)))</f>
        <v>0</v>
      </c>
      <c r="AF98" s="778" cm="1">
        <f t="array" aca="1" ref="AF98" ca="1">IF(AF$21&lt;Standard_Year,'No STDs Case Rev &amp; Cost'!AF98,
OFFSET(MSP!$C$1,
MATCH(OFFSET($C97,((MATCH($C97,EL_List,0)-1)*-10)-1,0),MSP!$C:$C,0)+MATCH($C97,EL_List,0)-1,
MATCH(OFFSET($C97,((MATCH($C97,EL_List,0)-1)*-10)-3,0),MSP!$D$5:$N$5,0)+1)
*INDEX(Learning!$E$6:$S$41,(MATCH(AF$21,Dates,0)),(MATCH($C$86,Learning!$E$4:$S$4,0)+MATCH($C$97,Learning!$E$5:$S$5,0)-1)))</f>
        <v>0</v>
      </c>
      <c r="AG98" s="778" cm="1">
        <f t="array" aca="1" ref="AG98" ca="1">IF(AG$21&lt;Standard_Year,'No STDs Case Rev &amp; Cost'!AG98,
OFFSET(MSP!$C$1,
MATCH(OFFSET($C97,((MATCH($C97,EL_List,0)-1)*-10)-1,0),MSP!$C:$C,0)+MATCH($C97,EL_List,0)-1,
MATCH(OFFSET($C97,((MATCH($C97,EL_List,0)-1)*-10)-3,0),MSP!$D$5:$N$5,0)+1)
*INDEX(Learning!$E$6:$S$41,(MATCH(AG$21,Dates,0)),(MATCH($C$86,Learning!$E$4:$S$4,0)+MATCH($C$97,Learning!$E$5:$S$5,0)-1)))</f>
        <v>0</v>
      </c>
      <c r="AH98" s="778" cm="1">
        <f t="array" aca="1" ref="AH98" ca="1">IF(AH$21&lt;Standard_Year,'No STDs Case Rev &amp; Cost'!AH98,
OFFSET(MSP!$C$1,
MATCH(OFFSET($C97,((MATCH($C97,EL_List,0)-1)*-10)-1,0),MSP!$C:$C,0)+MATCH($C97,EL_List,0)-1,
MATCH(OFFSET($C97,((MATCH($C97,EL_List,0)-1)*-10)-3,0),MSP!$D$5:$N$5,0)+1)
*INDEX(Learning!$E$6:$S$41,(MATCH(AH$21,Dates,0)),(MATCH($C$86,Learning!$E$4:$S$4,0)+MATCH($C$97,Learning!$E$5:$S$5,0)-1)))</f>
        <v>0</v>
      </c>
      <c r="AI98" s="778" cm="1">
        <f t="array" aca="1" ref="AI98" ca="1">IF(AI$21&lt;Standard_Year,'No STDs Case Rev &amp; Cost'!AI98,
OFFSET(MSP!$C$1,
MATCH(OFFSET($C97,((MATCH($C97,EL_List,0)-1)*-10)-1,0),MSP!$C:$C,0)+MATCH($C97,EL_List,0)-1,
MATCH(OFFSET($C97,((MATCH($C97,EL_List,0)-1)*-10)-3,0),MSP!$D$5:$N$5,0)+1)
*INDEX(Learning!$E$6:$S$41,(MATCH(AI$21,Dates,0)),(MATCH($C$86,Learning!$E$4:$S$4,0)+MATCH($C$97,Learning!$E$5:$S$5,0)-1)))</f>
        <v>0</v>
      </c>
      <c r="AJ98" s="778" cm="1">
        <f t="array" aca="1" ref="AJ98" ca="1">IF(AJ$21&lt;Standard_Year,'No STDs Case Rev &amp; Cost'!AJ98,
OFFSET(MSP!$C$1,
MATCH(OFFSET($C97,((MATCH($C97,EL_List,0)-1)*-10)-1,0),MSP!$C:$C,0)+MATCH($C97,EL_List,0)-1,
MATCH(OFFSET($C97,((MATCH($C97,EL_List,0)-1)*-10)-3,0),MSP!$D$5:$N$5,0)+1)
*INDEX(Learning!$E$6:$S$41,(MATCH(AJ$21,Dates,0)),(MATCH($C$86,Learning!$E$4:$S$4,0)+MATCH($C$97,Learning!$E$5:$S$5,0)-1)))</f>
        <v>0</v>
      </c>
      <c r="AK98" s="778" cm="1">
        <f t="array" aca="1" ref="AK98" ca="1">IF(AK$21&lt;Standard_Year,'No STDs Case Rev &amp; Cost'!AK98,
OFFSET(MSP!$C$1,
MATCH(OFFSET($C97,((MATCH($C97,EL_List,0)-1)*-10)-1,0),MSP!$C:$C,0)+MATCH($C97,EL_List,0)-1,
MATCH(OFFSET($C97,((MATCH($C97,EL_List,0)-1)*-10)-3,0),MSP!$D$5:$N$5,0)+1)
*INDEX(Learning!$E$6:$S$41,(MATCH(AK$21,Dates,0)),(MATCH($C$86,Learning!$E$4:$S$4,0)+MATCH($C$97,Learning!$E$5:$S$5,0)-1)))</f>
        <v>0</v>
      </c>
      <c r="AL98" s="778" cm="1">
        <f t="array" aca="1" ref="AL98" ca="1">IF(AL$21&lt;Standard_Year,'No STDs Case Rev &amp; Cost'!AL98,
OFFSET(MSP!$C$1,
MATCH(OFFSET($C97,((MATCH($C97,EL_List,0)-1)*-10)-1,0),MSP!$C:$C,0)+MATCH($C97,EL_List,0)-1,
MATCH(OFFSET($C97,((MATCH($C97,EL_List,0)-1)*-10)-3,0),MSP!$D$5:$N$5,0)+1)
*INDEX(Learning!$E$6:$S$41,(MATCH(AL$21,Dates,0)),(MATCH($C$86,Learning!$E$4:$S$4,0)+MATCH($C$97,Learning!$E$5:$S$5,0)-1)))</f>
        <v>0</v>
      </c>
      <c r="AM98" s="778" cm="1">
        <f t="array" aca="1" ref="AM98" ca="1">IF(AM$21&lt;Standard_Year,'No STDs Case Rev &amp; Cost'!AM98,
OFFSET(MSP!$C$1,
MATCH(OFFSET($C97,((MATCH($C97,EL_List,0)-1)*-10)-1,0),MSP!$C:$C,0)+MATCH($C97,EL_List,0)-1,
MATCH(OFFSET($C97,((MATCH($C97,EL_List,0)-1)*-10)-3,0),MSP!$D$5:$N$5,0)+1)
*INDEX(Learning!$E$6:$S$41,(MATCH(AM$21,Dates,0)),(MATCH($C$86,Learning!$E$4:$S$4,0)+MATCH($C$97,Learning!$E$5:$S$5,0)-1)))</f>
        <v>0</v>
      </c>
      <c r="AN98" s="778" cm="1">
        <f t="array" aca="1" ref="AN98" ca="1">IF(AN$21&lt;Standard_Year,'No STDs Case Rev &amp; Cost'!AN98,
OFFSET(MSP!$C$1,
MATCH(OFFSET($C97,((MATCH($C97,EL_List,0)-1)*-10)-1,0),MSP!$C:$C,0)+MATCH($C97,EL_List,0)-1,
MATCH(OFFSET($C97,((MATCH($C97,EL_List,0)-1)*-10)-3,0),MSP!$D$5:$N$5,0)+1)
*INDEX(Learning!$E$6:$S$41,(MATCH(AN$21,Dates,0)),(MATCH($C$86,Learning!$E$4:$S$4,0)+MATCH($C$97,Learning!$E$5:$S$5,0)-1)))</f>
        <v>0</v>
      </c>
      <c r="AO98" s="436"/>
      <c r="AP98" s="21"/>
    </row>
    <row r="99" spans="2:42" ht="15" customHeight="1" x14ac:dyDescent="0.35">
      <c r="B99" s="429"/>
      <c r="C99" s="777" t="s">
        <v>78</v>
      </c>
      <c r="D99" s="776"/>
      <c r="E99" s="530">
        <f ca="1">OFFSET(OFFSET(Shipments!$D$1,0,MATCH(E$7,Dates)),
MATCH(OFFSET($C97,((MATCH($C97,EL_List,0)-1)*-10)-3,0),Shipments!$C:$C,0)+
MATCH(OFFSET($C97,((MATCH($C97,EL_List,0)-1)*-10)-1,0),Shipments!$D:$D,0)+
MATCH($C97,EL_List,0)-10,
MATCH(Shipments_Scenario_X,Shipments!$F$5:$AQ$5,0))</f>
        <v>0.66433746501857249</v>
      </c>
      <c r="F99" s="530">
        <f ca="1">OFFSET(OFFSET(Shipments!$D$1,0,MATCH(F$7,Dates)),
MATCH(OFFSET($C97,((MATCH($C97,EL_List,0)-1)*-10)-3,0),Shipments!$C:$C,0)+
MATCH(OFFSET($C97,((MATCH($C97,EL_List,0)-1)*-10)-1,0),Shipments!$D:$D,0)+
MATCH($C97,EL_List,0)-10,
MATCH(Shipments_Scenario_X,Shipments!$F$5:$AQ$5,0))</f>
        <v>0.69404567647187565</v>
      </c>
      <c r="G99" s="530">
        <f ca="1">OFFSET(OFFSET(Shipments!$D$1,0,MATCH(G$7,Dates)),
MATCH(OFFSET($C97,((MATCH($C97,EL_List,0)-1)*-10)-3,0),Shipments!$C:$C,0)+
MATCH(OFFSET($C97,((MATCH($C97,EL_List,0)-1)*-10)-1,0),Shipments!$D:$D,0)+
MATCH($C97,EL_List,0)-10,
MATCH(Shipments_Scenario_X,Shipments!$F$5:$AQ$5,0))</f>
        <v>1.1957846509607246</v>
      </c>
      <c r="H99" s="530">
        <f ca="1">OFFSET(OFFSET(Shipments!$D$1,0,MATCH(H$7,Dates)),
MATCH(OFFSET($C97,((MATCH($C97,EL_List,0)-1)*-10)-3,0),Shipments!$C:$C,0)+
MATCH(OFFSET($C97,((MATCH($C97,EL_List,0)-1)*-10)-1,0),Shipments!$D:$D,0)+
MATCH($C97,EL_List,0)-10,
MATCH(Shipments_Scenario_X,Shipments!$F$5:$AQ$5,0))</f>
        <v>1.2532237680838625</v>
      </c>
      <c r="I99" s="530">
        <f ca="1">OFFSET(OFFSET(Shipments!$D$1,0,MATCH(I$7,Dates)),
MATCH(OFFSET($C97,((MATCH($C97,EL_List,0)-1)*-10)-3,0),Shipments!$C:$C,0)+
MATCH(OFFSET($C97,((MATCH($C97,EL_List,0)-1)*-10)-1,0),Shipments!$D:$D,0)+
MATCH($C97,EL_List,0)-10,
MATCH(Shipments_Scenario_X,Shipments!$F$5:$AQ$5,0))</f>
        <v>0</v>
      </c>
      <c r="J99" s="530">
        <f ca="1">OFFSET(OFFSET(Shipments!$D$1,0,MATCH(J$7,Dates)),
MATCH(OFFSET($C97,((MATCH($C97,EL_List,0)-1)*-10)-3,0),Shipments!$C:$C,0)+
MATCH(OFFSET($C97,((MATCH($C97,EL_List,0)-1)*-10)-1,0),Shipments!$D:$D,0)+
MATCH($C97,EL_List,0)-10,
MATCH(Shipments_Scenario_X,Shipments!$F$5:$AQ$5,0))</f>
        <v>0</v>
      </c>
      <c r="K99" s="530">
        <f ca="1">OFFSET(OFFSET(Shipments!$D$1,0,MATCH(K$7,Dates)),
MATCH(OFFSET($C97,((MATCH($C97,EL_List,0)-1)*-10)-3,0),Shipments!$C:$C,0)+
MATCH(OFFSET($C97,((MATCH($C97,EL_List,0)-1)*-10)-1,0),Shipments!$D:$D,0)+
MATCH($C97,EL_List,0)-10,
MATCH(Shipments_Scenario_X,Shipments!$F$5:$AQ$5,0))</f>
        <v>0</v>
      </c>
      <c r="L99" s="530">
        <f ca="1">OFFSET(OFFSET(Shipments!$D$1,0,MATCH(L$7,Dates)),
MATCH(OFFSET($C97,((MATCH($C97,EL_List,0)-1)*-10)-3,0),Shipments!$C:$C,0)+
MATCH(OFFSET($C97,((MATCH($C97,EL_List,0)-1)*-10)-1,0),Shipments!$D:$D,0)+
MATCH($C97,EL_List,0)-10,
MATCH(Shipments_Scenario_X,Shipments!$F$5:$AQ$5,0))</f>
        <v>0</v>
      </c>
      <c r="M99" s="530">
        <f ca="1">OFFSET(OFFSET(Shipments!$D$1,0,MATCH(M$7,Dates)),
MATCH(OFFSET($C97,((MATCH($C97,EL_List,0)-1)*-10)-3,0),Shipments!$C:$C,0)+
MATCH(OFFSET($C97,((MATCH($C97,EL_List,0)-1)*-10)-1,0),Shipments!$D:$D,0)+
MATCH($C97,EL_List,0)-10,
MATCH(Shipments_Scenario_X,Shipments!$F$5:$AQ$5,0))</f>
        <v>0</v>
      </c>
      <c r="N99" s="530">
        <f ca="1">OFFSET(OFFSET(Shipments!$D$1,0,MATCH(N$7,Dates)),
MATCH(OFFSET($C97,((MATCH($C97,EL_List,0)-1)*-10)-3,0),Shipments!$C:$C,0)+
MATCH(OFFSET($C97,((MATCH($C97,EL_List,0)-1)*-10)-1,0),Shipments!$D:$D,0)+
MATCH($C97,EL_List,0)-10,
MATCH(Shipments_Scenario_X,Shipments!$F$5:$AQ$5,0))</f>
        <v>0</v>
      </c>
      <c r="O99" s="530">
        <f ca="1">OFFSET(OFFSET(Shipments!$D$1,0,MATCH(O$7,Dates)),
MATCH(OFFSET($C97,((MATCH($C97,EL_List,0)-1)*-10)-3,0),Shipments!$C:$C,0)+
MATCH(OFFSET($C97,((MATCH($C97,EL_List,0)-1)*-10)-1,0),Shipments!$D:$D,0)+
MATCH($C97,EL_List,0)-10,
MATCH(Shipments_Scenario_X,Shipments!$F$5:$AQ$5,0))</f>
        <v>0</v>
      </c>
      <c r="P99" s="530">
        <f ca="1">OFFSET(OFFSET(Shipments!$D$1,0,MATCH(P$7,Dates)),
MATCH(OFFSET($C97,((MATCH($C97,EL_List,0)-1)*-10)-3,0),Shipments!$C:$C,0)+
MATCH(OFFSET($C97,((MATCH($C97,EL_List,0)-1)*-10)-1,0),Shipments!$D:$D,0)+
MATCH($C97,EL_List,0)-10,
MATCH(Shipments_Scenario_X,Shipments!$F$5:$AQ$5,0))</f>
        <v>0</v>
      </c>
      <c r="Q99" s="530">
        <f ca="1">OFFSET(OFFSET(Shipments!$D$1,0,MATCH(Q$7,Dates)),
MATCH(OFFSET($C97,((MATCH($C97,EL_List,0)-1)*-10)-3,0),Shipments!$C:$C,0)+
MATCH(OFFSET($C97,((MATCH($C97,EL_List,0)-1)*-10)-1,0),Shipments!$D:$D,0)+
MATCH($C97,EL_List,0)-10,
MATCH(Shipments_Scenario_X,Shipments!$F$5:$AQ$5,0))</f>
        <v>0</v>
      </c>
      <c r="R99" s="530">
        <f ca="1">OFFSET(OFFSET(Shipments!$D$1,0,MATCH(R$7,Dates)),
MATCH(OFFSET($C97,((MATCH($C97,EL_List,0)-1)*-10)-3,0),Shipments!$C:$C,0)+
MATCH(OFFSET($C97,((MATCH($C97,EL_List,0)-1)*-10)-1,0),Shipments!$D:$D,0)+
MATCH($C97,EL_List,0)-10,
MATCH(Shipments_Scenario_X,Shipments!$F$5:$AQ$5,0))</f>
        <v>0</v>
      </c>
      <c r="S99" s="530">
        <f ca="1">OFFSET(OFFSET(Shipments!$D$1,0,MATCH(S$7,Dates)),
MATCH(OFFSET($C97,((MATCH($C97,EL_List,0)-1)*-10)-3,0),Shipments!$C:$C,0)+
MATCH(OFFSET($C97,((MATCH($C97,EL_List,0)-1)*-10)-1,0),Shipments!$D:$D,0)+
MATCH($C97,EL_List,0)-10,
MATCH(Shipments_Scenario_X,Shipments!$F$5:$AQ$5,0))</f>
        <v>0</v>
      </c>
      <c r="T99" s="530">
        <f ca="1">OFFSET(OFFSET(Shipments!$D$1,0,MATCH(T$7,Dates)),
MATCH(OFFSET($C97,((MATCH($C97,EL_List,0)-1)*-10)-3,0),Shipments!$C:$C,0)+
MATCH(OFFSET($C97,((MATCH($C97,EL_List,0)-1)*-10)-1,0),Shipments!$D:$D,0)+
MATCH($C97,EL_List,0)-10,
MATCH(Shipments_Scenario_X,Shipments!$F$5:$AQ$5,0))</f>
        <v>0</v>
      </c>
      <c r="U99" s="530">
        <f ca="1">OFFSET(OFFSET(Shipments!$D$1,0,MATCH(U$7,Dates)),
MATCH(OFFSET($C97,((MATCH($C97,EL_List,0)-1)*-10)-3,0),Shipments!$C:$C,0)+
MATCH(OFFSET($C97,((MATCH($C97,EL_List,0)-1)*-10)-1,0),Shipments!$D:$D,0)+
MATCH($C97,EL_List,0)-10,
MATCH(Shipments_Scenario_X,Shipments!$F$5:$AQ$5,0))</f>
        <v>0</v>
      </c>
      <c r="V99" s="530">
        <f ca="1">OFFSET(OFFSET(Shipments!$D$1,0,MATCH(V$7,Dates)),
MATCH(OFFSET($C97,((MATCH($C97,EL_List,0)-1)*-10)-3,0),Shipments!$C:$C,0)+
MATCH(OFFSET($C97,((MATCH($C97,EL_List,0)-1)*-10)-1,0),Shipments!$D:$D,0)+
MATCH($C97,EL_List,0)-10,
MATCH(Shipments_Scenario_X,Shipments!$F$5:$AQ$5,0))</f>
        <v>0</v>
      </c>
      <c r="W99" s="530">
        <f ca="1">OFFSET(OFFSET(Shipments!$D$1,0,MATCH(W$7,Dates)),
MATCH(OFFSET($C97,((MATCH($C97,EL_List,0)-1)*-10)-3,0),Shipments!$C:$C,0)+
MATCH(OFFSET($C97,((MATCH($C97,EL_List,0)-1)*-10)-1,0),Shipments!$D:$D,0)+
MATCH($C97,EL_List,0)-10,
MATCH(Shipments_Scenario_X,Shipments!$F$5:$AQ$5,0))</f>
        <v>0</v>
      </c>
      <c r="X99" s="530">
        <f ca="1">OFFSET(OFFSET(Shipments!$D$1,0,MATCH(X$7,Dates)),
MATCH(OFFSET($C97,((MATCH($C97,EL_List,0)-1)*-10)-3,0),Shipments!$C:$C,0)+
MATCH(OFFSET($C97,((MATCH($C97,EL_List,0)-1)*-10)-1,0),Shipments!$D:$D,0)+
MATCH($C97,EL_List,0)-10,
MATCH(Shipments_Scenario_X,Shipments!$F$5:$AQ$5,0))</f>
        <v>0</v>
      </c>
      <c r="Y99" s="530">
        <f ca="1">OFFSET(OFFSET(Shipments!$D$1,0,MATCH(Y$7,Dates)),
MATCH(OFFSET($C97,((MATCH($C97,EL_List,0)-1)*-10)-3,0),Shipments!$C:$C,0)+
MATCH(OFFSET($C97,((MATCH($C97,EL_List,0)-1)*-10)-1,0),Shipments!$D:$D,0)+
MATCH($C97,EL_List,0)-10,
MATCH(Shipments_Scenario_X,Shipments!$F$5:$AQ$5,0))</f>
        <v>0</v>
      </c>
      <c r="Z99" s="530">
        <f ca="1">OFFSET(OFFSET(Shipments!$D$1,0,MATCH(Z$7,Dates)),
MATCH(OFFSET($C97,((MATCH($C97,EL_List,0)-1)*-10)-3,0),Shipments!$C:$C,0)+
MATCH(OFFSET($C97,((MATCH($C97,EL_List,0)-1)*-10)-1,0),Shipments!$D:$D,0)+
MATCH($C97,EL_List,0)-10,
MATCH(Shipments_Scenario_X,Shipments!$F$5:$AQ$5,0))</f>
        <v>0</v>
      </c>
      <c r="AA99" s="530">
        <f ca="1">OFFSET(OFFSET(Shipments!$D$1,0,MATCH(AA$7,Dates)),
MATCH(OFFSET($C97,((MATCH($C97,EL_List,0)-1)*-10)-3,0),Shipments!$C:$C,0)+
MATCH(OFFSET($C97,((MATCH($C97,EL_List,0)-1)*-10)-1,0),Shipments!$D:$D,0)+
MATCH($C97,EL_List,0)-10,
MATCH(Shipments_Scenario_X,Shipments!$F$5:$AQ$5,0))</f>
        <v>0</v>
      </c>
      <c r="AB99" s="530">
        <f ca="1">OFFSET(OFFSET(Shipments!$D$1,0,MATCH(AB$7,Dates)),
MATCH(OFFSET($C97,((MATCH($C97,EL_List,0)-1)*-10)-3,0),Shipments!$C:$C,0)+
MATCH(OFFSET($C97,((MATCH($C97,EL_List,0)-1)*-10)-1,0),Shipments!$D:$D,0)+
MATCH($C97,EL_List,0)-10,
MATCH(Shipments_Scenario_X,Shipments!$F$5:$AQ$5,0))</f>
        <v>0</v>
      </c>
      <c r="AC99" s="530">
        <f ca="1">OFFSET(OFFSET(Shipments!$D$1,0,MATCH(AC$7,Dates)),
MATCH(OFFSET($C97,((MATCH($C97,EL_List,0)-1)*-10)-3,0),Shipments!$C:$C,0)+
MATCH(OFFSET($C97,((MATCH($C97,EL_List,0)-1)*-10)-1,0),Shipments!$D:$D,0)+
MATCH($C97,EL_List,0)-10,
MATCH(Shipments_Scenario_X,Shipments!$F$5:$AQ$5,0))</f>
        <v>0</v>
      </c>
      <c r="AD99" s="530">
        <f ca="1">OFFSET(OFFSET(Shipments!$D$1,0,MATCH(AD$7,Dates)),
MATCH(OFFSET($C97,((MATCH($C97,EL_List,0)-1)*-10)-3,0),Shipments!$C:$C,0)+
MATCH(OFFSET($C97,((MATCH($C97,EL_List,0)-1)*-10)-1,0),Shipments!$D:$D,0)+
MATCH($C97,EL_List,0)-10,
MATCH(Shipments_Scenario_X,Shipments!$F$5:$AQ$5,0))</f>
        <v>0</v>
      </c>
      <c r="AE99" s="530">
        <f ca="1">OFFSET(OFFSET(Shipments!$D$1,0,MATCH(AE$7,Dates)),
MATCH(OFFSET($C97,((MATCH($C97,EL_List,0)-1)*-10)-3,0),Shipments!$C:$C,0)+
MATCH(OFFSET($C97,((MATCH($C97,EL_List,0)-1)*-10)-1,0),Shipments!$D:$D,0)+
MATCH($C97,EL_List,0)-10,
MATCH(Shipments_Scenario_X,Shipments!$F$5:$AQ$5,0))</f>
        <v>0</v>
      </c>
      <c r="AF99" s="530">
        <f ca="1">OFFSET(OFFSET(Shipments!$D$1,0,MATCH(AF$7,Dates)),
MATCH(OFFSET($C97,((MATCH($C97,EL_List,0)-1)*-10)-3,0),Shipments!$C:$C,0)+
MATCH(OFFSET($C97,((MATCH($C97,EL_List,0)-1)*-10)-1,0),Shipments!$D:$D,0)+
MATCH($C97,EL_List,0)-10,
MATCH(Shipments_Scenario_X,Shipments!$F$5:$AQ$5,0))</f>
        <v>0</v>
      </c>
      <c r="AG99" s="530">
        <f ca="1">OFFSET(OFFSET(Shipments!$D$1,0,MATCH(AG$7,Dates)),
MATCH(OFFSET($C97,((MATCH($C97,EL_List,0)-1)*-10)-3,0),Shipments!$C:$C,0)+
MATCH(OFFSET($C97,((MATCH($C97,EL_List,0)-1)*-10)-1,0),Shipments!$D:$D,0)+
MATCH($C97,EL_List,0)-10,
MATCH(Shipments_Scenario_X,Shipments!$F$5:$AQ$5,0))</f>
        <v>0</v>
      </c>
      <c r="AH99" s="530">
        <f ca="1">OFFSET(OFFSET(Shipments!$D$1,0,MATCH(AH$7,Dates)),
MATCH(OFFSET($C97,((MATCH($C97,EL_List,0)-1)*-10)-3,0),Shipments!$C:$C,0)+
MATCH(OFFSET($C97,((MATCH($C97,EL_List,0)-1)*-10)-1,0),Shipments!$D:$D,0)+
MATCH($C97,EL_List,0)-10,
MATCH(Shipments_Scenario_X,Shipments!$F$5:$AQ$5,0))</f>
        <v>0</v>
      </c>
      <c r="AI99" s="530">
        <f ca="1">OFFSET(OFFSET(Shipments!$D$1,0,MATCH(AI$7,Dates)),
MATCH(OFFSET($C97,((MATCH($C97,EL_List,0)-1)*-10)-3,0),Shipments!$C:$C,0)+
MATCH(OFFSET($C97,((MATCH($C97,EL_List,0)-1)*-10)-1,0),Shipments!$D:$D,0)+
MATCH($C97,EL_List,0)-10,
MATCH(Shipments_Scenario_X,Shipments!$F$5:$AQ$5,0))</f>
        <v>0</v>
      </c>
      <c r="AJ99" s="530">
        <f ca="1">OFFSET(OFFSET(Shipments!$D$1,0,MATCH(AJ$7,Dates)),
MATCH(OFFSET($C97,((MATCH($C97,EL_List,0)-1)*-10)-3,0),Shipments!$C:$C,0)+
MATCH(OFFSET($C97,((MATCH($C97,EL_List,0)-1)*-10)-1,0),Shipments!$D:$D,0)+
MATCH($C97,EL_List,0)-10,
MATCH(Shipments_Scenario_X,Shipments!$F$5:$AQ$5,0))</f>
        <v>0</v>
      </c>
      <c r="AK99" s="530">
        <f ca="1">OFFSET(OFFSET(Shipments!$D$1,0,MATCH(AK$7,Dates)),
MATCH(OFFSET($C97,((MATCH($C97,EL_List,0)-1)*-10)-3,0),Shipments!$C:$C,0)+
MATCH(OFFSET($C97,((MATCH($C97,EL_List,0)-1)*-10)-1,0),Shipments!$D:$D,0)+
MATCH($C97,EL_List,0)-10,
MATCH(Shipments_Scenario_X,Shipments!$F$5:$AQ$5,0))</f>
        <v>0</v>
      </c>
      <c r="AL99" s="530">
        <f ca="1">OFFSET(OFFSET(Shipments!$D$1,0,MATCH(AL$7,Dates)),
MATCH(OFFSET($C97,((MATCH($C97,EL_List,0)-1)*-10)-3,0),Shipments!$C:$C,0)+
MATCH(OFFSET($C97,((MATCH($C97,EL_List,0)-1)*-10)-1,0),Shipments!$D:$D,0)+
MATCH($C97,EL_List,0)-10,
MATCH(Shipments_Scenario_X,Shipments!$F$5:$AQ$5,0))</f>
        <v>0</v>
      </c>
      <c r="AM99" s="530">
        <f ca="1">OFFSET(OFFSET(Shipments!$D$1,0,MATCH(AM$7,Dates)),
MATCH(OFFSET($C97,((MATCH($C97,EL_List,0)-1)*-10)-3,0),Shipments!$C:$C,0)+
MATCH(OFFSET($C97,((MATCH($C97,EL_List,0)-1)*-10)-1,0),Shipments!$D:$D,0)+
MATCH($C97,EL_List,0)-10,
MATCH(Shipments_Scenario_X,Shipments!$F$5:$AQ$5,0))</f>
        <v>0</v>
      </c>
      <c r="AN99" s="530">
        <f ca="1">OFFSET(OFFSET(Shipments!$D$1,0,MATCH(AN$7,Dates)),
MATCH(OFFSET($C97,((MATCH($C97,EL_List,0)-1)*-10)-3,0),Shipments!$C:$C,0)+
MATCH(OFFSET($C97,((MATCH($C97,EL_List,0)-1)*-10)-1,0),Shipments!$D:$D,0)+
MATCH($C97,EL_List,0)-10,
MATCH(Shipments_Scenario_X,Shipments!$F$5:$AQ$5,0))</f>
        <v>0</v>
      </c>
      <c r="AO99" s="436"/>
      <c r="AP99" s="21"/>
    </row>
    <row r="100" spans="2:42" ht="15" customHeight="1" x14ac:dyDescent="0.35">
      <c r="B100" s="429"/>
      <c r="C100" s="777" t="s">
        <v>79</v>
      </c>
      <c r="D100" s="776"/>
      <c r="E100" s="531">
        <f t="shared" ref="E100:AN100" ca="1" si="24">E98*E99</f>
        <v>44.425863283181798</v>
      </c>
      <c r="F100" s="531">
        <f t="shared" ca="1" si="24"/>
        <v>46.056189537819364</v>
      </c>
      <c r="G100" s="531">
        <f t="shared" ca="1" si="24"/>
        <v>78.813902076413484</v>
      </c>
      <c r="H100" s="531">
        <f t="shared" ca="1" si="24"/>
        <v>81.956276457840062</v>
      </c>
      <c r="I100" s="531">
        <f t="shared" ca="1" si="24"/>
        <v>0</v>
      </c>
      <c r="J100" s="531">
        <f t="shared" ca="1" si="24"/>
        <v>0</v>
      </c>
      <c r="K100" s="531">
        <f t="shared" ca="1" si="24"/>
        <v>0</v>
      </c>
      <c r="L100" s="531">
        <f t="shared" ca="1" si="24"/>
        <v>0</v>
      </c>
      <c r="M100" s="531">
        <f t="shared" ca="1" si="24"/>
        <v>0</v>
      </c>
      <c r="N100" s="531">
        <f t="shared" ca="1" si="24"/>
        <v>0</v>
      </c>
      <c r="O100" s="531">
        <f t="shared" ca="1" si="24"/>
        <v>0</v>
      </c>
      <c r="P100" s="531">
        <f t="shared" ca="1" si="24"/>
        <v>0</v>
      </c>
      <c r="Q100" s="531">
        <f t="shared" ca="1" si="24"/>
        <v>0</v>
      </c>
      <c r="R100" s="531">
        <f t="shared" ca="1" si="24"/>
        <v>0</v>
      </c>
      <c r="S100" s="531">
        <f t="shared" ca="1" si="24"/>
        <v>0</v>
      </c>
      <c r="T100" s="531">
        <f t="shared" ca="1" si="24"/>
        <v>0</v>
      </c>
      <c r="U100" s="531">
        <f t="shared" ca="1" si="24"/>
        <v>0</v>
      </c>
      <c r="V100" s="531">
        <f t="shared" ca="1" si="24"/>
        <v>0</v>
      </c>
      <c r="W100" s="531">
        <f t="shared" ca="1" si="24"/>
        <v>0</v>
      </c>
      <c r="X100" s="531">
        <f t="shared" ca="1" si="24"/>
        <v>0</v>
      </c>
      <c r="Y100" s="531">
        <f t="shared" ca="1" si="24"/>
        <v>0</v>
      </c>
      <c r="Z100" s="531">
        <f t="shared" ca="1" si="24"/>
        <v>0</v>
      </c>
      <c r="AA100" s="531">
        <f t="shared" ca="1" si="24"/>
        <v>0</v>
      </c>
      <c r="AB100" s="531">
        <f t="shared" ca="1" si="24"/>
        <v>0</v>
      </c>
      <c r="AC100" s="531">
        <f t="shared" ca="1" si="24"/>
        <v>0</v>
      </c>
      <c r="AD100" s="531">
        <f t="shared" ca="1" si="24"/>
        <v>0</v>
      </c>
      <c r="AE100" s="531">
        <f t="shared" ca="1" si="24"/>
        <v>0</v>
      </c>
      <c r="AF100" s="531">
        <f t="shared" ca="1" si="24"/>
        <v>0</v>
      </c>
      <c r="AG100" s="531">
        <f t="shared" ca="1" si="24"/>
        <v>0</v>
      </c>
      <c r="AH100" s="531">
        <f t="shared" ca="1" si="24"/>
        <v>0</v>
      </c>
      <c r="AI100" s="531">
        <f t="shared" ca="1" si="24"/>
        <v>0</v>
      </c>
      <c r="AJ100" s="531">
        <f t="shared" ca="1" si="24"/>
        <v>0</v>
      </c>
      <c r="AK100" s="531">
        <f t="shared" ca="1" si="24"/>
        <v>0</v>
      </c>
      <c r="AL100" s="531">
        <f t="shared" ca="1" si="24"/>
        <v>0</v>
      </c>
      <c r="AM100" s="531">
        <f t="shared" ref="AM100" ca="1" si="25">AM98*AM99</f>
        <v>0</v>
      </c>
      <c r="AN100" s="531">
        <f t="shared" ca="1" si="24"/>
        <v>0</v>
      </c>
      <c r="AO100" s="436"/>
      <c r="AP100" s="21"/>
    </row>
    <row r="101" spans="2:42" ht="15" customHeight="1" x14ac:dyDescent="0.35">
      <c r="B101" s="429"/>
      <c r="C101" s="777"/>
      <c r="D101" s="776"/>
      <c r="E101" s="776"/>
      <c r="F101" s="776"/>
      <c r="G101" s="776"/>
      <c r="H101" s="776"/>
      <c r="I101" s="776"/>
      <c r="J101" s="776"/>
      <c r="K101" s="776"/>
      <c r="L101" s="776"/>
      <c r="M101" s="776"/>
      <c r="N101" s="776"/>
      <c r="O101" s="776"/>
      <c r="P101" s="776"/>
      <c r="Q101" s="776"/>
      <c r="R101" s="776"/>
      <c r="S101" s="776"/>
      <c r="T101" s="776"/>
      <c r="U101" s="776"/>
      <c r="V101" s="776"/>
      <c r="W101" s="776"/>
      <c r="X101" s="776"/>
      <c r="Y101" s="776"/>
      <c r="Z101" s="776"/>
      <c r="AA101" s="776"/>
      <c r="AB101" s="776"/>
      <c r="AC101" s="776"/>
      <c r="AD101" s="776"/>
      <c r="AE101" s="776"/>
      <c r="AF101" s="776"/>
      <c r="AG101" s="776"/>
      <c r="AH101" s="776"/>
      <c r="AI101" s="776"/>
      <c r="AJ101" s="776"/>
      <c r="AK101" s="776"/>
      <c r="AL101" s="776"/>
      <c r="AM101" s="776"/>
      <c r="AN101" s="776"/>
      <c r="AO101" s="436"/>
      <c r="AP101" s="21"/>
    </row>
    <row r="102" spans="2:42" ht="15" customHeight="1" x14ac:dyDescent="0.35">
      <c r="B102" s="429"/>
      <c r="C102" s="780" t="s">
        <v>212</v>
      </c>
      <c r="D102" s="776"/>
      <c r="E102" s="532" cm="1">
        <f t="array" aca="1" ref="E102" ca="1">IF(E$21&lt;Standard_Year,'No STDs Case Rev &amp; Cost'!E102,
OFFSET(E102,-3,0)*
OFFSET(MSP!$D$1,
MATCH(OFFSET($C97,((MATCH($C97,EL_List,0)-1)*-10)-1,0),MSP!$C:$C,0)+MATCH($C97,EL_List,0)-1,0)
*INDEX(Learning!$E$6:$S$41,(MATCH(E$21,Dates,0)),(MATCH($C$86,Learning!$E$4:$S$4,0)+MATCH($C$97,Learning!$E$5:$S$5,0)-1)))</f>
        <v>27.673571307928796</v>
      </c>
      <c r="F102" s="532" cm="1">
        <f t="array" aca="1" ref="F102" ca="1">IF(F$21&lt;Standard_Year,'No STDs Case Rev &amp; Cost'!F102,
OFFSET(F102,-3,0)*
OFFSET(MSP!$D$1,
MATCH(OFFSET($C97,((MATCH($C97,EL_List,0)-1)*-10)-1,0),MSP!$C:$C,0)+MATCH($C97,EL_List,0)-1,0)
*INDEX(Learning!$E$6:$S$41,(MATCH(F$21,Dates,0)),(MATCH($C$86,Learning!$E$4:$S$4,0)+MATCH($C$97,Learning!$E$5:$S$5,0)-1)))</f>
        <v>28.689127259544509</v>
      </c>
      <c r="G102" s="532" cm="1">
        <f t="array" aca="1" ref="G102" ca="1">IF(G$21&lt;Standard_Year,'No STDs Case Rev &amp; Cost'!G102,
OFFSET(G102,-3,0)*
OFFSET(MSP!$D$1,
MATCH(OFFSET($C97,((MATCH($C97,EL_List,0)-1)*-10)-1,0),MSP!$C:$C,0)+MATCH($C97,EL_List,0)-1,0)
*INDEX(Learning!$E$6:$S$41,(MATCH(G$21,Dates,0)),(MATCH($C$86,Learning!$E$4:$S$4,0)+MATCH($C$97,Learning!$E$5:$S$5,0)-1)))</f>
        <v>29.58789794477331</v>
      </c>
      <c r="H102" s="532" cm="1">
        <f t="array" aca="1" ref="H102" ca="1">IF(H$21&lt;Standard_Year,'No STDs Case Rev &amp; Cost'!H102,
OFFSET(H102,-3,0)*
OFFSET(MSP!$D$1,
MATCH(OFFSET($C97,((MATCH($C97,EL_List,0)-1)*-10)-1,0),MSP!$C:$C,0)+MATCH($C97,EL_List,0)-1,0)
*INDEX(Learning!$E$6:$S$41,(MATCH(H$21,Dates,0)),(MATCH($C$86,Learning!$E$4:$S$4,0)+MATCH($C$97,Learning!$E$5:$S$5,0)-1)))</f>
        <v>30.736130086604408</v>
      </c>
      <c r="I102" s="532" cm="1">
        <f t="array" aca="1" ref="I102" ca="1">IF(I$21&lt;Standard_Year,'No STDs Case Rev &amp; Cost'!I102,
OFFSET(I102,-3,0)*
OFFSET(MSP!$D$1,
MATCH(OFFSET($C97,((MATCH($C97,EL_List,0)-1)*-10)-1,0),MSP!$C:$C,0)+MATCH($C97,EL_List,0)-1,0)
*INDEX(Learning!$E$6:$S$41,(MATCH(I$21,Dates,0)),(MATCH($C$86,Learning!$E$4:$S$4,0)+MATCH($C$97,Learning!$E$5:$S$5,0)-1)))</f>
        <v>0</v>
      </c>
      <c r="J102" s="532" cm="1">
        <f t="array" aca="1" ref="J102" ca="1">IF(J$21&lt;Standard_Year,'No STDs Case Rev &amp; Cost'!J102,
OFFSET(J102,-3,0)*
OFFSET(MSP!$D$1,
MATCH(OFFSET($C97,((MATCH($C97,EL_List,0)-1)*-10)-1,0),MSP!$C:$C,0)+MATCH($C97,EL_List,0)-1,0)
*INDEX(Learning!$E$6:$S$41,(MATCH(J$21,Dates,0)),(MATCH($C$86,Learning!$E$4:$S$4,0)+MATCH($C$97,Learning!$E$5:$S$5,0)-1)))</f>
        <v>0</v>
      </c>
      <c r="K102" s="532" cm="1">
        <f t="array" aca="1" ref="K102" ca="1">IF(K$21&lt;Standard_Year,'No STDs Case Rev &amp; Cost'!K102,
OFFSET(K102,-3,0)*
OFFSET(MSP!$D$1,
MATCH(OFFSET($C97,((MATCH($C97,EL_List,0)-1)*-10)-1,0),MSP!$C:$C,0)+MATCH($C97,EL_List,0)-1,0)
*INDEX(Learning!$E$6:$S$41,(MATCH(K$21,Dates,0)),(MATCH($C$86,Learning!$E$4:$S$4,0)+MATCH($C$97,Learning!$E$5:$S$5,0)-1)))</f>
        <v>0</v>
      </c>
      <c r="L102" s="532" cm="1">
        <f t="array" aca="1" ref="L102" ca="1">IF(L$21&lt;Standard_Year,'No STDs Case Rev &amp; Cost'!L102,
OFFSET(L102,-3,0)*
OFFSET(MSP!$D$1,
MATCH(OFFSET($C97,((MATCH($C97,EL_List,0)-1)*-10)-1,0),MSP!$C:$C,0)+MATCH($C97,EL_List,0)-1,0)
*INDEX(Learning!$E$6:$S$41,(MATCH(L$21,Dates,0)),(MATCH($C$86,Learning!$E$4:$S$4,0)+MATCH($C$97,Learning!$E$5:$S$5,0)-1)))</f>
        <v>0</v>
      </c>
      <c r="M102" s="532" cm="1">
        <f t="array" aca="1" ref="M102" ca="1">IF(M$21&lt;Standard_Year,'No STDs Case Rev &amp; Cost'!M102,
OFFSET(M102,-3,0)*
OFFSET(MSP!$D$1,
MATCH(OFFSET($C97,((MATCH($C97,EL_List,0)-1)*-10)-1,0),MSP!$C:$C,0)+MATCH($C97,EL_List,0)-1,0)
*INDEX(Learning!$E$6:$S$41,(MATCH(M$21,Dates,0)),(MATCH($C$86,Learning!$E$4:$S$4,0)+MATCH($C$97,Learning!$E$5:$S$5,0)-1)))</f>
        <v>0</v>
      </c>
      <c r="N102" s="532" cm="1">
        <f t="array" aca="1" ref="N102" ca="1">IF(N$21&lt;Standard_Year,'No STDs Case Rev &amp; Cost'!N102,
OFFSET(N102,-3,0)*
OFFSET(MSP!$D$1,
MATCH(OFFSET($C97,((MATCH($C97,EL_List,0)-1)*-10)-1,0),MSP!$C:$C,0)+MATCH($C97,EL_List,0)-1,0)
*INDEX(Learning!$E$6:$S$41,(MATCH(N$21,Dates,0)),(MATCH($C$86,Learning!$E$4:$S$4,0)+MATCH($C$97,Learning!$E$5:$S$5,0)-1)))</f>
        <v>0</v>
      </c>
      <c r="O102" s="532" cm="1">
        <f t="array" aca="1" ref="O102" ca="1">IF(O$21&lt;Standard_Year,'No STDs Case Rev &amp; Cost'!O102,
OFFSET(O102,-3,0)*
OFFSET(MSP!$D$1,
MATCH(OFFSET($C97,((MATCH($C97,EL_List,0)-1)*-10)-1,0),MSP!$C:$C,0)+MATCH($C97,EL_List,0)-1,0)
*INDEX(Learning!$E$6:$S$41,(MATCH(O$21,Dates,0)),(MATCH($C$86,Learning!$E$4:$S$4,0)+MATCH($C$97,Learning!$E$5:$S$5,0)-1)))</f>
        <v>0</v>
      </c>
      <c r="P102" s="532" cm="1">
        <f t="array" aca="1" ref="P102" ca="1">IF(P$21&lt;Standard_Year,'No STDs Case Rev &amp; Cost'!P102,
OFFSET(P102,-3,0)*
OFFSET(MSP!$D$1,
MATCH(OFFSET($C97,((MATCH($C97,EL_List,0)-1)*-10)-1,0),MSP!$C:$C,0)+MATCH($C97,EL_List,0)-1,0)
*INDEX(Learning!$E$6:$S$41,(MATCH(P$21,Dates,0)),(MATCH($C$86,Learning!$E$4:$S$4,0)+MATCH($C$97,Learning!$E$5:$S$5,0)-1)))</f>
        <v>0</v>
      </c>
      <c r="Q102" s="532" cm="1">
        <f t="array" aca="1" ref="Q102" ca="1">IF(Q$21&lt;Standard_Year,'No STDs Case Rev &amp; Cost'!Q102,
OFFSET(Q102,-3,0)*
OFFSET(MSP!$D$1,
MATCH(OFFSET($C97,((MATCH($C97,EL_List,0)-1)*-10)-1,0),MSP!$C:$C,0)+MATCH($C97,EL_List,0)-1,0)
*INDEX(Learning!$E$6:$S$41,(MATCH(Q$21,Dates,0)),(MATCH($C$86,Learning!$E$4:$S$4,0)+MATCH($C$97,Learning!$E$5:$S$5,0)-1)))</f>
        <v>0</v>
      </c>
      <c r="R102" s="532" cm="1">
        <f t="array" aca="1" ref="R102" ca="1">IF(R$21&lt;Standard_Year,'No STDs Case Rev &amp; Cost'!R102,
OFFSET(R102,-3,0)*
OFFSET(MSP!$D$1,
MATCH(OFFSET($C97,((MATCH($C97,EL_List,0)-1)*-10)-1,0),MSP!$C:$C,0)+MATCH($C97,EL_List,0)-1,0)
*INDEX(Learning!$E$6:$S$41,(MATCH(R$21,Dates,0)),(MATCH($C$86,Learning!$E$4:$S$4,0)+MATCH($C$97,Learning!$E$5:$S$5,0)-1)))</f>
        <v>0</v>
      </c>
      <c r="S102" s="532" cm="1">
        <f t="array" aca="1" ref="S102" ca="1">IF(S$21&lt;Standard_Year,'No STDs Case Rev &amp; Cost'!S102,
OFFSET(S102,-3,0)*
OFFSET(MSP!$D$1,
MATCH(OFFSET($C97,((MATCH($C97,EL_List,0)-1)*-10)-1,0),MSP!$C:$C,0)+MATCH($C97,EL_List,0)-1,0)
*INDEX(Learning!$E$6:$S$41,(MATCH(S$21,Dates,0)),(MATCH($C$86,Learning!$E$4:$S$4,0)+MATCH($C$97,Learning!$E$5:$S$5,0)-1)))</f>
        <v>0</v>
      </c>
      <c r="T102" s="532" cm="1">
        <f t="array" aca="1" ref="T102" ca="1">IF(T$21&lt;Standard_Year,'No STDs Case Rev &amp; Cost'!T102,
OFFSET(T102,-3,0)*
OFFSET(MSP!$D$1,
MATCH(OFFSET($C97,((MATCH($C97,EL_List,0)-1)*-10)-1,0),MSP!$C:$C,0)+MATCH($C97,EL_List,0)-1,0)
*INDEX(Learning!$E$6:$S$41,(MATCH(T$21,Dates,0)),(MATCH($C$86,Learning!$E$4:$S$4,0)+MATCH($C$97,Learning!$E$5:$S$5,0)-1)))</f>
        <v>0</v>
      </c>
      <c r="U102" s="532" cm="1">
        <f t="array" aca="1" ref="U102" ca="1">IF(U$21&lt;Standard_Year,'No STDs Case Rev &amp; Cost'!U102,
OFFSET(U102,-3,0)*
OFFSET(MSP!$D$1,
MATCH(OFFSET($C97,((MATCH($C97,EL_List,0)-1)*-10)-1,0),MSP!$C:$C,0)+MATCH($C97,EL_List,0)-1,0)
*INDEX(Learning!$E$6:$S$41,(MATCH(U$21,Dates,0)),(MATCH($C$86,Learning!$E$4:$S$4,0)+MATCH($C$97,Learning!$E$5:$S$5,0)-1)))</f>
        <v>0</v>
      </c>
      <c r="V102" s="532" cm="1">
        <f t="array" aca="1" ref="V102" ca="1">IF(V$21&lt;Standard_Year,'No STDs Case Rev &amp; Cost'!V102,
OFFSET(V102,-3,0)*
OFFSET(MSP!$D$1,
MATCH(OFFSET($C97,((MATCH($C97,EL_List,0)-1)*-10)-1,0),MSP!$C:$C,0)+MATCH($C97,EL_List,0)-1,0)
*INDEX(Learning!$E$6:$S$41,(MATCH(V$21,Dates,0)),(MATCH($C$86,Learning!$E$4:$S$4,0)+MATCH($C$97,Learning!$E$5:$S$5,0)-1)))</f>
        <v>0</v>
      </c>
      <c r="W102" s="532" cm="1">
        <f t="array" aca="1" ref="W102" ca="1">IF(W$21&lt;Standard_Year,'No STDs Case Rev &amp; Cost'!W102,
OFFSET(W102,-3,0)*
OFFSET(MSP!$D$1,
MATCH(OFFSET($C97,((MATCH($C97,EL_List,0)-1)*-10)-1,0),MSP!$C:$C,0)+MATCH($C97,EL_List,0)-1,0)
*INDEX(Learning!$E$6:$S$41,(MATCH(W$21,Dates,0)),(MATCH($C$86,Learning!$E$4:$S$4,0)+MATCH($C$97,Learning!$E$5:$S$5,0)-1)))</f>
        <v>0</v>
      </c>
      <c r="X102" s="532" cm="1">
        <f t="array" aca="1" ref="X102" ca="1">IF(X$21&lt;Standard_Year,'No STDs Case Rev &amp; Cost'!X102,
OFFSET(X102,-3,0)*
OFFSET(MSP!$D$1,
MATCH(OFFSET($C97,((MATCH($C97,EL_List,0)-1)*-10)-1,0),MSP!$C:$C,0)+MATCH($C97,EL_List,0)-1,0)
*INDEX(Learning!$E$6:$S$41,(MATCH(X$21,Dates,0)),(MATCH($C$86,Learning!$E$4:$S$4,0)+MATCH($C$97,Learning!$E$5:$S$5,0)-1)))</f>
        <v>0</v>
      </c>
      <c r="Y102" s="532" cm="1">
        <f t="array" aca="1" ref="Y102" ca="1">IF(Y$21&lt;Standard_Year,'No STDs Case Rev &amp; Cost'!Y102,
OFFSET(Y102,-3,0)*
OFFSET(MSP!$D$1,
MATCH(OFFSET($C97,((MATCH($C97,EL_List,0)-1)*-10)-1,0),MSP!$C:$C,0)+MATCH($C97,EL_List,0)-1,0)
*INDEX(Learning!$E$6:$S$41,(MATCH(Y$21,Dates,0)),(MATCH($C$86,Learning!$E$4:$S$4,0)+MATCH($C$97,Learning!$E$5:$S$5,0)-1)))</f>
        <v>0</v>
      </c>
      <c r="Z102" s="532" cm="1">
        <f t="array" aca="1" ref="Z102" ca="1">IF(Z$21&lt;Standard_Year,'No STDs Case Rev &amp; Cost'!Z102,
OFFSET(Z102,-3,0)*
OFFSET(MSP!$D$1,
MATCH(OFFSET($C97,((MATCH($C97,EL_List,0)-1)*-10)-1,0),MSP!$C:$C,0)+MATCH($C97,EL_List,0)-1,0)
*INDEX(Learning!$E$6:$S$41,(MATCH(Z$21,Dates,0)),(MATCH($C$86,Learning!$E$4:$S$4,0)+MATCH($C$97,Learning!$E$5:$S$5,0)-1)))</f>
        <v>0</v>
      </c>
      <c r="AA102" s="532" cm="1">
        <f t="array" aca="1" ref="AA102" ca="1">IF(AA$21&lt;Standard_Year,'No STDs Case Rev &amp; Cost'!AA102,
OFFSET(AA102,-3,0)*
OFFSET(MSP!$D$1,
MATCH(OFFSET($C97,((MATCH($C97,EL_List,0)-1)*-10)-1,0),MSP!$C:$C,0)+MATCH($C97,EL_List,0)-1,0)
*INDEX(Learning!$E$6:$S$41,(MATCH(AA$21,Dates,0)),(MATCH($C$86,Learning!$E$4:$S$4,0)+MATCH($C$97,Learning!$E$5:$S$5,0)-1)))</f>
        <v>0</v>
      </c>
      <c r="AB102" s="532" cm="1">
        <f t="array" aca="1" ref="AB102" ca="1">IF(AB$21&lt;Standard_Year,'No STDs Case Rev &amp; Cost'!AB102,
OFFSET(AB102,-3,0)*
OFFSET(MSP!$D$1,
MATCH(OFFSET($C97,((MATCH($C97,EL_List,0)-1)*-10)-1,0),MSP!$C:$C,0)+MATCH($C97,EL_List,0)-1,0)
*INDEX(Learning!$E$6:$S$41,(MATCH(AB$21,Dates,0)),(MATCH($C$86,Learning!$E$4:$S$4,0)+MATCH($C$97,Learning!$E$5:$S$5,0)-1)))</f>
        <v>0</v>
      </c>
      <c r="AC102" s="532" cm="1">
        <f t="array" aca="1" ref="AC102" ca="1">IF(AC$21&lt;Standard_Year,'No STDs Case Rev &amp; Cost'!AC102,
OFFSET(AC102,-3,0)*
OFFSET(MSP!$D$1,
MATCH(OFFSET($C97,((MATCH($C97,EL_List,0)-1)*-10)-1,0),MSP!$C:$C,0)+MATCH($C97,EL_List,0)-1,0)
*INDEX(Learning!$E$6:$S$41,(MATCH(AC$21,Dates,0)),(MATCH($C$86,Learning!$E$4:$S$4,0)+MATCH($C$97,Learning!$E$5:$S$5,0)-1)))</f>
        <v>0</v>
      </c>
      <c r="AD102" s="532" cm="1">
        <f t="array" aca="1" ref="AD102" ca="1">IF(AD$21&lt;Standard_Year,'No STDs Case Rev &amp; Cost'!AD102,
OFFSET(AD102,-3,0)*
OFFSET(MSP!$D$1,
MATCH(OFFSET($C97,((MATCH($C97,EL_List,0)-1)*-10)-1,0),MSP!$C:$C,0)+MATCH($C97,EL_List,0)-1,0)
*INDEX(Learning!$E$6:$S$41,(MATCH(AD$21,Dates,0)),(MATCH($C$86,Learning!$E$4:$S$4,0)+MATCH($C$97,Learning!$E$5:$S$5,0)-1)))</f>
        <v>0</v>
      </c>
      <c r="AE102" s="532" cm="1">
        <f t="array" aca="1" ref="AE102" ca="1">IF(AE$21&lt;Standard_Year,'No STDs Case Rev &amp; Cost'!AE102,
OFFSET(AE102,-3,0)*
OFFSET(MSP!$D$1,
MATCH(OFFSET($C97,((MATCH($C97,EL_List,0)-1)*-10)-1,0),MSP!$C:$C,0)+MATCH($C97,EL_List,0)-1,0)
*INDEX(Learning!$E$6:$S$41,(MATCH(AE$21,Dates,0)),(MATCH($C$86,Learning!$E$4:$S$4,0)+MATCH($C$97,Learning!$E$5:$S$5,0)-1)))</f>
        <v>0</v>
      </c>
      <c r="AF102" s="532" cm="1">
        <f t="array" aca="1" ref="AF102" ca="1">IF(AF$21&lt;Standard_Year,'No STDs Case Rev &amp; Cost'!AF102,
OFFSET(AF102,-3,0)*
OFFSET(MSP!$D$1,
MATCH(OFFSET($C97,((MATCH($C97,EL_List,0)-1)*-10)-1,0),MSP!$C:$C,0)+MATCH($C97,EL_List,0)-1,0)
*INDEX(Learning!$E$6:$S$41,(MATCH(AF$21,Dates,0)),(MATCH($C$86,Learning!$E$4:$S$4,0)+MATCH($C$97,Learning!$E$5:$S$5,0)-1)))</f>
        <v>0</v>
      </c>
      <c r="AG102" s="532" cm="1">
        <f t="array" aca="1" ref="AG102" ca="1">IF(AG$21&lt;Standard_Year,'No STDs Case Rev &amp; Cost'!AG102,
OFFSET(AG102,-3,0)*
OFFSET(MSP!$D$1,
MATCH(OFFSET($C97,((MATCH($C97,EL_List,0)-1)*-10)-1,0),MSP!$C:$C,0)+MATCH($C97,EL_List,0)-1,0)
*INDEX(Learning!$E$6:$S$41,(MATCH(AG$21,Dates,0)),(MATCH($C$86,Learning!$E$4:$S$4,0)+MATCH($C$97,Learning!$E$5:$S$5,0)-1)))</f>
        <v>0</v>
      </c>
      <c r="AH102" s="532" cm="1">
        <f t="array" aca="1" ref="AH102" ca="1">IF(AH$21&lt;Standard_Year,'No STDs Case Rev &amp; Cost'!AH102,
OFFSET(AH102,-3,0)*
OFFSET(MSP!$D$1,
MATCH(OFFSET($C97,((MATCH($C97,EL_List,0)-1)*-10)-1,0),MSP!$C:$C,0)+MATCH($C97,EL_List,0)-1,0)
*INDEX(Learning!$E$6:$S$41,(MATCH(AH$21,Dates,0)),(MATCH($C$86,Learning!$E$4:$S$4,0)+MATCH($C$97,Learning!$E$5:$S$5,0)-1)))</f>
        <v>0</v>
      </c>
      <c r="AI102" s="532" cm="1">
        <f t="array" aca="1" ref="AI102" ca="1">IF(AI$21&lt;Standard_Year,'No STDs Case Rev &amp; Cost'!AI102,
OFFSET(AI102,-3,0)*
OFFSET(MSP!$D$1,
MATCH(OFFSET($C97,((MATCH($C97,EL_List,0)-1)*-10)-1,0),MSP!$C:$C,0)+MATCH($C97,EL_List,0)-1,0)
*INDEX(Learning!$E$6:$S$41,(MATCH(AI$21,Dates,0)),(MATCH($C$86,Learning!$E$4:$S$4,0)+MATCH($C$97,Learning!$E$5:$S$5,0)-1)))</f>
        <v>0</v>
      </c>
      <c r="AJ102" s="532" cm="1">
        <f t="array" aca="1" ref="AJ102" ca="1">IF(AJ$21&lt;Standard_Year,'No STDs Case Rev &amp; Cost'!AJ102,
OFFSET(AJ102,-3,0)*
OFFSET(MSP!$D$1,
MATCH(OFFSET($C97,((MATCH($C97,EL_List,0)-1)*-10)-1,0),MSP!$C:$C,0)+MATCH($C97,EL_List,0)-1,0)
*INDEX(Learning!$E$6:$S$41,(MATCH(AJ$21,Dates,0)),(MATCH($C$86,Learning!$E$4:$S$4,0)+MATCH($C$97,Learning!$E$5:$S$5,0)-1)))</f>
        <v>0</v>
      </c>
      <c r="AK102" s="532" cm="1">
        <f t="array" aca="1" ref="AK102" ca="1">IF(AK$21&lt;Standard_Year,'No STDs Case Rev &amp; Cost'!AK102,
OFFSET(AK102,-3,0)*
OFFSET(MSP!$D$1,
MATCH(OFFSET($C97,((MATCH($C97,EL_List,0)-1)*-10)-1,0),MSP!$C:$C,0)+MATCH($C97,EL_List,0)-1,0)
*INDEX(Learning!$E$6:$S$41,(MATCH(AK$21,Dates,0)),(MATCH($C$86,Learning!$E$4:$S$4,0)+MATCH($C$97,Learning!$E$5:$S$5,0)-1)))</f>
        <v>0</v>
      </c>
      <c r="AL102" s="532" cm="1">
        <f t="array" aca="1" ref="AL102" ca="1">IF(AL$21&lt;Standard_Year,'No STDs Case Rev &amp; Cost'!AL102,
OFFSET(AL102,-3,0)*
OFFSET(MSP!$D$1,
MATCH(OFFSET($C97,((MATCH($C97,EL_List,0)-1)*-10)-1,0),MSP!$C:$C,0)+MATCH($C97,EL_List,0)-1,0)
*INDEX(Learning!$E$6:$S$41,(MATCH(AL$21,Dates,0)),(MATCH($C$86,Learning!$E$4:$S$4,0)+MATCH($C$97,Learning!$E$5:$S$5,0)-1)))</f>
        <v>0</v>
      </c>
      <c r="AM102" s="532" cm="1">
        <f t="array" aca="1" ref="AM102" ca="1">IF(AM$21&lt;Standard_Year,'No STDs Case Rev &amp; Cost'!AM102,
OFFSET(AM102,-3,0)*
OFFSET(MSP!$D$1,
MATCH(OFFSET($C97,((MATCH($C97,EL_List,0)-1)*-10)-1,0),MSP!$C:$C,0)+MATCH($C97,EL_List,0)-1,0)
*INDEX(Learning!$E$6:$S$41,(MATCH(AM$21,Dates,0)),(MATCH($C$86,Learning!$E$4:$S$4,0)+MATCH($C$97,Learning!$E$5:$S$5,0)-1)))</f>
        <v>0</v>
      </c>
      <c r="AN102" s="532" cm="1">
        <f t="array" aca="1" ref="AN102" ca="1">IF(AN$21&lt;Standard_Year,'No STDs Case Rev &amp; Cost'!AN102,
OFFSET(AN102,-3,0)*
OFFSET(MSP!$D$1,
MATCH(OFFSET($C97,((MATCH($C97,EL_List,0)-1)*-10)-1,0),MSP!$C:$C,0)+MATCH($C97,EL_List,0)-1,0)
*INDEX(Learning!$E$6:$S$41,(MATCH(AN$21,Dates,0)),(MATCH($C$86,Learning!$E$4:$S$4,0)+MATCH($C$97,Learning!$E$5:$S$5,0)-1)))</f>
        <v>0</v>
      </c>
      <c r="AO102" s="436"/>
      <c r="AP102" s="21"/>
    </row>
    <row r="103" spans="2:42" ht="15" customHeight="1" x14ac:dyDescent="0.35">
      <c r="B103" s="429"/>
      <c r="C103" s="780" t="s">
        <v>213</v>
      </c>
      <c r="D103" s="776"/>
      <c r="E103" s="533" cm="1">
        <f t="array" aca="1" ref="E103" ca="1">IF(E$21&lt;Standard_Year,'No STDs Case Rev &amp; Cost'!E103,
OFFSET(E103,-4,0)*
OFFSET(MSP!$E$1,
MATCH(OFFSET($C97,((MATCH($C97,EL_List,0)-1)*-10)-1,0),MSP!$C:$C,0)+MATCH($C97,EL_List,0)-1,0)
*INDEX(Learning!$E$6:$S$41,(MATCH(E$21,Dates,0)),(MATCH($C$86,Learning!$E$4:$S$4,0)+MATCH($C$97,Learning!$E$5:$S$5,0)-1)))</f>
        <v>0.62132281516673327</v>
      </c>
      <c r="F103" s="533" cm="1">
        <f t="array" aca="1" ref="F103" ca="1">IF(F$21&lt;Standard_Year,'No STDs Case Rev &amp; Cost'!F103,
OFFSET(F103,-4,0)*
OFFSET(MSP!$E$1,
MATCH(OFFSET($C97,((MATCH($C97,EL_List,0)-1)*-10)-1,0),MSP!$C:$C,0)+MATCH($C97,EL_List,0)-1,0)
*INDEX(Learning!$E$6:$S$41,(MATCH(F$21,Dates,0)),(MATCH($C$86,Learning!$E$4:$S$4,0)+MATCH($C$97,Learning!$E$5:$S$5,0)-1)))</f>
        <v>0.64412392297447119</v>
      </c>
      <c r="G103" s="533" cm="1">
        <f t="array" aca="1" ref="G103" ca="1">IF(G$21&lt;Standard_Year,'No STDs Case Rev &amp; Cost'!G103,
OFFSET(G103,-4,0)*
OFFSET(MSP!$E$1,
MATCH(OFFSET($C97,((MATCH($C97,EL_List,0)-1)*-10)-1,0),MSP!$C:$C,0)+MATCH($C97,EL_List,0)-1,0)
*INDEX(Learning!$E$6:$S$41,(MATCH(G$21,Dates,0)),(MATCH($C$86,Learning!$E$4:$S$4,0)+MATCH($C$97,Learning!$E$5:$S$5,0)-1)))</f>
        <v>0.6643029857387952</v>
      </c>
      <c r="H103" s="533" cm="1">
        <f t="array" aca="1" ref="H103" ca="1">IF(H$21&lt;Standard_Year,'No STDs Case Rev &amp; Cost'!H103,
OFFSET(H103,-4,0)*
OFFSET(MSP!$E$1,
MATCH(OFFSET($C97,((MATCH($C97,EL_List,0)-1)*-10)-1,0),MSP!$C:$C,0)+MATCH($C97,EL_List,0)-1,0)
*INDEX(Learning!$E$6:$S$41,(MATCH(H$21,Dates,0)),(MATCH($C$86,Learning!$E$4:$S$4,0)+MATCH($C$97,Learning!$E$5:$S$5,0)-1)))</f>
        <v>0.69008291919548725</v>
      </c>
      <c r="I103" s="533" cm="1">
        <f t="array" aca="1" ref="I103" ca="1">IF(I$21&lt;Standard_Year,'No STDs Case Rev &amp; Cost'!I103,
OFFSET(I103,-4,0)*
OFFSET(MSP!$E$1,
MATCH(OFFSET($C97,((MATCH($C97,EL_List,0)-1)*-10)-1,0),MSP!$C:$C,0)+MATCH($C97,EL_List,0)-1,0)
*INDEX(Learning!$E$6:$S$41,(MATCH(I$21,Dates,0)),(MATCH($C$86,Learning!$E$4:$S$4,0)+MATCH($C$97,Learning!$E$5:$S$5,0)-1)))</f>
        <v>0</v>
      </c>
      <c r="J103" s="533" cm="1">
        <f t="array" aca="1" ref="J103" ca="1">IF(J$21&lt;Standard_Year,'No STDs Case Rev &amp; Cost'!J103,
OFFSET(J103,-4,0)*
OFFSET(MSP!$E$1,
MATCH(OFFSET($C97,((MATCH($C97,EL_List,0)-1)*-10)-1,0),MSP!$C:$C,0)+MATCH($C97,EL_List,0)-1,0)
*INDEX(Learning!$E$6:$S$41,(MATCH(J$21,Dates,0)),(MATCH($C$86,Learning!$E$4:$S$4,0)+MATCH($C$97,Learning!$E$5:$S$5,0)-1)))</f>
        <v>0</v>
      </c>
      <c r="K103" s="533" cm="1">
        <f t="array" aca="1" ref="K103" ca="1">IF(K$21&lt;Standard_Year,'No STDs Case Rev &amp; Cost'!K103,
OFFSET(K103,-4,0)*
OFFSET(MSP!$E$1,
MATCH(OFFSET($C97,((MATCH($C97,EL_List,0)-1)*-10)-1,0),MSP!$C:$C,0)+MATCH($C97,EL_List,0)-1,0)
*INDEX(Learning!$E$6:$S$41,(MATCH(K$21,Dates,0)),(MATCH($C$86,Learning!$E$4:$S$4,0)+MATCH($C$97,Learning!$E$5:$S$5,0)-1)))</f>
        <v>0</v>
      </c>
      <c r="L103" s="533" cm="1">
        <f t="array" aca="1" ref="L103" ca="1">IF(L$21&lt;Standard_Year,'No STDs Case Rev &amp; Cost'!L103,
OFFSET(L103,-4,0)*
OFFSET(MSP!$E$1,
MATCH(OFFSET($C97,((MATCH($C97,EL_List,0)-1)*-10)-1,0),MSP!$C:$C,0)+MATCH($C97,EL_List,0)-1,0)
*INDEX(Learning!$E$6:$S$41,(MATCH(L$21,Dates,0)),(MATCH($C$86,Learning!$E$4:$S$4,0)+MATCH($C$97,Learning!$E$5:$S$5,0)-1)))</f>
        <v>0</v>
      </c>
      <c r="M103" s="533" cm="1">
        <f t="array" aca="1" ref="M103" ca="1">IF(M$21&lt;Standard_Year,'No STDs Case Rev &amp; Cost'!M103,
OFFSET(M103,-4,0)*
OFFSET(MSP!$E$1,
MATCH(OFFSET($C97,((MATCH($C97,EL_List,0)-1)*-10)-1,0),MSP!$C:$C,0)+MATCH($C97,EL_List,0)-1,0)
*INDEX(Learning!$E$6:$S$41,(MATCH(M$21,Dates,0)),(MATCH($C$86,Learning!$E$4:$S$4,0)+MATCH($C$97,Learning!$E$5:$S$5,0)-1)))</f>
        <v>0</v>
      </c>
      <c r="N103" s="533" cm="1">
        <f t="array" aca="1" ref="N103" ca="1">IF(N$21&lt;Standard_Year,'No STDs Case Rev &amp; Cost'!N103,
OFFSET(N103,-4,0)*
OFFSET(MSP!$E$1,
MATCH(OFFSET($C97,((MATCH($C97,EL_List,0)-1)*-10)-1,0),MSP!$C:$C,0)+MATCH($C97,EL_List,0)-1,0)
*INDEX(Learning!$E$6:$S$41,(MATCH(N$21,Dates,0)),(MATCH($C$86,Learning!$E$4:$S$4,0)+MATCH($C$97,Learning!$E$5:$S$5,0)-1)))</f>
        <v>0</v>
      </c>
      <c r="O103" s="533" cm="1">
        <f t="array" aca="1" ref="O103" ca="1">IF(O$21&lt;Standard_Year,'No STDs Case Rev &amp; Cost'!O103,
OFFSET(O103,-4,0)*
OFFSET(MSP!$E$1,
MATCH(OFFSET($C97,((MATCH($C97,EL_List,0)-1)*-10)-1,0),MSP!$C:$C,0)+MATCH($C97,EL_List,0)-1,0)
*INDEX(Learning!$E$6:$S$41,(MATCH(O$21,Dates,0)),(MATCH($C$86,Learning!$E$4:$S$4,0)+MATCH($C$97,Learning!$E$5:$S$5,0)-1)))</f>
        <v>0</v>
      </c>
      <c r="P103" s="533" cm="1">
        <f t="array" aca="1" ref="P103" ca="1">IF(P$21&lt;Standard_Year,'No STDs Case Rev &amp; Cost'!P103,
OFFSET(P103,-4,0)*
OFFSET(MSP!$E$1,
MATCH(OFFSET($C97,((MATCH($C97,EL_List,0)-1)*-10)-1,0),MSP!$C:$C,0)+MATCH($C97,EL_List,0)-1,0)
*INDEX(Learning!$E$6:$S$41,(MATCH(P$21,Dates,0)),(MATCH($C$86,Learning!$E$4:$S$4,0)+MATCH($C$97,Learning!$E$5:$S$5,0)-1)))</f>
        <v>0</v>
      </c>
      <c r="Q103" s="533" cm="1">
        <f t="array" aca="1" ref="Q103" ca="1">IF(Q$21&lt;Standard_Year,'No STDs Case Rev &amp; Cost'!Q103,
OFFSET(Q103,-4,0)*
OFFSET(MSP!$E$1,
MATCH(OFFSET($C97,((MATCH($C97,EL_List,0)-1)*-10)-1,0),MSP!$C:$C,0)+MATCH($C97,EL_List,0)-1,0)
*INDEX(Learning!$E$6:$S$41,(MATCH(Q$21,Dates,0)),(MATCH($C$86,Learning!$E$4:$S$4,0)+MATCH($C$97,Learning!$E$5:$S$5,0)-1)))</f>
        <v>0</v>
      </c>
      <c r="R103" s="533" cm="1">
        <f t="array" aca="1" ref="R103" ca="1">IF(R$21&lt;Standard_Year,'No STDs Case Rev &amp; Cost'!R103,
OFFSET(R103,-4,0)*
OFFSET(MSP!$E$1,
MATCH(OFFSET($C97,((MATCH($C97,EL_List,0)-1)*-10)-1,0),MSP!$C:$C,0)+MATCH($C97,EL_List,0)-1,0)
*INDEX(Learning!$E$6:$S$41,(MATCH(R$21,Dates,0)),(MATCH($C$86,Learning!$E$4:$S$4,0)+MATCH($C$97,Learning!$E$5:$S$5,0)-1)))</f>
        <v>0</v>
      </c>
      <c r="S103" s="533" cm="1">
        <f t="array" aca="1" ref="S103" ca="1">IF(S$21&lt;Standard_Year,'No STDs Case Rev &amp; Cost'!S103,
OFFSET(S103,-4,0)*
OFFSET(MSP!$E$1,
MATCH(OFFSET($C97,((MATCH($C97,EL_List,0)-1)*-10)-1,0),MSP!$C:$C,0)+MATCH($C97,EL_List,0)-1,0)
*INDEX(Learning!$E$6:$S$41,(MATCH(S$21,Dates,0)),(MATCH($C$86,Learning!$E$4:$S$4,0)+MATCH($C$97,Learning!$E$5:$S$5,0)-1)))</f>
        <v>0</v>
      </c>
      <c r="T103" s="533" cm="1">
        <f t="array" aca="1" ref="T103" ca="1">IF(T$21&lt;Standard_Year,'No STDs Case Rev &amp; Cost'!T103,
OFFSET(T103,-4,0)*
OFFSET(MSP!$E$1,
MATCH(OFFSET($C97,((MATCH($C97,EL_List,0)-1)*-10)-1,0),MSP!$C:$C,0)+MATCH($C97,EL_List,0)-1,0)
*INDEX(Learning!$E$6:$S$41,(MATCH(T$21,Dates,0)),(MATCH($C$86,Learning!$E$4:$S$4,0)+MATCH($C$97,Learning!$E$5:$S$5,0)-1)))</f>
        <v>0</v>
      </c>
      <c r="U103" s="533" cm="1">
        <f t="array" aca="1" ref="U103" ca="1">IF(U$21&lt;Standard_Year,'No STDs Case Rev &amp; Cost'!U103,
OFFSET(U103,-4,0)*
OFFSET(MSP!$E$1,
MATCH(OFFSET($C97,((MATCH($C97,EL_List,0)-1)*-10)-1,0),MSP!$C:$C,0)+MATCH($C97,EL_List,0)-1,0)
*INDEX(Learning!$E$6:$S$41,(MATCH(U$21,Dates,0)),(MATCH($C$86,Learning!$E$4:$S$4,0)+MATCH($C$97,Learning!$E$5:$S$5,0)-1)))</f>
        <v>0</v>
      </c>
      <c r="V103" s="533" cm="1">
        <f t="array" aca="1" ref="V103" ca="1">IF(V$21&lt;Standard_Year,'No STDs Case Rev &amp; Cost'!V103,
OFFSET(V103,-4,0)*
OFFSET(MSP!$E$1,
MATCH(OFFSET($C97,((MATCH($C97,EL_List,0)-1)*-10)-1,0),MSP!$C:$C,0)+MATCH($C97,EL_List,0)-1,0)
*INDEX(Learning!$E$6:$S$41,(MATCH(V$21,Dates,0)),(MATCH($C$86,Learning!$E$4:$S$4,0)+MATCH($C$97,Learning!$E$5:$S$5,0)-1)))</f>
        <v>0</v>
      </c>
      <c r="W103" s="533" cm="1">
        <f t="array" aca="1" ref="W103" ca="1">IF(W$21&lt;Standard_Year,'No STDs Case Rev &amp; Cost'!W103,
OFFSET(W103,-4,0)*
OFFSET(MSP!$E$1,
MATCH(OFFSET($C97,((MATCH($C97,EL_List,0)-1)*-10)-1,0),MSP!$C:$C,0)+MATCH($C97,EL_List,0)-1,0)
*INDEX(Learning!$E$6:$S$41,(MATCH(W$21,Dates,0)),(MATCH($C$86,Learning!$E$4:$S$4,0)+MATCH($C$97,Learning!$E$5:$S$5,0)-1)))</f>
        <v>0</v>
      </c>
      <c r="X103" s="533" cm="1">
        <f t="array" aca="1" ref="X103" ca="1">IF(X$21&lt;Standard_Year,'No STDs Case Rev &amp; Cost'!X103,
OFFSET(X103,-4,0)*
OFFSET(MSP!$E$1,
MATCH(OFFSET($C97,((MATCH($C97,EL_List,0)-1)*-10)-1,0),MSP!$C:$C,0)+MATCH($C97,EL_List,0)-1,0)
*INDEX(Learning!$E$6:$S$41,(MATCH(X$21,Dates,0)),(MATCH($C$86,Learning!$E$4:$S$4,0)+MATCH($C$97,Learning!$E$5:$S$5,0)-1)))</f>
        <v>0</v>
      </c>
      <c r="Y103" s="533" cm="1">
        <f t="array" aca="1" ref="Y103" ca="1">IF(Y$21&lt;Standard_Year,'No STDs Case Rev &amp; Cost'!Y103,
OFFSET(Y103,-4,0)*
OFFSET(MSP!$E$1,
MATCH(OFFSET($C97,((MATCH($C97,EL_List,0)-1)*-10)-1,0),MSP!$C:$C,0)+MATCH($C97,EL_List,0)-1,0)
*INDEX(Learning!$E$6:$S$41,(MATCH(Y$21,Dates,0)),(MATCH($C$86,Learning!$E$4:$S$4,0)+MATCH($C$97,Learning!$E$5:$S$5,0)-1)))</f>
        <v>0</v>
      </c>
      <c r="Z103" s="533" cm="1">
        <f t="array" aca="1" ref="Z103" ca="1">IF(Z$21&lt;Standard_Year,'No STDs Case Rev &amp; Cost'!Z103,
OFFSET(Z103,-4,0)*
OFFSET(MSP!$E$1,
MATCH(OFFSET($C97,((MATCH($C97,EL_List,0)-1)*-10)-1,0),MSP!$C:$C,0)+MATCH($C97,EL_List,0)-1,0)
*INDEX(Learning!$E$6:$S$41,(MATCH(Z$21,Dates,0)),(MATCH($C$86,Learning!$E$4:$S$4,0)+MATCH($C$97,Learning!$E$5:$S$5,0)-1)))</f>
        <v>0</v>
      </c>
      <c r="AA103" s="533" cm="1">
        <f t="array" aca="1" ref="AA103" ca="1">IF(AA$21&lt;Standard_Year,'No STDs Case Rev &amp; Cost'!AA103,
OFFSET(AA103,-4,0)*
OFFSET(MSP!$E$1,
MATCH(OFFSET($C97,((MATCH($C97,EL_List,0)-1)*-10)-1,0),MSP!$C:$C,0)+MATCH($C97,EL_List,0)-1,0)
*INDEX(Learning!$E$6:$S$41,(MATCH(AA$21,Dates,0)),(MATCH($C$86,Learning!$E$4:$S$4,0)+MATCH($C$97,Learning!$E$5:$S$5,0)-1)))</f>
        <v>0</v>
      </c>
      <c r="AB103" s="533" cm="1">
        <f t="array" aca="1" ref="AB103" ca="1">IF(AB$21&lt;Standard_Year,'No STDs Case Rev &amp; Cost'!AB103,
OFFSET(AB103,-4,0)*
OFFSET(MSP!$E$1,
MATCH(OFFSET($C97,((MATCH($C97,EL_List,0)-1)*-10)-1,0),MSP!$C:$C,0)+MATCH($C97,EL_List,0)-1,0)
*INDEX(Learning!$E$6:$S$41,(MATCH(AB$21,Dates,0)),(MATCH($C$86,Learning!$E$4:$S$4,0)+MATCH($C$97,Learning!$E$5:$S$5,0)-1)))</f>
        <v>0</v>
      </c>
      <c r="AC103" s="533" cm="1">
        <f t="array" aca="1" ref="AC103" ca="1">IF(AC$21&lt;Standard_Year,'No STDs Case Rev &amp; Cost'!AC103,
OFFSET(AC103,-4,0)*
OFFSET(MSP!$E$1,
MATCH(OFFSET($C97,((MATCH($C97,EL_List,0)-1)*-10)-1,0),MSP!$C:$C,0)+MATCH($C97,EL_List,0)-1,0)
*INDEX(Learning!$E$6:$S$41,(MATCH(AC$21,Dates,0)),(MATCH($C$86,Learning!$E$4:$S$4,0)+MATCH($C$97,Learning!$E$5:$S$5,0)-1)))</f>
        <v>0</v>
      </c>
      <c r="AD103" s="533" cm="1">
        <f t="array" aca="1" ref="AD103" ca="1">IF(AD$21&lt;Standard_Year,'No STDs Case Rev &amp; Cost'!AD103,
OFFSET(AD103,-4,0)*
OFFSET(MSP!$E$1,
MATCH(OFFSET($C97,((MATCH($C97,EL_List,0)-1)*-10)-1,0),MSP!$C:$C,0)+MATCH($C97,EL_List,0)-1,0)
*INDEX(Learning!$E$6:$S$41,(MATCH(AD$21,Dates,0)),(MATCH($C$86,Learning!$E$4:$S$4,0)+MATCH($C$97,Learning!$E$5:$S$5,0)-1)))</f>
        <v>0</v>
      </c>
      <c r="AE103" s="533" cm="1">
        <f t="array" aca="1" ref="AE103" ca="1">IF(AE$21&lt;Standard_Year,'No STDs Case Rev &amp; Cost'!AE103,
OFFSET(AE103,-4,0)*
OFFSET(MSP!$E$1,
MATCH(OFFSET($C97,((MATCH($C97,EL_List,0)-1)*-10)-1,0),MSP!$C:$C,0)+MATCH($C97,EL_List,0)-1,0)
*INDEX(Learning!$E$6:$S$41,(MATCH(AE$21,Dates,0)),(MATCH($C$86,Learning!$E$4:$S$4,0)+MATCH($C$97,Learning!$E$5:$S$5,0)-1)))</f>
        <v>0</v>
      </c>
      <c r="AF103" s="533" cm="1">
        <f t="array" aca="1" ref="AF103" ca="1">IF(AF$21&lt;Standard_Year,'No STDs Case Rev &amp; Cost'!AF103,
OFFSET(AF103,-4,0)*
OFFSET(MSP!$E$1,
MATCH(OFFSET($C97,((MATCH($C97,EL_List,0)-1)*-10)-1,0),MSP!$C:$C,0)+MATCH($C97,EL_List,0)-1,0)
*INDEX(Learning!$E$6:$S$41,(MATCH(AF$21,Dates,0)),(MATCH($C$86,Learning!$E$4:$S$4,0)+MATCH($C$97,Learning!$E$5:$S$5,0)-1)))</f>
        <v>0</v>
      </c>
      <c r="AG103" s="533" cm="1">
        <f t="array" aca="1" ref="AG103" ca="1">IF(AG$21&lt;Standard_Year,'No STDs Case Rev &amp; Cost'!AG103,
OFFSET(AG103,-4,0)*
OFFSET(MSP!$E$1,
MATCH(OFFSET($C97,((MATCH($C97,EL_List,0)-1)*-10)-1,0),MSP!$C:$C,0)+MATCH($C97,EL_List,0)-1,0)
*INDEX(Learning!$E$6:$S$41,(MATCH(AG$21,Dates,0)),(MATCH($C$86,Learning!$E$4:$S$4,0)+MATCH($C$97,Learning!$E$5:$S$5,0)-1)))</f>
        <v>0</v>
      </c>
      <c r="AH103" s="533" cm="1">
        <f t="array" aca="1" ref="AH103" ca="1">IF(AH$21&lt;Standard_Year,'No STDs Case Rev &amp; Cost'!AH103,
OFFSET(AH103,-4,0)*
OFFSET(MSP!$E$1,
MATCH(OFFSET($C97,((MATCH($C97,EL_List,0)-1)*-10)-1,0),MSP!$C:$C,0)+MATCH($C97,EL_List,0)-1,0)
*INDEX(Learning!$E$6:$S$41,(MATCH(AH$21,Dates,0)),(MATCH($C$86,Learning!$E$4:$S$4,0)+MATCH($C$97,Learning!$E$5:$S$5,0)-1)))</f>
        <v>0</v>
      </c>
      <c r="AI103" s="533" cm="1">
        <f t="array" aca="1" ref="AI103" ca="1">IF(AI$21&lt;Standard_Year,'No STDs Case Rev &amp; Cost'!AI103,
OFFSET(AI103,-4,0)*
OFFSET(MSP!$E$1,
MATCH(OFFSET($C97,((MATCH($C97,EL_List,0)-1)*-10)-1,0),MSP!$C:$C,0)+MATCH($C97,EL_List,0)-1,0)
*INDEX(Learning!$E$6:$S$41,(MATCH(AI$21,Dates,0)),(MATCH($C$86,Learning!$E$4:$S$4,0)+MATCH($C$97,Learning!$E$5:$S$5,0)-1)))</f>
        <v>0</v>
      </c>
      <c r="AJ103" s="533" cm="1">
        <f t="array" aca="1" ref="AJ103" ca="1">IF(AJ$21&lt;Standard_Year,'No STDs Case Rev &amp; Cost'!AJ103,
OFFSET(AJ103,-4,0)*
OFFSET(MSP!$E$1,
MATCH(OFFSET($C97,((MATCH($C97,EL_List,0)-1)*-10)-1,0),MSP!$C:$C,0)+MATCH($C97,EL_List,0)-1,0)
*INDEX(Learning!$E$6:$S$41,(MATCH(AJ$21,Dates,0)),(MATCH($C$86,Learning!$E$4:$S$4,0)+MATCH($C$97,Learning!$E$5:$S$5,0)-1)))</f>
        <v>0</v>
      </c>
      <c r="AK103" s="533" cm="1">
        <f t="array" aca="1" ref="AK103" ca="1">IF(AK$21&lt;Standard_Year,'No STDs Case Rev &amp; Cost'!AK103,
OFFSET(AK103,-4,0)*
OFFSET(MSP!$E$1,
MATCH(OFFSET($C97,((MATCH($C97,EL_List,0)-1)*-10)-1,0),MSP!$C:$C,0)+MATCH($C97,EL_List,0)-1,0)
*INDEX(Learning!$E$6:$S$41,(MATCH(AK$21,Dates,0)),(MATCH($C$86,Learning!$E$4:$S$4,0)+MATCH($C$97,Learning!$E$5:$S$5,0)-1)))</f>
        <v>0</v>
      </c>
      <c r="AL103" s="533" cm="1">
        <f t="array" aca="1" ref="AL103" ca="1">IF(AL$21&lt;Standard_Year,'No STDs Case Rev &amp; Cost'!AL103,
OFFSET(AL103,-4,0)*
OFFSET(MSP!$E$1,
MATCH(OFFSET($C97,((MATCH($C97,EL_List,0)-1)*-10)-1,0),MSP!$C:$C,0)+MATCH($C97,EL_List,0)-1,0)
*INDEX(Learning!$E$6:$S$41,(MATCH(AL$21,Dates,0)),(MATCH($C$86,Learning!$E$4:$S$4,0)+MATCH($C$97,Learning!$E$5:$S$5,0)-1)))</f>
        <v>0</v>
      </c>
      <c r="AM103" s="533" cm="1">
        <f t="array" aca="1" ref="AM103" ca="1">IF(AM$21&lt;Standard_Year,'No STDs Case Rev &amp; Cost'!AM103,
OFFSET(AM103,-4,0)*
OFFSET(MSP!$E$1,
MATCH(OFFSET($C97,((MATCH($C97,EL_List,0)-1)*-10)-1,0),MSP!$C:$C,0)+MATCH($C97,EL_List,0)-1,0)
*INDEX(Learning!$E$6:$S$41,(MATCH(AM$21,Dates,0)),(MATCH($C$86,Learning!$E$4:$S$4,0)+MATCH($C$97,Learning!$E$5:$S$5,0)-1)))</f>
        <v>0</v>
      </c>
      <c r="AN103" s="533" cm="1">
        <f t="array" aca="1" ref="AN103" ca="1">IF(AN$21&lt;Standard_Year,'No STDs Case Rev &amp; Cost'!AN103,
OFFSET(AN103,-4,0)*
OFFSET(MSP!$E$1,
MATCH(OFFSET($C97,((MATCH($C97,EL_List,0)-1)*-10)-1,0),MSP!$C:$C,0)+MATCH($C97,EL_List,0)-1,0)
*INDEX(Learning!$E$6:$S$41,(MATCH(AN$21,Dates,0)),(MATCH($C$86,Learning!$E$4:$S$4,0)+MATCH($C$97,Learning!$E$5:$S$5,0)-1)))</f>
        <v>0</v>
      </c>
      <c r="AO103" s="436"/>
      <c r="AP103" s="21"/>
    </row>
    <row r="104" spans="2:42" ht="15" customHeight="1" x14ac:dyDescent="0.35">
      <c r="B104" s="429"/>
      <c r="C104" s="780" t="s">
        <v>214</v>
      </c>
      <c r="D104" s="776"/>
      <c r="E104" s="533" cm="1">
        <f t="array" aca="1" ref="E104" ca="1">IF(E$21&lt;Standard_Year,'No STDs Case Rev &amp; Cost'!E104,
OFFSET(E104,-5,0)*
OFFSET(MSP!$F$1,
MATCH(OFFSET($C97,((MATCH($C97,EL_List,0)-1)*-10)-1,0),MSP!$C:$C,0)+MATCH($C97,EL_List,0)-1,0)
*INDEX(Learning!$E$6:$S$41,(MATCH(E$21,Dates,0)),(MATCH($C$86,Learning!$E$4:$S$4,0)+MATCH($C$97,Learning!$E$5:$S$5,0)-1)))</f>
        <v>1.5549052149113631</v>
      </c>
      <c r="F104" s="533" cm="1">
        <f t="array" aca="1" ref="F104" ca="1">IF(F$21&lt;Standard_Year,'No STDs Case Rev &amp; Cost'!F104,
OFFSET(F104,-5,0)*
OFFSET(MSP!$F$1,
MATCH(OFFSET($C97,((MATCH($C97,EL_List,0)-1)*-10)-1,0),MSP!$C:$C,0)+MATCH($C97,EL_List,0)-1,0)
*INDEX(Learning!$E$6:$S$41,(MATCH(F$21,Dates,0)),(MATCH($C$86,Learning!$E$4:$S$4,0)+MATCH($C$97,Learning!$E$5:$S$5,0)-1)))</f>
        <v>1.6119666338236782</v>
      </c>
      <c r="G104" s="533" cm="1">
        <f t="array" aca="1" ref="G104" ca="1">IF(G$21&lt;Standard_Year,'No STDs Case Rev &amp; Cost'!G104,
OFFSET(G104,-5,0)*
OFFSET(MSP!$F$1,
MATCH(OFFSET($C97,((MATCH($C97,EL_List,0)-1)*-10)-1,0),MSP!$C:$C,0)+MATCH($C97,EL_List,0)-1,0)
*INDEX(Learning!$E$6:$S$41,(MATCH(G$21,Dates,0)),(MATCH($C$86,Learning!$E$4:$S$4,0)+MATCH($C$97,Learning!$E$5:$S$5,0)-1)))</f>
        <v>1.6624661956591005</v>
      </c>
      <c r="H104" s="533" cm="1">
        <f t="array" aca="1" ref="H104" ca="1">IF(H$21&lt;Standard_Year,'No STDs Case Rev &amp; Cost'!H104,
OFFSET(H104,-5,0)*
OFFSET(MSP!$F$1,
MATCH(OFFSET($C97,((MATCH($C97,EL_List,0)-1)*-10)-1,0),MSP!$C:$C,0)+MATCH($C97,EL_List,0)-1,0)
*INDEX(Learning!$E$6:$S$41,(MATCH(H$21,Dates,0)),(MATCH($C$86,Learning!$E$4:$S$4,0)+MATCH($C$97,Learning!$E$5:$S$5,0)-1)))</f>
        <v>1.7269823408792326</v>
      </c>
      <c r="I104" s="533" cm="1">
        <f t="array" aca="1" ref="I104" ca="1">IF(I$21&lt;Standard_Year,'No STDs Case Rev &amp; Cost'!I104,
OFFSET(I104,-5,0)*
OFFSET(MSP!$F$1,
MATCH(OFFSET($C97,((MATCH($C97,EL_List,0)-1)*-10)-1,0),MSP!$C:$C,0)+MATCH($C97,EL_List,0)-1,0)
*INDEX(Learning!$E$6:$S$41,(MATCH(I$21,Dates,0)),(MATCH($C$86,Learning!$E$4:$S$4,0)+MATCH($C$97,Learning!$E$5:$S$5,0)-1)))</f>
        <v>0</v>
      </c>
      <c r="J104" s="533" cm="1">
        <f t="array" aca="1" ref="J104" ca="1">IF(J$21&lt;Standard_Year,'No STDs Case Rev &amp; Cost'!J104,
OFFSET(J104,-5,0)*
OFFSET(MSP!$F$1,
MATCH(OFFSET($C97,((MATCH($C97,EL_List,0)-1)*-10)-1,0),MSP!$C:$C,0)+MATCH($C97,EL_List,0)-1,0)
*INDEX(Learning!$E$6:$S$41,(MATCH(J$21,Dates,0)),(MATCH($C$86,Learning!$E$4:$S$4,0)+MATCH($C$97,Learning!$E$5:$S$5,0)-1)))</f>
        <v>0</v>
      </c>
      <c r="K104" s="533" cm="1">
        <f t="array" aca="1" ref="K104" ca="1">IF(K$21&lt;Standard_Year,'No STDs Case Rev &amp; Cost'!K104,
OFFSET(K104,-5,0)*
OFFSET(MSP!$F$1,
MATCH(OFFSET($C97,((MATCH($C97,EL_List,0)-1)*-10)-1,0),MSP!$C:$C,0)+MATCH($C97,EL_List,0)-1,0)
*INDEX(Learning!$E$6:$S$41,(MATCH(K$21,Dates,0)),(MATCH($C$86,Learning!$E$4:$S$4,0)+MATCH($C$97,Learning!$E$5:$S$5,0)-1)))</f>
        <v>0</v>
      </c>
      <c r="L104" s="533" cm="1">
        <f t="array" aca="1" ref="L104" ca="1">IF(L$21&lt;Standard_Year,'No STDs Case Rev &amp; Cost'!L104,
OFFSET(L104,-5,0)*
OFFSET(MSP!$F$1,
MATCH(OFFSET($C97,((MATCH($C97,EL_List,0)-1)*-10)-1,0),MSP!$C:$C,0)+MATCH($C97,EL_List,0)-1,0)
*INDEX(Learning!$E$6:$S$41,(MATCH(L$21,Dates,0)),(MATCH($C$86,Learning!$E$4:$S$4,0)+MATCH($C$97,Learning!$E$5:$S$5,0)-1)))</f>
        <v>0</v>
      </c>
      <c r="M104" s="533" cm="1">
        <f t="array" aca="1" ref="M104" ca="1">IF(M$21&lt;Standard_Year,'No STDs Case Rev &amp; Cost'!M104,
OFFSET(M104,-5,0)*
OFFSET(MSP!$F$1,
MATCH(OFFSET($C97,((MATCH($C97,EL_List,0)-1)*-10)-1,0),MSP!$C:$C,0)+MATCH($C97,EL_List,0)-1,0)
*INDEX(Learning!$E$6:$S$41,(MATCH(M$21,Dates,0)),(MATCH($C$86,Learning!$E$4:$S$4,0)+MATCH($C$97,Learning!$E$5:$S$5,0)-1)))</f>
        <v>0</v>
      </c>
      <c r="N104" s="533" cm="1">
        <f t="array" aca="1" ref="N104" ca="1">IF(N$21&lt;Standard_Year,'No STDs Case Rev &amp; Cost'!N104,
OFFSET(N104,-5,0)*
OFFSET(MSP!$F$1,
MATCH(OFFSET($C97,((MATCH($C97,EL_List,0)-1)*-10)-1,0),MSP!$C:$C,0)+MATCH($C97,EL_List,0)-1,0)
*INDEX(Learning!$E$6:$S$41,(MATCH(N$21,Dates,0)),(MATCH($C$86,Learning!$E$4:$S$4,0)+MATCH($C$97,Learning!$E$5:$S$5,0)-1)))</f>
        <v>0</v>
      </c>
      <c r="O104" s="533" cm="1">
        <f t="array" aca="1" ref="O104" ca="1">IF(O$21&lt;Standard_Year,'No STDs Case Rev &amp; Cost'!O104,
OFFSET(O104,-5,0)*
OFFSET(MSP!$F$1,
MATCH(OFFSET($C97,((MATCH($C97,EL_List,0)-1)*-10)-1,0),MSP!$C:$C,0)+MATCH($C97,EL_List,0)-1,0)
*INDEX(Learning!$E$6:$S$41,(MATCH(O$21,Dates,0)),(MATCH($C$86,Learning!$E$4:$S$4,0)+MATCH($C$97,Learning!$E$5:$S$5,0)-1)))</f>
        <v>0</v>
      </c>
      <c r="P104" s="533" cm="1">
        <f t="array" aca="1" ref="P104" ca="1">IF(P$21&lt;Standard_Year,'No STDs Case Rev &amp; Cost'!P104,
OFFSET(P104,-5,0)*
OFFSET(MSP!$F$1,
MATCH(OFFSET($C97,((MATCH($C97,EL_List,0)-1)*-10)-1,0),MSP!$C:$C,0)+MATCH($C97,EL_List,0)-1,0)
*INDEX(Learning!$E$6:$S$41,(MATCH(P$21,Dates,0)),(MATCH($C$86,Learning!$E$4:$S$4,0)+MATCH($C$97,Learning!$E$5:$S$5,0)-1)))</f>
        <v>0</v>
      </c>
      <c r="Q104" s="533" cm="1">
        <f t="array" aca="1" ref="Q104" ca="1">IF(Q$21&lt;Standard_Year,'No STDs Case Rev &amp; Cost'!Q104,
OFFSET(Q104,-5,0)*
OFFSET(MSP!$F$1,
MATCH(OFFSET($C97,((MATCH($C97,EL_List,0)-1)*-10)-1,0),MSP!$C:$C,0)+MATCH($C97,EL_List,0)-1,0)
*INDEX(Learning!$E$6:$S$41,(MATCH(Q$21,Dates,0)),(MATCH($C$86,Learning!$E$4:$S$4,0)+MATCH($C$97,Learning!$E$5:$S$5,0)-1)))</f>
        <v>0</v>
      </c>
      <c r="R104" s="533" cm="1">
        <f t="array" aca="1" ref="R104" ca="1">IF(R$21&lt;Standard_Year,'No STDs Case Rev &amp; Cost'!R104,
OFFSET(R104,-5,0)*
OFFSET(MSP!$F$1,
MATCH(OFFSET($C97,((MATCH($C97,EL_List,0)-1)*-10)-1,0),MSP!$C:$C,0)+MATCH($C97,EL_List,0)-1,0)
*INDEX(Learning!$E$6:$S$41,(MATCH(R$21,Dates,0)),(MATCH($C$86,Learning!$E$4:$S$4,0)+MATCH($C$97,Learning!$E$5:$S$5,0)-1)))</f>
        <v>0</v>
      </c>
      <c r="S104" s="533" cm="1">
        <f t="array" aca="1" ref="S104" ca="1">IF(S$21&lt;Standard_Year,'No STDs Case Rev &amp; Cost'!S104,
OFFSET(S104,-5,0)*
OFFSET(MSP!$F$1,
MATCH(OFFSET($C97,((MATCH($C97,EL_List,0)-1)*-10)-1,0),MSP!$C:$C,0)+MATCH($C97,EL_List,0)-1,0)
*INDEX(Learning!$E$6:$S$41,(MATCH(S$21,Dates,0)),(MATCH($C$86,Learning!$E$4:$S$4,0)+MATCH($C$97,Learning!$E$5:$S$5,0)-1)))</f>
        <v>0</v>
      </c>
      <c r="T104" s="533" cm="1">
        <f t="array" aca="1" ref="T104" ca="1">IF(T$21&lt;Standard_Year,'No STDs Case Rev &amp; Cost'!T104,
OFFSET(T104,-5,0)*
OFFSET(MSP!$F$1,
MATCH(OFFSET($C97,((MATCH($C97,EL_List,0)-1)*-10)-1,0),MSP!$C:$C,0)+MATCH($C97,EL_List,0)-1,0)
*INDEX(Learning!$E$6:$S$41,(MATCH(T$21,Dates,0)),(MATCH($C$86,Learning!$E$4:$S$4,0)+MATCH($C$97,Learning!$E$5:$S$5,0)-1)))</f>
        <v>0</v>
      </c>
      <c r="U104" s="533" cm="1">
        <f t="array" aca="1" ref="U104" ca="1">IF(U$21&lt;Standard_Year,'No STDs Case Rev &amp; Cost'!U104,
OFFSET(U104,-5,0)*
OFFSET(MSP!$F$1,
MATCH(OFFSET($C97,((MATCH($C97,EL_List,0)-1)*-10)-1,0),MSP!$C:$C,0)+MATCH($C97,EL_List,0)-1,0)
*INDEX(Learning!$E$6:$S$41,(MATCH(U$21,Dates,0)),(MATCH($C$86,Learning!$E$4:$S$4,0)+MATCH($C$97,Learning!$E$5:$S$5,0)-1)))</f>
        <v>0</v>
      </c>
      <c r="V104" s="533" cm="1">
        <f t="array" aca="1" ref="V104" ca="1">IF(V$21&lt;Standard_Year,'No STDs Case Rev &amp; Cost'!V104,
OFFSET(V104,-5,0)*
OFFSET(MSP!$F$1,
MATCH(OFFSET($C97,((MATCH($C97,EL_List,0)-1)*-10)-1,0),MSP!$C:$C,0)+MATCH($C97,EL_List,0)-1,0)
*INDEX(Learning!$E$6:$S$41,(MATCH(V$21,Dates,0)),(MATCH($C$86,Learning!$E$4:$S$4,0)+MATCH($C$97,Learning!$E$5:$S$5,0)-1)))</f>
        <v>0</v>
      </c>
      <c r="W104" s="533" cm="1">
        <f t="array" aca="1" ref="W104" ca="1">IF(W$21&lt;Standard_Year,'No STDs Case Rev &amp; Cost'!W104,
OFFSET(W104,-5,0)*
OFFSET(MSP!$F$1,
MATCH(OFFSET($C97,((MATCH($C97,EL_List,0)-1)*-10)-1,0),MSP!$C:$C,0)+MATCH($C97,EL_List,0)-1,0)
*INDEX(Learning!$E$6:$S$41,(MATCH(W$21,Dates,0)),(MATCH($C$86,Learning!$E$4:$S$4,0)+MATCH($C$97,Learning!$E$5:$S$5,0)-1)))</f>
        <v>0</v>
      </c>
      <c r="X104" s="533" cm="1">
        <f t="array" aca="1" ref="X104" ca="1">IF(X$21&lt;Standard_Year,'No STDs Case Rev &amp; Cost'!X104,
OFFSET(X104,-5,0)*
OFFSET(MSP!$F$1,
MATCH(OFFSET($C97,((MATCH($C97,EL_List,0)-1)*-10)-1,0),MSP!$C:$C,0)+MATCH($C97,EL_List,0)-1,0)
*INDEX(Learning!$E$6:$S$41,(MATCH(X$21,Dates,0)),(MATCH($C$86,Learning!$E$4:$S$4,0)+MATCH($C$97,Learning!$E$5:$S$5,0)-1)))</f>
        <v>0</v>
      </c>
      <c r="Y104" s="533" cm="1">
        <f t="array" aca="1" ref="Y104" ca="1">IF(Y$21&lt;Standard_Year,'No STDs Case Rev &amp; Cost'!Y104,
OFFSET(Y104,-5,0)*
OFFSET(MSP!$F$1,
MATCH(OFFSET($C97,((MATCH($C97,EL_List,0)-1)*-10)-1,0),MSP!$C:$C,0)+MATCH($C97,EL_List,0)-1,0)
*INDEX(Learning!$E$6:$S$41,(MATCH(Y$21,Dates,0)),(MATCH($C$86,Learning!$E$4:$S$4,0)+MATCH($C$97,Learning!$E$5:$S$5,0)-1)))</f>
        <v>0</v>
      </c>
      <c r="Z104" s="533" cm="1">
        <f t="array" aca="1" ref="Z104" ca="1">IF(Z$21&lt;Standard_Year,'No STDs Case Rev &amp; Cost'!Z104,
OFFSET(Z104,-5,0)*
OFFSET(MSP!$F$1,
MATCH(OFFSET($C97,((MATCH($C97,EL_List,0)-1)*-10)-1,0),MSP!$C:$C,0)+MATCH($C97,EL_List,0)-1,0)
*INDEX(Learning!$E$6:$S$41,(MATCH(Z$21,Dates,0)),(MATCH($C$86,Learning!$E$4:$S$4,0)+MATCH($C$97,Learning!$E$5:$S$5,0)-1)))</f>
        <v>0</v>
      </c>
      <c r="AA104" s="533" cm="1">
        <f t="array" aca="1" ref="AA104" ca="1">IF(AA$21&lt;Standard_Year,'No STDs Case Rev &amp; Cost'!AA104,
OFFSET(AA104,-5,0)*
OFFSET(MSP!$F$1,
MATCH(OFFSET($C97,((MATCH($C97,EL_List,0)-1)*-10)-1,0),MSP!$C:$C,0)+MATCH($C97,EL_List,0)-1,0)
*INDEX(Learning!$E$6:$S$41,(MATCH(AA$21,Dates,0)),(MATCH($C$86,Learning!$E$4:$S$4,0)+MATCH($C$97,Learning!$E$5:$S$5,0)-1)))</f>
        <v>0</v>
      </c>
      <c r="AB104" s="533" cm="1">
        <f t="array" aca="1" ref="AB104" ca="1">IF(AB$21&lt;Standard_Year,'No STDs Case Rev &amp; Cost'!AB104,
OFFSET(AB104,-5,0)*
OFFSET(MSP!$F$1,
MATCH(OFFSET($C97,((MATCH($C97,EL_List,0)-1)*-10)-1,0),MSP!$C:$C,0)+MATCH($C97,EL_List,0)-1,0)
*INDEX(Learning!$E$6:$S$41,(MATCH(AB$21,Dates,0)),(MATCH($C$86,Learning!$E$4:$S$4,0)+MATCH($C$97,Learning!$E$5:$S$5,0)-1)))</f>
        <v>0</v>
      </c>
      <c r="AC104" s="533" cm="1">
        <f t="array" aca="1" ref="AC104" ca="1">IF(AC$21&lt;Standard_Year,'No STDs Case Rev &amp; Cost'!AC104,
OFFSET(AC104,-5,0)*
OFFSET(MSP!$F$1,
MATCH(OFFSET($C97,((MATCH($C97,EL_List,0)-1)*-10)-1,0),MSP!$C:$C,0)+MATCH($C97,EL_List,0)-1,0)
*INDEX(Learning!$E$6:$S$41,(MATCH(AC$21,Dates,0)),(MATCH($C$86,Learning!$E$4:$S$4,0)+MATCH($C$97,Learning!$E$5:$S$5,0)-1)))</f>
        <v>0</v>
      </c>
      <c r="AD104" s="533" cm="1">
        <f t="array" aca="1" ref="AD104" ca="1">IF(AD$21&lt;Standard_Year,'No STDs Case Rev &amp; Cost'!AD104,
OFFSET(AD104,-5,0)*
OFFSET(MSP!$F$1,
MATCH(OFFSET($C97,((MATCH($C97,EL_List,0)-1)*-10)-1,0),MSP!$C:$C,0)+MATCH($C97,EL_List,0)-1,0)
*INDEX(Learning!$E$6:$S$41,(MATCH(AD$21,Dates,0)),(MATCH($C$86,Learning!$E$4:$S$4,0)+MATCH($C$97,Learning!$E$5:$S$5,0)-1)))</f>
        <v>0</v>
      </c>
      <c r="AE104" s="533" cm="1">
        <f t="array" aca="1" ref="AE104" ca="1">IF(AE$21&lt;Standard_Year,'No STDs Case Rev &amp; Cost'!AE104,
OFFSET(AE104,-5,0)*
OFFSET(MSP!$F$1,
MATCH(OFFSET($C97,((MATCH($C97,EL_List,0)-1)*-10)-1,0),MSP!$C:$C,0)+MATCH($C97,EL_List,0)-1,0)
*INDEX(Learning!$E$6:$S$41,(MATCH(AE$21,Dates,0)),(MATCH($C$86,Learning!$E$4:$S$4,0)+MATCH($C$97,Learning!$E$5:$S$5,0)-1)))</f>
        <v>0</v>
      </c>
      <c r="AF104" s="533" cm="1">
        <f t="array" aca="1" ref="AF104" ca="1">IF(AF$21&lt;Standard_Year,'No STDs Case Rev &amp; Cost'!AF104,
OFFSET(AF104,-5,0)*
OFFSET(MSP!$F$1,
MATCH(OFFSET($C97,((MATCH($C97,EL_List,0)-1)*-10)-1,0),MSP!$C:$C,0)+MATCH($C97,EL_List,0)-1,0)
*INDEX(Learning!$E$6:$S$41,(MATCH(AF$21,Dates,0)),(MATCH($C$86,Learning!$E$4:$S$4,0)+MATCH($C$97,Learning!$E$5:$S$5,0)-1)))</f>
        <v>0</v>
      </c>
      <c r="AG104" s="533" cm="1">
        <f t="array" aca="1" ref="AG104" ca="1">IF(AG$21&lt;Standard_Year,'No STDs Case Rev &amp; Cost'!AG104,
OFFSET(AG104,-5,0)*
OFFSET(MSP!$F$1,
MATCH(OFFSET($C97,((MATCH($C97,EL_List,0)-1)*-10)-1,0),MSP!$C:$C,0)+MATCH($C97,EL_List,0)-1,0)
*INDEX(Learning!$E$6:$S$41,(MATCH(AG$21,Dates,0)),(MATCH($C$86,Learning!$E$4:$S$4,0)+MATCH($C$97,Learning!$E$5:$S$5,0)-1)))</f>
        <v>0</v>
      </c>
      <c r="AH104" s="533" cm="1">
        <f t="array" aca="1" ref="AH104" ca="1">IF(AH$21&lt;Standard_Year,'No STDs Case Rev &amp; Cost'!AH104,
OFFSET(AH104,-5,0)*
OFFSET(MSP!$F$1,
MATCH(OFFSET($C97,((MATCH($C97,EL_List,0)-1)*-10)-1,0),MSP!$C:$C,0)+MATCH($C97,EL_List,0)-1,0)
*INDEX(Learning!$E$6:$S$41,(MATCH(AH$21,Dates,0)),(MATCH($C$86,Learning!$E$4:$S$4,0)+MATCH($C$97,Learning!$E$5:$S$5,0)-1)))</f>
        <v>0</v>
      </c>
      <c r="AI104" s="533" cm="1">
        <f t="array" aca="1" ref="AI104" ca="1">IF(AI$21&lt;Standard_Year,'No STDs Case Rev &amp; Cost'!AI104,
OFFSET(AI104,-5,0)*
OFFSET(MSP!$F$1,
MATCH(OFFSET($C97,((MATCH($C97,EL_List,0)-1)*-10)-1,0),MSP!$C:$C,0)+MATCH($C97,EL_List,0)-1,0)
*INDEX(Learning!$E$6:$S$41,(MATCH(AI$21,Dates,0)),(MATCH($C$86,Learning!$E$4:$S$4,0)+MATCH($C$97,Learning!$E$5:$S$5,0)-1)))</f>
        <v>0</v>
      </c>
      <c r="AJ104" s="533" cm="1">
        <f t="array" aca="1" ref="AJ104" ca="1">IF(AJ$21&lt;Standard_Year,'No STDs Case Rev &amp; Cost'!AJ104,
OFFSET(AJ104,-5,0)*
OFFSET(MSP!$F$1,
MATCH(OFFSET($C97,((MATCH($C97,EL_List,0)-1)*-10)-1,0),MSP!$C:$C,0)+MATCH($C97,EL_List,0)-1,0)
*INDEX(Learning!$E$6:$S$41,(MATCH(AJ$21,Dates,0)),(MATCH($C$86,Learning!$E$4:$S$4,0)+MATCH($C$97,Learning!$E$5:$S$5,0)-1)))</f>
        <v>0</v>
      </c>
      <c r="AK104" s="533" cm="1">
        <f t="array" aca="1" ref="AK104" ca="1">IF(AK$21&lt;Standard_Year,'No STDs Case Rev &amp; Cost'!AK104,
OFFSET(AK104,-5,0)*
OFFSET(MSP!$F$1,
MATCH(OFFSET($C97,((MATCH($C97,EL_List,0)-1)*-10)-1,0),MSP!$C:$C,0)+MATCH($C97,EL_List,0)-1,0)
*INDEX(Learning!$E$6:$S$41,(MATCH(AK$21,Dates,0)),(MATCH($C$86,Learning!$E$4:$S$4,0)+MATCH($C$97,Learning!$E$5:$S$5,0)-1)))</f>
        <v>0</v>
      </c>
      <c r="AL104" s="533" cm="1">
        <f t="array" aca="1" ref="AL104" ca="1">IF(AL$21&lt;Standard_Year,'No STDs Case Rev &amp; Cost'!AL104,
OFFSET(AL104,-5,0)*
OFFSET(MSP!$F$1,
MATCH(OFFSET($C97,((MATCH($C97,EL_List,0)-1)*-10)-1,0),MSP!$C:$C,0)+MATCH($C97,EL_List,0)-1,0)
*INDEX(Learning!$E$6:$S$41,(MATCH(AL$21,Dates,0)),(MATCH($C$86,Learning!$E$4:$S$4,0)+MATCH($C$97,Learning!$E$5:$S$5,0)-1)))</f>
        <v>0</v>
      </c>
      <c r="AM104" s="533" cm="1">
        <f t="array" aca="1" ref="AM104" ca="1">IF(AM$21&lt;Standard_Year,'No STDs Case Rev &amp; Cost'!AM104,
OFFSET(AM104,-5,0)*
OFFSET(MSP!$F$1,
MATCH(OFFSET($C97,((MATCH($C97,EL_List,0)-1)*-10)-1,0),MSP!$C:$C,0)+MATCH($C97,EL_List,0)-1,0)
*INDEX(Learning!$E$6:$S$41,(MATCH(AM$21,Dates,0)),(MATCH($C$86,Learning!$E$4:$S$4,0)+MATCH($C$97,Learning!$E$5:$S$5,0)-1)))</f>
        <v>0</v>
      </c>
      <c r="AN104" s="533" cm="1">
        <f t="array" aca="1" ref="AN104" ca="1">IF(AN$21&lt;Standard_Year,'No STDs Case Rev &amp; Cost'!AN104,
OFFSET(AN104,-5,0)*
OFFSET(MSP!$F$1,
MATCH(OFFSET($C97,((MATCH($C97,EL_List,0)-1)*-10)-1,0),MSP!$C:$C,0)+MATCH($C97,EL_List,0)-1,0)
*INDEX(Learning!$E$6:$S$41,(MATCH(AN$21,Dates,0)),(MATCH($C$86,Learning!$E$4:$S$4,0)+MATCH($C$97,Learning!$E$5:$S$5,0)-1)))</f>
        <v>0</v>
      </c>
      <c r="AO104" s="436"/>
      <c r="AP104" s="21"/>
    </row>
    <row r="105" spans="2:42" ht="15" customHeight="1" collapsed="1" x14ac:dyDescent="0.35">
      <c r="B105" s="429"/>
      <c r="C105" s="780" t="s">
        <v>215</v>
      </c>
      <c r="D105" s="776"/>
      <c r="E105" s="531" cm="1">
        <f t="array" aca="1" ref="E105" ca="1">IF(E$21&lt;Standard_Year,'No STDs Case Rev &amp; Cost'!E105,
OFFSET(E105,-6,0)*
OFFSET(MSP!$G$1,
MATCH(OFFSET($C97,((MATCH($C97,EL_List,0)-1)*-10)-1,0),MSP!$C:$C,0)+MATCH($C97,EL_List,0)-1,0)
*INDEX(Learning!$E$6:$S$41,(MATCH(E$21,Dates,0)),(MATCH($C$86,Learning!$E$4:$S$4,0)+MATCH($C$97,Learning!$E$5:$S$5,0)-1)))</f>
        <v>0.78872706418745353</v>
      </c>
      <c r="F105" s="531" cm="1">
        <f t="array" aca="1" ref="F105" ca="1">IF(F$21&lt;Standard_Year,'No STDs Case Rev &amp; Cost'!F105,
OFFSET(F105,-6,0)*
OFFSET(MSP!$G$1,
MATCH(OFFSET($C97,((MATCH($C97,EL_List,0)-1)*-10)-1,0),MSP!$C:$C,0)+MATCH($C97,EL_List,0)-1,0)
*INDEX(Learning!$E$6:$S$41,(MATCH(F$21,Dates,0)),(MATCH($C$86,Learning!$E$4:$S$4,0)+MATCH($C$97,Learning!$E$5:$S$5,0)-1)))</f>
        <v>0.8176715200844944</v>
      </c>
      <c r="G105" s="531" cm="1">
        <f t="array" aca="1" ref="G105" ca="1">IF(G$21&lt;Standard_Year,'No STDs Case Rev &amp; Cost'!G105,
OFFSET(G105,-6,0)*
OFFSET(MSP!$G$1,
MATCH(OFFSET($C97,((MATCH($C97,EL_List,0)-1)*-10)-1,0),MSP!$C:$C,0)+MATCH($C97,EL_List,0)-1,0)
*INDEX(Learning!$E$6:$S$41,(MATCH(G$21,Dates,0)),(MATCH($C$86,Learning!$E$4:$S$4,0)+MATCH($C$97,Learning!$E$5:$S$5,0)-1)))</f>
        <v>0.84328746809678268</v>
      </c>
      <c r="H105" s="531" cm="1">
        <f t="array" aca="1" ref="H105" ca="1">IF(H$21&lt;Standard_Year,'No STDs Case Rev &amp; Cost'!H105,
OFFSET(H105,-6,0)*
OFFSET(MSP!$G$1,
MATCH(OFFSET($C97,((MATCH($C97,EL_List,0)-1)*-10)-1,0),MSP!$C:$C,0)+MATCH($C97,EL_List,0)-1,0)
*INDEX(Learning!$E$6:$S$41,(MATCH(H$21,Dates,0)),(MATCH($C$86,Learning!$E$4:$S$4,0)+MATCH($C$97,Learning!$E$5:$S$5,0)-1)))</f>
        <v>0.87601334059639158</v>
      </c>
      <c r="I105" s="531" cm="1">
        <f t="array" aca="1" ref="I105" ca="1">IF(I$21&lt;Standard_Year,'No STDs Case Rev &amp; Cost'!I105,
OFFSET(I105,-6,0)*
OFFSET(MSP!$G$1,
MATCH(OFFSET($C97,((MATCH($C97,EL_List,0)-1)*-10)-1,0),MSP!$C:$C,0)+MATCH($C97,EL_List,0)-1,0)
*INDEX(Learning!$E$6:$S$41,(MATCH(I$21,Dates,0)),(MATCH($C$86,Learning!$E$4:$S$4,0)+MATCH($C$97,Learning!$E$5:$S$5,0)-1)))</f>
        <v>0</v>
      </c>
      <c r="J105" s="531" cm="1">
        <f t="array" aca="1" ref="J105" ca="1">IF(J$21&lt;Standard_Year,'No STDs Case Rev &amp; Cost'!J105,
OFFSET(J105,-6,0)*
OFFSET(MSP!$G$1,
MATCH(OFFSET($C97,((MATCH($C97,EL_List,0)-1)*-10)-1,0),MSP!$C:$C,0)+MATCH($C97,EL_List,0)-1,0)
*INDEX(Learning!$E$6:$S$41,(MATCH(J$21,Dates,0)),(MATCH($C$86,Learning!$E$4:$S$4,0)+MATCH($C$97,Learning!$E$5:$S$5,0)-1)))</f>
        <v>0</v>
      </c>
      <c r="K105" s="531" cm="1">
        <f t="array" aca="1" ref="K105" ca="1">IF(K$21&lt;Standard_Year,'No STDs Case Rev &amp; Cost'!K105,
OFFSET(K105,-6,0)*
OFFSET(MSP!$G$1,
MATCH(OFFSET($C97,((MATCH($C97,EL_List,0)-1)*-10)-1,0),MSP!$C:$C,0)+MATCH($C97,EL_List,0)-1,0)
*INDEX(Learning!$E$6:$S$41,(MATCH(K$21,Dates,0)),(MATCH($C$86,Learning!$E$4:$S$4,0)+MATCH($C$97,Learning!$E$5:$S$5,0)-1)))</f>
        <v>0</v>
      </c>
      <c r="L105" s="531" cm="1">
        <f t="array" aca="1" ref="L105" ca="1">IF(L$21&lt;Standard_Year,'No STDs Case Rev &amp; Cost'!L105,
OFFSET(L105,-6,0)*
OFFSET(MSP!$G$1,
MATCH(OFFSET($C97,((MATCH($C97,EL_List,0)-1)*-10)-1,0),MSP!$C:$C,0)+MATCH($C97,EL_List,0)-1,0)
*INDEX(Learning!$E$6:$S$41,(MATCH(L$21,Dates,0)),(MATCH($C$86,Learning!$E$4:$S$4,0)+MATCH($C$97,Learning!$E$5:$S$5,0)-1)))</f>
        <v>0</v>
      </c>
      <c r="M105" s="531" cm="1">
        <f t="array" aca="1" ref="M105" ca="1">IF(M$21&lt;Standard_Year,'No STDs Case Rev &amp; Cost'!M105,
OFFSET(M105,-6,0)*
OFFSET(MSP!$G$1,
MATCH(OFFSET($C97,((MATCH($C97,EL_List,0)-1)*-10)-1,0),MSP!$C:$C,0)+MATCH($C97,EL_List,0)-1,0)
*INDEX(Learning!$E$6:$S$41,(MATCH(M$21,Dates,0)),(MATCH($C$86,Learning!$E$4:$S$4,0)+MATCH($C$97,Learning!$E$5:$S$5,0)-1)))</f>
        <v>0</v>
      </c>
      <c r="N105" s="531" cm="1">
        <f t="array" aca="1" ref="N105" ca="1">IF(N$21&lt;Standard_Year,'No STDs Case Rev &amp; Cost'!N105,
OFFSET(N105,-6,0)*
OFFSET(MSP!$G$1,
MATCH(OFFSET($C97,((MATCH($C97,EL_List,0)-1)*-10)-1,0),MSP!$C:$C,0)+MATCH($C97,EL_List,0)-1,0)
*INDEX(Learning!$E$6:$S$41,(MATCH(N$21,Dates,0)),(MATCH($C$86,Learning!$E$4:$S$4,0)+MATCH($C$97,Learning!$E$5:$S$5,0)-1)))</f>
        <v>0</v>
      </c>
      <c r="O105" s="531" cm="1">
        <f t="array" aca="1" ref="O105" ca="1">IF(O$21&lt;Standard_Year,'No STDs Case Rev &amp; Cost'!O105,
OFFSET(O105,-6,0)*
OFFSET(MSP!$G$1,
MATCH(OFFSET($C97,((MATCH($C97,EL_List,0)-1)*-10)-1,0),MSP!$C:$C,0)+MATCH($C97,EL_List,0)-1,0)
*INDEX(Learning!$E$6:$S$41,(MATCH(O$21,Dates,0)),(MATCH($C$86,Learning!$E$4:$S$4,0)+MATCH($C$97,Learning!$E$5:$S$5,0)-1)))</f>
        <v>0</v>
      </c>
      <c r="P105" s="531" cm="1">
        <f t="array" aca="1" ref="P105" ca="1">IF(P$21&lt;Standard_Year,'No STDs Case Rev &amp; Cost'!P105,
OFFSET(P105,-6,0)*
OFFSET(MSP!$G$1,
MATCH(OFFSET($C97,((MATCH($C97,EL_List,0)-1)*-10)-1,0),MSP!$C:$C,0)+MATCH($C97,EL_List,0)-1,0)
*INDEX(Learning!$E$6:$S$41,(MATCH(P$21,Dates,0)),(MATCH($C$86,Learning!$E$4:$S$4,0)+MATCH($C$97,Learning!$E$5:$S$5,0)-1)))</f>
        <v>0</v>
      </c>
      <c r="Q105" s="531" cm="1">
        <f t="array" aca="1" ref="Q105" ca="1">IF(Q$21&lt;Standard_Year,'No STDs Case Rev &amp; Cost'!Q105,
OFFSET(Q105,-6,0)*
OFFSET(MSP!$G$1,
MATCH(OFFSET($C97,((MATCH($C97,EL_List,0)-1)*-10)-1,0),MSP!$C:$C,0)+MATCH($C97,EL_List,0)-1,0)
*INDEX(Learning!$E$6:$S$41,(MATCH(Q$21,Dates,0)),(MATCH($C$86,Learning!$E$4:$S$4,0)+MATCH($C$97,Learning!$E$5:$S$5,0)-1)))</f>
        <v>0</v>
      </c>
      <c r="R105" s="531" cm="1">
        <f t="array" aca="1" ref="R105" ca="1">IF(R$21&lt;Standard_Year,'No STDs Case Rev &amp; Cost'!R105,
OFFSET(R105,-6,0)*
OFFSET(MSP!$G$1,
MATCH(OFFSET($C97,((MATCH($C97,EL_List,0)-1)*-10)-1,0),MSP!$C:$C,0)+MATCH($C97,EL_List,0)-1,0)
*INDEX(Learning!$E$6:$S$41,(MATCH(R$21,Dates,0)),(MATCH($C$86,Learning!$E$4:$S$4,0)+MATCH($C$97,Learning!$E$5:$S$5,0)-1)))</f>
        <v>0</v>
      </c>
      <c r="S105" s="531" cm="1">
        <f t="array" aca="1" ref="S105" ca="1">IF(S$21&lt;Standard_Year,'No STDs Case Rev &amp; Cost'!S105,
OFFSET(S105,-6,0)*
OFFSET(MSP!$G$1,
MATCH(OFFSET($C97,((MATCH($C97,EL_List,0)-1)*-10)-1,0),MSP!$C:$C,0)+MATCH($C97,EL_List,0)-1,0)
*INDEX(Learning!$E$6:$S$41,(MATCH(S$21,Dates,0)),(MATCH($C$86,Learning!$E$4:$S$4,0)+MATCH($C$97,Learning!$E$5:$S$5,0)-1)))</f>
        <v>0</v>
      </c>
      <c r="T105" s="531" cm="1">
        <f t="array" aca="1" ref="T105" ca="1">IF(T$21&lt;Standard_Year,'No STDs Case Rev &amp; Cost'!T105,
OFFSET(T105,-6,0)*
OFFSET(MSP!$G$1,
MATCH(OFFSET($C97,((MATCH($C97,EL_List,0)-1)*-10)-1,0),MSP!$C:$C,0)+MATCH($C97,EL_List,0)-1,0)
*INDEX(Learning!$E$6:$S$41,(MATCH(T$21,Dates,0)),(MATCH($C$86,Learning!$E$4:$S$4,0)+MATCH($C$97,Learning!$E$5:$S$5,0)-1)))</f>
        <v>0</v>
      </c>
      <c r="U105" s="531" cm="1">
        <f t="array" aca="1" ref="U105" ca="1">IF(U$21&lt;Standard_Year,'No STDs Case Rev &amp; Cost'!U105,
OFFSET(U105,-6,0)*
OFFSET(MSP!$G$1,
MATCH(OFFSET($C97,((MATCH($C97,EL_List,0)-1)*-10)-1,0),MSP!$C:$C,0)+MATCH($C97,EL_List,0)-1,0)
*INDEX(Learning!$E$6:$S$41,(MATCH(U$21,Dates,0)),(MATCH($C$86,Learning!$E$4:$S$4,0)+MATCH($C$97,Learning!$E$5:$S$5,0)-1)))</f>
        <v>0</v>
      </c>
      <c r="V105" s="531" cm="1">
        <f t="array" aca="1" ref="V105" ca="1">IF(V$21&lt;Standard_Year,'No STDs Case Rev &amp; Cost'!V105,
OFFSET(V105,-6,0)*
OFFSET(MSP!$G$1,
MATCH(OFFSET($C97,((MATCH($C97,EL_List,0)-1)*-10)-1,0),MSP!$C:$C,0)+MATCH($C97,EL_List,0)-1,0)
*INDEX(Learning!$E$6:$S$41,(MATCH(V$21,Dates,0)),(MATCH($C$86,Learning!$E$4:$S$4,0)+MATCH($C$97,Learning!$E$5:$S$5,0)-1)))</f>
        <v>0</v>
      </c>
      <c r="W105" s="531" cm="1">
        <f t="array" aca="1" ref="W105" ca="1">IF(W$21&lt;Standard_Year,'No STDs Case Rev &amp; Cost'!W105,
OFFSET(W105,-6,0)*
OFFSET(MSP!$G$1,
MATCH(OFFSET($C97,((MATCH($C97,EL_List,0)-1)*-10)-1,0),MSP!$C:$C,0)+MATCH($C97,EL_List,0)-1,0)
*INDEX(Learning!$E$6:$S$41,(MATCH(W$21,Dates,0)),(MATCH($C$86,Learning!$E$4:$S$4,0)+MATCH($C$97,Learning!$E$5:$S$5,0)-1)))</f>
        <v>0</v>
      </c>
      <c r="X105" s="531" cm="1">
        <f t="array" aca="1" ref="X105" ca="1">IF(X$21&lt;Standard_Year,'No STDs Case Rev &amp; Cost'!X105,
OFFSET(X105,-6,0)*
OFFSET(MSP!$G$1,
MATCH(OFFSET($C97,((MATCH($C97,EL_List,0)-1)*-10)-1,0),MSP!$C:$C,0)+MATCH($C97,EL_List,0)-1,0)
*INDEX(Learning!$E$6:$S$41,(MATCH(X$21,Dates,0)),(MATCH($C$86,Learning!$E$4:$S$4,0)+MATCH($C$97,Learning!$E$5:$S$5,0)-1)))</f>
        <v>0</v>
      </c>
      <c r="Y105" s="531" cm="1">
        <f t="array" aca="1" ref="Y105" ca="1">IF(Y$21&lt;Standard_Year,'No STDs Case Rev &amp; Cost'!Y105,
OFFSET(Y105,-6,0)*
OFFSET(MSP!$G$1,
MATCH(OFFSET($C97,((MATCH($C97,EL_List,0)-1)*-10)-1,0),MSP!$C:$C,0)+MATCH($C97,EL_List,0)-1,0)
*INDEX(Learning!$E$6:$S$41,(MATCH(Y$21,Dates,0)),(MATCH($C$86,Learning!$E$4:$S$4,0)+MATCH($C$97,Learning!$E$5:$S$5,0)-1)))</f>
        <v>0</v>
      </c>
      <c r="Z105" s="531" cm="1">
        <f t="array" aca="1" ref="Z105" ca="1">IF(Z$21&lt;Standard_Year,'No STDs Case Rev &amp; Cost'!Z105,
OFFSET(Z105,-6,0)*
OFFSET(MSP!$G$1,
MATCH(OFFSET($C97,((MATCH($C97,EL_List,0)-1)*-10)-1,0),MSP!$C:$C,0)+MATCH($C97,EL_List,0)-1,0)
*INDEX(Learning!$E$6:$S$41,(MATCH(Z$21,Dates,0)),(MATCH($C$86,Learning!$E$4:$S$4,0)+MATCH($C$97,Learning!$E$5:$S$5,0)-1)))</f>
        <v>0</v>
      </c>
      <c r="AA105" s="531" cm="1">
        <f t="array" aca="1" ref="AA105" ca="1">IF(AA$21&lt;Standard_Year,'No STDs Case Rev &amp; Cost'!AA105,
OFFSET(AA105,-6,0)*
OFFSET(MSP!$G$1,
MATCH(OFFSET($C97,((MATCH($C97,EL_List,0)-1)*-10)-1,0),MSP!$C:$C,0)+MATCH($C97,EL_List,0)-1,0)
*INDEX(Learning!$E$6:$S$41,(MATCH(AA$21,Dates,0)),(MATCH($C$86,Learning!$E$4:$S$4,0)+MATCH($C$97,Learning!$E$5:$S$5,0)-1)))</f>
        <v>0</v>
      </c>
      <c r="AB105" s="531" cm="1">
        <f t="array" aca="1" ref="AB105" ca="1">IF(AB$21&lt;Standard_Year,'No STDs Case Rev &amp; Cost'!AB105,
OFFSET(AB105,-6,0)*
OFFSET(MSP!$G$1,
MATCH(OFFSET($C97,((MATCH($C97,EL_List,0)-1)*-10)-1,0),MSP!$C:$C,0)+MATCH($C97,EL_List,0)-1,0)
*INDEX(Learning!$E$6:$S$41,(MATCH(AB$21,Dates,0)),(MATCH($C$86,Learning!$E$4:$S$4,0)+MATCH($C$97,Learning!$E$5:$S$5,0)-1)))</f>
        <v>0</v>
      </c>
      <c r="AC105" s="531" cm="1">
        <f t="array" aca="1" ref="AC105" ca="1">IF(AC$21&lt;Standard_Year,'No STDs Case Rev &amp; Cost'!AC105,
OFFSET(AC105,-6,0)*
OFFSET(MSP!$G$1,
MATCH(OFFSET($C97,((MATCH($C97,EL_List,0)-1)*-10)-1,0),MSP!$C:$C,0)+MATCH($C97,EL_List,0)-1,0)
*INDEX(Learning!$E$6:$S$41,(MATCH(AC$21,Dates,0)),(MATCH($C$86,Learning!$E$4:$S$4,0)+MATCH($C$97,Learning!$E$5:$S$5,0)-1)))</f>
        <v>0</v>
      </c>
      <c r="AD105" s="531" cm="1">
        <f t="array" aca="1" ref="AD105" ca="1">IF(AD$21&lt;Standard_Year,'No STDs Case Rev &amp; Cost'!AD105,
OFFSET(AD105,-6,0)*
OFFSET(MSP!$G$1,
MATCH(OFFSET($C97,((MATCH($C97,EL_List,0)-1)*-10)-1,0),MSP!$C:$C,0)+MATCH($C97,EL_List,0)-1,0)
*INDEX(Learning!$E$6:$S$41,(MATCH(AD$21,Dates,0)),(MATCH($C$86,Learning!$E$4:$S$4,0)+MATCH($C$97,Learning!$E$5:$S$5,0)-1)))</f>
        <v>0</v>
      </c>
      <c r="AE105" s="531" cm="1">
        <f t="array" aca="1" ref="AE105" ca="1">IF(AE$21&lt;Standard_Year,'No STDs Case Rev &amp; Cost'!AE105,
OFFSET(AE105,-6,0)*
OFFSET(MSP!$G$1,
MATCH(OFFSET($C97,((MATCH($C97,EL_List,0)-1)*-10)-1,0),MSP!$C:$C,0)+MATCH($C97,EL_List,0)-1,0)
*INDEX(Learning!$E$6:$S$41,(MATCH(AE$21,Dates,0)),(MATCH($C$86,Learning!$E$4:$S$4,0)+MATCH($C$97,Learning!$E$5:$S$5,0)-1)))</f>
        <v>0</v>
      </c>
      <c r="AF105" s="531" cm="1">
        <f t="array" aca="1" ref="AF105" ca="1">IF(AF$21&lt;Standard_Year,'No STDs Case Rev &amp; Cost'!AF105,
OFFSET(AF105,-6,0)*
OFFSET(MSP!$G$1,
MATCH(OFFSET($C97,((MATCH($C97,EL_List,0)-1)*-10)-1,0),MSP!$C:$C,0)+MATCH($C97,EL_List,0)-1,0)
*INDEX(Learning!$E$6:$S$41,(MATCH(AF$21,Dates,0)),(MATCH($C$86,Learning!$E$4:$S$4,0)+MATCH($C$97,Learning!$E$5:$S$5,0)-1)))</f>
        <v>0</v>
      </c>
      <c r="AG105" s="531" cm="1">
        <f t="array" aca="1" ref="AG105" ca="1">IF(AG$21&lt;Standard_Year,'No STDs Case Rev &amp; Cost'!AG105,
OFFSET(AG105,-6,0)*
OFFSET(MSP!$G$1,
MATCH(OFFSET($C97,((MATCH($C97,EL_List,0)-1)*-10)-1,0),MSP!$C:$C,0)+MATCH($C97,EL_List,0)-1,0)
*INDEX(Learning!$E$6:$S$41,(MATCH(AG$21,Dates,0)),(MATCH($C$86,Learning!$E$4:$S$4,0)+MATCH($C$97,Learning!$E$5:$S$5,0)-1)))</f>
        <v>0</v>
      </c>
      <c r="AH105" s="531" cm="1">
        <f t="array" aca="1" ref="AH105" ca="1">IF(AH$21&lt;Standard_Year,'No STDs Case Rev &amp; Cost'!AH105,
OFFSET(AH105,-6,0)*
OFFSET(MSP!$G$1,
MATCH(OFFSET($C97,((MATCH($C97,EL_List,0)-1)*-10)-1,0),MSP!$C:$C,0)+MATCH($C97,EL_List,0)-1,0)
*INDEX(Learning!$E$6:$S$41,(MATCH(AH$21,Dates,0)),(MATCH($C$86,Learning!$E$4:$S$4,0)+MATCH($C$97,Learning!$E$5:$S$5,0)-1)))</f>
        <v>0</v>
      </c>
      <c r="AI105" s="531" cm="1">
        <f t="array" aca="1" ref="AI105" ca="1">IF(AI$21&lt;Standard_Year,'No STDs Case Rev &amp; Cost'!AI105,
OFFSET(AI105,-6,0)*
OFFSET(MSP!$G$1,
MATCH(OFFSET($C97,((MATCH($C97,EL_List,0)-1)*-10)-1,0),MSP!$C:$C,0)+MATCH($C97,EL_List,0)-1,0)
*INDEX(Learning!$E$6:$S$41,(MATCH(AI$21,Dates,0)),(MATCH($C$86,Learning!$E$4:$S$4,0)+MATCH($C$97,Learning!$E$5:$S$5,0)-1)))</f>
        <v>0</v>
      </c>
      <c r="AJ105" s="531" cm="1">
        <f t="array" aca="1" ref="AJ105" ca="1">IF(AJ$21&lt;Standard_Year,'No STDs Case Rev &amp; Cost'!AJ105,
OFFSET(AJ105,-6,0)*
OFFSET(MSP!$G$1,
MATCH(OFFSET($C97,((MATCH($C97,EL_List,0)-1)*-10)-1,0),MSP!$C:$C,0)+MATCH($C97,EL_List,0)-1,0)
*INDEX(Learning!$E$6:$S$41,(MATCH(AJ$21,Dates,0)),(MATCH($C$86,Learning!$E$4:$S$4,0)+MATCH($C$97,Learning!$E$5:$S$5,0)-1)))</f>
        <v>0</v>
      </c>
      <c r="AK105" s="531" cm="1">
        <f t="array" aca="1" ref="AK105" ca="1">IF(AK$21&lt;Standard_Year,'No STDs Case Rev &amp; Cost'!AK105,
OFFSET(AK105,-6,0)*
OFFSET(MSP!$G$1,
MATCH(OFFSET($C97,((MATCH($C97,EL_List,0)-1)*-10)-1,0),MSP!$C:$C,0)+MATCH($C97,EL_List,0)-1,0)
*INDEX(Learning!$E$6:$S$41,(MATCH(AK$21,Dates,0)),(MATCH($C$86,Learning!$E$4:$S$4,0)+MATCH($C$97,Learning!$E$5:$S$5,0)-1)))</f>
        <v>0</v>
      </c>
      <c r="AL105" s="531" cm="1">
        <f t="array" aca="1" ref="AL105" ca="1">IF(AL$21&lt;Standard_Year,'No STDs Case Rev &amp; Cost'!AL105,
OFFSET(AL105,-6,0)*
OFFSET(MSP!$G$1,
MATCH(OFFSET($C97,((MATCH($C97,EL_List,0)-1)*-10)-1,0),MSP!$C:$C,0)+MATCH($C97,EL_List,0)-1,0)
*INDEX(Learning!$E$6:$S$41,(MATCH(AL$21,Dates,0)),(MATCH($C$86,Learning!$E$4:$S$4,0)+MATCH($C$97,Learning!$E$5:$S$5,0)-1)))</f>
        <v>0</v>
      </c>
      <c r="AM105" s="531" cm="1">
        <f t="array" aca="1" ref="AM105" ca="1">IF(AM$21&lt;Standard_Year,'No STDs Case Rev &amp; Cost'!AM105,
OFFSET(AM105,-6,0)*
OFFSET(MSP!$G$1,
MATCH(OFFSET($C97,((MATCH($C97,EL_List,0)-1)*-10)-1,0),MSP!$C:$C,0)+MATCH($C97,EL_List,0)-1,0)
*INDEX(Learning!$E$6:$S$41,(MATCH(AM$21,Dates,0)),(MATCH($C$86,Learning!$E$4:$S$4,0)+MATCH($C$97,Learning!$E$5:$S$5,0)-1)))</f>
        <v>0</v>
      </c>
      <c r="AN105" s="531" cm="1">
        <f t="array" aca="1" ref="AN105" ca="1">IF(AN$21&lt;Standard_Year,'No STDs Case Rev &amp; Cost'!AN105,
OFFSET(AN105,-6,0)*
OFFSET(MSP!$G$1,
MATCH(OFFSET($C97,((MATCH($C97,EL_List,0)-1)*-10)-1,0),MSP!$C:$C,0)+MATCH($C97,EL_List,0)-1,0)
*INDEX(Learning!$E$6:$S$41,(MATCH(AN$21,Dates,0)),(MATCH($C$86,Learning!$E$4:$S$4,0)+MATCH($C$97,Learning!$E$5:$S$5,0)-1)))</f>
        <v>0</v>
      </c>
      <c r="AO105" s="436"/>
      <c r="AP105" s="21"/>
    </row>
    <row r="106" spans="2:42" ht="15" customHeight="1" x14ac:dyDescent="0.35">
      <c r="B106" s="429"/>
      <c r="C106" s="776"/>
      <c r="D106" s="776"/>
      <c r="E106" s="776"/>
      <c r="F106" s="776"/>
      <c r="G106" s="776"/>
      <c r="H106" s="776"/>
      <c r="I106" s="776"/>
      <c r="J106" s="776"/>
      <c r="K106" s="776"/>
      <c r="L106" s="776"/>
      <c r="M106" s="776"/>
      <c r="N106" s="776"/>
      <c r="O106" s="776"/>
      <c r="P106" s="776"/>
      <c r="Q106" s="776"/>
      <c r="R106" s="776"/>
      <c r="S106" s="776"/>
      <c r="T106" s="776"/>
      <c r="U106" s="776"/>
      <c r="V106" s="776"/>
      <c r="W106" s="776"/>
      <c r="X106" s="776"/>
      <c r="Y106" s="776"/>
      <c r="Z106" s="776"/>
      <c r="AA106" s="776"/>
      <c r="AB106" s="776"/>
      <c r="AC106" s="776"/>
      <c r="AD106" s="776"/>
      <c r="AE106" s="776"/>
      <c r="AF106" s="776"/>
      <c r="AG106" s="776"/>
      <c r="AH106" s="776"/>
      <c r="AI106" s="776"/>
      <c r="AJ106" s="776"/>
      <c r="AK106" s="776"/>
      <c r="AL106" s="776"/>
      <c r="AM106" s="776"/>
      <c r="AN106" s="776"/>
      <c r="AO106" s="436"/>
      <c r="AP106" s="21"/>
    </row>
    <row r="107" spans="2:42" ht="15" customHeight="1" x14ac:dyDescent="0.35">
      <c r="B107" s="429"/>
      <c r="C107" s="772" t="s">
        <v>344</v>
      </c>
      <c r="D107" s="776"/>
      <c r="E107" s="776"/>
      <c r="F107" s="776"/>
      <c r="G107" s="776"/>
      <c r="H107" s="776"/>
      <c r="I107" s="776"/>
      <c r="J107" s="776"/>
      <c r="K107" s="776"/>
      <c r="L107" s="776"/>
      <c r="M107" s="776"/>
      <c r="N107" s="776"/>
      <c r="O107" s="776"/>
      <c r="P107" s="776"/>
      <c r="Q107" s="776"/>
      <c r="R107" s="776"/>
      <c r="S107" s="776"/>
      <c r="T107" s="776"/>
      <c r="U107" s="776"/>
      <c r="V107" s="776"/>
      <c r="W107" s="776"/>
      <c r="X107" s="776"/>
      <c r="Y107" s="776"/>
      <c r="Z107" s="776"/>
      <c r="AA107" s="776"/>
      <c r="AB107" s="776"/>
      <c r="AC107" s="776"/>
      <c r="AD107" s="776"/>
      <c r="AE107" s="776"/>
      <c r="AF107" s="776"/>
      <c r="AG107" s="776"/>
      <c r="AH107" s="776"/>
      <c r="AI107" s="776"/>
      <c r="AJ107" s="776"/>
      <c r="AK107" s="776"/>
      <c r="AL107" s="776"/>
      <c r="AM107" s="776"/>
      <c r="AN107" s="776"/>
      <c r="AO107" s="436"/>
      <c r="AP107" s="21"/>
    </row>
    <row r="108" spans="2:42" ht="15" customHeight="1" x14ac:dyDescent="0.35">
      <c r="B108" s="429"/>
      <c r="C108" s="777" t="s">
        <v>10</v>
      </c>
      <c r="D108" s="776"/>
      <c r="E108" s="778" cm="1">
        <f t="array" aca="1" ref="E108" ca="1">IF(E$21&lt;Standard_Year,'No STDs Case Rev &amp; Cost'!E108,
OFFSET(MSP!$C$1,
MATCH(OFFSET($C107,((MATCH($C107,EL_List,0)-1)*-10)-1,0),MSP!$C:$C,0)+MATCH($C107,EL_List,0)-1,
MATCH(OFFSET($C107,((MATCH($C107,EL_List,0)-1)*-10)-3,0),MSP!$D$5:$N$5,0)+1)
*INDEX(Learning!$E$6:$S$41,(MATCH(E$21,Dates,0)),(MATCH($C$86,Learning!$E$4:$S$4,0)+MATCH($C$107,Learning!$E$5:$S$5,0)-1)))</f>
        <v>68.993406999999991</v>
      </c>
      <c r="F108" s="778" cm="1">
        <f t="array" aca="1" ref="F108" ca="1">IF(F$21&lt;Standard_Year,'No STDs Case Rev &amp; Cost'!F108,
OFFSET(MSP!$C$1,
MATCH(OFFSET($C107,((MATCH($C107,EL_List,0)-1)*-10)-1,0),MSP!$C:$C,0)+MATCH($C107,EL_List,0)-1,
MATCH(OFFSET($C107,((MATCH($C107,EL_List,0)-1)*-10)-3,0),MSP!$D$5:$N$5,0)+1)
*INDEX(Learning!$E$6:$S$41,(MATCH(F$21,Dates,0)),(MATCH($C$86,Learning!$E$4:$S$4,0)+MATCH($C$107,Learning!$E$5:$S$5,0)-1)))</f>
        <v>68.464214999999996</v>
      </c>
      <c r="G108" s="778" cm="1">
        <f t="array" aca="1" ref="G108" ca="1">IF(G$21&lt;Standard_Year,'No STDs Case Rev &amp; Cost'!G108,
OFFSET(MSP!$C$1,
MATCH(OFFSET($C107,((MATCH($C107,EL_List,0)-1)*-10)-1,0),MSP!$C:$C,0)+MATCH($C107,EL_List,0)-1,
MATCH(OFFSET($C107,((MATCH($C107,EL_List,0)-1)*-10)-3,0),MSP!$D$5:$N$5,0)+1)
*INDEX(Learning!$E$6:$S$41,(MATCH(G$21,Dates,0)),(MATCH($C$86,Learning!$E$4:$S$4,0)+MATCH($C$107,Learning!$E$5:$S$5,0)-1)))</f>
        <v>67.935023000000001</v>
      </c>
      <c r="H108" s="778" cm="1">
        <f t="array" aca="1" ref="H108" ca="1">IF(H$21&lt;Standard_Year,'No STDs Case Rev &amp; Cost'!H108,
OFFSET(MSP!$C$1,
MATCH(OFFSET($C107,((MATCH($C107,EL_List,0)-1)*-10)-1,0),MSP!$C:$C,0)+MATCH($C107,EL_List,0)-1,
MATCH(OFFSET($C107,((MATCH($C107,EL_List,0)-1)*-10)-3,0),MSP!$D$5:$N$5,0)+1)
*INDEX(Learning!$E$6:$S$41,(MATCH(H$21,Dates,0)),(MATCH($C$86,Learning!$E$4:$S$4,0)+MATCH($C$107,Learning!$E$5:$S$5,0)-1)))</f>
        <v>67.471980000000002</v>
      </c>
      <c r="I108" s="778" cm="1">
        <f t="array" aca="1" ref="I108" ca="1">IF(I$21&lt;Standard_Year,'No STDs Case Rev &amp; Cost'!I108,
OFFSET(MSP!$C$1,
MATCH(OFFSET($C107,((MATCH($C107,EL_List,0)-1)*-10)-1,0),MSP!$C:$C,0)+MATCH($C107,EL_List,0)-1,
MATCH(OFFSET($C107,((MATCH($C107,EL_List,0)-1)*-10)-3,0),MSP!$D$5:$N$5,0)+1)
*INDEX(Learning!$E$6:$S$41,(MATCH(I$21,Dates,0)),(MATCH($C$86,Learning!$E$4:$S$4,0)+MATCH($C$107,Learning!$E$5:$S$5,0)-1)))</f>
        <v>66.752234339797539</v>
      </c>
      <c r="J108" s="778" cm="1">
        <f t="array" aca="1" ref="J108" ca="1">IF(J$21&lt;Standard_Year,'No STDs Case Rev &amp; Cost'!J108,
OFFSET(MSP!$C$1,
MATCH(OFFSET($C107,((MATCH($C107,EL_List,0)-1)*-10)-1,0),MSP!$C:$C,0)+MATCH($C107,EL_List,0)-1,
MATCH(OFFSET($C107,((MATCH($C107,EL_List,0)-1)*-10)-3,0),MSP!$D$5:$N$5,0)+1)
*INDEX(Learning!$E$6:$S$41,(MATCH(J$21,Dates,0)),(MATCH($C$86,Learning!$E$4:$S$4,0)+MATCH($C$107,Learning!$E$5:$S$5,0)-1)))</f>
        <v>66.290965198258959</v>
      </c>
      <c r="K108" s="778" cm="1">
        <f t="array" aca="1" ref="K108" ca="1">IF(K$21&lt;Standard_Year,'No STDs Case Rev &amp; Cost'!K108,
OFFSET(MSP!$C$1,
MATCH(OFFSET($C107,((MATCH($C107,EL_List,0)-1)*-10)-1,0),MSP!$C:$C,0)+MATCH($C107,EL_List,0)-1,
MATCH(OFFSET($C107,((MATCH($C107,EL_List,0)-1)*-10)-3,0),MSP!$D$5:$N$5,0)+1)
*INDEX(Learning!$E$6:$S$41,(MATCH(K$21,Dates,0)),(MATCH($C$86,Learning!$E$4:$S$4,0)+MATCH($C$107,Learning!$E$5:$S$5,0)-1)))</f>
        <v>65.89559164836875</v>
      </c>
      <c r="L108" s="778" cm="1">
        <f t="array" aca="1" ref="L108" ca="1">IF(L$21&lt;Standard_Year,'No STDs Case Rev &amp; Cost'!L108,
OFFSET(MSP!$C$1,
MATCH(OFFSET($C107,((MATCH($C107,EL_List,0)-1)*-10)-1,0),MSP!$C:$C,0)+MATCH($C107,EL_List,0)-1,
MATCH(OFFSET($C107,((MATCH($C107,EL_List,0)-1)*-10)-3,0),MSP!$D$5:$N$5,0)+1)
*INDEX(Learning!$E$6:$S$41,(MATCH(L$21,Dates,0)),(MATCH($C$86,Learning!$E$4:$S$4,0)+MATCH($C$107,Learning!$E$5:$S$5,0)-1)))</f>
        <v>65.500218098478541</v>
      </c>
      <c r="M108" s="778" cm="1">
        <f t="array" aca="1" ref="M108" ca="1">IF(M$21&lt;Standard_Year,'No STDs Case Rev &amp; Cost'!M108,
OFFSET(MSP!$C$1,
MATCH(OFFSET($C107,((MATCH($C107,EL_List,0)-1)*-10)-1,0),MSP!$C:$C,0)+MATCH($C107,EL_List,0)-1,
MATCH(OFFSET($C107,((MATCH($C107,EL_List,0)-1)*-10)-3,0),MSP!$D$5:$N$5,0)+1)
*INDEX(Learning!$E$6:$S$41,(MATCH(M$21,Dates,0)),(MATCH($C$86,Learning!$E$4:$S$4,0)+MATCH($C$107,Learning!$E$5:$S$5,0)-1)))</f>
        <v>65.104844548588318</v>
      </c>
      <c r="N108" s="778" cm="1">
        <f t="array" aca="1" ref="N108" ca="1">IF(N$21&lt;Standard_Year,'No STDs Case Rev &amp; Cost'!N108,
OFFSET(MSP!$C$1,
MATCH(OFFSET($C107,((MATCH($C107,EL_List,0)-1)*-10)-1,0),MSP!$C:$C,0)+MATCH($C107,EL_List,0)-1,
MATCH(OFFSET($C107,((MATCH($C107,EL_List,0)-1)*-10)-3,0),MSP!$D$5:$N$5,0)+1)
*INDEX(Learning!$E$6:$S$41,(MATCH(N$21,Dates,0)),(MATCH($C$86,Learning!$E$4:$S$4,0)+MATCH($C$107,Learning!$E$5:$S$5,0)-1)))</f>
        <v>64.709470998698109</v>
      </c>
      <c r="O108" s="778" cm="1">
        <f t="array" aca="1" ref="O108" ca="1">IF(O$21&lt;Standard_Year,'No STDs Case Rev &amp; Cost'!O108,
OFFSET(MSP!$C$1,
MATCH(OFFSET($C107,((MATCH($C107,EL_List,0)-1)*-10)-1,0),MSP!$C:$C,0)+MATCH($C107,EL_List,0)-1,
MATCH(OFFSET($C107,((MATCH($C107,EL_List,0)-1)*-10)-3,0),MSP!$D$5:$N$5,0)+1)
*INDEX(Learning!$E$6:$S$41,(MATCH(O$21,Dates,0)),(MATCH($C$86,Learning!$E$4:$S$4,0)+MATCH($C$107,Learning!$E$5:$S$5,0)-1)))</f>
        <v>64.3140974488079</v>
      </c>
      <c r="P108" s="778" cm="1">
        <f t="array" aca="1" ref="P108" ca="1">IF(P$21&lt;Standard_Year,'No STDs Case Rev &amp; Cost'!P108,
OFFSET(MSP!$C$1,
MATCH(OFFSET($C107,((MATCH($C107,EL_List,0)-1)*-10)-1,0),MSP!$C:$C,0)+MATCH($C107,EL_List,0)-1,
MATCH(OFFSET($C107,((MATCH($C107,EL_List,0)-1)*-10)-3,0),MSP!$D$5:$N$5,0)+1)
*INDEX(Learning!$E$6:$S$41,(MATCH(P$21,Dates,0)),(MATCH($C$86,Learning!$E$4:$S$4,0)+MATCH($C$107,Learning!$E$5:$S$5,0)-1)))</f>
        <v>63.984619490566054</v>
      </c>
      <c r="Q108" s="778" cm="1">
        <f t="array" aca="1" ref="Q108" ca="1">IF(Q$21&lt;Standard_Year,'No STDs Case Rev &amp; Cost'!Q108,
OFFSET(MSP!$C$1,
MATCH(OFFSET($C107,((MATCH($C107,EL_List,0)-1)*-10)-1,0),MSP!$C:$C,0)+MATCH($C107,EL_List,0)-1,
MATCH(OFFSET($C107,((MATCH($C107,EL_List,0)-1)*-10)-3,0),MSP!$D$5:$N$5,0)+1)
*INDEX(Learning!$E$6:$S$41,(MATCH(Q$21,Dates,0)),(MATCH($C$86,Learning!$E$4:$S$4,0)+MATCH($C$107,Learning!$E$5:$S$5,0)-1)))</f>
        <v>63.655141532324208</v>
      </c>
      <c r="R108" s="778" cm="1">
        <f t="array" aca="1" ref="R108" ca="1">IF(R$21&lt;Standard_Year,'No STDs Case Rev &amp; Cost'!R108,
OFFSET(MSP!$C$1,
MATCH(OFFSET($C107,((MATCH($C107,EL_List,0)-1)*-10)-1,0),MSP!$C:$C,0)+MATCH($C107,EL_List,0)-1,
MATCH(OFFSET($C107,((MATCH($C107,EL_List,0)-1)*-10)-3,0),MSP!$D$5:$N$5,0)+1)
*INDEX(Learning!$E$6:$S$41,(MATCH(R$21,Dates,0)),(MATCH($C$86,Learning!$E$4:$S$4,0)+MATCH($C$107,Learning!$E$5:$S$5,0)-1)))</f>
        <v>63.259767982433999</v>
      </c>
      <c r="S108" s="778" cm="1">
        <f t="array" aca="1" ref="S108" ca="1">IF(S$21&lt;Standard_Year,'No STDs Case Rev &amp; Cost'!S108,
OFFSET(MSP!$C$1,
MATCH(OFFSET($C107,((MATCH($C107,EL_List,0)-1)*-10)-1,0),MSP!$C:$C,0)+MATCH($C107,EL_List,0)-1,
MATCH(OFFSET($C107,((MATCH($C107,EL_List,0)-1)*-10)-3,0),MSP!$D$5:$N$5,0)+1)
*INDEX(Learning!$E$6:$S$41,(MATCH(S$21,Dates,0)),(MATCH($C$86,Learning!$E$4:$S$4,0)+MATCH($C$107,Learning!$E$5:$S$5,0)-1)))</f>
        <v>62.930290024192153</v>
      </c>
      <c r="T108" s="778" cm="1">
        <f t="array" aca="1" ref="T108" ca="1">IF(T$21&lt;Standard_Year,'No STDs Case Rev &amp; Cost'!T108,
OFFSET(MSP!$C$1,
MATCH(OFFSET($C107,((MATCH($C107,EL_List,0)-1)*-10)-1,0),MSP!$C:$C,0)+MATCH($C107,EL_List,0)-1,
MATCH(OFFSET($C107,((MATCH($C107,EL_List,0)-1)*-10)-3,0),MSP!$D$5:$N$5,0)+1)
*INDEX(Learning!$E$6:$S$41,(MATCH(T$21,Dates,0)),(MATCH($C$86,Learning!$E$4:$S$4,0)+MATCH($C$107,Learning!$E$5:$S$5,0)-1)))</f>
        <v>62.600812065950308</v>
      </c>
      <c r="U108" s="778" cm="1">
        <f t="array" aca="1" ref="U108" ca="1">IF(U$21&lt;Standard_Year,'No STDs Case Rev &amp; Cost'!U108,
OFFSET(MSP!$C$1,
MATCH(OFFSET($C107,((MATCH($C107,EL_List,0)-1)*-10)-1,0),MSP!$C:$C,0)+MATCH($C107,EL_List,0)-1,
MATCH(OFFSET($C107,((MATCH($C107,EL_List,0)-1)*-10)-3,0),MSP!$D$5:$N$5,0)+1)
*INDEX(Learning!$E$6:$S$41,(MATCH(U$21,Dates,0)),(MATCH($C$86,Learning!$E$4:$S$4,0)+MATCH($C$107,Learning!$E$5:$S$5,0)-1)))</f>
        <v>62.337229699356833</v>
      </c>
      <c r="V108" s="778" cm="1">
        <f t="array" aca="1" ref="V108" ca="1">IF(V$21&lt;Standard_Year,'No STDs Case Rev &amp; Cost'!V108,
OFFSET(MSP!$C$1,
MATCH(OFFSET($C107,((MATCH($C107,EL_List,0)-1)*-10)-1,0),MSP!$C:$C,0)+MATCH($C107,EL_List,0)-1,
MATCH(OFFSET($C107,((MATCH($C107,EL_List,0)-1)*-10)-3,0),MSP!$D$5:$N$5,0)+1)
*INDEX(Learning!$E$6:$S$41,(MATCH(V$21,Dates,0)),(MATCH($C$86,Learning!$E$4:$S$4,0)+MATCH($C$107,Learning!$E$5:$S$5,0)-1)))</f>
        <v>62.007751741114987</v>
      </c>
      <c r="W108" s="778" cm="1">
        <f t="array" aca="1" ref="W108" ca="1">IF(W$21&lt;Standard_Year,'No STDs Case Rev &amp; Cost'!W108,
OFFSET(MSP!$C$1,
MATCH(OFFSET($C107,((MATCH($C107,EL_List,0)-1)*-10)-1,0),MSP!$C:$C,0)+MATCH($C107,EL_List,0)-1,
MATCH(OFFSET($C107,((MATCH($C107,EL_List,0)-1)*-10)-3,0),MSP!$D$5:$N$5,0)+1)
*INDEX(Learning!$E$6:$S$41,(MATCH(W$21,Dates,0)),(MATCH($C$86,Learning!$E$4:$S$4,0)+MATCH($C$107,Learning!$E$5:$S$5,0)-1)))</f>
        <v>61.678273782873156</v>
      </c>
      <c r="X108" s="778" cm="1">
        <f t="array" aca="1" ref="X108" ca="1">IF(X$21&lt;Standard_Year,'No STDs Case Rev &amp; Cost'!X108,
OFFSET(MSP!$C$1,
MATCH(OFFSET($C107,((MATCH($C107,EL_List,0)-1)*-10)-1,0),MSP!$C:$C,0)+MATCH($C107,EL_List,0)-1,
MATCH(OFFSET($C107,((MATCH($C107,EL_List,0)-1)*-10)-3,0),MSP!$D$5:$N$5,0)+1)
*INDEX(Learning!$E$6:$S$41,(MATCH(X$21,Dates,0)),(MATCH($C$86,Learning!$E$4:$S$4,0)+MATCH($C$107,Learning!$E$5:$S$5,0)-1)))</f>
        <v>61.41469141627968</v>
      </c>
      <c r="Y108" s="778" cm="1">
        <f t="array" aca="1" ref="Y108" ca="1">IF(Y$21&lt;Standard_Year,'No STDs Case Rev &amp; Cost'!Y108,
OFFSET(MSP!$C$1,
MATCH(OFFSET($C107,((MATCH($C107,EL_List,0)-1)*-10)-1,0),MSP!$C:$C,0)+MATCH($C107,EL_List,0)-1,
MATCH(OFFSET($C107,((MATCH($C107,EL_List,0)-1)*-10)-3,0),MSP!$D$5:$N$5,0)+1)
*INDEX(Learning!$E$6:$S$41,(MATCH(Y$21,Dates,0)),(MATCH($C$86,Learning!$E$4:$S$4,0)+MATCH($C$107,Learning!$E$5:$S$5,0)-1)))</f>
        <v>61.085213458037835</v>
      </c>
      <c r="Z108" s="778" cm="1">
        <f t="array" aca="1" ref="Z108" ca="1">IF(Z$21&lt;Standard_Year,'No STDs Case Rev &amp; Cost'!Z108,
OFFSET(MSP!$C$1,
MATCH(OFFSET($C107,((MATCH($C107,EL_List,0)-1)*-10)-1,0),MSP!$C:$C,0)+MATCH($C107,EL_List,0)-1,
MATCH(OFFSET($C107,((MATCH($C107,EL_List,0)-1)*-10)-3,0),MSP!$D$5:$N$5,0)+1)
*INDEX(Learning!$E$6:$S$41,(MATCH(Z$21,Dates,0)),(MATCH($C$86,Learning!$E$4:$S$4,0)+MATCH($C$107,Learning!$E$5:$S$5,0)-1)))</f>
        <v>60.82163109144436</v>
      </c>
      <c r="AA108" s="778" cm="1">
        <f t="array" aca="1" ref="AA108" ca="1">IF(AA$21&lt;Standard_Year,'No STDs Case Rev &amp; Cost'!AA108,
OFFSET(MSP!$C$1,
MATCH(OFFSET($C107,((MATCH($C107,EL_List,0)-1)*-10)-1,0),MSP!$C:$C,0)+MATCH($C107,EL_List,0)-1,
MATCH(OFFSET($C107,((MATCH($C107,EL_List,0)-1)*-10)-3,0),MSP!$D$5:$N$5,0)+1)
*INDEX(Learning!$E$6:$S$41,(MATCH(AA$21,Dates,0)),(MATCH($C$86,Learning!$E$4:$S$4,0)+MATCH($C$107,Learning!$E$5:$S$5,0)-1)))</f>
        <v>60.492153133202514</v>
      </c>
      <c r="AB108" s="778" cm="1">
        <f t="array" aca="1" ref="AB108" ca="1">IF(AB$21&lt;Standard_Year,'No STDs Case Rev &amp; Cost'!AB108,
OFFSET(MSP!$C$1,
MATCH(OFFSET($C107,((MATCH($C107,EL_List,0)-1)*-10)-1,0),MSP!$C:$C,0)+MATCH($C107,EL_List,0)-1,
MATCH(OFFSET($C107,((MATCH($C107,EL_List,0)-1)*-10)-3,0),MSP!$D$5:$N$5,0)+1)
*INDEX(Learning!$E$6:$S$41,(MATCH(AB$21,Dates,0)),(MATCH($C$86,Learning!$E$4:$S$4,0)+MATCH($C$107,Learning!$E$5:$S$5,0)-1)))</f>
        <v>60.228570766609039</v>
      </c>
      <c r="AC108" s="778" cm="1">
        <f t="array" aca="1" ref="AC108" ca="1">IF(AC$21&lt;Standard_Year,'No STDs Case Rev &amp; Cost'!AC108,
OFFSET(MSP!$C$1,
MATCH(OFFSET($C107,((MATCH($C107,EL_List,0)-1)*-10)-1,0),MSP!$C:$C,0)+MATCH($C107,EL_List,0)-1,
MATCH(OFFSET($C107,((MATCH($C107,EL_List,0)-1)*-10)-3,0),MSP!$D$5:$N$5,0)+1)
*INDEX(Learning!$E$6:$S$41,(MATCH(AC$21,Dates,0)),(MATCH($C$86,Learning!$E$4:$S$4,0)+MATCH($C$107,Learning!$E$5:$S$5,0)-1)))</f>
        <v>59.964988400015564</v>
      </c>
      <c r="AD108" s="778" cm="1">
        <f t="array" aca="1" ref="AD108" ca="1">IF(AD$21&lt;Standard_Year,'No STDs Case Rev &amp; Cost'!AD108,
OFFSET(MSP!$C$1,
MATCH(OFFSET($C107,((MATCH($C107,EL_List,0)-1)*-10)-1,0),MSP!$C:$C,0)+MATCH($C107,EL_List,0)-1,
MATCH(OFFSET($C107,((MATCH($C107,EL_List,0)-1)*-10)-3,0),MSP!$D$5:$N$5,0)+1)
*INDEX(Learning!$E$6:$S$41,(MATCH(AD$21,Dates,0)),(MATCH($C$86,Learning!$E$4:$S$4,0)+MATCH($C$107,Learning!$E$5:$S$5,0)-1)))</f>
        <v>59.701406033422089</v>
      </c>
      <c r="AE108" s="778" cm="1">
        <f t="array" aca="1" ref="AE108" ca="1">IF(AE$21&lt;Standard_Year,'No STDs Case Rev &amp; Cost'!AE108,
OFFSET(MSP!$C$1,
MATCH(OFFSET($C107,((MATCH($C107,EL_List,0)-1)*-10)-1,0),MSP!$C:$C,0)+MATCH($C107,EL_List,0)-1,
MATCH(OFFSET($C107,((MATCH($C107,EL_List,0)-1)*-10)-3,0),MSP!$D$5:$N$5,0)+1)
*INDEX(Learning!$E$6:$S$41,(MATCH(AE$21,Dates,0)),(MATCH($C$86,Learning!$E$4:$S$4,0)+MATCH($C$107,Learning!$E$5:$S$5,0)-1)))</f>
        <v>59.437823666828614</v>
      </c>
      <c r="AF108" s="778" cm="1">
        <f t="array" aca="1" ref="AF108" ca="1">IF(AF$21&lt;Standard_Year,'No STDs Case Rev &amp; Cost'!AF108,
OFFSET(MSP!$C$1,
MATCH(OFFSET($C107,((MATCH($C107,EL_List,0)-1)*-10)-1,0),MSP!$C:$C,0)+MATCH($C107,EL_List,0)-1,
MATCH(OFFSET($C107,((MATCH($C107,EL_List,0)-1)*-10)-3,0),MSP!$D$5:$N$5,0)+1)
*INDEX(Learning!$E$6:$S$41,(MATCH(AF$21,Dates,0)),(MATCH($C$86,Learning!$E$4:$S$4,0)+MATCH($C$107,Learning!$E$5:$S$5,0)-1)))</f>
        <v>59.108345708586768</v>
      </c>
      <c r="AG108" s="778" cm="1">
        <f t="array" aca="1" ref="AG108" ca="1">IF(AG$21&lt;Standard_Year,'No STDs Case Rev &amp; Cost'!AG108,
OFFSET(MSP!$C$1,
MATCH(OFFSET($C107,((MATCH($C107,EL_List,0)-1)*-10)-1,0),MSP!$C:$C,0)+MATCH($C107,EL_List,0)-1,
MATCH(OFFSET($C107,((MATCH($C107,EL_List,0)-1)*-10)-3,0),MSP!$D$5:$N$5,0)+1)
*INDEX(Learning!$E$6:$S$41,(MATCH(AG$21,Dates,0)),(MATCH($C$86,Learning!$E$4:$S$4,0)+MATCH($C$107,Learning!$E$5:$S$5,0)-1)))</f>
        <v>58.844763341993293</v>
      </c>
      <c r="AH108" s="778" cm="1">
        <f t="array" aca="1" ref="AH108" ca="1">IF(AH$21&lt;Standard_Year,'No STDs Case Rev &amp; Cost'!AH108,
OFFSET(MSP!$C$1,
MATCH(OFFSET($C107,((MATCH($C107,EL_List,0)-1)*-10)-1,0),MSP!$C:$C,0)+MATCH($C107,EL_List,0)-1,
MATCH(OFFSET($C107,((MATCH($C107,EL_List,0)-1)*-10)-3,0),MSP!$D$5:$N$5,0)+1)
*INDEX(Learning!$E$6:$S$41,(MATCH(AH$21,Dates,0)),(MATCH($C$86,Learning!$E$4:$S$4,0)+MATCH($C$107,Learning!$E$5:$S$5,0)-1)))</f>
        <v>58.647076567048188</v>
      </c>
      <c r="AI108" s="778" cm="1">
        <f t="array" aca="1" ref="AI108" ca="1">IF(AI$21&lt;Standard_Year,'No STDs Case Rev &amp; Cost'!AI108,
OFFSET(MSP!$C$1,
MATCH(OFFSET($C107,((MATCH($C107,EL_List,0)-1)*-10)-1,0),MSP!$C:$C,0)+MATCH($C107,EL_List,0)-1,
MATCH(OFFSET($C107,((MATCH($C107,EL_List,0)-1)*-10)-3,0),MSP!$D$5:$N$5,0)+1)
*INDEX(Learning!$E$6:$S$41,(MATCH(AI$21,Dates,0)),(MATCH($C$86,Learning!$E$4:$S$4,0)+MATCH($C$107,Learning!$E$5:$S$5,0)-1)))</f>
        <v>58.383494200454713</v>
      </c>
      <c r="AJ108" s="778" cm="1">
        <f t="array" aca="1" ref="AJ108" ca="1">IF(AJ$21&lt;Standard_Year,'No STDs Case Rev &amp; Cost'!AJ108,
OFFSET(MSP!$C$1,
MATCH(OFFSET($C107,((MATCH($C107,EL_List,0)-1)*-10)-1,0),MSP!$C:$C,0)+MATCH($C107,EL_List,0)-1,
MATCH(OFFSET($C107,((MATCH($C107,EL_List,0)-1)*-10)-3,0),MSP!$D$5:$N$5,0)+1)
*INDEX(Learning!$E$6:$S$41,(MATCH(AJ$21,Dates,0)),(MATCH($C$86,Learning!$E$4:$S$4,0)+MATCH($C$107,Learning!$E$5:$S$5,0)-1)))</f>
        <v>58.119911833861238</v>
      </c>
      <c r="AK108" s="778" cm="1">
        <f t="array" aca="1" ref="AK108" ca="1">IF(AK$21&lt;Standard_Year,'No STDs Case Rev &amp; Cost'!AK108,
OFFSET(MSP!$C$1,
MATCH(OFFSET($C107,((MATCH($C107,EL_List,0)-1)*-10)-1,0),MSP!$C:$C,0)+MATCH($C107,EL_List,0)-1,
MATCH(OFFSET($C107,((MATCH($C107,EL_List,0)-1)*-10)-3,0),MSP!$D$5:$N$5,0)+1)
*INDEX(Learning!$E$6:$S$41,(MATCH(AK$21,Dates,0)),(MATCH($C$86,Learning!$E$4:$S$4,0)+MATCH($C$107,Learning!$E$5:$S$5,0)-1)))</f>
        <v>57.856329467267763</v>
      </c>
      <c r="AL108" s="778" cm="1">
        <f t="array" aca="1" ref="AL108" ca="1">IF(AL$21&lt;Standard_Year,'No STDs Case Rev &amp; Cost'!AL108,
OFFSET(MSP!$C$1,
MATCH(OFFSET($C107,((MATCH($C107,EL_List,0)-1)*-10)-1,0),MSP!$C:$C,0)+MATCH($C107,EL_List,0)-1,
MATCH(OFFSET($C107,((MATCH($C107,EL_List,0)-1)*-10)-3,0),MSP!$D$5:$N$5,0)+1)
*INDEX(Learning!$E$6:$S$41,(MATCH(AL$21,Dates,0)),(MATCH($C$86,Learning!$E$4:$S$4,0)+MATCH($C$107,Learning!$E$5:$S$5,0)-1)))</f>
        <v>57.592747100674288</v>
      </c>
      <c r="AM108" s="778" cm="1">
        <f t="array" aca="1" ref="AM108" ca="1">IF(AM$21&lt;Standard_Year,'No STDs Case Rev &amp; Cost'!AM108,
OFFSET(MSP!$C$1,
MATCH(OFFSET($C107,((MATCH($C107,EL_List,0)-1)*-10)-1,0),MSP!$C:$C,0)+MATCH($C107,EL_List,0)-1,
MATCH(OFFSET($C107,((MATCH($C107,EL_List,0)-1)*-10)-3,0),MSP!$D$5:$N$5,0)+1)
*INDEX(Learning!$E$6:$S$41,(MATCH(AM$21,Dates,0)),(MATCH($C$86,Learning!$E$4:$S$4,0)+MATCH($C$107,Learning!$E$5:$S$5,0)-1)))</f>
        <v>57.395060325729183</v>
      </c>
      <c r="AN108" s="778" cm="1">
        <f t="array" aca="1" ref="AN108" ca="1">IF(AN$21&lt;Standard_Year,'No STDs Case Rev &amp; Cost'!AN108,
OFFSET(MSP!$C$1,
MATCH(OFFSET($C107,((MATCH($C107,EL_List,0)-1)*-10)-1,0),MSP!$C:$C,0)+MATCH($C107,EL_List,0)-1,
MATCH(OFFSET($C107,((MATCH($C107,EL_List,0)-1)*-10)-3,0),MSP!$D$5:$N$5,0)+1)
*INDEX(Learning!$E$6:$S$41,(MATCH(AN$21,Dates,0)),(MATCH($C$86,Learning!$E$4:$S$4,0)+MATCH($C$107,Learning!$E$5:$S$5,0)-1)))</f>
        <v>57.12117896025579</v>
      </c>
      <c r="AO108" s="436"/>
      <c r="AP108" s="21"/>
    </row>
    <row r="109" spans="2:42" ht="15" customHeight="1" x14ac:dyDescent="0.35">
      <c r="B109" s="429"/>
      <c r="C109" s="777" t="s">
        <v>78</v>
      </c>
      <c r="D109" s="776"/>
      <c r="E109" s="530">
        <f ca="1">OFFSET(OFFSET(Shipments!$D$1,0,MATCH(E$7,Dates)),
MATCH(OFFSET($C107,((MATCH($C107,EL_List,0)-1)*-10)-3,0),Shipments!$C:$C,0)+
MATCH(OFFSET($C107,((MATCH($C107,EL_List,0)-1)*-10)-1,0),Shipments!$D:$D,0)+
MATCH($C107,EL_List,0)-10,
MATCH(Shipments_Scenario_X,Shipments!$F$5:$AQ$5,0))</f>
        <v>0.51102881924505583</v>
      </c>
      <c r="F109" s="530">
        <f ca="1">OFFSET(OFFSET(Shipments!$D$1,0,MATCH(F$7,Dates)),
MATCH(OFFSET($C107,((MATCH($C107,EL_List,0)-1)*-10)-3,0),Shipments!$C:$C,0)+
MATCH(OFFSET($C107,((MATCH($C107,EL_List,0)-1)*-10)-1,0),Shipments!$D:$D,0)+
MATCH($C107,EL_List,0)-10,
MATCH(Shipments_Scenario_X,Shipments!$F$5:$AQ$5,0))</f>
        <v>0.53388128959375059</v>
      </c>
      <c r="G109" s="530">
        <f ca="1">OFFSET(OFFSET(Shipments!$D$1,0,MATCH(G$7,Dates)),
MATCH(OFFSET($C107,((MATCH($C107,EL_List,0)-1)*-10)-3,0),Shipments!$C:$C,0)+
MATCH(OFFSET($C107,((MATCH($C107,EL_List,0)-1)*-10)-1,0),Shipments!$D:$D,0)+
MATCH($C107,EL_List,0)-10,
MATCH(Shipments_Scenario_X,Shipments!$F$5:$AQ$5,0))</f>
        <v>0.55435959792725598</v>
      </c>
      <c r="H109" s="530">
        <f ca="1">OFFSET(OFFSET(Shipments!$D$1,0,MATCH(H$7,Dates)),
MATCH(OFFSET($C107,((MATCH($C107,EL_List,0)-1)*-10)-3,0),Shipments!$C:$C,0)+
MATCH(OFFSET($C107,((MATCH($C107,EL_List,0)-1)*-10)-1,0),Shipments!$D:$D,0)+
MATCH($C107,EL_List,0)-10,
MATCH(Shipments_Scenario_X,Shipments!$F$5:$AQ$5,0))</f>
        <v>0.58039398679555965</v>
      </c>
      <c r="I109" s="530">
        <f ca="1">OFFSET(OFFSET(Shipments!$D$1,0,MATCH(I$7,Dates)),
MATCH(OFFSET($C107,((MATCH($C107,EL_List,0)-1)*-10)-3,0),Shipments!$C:$C,0)+
MATCH(OFFSET($C107,((MATCH($C107,EL_List,0)-1)*-10)-1,0),Shipments!$D:$D,0)+
MATCH($C107,EL_List,0)-10,
MATCH(Shipments_Scenario_X,Shipments!$F$5:$AQ$5,0))</f>
        <v>1.9133282051320832</v>
      </c>
      <c r="J109" s="530">
        <f ca="1">OFFSET(OFFSET(Shipments!$D$1,0,MATCH(J$7,Dates)),
MATCH(OFFSET($C107,((MATCH($C107,EL_List,0)-1)*-10)-3,0),Shipments!$C:$C,0)+
MATCH(OFFSET($C107,((MATCH($C107,EL_List,0)-1)*-10)-1,0),Shipments!$D:$D,0)+
MATCH($C107,EL_List,0)-10,
MATCH(Shipments_Scenario_X,Shipments!$F$5:$AQ$5,0))</f>
        <v>2.0124604691194077</v>
      </c>
      <c r="K109" s="530">
        <f ca="1">OFFSET(OFFSET(Shipments!$D$1,0,MATCH(K$7,Dates)),
MATCH(OFFSET($C107,((MATCH($C107,EL_List,0)-1)*-10)-3,0),Shipments!$C:$C,0)+
MATCH(OFFSET($C107,((MATCH($C107,EL_List,0)-1)*-10)-1,0),Shipments!$D:$D,0)+
MATCH($C107,EL_List,0)-10,
MATCH(Shipments_Scenario_X,Shipments!$F$5:$AQ$5,0))</f>
        <v>2.1199991638835178</v>
      </c>
      <c r="L109" s="530">
        <f ca="1">OFFSET(OFFSET(Shipments!$D$1,0,MATCH(L$7,Dates)),
MATCH(OFFSET($C107,((MATCH($C107,EL_List,0)-1)*-10)-3,0),Shipments!$C:$C,0)+
MATCH(OFFSET($C107,((MATCH($C107,EL_List,0)-1)*-10)-1,0),Shipments!$D:$D,0)+
MATCH($C107,EL_List,0)-10,
MATCH(Shipments_Scenario_X,Shipments!$F$5:$AQ$5,0))</f>
        <v>2.2327685678300218</v>
      </c>
      <c r="M109" s="530">
        <f ca="1">OFFSET(OFFSET(Shipments!$D$1,0,MATCH(M$7,Dates)),
MATCH(OFFSET($C107,((MATCH($C107,EL_List,0)-1)*-10)-3,0),Shipments!$C:$C,0)+
MATCH(OFFSET($C107,((MATCH($C107,EL_List,0)-1)*-10)-1,0),Shipments!$D:$D,0)+
MATCH($C107,EL_List,0)-10,
MATCH(Shipments_Scenario_X,Shipments!$F$5:$AQ$5,0))</f>
        <v>2.3507756111615823</v>
      </c>
      <c r="N109" s="530">
        <f ca="1">OFFSET(OFFSET(Shipments!$D$1,0,MATCH(N$7,Dates)),
MATCH(OFFSET($C107,((MATCH($C107,EL_List,0)-1)*-10)-3,0),Shipments!$C:$C,0)+
MATCH(OFFSET($C107,((MATCH($C107,EL_List,0)-1)*-10)-1,0),Shipments!$D:$D,0)+
MATCH($C107,EL_List,0)-10,
MATCH(Shipments_Scenario_X,Shipments!$F$5:$AQ$5,0))</f>
        <v>2.4731285927191751</v>
      </c>
      <c r="O109" s="530">
        <f ca="1">OFFSET(OFFSET(Shipments!$D$1,0,MATCH(O$7,Dates)),
MATCH(OFFSET($C107,((MATCH($C107,EL_List,0)-1)*-10)-3,0),Shipments!$C:$C,0)+
MATCH(OFFSET($C107,((MATCH($C107,EL_List,0)-1)*-10)-1,0),Shipments!$D:$D,0)+
MATCH($C107,EL_List,0)-10,
MATCH(Shipments_Scenario_X,Shipments!$F$5:$AQ$5,0))</f>
        <v>2.5997773628280418</v>
      </c>
      <c r="P109" s="530">
        <f ca="1">OFFSET(OFFSET(Shipments!$D$1,0,MATCH(P$7,Dates)),
MATCH(OFFSET($C107,((MATCH($C107,EL_List,0)-1)*-10)-3,0),Shipments!$C:$C,0)+
MATCH(OFFSET($C107,((MATCH($C107,EL_List,0)-1)*-10)-1,0),Shipments!$D:$D,0)+
MATCH($C107,EL_List,0)-10,
MATCH(Shipments_Scenario_X,Shipments!$F$5:$AQ$5,0))</f>
        <v>2.7312641966144859</v>
      </c>
      <c r="Q109" s="530">
        <f ca="1">OFFSET(OFFSET(Shipments!$D$1,0,MATCH(Q$7,Dates)),
MATCH(OFFSET($C107,((MATCH($C107,EL_List,0)-1)*-10)-3,0),Shipments!$C:$C,0)+
MATCH(OFFSET($C107,((MATCH($C107,EL_List,0)-1)*-10)-1,0),Shipments!$D:$D,0)+
MATCH($C107,EL_List,0)-10,
MATCH(Shipments_Scenario_X,Shipments!$F$5:$AQ$5,0))</f>
        <v>2.8678188738689148</v>
      </c>
      <c r="R109" s="530">
        <f ca="1">OFFSET(OFFSET(Shipments!$D$1,0,MATCH(R$7,Dates)),
MATCH(OFFSET($C107,((MATCH($C107,EL_List,0)-1)*-10)-3,0),Shipments!$C:$C,0)+
MATCH(OFFSET($C107,((MATCH($C107,EL_List,0)-1)*-10)-1,0),Shipments!$D:$D,0)+
MATCH($C107,EL_List,0)-10,
MATCH(Shipments_Scenario_X,Shipments!$F$5:$AQ$5,0))</f>
        <v>3.0109527431070449</v>
      </c>
      <c r="S109" s="530">
        <f ca="1">OFFSET(OFFSET(Shipments!$D$1,0,MATCH(S$7,Dates)),
MATCH(OFFSET($C107,((MATCH($C107,EL_List,0)-1)*-10)-3,0),Shipments!$C:$C,0)+
MATCH(OFFSET($C107,((MATCH($C107,EL_List,0)-1)*-10)-1,0),Shipments!$D:$D,0)+
MATCH($C107,EL_List,0)-10,
MATCH(Shipments_Scenario_X,Shipments!$F$5:$AQ$5,0))</f>
        <v>3.1614757515463507</v>
      </c>
      <c r="T109" s="530">
        <f ca="1">OFFSET(OFFSET(Shipments!$D$1,0,MATCH(T$7,Dates)),
MATCH(OFFSET($C107,((MATCH($C107,EL_List,0)-1)*-10)-3,0),Shipments!$C:$C,0)+
MATCH(OFFSET($C107,((MATCH($C107,EL_List,0)-1)*-10)-1,0),Shipments!$D:$D,0)+
MATCH($C107,EL_List,0)-10,
MATCH(Shipments_Scenario_X,Shipments!$F$5:$AQ$5,0))</f>
        <v>3.3199006714724124</v>
      </c>
      <c r="U109" s="530">
        <f ca="1">OFFSET(OFFSET(Shipments!$D$1,0,MATCH(U$7,Dates)),
MATCH(OFFSET($C107,((MATCH($C107,EL_List,0)-1)*-10)-3,0),Shipments!$C:$C,0)+
MATCH(OFFSET($C107,((MATCH($C107,EL_List,0)-1)*-10)-1,0),Shipments!$D:$D,0)+
MATCH($C107,EL_List,0)-10,
MATCH(Shipments_Scenario_X,Shipments!$F$5:$AQ$5,0))</f>
        <v>3.4867973905668839</v>
      </c>
      <c r="V109" s="530">
        <f ca="1">OFFSET(OFFSET(Shipments!$D$1,0,MATCH(V$7,Dates)),
MATCH(OFFSET($C107,((MATCH($C107,EL_List,0)-1)*-10)-3,0),Shipments!$C:$C,0)+
MATCH(OFFSET($C107,((MATCH($C107,EL_List,0)-1)*-10)-1,0),Shipments!$D:$D,0)+
MATCH($C107,EL_List,0)-10,
MATCH(Shipments_Scenario_X,Shipments!$F$5:$AQ$5,0))</f>
        <v>3.6618324258666872</v>
      </c>
      <c r="W109" s="530">
        <f ca="1">OFFSET(OFFSET(Shipments!$D$1,0,MATCH(W$7,Dates)),
MATCH(OFFSET($C107,((MATCH($C107,EL_List,0)-1)*-10)-3,0),Shipments!$C:$C,0)+
MATCH(OFFSET($C107,((MATCH($C107,EL_List,0)-1)*-10)-1,0),Shipments!$D:$D,0)+
MATCH($C107,EL_List,0)-10,
MATCH(Shipments_Scenario_X,Shipments!$F$5:$AQ$5,0))</f>
        <v>3.8455380558023879</v>
      </c>
      <c r="X109" s="530">
        <f ca="1">OFFSET(OFFSET(Shipments!$D$1,0,MATCH(X$7,Dates)),
MATCH(OFFSET($C107,((MATCH($C107,EL_List,0)-1)*-10)-3,0),Shipments!$C:$C,0)+
MATCH(OFFSET($C107,((MATCH($C107,EL_List,0)-1)*-10)-1,0),Shipments!$D:$D,0)+
MATCH($C107,EL_List,0)-10,
MATCH(Shipments_Scenario_X,Shipments!$F$5:$AQ$5,0))</f>
        <v>4.0381366921947892</v>
      </c>
      <c r="Y109" s="530">
        <f ca="1">OFFSET(OFFSET(Shipments!$D$1,0,MATCH(Y$7,Dates)),
MATCH(OFFSET($C107,((MATCH($C107,EL_List,0)-1)*-10)-3,0),Shipments!$C:$C,0)+
MATCH(OFFSET($C107,((MATCH($C107,EL_List,0)-1)*-10)-1,0),Shipments!$D:$D,0)+
MATCH($C107,EL_List,0)-10,
MATCH(Shipments_Scenario_X,Shipments!$F$5:$AQ$5,0))</f>
        <v>4.2399569522245875</v>
      </c>
      <c r="Z109" s="530">
        <f ca="1">OFFSET(OFFSET(Shipments!$D$1,0,MATCH(Z$7,Dates)),
MATCH(OFFSET($C107,((MATCH($C107,EL_List,0)-1)*-10)-3,0),Shipments!$C:$C,0)+
MATCH(OFFSET($C107,((MATCH($C107,EL_List,0)-1)*-10)-1,0),Shipments!$D:$D,0)+
MATCH($C107,EL_List,0)-10,
MATCH(Shipments_Scenario_X,Shipments!$F$5:$AQ$5,0))</f>
        <v>4.4514391926498469</v>
      </c>
      <c r="AA109" s="530">
        <f ca="1">OFFSET(OFFSET(Shipments!$D$1,0,MATCH(AA$7,Dates)),
MATCH(OFFSET($C107,((MATCH($C107,EL_List,0)-1)*-10)-3,0),Shipments!$C:$C,0)+
MATCH(OFFSET($C107,((MATCH($C107,EL_List,0)-1)*-10)-1,0),Shipments!$D:$D,0)+
MATCH($C107,EL_List,0)-10,
MATCH(Shipments_Scenario_X,Shipments!$F$5:$AQ$5,0))</f>
        <v>4.6730139652515241</v>
      </c>
      <c r="AB109" s="530">
        <f ca="1">OFFSET(OFFSET(Shipments!$D$1,0,MATCH(AB$7,Dates)),
MATCH(OFFSET($C107,((MATCH($C107,EL_List,0)-1)*-10)-3,0),Shipments!$C:$C,0)+
MATCH(OFFSET($C107,((MATCH($C107,EL_List,0)-1)*-10)-1,0),Shipments!$D:$D,0)+
MATCH($C107,EL_List,0)-10,
MATCH(Shipments_Scenario_X,Shipments!$F$5:$AQ$5,0))</f>
        <v>4.9053338347660347</v>
      </c>
      <c r="AC109" s="530">
        <f ca="1">OFFSET(OFFSET(Shipments!$D$1,0,MATCH(AC$7,Dates)),
MATCH(OFFSET($C107,((MATCH($C107,EL_List,0)-1)*-10)-3,0),Shipments!$C:$C,0)+
MATCH(OFFSET($C107,((MATCH($C107,EL_List,0)-1)*-10)-1,0),Shipments!$D:$D,0)+
MATCH($C107,EL_List,0)-10,
MATCH(Shipments_Scenario_X,Shipments!$F$5:$AQ$5,0))</f>
        <v>5.1489864384880786</v>
      </c>
      <c r="AD109" s="530">
        <f ca="1">OFFSET(OFFSET(Shipments!$D$1,0,MATCH(AD$7,Dates)),
MATCH(OFFSET($C107,((MATCH($C107,EL_List,0)-1)*-10)-3,0),Shipments!$C:$C,0)+
MATCH(OFFSET($C107,((MATCH($C107,EL_List,0)-1)*-10)-1,0),Shipments!$D:$D,0)+
MATCH($C107,EL_List,0)-10,
MATCH(Shipments_Scenario_X,Shipments!$F$5:$AQ$5,0))</f>
        <v>5.40456273008453</v>
      </c>
      <c r="AE109" s="530">
        <f ca="1">OFFSET(OFFSET(Shipments!$D$1,0,MATCH(AE$7,Dates)),
MATCH(OFFSET($C107,((MATCH($C107,EL_List,0)-1)*-10)-3,0),Shipments!$C:$C,0)+
MATCH(OFFSET($C107,((MATCH($C107,EL_List,0)-1)*-10)-1,0),Shipments!$D:$D,0)+
MATCH($C107,EL_List,0)-10,
MATCH(Shipments_Scenario_X,Shipments!$F$5:$AQ$5,0))</f>
        <v>5.672653826735484</v>
      </c>
      <c r="AF109" s="530">
        <f ca="1">OFFSET(OFFSET(Shipments!$D$1,0,MATCH(AF$7,Dates)),
MATCH(OFFSET($C107,((MATCH($C107,EL_List,0)-1)*-10)-3,0),Shipments!$C:$C,0)+
MATCH(OFFSET($C107,((MATCH($C107,EL_List,0)-1)*-10)-1,0),Shipments!$D:$D,0)+
MATCH($C107,EL_List,0)-10,
MATCH(Shipments_Scenario_X,Shipments!$F$5:$AQ$5,0))</f>
        <v>5.953856724051219</v>
      </c>
      <c r="AG109" s="530">
        <f ca="1">OFFSET(OFFSET(Shipments!$D$1,0,MATCH(AG$7,Dates)),
MATCH(OFFSET($C107,((MATCH($C107,EL_List,0)-1)*-10)-3,0),Shipments!$C:$C,0)+
MATCH(OFFSET($C107,((MATCH($C107,EL_List,0)-1)*-10)-1,0),Shipments!$D:$D,0)+
MATCH($C107,EL_List,0)-10,
MATCH(Shipments_Scenario_X,Shipments!$F$5:$AQ$5,0))</f>
        <v>6.2487869621364425</v>
      </c>
      <c r="AH109" s="530">
        <f ca="1">OFFSET(OFFSET(Shipments!$D$1,0,MATCH(AH$7,Dates)),
MATCH(OFFSET($C107,((MATCH($C107,EL_List,0)-1)*-10)-3,0),Shipments!$C:$C,0)+
MATCH(OFFSET($C107,((MATCH($C107,EL_List,0)-1)*-10)-1,0),Shipments!$D:$D,0)+
MATCH($C107,EL_List,0)-10,
MATCH(Shipments_Scenario_X,Shipments!$F$5:$AQ$5,0))</f>
        <v>6.5580900516019121</v>
      </c>
      <c r="AI109" s="530">
        <f ca="1">OFFSET(OFFSET(Shipments!$D$1,0,MATCH(AI$7,Dates)),
MATCH(OFFSET($C107,((MATCH($C107,EL_List,0)-1)*-10)-3,0),Shipments!$C:$C,0)+
MATCH(OFFSET($C107,((MATCH($C107,EL_List,0)-1)*-10)-1,0),Shipments!$D:$D,0)+
MATCH($C107,EL_List,0)-10,
MATCH(Shipments_Scenario_X,Shipments!$F$5:$AQ$5,0))</f>
        <v>6.8824501043748807</v>
      </c>
      <c r="AJ109" s="530">
        <f ca="1">OFFSET(OFFSET(Shipments!$D$1,0,MATCH(AJ$7,Dates)),
MATCH(OFFSET($C107,((MATCH($C107,EL_List,0)-1)*-10)-3,0),Shipments!$C:$C,0)+
MATCH(OFFSET($C107,((MATCH($C107,EL_List,0)-1)*-10)-1,0),Shipments!$D:$D,0)+
MATCH($C107,EL_List,0)-10,
MATCH(Shipments_Scenario_X,Shipments!$F$5:$AQ$5,0))</f>
        <v>7.2225945491473906</v>
      </c>
      <c r="AK109" s="530">
        <f ca="1">OFFSET(OFFSET(Shipments!$D$1,0,MATCH(AK$7,Dates)),
MATCH(OFFSET($C107,((MATCH($C107,EL_List,0)-1)*-10)-3,0),Shipments!$C:$C,0)+
MATCH(OFFSET($C107,((MATCH($C107,EL_List,0)-1)*-10)-1,0),Shipments!$D:$D,0)+
MATCH($C107,EL_List,0)-10,
MATCH(Shipments_Scenario_X,Shipments!$F$5:$AQ$5,0))</f>
        <v>7.5792945513193102</v>
      </c>
      <c r="AL109" s="530">
        <f ca="1">OFFSET(OFFSET(Shipments!$D$1,0,MATCH(AL$7,Dates)),
MATCH(OFFSET($C107,((MATCH($C107,EL_List,0)-1)*-10)-3,0),Shipments!$C:$C,0)+
MATCH(OFFSET($C107,((MATCH($C107,EL_List,0)-1)*-10)-1,0),Shipments!$D:$D,0)+
MATCH($C107,EL_List,0)-10,
MATCH(Shipments_Scenario_X,Shipments!$F$5:$AQ$5,0))</f>
        <v>7.9533636002373758</v>
      </c>
      <c r="AM109" s="530">
        <f ca="1">OFFSET(OFFSET(Shipments!$D$1,0,MATCH(AM$7,Dates)),
MATCH(OFFSET($C107,((MATCH($C107,EL_List,0)-1)*-10)-3,0),Shipments!$C:$C,0)+
MATCH(OFFSET($C107,((MATCH($C107,EL_List,0)-1)*-10)-1,0),Shipments!$D:$D,0)+
MATCH($C107,EL_List,0)-10,
MATCH(Shipments_Scenario_X,Shipments!$F$5:$AQ$5,0))</f>
        <v>8.3456565707243051</v>
      </c>
      <c r="AN109" s="530">
        <f ca="1">OFFSET(OFFSET(Shipments!$D$1,0,MATCH(AN$7,Dates)),
MATCH(OFFSET($C107,((MATCH($C107,EL_List,0)-1)*-10)-3,0),Shipments!$C:$C,0)+
MATCH(OFFSET($C107,((MATCH($C107,EL_List,0)-1)*-10)-1,0),Shipments!$D:$D,0)+
MATCH($C107,EL_List,0)-10,
MATCH(Shipments_Scenario_X,Shipments!$F$5:$AQ$5,0))</f>
        <v>8.7570663397920523</v>
      </c>
      <c r="AO109" s="436"/>
      <c r="AP109" s="21"/>
    </row>
    <row r="110" spans="2:42" ht="15" customHeight="1" x14ac:dyDescent="0.35">
      <c r="B110" s="429"/>
      <c r="C110" s="777" t="s">
        <v>79</v>
      </c>
      <c r="D110" s="776"/>
      <c r="E110" s="531">
        <f t="shared" ref="E110:AN110" ca="1" si="26">E108*E109</f>
        <v>35.257619314903565</v>
      </c>
      <c r="F110" s="531">
        <f t="shared" ca="1" si="26"/>
        <v>36.551763395223801</v>
      </c>
      <c r="G110" s="531">
        <f t="shared" ca="1" si="26"/>
        <v>37.660432035458889</v>
      </c>
      <c r="H110" s="531">
        <f t="shared" ca="1" si="26"/>
        <v>39.160331469190268</v>
      </c>
      <c r="I110" s="531">
        <f t="shared" ca="1" si="26"/>
        <v>127.71893271792104</v>
      </c>
      <c r="J110" s="531">
        <f t="shared" ca="1" si="26"/>
        <v>133.40794692126656</v>
      </c>
      <c r="K110" s="531">
        <f t="shared" ca="1" si="26"/>
        <v>139.69859919815147</v>
      </c>
      <c r="L110" s="531">
        <f t="shared" ca="1" si="26"/>
        <v>146.24682815629401</v>
      </c>
      <c r="M110" s="531">
        <f t="shared" ca="1" si="26"/>
        <v>153.04688073328751</v>
      </c>
      <c r="N110" s="531">
        <f t="shared" ca="1" si="26"/>
        <v>160.03484294661251</v>
      </c>
      <c r="O110" s="531">
        <f t="shared" ca="1" si="26"/>
        <v>167.20233465812748</v>
      </c>
      <c r="P110" s="531">
        <f t="shared" ca="1" si="26"/>
        <v>174.75890034858446</v>
      </c>
      <c r="Q110" s="531">
        <f t="shared" ca="1" si="26"/>
        <v>182.5514163051964</v>
      </c>
      <c r="R110" s="531">
        <f t="shared" ca="1" si="26"/>
        <v>190.47217193502485</v>
      </c>
      <c r="S110" s="531">
        <f t="shared" ca="1" si="26"/>
        <v>198.9525859492627</v>
      </c>
      <c r="T110" s="531">
        <f t="shared" ca="1" si="26"/>
        <v>207.82847801246672</v>
      </c>
      <c r="U110" s="531">
        <f t="shared" ca="1" si="26"/>
        <v>217.35728985088585</v>
      </c>
      <c r="V110" s="531">
        <f t="shared" ca="1" si="26"/>
        <v>227.0619959807064</v>
      </c>
      <c r="W110" s="531">
        <f t="shared" ca="1" si="26"/>
        <v>237.18614904823744</v>
      </c>
      <c r="X110" s="531">
        <f t="shared" ca="1" si="26"/>
        <v>248.00091884789936</v>
      </c>
      <c r="Y110" s="531">
        <f t="shared" ca="1" si="26"/>
        <v>258.99867547953045</v>
      </c>
      <c r="Z110" s="531">
        <f t="shared" ca="1" si="26"/>
        <v>270.7437924013459</v>
      </c>
      <c r="AA110" s="531">
        <f t="shared" ca="1" si="26"/>
        <v>282.6806763795891</v>
      </c>
      <c r="AB110" s="531">
        <f t="shared" ca="1" si="26"/>
        <v>295.44124600104783</v>
      </c>
      <c r="AC110" s="531">
        <f t="shared" ca="1" si="26"/>
        <v>308.75891205577506</v>
      </c>
      <c r="AD110" s="531">
        <f t="shared" ca="1" si="26"/>
        <v>322.65999398187671</v>
      </c>
      <c r="AE110" s="531">
        <f t="shared" ca="1" si="26"/>
        <v>337.17019787646427</v>
      </c>
      <c r="AF110" s="531">
        <f t="shared" ca="1" si="26"/>
        <v>351.92262154461332</v>
      </c>
      <c r="AG110" s="531">
        <f t="shared" ca="1" si="26"/>
        <v>367.70838996145216</v>
      </c>
      <c r="AH110" s="531">
        <f t="shared" ca="1" si="26"/>
        <v>384.61280938989432</v>
      </c>
      <c r="AI110" s="531">
        <f t="shared" ca="1" si="26"/>
        <v>401.82148575368979</v>
      </c>
      <c r="AJ110" s="531">
        <f t="shared" ca="1" si="26"/>
        <v>419.77655840817312</v>
      </c>
      <c r="AK110" s="531">
        <f t="shared" ca="1" si="26"/>
        <v>438.51016269059738</v>
      </c>
      <c r="AL110" s="531">
        <f t="shared" ca="1" si="26"/>
        <v>458.05605842817954</v>
      </c>
      <c r="AM110" s="531">
        <f t="shared" ref="AM110" ca="1" si="27">AM108*AM109</f>
        <v>478.99946233453966</v>
      </c>
      <c r="AN110" s="531">
        <f t="shared" ca="1" si="26"/>
        <v>500.21395356209393</v>
      </c>
      <c r="AO110" s="436"/>
      <c r="AP110" s="21"/>
    </row>
    <row r="111" spans="2:42" ht="15" customHeight="1" x14ac:dyDescent="0.35">
      <c r="B111" s="429"/>
      <c r="C111" s="777"/>
      <c r="D111" s="776"/>
      <c r="E111" s="776"/>
      <c r="F111" s="776"/>
      <c r="G111" s="776"/>
      <c r="H111" s="776"/>
      <c r="I111" s="776"/>
      <c r="J111" s="776"/>
      <c r="K111" s="776"/>
      <c r="L111" s="776"/>
      <c r="M111" s="776"/>
      <c r="N111" s="776"/>
      <c r="O111" s="776"/>
      <c r="P111" s="776"/>
      <c r="Q111" s="776"/>
      <c r="R111" s="776"/>
      <c r="S111" s="776"/>
      <c r="T111" s="776"/>
      <c r="U111" s="776"/>
      <c r="V111" s="776"/>
      <c r="W111" s="776"/>
      <c r="X111" s="776"/>
      <c r="Y111" s="776"/>
      <c r="Z111" s="776"/>
      <c r="AA111" s="776"/>
      <c r="AB111" s="776"/>
      <c r="AC111" s="776"/>
      <c r="AD111" s="776"/>
      <c r="AE111" s="776"/>
      <c r="AF111" s="776"/>
      <c r="AG111" s="776"/>
      <c r="AH111" s="776"/>
      <c r="AI111" s="776"/>
      <c r="AJ111" s="776"/>
      <c r="AK111" s="776"/>
      <c r="AL111" s="776"/>
      <c r="AM111" s="776"/>
      <c r="AN111" s="776"/>
      <c r="AO111" s="436"/>
      <c r="AP111" s="21"/>
    </row>
    <row r="112" spans="2:42" ht="15" customHeight="1" x14ac:dyDescent="0.35">
      <c r="B112" s="429"/>
      <c r="C112" s="780" t="s">
        <v>212</v>
      </c>
      <c r="D112" s="776"/>
      <c r="E112" s="532" cm="1">
        <f t="array" aca="1" ref="E112" ca="1">IF(E$21&lt;Standard_Year,'No STDs Case Rev &amp; Cost'!E112,
OFFSET(E112,-3,0)*
OFFSET(MSP!$D$1,
MATCH(OFFSET($C107,((MATCH($C107,EL_List,0)-1)*-10)-1,0),MSP!$C:$C,0)+MATCH($C107,EL_List,0)-1,0)
*INDEX(Learning!$E$6:$S$41,(MATCH(E$21,Dates,0)),(MATCH($C$86,Learning!$E$4:$S$4,0)+MATCH($C$107,Learning!$E$5:$S$5,0)-1)))</f>
        <v>21.901392037669325</v>
      </c>
      <c r="F112" s="532" cm="1">
        <f t="array" aca="1" ref="F112" ca="1">IF(F$21&lt;Standard_Year,'No STDs Case Rev &amp; Cost'!F112,
OFFSET(F112,-3,0)*
OFFSET(MSP!$D$1,
MATCH(OFFSET($C107,((MATCH($C107,EL_List,0)-1)*-10)-1,0),MSP!$C:$C,0)+MATCH($C107,EL_List,0)-1,0)
*INDEX(Learning!$E$6:$S$41,(MATCH(F$21,Dates,0)),(MATCH($C$86,Learning!$E$4:$S$4,0)+MATCH($C$107,Learning!$E$5:$S$5,0)-1)))</f>
        <v>22.70529080925602</v>
      </c>
      <c r="G112" s="532" cm="1">
        <f t="array" aca="1" ref="G112" ca="1">IF(G$21&lt;Standard_Year,'No STDs Case Rev &amp; Cost'!G112,
OFFSET(G112,-3,0)*
OFFSET(MSP!$D$1,
MATCH(OFFSET($C107,((MATCH($C107,EL_List,0)-1)*-10)-1,0),MSP!$C:$C,0)+MATCH($C107,EL_List,0)-1,0)
*INDEX(Learning!$E$6:$S$41,(MATCH(G$21,Dates,0)),(MATCH($C$86,Learning!$E$4:$S$4,0)+MATCH($C$107,Learning!$E$5:$S$5,0)-1)))</f>
        <v>23.393975609916811</v>
      </c>
      <c r="H112" s="532" cm="1">
        <f t="array" aca="1" ref="H112" ca="1">IF(H$21&lt;Standard_Year,'No STDs Case Rev &amp; Cost'!H112,
OFFSET(H112,-3,0)*
OFFSET(MSP!$D$1,
MATCH(OFFSET($C107,((MATCH($C107,EL_List,0)-1)*-10)-1,0),MSP!$C:$C,0)+MATCH($C107,EL_List,0)-1,0)
*INDEX(Learning!$E$6:$S$41,(MATCH(H$21,Dates,0)),(MATCH($C$86,Learning!$E$4:$S$4,0)+MATCH($C$107,Learning!$E$5:$S$5,0)-1)))</f>
        <v>24.325685865842779</v>
      </c>
      <c r="I112" s="532" cm="1">
        <f t="array" aca="1" ref="I112" ca="1">IF(I$21&lt;Standard_Year,'No STDs Case Rev &amp; Cost'!I112,
OFFSET(I112,-3,0)*
OFFSET(MSP!$D$1,
MATCH(OFFSET($C107,((MATCH($C107,EL_List,0)-1)*-10)-1,0),MSP!$C:$C,0)+MATCH($C107,EL_List,0)-1,0)
*INDEX(Learning!$E$6:$S$41,(MATCH(I$21,Dates,0)),(MATCH($C$86,Learning!$E$4:$S$4,0)+MATCH($C$107,Learning!$E$5:$S$5,0)-1)))</f>
        <v>79.641776171976574</v>
      </c>
      <c r="J112" s="532" cm="1">
        <f t="array" aca="1" ref="J112" ca="1">IF(J$21&lt;Standard_Year,'No STDs Case Rev &amp; Cost'!J112,
OFFSET(J112,-3,0)*
OFFSET(MSP!$D$1,
MATCH(OFFSET($C107,((MATCH($C107,EL_List,0)-1)*-10)-1,0),MSP!$C:$C,0)+MATCH($C107,EL_List,0)-1,0)
*INDEX(Learning!$E$6:$S$41,(MATCH(J$21,Dates,0)),(MATCH($C$86,Learning!$E$4:$S$4,0)+MATCH($C$107,Learning!$E$5:$S$5,0)-1)))</f>
        <v>83.189278379990753</v>
      </c>
      <c r="K112" s="532" cm="1">
        <f t="array" aca="1" ref="K112" ca="1">IF(K$21&lt;Standard_Year,'No STDs Case Rev &amp; Cost'!K112,
OFFSET(K112,-3,0)*
OFFSET(MSP!$D$1,
MATCH(OFFSET($C107,((MATCH($C107,EL_List,0)-1)*-10)-1,0),MSP!$C:$C,0)+MATCH($C107,EL_List,0)-1,0)
*INDEX(Learning!$E$6:$S$41,(MATCH(K$21,Dates,0)),(MATCH($C$86,Learning!$E$4:$S$4,0)+MATCH($C$107,Learning!$E$5:$S$5,0)-1)))</f>
        <v>87.111944424483184</v>
      </c>
      <c r="L112" s="532" cm="1">
        <f t="array" aca="1" ref="L112" ca="1">IF(L$21&lt;Standard_Year,'No STDs Case Rev &amp; Cost'!L112,
OFFSET(L112,-3,0)*
OFFSET(MSP!$D$1,
MATCH(OFFSET($C107,((MATCH($C107,EL_List,0)-1)*-10)-1,0),MSP!$C:$C,0)+MATCH($C107,EL_List,0)-1,0)
*INDEX(Learning!$E$6:$S$41,(MATCH(L$21,Dates,0)),(MATCH($C$86,Learning!$E$4:$S$4,0)+MATCH($C$107,Learning!$E$5:$S$5,0)-1)))</f>
        <v>91.195227724062988</v>
      </c>
      <c r="M112" s="532" cm="1">
        <f t="array" aca="1" ref="M112" ca="1">IF(M$21&lt;Standard_Year,'No STDs Case Rev &amp; Cost'!M112,
OFFSET(M112,-3,0)*
OFFSET(MSP!$D$1,
MATCH(OFFSET($C107,((MATCH($C107,EL_List,0)-1)*-10)-1,0),MSP!$C:$C,0)+MATCH($C107,EL_List,0)-1,0)
*INDEX(Learning!$E$6:$S$41,(MATCH(M$21,Dates,0)),(MATCH($C$86,Learning!$E$4:$S$4,0)+MATCH($C$107,Learning!$E$5:$S$5,0)-1)))</f>
        <v>95.435540837943236</v>
      </c>
      <c r="N112" s="532" cm="1">
        <f t="array" aca="1" ref="N112" ca="1">IF(N$21&lt;Standard_Year,'No STDs Case Rev &amp; Cost'!N112,
OFFSET(N112,-3,0)*
OFFSET(MSP!$D$1,
MATCH(OFFSET($C107,((MATCH($C107,EL_List,0)-1)*-10)-1,0),MSP!$C:$C,0)+MATCH($C107,EL_List,0)-1,0)
*INDEX(Learning!$E$6:$S$41,(MATCH(N$21,Dates,0)),(MATCH($C$86,Learning!$E$4:$S$4,0)+MATCH($C$107,Learning!$E$5:$S$5,0)-1)))</f>
        <v>99.793028883361032</v>
      </c>
      <c r="O112" s="532" cm="1">
        <f t="array" aca="1" ref="O112" ca="1">IF(O$21&lt;Standard_Year,'No STDs Case Rev &amp; Cost'!O112,
OFFSET(O112,-3,0)*
OFFSET(MSP!$D$1,
MATCH(OFFSET($C107,((MATCH($C107,EL_List,0)-1)*-10)-1,0),MSP!$C:$C,0)+MATCH($C107,EL_List,0)-1,0)
*INDEX(Learning!$E$6:$S$41,(MATCH(O$21,Dates,0)),(MATCH($C$86,Learning!$E$4:$S$4,0)+MATCH($C$107,Learning!$E$5:$S$5,0)-1)))</f>
        <v>104.26246625224124</v>
      </c>
      <c r="P112" s="532" cm="1">
        <f t="array" aca="1" ref="P112" ca="1">IF(P$21&lt;Standard_Year,'No STDs Case Rev &amp; Cost'!P112,
OFFSET(P112,-3,0)*
OFFSET(MSP!$D$1,
MATCH(OFFSET($C107,((MATCH($C107,EL_List,0)-1)*-10)-1,0),MSP!$C:$C,0)+MATCH($C107,EL_List,0)-1,0)
*INDEX(Learning!$E$6:$S$41,(MATCH(P$21,Dates,0)),(MATCH($C$86,Learning!$E$4:$S$4,0)+MATCH($C$107,Learning!$E$5:$S$5,0)-1)))</f>
        <v>108.97451872982796</v>
      </c>
      <c r="Q112" s="532" cm="1">
        <f t="array" aca="1" ref="Q112" ca="1">IF(Q$21&lt;Standard_Year,'No STDs Case Rev &amp; Cost'!Q112,
OFFSET(Q112,-3,0)*
OFFSET(MSP!$D$1,
MATCH(OFFSET($C107,((MATCH($C107,EL_List,0)-1)*-10)-1,0),MSP!$C:$C,0)+MATCH($C107,EL_List,0)-1,0)
*INDEX(Learning!$E$6:$S$41,(MATCH(Q$21,Dates,0)),(MATCH($C$86,Learning!$E$4:$S$4,0)+MATCH($C$107,Learning!$E$5:$S$5,0)-1)))</f>
        <v>113.83370286507059</v>
      </c>
      <c r="R112" s="532" cm="1">
        <f t="array" aca="1" ref="R112" ca="1">IF(R$21&lt;Standard_Year,'No STDs Case Rev &amp; Cost'!R112,
OFFSET(R112,-3,0)*
OFFSET(MSP!$D$1,
MATCH(OFFSET($C107,((MATCH($C107,EL_List,0)-1)*-10)-1,0),MSP!$C:$C,0)+MATCH($C107,EL_List,0)-1,0)
*INDEX(Learning!$E$6:$S$41,(MATCH(R$21,Dates,0)),(MATCH($C$86,Learning!$E$4:$S$4,0)+MATCH($C$107,Learning!$E$5:$S$5,0)-1)))</f>
        <v>118.77285349496937</v>
      </c>
      <c r="S112" s="532" cm="1">
        <f t="array" aca="1" ref="S112" ca="1">IF(S$21&lt;Standard_Year,'No STDs Case Rev &amp; Cost'!S112,
OFFSET(S112,-3,0)*
OFFSET(MSP!$D$1,
MATCH(OFFSET($C107,((MATCH($C107,EL_List,0)-1)*-10)-1,0),MSP!$C:$C,0)+MATCH($C107,EL_List,0)-1,0)
*INDEX(Learning!$E$6:$S$41,(MATCH(S$21,Dates,0)),(MATCH($C$86,Learning!$E$4:$S$4,0)+MATCH($C$107,Learning!$E$5:$S$5,0)-1)))</f>
        <v>124.06099065987426</v>
      </c>
      <c r="T112" s="532" cm="1">
        <f t="array" aca="1" ref="T112" ca="1">IF(T$21&lt;Standard_Year,'No STDs Case Rev &amp; Cost'!T112,
OFFSET(T112,-3,0)*
OFFSET(MSP!$D$1,
MATCH(OFFSET($C107,((MATCH($C107,EL_List,0)-1)*-10)-1,0),MSP!$C:$C,0)+MATCH($C107,EL_List,0)-1,0)
*INDEX(Learning!$E$6:$S$41,(MATCH(T$21,Dates,0)),(MATCH($C$86,Learning!$E$4:$S$4,0)+MATCH($C$107,Learning!$E$5:$S$5,0)-1)))</f>
        <v>129.59573632350703</v>
      </c>
      <c r="U112" s="532" cm="1">
        <f t="array" aca="1" ref="U112" ca="1">IF(U$21&lt;Standard_Year,'No STDs Case Rev &amp; Cost'!U112,
OFFSET(U112,-3,0)*
OFFSET(MSP!$D$1,
MATCH(OFFSET($C107,((MATCH($C107,EL_List,0)-1)*-10)-1,0),MSP!$C:$C,0)+MATCH($C107,EL_List,0)-1,0)
*INDEX(Learning!$E$6:$S$41,(MATCH(U$21,Dates,0)),(MATCH($C$86,Learning!$E$4:$S$4,0)+MATCH($C$107,Learning!$E$5:$S$5,0)-1)))</f>
        <v>135.53762358697435</v>
      </c>
      <c r="V112" s="532" cm="1">
        <f t="array" aca="1" ref="V112" ca="1">IF(V$21&lt;Standard_Year,'No STDs Case Rev &amp; Cost'!V112,
OFFSET(V112,-3,0)*
OFFSET(MSP!$D$1,
MATCH(OFFSET($C107,((MATCH($C107,EL_List,0)-1)*-10)-1,0),MSP!$C:$C,0)+MATCH($C107,EL_List,0)-1,0)
*INDEX(Learning!$E$6:$S$41,(MATCH(V$21,Dates,0)),(MATCH($C$86,Learning!$E$4:$S$4,0)+MATCH($C$107,Learning!$E$5:$S$5,0)-1)))</f>
        <v>141.58919336569306</v>
      </c>
      <c r="W112" s="532" cm="1">
        <f t="array" aca="1" ref="W112" ca="1">IF(W$21&lt;Standard_Year,'No STDs Case Rev &amp; Cost'!W112,
OFFSET(W112,-3,0)*
OFFSET(MSP!$D$1,
MATCH(OFFSET($C107,((MATCH($C107,EL_List,0)-1)*-10)-1,0),MSP!$C:$C,0)+MATCH($C107,EL_List,0)-1,0)
*INDEX(Learning!$E$6:$S$41,(MATCH(W$21,Dates,0)),(MATCH($C$86,Learning!$E$4:$S$4,0)+MATCH($C$107,Learning!$E$5:$S$5,0)-1)))</f>
        <v>147.90231793835088</v>
      </c>
      <c r="X112" s="532" cm="1">
        <f t="array" aca="1" ref="X112" ca="1">IF(X$21&lt;Standard_Year,'No STDs Case Rev &amp; Cost'!X112,
OFFSET(X112,-3,0)*
OFFSET(MSP!$D$1,
MATCH(OFFSET($C107,((MATCH($C107,EL_List,0)-1)*-10)-1,0),MSP!$C:$C,0)+MATCH($C107,EL_List,0)-1,0)
*INDEX(Learning!$E$6:$S$41,(MATCH(X$21,Dates,0)),(MATCH($C$86,Learning!$E$4:$S$4,0)+MATCH($C$107,Learning!$E$5:$S$5,0)-1)))</f>
        <v>154.64609082626248</v>
      </c>
      <c r="Y112" s="532" cm="1">
        <f t="array" aca="1" ref="Y112" ca="1">IF(Y$21&lt;Standard_Year,'No STDs Case Rev &amp; Cost'!Y112,
OFFSET(Y112,-3,0)*
OFFSET(MSP!$D$1,
MATCH(OFFSET($C107,((MATCH($C107,EL_List,0)-1)*-10)-1,0),MSP!$C:$C,0)+MATCH($C107,EL_List,0)-1,0)
*INDEX(Learning!$E$6:$S$41,(MATCH(Y$21,Dates,0)),(MATCH($C$86,Learning!$E$4:$S$4,0)+MATCH($C$107,Learning!$E$5:$S$5,0)-1)))</f>
        <v>161.50396892946196</v>
      </c>
      <c r="Z112" s="532" cm="1">
        <f t="array" aca="1" ref="Z112" ca="1">IF(Z$21&lt;Standard_Year,'No STDs Case Rev &amp; Cost'!Z112,
OFFSET(Z112,-3,0)*
OFFSET(MSP!$D$1,
MATCH(OFFSET($C107,((MATCH($C107,EL_List,0)-1)*-10)-1,0),MSP!$C:$C,0)+MATCH($C107,EL_List,0)-1,0)
*INDEX(Learning!$E$6:$S$41,(MATCH(Z$21,Dates,0)),(MATCH($C$86,Learning!$E$4:$S$4,0)+MATCH($C$107,Learning!$E$5:$S$5,0)-1)))</f>
        <v>168.82787896452967</v>
      </c>
      <c r="AA112" s="532" cm="1">
        <f t="array" aca="1" ref="AA112" ca="1">IF(AA$21&lt;Standard_Year,'No STDs Case Rev &amp; Cost'!AA112,
OFFSET(AA112,-3,0)*
OFFSET(MSP!$D$1,
MATCH(OFFSET($C107,((MATCH($C107,EL_List,0)-1)*-10)-1,0),MSP!$C:$C,0)+MATCH($C107,EL_List,0)-1,0)
*INDEX(Learning!$E$6:$S$41,(MATCH(AA$21,Dates,0)),(MATCH($C$86,Learning!$E$4:$S$4,0)+MATCH($C$107,Learning!$E$5:$S$5,0)-1)))</f>
        <v>176.27136930503971</v>
      </c>
      <c r="AB112" s="532" cm="1">
        <f t="array" aca="1" ref="AB112" ca="1">IF(AB$21&lt;Standard_Year,'No STDs Case Rev &amp; Cost'!AB112,
OFFSET(AB112,-3,0)*
OFFSET(MSP!$D$1,
MATCH(OFFSET($C107,((MATCH($C107,EL_List,0)-1)*-10)-1,0),MSP!$C:$C,0)+MATCH($C107,EL_List,0)-1,0)
*INDEX(Learning!$E$6:$S$41,(MATCH(AB$21,Dates,0)),(MATCH($C$86,Learning!$E$4:$S$4,0)+MATCH($C$107,Learning!$E$5:$S$5,0)-1)))</f>
        <v>184.22848582639114</v>
      </c>
      <c r="AC112" s="532" cm="1">
        <f t="array" aca="1" ref="AC112" ca="1">IF(AC$21&lt;Standard_Year,'No STDs Case Rev &amp; Cost'!AC112,
OFFSET(AC112,-3,0)*
OFFSET(MSP!$D$1,
MATCH(OFFSET($C107,((MATCH($C107,EL_List,0)-1)*-10)-1,0),MSP!$C:$C,0)+MATCH($C107,EL_List,0)-1,0)
*INDEX(Learning!$E$6:$S$41,(MATCH(AC$21,Dates,0)),(MATCH($C$86,Learning!$E$4:$S$4,0)+MATCH($C$107,Learning!$E$5:$S$5,0)-1)))</f>
        <v>192.53299132524495</v>
      </c>
      <c r="AD112" s="532" cm="1">
        <f t="array" aca="1" ref="AD112" ca="1">IF(AD$21&lt;Standard_Year,'No STDs Case Rev &amp; Cost'!AD112,
OFFSET(AD112,-3,0)*
OFFSET(MSP!$D$1,
MATCH(OFFSET($C107,((MATCH($C107,EL_List,0)-1)*-10)-1,0),MSP!$C:$C,0)+MATCH($C107,EL_List,0)-1,0)
*INDEX(Learning!$E$6:$S$41,(MATCH(AD$21,Dates,0)),(MATCH($C$86,Learning!$E$4:$S$4,0)+MATCH($C$107,Learning!$E$5:$S$5,0)-1)))</f>
        <v>201.20129783037402</v>
      </c>
      <c r="AE112" s="532" cm="1">
        <f t="array" aca="1" ref="AE112" ca="1">IF(AE$21&lt;Standard_Year,'No STDs Case Rev &amp; Cost'!AE112,
OFFSET(AE112,-3,0)*
OFFSET(MSP!$D$1,
MATCH(OFFSET($C107,((MATCH($C107,EL_List,0)-1)*-10)-1,0),MSP!$C:$C,0)+MATCH($C107,EL_List,0)-1,0)
*INDEX(Learning!$E$6:$S$41,(MATCH(AE$21,Dates,0)),(MATCH($C$86,Learning!$E$4:$S$4,0)+MATCH($C$107,Learning!$E$5:$S$5,0)-1)))</f>
        <v>210.24943490911687</v>
      </c>
      <c r="AF112" s="532" cm="1">
        <f t="array" aca="1" ref="AF112" ca="1">IF(AF$21&lt;Standard_Year,'No STDs Case Rev &amp; Cost'!AF112,
OFFSET(AF112,-3,0)*
OFFSET(MSP!$D$1,
MATCH(OFFSET($C107,((MATCH($C107,EL_List,0)-1)*-10)-1,0),MSP!$C:$C,0)+MATCH($C107,EL_List,0)-1,0)
*INDEX(Learning!$E$6:$S$41,(MATCH(AF$21,Dates,0)),(MATCH($C$86,Learning!$E$4:$S$4,0)+MATCH($C$107,Learning!$E$5:$S$5,0)-1)))</f>
        <v>219.44861312623988</v>
      </c>
      <c r="AG112" s="532" cm="1">
        <f t="array" aca="1" ref="AG112" ca="1">IF(AG$21&lt;Standard_Year,'No STDs Case Rev &amp; Cost'!AG112,
OFFSET(AG112,-3,0)*
OFFSET(MSP!$D$1,
MATCH(OFFSET($C107,((MATCH($C107,EL_List,0)-1)*-10)-1,0),MSP!$C:$C,0)+MATCH($C107,EL_List,0)-1,0)
*INDEX(Learning!$E$6:$S$41,(MATCH(AG$21,Dates,0)),(MATCH($C$86,Learning!$E$4:$S$4,0)+MATCH($C$107,Learning!$E$5:$S$5,0)-1)))</f>
        <v>229.29215478605937</v>
      </c>
      <c r="AH112" s="532" cm="1">
        <f t="array" aca="1" ref="AH112" ca="1">IF(AH$21&lt;Standard_Year,'No STDs Case Rev &amp; Cost'!AH112,
OFFSET(AH112,-3,0)*
OFFSET(MSP!$D$1,
MATCH(OFFSET($C107,((MATCH($C107,EL_List,0)-1)*-10)-1,0),MSP!$C:$C,0)+MATCH($C107,EL_List,0)-1,0)
*INDEX(Learning!$E$6:$S$41,(MATCH(AH$21,Dates,0)),(MATCH($C$86,Learning!$E$4:$S$4,0)+MATCH($C$107,Learning!$E$5:$S$5,0)-1)))</f>
        <v>239.83325436924036</v>
      </c>
      <c r="AI112" s="532" cm="1">
        <f t="array" aca="1" ref="AI112" ca="1">IF(AI$21&lt;Standard_Year,'No STDs Case Rev &amp; Cost'!AI112,
OFFSET(AI112,-3,0)*
OFFSET(MSP!$D$1,
MATCH(OFFSET($C107,((MATCH($C107,EL_List,0)-1)*-10)-1,0),MSP!$C:$C,0)+MATCH($C107,EL_List,0)-1,0)
*INDEX(Learning!$E$6:$S$41,(MATCH(AI$21,Dates,0)),(MATCH($C$86,Learning!$E$4:$S$4,0)+MATCH($C$107,Learning!$E$5:$S$5,0)-1)))</f>
        <v>250.5640796432686</v>
      </c>
      <c r="AJ112" s="532" cm="1">
        <f t="array" aca="1" ref="AJ112" ca="1">IF(AJ$21&lt;Standard_Year,'No STDs Case Rev &amp; Cost'!AJ112,
OFFSET(AJ112,-3,0)*
OFFSET(MSP!$D$1,
MATCH(OFFSET($C107,((MATCH($C107,EL_List,0)-1)*-10)-1,0),MSP!$C:$C,0)+MATCH($C107,EL_List,0)-1,0)
*INDEX(Learning!$E$6:$S$41,(MATCH(AJ$21,Dates,0)),(MATCH($C$86,Learning!$E$4:$S$4,0)+MATCH($C$107,Learning!$E$5:$S$5,0)-1)))</f>
        <v>261.76033572738555</v>
      </c>
      <c r="AK112" s="532" cm="1">
        <f t="array" aca="1" ref="AK112" ca="1">IF(AK$21&lt;Standard_Year,'No STDs Case Rev &amp; Cost'!AK112,
OFFSET(AK112,-3,0)*
OFFSET(MSP!$D$1,
MATCH(OFFSET($C107,((MATCH($C107,EL_List,0)-1)*-10)-1,0),MSP!$C:$C,0)+MATCH($C107,EL_List,0)-1,0)
*INDEX(Learning!$E$6:$S$41,(MATCH(AK$21,Dates,0)),(MATCH($C$86,Learning!$E$4:$S$4,0)+MATCH($C$107,Learning!$E$5:$S$5,0)-1)))</f>
        <v>273.44206127429703</v>
      </c>
      <c r="AL112" s="532" cm="1">
        <f t="array" aca="1" ref="AL112" ca="1">IF(AL$21&lt;Standard_Year,'No STDs Case Rev &amp; Cost'!AL112,
OFFSET(AL112,-3,0)*
OFFSET(MSP!$D$1,
MATCH(OFFSET($C107,((MATCH($C107,EL_List,0)-1)*-10)-1,0),MSP!$C:$C,0)+MATCH($C107,EL_List,0)-1,0)
*INDEX(Learning!$E$6:$S$41,(MATCH(AL$21,Dates,0)),(MATCH($C$86,Learning!$E$4:$S$4,0)+MATCH($C$107,Learning!$E$5:$S$5,0)-1)))</f>
        <v>285.63030792095014</v>
      </c>
      <c r="AM112" s="532" cm="1">
        <f t="array" aca="1" ref="AM112" ca="1">IF(AM$21&lt;Standard_Year,'No STDs Case Rev &amp; Cost'!AM112,
OFFSET(AM112,-3,0)*
OFFSET(MSP!$D$1,
MATCH(OFFSET($C107,((MATCH($C107,EL_List,0)-1)*-10)-1,0),MSP!$C:$C,0)+MATCH($C107,EL_List,0)-1,0)
*INDEX(Learning!$E$6:$S$41,(MATCH(AM$21,Dates,0)),(MATCH($C$86,Learning!$E$4:$S$4,0)+MATCH($C$107,Learning!$E$5:$S$5,0)-1)))</f>
        <v>298.68999962596536</v>
      </c>
      <c r="AN112" s="532" cm="1">
        <f t="array" aca="1" ref="AN112" ca="1">IF(AN$21&lt;Standard_Year,'No STDs Case Rev &amp; Cost'!AN112,
OFFSET(AN112,-3,0)*
OFFSET(MSP!$D$1,
MATCH(OFFSET($C107,((MATCH($C107,EL_List,0)-1)*-10)-1,0),MSP!$C:$C,0)+MATCH($C107,EL_List,0)-1,0)
*INDEX(Learning!$E$6:$S$41,(MATCH(AN$21,Dates,0)),(MATCH($C$86,Learning!$E$4:$S$4,0)+MATCH($C$107,Learning!$E$5:$S$5,0)-1)))</f>
        <v>311.91873342441312</v>
      </c>
      <c r="AO112" s="436"/>
      <c r="AP112" s="21"/>
    </row>
    <row r="113" spans="2:42" ht="15" customHeight="1" x14ac:dyDescent="0.35">
      <c r="B113" s="429"/>
      <c r="C113" s="780" t="s">
        <v>213</v>
      </c>
      <c r="D113" s="776"/>
      <c r="E113" s="533" cm="1">
        <f t="array" aca="1" ref="E113" ca="1">IF(E$21&lt;Standard_Year,'No STDs Case Rev &amp; Cost'!E113,
OFFSET(E113,-4,0)*
OFFSET(MSP!$E$1,
MATCH(OFFSET($C107,((MATCH($C107,EL_List,0)-1)*-10)-1,0),MSP!$C:$C,0)+MATCH($C107,EL_List,0)-1,0)
*INDEX(Learning!$E$6:$S$41,(MATCH(E$21,Dates,0)),(MATCH($C$86,Learning!$E$4:$S$4,0)+MATCH($C$107,Learning!$E$5:$S$5,0)-1)))</f>
        <v>0.46625577805305907</v>
      </c>
      <c r="F113" s="533" cm="1">
        <f t="array" aca="1" ref="F113" ca="1">IF(F$21&lt;Standard_Year,'No STDs Case Rev &amp; Cost'!F113,
OFFSET(F113,-4,0)*
OFFSET(MSP!$E$1,
MATCH(OFFSET($C107,((MATCH($C107,EL_List,0)-1)*-10)-1,0),MSP!$C:$C,0)+MATCH($C107,EL_List,0)-1,0)
*INDEX(Learning!$E$6:$S$41,(MATCH(F$21,Dates,0)),(MATCH($C$86,Learning!$E$4:$S$4,0)+MATCH($C$107,Learning!$E$5:$S$5,0)-1)))</f>
        <v>0.48336987046222546</v>
      </c>
      <c r="G113" s="533" cm="1">
        <f t="array" aca="1" ref="G113" ca="1">IF(G$21&lt;Standard_Year,'No STDs Case Rev &amp; Cost'!G113,
OFFSET(G113,-4,0)*
OFFSET(MSP!$E$1,
MATCH(OFFSET($C107,((MATCH($C107,EL_List,0)-1)*-10)-1,0),MSP!$C:$C,0)+MATCH($C107,EL_List,0)-1,0)
*INDEX(Learning!$E$6:$S$41,(MATCH(G$21,Dates,0)),(MATCH($C$86,Learning!$E$4:$S$4,0)+MATCH($C$107,Learning!$E$5:$S$5,0)-1)))</f>
        <v>0.49803118820007197</v>
      </c>
      <c r="H113" s="533" cm="1">
        <f t="array" aca="1" ref="H113" ca="1">IF(H$21&lt;Standard_Year,'No STDs Case Rev &amp; Cost'!H113,
OFFSET(H113,-4,0)*
OFFSET(MSP!$E$1,
MATCH(OFFSET($C107,((MATCH($C107,EL_List,0)-1)*-10)-1,0),MSP!$C:$C,0)+MATCH($C107,EL_List,0)-1,0)
*INDEX(Learning!$E$6:$S$41,(MATCH(H$21,Dates,0)),(MATCH($C$86,Learning!$E$4:$S$4,0)+MATCH($C$107,Learning!$E$5:$S$5,0)-1)))</f>
        <v>0.51786624204275034</v>
      </c>
      <c r="I113" s="533" cm="1">
        <f t="array" aca="1" ref="I113" ca="1">IF(I$21&lt;Standard_Year,'No STDs Case Rev &amp; Cost'!I113,
OFFSET(I113,-4,0)*
OFFSET(MSP!$E$1,
MATCH(OFFSET($C107,((MATCH($C107,EL_List,0)-1)*-10)-1,0),MSP!$C:$C,0)+MATCH($C107,EL_List,0)-1,0)
*INDEX(Learning!$E$6:$S$41,(MATCH(I$21,Dates,0)),(MATCH($C$86,Learning!$E$4:$S$4,0)+MATCH($C$107,Learning!$E$5:$S$5,0)-1)))</f>
        <v>1.6954830200164817</v>
      </c>
      <c r="J113" s="533" cm="1">
        <f t="array" aca="1" ref="J113" ca="1">IF(J$21&lt;Standard_Year,'No STDs Case Rev &amp; Cost'!J113,
OFFSET(J113,-4,0)*
OFFSET(MSP!$E$1,
MATCH(OFFSET($C107,((MATCH($C107,EL_List,0)-1)*-10)-1,0),MSP!$C:$C,0)+MATCH($C107,EL_List,0)-1,0)
*INDEX(Learning!$E$6:$S$41,(MATCH(J$21,Dates,0)),(MATCH($C$86,Learning!$E$4:$S$4,0)+MATCH($C$107,Learning!$E$5:$S$5,0)-1)))</f>
        <v>1.7710053155535748</v>
      </c>
      <c r="K113" s="533" cm="1">
        <f t="array" aca="1" ref="K113" ca="1">IF(K$21&lt;Standard_Year,'No STDs Case Rev &amp; Cost'!K113,
OFFSET(K113,-4,0)*
OFFSET(MSP!$E$1,
MATCH(OFFSET($C107,((MATCH($C107,EL_List,0)-1)*-10)-1,0),MSP!$C:$C,0)+MATCH($C107,EL_List,0)-1,0)
*INDEX(Learning!$E$6:$S$41,(MATCH(K$21,Dates,0)),(MATCH($C$86,Learning!$E$4:$S$4,0)+MATCH($C$107,Learning!$E$5:$S$5,0)-1)))</f>
        <v>1.8545144233523578</v>
      </c>
      <c r="L113" s="533" cm="1">
        <f t="array" aca="1" ref="L113" ca="1">IF(L$21&lt;Standard_Year,'No STDs Case Rev &amp; Cost'!L113,
OFFSET(L113,-4,0)*
OFFSET(MSP!$E$1,
MATCH(OFFSET($C107,((MATCH($C107,EL_List,0)-1)*-10)-1,0),MSP!$C:$C,0)+MATCH($C107,EL_List,0)-1,0)
*INDEX(Learning!$E$6:$S$41,(MATCH(L$21,Dates,0)),(MATCH($C$86,Learning!$E$4:$S$4,0)+MATCH($C$107,Learning!$E$5:$S$5,0)-1)))</f>
        <v>1.941442890208807</v>
      </c>
      <c r="M113" s="533" cm="1">
        <f t="array" aca="1" ref="M113" ca="1">IF(M$21&lt;Standard_Year,'No STDs Case Rev &amp; Cost'!M113,
OFFSET(M113,-4,0)*
OFFSET(MSP!$E$1,
MATCH(OFFSET($C107,((MATCH($C107,EL_List,0)-1)*-10)-1,0),MSP!$C:$C,0)+MATCH($C107,EL_List,0)-1,0)
*INDEX(Learning!$E$6:$S$41,(MATCH(M$21,Dates,0)),(MATCH($C$86,Learning!$E$4:$S$4,0)+MATCH($C$107,Learning!$E$5:$S$5,0)-1)))</f>
        <v>2.0317143435803722</v>
      </c>
      <c r="N113" s="533" cm="1">
        <f t="array" aca="1" ref="N113" ca="1">IF(N$21&lt;Standard_Year,'No STDs Case Rev &amp; Cost'!N113,
OFFSET(N113,-4,0)*
OFFSET(MSP!$E$1,
MATCH(OFFSET($C107,((MATCH($C107,EL_List,0)-1)*-10)-1,0),MSP!$C:$C,0)+MATCH($C107,EL_List,0)-1,0)
*INDEX(Learning!$E$6:$S$41,(MATCH(N$21,Dates,0)),(MATCH($C$86,Learning!$E$4:$S$4,0)+MATCH($C$107,Learning!$E$5:$S$5,0)-1)))</f>
        <v>2.1244803182489567</v>
      </c>
      <c r="O113" s="533" cm="1">
        <f t="array" aca="1" ref="O113" ca="1">IF(O$21&lt;Standard_Year,'No STDs Case Rev &amp; Cost'!O113,
OFFSET(O113,-4,0)*
OFFSET(MSP!$E$1,
MATCH(OFFSET($C107,((MATCH($C107,EL_List,0)-1)*-10)-1,0),MSP!$C:$C,0)+MATCH($C107,EL_List,0)-1,0)
*INDEX(Learning!$E$6:$S$41,(MATCH(O$21,Dates,0)),(MATCH($C$86,Learning!$E$4:$S$4,0)+MATCH($C$107,Learning!$E$5:$S$5,0)-1)))</f>
        <v>2.2196295669497901</v>
      </c>
      <c r="P113" s="533" cm="1">
        <f t="array" aca="1" ref="P113" ca="1">IF(P$21&lt;Standard_Year,'No STDs Case Rev &amp; Cost'!P113,
OFFSET(P113,-4,0)*
OFFSET(MSP!$E$1,
MATCH(OFFSET($C107,((MATCH($C107,EL_List,0)-1)*-10)-1,0),MSP!$C:$C,0)+MATCH($C107,EL_List,0)-1,0)
*INDEX(Learning!$E$6:$S$41,(MATCH(P$21,Dates,0)),(MATCH($C$86,Learning!$E$4:$S$4,0)+MATCH($C$107,Learning!$E$5:$S$5,0)-1)))</f>
        <v>2.3199438159429717</v>
      </c>
      <c r="Q113" s="533" cm="1">
        <f t="array" aca="1" ref="Q113" ca="1">IF(Q$21&lt;Standard_Year,'No STDs Case Rev &amp; Cost'!Q113,
OFFSET(Q113,-4,0)*
OFFSET(MSP!$E$1,
MATCH(OFFSET($C107,((MATCH($C107,EL_List,0)-1)*-10)-1,0),MSP!$C:$C,0)+MATCH($C107,EL_List,0)-1,0)
*INDEX(Learning!$E$6:$S$41,(MATCH(Q$21,Dates,0)),(MATCH($C$86,Learning!$E$4:$S$4,0)+MATCH($C$107,Learning!$E$5:$S$5,0)-1)))</f>
        <v>2.4233903309308715</v>
      </c>
      <c r="R113" s="533" cm="1">
        <f t="array" aca="1" ref="R113" ca="1">IF(R$21&lt;Standard_Year,'No STDs Case Rev &amp; Cost'!R113,
OFFSET(R113,-4,0)*
OFFSET(MSP!$E$1,
MATCH(OFFSET($C107,((MATCH($C107,EL_List,0)-1)*-10)-1,0),MSP!$C:$C,0)+MATCH($C107,EL_List,0)-1,0)
*INDEX(Learning!$E$6:$S$41,(MATCH(R$21,Dates,0)),(MATCH($C$86,Learning!$E$4:$S$4,0)+MATCH($C$107,Learning!$E$5:$S$5,0)-1)))</f>
        <v>2.5285392418267558</v>
      </c>
      <c r="S113" s="533" cm="1">
        <f t="array" aca="1" ref="S113" ca="1">IF(S$21&lt;Standard_Year,'No STDs Case Rev &amp; Cost'!S113,
OFFSET(S113,-4,0)*
OFFSET(MSP!$E$1,
MATCH(OFFSET($C107,((MATCH($C107,EL_List,0)-1)*-10)-1,0),MSP!$C:$C,0)+MATCH($C107,EL_List,0)-1,0)
*INDEX(Learning!$E$6:$S$41,(MATCH(S$21,Dates,0)),(MATCH($C$86,Learning!$E$4:$S$4,0)+MATCH($C$107,Learning!$E$5:$S$5,0)-1)))</f>
        <v>2.6411176799476417</v>
      </c>
      <c r="T113" s="533" cm="1">
        <f t="array" aca="1" ref="T113" ca="1">IF(T$21&lt;Standard_Year,'No STDs Case Rev &amp; Cost'!T113,
OFFSET(T113,-4,0)*
OFFSET(MSP!$E$1,
MATCH(OFFSET($C107,((MATCH($C107,EL_List,0)-1)*-10)-1,0),MSP!$C:$C,0)+MATCH($C107,EL_List,0)-1,0)
*INDEX(Learning!$E$6:$S$41,(MATCH(T$21,Dates,0)),(MATCH($C$86,Learning!$E$4:$S$4,0)+MATCH($C$107,Learning!$E$5:$S$5,0)-1)))</f>
        <v>2.758946133101869</v>
      </c>
      <c r="U113" s="533" cm="1">
        <f t="array" aca="1" ref="U113" ca="1">IF(U$21&lt;Standard_Year,'No STDs Case Rev &amp; Cost'!U113,
OFFSET(U113,-4,0)*
OFFSET(MSP!$E$1,
MATCH(OFFSET($C107,((MATCH($C107,EL_List,0)-1)*-10)-1,0),MSP!$C:$C,0)+MATCH($C107,EL_List,0)-1,0)
*INDEX(Learning!$E$6:$S$41,(MATCH(U$21,Dates,0)),(MATCH($C$86,Learning!$E$4:$S$4,0)+MATCH($C$107,Learning!$E$5:$S$5,0)-1)))</f>
        <v>2.8854421688043717</v>
      </c>
      <c r="V113" s="533" cm="1">
        <f t="array" aca="1" ref="V113" ca="1">IF(V$21&lt;Standard_Year,'No STDs Case Rev &amp; Cost'!V113,
OFFSET(V113,-4,0)*
OFFSET(MSP!$E$1,
MATCH(OFFSET($C107,((MATCH($C107,EL_List,0)-1)*-10)-1,0),MSP!$C:$C,0)+MATCH($C107,EL_List,0)-1,0)
*INDEX(Learning!$E$6:$S$41,(MATCH(V$21,Dates,0)),(MATCH($C$86,Learning!$E$4:$S$4,0)+MATCH($C$107,Learning!$E$5:$S$5,0)-1)))</f>
        <v>3.0142732207651735</v>
      </c>
      <c r="W113" s="533" cm="1">
        <f t="array" aca="1" ref="W113" ca="1">IF(W$21&lt;Standard_Year,'No STDs Case Rev &amp; Cost'!W113,
OFFSET(W113,-4,0)*
OFFSET(MSP!$E$1,
MATCH(OFFSET($C107,((MATCH($C107,EL_List,0)-1)*-10)-1,0),MSP!$C:$C,0)+MATCH($C107,EL_List,0)-1,0)
*INDEX(Learning!$E$6:$S$41,(MATCH(W$21,Dates,0)),(MATCH($C$86,Learning!$E$4:$S$4,0)+MATCH($C$107,Learning!$E$5:$S$5,0)-1)))</f>
        <v>3.1486724774200803</v>
      </c>
      <c r="X113" s="533" cm="1">
        <f t="array" aca="1" ref="X113" ca="1">IF(X$21&lt;Standard_Year,'No STDs Case Rev &amp; Cost'!X113,
OFFSET(X113,-4,0)*
OFFSET(MSP!$E$1,
MATCH(OFFSET($C107,((MATCH($C107,EL_List,0)-1)*-10)-1,0),MSP!$C:$C,0)+MATCH($C107,EL_List,0)-1,0)
*INDEX(Learning!$E$6:$S$41,(MATCH(X$21,Dates,0)),(MATCH($C$86,Learning!$E$4:$S$4,0)+MATCH($C$107,Learning!$E$5:$S$5,0)-1)))</f>
        <v>3.2922397479140413</v>
      </c>
      <c r="Y113" s="533" cm="1">
        <f t="array" aca="1" ref="Y113" ca="1">IF(Y$21&lt;Standard_Year,'No STDs Case Rev &amp; Cost'!Y113,
OFFSET(Y113,-4,0)*
OFFSET(MSP!$E$1,
MATCH(OFFSET($C107,((MATCH($C107,EL_List,0)-1)*-10)-1,0),MSP!$C:$C,0)+MATCH($C107,EL_List,0)-1,0)
*INDEX(Learning!$E$6:$S$41,(MATCH(Y$21,Dates,0)),(MATCH($C$86,Learning!$E$4:$S$4,0)+MATCH($C$107,Learning!$E$5:$S$5,0)-1)))</f>
        <v>3.4382361889302433</v>
      </c>
      <c r="Z113" s="533" cm="1">
        <f t="array" aca="1" ref="Z113" ca="1">IF(Z$21&lt;Standard_Year,'No STDs Case Rev &amp; Cost'!Z113,
OFFSET(Z113,-4,0)*
OFFSET(MSP!$E$1,
MATCH(OFFSET($C107,((MATCH($C107,EL_List,0)-1)*-10)-1,0),MSP!$C:$C,0)+MATCH($C107,EL_List,0)-1,0)
*INDEX(Learning!$E$6:$S$41,(MATCH(Z$21,Dates,0)),(MATCH($C$86,Learning!$E$4:$S$4,0)+MATCH($C$107,Learning!$E$5:$S$5,0)-1)))</f>
        <v>3.5941539208222526</v>
      </c>
      <c r="AA113" s="533" cm="1">
        <f t="array" aca="1" ref="AA113" ca="1">IF(AA$21&lt;Standard_Year,'No STDs Case Rev &amp; Cost'!AA113,
OFFSET(AA113,-4,0)*
OFFSET(MSP!$E$1,
MATCH(OFFSET($C107,((MATCH($C107,EL_List,0)-1)*-10)-1,0),MSP!$C:$C,0)+MATCH($C107,EL_List,0)-1,0)
*INDEX(Learning!$E$6:$S$41,(MATCH(AA$21,Dates,0)),(MATCH($C$86,Learning!$E$4:$S$4,0)+MATCH($C$107,Learning!$E$5:$S$5,0)-1)))</f>
        <v>3.7526173816915764</v>
      </c>
      <c r="AB113" s="533" cm="1">
        <f t="array" aca="1" ref="AB113" ca="1">IF(AB$21&lt;Standard_Year,'No STDs Case Rev &amp; Cost'!AB113,
OFFSET(AB113,-4,0)*
OFFSET(MSP!$E$1,
MATCH(OFFSET($C107,((MATCH($C107,EL_List,0)-1)*-10)-1,0),MSP!$C:$C,0)+MATCH($C107,EL_List,0)-1,0)
*INDEX(Learning!$E$6:$S$41,(MATCH(AB$21,Dates,0)),(MATCH($C$86,Learning!$E$4:$S$4,0)+MATCH($C$107,Learning!$E$5:$S$5,0)-1)))</f>
        <v>3.9220153609771149</v>
      </c>
      <c r="AC113" s="533" cm="1">
        <f t="array" aca="1" ref="AC113" ca="1">IF(AC$21&lt;Standard_Year,'No STDs Case Rev &amp; Cost'!AC113,
OFFSET(AC113,-4,0)*
OFFSET(MSP!$E$1,
MATCH(OFFSET($C107,((MATCH($C107,EL_List,0)-1)*-10)-1,0),MSP!$C:$C,0)+MATCH($C107,EL_List,0)-1,0)
*INDEX(Learning!$E$6:$S$41,(MATCH(AC$21,Dates,0)),(MATCH($C$86,Learning!$E$4:$S$4,0)+MATCH($C$107,Learning!$E$5:$S$5,0)-1)))</f>
        <v>4.0988088573016546</v>
      </c>
      <c r="AD113" s="533" cm="1">
        <f t="array" aca="1" ref="AD113" ca="1">IF(AD$21&lt;Standard_Year,'No STDs Case Rev &amp; Cost'!AD113,
OFFSET(AD113,-4,0)*
OFFSET(MSP!$E$1,
MATCH(OFFSET($C107,((MATCH($C107,EL_List,0)-1)*-10)-1,0),MSP!$C:$C,0)+MATCH($C107,EL_List,0)-1,0)
*INDEX(Learning!$E$6:$S$41,(MATCH(AD$21,Dates,0)),(MATCH($C$86,Learning!$E$4:$S$4,0)+MATCH($C$107,Learning!$E$5:$S$5,0)-1)))</f>
        <v>4.2833472641298549</v>
      </c>
      <c r="AE113" s="533" cm="1">
        <f t="array" aca="1" ref="AE113" ca="1">IF(AE$21&lt;Standard_Year,'No STDs Case Rev &amp; Cost'!AE113,
OFFSET(AE113,-4,0)*
OFFSET(MSP!$E$1,
MATCH(OFFSET($C107,((MATCH($C107,EL_List,0)-1)*-10)-1,0),MSP!$C:$C,0)+MATCH($C107,EL_List,0)-1,0)
*INDEX(Learning!$E$6:$S$41,(MATCH(AE$21,Dates,0)),(MATCH($C$86,Learning!$E$4:$S$4,0)+MATCH($C$107,Learning!$E$5:$S$5,0)-1)))</f>
        <v>4.4759718327565414</v>
      </c>
      <c r="AF113" s="533" cm="1">
        <f t="array" aca="1" ref="AF113" ca="1">IF(AF$21&lt;Standard_Year,'No STDs Case Rev &amp; Cost'!AF113,
OFFSET(AF113,-4,0)*
OFFSET(MSP!$E$1,
MATCH(OFFSET($C107,((MATCH($C107,EL_List,0)-1)*-10)-1,0),MSP!$C:$C,0)+MATCH($C107,EL_List,0)-1,0)
*INDEX(Learning!$E$6:$S$41,(MATCH(AF$21,Dates,0)),(MATCH($C$86,Learning!$E$4:$S$4,0)+MATCH($C$107,Learning!$E$5:$S$5,0)-1)))</f>
        <v>4.6718118957852424</v>
      </c>
      <c r="AG113" s="533" cm="1">
        <f t="array" aca="1" ref="AG113" ca="1">IF(AG$21&lt;Standard_Year,'No STDs Case Rev &amp; Cost'!AG113,
OFFSET(AG113,-4,0)*
OFFSET(MSP!$E$1,
MATCH(OFFSET($C107,((MATCH($C107,EL_List,0)-1)*-10)-1,0),MSP!$C:$C,0)+MATCH($C107,EL_List,0)-1,0)
*INDEX(Learning!$E$6:$S$41,(MATCH(AG$21,Dates,0)),(MATCH($C$86,Learning!$E$4:$S$4,0)+MATCH($C$107,Learning!$E$5:$S$5,0)-1)))</f>
        <v>4.8813697251461754</v>
      </c>
      <c r="AH113" s="533" cm="1">
        <f t="array" aca="1" ref="AH113" ca="1">IF(AH$21&lt;Standard_Year,'No STDs Case Rev &amp; Cost'!AH113,
OFFSET(AH113,-4,0)*
OFFSET(MSP!$E$1,
MATCH(OFFSET($C107,((MATCH($C107,EL_List,0)-1)*-10)-1,0),MSP!$C:$C,0)+MATCH($C107,EL_List,0)-1,0)
*INDEX(Learning!$E$6:$S$41,(MATCH(AH$21,Dates,0)),(MATCH($C$86,Learning!$E$4:$S$4,0)+MATCH($C$107,Learning!$E$5:$S$5,0)-1)))</f>
        <v>5.1057777709561201</v>
      </c>
      <c r="AI113" s="533" cm="1">
        <f t="array" aca="1" ref="AI113" ca="1">IF(AI$21&lt;Standard_Year,'No STDs Case Rev &amp; Cost'!AI113,
OFFSET(AI113,-4,0)*
OFFSET(MSP!$E$1,
MATCH(OFFSET($C107,((MATCH($C107,EL_List,0)-1)*-10)-1,0),MSP!$C:$C,0)+MATCH($C107,EL_List,0)-1,0)
*INDEX(Learning!$E$6:$S$41,(MATCH(AI$21,Dates,0)),(MATCH($C$86,Learning!$E$4:$S$4,0)+MATCH($C$107,Learning!$E$5:$S$5,0)-1)))</f>
        <v>5.3342248613825198</v>
      </c>
      <c r="AJ113" s="533" cm="1">
        <f t="array" aca="1" ref="AJ113" ca="1">IF(AJ$21&lt;Standard_Year,'No STDs Case Rev &amp; Cost'!AJ113,
OFFSET(AJ113,-4,0)*
OFFSET(MSP!$E$1,
MATCH(OFFSET($C107,((MATCH($C107,EL_List,0)-1)*-10)-1,0),MSP!$C:$C,0)+MATCH($C107,EL_List,0)-1,0)
*INDEX(Learning!$E$6:$S$41,(MATCH(AJ$21,Dates,0)),(MATCH($C$86,Learning!$E$4:$S$4,0)+MATCH($C$107,Learning!$E$5:$S$5,0)-1)))</f>
        <v>5.5725804454843209</v>
      </c>
      <c r="AK113" s="533" cm="1">
        <f t="array" aca="1" ref="AK113" ca="1">IF(AK$21&lt;Standard_Year,'No STDs Case Rev &amp; Cost'!AK113,
OFFSET(AK113,-4,0)*
OFFSET(MSP!$E$1,
MATCH(OFFSET($C107,((MATCH($C107,EL_List,0)-1)*-10)-1,0),MSP!$C:$C,0)+MATCH($C107,EL_List,0)-1,0)
*INDEX(Learning!$E$6:$S$41,(MATCH(AK$21,Dates,0)),(MATCH($C$86,Learning!$E$4:$S$4,0)+MATCH($C$107,Learning!$E$5:$S$5,0)-1)))</f>
        <v>5.8212711234334451</v>
      </c>
      <c r="AL113" s="533" cm="1">
        <f t="array" aca="1" ref="AL113" ca="1">IF(AL$21&lt;Standard_Year,'No STDs Case Rev &amp; Cost'!AL113,
OFFSET(AL113,-4,0)*
OFFSET(MSP!$E$1,
MATCH(OFFSET($C107,((MATCH($C107,EL_List,0)-1)*-10)-1,0),MSP!$C:$C,0)+MATCH($C107,EL_List,0)-1,0)
*INDEX(Learning!$E$6:$S$41,(MATCH(AL$21,Dates,0)),(MATCH($C$86,Learning!$E$4:$S$4,0)+MATCH($C$107,Learning!$E$5:$S$5,0)-1)))</f>
        <v>6.0807450606865476</v>
      </c>
      <c r="AM113" s="533" cm="1">
        <f t="array" aca="1" ref="AM113" ca="1">IF(AM$21&lt;Standard_Year,'No STDs Case Rev &amp; Cost'!AM113,
OFFSET(AM113,-4,0)*
OFFSET(MSP!$E$1,
MATCH(OFFSET($C107,((MATCH($C107,EL_List,0)-1)*-10)-1,0),MSP!$C:$C,0)+MATCH($C107,EL_List,0)-1,0)
*INDEX(Learning!$E$6:$S$41,(MATCH(AM$21,Dates,0)),(MATCH($C$86,Learning!$E$4:$S$4,0)+MATCH($C$107,Learning!$E$5:$S$5,0)-1)))</f>
        <v>6.3587710741281542</v>
      </c>
      <c r="AN113" s="533" cm="1">
        <f t="array" aca="1" ref="AN113" ca="1">IF(AN$21&lt;Standard_Year,'No STDs Case Rev &amp; Cost'!AN113,
OFFSET(AN113,-4,0)*
OFFSET(MSP!$E$1,
MATCH(OFFSET($C107,((MATCH($C107,EL_List,0)-1)*-10)-1,0),MSP!$C:$C,0)+MATCH($C107,EL_List,0)-1,0)
*INDEX(Learning!$E$6:$S$41,(MATCH(AN$21,Dates,0)),(MATCH($C$86,Learning!$E$4:$S$4,0)+MATCH($C$107,Learning!$E$5:$S$5,0)-1)))</f>
        <v>6.6403958018734714</v>
      </c>
      <c r="AO113" s="436"/>
      <c r="AP113" s="21"/>
    </row>
    <row r="114" spans="2:42" ht="15" customHeight="1" x14ac:dyDescent="0.35">
      <c r="B114" s="429"/>
      <c r="C114" s="780" t="s">
        <v>214</v>
      </c>
      <c r="D114" s="776"/>
      <c r="E114" s="533" cm="1">
        <f t="array" aca="1" ref="E114" ca="1">IF(E$21&lt;Standard_Year,'No STDs Case Rev &amp; Cost'!E114,
OFFSET(E114,-5,0)*
OFFSET(MSP!$F$1,
MATCH(OFFSET($C107,((MATCH($C107,EL_List,0)-1)*-10)-1,0),MSP!$C:$C,0)+MATCH($C107,EL_List,0)-1,0)
*INDEX(Learning!$E$6:$S$41,(MATCH(E$21,Dates,0)),(MATCH($C$86,Learning!$E$4:$S$4,0)+MATCH($C$107,Learning!$E$5:$S$5,0)-1)))</f>
        <v>1.2340166760216251</v>
      </c>
      <c r="F114" s="533" cm="1">
        <f t="array" aca="1" ref="F114" ca="1">IF(F$21&lt;Standard_Year,'No STDs Case Rev &amp; Cost'!F114,
OFFSET(F114,-5,0)*
OFFSET(MSP!$F$1,
MATCH(OFFSET($C107,((MATCH($C107,EL_List,0)-1)*-10)-1,0),MSP!$C:$C,0)+MATCH($C107,EL_List,0)-1,0)
*INDEX(Learning!$E$6:$S$41,(MATCH(F$21,Dates,0)),(MATCH($C$86,Learning!$E$4:$S$4,0)+MATCH($C$107,Learning!$E$5:$S$5,0)-1)))</f>
        <v>1.2793117188328333</v>
      </c>
      <c r="G114" s="533" cm="1">
        <f t="array" aca="1" ref="G114" ca="1">IF(G$21&lt;Standard_Year,'No STDs Case Rev &amp; Cost'!G114,
OFFSET(G114,-5,0)*
OFFSET(MSP!$F$1,
MATCH(OFFSET($C107,((MATCH($C107,EL_List,0)-1)*-10)-1,0),MSP!$C:$C,0)+MATCH($C107,EL_List,0)-1,0)
*INDEX(Learning!$E$6:$S$41,(MATCH(G$21,Dates,0)),(MATCH($C$86,Learning!$E$4:$S$4,0)+MATCH($C$107,Learning!$E$5:$S$5,0)-1)))</f>
        <v>1.3181151212410609</v>
      </c>
      <c r="H114" s="533" cm="1">
        <f t="array" aca="1" ref="H114" ca="1">IF(H$21&lt;Standard_Year,'No STDs Case Rev &amp; Cost'!H114,
OFFSET(H114,-5,0)*
OFFSET(MSP!$F$1,
MATCH(OFFSET($C107,((MATCH($C107,EL_List,0)-1)*-10)-1,0),MSP!$C:$C,0)+MATCH($C107,EL_List,0)-1,0)
*INDEX(Learning!$E$6:$S$41,(MATCH(H$21,Dates,0)),(MATCH($C$86,Learning!$E$4:$S$4,0)+MATCH($C$107,Learning!$E$5:$S$5,0)-1)))</f>
        <v>1.3706116014216594</v>
      </c>
      <c r="I114" s="533" cm="1">
        <f t="array" aca="1" ref="I114" ca="1">IF(I$21&lt;Standard_Year,'No STDs Case Rev &amp; Cost'!I114,
OFFSET(I114,-5,0)*
OFFSET(MSP!$F$1,
MATCH(OFFSET($C107,((MATCH($C107,EL_List,0)-1)*-10)-1,0),MSP!$C:$C,0)+MATCH($C107,EL_List,0)-1,0)
*INDEX(Learning!$E$6:$S$41,(MATCH(I$21,Dates,0)),(MATCH($C$86,Learning!$E$4:$S$4,0)+MATCH($C$107,Learning!$E$5:$S$5,0)-1)))</f>
        <v>4.4873531205306598</v>
      </c>
      <c r="J114" s="533" cm="1">
        <f t="array" aca="1" ref="J114" ca="1">IF(J$21&lt;Standard_Year,'No STDs Case Rev &amp; Cost'!J114,
OFFSET(J114,-5,0)*
OFFSET(MSP!$F$1,
MATCH(OFFSET($C107,((MATCH($C107,EL_List,0)-1)*-10)-1,0),MSP!$C:$C,0)+MATCH($C107,EL_List,0)-1,0)
*INDEX(Learning!$E$6:$S$41,(MATCH(J$21,Dates,0)),(MATCH($C$86,Learning!$E$4:$S$4,0)+MATCH($C$107,Learning!$E$5:$S$5,0)-1)))</f>
        <v>4.6872343370023639</v>
      </c>
      <c r="K114" s="533" cm="1">
        <f t="array" aca="1" ref="K114" ca="1">IF(K$21&lt;Standard_Year,'No STDs Case Rev &amp; Cost'!K114,
OFFSET(K114,-5,0)*
OFFSET(MSP!$F$1,
MATCH(OFFSET($C107,((MATCH($C107,EL_List,0)-1)*-10)-1,0),MSP!$C:$C,0)+MATCH($C107,EL_List,0)-1,0)
*INDEX(Learning!$E$6:$S$41,(MATCH(K$21,Dates,0)),(MATCH($C$86,Learning!$E$4:$S$4,0)+MATCH($C$107,Learning!$E$5:$S$5,0)-1)))</f>
        <v>4.9082538642105789</v>
      </c>
      <c r="L114" s="533" cm="1">
        <f t="array" aca="1" ref="L114" ca="1">IF(L$21&lt;Standard_Year,'No STDs Case Rev &amp; Cost'!L114,
OFFSET(L114,-5,0)*
OFFSET(MSP!$F$1,
MATCH(OFFSET($C107,((MATCH($C107,EL_List,0)-1)*-10)-1,0),MSP!$C:$C,0)+MATCH($C107,EL_List,0)-1,0)
*INDEX(Learning!$E$6:$S$41,(MATCH(L$21,Dates,0)),(MATCH($C$86,Learning!$E$4:$S$4,0)+MATCH($C$107,Learning!$E$5:$S$5,0)-1)))</f>
        <v>5.1383232440899729</v>
      </c>
      <c r="M114" s="533" cm="1">
        <f t="array" aca="1" ref="M114" ca="1">IF(M$21&lt;Standard_Year,'No STDs Case Rev &amp; Cost'!M114,
OFFSET(M114,-5,0)*
OFFSET(MSP!$F$1,
MATCH(OFFSET($C107,((MATCH($C107,EL_List,0)-1)*-10)-1,0),MSP!$C:$C,0)+MATCH($C107,EL_List,0)-1,0)
*INDEX(Learning!$E$6:$S$41,(MATCH(M$21,Dates,0)),(MATCH($C$86,Learning!$E$4:$S$4,0)+MATCH($C$107,Learning!$E$5:$S$5,0)-1)))</f>
        <v>5.3772403451163173</v>
      </c>
      <c r="N114" s="533" cm="1">
        <f t="array" aca="1" ref="N114" ca="1">IF(N$21&lt;Standard_Year,'No STDs Case Rev &amp; Cost'!N114,
OFFSET(N114,-5,0)*
OFFSET(MSP!$F$1,
MATCH(OFFSET($C107,((MATCH($C107,EL_List,0)-1)*-10)-1,0),MSP!$C:$C,0)+MATCH($C107,EL_List,0)-1,0)
*INDEX(Learning!$E$6:$S$41,(MATCH(N$21,Dates,0)),(MATCH($C$86,Learning!$E$4:$S$4,0)+MATCH($C$107,Learning!$E$5:$S$5,0)-1)))</f>
        <v>5.6227595753260635</v>
      </c>
      <c r="O114" s="533" cm="1">
        <f t="array" aca="1" ref="O114" ca="1">IF(O$21&lt;Standard_Year,'No STDs Case Rev &amp; Cost'!O114,
OFFSET(O114,-5,0)*
OFFSET(MSP!$F$1,
MATCH(OFFSET($C107,((MATCH($C107,EL_List,0)-1)*-10)-1,0),MSP!$C:$C,0)+MATCH($C107,EL_List,0)-1,0)
*INDEX(Learning!$E$6:$S$41,(MATCH(O$21,Dates,0)),(MATCH($C$86,Learning!$E$4:$S$4,0)+MATCH($C$107,Learning!$E$5:$S$5,0)-1)))</f>
        <v>5.8745865019500068</v>
      </c>
      <c r="P114" s="533" cm="1">
        <f t="array" aca="1" ref="P114" ca="1">IF(P$21&lt;Standard_Year,'No STDs Case Rev &amp; Cost'!P114,
OFFSET(P114,-5,0)*
OFFSET(MSP!$F$1,
MATCH(OFFSET($C107,((MATCH($C107,EL_List,0)-1)*-10)-1,0),MSP!$C:$C,0)+MATCH($C107,EL_List,0)-1,0)
*INDEX(Learning!$E$6:$S$41,(MATCH(P$21,Dates,0)),(MATCH($C$86,Learning!$E$4:$S$4,0)+MATCH($C$107,Learning!$E$5:$S$5,0)-1)))</f>
        <v>6.1400833856928285</v>
      </c>
      <c r="Q114" s="533" cm="1">
        <f t="array" aca="1" ref="Q114" ca="1">IF(Q$21&lt;Standard_Year,'No STDs Case Rev &amp; Cost'!Q114,
OFFSET(Q114,-5,0)*
OFFSET(MSP!$F$1,
MATCH(OFFSET($C107,((MATCH($C107,EL_List,0)-1)*-10)-1,0),MSP!$C:$C,0)+MATCH($C107,EL_List,0)-1,0)
*INDEX(Learning!$E$6:$S$41,(MATCH(Q$21,Dates,0)),(MATCH($C$86,Learning!$E$4:$S$4,0)+MATCH($C$107,Learning!$E$5:$S$5,0)-1)))</f>
        <v>6.4138702867462296</v>
      </c>
      <c r="R114" s="533" cm="1">
        <f t="array" aca="1" ref="R114" ca="1">IF(R$21&lt;Standard_Year,'No STDs Case Rev &amp; Cost'!R114,
OFFSET(R114,-5,0)*
OFFSET(MSP!$F$1,
MATCH(OFFSET($C107,((MATCH($C107,EL_List,0)-1)*-10)-1,0),MSP!$C:$C,0)+MATCH($C107,EL_List,0)-1,0)
*INDEX(Learning!$E$6:$S$41,(MATCH(R$21,Dates,0)),(MATCH($C$86,Learning!$E$4:$S$4,0)+MATCH($C$107,Learning!$E$5:$S$5,0)-1)))</f>
        <v>6.6921628369272748</v>
      </c>
      <c r="S114" s="533" cm="1">
        <f t="array" aca="1" ref="S114" ca="1">IF(S$21&lt;Standard_Year,'No STDs Case Rev &amp; Cost'!S114,
OFFSET(S114,-5,0)*
OFFSET(MSP!$F$1,
MATCH(OFFSET($C107,((MATCH($C107,EL_List,0)-1)*-10)-1,0),MSP!$C:$C,0)+MATCH($C107,EL_List,0)-1,0)
*INDEX(Learning!$E$6:$S$41,(MATCH(S$21,Dates,0)),(MATCH($C$86,Learning!$E$4:$S$4,0)+MATCH($C$107,Learning!$E$5:$S$5,0)-1)))</f>
        <v>6.990118758421147</v>
      </c>
      <c r="T114" s="533" cm="1">
        <f t="array" aca="1" ref="T114" ca="1">IF(T$21&lt;Standard_Year,'No STDs Case Rev &amp; Cost'!T114,
OFFSET(T114,-5,0)*
OFFSET(MSP!$F$1,
MATCH(OFFSET($C107,((MATCH($C107,EL_List,0)-1)*-10)-1,0),MSP!$C:$C,0)+MATCH($C107,EL_List,0)-1,0)
*INDEX(Learning!$E$6:$S$41,(MATCH(T$21,Dates,0)),(MATCH($C$86,Learning!$E$4:$S$4,0)+MATCH($C$107,Learning!$E$5:$S$5,0)-1)))</f>
        <v>7.3019696414478519</v>
      </c>
      <c r="U114" s="533" cm="1">
        <f t="array" aca="1" ref="U114" ca="1">IF(U$21&lt;Standard_Year,'No STDs Case Rev &amp; Cost'!U114,
OFFSET(U114,-5,0)*
OFFSET(MSP!$F$1,
MATCH(OFFSET($C107,((MATCH($C107,EL_List,0)-1)*-10)-1,0),MSP!$C:$C,0)+MATCH($C107,EL_List,0)-1,0)
*INDEX(Learning!$E$6:$S$41,(MATCH(U$21,Dates,0)),(MATCH($C$86,Learning!$E$4:$S$4,0)+MATCH($C$107,Learning!$E$5:$S$5,0)-1)))</f>
        <v>7.6367605970888377</v>
      </c>
      <c r="V114" s="533" cm="1">
        <f t="array" aca="1" ref="V114" ca="1">IF(V$21&lt;Standard_Year,'No STDs Case Rev &amp; Cost'!V114,
OFFSET(V114,-5,0)*
OFFSET(MSP!$F$1,
MATCH(OFFSET($C107,((MATCH($C107,EL_List,0)-1)*-10)-1,0),MSP!$C:$C,0)+MATCH($C107,EL_List,0)-1,0)
*INDEX(Learning!$E$6:$S$41,(MATCH(V$21,Dates,0)),(MATCH($C$86,Learning!$E$4:$S$4,0)+MATCH($C$107,Learning!$E$5:$S$5,0)-1)))</f>
        <v>7.9777315276216196</v>
      </c>
      <c r="W114" s="533" cm="1">
        <f t="array" aca="1" ref="W114" ca="1">IF(W$21&lt;Standard_Year,'No STDs Case Rev &amp; Cost'!W114,
OFFSET(W114,-5,0)*
OFFSET(MSP!$F$1,
MATCH(OFFSET($C107,((MATCH($C107,EL_List,0)-1)*-10)-1,0),MSP!$C:$C,0)+MATCH($C107,EL_List,0)-1,0)
*INDEX(Learning!$E$6:$S$41,(MATCH(W$21,Dates,0)),(MATCH($C$86,Learning!$E$4:$S$4,0)+MATCH($C$107,Learning!$E$5:$S$5,0)-1)))</f>
        <v>8.3334395569131967</v>
      </c>
      <c r="X114" s="533" cm="1">
        <f t="array" aca="1" ref="X114" ca="1">IF(X$21&lt;Standard_Year,'No STDs Case Rev &amp; Cost'!X114,
OFFSET(X114,-5,0)*
OFFSET(MSP!$F$1,
MATCH(OFFSET($C107,((MATCH($C107,EL_List,0)-1)*-10)-1,0),MSP!$C:$C,0)+MATCH($C107,EL_List,0)-1,0)
*INDEX(Learning!$E$6:$S$41,(MATCH(X$21,Dates,0)),(MATCH($C$86,Learning!$E$4:$S$4,0)+MATCH($C$107,Learning!$E$5:$S$5,0)-1)))</f>
        <v>8.7134121261760171</v>
      </c>
      <c r="Y114" s="533" cm="1">
        <f t="array" aca="1" ref="Y114" ca="1">IF(Y$21&lt;Standard_Year,'No STDs Case Rev &amp; Cost'!Y114,
OFFSET(Y114,-5,0)*
OFFSET(MSP!$F$1,
MATCH(OFFSET($C107,((MATCH($C107,EL_List,0)-1)*-10)-1,0),MSP!$C:$C,0)+MATCH($C107,EL_List,0)-1,0)
*INDEX(Learning!$E$6:$S$41,(MATCH(Y$21,Dates,0)),(MATCH($C$86,Learning!$E$4:$S$4,0)+MATCH($C$107,Learning!$E$5:$S$5,0)-1)))</f>
        <v>9.099813863879092</v>
      </c>
      <c r="Z114" s="533" cm="1">
        <f t="array" aca="1" ref="Z114" ca="1">IF(Z$21&lt;Standard_Year,'No STDs Case Rev &amp; Cost'!Z114,
OFFSET(Z114,-5,0)*
OFFSET(MSP!$F$1,
MATCH(OFFSET($C107,((MATCH($C107,EL_List,0)-1)*-10)-1,0),MSP!$C:$C,0)+MATCH($C107,EL_List,0)-1,0)
*INDEX(Learning!$E$6:$S$41,(MATCH(Z$21,Dates,0)),(MATCH($C$86,Learning!$E$4:$S$4,0)+MATCH($C$107,Learning!$E$5:$S$5,0)-1)))</f>
        <v>9.5124738035491845</v>
      </c>
      <c r="AA114" s="533" cm="1">
        <f t="array" aca="1" ref="AA114" ca="1">IF(AA$21&lt;Standard_Year,'No STDs Case Rev &amp; Cost'!AA114,
OFFSET(AA114,-5,0)*
OFFSET(MSP!$F$1,
MATCH(OFFSET($C107,((MATCH($C107,EL_List,0)-1)*-10)-1,0),MSP!$C:$C,0)+MATCH($C107,EL_List,0)-1,0)
*INDEX(Learning!$E$6:$S$41,(MATCH(AA$21,Dates,0)),(MATCH($C$86,Learning!$E$4:$S$4,0)+MATCH($C$107,Learning!$E$5:$S$5,0)-1)))</f>
        <v>9.9318714012999045</v>
      </c>
      <c r="AB114" s="533" cm="1">
        <f t="array" aca="1" ref="AB114" ca="1">IF(AB$21&lt;Standard_Year,'No STDs Case Rev &amp; Cost'!AB114,
OFFSET(AB114,-5,0)*
OFFSET(MSP!$F$1,
MATCH(OFFSET($C107,((MATCH($C107,EL_List,0)-1)*-10)-1,0),MSP!$C:$C,0)+MATCH($C107,EL_List,0)-1,0)
*INDEX(Learning!$E$6:$S$41,(MATCH(AB$21,Dates,0)),(MATCH($C$86,Learning!$E$4:$S$4,0)+MATCH($C$107,Learning!$E$5:$S$5,0)-1)))</f>
        <v>10.380208861471672</v>
      </c>
      <c r="AC114" s="533" cm="1">
        <f t="array" aca="1" ref="AC114" ca="1">IF(AC$21&lt;Standard_Year,'No STDs Case Rev &amp; Cost'!AC114,
OFFSET(AC114,-5,0)*
OFFSET(MSP!$F$1,
MATCH(OFFSET($C107,((MATCH($C107,EL_List,0)-1)*-10)-1,0),MSP!$C:$C,0)+MATCH($C107,EL_List,0)-1,0)
*INDEX(Learning!$E$6:$S$41,(MATCH(AC$21,Dates,0)),(MATCH($C$86,Learning!$E$4:$S$4,0)+MATCH($C$107,Learning!$E$5:$S$5,0)-1)))</f>
        <v>10.848119679837602</v>
      </c>
      <c r="AD114" s="533" cm="1">
        <f t="array" aca="1" ref="AD114" ca="1">IF(AD$21&lt;Standard_Year,'No STDs Case Rev &amp; Cost'!AD114,
OFFSET(AD114,-5,0)*
OFFSET(MSP!$F$1,
MATCH(OFFSET($C107,((MATCH($C107,EL_List,0)-1)*-10)-1,0),MSP!$C:$C,0)+MATCH($C107,EL_List,0)-1,0)
*INDEX(Learning!$E$6:$S$41,(MATCH(AD$21,Dates,0)),(MATCH($C$86,Learning!$E$4:$S$4,0)+MATCH($C$107,Learning!$E$5:$S$5,0)-1)))</f>
        <v>11.336528579226187</v>
      </c>
      <c r="AE114" s="533" cm="1">
        <f t="array" aca="1" ref="AE114" ca="1">IF(AE$21&lt;Standard_Year,'No STDs Case Rev &amp; Cost'!AE114,
OFFSET(AE114,-5,0)*
OFFSET(MSP!$F$1,
MATCH(OFFSET($C107,((MATCH($C107,EL_List,0)-1)*-10)-1,0),MSP!$C:$C,0)+MATCH($C107,EL_List,0)-1,0)
*INDEX(Learning!$E$6:$S$41,(MATCH(AE$21,Dates,0)),(MATCH($C$86,Learning!$E$4:$S$4,0)+MATCH($C$107,Learning!$E$5:$S$5,0)-1)))</f>
        <v>11.846338732977786</v>
      </c>
      <c r="AF114" s="533" cm="1">
        <f t="array" aca="1" ref="AF114" ca="1">IF(AF$21&lt;Standard_Year,'No STDs Case Rev &amp; Cost'!AF114,
OFFSET(AF114,-5,0)*
OFFSET(MSP!$F$1,
MATCH(OFFSET($C107,((MATCH($C107,EL_List,0)-1)*-10)-1,0),MSP!$C:$C,0)+MATCH($C107,EL_List,0)-1,0)
*INDEX(Learning!$E$6:$S$41,(MATCH(AF$21,Dates,0)),(MATCH($C$86,Learning!$E$4:$S$4,0)+MATCH($C$107,Learning!$E$5:$S$5,0)-1)))</f>
        <v>12.364659180650698</v>
      </c>
      <c r="AG114" s="533" cm="1">
        <f t="array" aca="1" ref="AG114" ca="1">IF(AG$21&lt;Standard_Year,'No STDs Case Rev &amp; Cost'!AG114,
OFFSET(AG114,-5,0)*
OFFSET(MSP!$F$1,
MATCH(OFFSET($C107,((MATCH($C107,EL_List,0)-1)*-10)-1,0),MSP!$C:$C,0)+MATCH($C107,EL_List,0)-1,0)
*INDEX(Learning!$E$6:$S$41,(MATCH(AG$21,Dates,0)),(MATCH($C$86,Learning!$E$4:$S$4,0)+MATCH($C$107,Learning!$E$5:$S$5,0)-1)))</f>
        <v>12.919285778742655</v>
      </c>
      <c r="AH114" s="533" cm="1">
        <f t="array" aca="1" ref="AH114" ca="1">IF(AH$21&lt;Standard_Year,'No STDs Case Rev &amp; Cost'!AH114,
OFFSET(AH114,-5,0)*
OFFSET(MSP!$F$1,
MATCH(OFFSET($C107,((MATCH($C107,EL_List,0)-1)*-10)-1,0),MSP!$C:$C,0)+MATCH($C107,EL_List,0)-1,0)
*INDEX(Learning!$E$6:$S$41,(MATCH(AH$21,Dates,0)),(MATCH($C$86,Learning!$E$4:$S$4,0)+MATCH($C$107,Learning!$E$5:$S$5,0)-1)))</f>
        <v>13.513215728349374</v>
      </c>
      <c r="AI114" s="533" cm="1">
        <f t="array" aca="1" ref="AI114" ca="1">IF(AI$21&lt;Standard_Year,'No STDs Case Rev &amp; Cost'!AI114,
OFFSET(AI114,-5,0)*
OFFSET(MSP!$F$1,
MATCH(OFFSET($C107,((MATCH($C107,EL_List,0)-1)*-10)-1,0),MSP!$C:$C,0)+MATCH($C107,EL_List,0)-1,0)
*INDEX(Learning!$E$6:$S$41,(MATCH(AI$21,Dates,0)),(MATCH($C$86,Learning!$E$4:$S$4,0)+MATCH($C$107,Learning!$E$5:$S$5,0)-1)))</f>
        <v>14.117835622502659</v>
      </c>
      <c r="AJ114" s="533" cm="1">
        <f t="array" aca="1" ref="AJ114" ca="1">IF(AJ$21&lt;Standard_Year,'No STDs Case Rev &amp; Cost'!AJ114,
OFFSET(AJ114,-5,0)*
OFFSET(MSP!$F$1,
MATCH(OFFSET($C107,((MATCH($C107,EL_List,0)-1)*-10)-1,0),MSP!$C:$C,0)+MATCH($C107,EL_List,0)-1,0)
*INDEX(Learning!$E$6:$S$41,(MATCH(AJ$21,Dates,0)),(MATCH($C$86,Learning!$E$4:$S$4,0)+MATCH($C$107,Learning!$E$5:$S$5,0)-1)))</f>
        <v>14.748679848889971</v>
      </c>
      <c r="AK114" s="533" cm="1">
        <f t="array" aca="1" ref="AK114" ca="1">IF(AK$21&lt;Standard_Year,'No STDs Case Rev &amp; Cost'!AK114,
OFFSET(AK114,-5,0)*
OFFSET(MSP!$F$1,
MATCH(OFFSET($C107,((MATCH($C107,EL_List,0)-1)*-10)-1,0),MSP!$C:$C,0)+MATCH($C107,EL_List,0)-1,0)
*INDEX(Learning!$E$6:$S$41,(MATCH(AK$21,Dates,0)),(MATCH($C$86,Learning!$E$4:$S$4,0)+MATCH($C$107,Learning!$E$5:$S$5,0)-1)))</f>
        <v>15.406877469607544</v>
      </c>
      <c r="AL114" s="533" cm="1">
        <f t="array" aca="1" ref="AL114" ca="1">IF(AL$21&lt;Standard_Year,'No STDs Case Rev &amp; Cost'!AL114,
OFFSET(AL114,-5,0)*
OFFSET(MSP!$F$1,
MATCH(OFFSET($C107,((MATCH($C107,EL_List,0)-1)*-10)-1,0),MSP!$C:$C,0)+MATCH($C107,EL_List,0)-1,0)
*INDEX(Learning!$E$6:$S$41,(MATCH(AL$21,Dates,0)),(MATCH($C$86,Learning!$E$4:$S$4,0)+MATCH($C$107,Learning!$E$5:$S$5,0)-1)))</f>
        <v>16.093614622550408</v>
      </c>
      <c r="AM114" s="533" cm="1">
        <f t="array" aca="1" ref="AM114" ca="1">IF(AM$21&lt;Standard_Year,'No STDs Case Rev &amp; Cost'!AM114,
OFFSET(AM114,-5,0)*
OFFSET(MSP!$F$1,
MATCH(OFFSET($C107,((MATCH($C107,EL_List,0)-1)*-10)-1,0),MSP!$C:$C,0)+MATCH($C107,EL_List,0)-1,0)
*INDEX(Learning!$E$6:$S$41,(MATCH(AM$21,Dates,0)),(MATCH($C$86,Learning!$E$4:$S$4,0)+MATCH($C$107,Learning!$E$5:$S$5,0)-1)))</f>
        <v>16.829452660606233</v>
      </c>
      <c r="AN114" s="533" cm="1">
        <f t="array" aca="1" ref="AN114" ca="1">IF(AN$21&lt;Standard_Year,'No STDs Case Rev &amp; Cost'!AN114,
OFFSET(AN114,-5,0)*
OFFSET(MSP!$F$1,
MATCH(OFFSET($C107,((MATCH($C107,EL_List,0)-1)*-10)-1,0),MSP!$C:$C,0)+MATCH($C107,EL_List,0)-1,0)
*INDEX(Learning!$E$6:$S$41,(MATCH(AN$21,Dates,0)),(MATCH($C$86,Learning!$E$4:$S$4,0)+MATCH($C$107,Learning!$E$5:$S$5,0)-1)))</f>
        <v>17.574815242211006</v>
      </c>
      <c r="AO114" s="436"/>
      <c r="AP114" s="21"/>
    </row>
    <row r="115" spans="2:42" ht="15" customHeight="1" collapsed="1" x14ac:dyDescent="0.35">
      <c r="B115" s="429"/>
      <c r="C115" s="780" t="s">
        <v>215</v>
      </c>
      <c r="D115" s="776"/>
      <c r="E115" s="531" cm="1">
        <f t="array" aca="1" ref="E115" ca="1">IF(E$21&lt;Standard_Year,'No STDs Case Rev &amp; Cost'!E115,
OFFSET(E115,-6,0)*
OFFSET(MSP!$G$1,
MATCH(OFFSET($C107,((MATCH($C107,EL_List,0)-1)*-10)-1,0),MSP!$C:$C,0)+MATCH($C107,EL_List,0)-1,0)
*INDEX(Learning!$E$6:$S$41,(MATCH(E$21,Dates,0)),(MATCH($C$86,Learning!$E$4:$S$4,0)+MATCH($C$107,Learning!$E$5:$S$5,0)-1)))</f>
        <v>0.71393503577569228</v>
      </c>
      <c r="F115" s="531" cm="1">
        <f t="array" aca="1" ref="F115" ca="1">IF(F$21&lt;Standard_Year,'No STDs Case Rev &amp; Cost'!F115,
OFFSET(F115,-6,0)*
OFFSET(MSP!$G$1,
MATCH(OFFSET($C107,((MATCH($C107,EL_List,0)-1)*-10)-1,0),MSP!$C:$C,0)+MATCH($C107,EL_List,0)-1,0)
*INDEX(Learning!$E$6:$S$41,(MATCH(F$21,Dates,0)),(MATCH($C$86,Learning!$E$4:$S$4,0)+MATCH($C$107,Learning!$E$5:$S$5,0)-1)))</f>
        <v>0.74014028781015895</v>
      </c>
      <c r="G115" s="531" cm="1">
        <f t="array" aca="1" ref="G115" ca="1">IF(G$21&lt;Standard_Year,'No STDs Case Rev &amp; Cost'!G115,
OFFSET(G115,-6,0)*
OFFSET(MSP!$G$1,
MATCH(OFFSET($C107,((MATCH($C107,EL_List,0)-1)*-10)-1,0),MSP!$C:$C,0)+MATCH($C107,EL_List,0)-1,0)
*INDEX(Learning!$E$6:$S$41,(MATCH(G$21,Dates,0)),(MATCH($C$86,Learning!$E$4:$S$4,0)+MATCH($C$107,Learning!$E$5:$S$5,0)-1)))</f>
        <v>0.76258982923438789</v>
      </c>
      <c r="H115" s="531" cm="1">
        <f t="array" aca="1" ref="H115" ca="1">IF(H$21&lt;Standard_Year,'No STDs Case Rev &amp; Cost'!H115,
OFFSET(H115,-6,0)*
OFFSET(MSP!$G$1,
MATCH(OFFSET($C107,((MATCH($C107,EL_List,0)-1)*-10)-1,0),MSP!$C:$C,0)+MATCH($C107,EL_List,0)-1,0)
*INDEX(Learning!$E$6:$S$41,(MATCH(H$21,Dates,0)),(MATCH($C$86,Learning!$E$4:$S$4,0)+MATCH($C$107,Learning!$E$5:$S$5,0)-1)))</f>
        <v>0.79296144185850825</v>
      </c>
      <c r="I115" s="531" cm="1">
        <f t="array" aca="1" ref="I115" ca="1">IF(I$21&lt;Standard_Year,'No STDs Case Rev &amp; Cost'!I115,
OFFSET(I115,-6,0)*
OFFSET(MSP!$G$1,
MATCH(OFFSET($C107,((MATCH($C107,EL_List,0)-1)*-10)-1,0),MSP!$C:$C,0)+MATCH($C107,EL_List,0)-1,0)
*INDEX(Learning!$E$6:$S$41,(MATCH(I$21,Dates,0)),(MATCH($C$86,Learning!$E$4:$S$4,0)+MATCH($C$107,Learning!$E$5:$S$5,0)-1)))</f>
        <v>2.5961388309375484</v>
      </c>
      <c r="J115" s="531" cm="1">
        <f t="array" aca="1" ref="J115" ca="1">IF(J$21&lt;Standard_Year,'No STDs Case Rev &amp; Cost'!J115,
OFFSET(J115,-6,0)*
OFFSET(MSP!$G$1,
MATCH(OFFSET($C107,((MATCH($C107,EL_List,0)-1)*-10)-1,0),MSP!$C:$C,0)+MATCH($C107,EL_List,0)-1,0)
*INDEX(Learning!$E$6:$S$41,(MATCH(J$21,Dates,0)),(MATCH($C$86,Learning!$E$4:$S$4,0)+MATCH($C$107,Learning!$E$5:$S$5,0)-1)))</f>
        <v>2.7117792482880465</v>
      </c>
      <c r="K115" s="531" cm="1">
        <f t="array" aca="1" ref="K115" ca="1">IF(K$21&lt;Standard_Year,'No STDs Case Rev &amp; Cost'!K115,
OFFSET(K115,-6,0)*
OFFSET(MSP!$G$1,
MATCH(OFFSET($C107,((MATCH($C107,EL_List,0)-1)*-10)-1,0),MSP!$C:$C,0)+MATCH($C107,EL_List,0)-1,0)
*INDEX(Learning!$E$6:$S$41,(MATCH(K$21,Dates,0)),(MATCH($C$86,Learning!$E$4:$S$4,0)+MATCH($C$107,Learning!$E$5:$S$5,0)-1)))</f>
        <v>2.839649144319953</v>
      </c>
      <c r="L115" s="531" cm="1">
        <f t="array" aca="1" ref="L115" ca="1">IF(L$21&lt;Standard_Year,'No STDs Case Rev &amp; Cost'!L115,
OFFSET(L115,-6,0)*
OFFSET(MSP!$G$1,
MATCH(OFFSET($C107,((MATCH($C107,EL_List,0)-1)*-10)-1,0),MSP!$C:$C,0)+MATCH($C107,EL_List,0)-1,0)
*INDEX(Learning!$E$6:$S$41,(MATCH(L$21,Dates,0)),(MATCH($C$86,Learning!$E$4:$S$4,0)+MATCH($C$107,Learning!$E$5:$S$5,0)-1)))</f>
        <v>2.9727547936573915</v>
      </c>
      <c r="M115" s="531" cm="1">
        <f t="array" aca="1" ref="M115" ca="1">IF(M$21&lt;Standard_Year,'No STDs Case Rev &amp; Cost'!M115,
OFFSET(M115,-6,0)*
OFFSET(MSP!$G$1,
MATCH(OFFSET($C107,((MATCH($C107,EL_List,0)-1)*-10)-1,0),MSP!$C:$C,0)+MATCH($C107,EL_List,0)-1,0)
*INDEX(Learning!$E$6:$S$41,(MATCH(M$21,Dates,0)),(MATCH($C$86,Learning!$E$4:$S$4,0)+MATCH($C$107,Learning!$E$5:$S$5,0)-1)))</f>
        <v>3.1109792539771477</v>
      </c>
      <c r="N115" s="531" cm="1">
        <f t="array" aca="1" ref="N115" ca="1">IF(N$21&lt;Standard_Year,'No STDs Case Rev &amp; Cost'!N115,
OFFSET(N115,-6,0)*
OFFSET(MSP!$G$1,
MATCH(OFFSET($C107,((MATCH($C107,EL_List,0)-1)*-10)-1,0),MSP!$C:$C,0)+MATCH($C107,EL_List,0)-1,0)
*INDEX(Learning!$E$6:$S$41,(MATCH(N$21,Dates,0)),(MATCH($C$86,Learning!$E$4:$S$4,0)+MATCH($C$107,Learning!$E$5:$S$5,0)-1)))</f>
        <v>3.2530233477154269</v>
      </c>
      <c r="O115" s="531" cm="1">
        <f t="array" aca="1" ref="O115" ca="1">IF(O$21&lt;Standard_Year,'No STDs Case Rev &amp; Cost'!O115,
OFFSET(O115,-6,0)*
OFFSET(MSP!$G$1,
MATCH(OFFSET($C107,((MATCH($C107,EL_List,0)-1)*-10)-1,0),MSP!$C:$C,0)+MATCH($C107,EL_List,0)-1,0)
*INDEX(Learning!$E$6:$S$41,(MATCH(O$21,Dates,0)),(MATCH($C$86,Learning!$E$4:$S$4,0)+MATCH($C$107,Learning!$E$5:$S$5,0)-1)))</f>
        <v>3.3987167320610667</v>
      </c>
      <c r="P115" s="531" cm="1">
        <f t="array" aca="1" ref="P115" ca="1">IF(P$21&lt;Standard_Year,'No STDs Case Rev &amp; Cost'!P115,
OFFSET(P115,-6,0)*
OFFSET(MSP!$G$1,
MATCH(OFFSET($C107,((MATCH($C107,EL_List,0)-1)*-10)-1,0),MSP!$C:$C,0)+MATCH($C107,EL_List,0)-1,0)
*INDEX(Learning!$E$6:$S$41,(MATCH(P$21,Dates,0)),(MATCH($C$86,Learning!$E$4:$S$4,0)+MATCH($C$107,Learning!$E$5:$S$5,0)-1)))</f>
        <v>3.5523188112520487</v>
      </c>
      <c r="Q115" s="531" cm="1">
        <f t="array" aca="1" ref="Q115" ca="1">IF(Q$21&lt;Standard_Year,'No STDs Case Rev &amp; Cost'!Q115,
OFFSET(Q115,-6,0)*
OFFSET(MSP!$G$1,
MATCH(OFFSET($C107,((MATCH($C107,EL_List,0)-1)*-10)-1,0),MSP!$C:$C,0)+MATCH($C107,EL_List,0)-1,0)
*INDEX(Learning!$E$6:$S$41,(MATCH(Q$21,Dates,0)),(MATCH($C$86,Learning!$E$4:$S$4,0)+MATCH($C$107,Learning!$E$5:$S$5,0)-1)))</f>
        <v>3.7107170442715924</v>
      </c>
      <c r="R115" s="531" cm="1">
        <f t="array" aca="1" ref="R115" ca="1">IF(R$21&lt;Standard_Year,'No STDs Case Rev &amp; Cost'!R115,
OFFSET(R115,-6,0)*
OFFSET(MSP!$G$1,
MATCH(OFFSET($C107,((MATCH($C107,EL_List,0)-1)*-10)-1,0),MSP!$C:$C,0)+MATCH($C107,EL_List,0)-1,0)
*INDEX(Learning!$E$6:$S$41,(MATCH(R$21,Dates,0)),(MATCH($C$86,Learning!$E$4:$S$4,0)+MATCH($C$107,Learning!$E$5:$S$5,0)-1)))</f>
        <v>3.8717220011982292</v>
      </c>
      <c r="S115" s="531" cm="1">
        <f t="array" aca="1" ref="S115" ca="1">IF(S$21&lt;Standard_Year,'No STDs Case Rev &amp; Cost'!S115,
OFFSET(S115,-6,0)*
OFFSET(MSP!$G$1,
MATCH(OFFSET($C107,((MATCH($C107,EL_List,0)-1)*-10)-1,0),MSP!$C:$C,0)+MATCH($C107,EL_List,0)-1,0)
*INDEX(Learning!$E$6:$S$41,(MATCH(S$21,Dates,0)),(MATCH($C$86,Learning!$E$4:$S$4,0)+MATCH($C$107,Learning!$E$5:$S$5,0)-1)))</f>
        <v>4.044103116951951</v>
      </c>
      <c r="T115" s="531" cm="1">
        <f t="array" aca="1" ref="T115" ca="1">IF(T$21&lt;Standard_Year,'No STDs Case Rev &amp; Cost'!T115,
OFFSET(T115,-6,0)*
OFFSET(MSP!$G$1,
MATCH(OFFSET($C107,((MATCH($C107,EL_List,0)-1)*-10)-1,0),MSP!$C:$C,0)+MATCH($C107,EL_List,0)-1,0)
*INDEX(Learning!$E$6:$S$41,(MATCH(T$21,Dates,0)),(MATCH($C$86,Learning!$E$4:$S$4,0)+MATCH($C$107,Learning!$E$5:$S$5,0)-1)))</f>
        <v>4.2245231028861205</v>
      </c>
      <c r="U115" s="531" cm="1">
        <f t="array" aca="1" ref="U115" ca="1">IF(U$21&lt;Standard_Year,'No STDs Case Rev &amp; Cost'!U115,
OFFSET(U115,-6,0)*
OFFSET(MSP!$G$1,
MATCH(OFFSET($C107,((MATCH($C107,EL_List,0)-1)*-10)-1,0),MSP!$C:$C,0)+MATCH($C107,EL_List,0)-1,0)
*INDEX(Learning!$E$6:$S$41,(MATCH(U$21,Dates,0)),(MATCH($C$86,Learning!$E$4:$S$4,0)+MATCH($C$107,Learning!$E$5:$S$5,0)-1)))</f>
        <v>4.4182149690799415</v>
      </c>
      <c r="V115" s="531" cm="1">
        <f t="array" aca="1" ref="V115" ca="1">IF(V$21&lt;Standard_Year,'No STDs Case Rev &amp; Cost'!V115,
OFFSET(V115,-6,0)*
OFFSET(MSP!$G$1,
MATCH(OFFSET($C107,((MATCH($C107,EL_List,0)-1)*-10)-1,0),MSP!$C:$C,0)+MATCH($C107,EL_List,0)-1,0)
*INDEX(Learning!$E$6:$S$41,(MATCH(V$21,Dates,0)),(MATCH($C$86,Learning!$E$4:$S$4,0)+MATCH($C$107,Learning!$E$5:$S$5,0)-1)))</f>
        <v>4.6154822331441485</v>
      </c>
      <c r="W115" s="531" cm="1">
        <f t="array" aca="1" ref="W115" ca="1">IF(W$21&lt;Standard_Year,'No STDs Case Rev &amp; Cost'!W115,
OFFSET(W115,-6,0)*
OFFSET(MSP!$G$1,
MATCH(OFFSET($C107,((MATCH($C107,EL_List,0)-1)*-10)-1,0),MSP!$C:$C,0)+MATCH($C107,EL_List,0)-1,0)
*INDEX(Learning!$E$6:$S$41,(MATCH(W$21,Dates,0)),(MATCH($C$86,Learning!$E$4:$S$4,0)+MATCH($C$107,Learning!$E$5:$S$5,0)-1)))</f>
        <v>4.8212755822556916</v>
      </c>
      <c r="X115" s="531" cm="1">
        <f t="array" aca="1" ref="X115" ca="1">IF(X$21&lt;Standard_Year,'No STDs Case Rev &amp; Cost'!X115,
OFFSET(X115,-6,0)*
OFFSET(MSP!$G$1,
MATCH(OFFSET($C107,((MATCH($C107,EL_List,0)-1)*-10)-1,0),MSP!$C:$C,0)+MATCH($C107,EL_List,0)-1,0)
*INDEX(Learning!$E$6:$S$41,(MATCH(X$21,Dates,0)),(MATCH($C$86,Learning!$E$4:$S$4,0)+MATCH($C$107,Learning!$E$5:$S$5,0)-1)))</f>
        <v>5.0411070765147521</v>
      </c>
      <c r="Y115" s="531" cm="1">
        <f t="array" aca="1" ref="Y115" ca="1">IF(Y$21&lt;Standard_Year,'No STDs Case Rev &amp; Cost'!Y115,
OFFSET(Y115,-6,0)*
OFFSET(MSP!$G$1,
MATCH(OFFSET($C107,((MATCH($C107,EL_List,0)-1)*-10)-1,0),MSP!$C:$C,0)+MATCH($C107,EL_List,0)-1,0)
*INDEX(Learning!$E$6:$S$41,(MATCH(Y$21,Dates,0)),(MATCH($C$86,Learning!$E$4:$S$4,0)+MATCH($C$107,Learning!$E$5:$S$5,0)-1)))</f>
        <v>5.264658138498941</v>
      </c>
      <c r="Z115" s="531" cm="1">
        <f t="array" aca="1" ref="Z115" ca="1">IF(Z$21&lt;Standard_Year,'No STDs Case Rev &amp; Cost'!Z115,
OFFSET(Z115,-6,0)*
OFFSET(MSP!$G$1,
MATCH(OFFSET($C107,((MATCH($C107,EL_List,0)-1)*-10)-1,0),MSP!$C:$C,0)+MATCH($C107,EL_List,0)-1,0)
*INDEX(Learning!$E$6:$S$41,(MATCH(Z$21,Dates,0)),(MATCH($C$86,Learning!$E$4:$S$4,0)+MATCH($C$107,Learning!$E$5:$S$5,0)-1)))</f>
        <v>5.5034007701960848</v>
      </c>
      <c r="AA115" s="531" cm="1">
        <f t="array" aca="1" ref="AA115" ca="1">IF(AA$21&lt;Standard_Year,'No STDs Case Rev &amp; Cost'!AA115,
OFFSET(AA115,-6,0)*
OFFSET(MSP!$G$1,
MATCH(OFFSET($C107,((MATCH($C107,EL_List,0)-1)*-10)-1,0),MSP!$C:$C,0)+MATCH($C107,EL_List,0)-1,0)
*INDEX(Learning!$E$6:$S$41,(MATCH(AA$21,Dates,0)),(MATCH($C$86,Learning!$E$4:$S$4,0)+MATCH($C$107,Learning!$E$5:$S$5,0)-1)))</f>
        <v>5.746041444971822</v>
      </c>
      <c r="AB115" s="531" cm="1">
        <f t="array" aca="1" ref="AB115" ca="1">IF(AB$21&lt;Standard_Year,'No STDs Case Rev &amp; Cost'!AB115,
OFFSET(AB115,-6,0)*
OFFSET(MSP!$G$1,
MATCH(OFFSET($C107,((MATCH($C107,EL_List,0)-1)*-10)-1,0),MSP!$C:$C,0)+MATCH($C107,EL_List,0)-1,0)
*INDEX(Learning!$E$6:$S$41,(MATCH(AB$21,Dates,0)),(MATCH($C$86,Learning!$E$4:$S$4,0)+MATCH($C$107,Learning!$E$5:$S$5,0)-1)))</f>
        <v>6.0054251525723048</v>
      </c>
      <c r="AC115" s="531" cm="1">
        <f t="array" aca="1" ref="AC115" ca="1">IF(AC$21&lt;Standard_Year,'No STDs Case Rev &amp; Cost'!AC115,
OFFSET(AC115,-6,0)*
OFFSET(MSP!$G$1,
MATCH(OFFSET($C107,((MATCH($C107,EL_List,0)-1)*-10)-1,0),MSP!$C:$C,0)+MATCH($C107,EL_List,0)-1,0)
*INDEX(Learning!$E$6:$S$41,(MATCH(AC$21,Dates,0)),(MATCH($C$86,Learning!$E$4:$S$4,0)+MATCH($C$107,Learning!$E$5:$S$5,0)-1)))</f>
        <v>6.276132942297556</v>
      </c>
      <c r="AD115" s="531" cm="1">
        <f t="array" aca="1" ref="AD115" ca="1">IF(AD$21&lt;Standard_Year,'No STDs Case Rev &amp; Cost'!AD115,
OFFSET(AD115,-6,0)*
OFFSET(MSP!$G$1,
MATCH(OFFSET($C107,((MATCH($C107,EL_List,0)-1)*-10)-1,0),MSP!$C:$C,0)+MATCH($C107,EL_List,0)-1,0)
*INDEX(Learning!$E$6:$S$41,(MATCH(AD$21,Dates,0)),(MATCH($C$86,Learning!$E$4:$S$4,0)+MATCH($C$107,Learning!$E$5:$S$5,0)-1)))</f>
        <v>6.5586998085592931</v>
      </c>
      <c r="AE115" s="531" cm="1">
        <f t="array" aca="1" ref="AE115" ca="1">IF(AE$21&lt;Standard_Year,'No STDs Case Rev &amp; Cost'!AE115,
OFFSET(AE115,-6,0)*
OFFSET(MSP!$G$1,
MATCH(OFFSET($C107,((MATCH($C107,EL_List,0)-1)*-10)-1,0),MSP!$C:$C,0)+MATCH($C107,EL_List,0)-1,0)
*INDEX(Learning!$E$6:$S$41,(MATCH(AE$21,Dates,0)),(MATCH($C$86,Learning!$E$4:$S$4,0)+MATCH($C$107,Learning!$E$5:$S$5,0)-1)))</f>
        <v>6.8536482784056441</v>
      </c>
      <c r="AF115" s="531" cm="1">
        <f t="array" aca="1" ref="AF115" ca="1">IF(AF$21&lt;Standard_Year,'No STDs Case Rev &amp; Cost'!AF115,
OFFSET(AF115,-6,0)*
OFFSET(MSP!$G$1,
MATCH(OFFSET($C107,((MATCH($C107,EL_List,0)-1)*-10)-1,0),MSP!$C:$C,0)+MATCH($C107,EL_List,0)-1,0)
*INDEX(Learning!$E$6:$S$41,(MATCH(AF$21,Dates,0)),(MATCH($C$86,Learning!$E$4:$S$4,0)+MATCH($C$107,Learning!$E$5:$S$5,0)-1)))</f>
        <v>7.1535203421654598</v>
      </c>
      <c r="AG115" s="531" cm="1">
        <f t="array" aca="1" ref="AG115" ca="1">IF(AG$21&lt;Standard_Year,'No STDs Case Rev &amp; Cost'!AG115,
OFFSET(AG115,-6,0)*
OFFSET(MSP!$G$1,
MATCH(OFFSET($C107,((MATCH($C107,EL_List,0)-1)*-10)-1,0),MSP!$C:$C,0)+MATCH($C107,EL_List,0)-1,0)
*INDEX(Learning!$E$6:$S$41,(MATCH(AG$21,Dates,0)),(MATCH($C$86,Learning!$E$4:$S$4,0)+MATCH($C$107,Learning!$E$5:$S$5,0)-1)))</f>
        <v>7.4743971729612149</v>
      </c>
      <c r="AH115" s="531" cm="1">
        <f t="array" aca="1" ref="AH115" ca="1">IF(AH$21&lt;Standard_Year,'No STDs Case Rev &amp; Cost'!AH115,
OFFSET(AH115,-6,0)*
OFFSET(MSP!$G$1,
MATCH(OFFSET($C107,((MATCH($C107,EL_List,0)-1)*-10)-1,0),MSP!$C:$C,0)+MATCH($C107,EL_List,0)-1,0)
*INDEX(Learning!$E$6:$S$41,(MATCH(AH$21,Dates,0)),(MATCH($C$86,Learning!$E$4:$S$4,0)+MATCH($C$107,Learning!$E$5:$S$5,0)-1)))</f>
        <v>7.81801278858463</v>
      </c>
      <c r="AI115" s="531" cm="1">
        <f t="array" aca="1" ref="AI115" ca="1">IF(AI$21&lt;Standard_Year,'No STDs Case Rev &amp; Cost'!AI115,
OFFSET(AI115,-6,0)*
OFFSET(MSP!$G$1,
MATCH(OFFSET($C107,((MATCH($C107,EL_List,0)-1)*-10)-1,0),MSP!$C:$C,0)+MATCH($C107,EL_List,0)-1,0)
*INDEX(Learning!$E$6:$S$41,(MATCH(AI$21,Dates,0)),(MATCH($C$86,Learning!$E$4:$S$4,0)+MATCH($C$107,Learning!$E$5:$S$5,0)-1)))</f>
        <v>8.167813025607888</v>
      </c>
      <c r="AJ115" s="531" cm="1">
        <f t="array" aca="1" ref="AJ115" ca="1">IF(AJ$21&lt;Standard_Year,'No STDs Case Rev &amp; Cost'!AJ115,
OFFSET(AJ115,-6,0)*
OFFSET(MSP!$G$1,
MATCH(OFFSET($C107,((MATCH($C107,EL_List,0)-1)*-10)-1,0),MSP!$C:$C,0)+MATCH($C107,EL_List,0)-1,0)
*INDEX(Learning!$E$6:$S$41,(MATCH(AJ$21,Dates,0)),(MATCH($C$86,Learning!$E$4:$S$4,0)+MATCH($C$107,Learning!$E$5:$S$5,0)-1)))</f>
        <v>8.532785237155883</v>
      </c>
      <c r="AK115" s="531" cm="1">
        <f t="array" aca="1" ref="AK115" ca="1">IF(AK$21&lt;Standard_Year,'No STDs Case Rev &amp; Cost'!AK115,
OFFSET(AK115,-6,0)*
OFFSET(MSP!$G$1,
MATCH(OFFSET($C107,((MATCH($C107,EL_List,0)-1)*-10)-1,0),MSP!$C:$C,0)+MATCH($C107,EL_List,0)-1,0)
*INDEX(Learning!$E$6:$S$41,(MATCH(AK$21,Dates,0)),(MATCH($C$86,Learning!$E$4:$S$4,0)+MATCH($C$107,Learning!$E$5:$S$5,0)-1)))</f>
        <v>8.9135826372440476</v>
      </c>
      <c r="AL115" s="531" cm="1">
        <f t="array" aca="1" ref="AL115" ca="1">IF(AL$21&lt;Standard_Year,'No STDs Case Rev &amp; Cost'!AL115,
OFFSET(AL115,-6,0)*
OFFSET(MSP!$G$1,
MATCH(OFFSET($C107,((MATCH($C107,EL_List,0)-1)*-10)-1,0),MSP!$C:$C,0)+MATCH($C107,EL_List,0)-1,0)
*INDEX(Learning!$E$6:$S$41,(MATCH(AL$21,Dates,0)),(MATCH($C$86,Learning!$E$4:$S$4,0)+MATCH($C$107,Learning!$E$5:$S$5,0)-1)))</f>
        <v>9.3108914608455269</v>
      </c>
      <c r="AM115" s="531" cm="1">
        <f t="array" aca="1" ref="AM115" ca="1">IF(AM$21&lt;Standard_Year,'No STDs Case Rev &amp; Cost'!AM115,
OFFSET(AM115,-6,0)*
OFFSET(MSP!$G$1,
MATCH(OFFSET($C107,((MATCH($C107,EL_List,0)-1)*-10)-1,0),MSP!$C:$C,0)+MATCH($C107,EL_List,0)-1,0)
*INDEX(Learning!$E$6:$S$41,(MATCH(AM$21,Dates,0)),(MATCH($C$86,Learning!$E$4:$S$4,0)+MATCH($C$107,Learning!$E$5:$S$5,0)-1)))</f>
        <v>9.736607390161943</v>
      </c>
      <c r="AN115" s="531" cm="1">
        <f t="array" aca="1" ref="AN115" ca="1">IF(AN$21&lt;Standard_Year,'No STDs Case Rev &amp; Cost'!AN115,
OFFSET(AN115,-6,0)*
OFFSET(MSP!$G$1,
MATCH(OFFSET($C107,((MATCH($C107,EL_List,0)-1)*-10)-1,0),MSP!$C:$C,0)+MATCH($C107,EL_List,0)-1,0)
*INDEX(Learning!$E$6:$S$41,(MATCH(AN$21,Dates,0)),(MATCH($C$86,Learning!$E$4:$S$4,0)+MATCH($C$107,Learning!$E$5:$S$5,0)-1)))</f>
        <v>10.167833703147801</v>
      </c>
      <c r="AO115" s="436"/>
      <c r="AP115" s="21"/>
    </row>
    <row r="116" spans="2:42" ht="15" customHeight="1" x14ac:dyDescent="0.35">
      <c r="B116" s="429"/>
      <c r="C116" s="776"/>
      <c r="D116" s="776"/>
      <c r="E116" s="776"/>
      <c r="F116" s="776"/>
      <c r="G116" s="776"/>
      <c r="H116" s="776"/>
      <c r="I116" s="776"/>
      <c r="J116" s="776"/>
      <c r="K116" s="776"/>
      <c r="L116" s="776"/>
      <c r="M116" s="776"/>
      <c r="N116" s="776"/>
      <c r="O116" s="776"/>
      <c r="P116" s="776"/>
      <c r="Q116" s="776"/>
      <c r="R116" s="776"/>
      <c r="S116" s="776"/>
      <c r="T116" s="776"/>
      <c r="U116" s="776"/>
      <c r="V116" s="776"/>
      <c r="W116" s="776"/>
      <c r="X116" s="776"/>
      <c r="Y116" s="776"/>
      <c r="Z116" s="776"/>
      <c r="AA116" s="776"/>
      <c r="AB116" s="776"/>
      <c r="AC116" s="776"/>
      <c r="AD116" s="776"/>
      <c r="AE116" s="776"/>
      <c r="AF116" s="776"/>
      <c r="AG116" s="776"/>
      <c r="AH116" s="776"/>
      <c r="AI116" s="776"/>
      <c r="AJ116" s="776"/>
      <c r="AK116" s="776"/>
      <c r="AL116" s="776"/>
      <c r="AM116" s="776"/>
      <c r="AN116" s="776"/>
      <c r="AO116" s="436"/>
      <c r="AP116" s="21"/>
    </row>
    <row r="117" spans="2:42" ht="15" customHeight="1" x14ac:dyDescent="0.35">
      <c r="B117" s="429"/>
      <c r="C117" s="772" t="s">
        <v>343</v>
      </c>
      <c r="D117" s="776"/>
      <c r="E117" s="776"/>
      <c r="F117" s="776"/>
      <c r="G117" s="776"/>
      <c r="H117" s="776"/>
      <c r="I117" s="776"/>
      <c r="J117" s="776"/>
      <c r="K117" s="776"/>
      <c r="L117" s="776"/>
      <c r="M117" s="776"/>
      <c r="N117" s="776"/>
      <c r="O117" s="776"/>
      <c r="P117" s="776"/>
      <c r="Q117" s="776"/>
      <c r="R117" s="776"/>
      <c r="S117" s="776"/>
      <c r="T117" s="776"/>
      <c r="U117" s="776"/>
      <c r="V117" s="776"/>
      <c r="W117" s="776"/>
      <c r="X117" s="776"/>
      <c r="Y117" s="776"/>
      <c r="Z117" s="776"/>
      <c r="AA117" s="776"/>
      <c r="AB117" s="776"/>
      <c r="AC117" s="776"/>
      <c r="AD117" s="776"/>
      <c r="AE117" s="776"/>
      <c r="AF117" s="776"/>
      <c r="AG117" s="776"/>
      <c r="AH117" s="776"/>
      <c r="AI117" s="776"/>
      <c r="AJ117" s="776"/>
      <c r="AK117" s="776"/>
      <c r="AL117" s="776"/>
      <c r="AM117" s="776"/>
      <c r="AN117" s="776"/>
      <c r="AO117" s="436"/>
      <c r="AP117" s="21"/>
    </row>
    <row r="118" spans="2:42" ht="15" customHeight="1" x14ac:dyDescent="0.35">
      <c r="B118" s="429"/>
      <c r="C118" s="777" t="s">
        <v>10</v>
      </c>
      <c r="D118" s="776"/>
      <c r="E118" s="778" cm="1">
        <f t="array" aca="1" ref="E118" ca="1">IF(E$21&lt;Standard_Year,'No STDs Case Rev &amp; Cost'!E118,
OFFSET(MSP!$C$1,
MATCH(OFFSET($C117,((MATCH($C117,EL_List,0)-1)*-10)-1,0),MSP!$C:$C,0)+MATCH($C117,EL_List,0)-1,
MATCH(OFFSET($C117,((MATCH($C117,EL_List,0)-1)*-10)-3,0),MSP!$D$5:$N$5,0)+1)
*INDEX(Learning!$E$6:$S$41,(MATCH(E$21,Dates,0)),(MATCH($C$86,Learning!$E$4:$S$4,0)+MATCH($C$117,Learning!$E$5:$S$5,0)-1)))</f>
        <v>75.932295000000011</v>
      </c>
      <c r="F118" s="778" cm="1">
        <f t="array" aca="1" ref="F118" ca="1">IF(F$21&lt;Standard_Year,'No STDs Case Rev &amp; Cost'!F118,
OFFSET(MSP!$C$1,
MATCH(OFFSET($C117,((MATCH($C117,EL_List,0)-1)*-10)-1,0),MSP!$C:$C,0)+MATCH($C117,EL_List,0)-1,
MATCH(OFFSET($C117,((MATCH($C117,EL_List,0)-1)*-10)-3,0),MSP!$D$5:$N$5,0)+1)
*INDEX(Learning!$E$6:$S$41,(MATCH(F$21,Dates,0)),(MATCH($C$86,Learning!$E$4:$S$4,0)+MATCH($C$117,Learning!$E$5:$S$5,0)-1)))</f>
        <v>75.420227499999996</v>
      </c>
      <c r="G118" s="778" cm="1">
        <f t="array" aca="1" ref="G118" ca="1">IF(G$21&lt;Standard_Year,'No STDs Case Rev &amp; Cost'!G118,
OFFSET(MSP!$C$1,
MATCH(OFFSET($C117,((MATCH($C117,EL_List,0)-1)*-10)-1,0),MSP!$C:$C,0)+MATCH($C117,EL_List,0)-1,
MATCH(OFFSET($C117,((MATCH($C117,EL_List,0)-1)*-10)-3,0),MSP!$D$5:$N$5,0)+1)
*INDEX(Learning!$E$6:$S$41,(MATCH(G$21,Dates,0)),(MATCH($C$86,Learning!$E$4:$S$4,0)+MATCH($C$117,Learning!$E$5:$S$5,0)-1)))</f>
        <v>74.908160000000009</v>
      </c>
      <c r="H118" s="778" cm="1">
        <f t="array" aca="1" ref="H118" ca="1">IF(H$21&lt;Standard_Year,'No STDs Case Rev &amp; Cost'!H118,
OFFSET(MSP!$C$1,
MATCH(OFFSET($C117,((MATCH($C117,EL_List,0)-1)*-10)-1,0),MSP!$C:$C,0)+MATCH($C117,EL_List,0)-1,
MATCH(OFFSET($C117,((MATCH($C117,EL_List,0)-1)*-10)-3,0),MSP!$D$5:$N$5,0)+1)
*INDEX(Learning!$E$6:$S$41,(MATCH(H$21,Dates,0)),(MATCH($C$86,Learning!$E$4:$S$4,0)+MATCH($C$117,Learning!$E$5:$S$5,0)-1)))</f>
        <v>74.469245000000001</v>
      </c>
      <c r="I118" s="778" cm="1">
        <f t="array" aca="1" ref="I118" ca="1">IF(I$21&lt;Standard_Year,'No STDs Case Rev &amp; Cost'!I118,
OFFSET(MSP!$C$1,
MATCH(OFFSET($C117,((MATCH($C117,EL_List,0)-1)*-10)-1,0),MSP!$C:$C,0)+MATCH($C117,EL_List,0)-1,
MATCH(OFFSET($C117,((MATCH($C117,EL_List,0)-1)*-10)-3,0),MSP!$D$5:$N$5,0)+1)
*INDEX(Learning!$E$6:$S$41,(MATCH(I$21,Dates,0)),(MATCH($C$86,Learning!$E$4:$S$4,0)+MATCH($C$117,Learning!$E$5:$S$5,0)-1)))</f>
        <v>74.030330000000006</v>
      </c>
      <c r="J118" s="778" cm="1">
        <f t="array" aca="1" ref="J118" ca="1">IF(J$21&lt;Standard_Year,'No STDs Case Rev &amp; Cost'!J118,
OFFSET(MSP!$C$1,
MATCH(OFFSET($C117,((MATCH($C117,EL_List,0)-1)*-10)-1,0),MSP!$C:$C,0)+MATCH($C117,EL_List,0)-1,
MATCH(OFFSET($C117,((MATCH($C117,EL_List,0)-1)*-10)-3,0),MSP!$D$5:$N$5,0)+1)
*INDEX(Learning!$E$6:$S$41,(MATCH(J$21,Dates,0)),(MATCH($C$86,Learning!$E$4:$S$4,0)+MATCH($C$117,Learning!$E$5:$S$5,0)-1)))</f>
        <v>73.591414999999998</v>
      </c>
      <c r="K118" s="778" cm="1">
        <f t="array" aca="1" ref="K118" ca="1">IF(K$21&lt;Standard_Year,'No STDs Case Rev &amp; Cost'!K118,
OFFSET(MSP!$C$1,
MATCH(OFFSET($C117,((MATCH($C117,EL_List,0)-1)*-10)-1,0),MSP!$C:$C,0)+MATCH($C117,EL_List,0)-1,
MATCH(OFFSET($C117,((MATCH($C117,EL_List,0)-1)*-10)-3,0),MSP!$D$5:$N$5,0)+1)
*INDEX(Learning!$E$6:$S$41,(MATCH(K$21,Dates,0)),(MATCH($C$86,Learning!$E$4:$S$4,0)+MATCH($C$117,Learning!$E$5:$S$5,0)-1)))</f>
        <v>73.152500000000003</v>
      </c>
      <c r="L118" s="778" cm="1">
        <f t="array" aca="1" ref="L118" ca="1">IF(L$21&lt;Standard_Year,'No STDs Case Rev &amp; Cost'!L118,
OFFSET(MSP!$C$1,
MATCH(OFFSET($C117,((MATCH($C117,EL_List,0)-1)*-10)-1,0),MSP!$C:$C,0)+MATCH($C117,EL_List,0)-1,
MATCH(OFFSET($C117,((MATCH($C117,EL_List,0)-1)*-10)-3,0),MSP!$D$5:$N$5,0)+1)
*INDEX(Learning!$E$6:$S$41,(MATCH(L$21,Dates,0)),(MATCH($C$86,Learning!$E$4:$S$4,0)+MATCH($C$117,Learning!$E$5:$S$5,0)-1)))</f>
        <v>72.713585000000009</v>
      </c>
      <c r="M118" s="778" cm="1">
        <f t="array" aca="1" ref="M118" ca="1">IF(M$21&lt;Standard_Year,'No STDs Case Rev &amp; Cost'!M118,
OFFSET(MSP!$C$1,
MATCH(OFFSET($C117,((MATCH($C117,EL_List,0)-1)*-10)-1,0),MSP!$C:$C,0)+MATCH($C117,EL_List,0)-1,
MATCH(OFFSET($C117,((MATCH($C117,EL_List,0)-1)*-10)-3,0),MSP!$D$5:$N$5,0)+1)
*INDEX(Learning!$E$6:$S$41,(MATCH(M$21,Dates,0)),(MATCH($C$86,Learning!$E$4:$S$4,0)+MATCH($C$117,Learning!$E$5:$S$5,0)-1)))</f>
        <v>72.347822500000007</v>
      </c>
      <c r="N118" s="778" cm="1">
        <f t="array" aca="1" ref="N118" ca="1">IF(N$21&lt;Standard_Year,'No STDs Case Rev &amp; Cost'!N118,
OFFSET(MSP!$C$1,
MATCH(OFFSET($C117,((MATCH($C117,EL_List,0)-1)*-10)-1,0),MSP!$C:$C,0)+MATCH($C117,EL_List,0)-1,
MATCH(OFFSET($C117,((MATCH($C117,EL_List,0)-1)*-10)-3,0),MSP!$D$5:$N$5,0)+1)
*INDEX(Learning!$E$6:$S$41,(MATCH(N$21,Dates,0)),(MATCH($C$86,Learning!$E$4:$S$4,0)+MATCH($C$117,Learning!$E$5:$S$5,0)-1)))</f>
        <v>71.982060000000004</v>
      </c>
      <c r="O118" s="778" cm="1">
        <f t="array" aca="1" ref="O118" ca="1">IF(O$21&lt;Standard_Year,'No STDs Case Rev &amp; Cost'!O118,
OFFSET(MSP!$C$1,
MATCH(OFFSET($C117,((MATCH($C117,EL_List,0)-1)*-10)-1,0),MSP!$C:$C,0)+MATCH($C117,EL_List,0)-1,
MATCH(OFFSET($C117,((MATCH($C117,EL_List,0)-1)*-10)-3,0),MSP!$D$5:$N$5,0)+1)
*INDEX(Learning!$E$6:$S$41,(MATCH(O$21,Dates,0)),(MATCH($C$86,Learning!$E$4:$S$4,0)+MATCH($C$117,Learning!$E$5:$S$5,0)-1)))</f>
        <v>71.616297500000002</v>
      </c>
      <c r="P118" s="778" cm="1">
        <f t="array" aca="1" ref="P118" ca="1">IF(P$21&lt;Standard_Year,'No STDs Case Rev &amp; Cost'!P118,
OFFSET(MSP!$C$1,
MATCH(OFFSET($C117,((MATCH($C117,EL_List,0)-1)*-10)-1,0),MSP!$C:$C,0)+MATCH($C117,EL_List,0)-1,
MATCH(OFFSET($C117,((MATCH($C117,EL_List,0)-1)*-10)-3,0),MSP!$D$5:$N$5,0)+1)
*INDEX(Learning!$E$6:$S$41,(MATCH(P$21,Dates,0)),(MATCH($C$86,Learning!$E$4:$S$4,0)+MATCH($C$117,Learning!$E$5:$S$5,0)-1)))</f>
        <v>71.250534999999999</v>
      </c>
      <c r="Q118" s="778" cm="1">
        <f t="array" aca="1" ref="Q118" ca="1">IF(Q$21&lt;Standard_Year,'No STDs Case Rev &amp; Cost'!Q118,
OFFSET(MSP!$C$1,
MATCH(OFFSET($C117,((MATCH($C117,EL_List,0)-1)*-10)-1,0),MSP!$C:$C,0)+MATCH($C117,EL_List,0)-1,
MATCH(OFFSET($C117,((MATCH($C117,EL_List,0)-1)*-10)-3,0),MSP!$D$5:$N$5,0)+1)
*INDEX(Learning!$E$6:$S$41,(MATCH(Q$21,Dates,0)),(MATCH($C$86,Learning!$E$4:$S$4,0)+MATCH($C$117,Learning!$E$5:$S$5,0)-1)))</f>
        <v>70.884772499999997</v>
      </c>
      <c r="R118" s="778" cm="1">
        <f t="array" aca="1" ref="R118" ca="1">IF(R$21&lt;Standard_Year,'No STDs Case Rev &amp; Cost'!R118,
OFFSET(MSP!$C$1,
MATCH(OFFSET($C117,((MATCH($C117,EL_List,0)-1)*-10)-1,0),MSP!$C:$C,0)+MATCH($C117,EL_List,0)-1,
MATCH(OFFSET($C117,((MATCH($C117,EL_List,0)-1)*-10)-3,0),MSP!$D$5:$N$5,0)+1)
*INDEX(Learning!$E$6:$S$41,(MATCH(R$21,Dates,0)),(MATCH($C$86,Learning!$E$4:$S$4,0)+MATCH($C$117,Learning!$E$5:$S$5,0)-1)))</f>
        <v>70.592162500000001</v>
      </c>
      <c r="S118" s="778" cm="1">
        <f t="array" aca="1" ref="S118" ca="1">IF(S$21&lt;Standard_Year,'No STDs Case Rev &amp; Cost'!S118,
OFFSET(MSP!$C$1,
MATCH(OFFSET($C117,((MATCH($C117,EL_List,0)-1)*-10)-1,0),MSP!$C:$C,0)+MATCH($C117,EL_List,0)-1,
MATCH(OFFSET($C117,((MATCH($C117,EL_List,0)-1)*-10)-3,0),MSP!$D$5:$N$5,0)+1)
*INDEX(Learning!$E$6:$S$41,(MATCH(S$21,Dates,0)),(MATCH($C$86,Learning!$E$4:$S$4,0)+MATCH($C$117,Learning!$E$5:$S$5,0)-1)))</f>
        <v>70.226399999999998</v>
      </c>
      <c r="T118" s="778" cm="1">
        <f t="array" aca="1" ref="T118" ca="1">IF(T$21&lt;Standard_Year,'No STDs Case Rev &amp; Cost'!T118,
OFFSET(MSP!$C$1,
MATCH(OFFSET($C117,((MATCH($C117,EL_List,0)-1)*-10)-1,0),MSP!$C:$C,0)+MATCH($C117,EL_List,0)-1,
MATCH(OFFSET($C117,((MATCH($C117,EL_List,0)-1)*-10)-3,0),MSP!$D$5:$N$5,0)+1)
*INDEX(Learning!$E$6:$S$41,(MATCH(T$21,Dates,0)),(MATCH($C$86,Learning!$E$4:$S$4,0)+MATCH($C$117,Learning!$E$5:$S$5,0)-1)))</f>
        <v>69.933790000000002</v>
      </c>
      <c r="U118" s="778" cm="1">
        <f t="array" aca="1" ref="U118" ca="1">IF(U$21&lt;Standard_Year,'No STDs Case Rev &amp; Cost'!U118,
OFFSET(MSP!$C$1,
MATCH(OFFSET($C117,((MATCH($C117,EL_List,0)-1)*-10)-1,0),MSP!$C:$C,0)+MATCH($C117,EL_List,0)-1,
MATCH(OFFSET($C117,((MATCH($C117,EL_List,0)-1)*-10)-3,0),MSP!$D$5:$N$5,0)+1)
*INDEX(Learning!$E$6:$S$41,(MATCH(U$21,Dates,0)),(MATCH($C$86,Learning!$E$4:$S$4,0)+MATCH($C$117,Learning!$E$5:$S$5,0)-1)))</f>
        <v>69.568027499999999</v>
      </c>
      <c r="V118" s="778" cm="1">
        <f t="array" aca="1" ref="V118" ca="1">IF(V$21&lt;Standard_Year,'No STDs Case Rev &amp; Cost'!V118,
OFFSET(MSP!$C$1,
MATCH(OFFSET($C117,((MATCH($C117,EL_List,0)-1)*-10)-1,0),MSP!$C:$C,0)+MATCH($C117,EL_List,0)-1,
MATCH(OFFSET($C117,((MATCH($C117,EL_List,0)-1)*-10)-3,0),MSP!$D$5:$N$5,0)+1)
*INDEX(Learning!$E$6:$S$41,(MATCH(V$21,Dates,0)),(MATCH($C$86,Learning!$E$4:$S$4,0)+MATCH($C$117,Learning!$E$5:$S$5,0)-1)))</f>
        <v>69.275417500000003</v>
      </c>
      <c r="W118" s="778" cm="1">
        <f t="array" aca="1" ref="W118" ca="1">IF(W$21&lt;Standard_Year,'No STDs Case Rev &amp; Cost'!W118,
OFFSET(MSP!$C$1,
MATCH(OFFSET($C117,((MATCH($C117,EL_List,0)-1)*-10)-1,0),MSP!$C:$C,0)+MATCH($C117,EL_List,0)-1,
MATCH(OFFSET($C117,((MATCH($C117,EL_List,0)-1)*-10)-3,0),MSP!$D$5:$N$5,0)+1)
*INDEX(Learning!$E$6:$S$41,(MATCH(W$21,Dates,0)),(MATCH($C$86,Learning!$E$4:$S$4,0)+MATCH($C$117,Learning!$E$5:$S$5,0)-1)))</f>
        <v>68.982807499999993</v>
      </c>
      <c r="X118" s="778" cm="1">
        <f t="array" aca="1" ref="X118" ca="1">IF(X$21&lt;Standard_Year,'No STDs Case Rev &amp; Cost'!X118,
OFFSET(MSP!$C$1,
MATCH(OFFSET($C117,((MATCH($C117,EL_List,0)-1)*-10)-1,0),MSP!$C:$C,0)+MATCH($C117,EL_List,0)-1,
MATCH(OFFSET($C117,((MATCH($C117,EL_List,0)-1)*-10)-3,0),MSP!$D$5:$N$5,0)+1)
*INDEX(Learning!$E$6:$S$41,(MATCH(X$21,Dates,0)),(MATCH($C$86,Learning!$E$4:$S$4,0)+MATCH($C$117,Learning!$E$5:$S$5,0)-1)))</f>
        <v>68.690197499999996</v>
      </c>
      <c r="Y118" s="778" cm="1">
        <f t="array" aca="1" ref="Y118" ca="1">IF(Y$21&lt;Standard_Year,'No STDs Case Rev &amp; Cost'!Y118,
OFFSET(MSP!$C$1,
MATCH(OFFSET($C117,((MATCH($C117,EL_List,0)-1)*-10)-1,0),MSP!$C:$C,0)+MATCH($C117,EL_List,0)-1,
MATCH(OFFSET($C117,((MATCH($C117,EL_List,0)-1)*-10)-3,0),MSP!$D$5:$N$5,0)+1)
*INDEX(Learning!$E$6:$S$41,(MATCH(Y$21,Dates,0)),(MATCH($C$86,Learning!$E$4:$S$4,0)+MATCH($C$117,Learning!$E$5:$S$5,0)-1)))</f>
        <v>68.3975875</v>
      </c>
      <c r="Z118" s="778" cm="1">
        <f t="array" aca="1" ref="Z118" ca="1">IF(Z$21&lt;Standard_Year,'No STDs Case Rev &amp; Cost'!Z118,
OFFSET(MSP!$C$1,
MATCH(OFFSET($C117,((MATCH($C117,EL_List,0)-1)*-10)-1,0),MSP!$C:$C,0)+MATCH($C117,EL_List,0)-1,
MATCH(OFFSET($C117,((MATCH($C117,EL_List,0)-1)*-10)-3,0),MSP!$D$5:$N$5,0)+1)
*INDEX(Learning!$E$6:$S$41,(MATCH(Z$21,Dates,0)),(MATCH($C$86,Learning!$E$4:$S$4,0)+MATCH($C$117,Learning!$E$5:$S$5,0)-1)))</f>
        <v>68.104977500000004</v>
      </c>
      <c r="AA118" s="778" cm="1">
        <f t="array" aca="1" ref="AA118" ca="1">IF(AA$21&lt;Standard_Year,'No STDs Case Rev &amp; Cost'!AA118,
OFFSET(MSP!$C$1,
MATCH(OFFSET($C117,((MATCH($C117,EL_List,0)-1)*-10)-1,0),MSP!$C:$C,0)+MATCH($C117,EL_List,0)-1,
MATCH(OFFSET($C117,((MATCH($C117,EL_List,0)-1)*-10)-3,0),MSP!$D$5:$N$5,0)+1)
*INDEX(Learning!$E$6:$S$41,(MATCH(AA$21,Dates,0)),(MATCH($C$86,Learning!$E$4:$S$4,0)+MATCH($C$117,Learning!$E$5:$S$5,0)-1)))</f>
        <v>67.812367500000008</v>
      </c>
      <c r="AB118" s="778" cm="1">
        <f t="array" aca="1" ref="AB118" ca="1">IF(AB$21&lt;Standard_Year,'No STDs Case Rev &amp; Cost'!AB118,
OFFSET(MSP!$C$1,
MATCH(OFFSET($C117,((MATCH($C117,EL_List,0)-1)*-10)-1,0),MSP!$C:$C,0)+MATCH($C117,EL_List,0)-1,
MATCH(OFFSET($C117,((MATCH($C117,EL_List,0)-1)*-10)-3,0),MSP!$D$5:$N$5,0)+1)
*INDEX(Learning!$E$6:$S$41,(MATCH(AB$21,Dates,0)),(MATCH($C$86,Learning!$E$4:$S$4,0)+MATCH($C$117,Learning!$E$5:$S$5,0)-1)))</f>
        <v>67.519757500000011</v>
      </c>
      <c r="AC118" s="778" cm="1">
        <f t="array" aca="1" ref="AC118" ca="1">IF(AC$21&lt;Standard_Year,'No STDs Case Rev &amp; Cost'!AC118,
OFFSET(MSP!$C$1,
MATCH(OFFSET($C117,((MATCH($C117,EL_List,0)-1)*-10)-1,0),MSP!$C:$C,0)+MATCH($C117,EL_List,0)-1,
MATCH(OFFSET($C117,((MATCH($C117,EL_List,0)-1)*-10)-3,0),MSP!$D$5:$N$5,0)+1)
*INDEX(Learning!$E$6:$S$41,(MATCH(AC$21,Dates,0)),(MATCH($C$86,Learning!$E$4:$S$4,0)+MATCH($C$117,Learning!$E$5:$S$5,0)-1)))</f>
        <v>67.227147500000001</v>
      </c>
      <c r="AD118" s="778" cm="1">
        <f t="array" aca="1" ref="AD118" ca="1">IF(AD$21&lt;Standard_Year,'No STDs Case Rev &amp; Cost'!AD118,
OFFSET(MSP!$C$1,
MATCH(OFFSET($C117,((MATCH($C117,EL_List,0)-1)*-10)-1,0),MSP!$C:$C,0)+MATCH($C117,EL_List,0)-1,
MATCH(OFFSET($C117,((MATCH($C117,EL_List,0)-1)*-10)-3,0),MSP!$D$5:$N$5,0)+1)
*INDEX(Learning!$E$6:$S$41,(MATCH(AD$21,Dates,0)),(MATCH($C$86,Learning!$E$4:$S$4,0)+MATCH($C$117,Learning!$E$5:$S$5,0)-1)))</f>
        <v>67.007690000000011</v>
      </c>
      <c r="AE118" s="778" cm="1">
        <f t="array" aca="1" ref="AE118" ca="1">IF(AE$21&lt;Standard_Year,'No STDs Case Rev &amp; Cost'!AE118,
OFFSET(MSP!$C$1,
MATCH(OFFSET($C117,((MATCH($C117,EL_List,0)-1)*-10)-1,0),MSP!$C:$C,0)+MATCH($C117,EL_List,0)-1,
MATCH(OFFSET($C117,((MATCH($C117,EL_List,0)-1)*-10)-3,0),MSP!$D$5:$N$5,0)+1)
*INDEX(Learning!$E$6:$S$41,(MATCH(AE$21,Dates,0)),(MATCH($C$86,Learning!$E$4:$S$4,0)+MATCH($C$117,Learning!$E$5:$S$5,0)-1)))</f>
        <v>66.71508</v>
      </c>
      <c r="AF118" s="778" cm="1">
        <f t="array" aca="1" ref="AF118" ca="1">IF(AF$21&lt;Standard_Year,'No STDs Case Rev &amp; Cost'!AF118,
OFFSET(MSP!$C$1,
MATCH(OFFSET($C117,((MATCH($C117,EL_List,0)-1)*-10)-1,0),MSP!$C:$C,0)+MATCH($C117,EL_List,0)-1,
MATCH(OFFSET($C117,((MATCH($C117,EL_List,0)-1)*-10)-3,0),MSP!$D$5:$N$5,0)+1)
*INDEX(Learning!$E$6:$S$41,(MATCH(AF$21,Dates,0)),(MATCH($C$86,Learning!$E$4:$S$4,0)+MATCH($C$117,Learning!$E$5:$S$5,0)-1)))</f>
        <v>66.422470000000004</v>
      </c>
      <c r="AG118" s="778" cm="1">
        <f t="array" aca="1" ref="AG118" ca="1">IF(AG$21&lt;Standard_Year,'No STDs Case Rev &amp; Cost'!AG118,
OFFSET(MSP!$C$1,
MATCH(OFFSET($C117,((MATCH($C117,EL_List,0)-1)*-10)-1,0),MSP!$C:$C,0)+MATCH($C117,EL_List,0)-1,
MATCH(OFFSET($C117,((MATCH($C117,EL_List,0)-1)*-10)-3,0),MSP!$D$5:$N$5,0)+1)
*INDEX(Learning!$E$6:$S$41,(MATCH(AG$21,Dates,0)),(MATCH($C$86,Learning!$E$4:$S$4,0)+MATCH($C$117,Learning!$E$5:$S$5,0)-1)))</f>
        <v>66.2030125</v>
      </c>
      <c r="AH118" s="778" cm="1">
        <f t="array" aca="1" ref="AH118" ca="1">IF(AH$21&lt;Standard_Year,'No STDs Case Rev &amp; Cost'!AH118,
OFFSET(MSP!$C$1,
MATCH(OFFSET($C117,((MATCH($C117,EL_List,0)-1)*-10)-1,0),MSP!$C:$C,0)+MATCH($C117,EL_List,0)-1,
MATCH(OFFSET($C117,((MATCH($C117,EL_List,0)-1)*-10)-3,0),MSP!$D$5:$N$5,0)+1)
*INDEX(Learning!$E$6:$S$41,(MATCH(AH$21,Dates,0)),(MATCH($C$86,Learning!$E$4:$S$4,0)+MATCH($C$117,Learning!$E$5:$S$5,0)-1)))</f>
        <v>65.910402500000004</v>
      </c>
      <c r="AI118" s="778" cm="1">
        <f t="array" aca="1" ref="AI118" ca="1">IF(AI$21&lt;Standard_Year,'No STDs Case Rev &amp; Cost'!AI118,
OFFSET(MSP!$C$1,
MATCH(OFFSET($C117,((MATCH($C117,EL_List,0)-1)*-10)-1,0),MSP!$C:$C,0)+MATCH($C117,EL_List,0)-1,
MATCH(OFFSET($C117,((MATCH($C117,EL_List,0)-1)*-10)-3,0),MSP!$D$5:$N$5,0)+1)
*INDEX(Learning!$E$6:$S$41,(MATCH(AI$21,Dates,0)),(MATCH($C$86,Learning!$E$4:$S$4,0)+MATCH($C$117,Learning!$E$5:$S$5,0)-1)))</f>
        <v>65.690944999999999</v>
      </c>
      <c r="AJ118" s="778" cm="1">
        <f t="array" aca="1" ref="AJ118" ca="1">IF(AJ$21&lt;Standard_Year,'No STDs Case Rev &amp; Cost'!AJ118,
OFFSET(MSP!$C$1,
MATCH(OFFSET($C117,((MATCH($C117,EL_List,0)-1)*-10)-1,0),MSP!$C:$C,0)+MATCH($C117,EL_List,0)-1,
MATCH(OFFSET($C117,((MATCH($C117,EL_List,0)-1)*-10)-3,0),MSP!$D$5:$N$5,0)+1)
*INDEX(Learning!$E$6:$S$41,(MATCH(AJ$21,Dates,0)),(MATCH($C$86,Learning!$E$4:$S$4,0)+MATCH($C$117,Learning!$E$5:$S$5,0)-1)))</f>
        <v>65.398335000000003</v>
      </c>
      <c r="AK118" s="778" cm="1">
        <f t="array" aca="1" ref="AK118" ca="1">IF(AK$21&lt;Standard_Year,'No STDs Case Rev &amp; Cost'!AK118,
OFFSET(MSP!$C$1,
MATCH(OFFSET($C117,((MATCH($C117,EL_List,0)-1)*-10)-1,0),MSP!$C:$C,0)+MATCH($C117,EL_List,0)-1,
MATCH(OFFSET($C117,((MATCH($C117,EL_List,0)-1)*-10)-3,0),MSP!$D$5:$N$5,0)+1)
*INDEX(Learning!$E$6:$S$41,(MATCH(AK$21,Dates,0)),(MATCH($C$86,Learning!$E$4:$S$4,0)+MATCH($C$117,Learning!$E$5:$S$5,0)-1)))</f>
        <v>65.178877499999999</v>
      </c>
      <c r="AL118" s="778" cm="1">
        <f t="array" aca="1" ref="AL118" ca="1">IF(AL$21&lt;Standard_Year,'No STDs Case Rev &amp; Cost'!AL118,
OFFSET(MSP!$C$1,
MATCH(OFFSET($C117,((MATCH($C117,EL_List,0)-1)*-10)-1,0),MSP!$C:$C,0)+MATCH($C117,EL_List,0)-1,
MATCH(OFFSET($C117,((MATCH($C117,EL_List,0)-1)*-10)-3,0),MSP!$D$5:$N$5,0)+1)
*INDEX(Learning!$E$6:$S$41,(MATCH(AL$21,Dates,0)),(MATCH($C$86,Learning!$E$4:$S$4,0)+MATCH($C$117,Learning!$E$5:$S$5,0)-1)))</f>
        <v>64.959420000000009</v>
      </c>
      <c r="AM118" s="778" cm="1">
        <f t="array" aca="1" ref="AM118" ca="1">IF(AM$21&lt;Standard_Year,'No STDs Case Rev &amp; Cost'!AM118,
OFFSET(MSP!$C$1,
MATCH(OFFSET($C117,((MATCH($C117,EL_List,0)-1)*-10)-1,0),MSP!$C:$C,0)+MATCH($C117,EL_List,0)-1,
MATCH(OFFSET($C117,((MATCH($C117,EL_List,0)-1)*-10)-3,0),MSP!$D$5:$N$5,0)+1)
*INDEX(Learning!$E$6:$S$41,(MATCH(AM$21,Dates,0)),(MATCH($C$86,Learning!$E$4:$S$4,0)+MATCH($C$117,Learning!$E$5:$S$5,0)-1)))</f>
        <v>64.666809999999998</v>
      </c>
      <c r="AN118" s="778" cm="1">
        <f t="array" aca="1" ref="AN118" ca="1">IF(AN$21&lt;Standard_Year,'No STDs Case Rev &amp; Cost'!AN118,
OFFSET(MSP!$C$1,
MATCH(OFFSET($C117,((MATCH($C117,EL_List,0)-1)*-10)-1,0),MSP!$C:$C,0)+MATCH($C117,EL_List,0)-1,
MATCH(OFFSET($C117,((MATCH($C117,EL_List,0)-1)*-10)-3,0),MSP!$D$5:$N$5,0)+1)
*INDEX(Learning!$E$6:$S$41,(MATCH(AN$21,Dates,0)),(MATCH($C$86,Learning!$E$4:$S$4,0)+MATCH($C$117,Learning!$E$5:$S$5,0)-1)))</f>
        <v>64.446960268947279</v>
      </c>
      <c r="AO118" s="436"/>
      <c r="AP118" s="21"/>
    </row>
    <row r="119" spans="2:42" ht="15" customHeight="1" x14ac:dyDescent="0.35">
      <c r="B119" s="429"/>
      <c r="C119" s="777" t="s">
        <v>78</v>
      </c>
      <c r="D119" s="776"/>
      <c r="E119" s="530">
        <f ca="1">OFFSET(OFFSET(Shipments!$D$1,0,MATCH(E$7,Dates)),
MATCH(OFFSET($C117,((MATCH($C117,EL_List,0)-1)*-10)-3,0),Shipments!$C:$C,0)+
MATCH(OFFSET($C117,((MATCH($C117,EL_List,0)-1)*-10)-1,0),Shipments!$D:$D,0)+
MATCH($C117,EL_List,0)-10,
MATCH(Shipments_Scenario_X,Shipments!$F$5:$AQ$5,0))</f>
        <v>0.19163580721689594</v>
      </c>
      <c r="F119" s="530">
        <f ca="1">OFFSET(OFFSET(Shipments!$D$1,0,MATCH(F$7,Dates)),
MATCH(OFFSET($C117,((MATCH($C117,EL_List,0)-1)*-10)-3,0),Shipments!$C:$C,0)+
MATCH(OFFSET($C117,((MATCH($C117,EL_List,0)-1)*-10)-1,0),Shipments!$D:$D,0)+
MATCH($C117,EL_List,0)-10,
MATCH(Shipments_Scenario_X,Shipments!$F$5:$AQ$5,0))</f>
        <v>0.20020548359765647</v>
      </c>
      <c r="G119" s="530">
        <f ca="1">OFFSET(OFFSET(Shipments!$D$1,0,MATCH(G$7,Dates)),
MATCH(OFFSET($C117,((MATCH($C117,EL_List,0)-1)*-10)-3,0),Shipments!$C:$C,0)+
MATCH(OFFSET($C117,((MATCH($C117,EL_List,0)-1)*-10)-1,0),Shipments!$D:$D,0)+
MATCH($C117,EL_List,0)-10,
MATCH(Shipments_Scenario_X,Shipments!$F$5:$AQ$5,0))</f>
        <v>0.20788484922272099</v>
      </c>
      <c r="H119" s="530">
        <f ca="1">OFFSET(OFFSET(Shipments!$D$1,0,MATCH(H$7,Dates)),
MATCH(OFFSET($C117,((MATCH($C117,EL_List,0)-1)*-10)-3,0),Shipments!$C:$C,0)+
MATCH(OFFSET($C117,((MATCH($C117,EL_List,0)-1)*-10)-1,0),Shipments!$D:$D,0)+
MATCH($C117,EL_List,0)-10,
MATCH(Shipments_Scenario_X,Shipments!$F$5:$AQ$5,0))</f>
        <v>0.21764774504833484</v>
      </c>
      <c r="I119" s="530">
        <f ca="1">OFFSET(OFFSET(Shipments!$D$1,0,MATCH(I$7,Dates)),
MATCH(OFFSET($C117,((MATCH($C117,EL_List,0)-1)*-10)-3,0),Shipments!$C:$C,0)+
MATCH(OFFSET($C117,((MATCH($C117,EL_List,0)-1)*-10)-1,0),Shipments!$D:$D,0)+
MATCH($C117,EL_List,0)-10,
MATCH(Shipments_Scenario_X,Shipments!$F$5:$AQ$5,0))</f>
        <v>0.22812362191808677</v>
      </c>
      <c r="J119" s="530">
        <f ca="1">OFFSET(OFFSET(Shipments!$D$1,0,MATCH(J$7,Dates)),
MATCH(OFFSET($C117,((MATCH($C117,EL_List,0)-1)*-10)-3,0),Shipments!$C:$C,0)+
MATCH(OFFSET($C117,((MATCH($C117,EL_List,0)-1)*-10)-1,0),Shipments!$D:$D,0)+
MATCH($C117,EL_List,0)-10,
MATCH(Shipments_Scenario_X,Shipments!$F$5:$AQ$5,0))</f>
        <v>0.23971717424730021</v>
      </c>
      <c r="K119" s="530">
        <f ca="1">OFFSET(OFFSET(Shipments!$D$1,0,MATCH(K$7,Dates)),
MATCH(OFFSET($C117,((MATCH($C117,EL_List,0)-1)*-10)-3,0),Shipments!$C:$C,0)+
MATCH(OFFSET($C117,((MATCH($C117,EL_List,0)-1)*-10)-1,0),Shipments!$D:$D,0)+
MATCH($C117,EL_List,0)-10,
MATCH(Shipments_Scenario_X,Shipments!$F$5:$AQ$5,0))</f>
        <v>0.25229203363046315</v>
      </c>
      <c r="L119" s="530">
        <f ca="1">OFFSET(OFFSET(Shipments!$D$1,0,MATCH(L$7,Dates)),
MATCH(OFFSET($C117,((MATCH($C117,EL_List,0)-1)*-10)-3,0),Shipments!$C:$C,0)+
MATCH(OFFSET($C117,((MATCH($C117,EL_List,0)-1)*-10)-1,0),Shipments!$D:$D,0)+
MATCH($C117,EL_List,0)-10,
MATCH(Shipments_Scenario_X,Shipments!$F$5:$AQ$5,0))</f>
        <v>0.26564352907741551</v>
      </c>
      <c r="M119" s="530">
        <f ca="1">OFFSET(OFFSET(Shipments!$D$1,0,MATCH(M$7,Dates)),
MATCH(OFFSET($C117,((MATCH($C117,EL_List,0)-1)*-10)-3,0),Shipments!$C:$C,0)+
MATCH(OFFSET($C117,((MATCH($C117,EL_List,0)-1)*-10)-1,0),Shipments!$D:$D,0)+
MATCH($C117,EL_List,0)-10,
MATCH(Shipments_Scenario_X,Shipments!$F$5:$AQ$5,0))</f>
        <v>0.2796119405718</v>
      </c>
      <c r="N119" s="530">
        <f ca="1">OFFSET(OFFSET(Shipments!$D$1,0,MATCH(N$7,Dates)),
MATCH(OFFSET($C117,((MATCH($C117,EL_List,0)-1)*-10)-3,0),Shipments!$C:$C,0)+
MATCH(OFFSET($C117,((MATCH($C117,EL_List,0)-1)*-10)-1,0),Shipments!$D:$D,0)+
MATCH($C117,EL_List,0)-10,
MATCH(Shipments_Scenario_X,Shipments!$F$5:$AQ$5,0))</f>
        <v>0.29409085342107738</v>
      </c>
      <c r="O119" s="530">
        <f ca="1">OFFSET(OFFSET(Shipments!$D$1,0,MATCH(O$7,Dates)),
MATCH(OFFSET($C117,((MATCH($C117,EL_List,0)-1)*-10)-3,0),Shipments!$C:$C,0)+
MATCH(OFFSET($C117,((MATCH($C117,EL_List,0)-1)*-10)-1,0),Shipments!$D:$D,0)+
MATCH($C117,EL_List,0)-10,
MATCH(Shipments_Scenario_X,Shipments!$F$5:$AQ$5,0))</f>
        <v>0.30907401493565012</v>
      </c>
      <c r="P119" s="530">
        <f ca="1">OFFSET(OFFSET(Shipments!$D$1,0,MATCH(P$7,Dates)),
MATCH(OFFSET($C117,((MATCH($C117,EL_List,0)-1)*-10)-3,0),Shipments!$C:$C,0)+
MATCH(OFFSET($C117,((MATCH($C117,EL_List,0)-1)*-10)-1,0),Shipments!$D:$D,0)+
MATCH($C117,EL_List,0)-10,
MATCH(Shipments_Scenario_X,Shipments!$F$5:$AQ$5,0))</f>
        <v>0.32462559609275093</v>
      </c>
      <c r="Q119" s="530">
        <f ca="1">OFFSET(OFFSET(Shipments!$D$1,0,MATCH(Q$7,Dates)),
MATCH(OFFSET($C117,((MATCH($C117,EL_List,0)-1)*-10)-3,0),Shipments!$C:$C,0)+
MATCH(OFFSET($C117,((MATCH($C117,EL_List,0)-1)*-10)-1,0),Shipments!$D:$D,0)+
MATCH($C117,EL_List,0)-10,
MATCH(Shipments_Scenario_X,Shipments!$F$5:$AQ$5,0))</f>
        <v>0.34084364269505668</v>
      </c>
      <c r="R119" s="530">
        <f ca="1">OFFSET(OFFSET(Shipments!$D$1,0,MATCH(R$7,Dates)),
MATCH(OFFSET($C117,((MATCH($C117,EL_List,0)-1)*-10)-3,0),Shipments!$C:$C,0)+
MATCH(OFFSET($C117,((MATCH($C117,EL_List,0)-1)*-10)-1,0),Shipments!$D:$D,0)+
MATCH($C117,EL_List,0)-10,
MATCH(Shipments_Scenario_X,Shipments!$F$5:$AQ$5,0))</f>
        <v>0.35784260356272291</v>
      </c>
      <c r="S119" s="530">
        <f ca="1">OFFSET(OFFSET(Shipments!$D$1,0,MATCH(S$7,Dates)),
MATCH(OFFSET($C117,((MATCH($C117,EL_List,0)-1)*-10)-3,0),Shipments!$C:$C,0)+
MATCH(OFFSET($C117,((MATCH($C117,EL_List,0)-1)*-10)-1,0),Shipments!$D:$D,0)+
MATCH($C117,EL_List,0)-10,
MATCH(Shipments_Scenario_X,Shipments!$F$5:$AQ$5,0))</f>
        <v>0.37571866370528861</v>
      </c>
      <c r="T119" s="530">
        <f ca="1">OFFSET(OFFSET(Shipments!$D$1,0,MATCH(T$7,Dates)),
MATCH(OFFSET($C117,((MATCH($C117,EL_List,0)-1)*-10)-3,0),Shipments!$C:$C,0)+
MATCH(OFFSET($C117,((MATCH($C117,EL_List,0)-1)*-10)-1,0),Shipments!$D:$D,0)+
MATCH($C117,EL_List,0)-10,
MATCH(Shipments_Scenario_X,Shipments!$F$5:$AQ$5,0))</f>
        <v>0.39453267983604251</v>
      </c>
      <c r="U119" s="530">
        <f ca="1">OFFSET(OFFSET(Shipments!$D$1,0,MATCH(U$7,Dates)),
MATCH(OFFSET($C117,((MATCH($C117,EL_List,0)-1)*-10)-3,0),Shipments!$C:$C,0)+
MATCH(OFFSET($C117,((MATCH($C117,EL_List,0)-1)*-10)-1,0),Shipments!$D:$D,0)+
MATCH($C117,EL_List,0)-10,
MATCH(Shipments_Scenario_X,Shipments!$F$5:$AQ$5,0))</f>
        <v>0.41435228857650591</v>
      </c>
      <c r="V119" s="530">
        <f ca="1">OFFSET(OFFSET(Shipments!$D$1,0,MATCH(V$7,Dates)),
MATCH(OFFSET($C117,((MATCH($C117,EL_List,0)-1)*-10)-3,0),Shipments!$C:$C,0)+
MATCH(OFFSET($C117,((MATCH($C117,EL_List,0)-1)*-10)-1,0),Shipments!$D:$D,0)+
MATCH($C117,EL_List,0)-10,
MATCH(Shipments_Scenario_X,Shipments!$F$5:$AQ$5,0))</f>
        <v>0.43513777209037086</v>
      </c>
      <c r="W119" s="530">
        <f ca="1">OFFSET(OFFSET(Shipments!$D$1,0,MATCH(W$7,Dates)),
MATCH(OFFSET($C117,((MATCH($C117,EL_List,0)-1)*-10)-3,0),Shipments!$C:$C,0)+
MATCH(OFFSET($C117,((MATCH($C117,EL_List,0)-1)*-10)-1,0),Shipments!$D:$D,0)+
MATCH($C117,EL_List,0)-10,
MATCH(Shipments_Scenario_X,Shipments!$F$5:$AQ$5,0))</f>
        <v>0.45695229446757313</v>
      </c>
      <c r="X119" s="530">
        <f ca="1">OFFSET(OFFSET(Shipments!$D$1,0,MATCH(X$7,Dates)),
MATCH(OFFSET($C117,((MATCH($C117,EL_List,0)-1)*-10)-3,0),Shipments!$C:$C,0)+
MATCH(OFFSET($C117,((MATCH($C117,EL_List,0)-1)*-10)-1,0),Shipments!$D:$D,0)+
MATCH($C117,EL_List,0)-10,
MATCH(Shipments_Scenario_X,Shipments!$F$5:$AQ$5,0))</f>
        <v>0.47982219379548419</v>
      </c>
      <c r="Y119" s="530">
        <f ca="1">OFFSET(OFFSET(Shipments!$D$1,0,MATCH(Y$7,Dates)),
MATCH(OFFSET($C117,((MATCH($C117,EL_List,0)-1)*-10)-3,0),Shipments!$C:$C,0)+
MATCH(OFFSET($C117,((MATCH($C117,EL_List,0)-1)*-10)-1,0),Shipments!$D:$D,0)+
MATCH($C117,EL_List,0)-10,
MATCH(Shipments_Scenario_X,Shipments!$F$5:$AQ$5,0))</f>
        <v>0.50378642531018669</v>
      </c>
      <c r="Z119" s="530">
        <f ca="1">OFFSET(OFFSET(Shipments!$D$1,0,MATCH(Z$7,Dates)),
MATCH(OFFSET($C117,((MATCH($C117,EL_List,0)-1)*-10)-3,0),Shipments!$C:$C,0)+
MATCH(OFFSET($C117,((MATCH($C117,EL_List,0)-1)*-10)-1,0),Shipments!$D:$D,0)+
MATCH($C117,EL_List,0)-10,
MATCH(Shipments_Scenario_X,Shipments!$F$5:$AQ$5,0))</f>
        <v>0.5288972167123861</v>
      </c>
      <c r="AA119" s="530">
        <f ca="1">OFFSET(OFFSET(Shipments!$D$1,0,MATCH(AA$7,Dates)),
MATCH(OFFSET($C117,((MATCH($C117,EL_List,0)-1)*-10)-3,0),Shipments!$C:$C,0)+
MATCH(OFFSET($C117,((MATCH($C117,EL_List,0)-1)*-10)-1,0),Shipments!$D:$D,0)+
MATCH($C117,EL_List,0)-10,
MATCH(Shipments_Scenario_X,Shipments!$F$5:$AQ$5,0))</f>
        <v>0.55521481320745347</v>
      </c>
      <c r="AB119" s="530">
        <f ca="1">OFFSET(OFFSET(Shipments!$D$1,0,MATCH(AB$7,Dates)),
MATCH(OFFSET($C117,((MATCH($C117,EL_List,0)-1)*-10)-3,0),Shipments!$C:$C,0)+
MATCH(OFFSET($C117,((MATCH($C117,EL_List,0)-1)*-10)-1,0),Shipments!$D:$D,0)+
MATCH($C117,EL_List,0)-10,
MATCH(Shipments_Scenario_X,Shipments!$F$5:$AQ$5,0))</f>
        <v>0.58280827622187159</v>
      </c>
      <c r="AC119" s="530">
        <f ca="1">OFFSET(OFFSET(Shipments!$D$1,0,MATCH(AC$7,Dates)),
MATCH(OFFSET($C117,((MATCH($C117,EL_List,0)-1)*-10)-3,0),Shipments!$C:$C,0)+
MATCH(OFFSET($C117,((MATCH($C117,EL_List,0)-1)*-10)-1,0),Shipments!$D:$D,0)+
MATCH($C117,EL_List,0)-10,
MATCH(Shipments_Scenario_X,Shipments!$F$5:$AQ$5,0))</f>
        <v>0.61174736583082756</v>
      </c>
      <c r="AD119" s="530">
        <f ca="1">OFFSET(OFFSET(Shipments!$D$1,0,MATCH(AD$7,Dates)),
MATCH(OFFSET($C117,((MATCH($C117,EL_List,0)-1)*-10)-3,0),Shipments!$C:$C,0)+
MATCH(OFFSET($C117,((MATCH($C117,EL_List,0)-1)*-10)-1,0),Shipments!$D:$D,0)+
MATCH($C117,EL_List,0)-10,
MATCH(Shipments_Scenario_X,Shipments!$F$5:$AQ$5,0))</f>
        <v>0.64210223190499849</v>
      </c>
      <c r="AE119" s="530">
        <f ca="1">OFFSET(OFFSET(Shipments!$D$1,0,MATCH(AE$7,Dates)),
MATCH(OFFSET($C117,((MATCH($C117,EL_List,0)-1)*-10)-3,0),Shipments!$C:$C,0)+
MATCH(OFFSET($C117,((MATCH($C117,EL_List,0)-1)*-10)-1,0),Shipments!$D:$D,0)+
MATCH($C117,EL_List,0)-10,
MATCH(Shipments_Scenario_X,Shipments!$F$5:$AQ$5,0))</f>
        <v>0.67394303955884238</v>
      </c>
      <c r="AF119" s="530">
        <f ca="1">OFFSET(OFFSET(Shipments!$D$1,0,MATCH(AF$7,Dates)),
MATCH(OFFSET($C117,((MATCH($C117,EL_List,0)-1)*-10)-3,0),Shipments!$C:$C,0)+
MATCH(OFFSET($C117,((MATCH($C117,EL_List,0)-1)*-10)-1,0),Shipments!$D:$D,0)+
MATCH($C117,EL_List,0)-10,
MATCH(Shipments_Scenario_X,Shipments!$F$5:$AQ$5,0))</f>
        <v>0.70734064814529285</v>
      </c>
      <c r="AG119" s="530">
        <f ca="1">OFFSET(OFFSET(Shipments!$D$1,0,MATCH(AG$7,Dates)),
MATCH(OFFSET($C117,((MATCH($C117,EL_List,0)-1)*-10)-3,0),Shipments!$C:$C,0)+
MATCH(OFFSET($C117,((MATCH($C117,EL_List,0)-1)*-10)-1,0),Shipments!$D:$D,0)+
MATCH($C117,EL_List,0)-10,
MATCH(Shipments_Scenario_X,Shipments!$F$5:$AQ$5,0))</f>
        <v>0.74236811597319652</v>
      </c>
      <c r="AH119" s="530">
        <f ca="1">OFFSET(OFFSET(Shipments!$D$1,0,MATCH(AH$7,Dates)),
MATCH(OFFSET($C117,((MATCH($C117,EL_List,0)-1)*-10)-3,0),Shipments!$C:$C,0)+
MATCH(OFFSET($C117,((MATCH($C117,EL_List,0)-1)*-10)-1,0),Shipments!$D:$D,0)+
MATCH($C117,EL_List,0)-10,
MATCH(Shipments_Scenario_X,Shipments!$F$5:$AQ$5,0))</f>
        <v>0.77910205754820672</v>
      </c>
      <c r="AI119" s="530">
        <f ca="1">OFFSET(OFFSET(Shipments!$D$1,0,MATCH(AI$7,Dates)),
MATCH(OFFSET($C117,((MATCH($C117,EL_List,0)-1)*-10)-3,0),Shipments!$C:$C,0)+
MATCH(OFFSET($C117,((MATCH($C117,EL_List,0)-1)*-10)-1,0),Shipments!$D:$D,0)+
MATCH($C117,EL_List,0)-10,
MATCH(Shipments_Scenario_X,Shipments!$F$5:$AQ$5,0))</f>
        <v>0.81762366861135127</v>
      </c>
      <c r="AJ119" s="530">
        <f ca="1">OFFSET(OFFSET(Shipments!$D$1,0,MATCH(AJ$7,Dates)),
MATCH(OFFSET($C117,((MATCH($C117,EL_List,0)-1)*-10)-3,0),Shipments!$C:$C,0)+
MATCH(OFFSET($C117,((MATCH($C117,EL_List,0)-1)*-10)-1,0),Shipments!$D:$D,0)+
MATCH($C117,EL_List,0)-10,
MATCH(Shipments_Scenario_X,Shipments!$F$5:$AQ$5,0))</f>
        <v>0.85801928594786359</v>
      </c>
      <c r="AK119" s="530">
        <f ca="1">OFFSET(OFFSET(Shipments!$D$1,0,MATCH(AK$7,Dates)),
MATCH(OFFSET($C117,((MATCH($C117,EL_List,0)-1)*-10)-3,0),Shipments!$C:$C,0)+
MATCH(OFFSET($C117,((MATCH($C117,EL_List,0)-1)*-10)-1,0),Shipments!$D:$D,0)+
MATCH($C117,EL_List,0)-10,
MATCH(Shipments_Scenario_X,Shipments!$F$5:$AQ$5,0))</f>
        <v>0.90038043686474412</v>
      </c>
      <c r="AL119" s="530">
        <f ca="1">OFFSET(OFFSET(Shipments!$D$1,0,MATCH(AL$7,Dates)),
MATCH(OFFSET($C117,((MATCH($C117,EL_List,0)-1)*-10)-3,0),Shipments!$C:$C,0)+
MATCH(OFFSET($C117,((MATCH($C117,EL_List,0)-1)*-10)-1,0),Shipments!$D:$D,0)+
MATCH($C117,EL_List,0)-10,
MATCH(Shipments_Scenario_X,Shipments!$F$5:$AQ$5,0))</f>
        <v>0.94480367095750362</v>
      </c>
      <c r="AM119" s="530">
        <f ca="1">OFFSET(OFFSET(Shipments!$D$1,0,MATCH(AM$7,Dates)),
MATCH(OFFSET($C117,((MATCH($C117,EL_List,0)-1)*-10)-3,0),Shipments!$C:$C,0)+
MATCH(OFFSET($C117,((MATCH($C117,EL_List,0)-1)*-10)-1,0),Shipments!$D:$D,0)+
MATCH($C117,EL_List,0)-10,
MATCH(Shipments_Scenario_X,Shipments!$F$5:$AQ$5,0))</f>
        <v>0.99139044823825295</v>
      </c>
      <c r="AN119" s="530">
        <f ca="1">OFFSET(OFFSET(Shipments!$D$1,0,MATCH(AN$7,Dates)),
MATCH(OFFSET($C117,((MATCH($C117,EL_List,0)-1)*-10)-3,0),Shipments!$C:$C,0)+
MATCH(OFFSET($C117,((MATCH($C117,EL_List,0)-1)*-10)-1,0),Shipments!$D:$D,0)+
MATCH($C117,EL_List,0)-10,
MATCH(Shipments_Scenario_X,Shipments!$F$5:$AQ$5,0))</f>
        <v>1.0402467368641242</v>
      </c>
      <c r="AO119" s="436"/>
      <c r="AP119" s="21"/>
    </row>
    <row r="120" spans="2:42" ht="15" customHeight="1" x14ac:dyDescent="0.35">
      <c r="B120" s="429"/>
      <c r="C120" s="777" t="s">
        <v>79</v>
      </c>
      <c r="D120" s="776"/>
      <c r="E120" s="531">
        <f t="shared" ref="E120:AN120" ca="1" si="28">E118*E119</f>
        <v>14.551346646156473</v>
      </c>
      <c r="F120" s="531">
        <f t="shared" ca="1" si="28"/>
        <v>15.099543119682769</v>
      </c>
      <c r="G120" s="531">
        <f t="shared" ca="1" si="28"/>
        <v>15.572271547151461</v>
      </c>
      <c r="H120" s="531">
        <f t="shared" ca="1" si="28"/>
        <v>16.208063249701983</v>
      </c>
      <c r="I120" s="531">
        <f t="shared" ca="1" si="28"/>
        <v>16.888067011391197</v>
      </c>
      <c r="J120" s="531">
        <f t="shared" ca="1" si="28"/>
        <v>17.641126052660383</v>
      </c>
      <c r="K120" s="531">
        <f t="shared" ca="1" si="28"/>
        <v>18.455792990152457</v>
      </c>
      <c r="L120" s="531">
        <f t="shared" ca="1" si="28"/>
        <v>19.315893331270626</v>
      </c>
      <c r="M120" s="531">
        <f t="shared" ca="1" si="28"/>
        <v>20.229315045369137</v>
      </c>
      <c r="N120" s="531">
        <f t="shared" ca="1" si="28"/>
        <v>21.169265456407199</v>
      </c>
      <c r="O120" s="531">
        <f t="shared" ca="1" si="28"/>
        <v>22.134736603150962</v>
      </c>
      <c r="P120" s="531">
        <f t="shared" ca="1" si="28"/>
        <v>23.129747396302413</v>
      </c>
      <c r="Q120" s="531">
        <f t="shared" ca="1" si="28"/>
        <v>24.16062407051038</v>
      </c>
      <c r="R120" s="531">
        <f t="shared" ca="1" si="28"/>
        <v>25.260883220122814</v>
      </c>
      <c r="S120" s="531">
        <f t="shared" ca="1" si="28"/>
        <v>26.385369164833079</v>
      </c>
      <c r="T120" s="531">
        <f t="shared" ca="1" si="28"/>
        <v>27.591165579791031</v>
      </c>
      <c r="U120" s="531">
        <f t="shared" ca="1" si="28"/>
        <v>28.825671406378298</v>
      </c>
      <c r="V120" s="531">
        <f t="shared" ca="1" si="28"/>
        <v>30.14435083158029</v>
      </c>
      <c r="W120" s="531">
        <f t="shared" ca="1" si="28"/>
        <v>31.521852165939908</v>
      </c>
      <c r="X120" s="531">
        <f t="shared" ca="1" si="28"/>
        <v>32.959081256695079</v>
      </c>
      <c r="Y120" s="531">
        <f t="shared" ca="1" si="28"/>
        <v>34.457776106465708</v>
      </c>
      <c r="Z120" s="531">
        <f t="shared" ca="1" si="28"/>
        <v>36.020533044009682</v>
      </c>
      <c r="AA120" s="531">
        <f t="shared" ca="1" si="28"/>
        <v>37.650430954667691</v>
      </c>
      <c r="AB120" s="531">
        <f t="shared" ca="1" si="28"/>
        <v>39.351073479493792</v>
      </c>
      <c r="AC120" s="531">
        <f t="shared" ca="1" si="28"/>
        <v>41.126030395445504</v>
      </c>
      <c r="AD120" s="531">
        <f t="shared" ca="1" si="28"/>
        <v>43.025787303798253</v>
      </c>
      <c r="AE120" s="531">
        <f t="shared" ca="1" si="28"/>
        <v>44.962163799611332</v>
      </c>
      <c r="AF120" s="531">
        <f t="shared" ca="1" si="28"/>
        <v>46.98331298121127</v>
      </c>
      <c r="AG120" s="531">
        <f t="shared" ca="1" si="28"/>
        <v>49.147005661374976</v>
      </c>
      <c r="AH120" s="531">
        <f t="shared" ca="1" si="28"/>
        <v>51.350930201580468</v>
      </c>
      <c r="AI120" s="531">
        <f t="shared" ca="1" si="28"/>
        <v>53.710471445446501</v>
      </c>
      <c r="AJ120" s="531">
        <f t="shared" ca="1" si="28"/>
        <v>56.113032698879181</v>
      </c>
      <c r="AK120" s="531">
        <f t="shared" ca="1" si="28"/>
        <v>58.685786197803637</v>
      </c>
      <c r="AL120" s="531">
        <f t="shared" ca="1" si="28"/>
        <v>61.373898479270288</v>
      </c>
      <c r="AM120" s="531">
        <f t="shared" ref="AM120" ca="1" si="29">AM118*AM119</f>
        <v>64.110057752037932</v>
      </c>
      <c r="AN120" s="531">
        <f t="shared" ca="1" si="28"/>
        <v>67.04074012058426</v>
      </c>
      <c r="AO120" s="436"/>
      <c r="AP120" s="21"/>
    </row>
    <row r="121" spans="2:42" ht="15" customHeight="1" x14ac:dyDescent="0.35">
      <c r="B121" s="429"/>
      <c r="C121" s="777"/>
      <c r="D121" s="776"/>
      <c r="E121" s="776"/>
      <c r="F121" s="776"/>
      <c r="G121" s="776"/>
      <c r="H121" s="776"/>
      <c r="I121" s="776"/>
      <c r="J121" s="776"/>
      <c r="K121" s="776"/>
      <c r="L121" s="776"/>
      <c r="M121" s="776"/>
      <c r="N121" s="776"/>
      <c r="O121" s="776"/>
      <c r="P121" s="776"/>
      <c r="Q121" s="776"/>
      <c r="R121" s="776"/>
      <c r="S121" s="776"/>
      <c r="T121" s="776"/>
      <c r="U121" s="776"/>
      <c r="V121" s="776"/>
      <c r="W121" s="776"/>
      <c r="X121" s="776"/>
      <c r="Y121" s="776"/>
      <c r="Z121" s="776"/>
      <c r="AA121" s="776"/>
      <c r="AB121" s="776"/>
      <c r="AC121" s="776"/>
      <c r="AD121" s="776"/>
      <c r="AE121" s="776"/>
      <c r="AF121" s="776"/>
      <c r="AG121" s="776"/>
      <c r="AH121" s="776"/>
      <c r="AI121" s="776"/>
      <c r="AJ121" s="776"/>
      <c r="AK121" s="776"/>
      <c r="AL121" s="776"/>
      <c r="AM121" s="776"/>
      <c r="AN121" s="776"/>
      <c r="AO121" s="436"/>
      <c r="AP121" s="21"/>
    </row>
    <row r="122" spans="2:42" ht="15" customHeight="1" x14ac:dyDescent="0.35">
      <c r="B122" s="429"/>
      <c r="C122" s="780" t="s">
        <v>212</v>
      </c>
      <c r="D122" s="776"/>
      <c r="E122" s="532" cm="1">
        <f t="array" aca="1" ref="E122" ca="1">IF(E$21&lt;Standard_Year,'No STDs Case Rev &amp; Cost'!E122,
OFFSET(E122,-3,0)*
OFFSET(MSP!$D$1,
MATCH(OFFSET($C117,((MATCH($C117,EL_List,0)-1)*-10)-1,0),MSP!$C:$C,0)+MATCH($C117,EL_List,0)-1,0)
*INDEX(Learning!$E$6:$S$41,(MATCH(E$21,Dates,0)),(MATCH($C$86,Learning!$E$4:$S$4,0)+MATCH($C$117,Learning!$E$5:$S$5,0)-1)))</f>
        <v>9.0475331273151554</v>
      </c>
      <c r="F122" s="532" cm="1">
        <f t="array" aca="1" ref="F122" ca="1">IF(F$21&lt;Standard_Year,'No STDs Case Rev &amp; Cost'!F122,
OFFSET(F122,-3,0)*
OFFSET(MSP!$D$1,
MATCH(OFFSET($C117,((MATCH($C117,EL_List,0)-1)*-10)-1,0),MSP!$C:$C,0)+MATCH($C117,EL_List,0)-1,0)
*INDEX(Learning!$E$6:$S$41,(MATCH(F$21,Dates,0)),(MATCH($C$86,Learning!$E$4:$S$4,0)+MATCH($C$117,Learning!$E$5:$S$5,0)-1)))</f>
        <v>9.3883830757848106</v>
      </c>
      <c r="G122" s="532" cm="1">
        <f t="array" aca="1" ref="G122" ca="1">IF(G$21&lt;Standard_Year,'No STDs Case Rev &amp; Cost'!G122,
OFFSET(G122,-3,0)*
OFFSET(MSP!$D$1,
MATCH(OFFSET($C117,((MATCH($C117,EL_List,0)-1)*-10)-1,0),MSP!$C:$C,0)+MATCH($C117,EL_List,0)-1,0)
*INDEX(Learning!$E$6:$S$41,(MATCH(G$21,Dates,0)),(MATCH($C$86,Learning!$E$4:$S$4,0)+MATCH($C$117,Learning!$E$5:$S$5,0)-1)))</f>
        <v>9.6823095563883292</v>
      </c>
      <c r="H122" s="532" cm="1">
        <f t="array" aca="1" ref="H122" ca="1">IF(H$21&lt;Standard_Year,'No STDs Case Rev &amp; Cost'!H122,
OFFSET(H122,-3,0)*
OFFSET(MSP!$D$1,
MATCH(OFFSET($C117,((MATCH($C117,EL_List,0)-1)*-10)-1,0),MSP!$C:$C,0)+MATCH($C117,EL_List,0)-1,0)
*INDEX(Learning!$E$6:$S$41,(MATCH(H$21,Dates,0)),(MATCH($C$86,Learning!$E$4:$S$4,0)+MATCH($C$117,Learning!$E$5:$S$5,0)-1)))</f>
        <v>10.077623243209018</v>
      </c>
      <c r="I122" s="532" cm="1">
        <f t="array" aca="1" ref="I122" ca="1">IF(I$21&lt;Standard_Year,'No STDs Case Rev &amp; Cost'!I122,
OFFSET(I122,-3,0)*
OFFSET(MSP!$D$1,
MATCH(OFFSET($C117,((MATCH($C117,EL_List,0)-1)*-10)-1,0),MSP!$C:$C,0)+MATCH($C117,EL_List,0)-1,0)
*INDEX(Learning!$E$6:$S$41,(MATCH(I$21,Dates,0)),(MATCH($C$86,Learning!$E$4:$S$4,0)+MATCH($C$117,Learning!$E$5:$S$5,0)-1)))</f>
        <v>10.500426486797963</v>
      </c>
      <c r="J122" s="532" cm="1">
        <f t="array" aca="1" ref="J122" ca="1">IF(J$21&lt;Standard_Year,'No STDs Case Rev &amp; Cost'!J122,
OFFSET(J122,-3,0)*
OFFSET(MSP!$D$1,
MATCH(OFFSET($C117,((MATCH($C117,EL_List,0)-1)*-10)-1,0),MSP!$C:$C,0)+MATCH($C117,EL_List,0)-1,0)
*INDEX(Learning!$E$6:$S$41,(MATCH(J$21,Dates,0)),(MATCH($C$86,Learning!$E$4:$S$4,0)+MATCH($C$117,Learning!$E$5:$S$5,0)-1)))</f>
        <v>10.968653022003679</v>
      </c>
      <c r="K122" s="532" cm="1">
        <f t="array" aca="1" ref="K122" ca="1">IF(K$21&lt;Standard_Year,'No STDs Case Rev &amp; Cost'!K122,
OFFSET(K122,-3,0)*
OFFSET(MSP!$D$1,
MATCH(OFFSET($C117,((MATCH($C117,EL_List,0)-1)*-10)-1,0),MSP!$C:$C,0)+MATCH($C117,EL_List,0)-1,0)
*INDEX(Learning!$E$6:$S$41,(MATCH(K$21,Dates,0)),(MATCH($C$86,Learning!$E$4:$S$4,0)+MATCH($C$117,Learning!$E$5:$S$5,0)-1)))</f>
        <v>11.475185254649981</v>
      </c>
      <c r="L122" s="532" cm="1">
        <f t="array" aca="1" ref="L122" ca="1">IF(L$21&lt;Standard_Year,'No STDs Case Rev &amp; Cost'!L122,
OFFSET(L122,-3,0)*
OFFSET(MSP!$D$1,
MATCH(OFFSET($C117,((MATCH($C117,EL_List,0)-1)*-10)-1,0),MSP!$C:$C,0)+MATCH($C117,EL_List,0)-1,0)
*INDEX(Learning!$E$6:$S$41,(MATCH(L$21,Dates,0)),(MATCH($C$86,Learning!$E$4:$S$4,0)+MATCH($C$117,Learning!$E$5:$S$5,0)-1)))</f>
        <v>12.009966434585456</v>
      </c>
      <c r="M122" s="532" cm="1">
        <f t="array" aca="1" ref="M122" ca="1">IF(M$21&lt;Standard_Year,'No STDs Case Rev &amp; Cost'!M122,
OFFSET(M122,-3,0)*
OFFSET(MSP!$D$1,
MATCH(OFFSET($C117,((MATCH($C117,EL_List,0)-1)*-10)-1,0),MSP!$C:$C,0)+MATCH($C117,EL_List,0)-1,0)
*INDEX(Learning!$E$6:$S$41,(MATCH(M$21,Dates,0)),(MATCH($C$86,Learning!$E$4:$S$4,0)+MATCH($C$117,Learning!$E$5:$S$5,0)-1)))</f>
        <v>12.57790103325012</v>
      </c>
      <c r="N122" s="532" cm="1">
        <f t="array" aca="1" ref="N122" ca="1">IF(N$21&lt;Standard_Year,'No STDs Case Rev &amp; Cost'!N122,
OFFSET(N122,-3,0)*
OFFSET(MSP!$D$1,
MATCH(OFFSET($C117,((MATCH($C117,EL_List,0)-1)*-10)-1,0),MSP!$C:$C,0)+MATCH($C117,EL_List,0)-1,0)
*INDEX(Learning!$E$6:$S$41,(MATCH(N$21,Dates,0)),(MATCH($C$86,Learning!$E$4:$S$4,0)+MATCH($C$117,Learning!$E$5:$S$5,0)-1)))</f>
        <v>13.16233027465965</v>
      </c>
      <c r="O122" s="532" cm="1">
        <f t="array" aca="1" ref="O122" ca="1">IF(O$21&lt;Standard_Year,'No STDs Case Rev &amp; Cost'!O122,
OFFSET(O122,-3,0)*
OFFSET(MSP!$D$1,
MATCH(OFFSET($C117,((MATCH($C117,EL_List,0)-1)*-10)-1,0),MSP!$C:$C,0)+MATCH($C117,EL_List,0)-1,0)
*INDEX(Learning!$E$6:$S$41,(MATCH(O$21,Dates,0)),(MATCH($C$86,Learning!$E$4:$S$4,0)+MATCH($C$117,Learning!$E$5:$S$5,0)-1)))</f>
        <v>13.762627442752917</v>
      </c>
      <c r="P122" s="532" cm="1">
        <f t="array" aca="1" ref="P122" ca="1">IF(P$21&lt;Standard_Year,'No STDs Case Rev &amp; Cost'!P122,
OFFSET(P122,-3,0)*
OFFSET(MSP!$D$1,
MATCH(OFFSET($C117,((MATCH($C117,EL_List,0)-1)*-10)-1,0),MSP!$C:$C,0)+MATCH($C117,EL_List,0)-1,0)
*INDEX(Learning!$E$6:$S$41,(MATCH(P$21,Dates,0)),(MATCH($C$86,Learning!$E$4:$S$4,0)+MATCH($C$117,Learning!$E$5:$S$5,0)-1)))</f>
        <v>14.381291359707417</v>
      </c>
      <c r="Q122" s="532" cm="1">
        <f t="array" aca="1" ref="Q122" ca="1">IF(Q$21&lt;Standard_Year,'No STDs Case Rev &amp; Cost'!Q122,
OFFSET(Q122,-3,0)*
OFFSET(MSP!$D$1,
MATCH(OFFSET($C117,((MATCH($C117,EL_List,0)-1)*-10)-1,0),MSP!$C:$C,0)+MATCH($C117,EL_List,0)-1,0)
*INDEX(Learning!$E$6:$S$41,(MATCH(Q$21,Dates,0)),(MATCH($C$86,Learning!$E$4:$S$4,0)+MATCH($C$117,Learning!$E$5:$S$5,0)-1)))</f>
        <v>15.022255463365591</v>
      </c>
      <c r="R122" s="532" cm="1">
        <f t="array" aca="1" ref="R122" ca="1">IF(R$21&lt;Standard_Year,'No STDs Case Rev &amp; Cost'!R122,
OFFSET(R122,-3,0)*
OFFSET(MSP!$D$1,
MATCH(OFFSET($C117,((MATCH($C117,EL_List,0)-1)*-10)-1,0),MSP!$C:$C,0)+MATCH($C117,EL_List,0)-1,0)
*INDEX(Learning!$E$6:$S$41,(MATCH(R$21,Dates,0)),(MATCH($C$86,Learning!$E$4:$S$4,0)+MATCH($C$117,Learning!$E$5:$S$5,0)-1)))</f>
        <v>15.706359233746147</v>
      </c>
      <c r="S122" s="532" cm="1">
        <f t="array" aca="1" ref="S122" ca="1">IF(S$21&lt;Standard_Year,'No STDs Case Rev &amp; Cost'!S122,
OFFSET(S122,-3,0)*
OFFSET(MSP!$D$1,
MATCH(OFFSET($C117,((MATCH($C117,EL_List,0)-1)*-10)-1,0),MSP!$C:$C,0)+MATCH($C117,EL_List,0)-1,0)
*INDEX(Learning!$E$6:$S$41,(MATCH(S$21,Dates,0)),(MATCH($C$86,Learning!$E$4:$S$4,0)+MATCH($C$117,Learning!$E$5:$S$5,0)-1)))</f>
        <v>16.405526402487446</v>
      </c>
      <c r="T122" s="532" cm="1">
        <f t="array" aca="1" ref="T122" ca="1">IF(T$21&lt;Standard_Year,'No STDs Case Rev &amp; Cost'!T122,
OFFSET(T122,-3,0)*
OFFSET(MSP!$D$1,
MATCH(OFFSET($C117,((MATCH($C117,EL_List,0)-1)*-10)-1,0),MSP!$C:$C,0)+MATCH($C117,EL_List,0)-1,0)
*INDEX(Learning!$E$6:$S$41,(MATCH(T$21,Dates,0)),(MATCH($C$86,Learning!$E$4:$S$4,0)+MATCH($C$117,Learning!$E$5:$S$5,0)-1)))</f>
        <v>17.155249660026051</v>
      </c>
      <c r="U122" s="532" cm="1">
        <f t="array" aca="1" ref="U122" ca="1">IF(U$21&lt;Standard_Year,'No STDs Case Rev &amp; Cost'!U122,
OFFSET(U122,-3,0)*
OFFSET(MSP!$D$1,
MATCH(OFFSET($C117,((MATCH($C117,EL_List,0)-1)*-10)-1,0),MSP!$C:$C,0)+MATCH($C117,EL_List,0)-1,0)
*INDEX(Learning!$E$6:$S$41,(MATCH(U$21,Dates,0)),(MATCH($C$86,Learning!$E$4:$S$4,0)+MATCH($C$117,Learning!$E$5:$S$5,0)-1)))</f>
        <v>17.922823454638529</v>
      </c>
      <c r="V122" s="532" cm="1">
        <f t="array" aca="1" ref="V122" ca="1">IF(V$21&lt;Standard_Year,'No STDs Case Rev &amp; Cost'!V122,
OFFSET(V122,-3,0)*
OFFSET(MSP!$D$1,
MATCH(OFFSET($C117,((MATCH($C117,EL_List,0)-1)*-10)-1,0),MSP!$C:$C,0)+MATCH($C117,EL_List,0)-1,0)
*INDEX(Learning!$E$6:$S$41,(MATCH(V$21,Dates,0)),(MATCH($C$86,Learning!$E$4:$S$4,0)+MATCH($C$117,Learning!$E$5:$S$5,0)-1)))</f>
        <v>18.74273353402457</v>
      </c>
      <c r="W122" s="532" cm="1">
        <f t="array" aca="1" ref="W122" ca="1">IF(W$21&lt;Standard_Year,'No STDs Case Rev &amp; Cost'!W122,
OFFSET(W122,-3,0)*
OFFSET(MSP!$D$1,
MATCH(OFFSET($C117,((MATCH($C117,EL_List,0)-1)*-10)-1,0),MSP!$C:$C,0)+MATCH($C117,EL_List,0)-1,0)
*INDEX(Learning!$E$6:$S$41,(MATCH(W$21,Dates,0)),(MATCH($C$86,Learning!$E$4:$S$4,0)+MATCH($C$117,Learning!$E$5:$S$5,0)-1)))</f>
        <v>19.599217078716386</v>
      </c>
      <c r="X122" s="532" cm="1">
        <f t="array" aca="1" ref="X122" ca="1">IF(X$21&lt;Standard_Year,'No STDs Case Rev &amp; Cost'!X122,
OFFSET(X122,-3,0)*
OFFSET(MSP!$D$1,
MATCH(OFFSET($C117,((MATCH($C117,EL_List,0)-1)*-10)-1,0),MSP!$C:$C,0)+MATCH($C117,EL_List,0)-1,0)
*INDEX(Learning!$E$6:$S$41,(MATCH(X$21,Dates,0)),(MATCH($C$86,Learning!$E$4:$S$4,0)+MATCH($C$117,Learning!$E$5:$S$5,0)-1)))</f>
        <v>20.492837313760621</v>
      </c>
      <c r="Y122" s="532" cm="1">
        <f t="array" aca="1" ref="Y122" ca="1">IF(Y$21&lt;Standard_Year,'No STDs Case Rev &amp; Cost'!Y122,
OFFSET(Y122,-3,0)*
OFFSET(MSP!$D$1,
MATCH(OFFSET($C117,((MATCH($C117,EL_List,0)-1)*-10)-1,0),MSP!$C:$C,0)+MATCH($C117,EL_List,0)-1,0)
*INDEX(Learning!$E$6:$S$41,(MATCH(Y$21,Dates,0)),(MATCH($C$86,Learning!$E$4:$S$4,0)+MATCH($C$117,Learning!$E$5:$S$5,0)-1)))</f>
        <v>21.424674870157361</v>
      </c>
      <c r="Z122" s="532" cm="1">
        <f t="array" aca="1" ref="Z122" ca="1">IF(Z$21&lt;Standard_Year,'No STDs Case Rev &amp; Cost'!Z122,
OFFSET(Z122,-3,0)*
OFFSET(MSP!$D$1,
MATCH(OFFSET($C117,((MATCH($C117,EL_List,0)-1)*-10)-1,0),MSP!$C:$C,0)+MATCH($C117,EL_List,0)-1,0)
*INDEX(Learning!$E$6:$S$41,(MATCH(Z$21,Dates,0)),(MATCH($C$86,Learning!$E$4:$S$4,0)+MATCH($C$117,Learning!$E$5:$S$5,0)-1)))</f>
        <v>22.396344056947392</v>
      </c>
      <c r="AA122" s="532" cm="1">
        <f t="array" aca="1" ref="AA122" ca="1">IF(AA$21&lt;Standard_Year,'No STDs Case Rev &amp; Cost'!AA122,
OFFSET(AA122,-3,0)*
OFFSET(MSP!$D$1,
MATCH(OFFSET($C117,((MATCH($C117,EL_List,0)-1)*-10)-1,0),MSP!$C:$C,0)+MATCH($C117,EL_List,0)-1,0)
*INDEX(Learning!$E$6:$S$41,(MATCH(AA$21,Dates,0)),(MATCH($C$86,Learning!$E$4:$S$4,0)+MATCH($C$117,Learning!$E$5:$S$5,0)-1)))</f>
        <v>23.409759220465276</v>
      </c>
      <c r="AB122" s="532" cm="1">
        <f t="array" aca="1" ref="AB122" ca="1">IF(AB$21&lt;Standard_Year,'No STDs Case Rev &amp; Cost'!AB122,
OFFSET(AB122,-3,0)*
OFFSET(MSP!$D$1,
MATCH(OFFSET($C117,((MATCH($C117,EL_List,0)-1)*-10)-1,0),MSP!$C:$C,0)+MATCH($C117,EL_List,0)-1,0)
*INDEX(Learning!$E$6:$S$41,(MATCH(AB$21,Dates,0)),(MATCH($C$86,Learning!$E$4:$S$4,0)+MATCH($C$117,Learning!$E$5:$S$5,0)-1)))</f>
        <v>24.46716098232552</v>
      </c>
      <c r="AC122" s="532" cm="1">
        <f t="array" aca="1" ref="AC122" ca="1">IF(AC$21&lt;Standard_Year,'No STDs Case Rev &amp; Cost'!AC122,
OFFSET(AC122,-3,0)*
OFFSET(MSP!$D$1,
MATCH(OFFSET($C117,((MATCH($C117,EL_List,0)-1)*-10)-1,0),MSP!$C:$C,0)+MATCH($C117,EL_List,0)-1,0)
*INDEX(Learning!$E$6:$S$41,(MATCH(AC$21,Dates,0)),(MATCH($C$86,Learning!$E$4:$S$4,0)+MATCH($C$117,Learning!$E$5:$S$5,0)-1)))</f>
        <v>25.570768908597557</v>
      </c>
      <c r="AD122" s="532" cm="1">
        <f t="array" aca="1" ref="AD122" ca="1">IF(AD$21&lt;Standard_Year,'No STDs Case Rev &amp; Cost'!AD122,
OFFSET(AD122,-3,0)*
OFFSET(MSP!$D$1,
MATCH(OFFSET($C117,((MATCH($C117,EL_List,0)-1)*-10)-1,0),MSP!$C:$C,0)+MATCH($C117,EL_List,0)-1,0)
*INDEX(Learning!$E$6:$S$41,(MATCH(AD$21,Dates,0)),(MATCH($C$86,Learning!$E$4:$S$4,0)+MATCH($C$117,Learning!$E$5:$S$5,0)-1)))</f>
        <v>26.751973231477685</v>
      </c>
      <c r="AE122" s="532" cm="1">
        <f t="array" aca="1" ref="AE122" ca="1">IF(AE$21&lt;Standard_Year,'No STDs Case Rev &amp; Cost'!AE122,
OFFSET(AE122,-3,0)*
OFFSET(MSP!$D$1,
MATCH(OFFSET($C117,((MATCH($C117,EL_List,0)-1)*-10)-1,0),MSP!$C:$C,0)+MATCH($C117,EL_List,0)-1,0)
*INDEX(Learning!$E$6:$S$41,(MATCH(AE$21,Dates,0)),(MATCH($C$86,Learning!$E$4:$S$4,0)+MATCH($C$117,Learning!$E$5:$S$5,0)-1)))</f>
        <v>27.955946370104744</v>
      </c>
      <c r="AF122" s="532" cm="1">
        <f t="array" aca="1" ref="AF122" ca="1">IF(AF$21&lt;Standard_Year,'No STDs Case Rev &amp; Cost'!AF122,
OFFSET(AF122,-3,0)*
OFFSET(MSP!$D$1,
MATCH(OFFSET($C117,((MATCH($C117,EL_List,0)-1)*-10)-1,0),MSP!$C:$C,0)+MATCH($C117,EL_List,0)-1,0)
*INDEX(Learning!$E$6:$S$41,(MATCH(AF$21,Dates,0)),(MATCH($C$86,Learning!$E$4:$S$4,0)+MATCH($C$117,Learning!$E$5:$S$5,0)-1)))</f>
        <v>29.212628285561784</v>
      </c>
      <c r="AG122" s="532" cm="1">
        <f t="array" aca="1" ref="AG122" ca="1">IF(AG$21&lt;Standard_Year,'No STDs Case Rev &amp; Cost'!AG122,
OFFSET(AG122,-3,0)*
OFFSET(MSP!$D$1,
MATCH(OFFSET($C117,((MATCH($C117,EL_List,0)-1)*-10)-1,0),MSP!$C:$C,0)+MATCH($C117,EL_List,0)-1,0)
*INDEX(Learning!$E$6:$S$41,(MATCH(AG$21,Dates,0)),(MATCH($C$86,Learning!$E$4:$S$4,0)+MATCH($C$117,Learning!$E$5:$S$5,0)-1)))</f>
        <v>30.557938907124168</v>
      </c>
      <c r="AH122" s="532" cm="1">
        <f t="array" aca="1" ref="AH122" ca="1">IF(AH$21&lt;Standard_Year,'No STDs Case Rev &amp; Cost'!AH122,
OFFSET(AH122,-3,0)*
OFFSET(MSP!$D$1,
MATCH(OFFSET($C117,((MATCH($C117,EL_List,0)-1)*-10)-1,0),MSP!$C:$C,0)+MATCH($C117,EL_List,0)-1,0)
*INDEX(Learning!$E$6:$S$41,(MATCH(AH$21,Dates,0)),(MATCH($C$86,Learning!$E$4:$S$4,0)+MATCH($C$117,Learning!$E$5:$S$5,0)-1)))</f>
        <v>31.928264332838559</v>
      </c>
      <c r="AI122" s="532" cm="1">
        <f t="array" aca="1" ref="AI122" ca="1">IF(AI$21&lt;Standard_Year,'No STDs Case Rev &amp; Cost'!AI122,
OFFSET(AI122,-3,0)*
OFFSET(MSP!$D$1,
MATCH(OFFSET($C117,((MATCH($C117,EL_List,0)-1)*-10)-1,0),MSP!$C:$C,0)+MATCH($C117,EL_List,0)-1,0)
*INDEX(Learning!$E$6:$S$41,(MATCH(AI$21,Dates,0)),(MATCH($C$86,Learning!$E$4:$S$4,0)+MATCH($C$117,Learning!$E$5:$S$5,0)-1)))</f>
        <v>33.395346939573322</v>
      </c>
      <c r="AJ122" s="532" cm="1">
        <f t="array" aca="1" ref="AJ122" ca="1">IF(AJ$21&lt;Standard_Year,'No STDs Case Rev &amp; Cost'!AJ122,
OFFSET(AJ122,-3,0)*
OFFSET(MSP!$D$1,
MATCH(OFFSET($C117,((MATCH($C117,EL_List,0)-1)*-10)-1,0),MSP!$C:$C,0)+MATCH($C117,EL_List,0)-1,0)
*INDEX(Learning!$E$6:$S$41,(MATCH(AJ$21,Dates,0)),(MATCH($C$86,Learning!$E$4:$S$4,0)+MATCH($C$117,Learning!$E$5:$S$5,0)-1)))</f>
        <v>34.889177927138824</v>
      </c>
      <c r="AK122" s="532" cm="1">
        <f t="array" aca="1" ref="AK122" ca="1">IF(AK$21&lt;Standard_Year,'No STDs Case Rev &amp; Cost'!AK122,
OFFSET(AK122,-3,0)*
OFFSET(MSP!$D$1,
MATCH(OFFSET($C117,((MATCH($C117,EL_List,0)-1)*-10)-1,0),MSP!$C:$C,0)+MATCH($C117,EL_List,0)-1,0)
*INDEX(Learning!$E$6:$S$41,(MATCH(AK$21,Dates,0)),(MATCH($C$86,Learning!$E$4:$S$4,0)+MATCH($C$117,Learning!$E$5:$S$5,0)-1)))</f>
        <v>36.488828672596348</v>
      </c>
      <c r="AL122" s="532" cm="1">
        <f t="array" aca="1" ref="AL122" ca="1">IF(AL$21&lt;Standard_Year,'No STDs Case Rev &amp; Cost'!AL122,
OFFSET(AL122,-3,0)*
OFFSET(MSP!$D$1,
MATCH(OFFSET($C117,((MATCH($C117,EL_List,0)-1)*-10)-1,0),MSP!$C:$C,0)+MATCH($C117,EL_List,0)-1,0)
*INDEX(Learning!$E$6:$S$41,(MATCH(AL$21,Dates,0)),(MATCH($C$86,Learning!$E$4:$S$4,0)+MATCH($C$117,Learning!$E$5:$S$5,0)-1)))</f>
        <v>38.16020559102995</v>
      </c>
      <c r="AM122" s="532" cm="1">
        <f t="array" aca="1" ref="AM122" ca="1">IF(AM$21&lt;Standard_Year,'No STDs Case Rev &amp; Cost'!AM122,
OFFSET(AM122,-3,0)*
OFFSET(MSP!$D$1,
MATCH(OFFSET($C117,((MATCH($C117,EL_List,0)-1)*-10)-1,0),MSP!$C:$C,0)+MATCH($C117,EL_List,0)-1,0)
*INDEX(Learning!$E$6:$S$41,(MATCH(AM$21,Dates,0)),(MATCH($C$86,Learning!$E$4:$S$4,0)+MATCH($C$117,Learning!$E$5:$S$5,0)-1)))</f>
        <v>39.861456496801942</v>
      </c>
      <c r="AN122" s="532" cm="1">
        <f t="array" aca="1" ref="AN122" ca="1">IF(AN$21&lt;Standard_Year,'No STDs Case Rev &amp; Cost'!AN122,
OFFSET(AN122,-3,0)*
OFFSET(MSP!$D$1,
MATCH(OFFSET($C117,((MATCH($C117,EL_List,0)-1)*-10)-1,0),MSP!$C:$C,0)+MATCH($C117,EL_List,0)-1,0)
*INDEX(Learning!$E$6:$S$41,(MATCH(AN$21,Dates,0)),(MATCH($C$86,Learning!$E$4:$S$4,0)+MATCH($C$117,Learning!$E$5:$S$5,0)-1)))</f>
        <v>41.683655256809146</v>
      </c>
      <c r="AO122" s="436"/>
      <c r="AP122" s="21"/>
    </row>
    <row r="123" spans="2:42" ht="15" customHeight="1" x14ac:dyDescent="0.35">
      <c r="B123" s="429"/>
      <c r="C123" s="780" t="s">
        <v>213</v>
      </c>
      <c r="D123" s="776"/>
      <c r="E123" s="533" cm="1">
        <f t="array" aca="1" ref="E123" ca="1">IF(E$21&lt;Standard_Year,'No STDs Case Rev &amp; Cost'!E123,
OFFSET(E123,-4,0)*
OFFSET(MSP!$E$1,
MATCH(OFFSET($C117,((MATCH($C117,EL_List,0)-1)*-10)-1,0),MSP!$C:$C,0)+MATCH($C117,EL_List,0)-1,0)
*INDEX(Learning!$E$6:$S$41,(MATCH(E$21,Dates,0)),(MATCH($C$86,Learning!$E$4:$S$4,0)+MATCH($C$117,Learning!$E$5:$S$5,0)-1)))</f>
        <v>0.2257736952459789</v>
      </c>
      <c r="F123" s="533" cm="1">
        <f t="array" aca="1" ref="F123" ca="1">IF(F$21&lt;Standard_Year,'No STDs Case Rev &amp; Cost'!F123,
OFFSET(F123,-4,0)*
OFFSET(MSP!$E$1,
MATCH(OFFSET($C117,((MATCH($C117,EL_List,0)-1)*-10)-1,0),MSP!$C:$C,0)+MATCH($C117,EL_List,0)-1,0)
*INDEX(Learning!$E$6:$S$41,(MATCH(F$21,Dates,0)),(MATCH($C$86,Learning!$E$4:$S$4,0)+MATCH($C$117,Learning!$E$5:$S$5,0)-1)))</f>
        <v>0.23427932338875548</v>
      </c>
      <c r="G123" s="533" cm="1">
        <f t="array" aca="1" ref="G123" ca="1">IF(G$21&lt;Standard_Year,'No STDs Case Rev &amp; Cost'!G123,
OFFSET(G123,-4,0)*
OFFSET(MSP!$E$1,
MATCH(OFFSET($C117,((MATCH($C117,EL_List,0)-1)*-10)-1,0),MSP!$C:$C,0)+MATCH($C117,EL_List,0)-1,0)
*INDEX(Learning!$E$6:$S$41,(MATCH(G$21,Dates,0)),(MATCH($C$86,Learning!$E$4:$S$4,0)+MATCH($C$117,Learning!$E$5:$S$5,0)-1)))</f>
        <v>0.24161401525699014</v>
      </c>
      <c r="H123" s="533" cm="1">
        <f t="array" aca="1" ref="H123" ca="1">IF(H$21&lt;Standard_Year,'No STDs Case Rev &amp; Cost'!H123,
OFFSET(H123,-4,0)*
OFFSET(MSP!$E$1,
MATCH(OFFSET($C117,((MATCH($C117,EL_List,0)-1)*-10)-1,0),MSP!$C:$C,0)+MATCH($C117,EL_List,0)-1,0)
*INDEX(Learning!$E$6:$S$41,(MATCH(H$21,Dates,0)),(MATCH($C$86,Learning!$E$4:$S$4,0)+MATCH($C$117,Learning!$E$5:$S$5,0)-1)))</f>
        <v>0.25147874087875788</v>
      </c>
      <c r="I123" s="533" cm="1">
        <f t="array" aca="1" ref="I123" ca="1">IF(I$21&lt;Standard_Year,'No STDs Case Rev &amp; Cost'!I123,
OFFSET(I123,-4,0)*
OFFSET(MSP!$E$1,
MATCH(OFFSET($C117,((MATCH($C117,EL_List,0)-1)*-10)-1,0),MSP!$C:$C,0)+MATCH($C117,EL_List,0)-1,0)
*INDEX(Learning!$E$6:$S$41,(MATCH(I$21,Dates,0)),(MATCH($C$86,Learning!$E$4:$S$4,0)+MATCH($C$117,Learning!$E$5:$S$5,0)-1)))</f>
        <v>0.26202944562045904</v>
      </c>
      <c r="J123" s="533" cm="1">
        <f t="array" aca="1" ref="J123" ca="1">IF(J$21&lt;Standard_Year,'No STDs Case Rev &amp; Cost'!J123,
OFFSET(J123,-4,0)*
OFFSET(MSP!$E$1,
MATCH(OFFSET($C117,((MATCH($C117,EL_List,0)-1)*-10)-1,0),MSP!$C:$C,0)+MATCH($C117,EL_List,0)-1,0)
*INDEX(Learning!$E$6:$S$41,(MATCH(J$21,Dates,0)),(MATCH($C$86,Learning!$E$4:$S$4,0)+MATCH($C$117,Learning!$E$5:$S$5,0)-1)))</f>
        <v>0.27371365098097433</v>
      </c>
      <c r="K123" s="533" cm="1">
        <f t="array" aca="1" ref="K123" ca="1">IF(K$21&lt;Standard_Year,'No STDs Case Rev &amp; Cost'!K123,
OFFSET(K123,-4,0)*
OFFSET(MSP!$E$1,
MATCH(OFFSET($C117,((MATCH($C117,EL_List,0)-1)*-10)-1,0),MSP!$C:$C,0)+MATCH($C117,EL_List,0)-1,0)
*INDEX(Learning!$E$6:$S$41,(MATCH(K$21,Dates,0)),(MATCH($C$86,Learning!$E$4:$S$4,0)+MATCH($C$117,Learning!$E$5:$S$5,0)-1)))</f>
        <v>0.28635374329304175</v>
      </c>
      <c r="L123" s="533" cm="1">
        <f t="array" aca="1" ref="L123" ca="1">IF(L$21&lt;Standard_Year,'No STDs Case Rev &amp; Cost'!L123,
OFFSET(L123,-4,0)*
OFFSET(MSP!$E$1,
MATCH(OFFSET($C117,((MATCH($C117,EL_List,0)-1)*-10)-1,0),MSP!$C:$C,0)+MATCH($C117,EL_List,0)-1,0)
*INDEX(Learning!$E$6:$S$41,(MATCH(L$21,Dates,0)),(MATCH($C$86,Learning!$E$4:$S$4,0)+MATCH($C$117,Learning!$E$5:$S$5,0)-1)))</f>
        <v>0.29969876468649931</v>
      </c>
      <c r="M123" s="533" cm="1">
        <f t="array" aca="1" ref="M123" ca="1">IF(M$21&lt;Standard_Year,'No STDs Case Rev &amp; Cost'!M123,
OFFSET(M123,-4,0)*
OFFSET(MSP!$E$1,
MATCH(OFFSET($C117,((MATCH($C117,EL_List,0)-1)*-10)-1,0),MSP!$C:$C,0)+MATCH($C117,EL_List,0)-1,0)
*INDEX(Learning!$E$6:$S$41,(MATCH(M$21,Dates,0)),(MATCH($C$86,Learning!$E$4:$S$4,0)+MATCH($C$117,Learning!$E$5:$S$5,0)-1)))</f>
        <v>0.31387110218382702</v>
      </c>
      <c r="N123" s="533" cm="1">
        <f t="array" aca="1" ref="N123" ca="1">IF(N$21&lt;Standard_Year,'No STDs Case Rev &amp; Cost'!N123,
OFFSET(N123,-4,0)*
OFFSET(MSP!$E$1,
MATCH(OFFSET($C117,((MATCH($C117,EL_List,0)-1)*-10)-1,0),MSP!$C:$C,0)+MATCH($C117,EL_List,0)-1,0)
*INDEX(Learning!$E$6:$S$41,(MATCH(N$21,Dates,0)),(MATCH($C$86,Learning!$E$4:$S$4,0)+MATCH($C$117,Learning!$E$5:$S$5,0)-1)))</f>
        <v>0.32845504982856921</v>
      </c>
      <c r="O123" s="533" cm="1">
        <f t="array" aca="1" ref="O123" ca="1">IF(O$21&lt;Standard_Year,'No STDs Case Rev &amp; Cost'!O123,
OFFSET(O123,-4,0)*
OFFSET(MSP!$E$1,
MATCH(OFFSET($C117,((MATCH($C117,EL_List,0)-1)*-10)-1,0),MSP!$C:$C,0)+MATCH($C117,EL_List,0)-1,0)
*INDEX(Learning!$E$6:$S$41,(MATCH(O$21,Dates,0)),(MATCH($C$86,Learning!$E$4:$S$4,0)+MATCH($C$117,Learning!$E$5:$S$5,0)-1)))</f>
        <v>0.34343496844052035</v>
      </c>
      <c r="P123" s="533" cm="1">
        <f t="array" aca="1" ref="P123" ca="1">IF(P$21&lt;Standard_Year,'No STDs Case Rev &amp; Cost'!P123,
OFFSET(P123,-4,0)*
OFFSET(MSP!$E$1,
MATCH(OFFSET($C117,((MATCH($C117,EL_List,0)-1)*-10)-1,0),MSP!$C:$C,0)+MATCH($C117,EL_List,0)-1,0)
*INDEX(Learning!$E$6:$S$41,(MATCH(P$21,Dates,0)),(MATCH($C$86,Learning!$E$4:$S$4,0)+MATCH($C$117,Learning!$E$5:$S$5,0)-1)))</f>
        <v>0.35887321405738032</v>
      </c>
      <c r="Q123" s="533" cm="1">
        <f t="array" aca="1" ref="Q123" ca="1">IF(Q$21&lt;Standard_Year,'No STDs Case Rev &amp; Cost'!Q123,
OFFSET(Q123,-4,0)*
OFFSET(MSP!$E$1,
MATCH(OFFSET($C117,((MATCH($C117,EL_List,0)-1)*-10)-1,0),MSP!$C:$C,0)+MATCH($C117,EL_List,0)-1,0)
*INDEX(Learning!$E$6:$S$41,(MATCH(Q$21,Dates,0)),(MATCH($C$86,Learning!$E$4:$S$4,0)+MATCH($C$117,Learning!$E$5:$S$5,0)-1)))</f>
        <v>0.37486794236249521</v>
      </c>
      <c r="R123" s="533" cm="1">
        <f t="array" aca="1" ref="R123" ca="1">IF(R$21&lt;Standard_Year,'No STDs Case Rev &amp; Cost'!R123,
OFFSET(R123,-4,0)*
OFFSET(MSP!$E$1,
MATCH(OFFSET($C117,((MATCH($C117,EL_List,0)-1)*-10)-1,0),MSP!$C:$C,0)+MATCH($C117,EL_List,0)-1,0)
*INDEX(Learning!$E$6:$S$41,(MATCH(R$21,Dates,0)),(MATCH($C$86,Learning!$E$4:$S$4,0)+MATCH($C$117,Learning!$E$5:$S$5,0)-1)))</f>
        <v>0.39193918531867972</v>
      </c>
      <c r="S123" s="533" cm="1">
        <f t="array" aca="1" ref="S123" ca="1">IF(S$21&lt;Standard_Year,'No STDs Case Rev &amp; Cost'!S123,
OFFSET(S123,-4,0)*
OFFSET(MSP!$E$1,
MATCH(OFFSET($C117,((MATCH($C117,EL_List,0)-1)*-10)-1,0),MSP!$C:$C,0)+MATCH($C117,EL_List,0)-1,0)
*INDEX(Learning!$E$6:$S$41,(MATCH(S$21,Dates,0)),(MATCH($C$86,Learning!$E$4:$S$4,0)+MATCH($C$117,Learning!$E$5:$S$5,0)-1)))</f>
        <v>0.40938632290415267</v>
      </c>
      <c r="T123" s="533" cm="1">
        <f t="array" aca="1" ref="T123" ca="1">IF(T$21&lt;Standard_Year,'No STDs Case Rev &amp; Cost'!T123,
OFFSET(T123,-4,0)*
OFFSET(MSP!$E$1,
MATCH(OFFSET($C117,((MATCH($C117,EL_List,0)-1)*-10)-1,0),MSP!$C:$C,0)+MATCH($C117,EL_List,0)-1,0)
*INDEX(Learning!$E$6:$S$41,(MATCH(T$21,Dates,0)),(MATCH($C$86,Learning!$E$4:$S$4,0)+MATCH($C$117,Learning!$E$5:$S$5,0)-1)))</f>
        <v>0.42809504581065544</v>
      </c>
      <c r="U123" s="533" cm="1">
        <f t="array" aca="1" ref="U123" ca="1">IF(U$21&lt;Standard_Year,'No STDs Case Rev &amp; Cost'!U123,
OFFSET(U123,-4,0)*
OFFSET(MSP!$E$1,
MATCH(OFFSET($C117,((MATCH($C117,EL_List,0)-1)*-10)-1,0),MSP!$C:$C,0)+MATCH($C117,EL_List,0)-1,0)
*INDEX(Learning!$E$6:$S$41,(MATCH(U$21,Dates,0)),(MATCH($C$86,Learning!$E$4:$S$4,0)+MATCH($C$117,Learning!$E$5:$S$5,0)-1)))</f>
        <v>0.44724921408448454</v>
      </c>
      <c r="V123" s="533" cm="1">
        <f t="array" aca="1" ref="V123" ca="1">IF(V$21&lt;Standard_Year,'No STDs Case Rev &amp; Cost'!V123,
OFFSET(V123,-4,0)*
OFFSET(MSP!$E$1,
MATCH(OFFSET($C117,((MATCH($C117,EL_List,0)-1)*-10)-1,0),MSP!$C:$C,0)+MATCH($C117,EL_List,0)-1,0)
*INDEX(Learning!$E$6:$S$41,(MATCH(V$21,Dates,0)),(MATCH($C$86,Learning!$E$4:$S$4,0)+MATCH($C$117,Learning!$E$5:$S$5,0)-1)))</f>
        <v>0.46770939099541914</v>
      </c>
      <c r="W123" s="533" cm="1">
        <f t="array" aca="1" ref="W123" ca="1">IF(W$21&lt;Standard_Year,'No STDs Case Rev &amp; Cost'!W123,
OFFSET(W123,-4,0)*
OFFSET(MSP!$E$1,
MATCH(OFFSET($C117,((MATCH($C117,EL_List,0)-1)*-10)-1,0),MSP!$C:$C,0)+MATCH($C117,EL_List,0)-1,0)
*INDEX(Learning!$E$6:$S$41,(MATCH(W$21,Dates,0)),(MATCH($C$86,Learning!$E$4:$S$4,0)+MATCH($C$117,Learning!$E$5:$S$5,0)-1)))</f>
        <v>0.48908222843976562</v>
      </c>
      <c r="X123" s="533" cm="1">
        <f t="array" aca="1" ref="X123" ca="1">IF(X$21&lt;Standard_Year,'No STDs Case Rev &amp; Cost'!X123,
OFFSET(X123,-4,0)*
OFFSET(MSP!$E$1,
MATCH(OFFSET($C117,((MATCH($C117,EL_List,0)-1)*-10)-1,0),MSP!$C:$C,0)+MATCH($C117,EL_List,0)-1,0)
*INDEX(Learning!$E$6:$S$41,(MATCH(X$21,Dates,0)),(MATCH($C$86,Learning!$E$4:$S$4,0)+MATCH($C$117,Learning!$E$5:$S$5,0)-1)))</f>
        <v>0.51138178123205125</v>
      </c>
      <c r="Y123" s="533" cm="1">
        <f t="array" aca="1" ref="Y123" ca="1">IF(Y$21&lt;Standard_Year,'No STDs Case Rev &amp; Cost'!Y123,
OFFSET(Y123,-4,0)*
OFFSET(MSP!$E$1,
MATCH(OFFSET($C117,((MATCH($C117,EL_List,0)-1)*-10)-1,0),MSP!$C:$C,0)+MATCH($C117,EL_List,0)-1,0)
*INDEX(Learning!$E$6:$S$41,(MATCH(Y$21,Dates,0)),(MATCH($C$86,Learning!$E$4:$S$4,0)+MATCH($C$117,Learning!$E$5:$S$5,0)-1)))</f>
        <v>0.53463501562381155</v>
      </c>
      <c r="Z123" s="533" cm="1">
        <f t="array" aca="1" ref="Z123" ca="1">IF(Z$21&lt;Standard_Year,'No STDs Case Rev &amp; Cost'!Z123,
OFFSET(Z123,-4,0)*
OFFSET(MSP!$E$1,
MATCH(OFFSET($C117,((MATCH($C117,EL_List,0)-1)*-10)-1,0),MSP!$C:$C,0)+MATCH($C117,EL_List,0)-1,0)
*INDEX(Learning!$E$6:$S$41,(MATCH(Z$21,Dates,0)),(MATCH($C$86,Learning!$E$4:$S$4,0)+MATCH($C$117,Learning!$E$5:$S$5,0)-1)))</f>
        <v>0.55888221536004945</v>
      </c>
      <c r="AA123" s="533" cm="1">
        <f t="array" aca="1" ref="AA123" ca="1">IF(AA$21&lt;Standard_Year,'No STDs Case Rev &amp; Cost'!AA123,
OFFSET(AA123,-4,0)*
OFFSET(MSP!$E$1,
MATCH(OFFSET($C117,((MATCH($C117,EL_List,0)-1)*-10)-1,0),MSP!$C:$C,0)+MATCH($C117,EL_List,0)-1,0)
*INDEX(Learning!$E$6:$S$41,(MATCH(AA$21,Dates,0)),(MATCH($C$86,Learning!$E$4:$S$4,0)+MATCH($C$117,Learning!$E$5:$S$5,0)-1)))</f>
        <v>0.58417115136791775</v>
      </c>
      <c r="AB123" s="533" cm="1">
        <f t="array" aca="1" ref="AB123" ca="1">IF(AB$21&lt;Standard_Year,'No STDs Case Rev &amp; Cost'!AB123,
OFFSET(AB123,-4,0)*
OFFSET(MSP!$E$1,
MATCH(OFFSET($C117,((MATCH($C117,EL_List,0)-1)*-10)-1,0),MSP!$C:$C,0)+MATCH($C117,EL_List,0)-1,0)
*INDEX(Learning!$E$6:$S$41,(MATCH(AB$21,Dates,0)),(MATCH($C$86,Learning!$E$4:$S$4,0)+MATCH($C$117,Learning!$E$5:$S$5,0)-1)))</f>
        <v>0.6105577365039303</v>
      </c>
      <c r="AC123" s="533" cm="1">
        <f t="array" aca="1" ref="AC123" ca="1">IF(AC$21&lt;Standard_Year,'No STDs Case Rev &amp; Cost'!AC123,
OFFSET(AC123,-4,0)*
OFFSET(MSP!$E$1,
MATCH(OFFSET($C117,((MATCH($C117,EL_List,0)-1)*-10)-1,0),MSP!$C:$C,0)+MATCH($C117,EL_List,0)-1,0)
*INDEX(Learning!$E$6:$S$41,(MATCH(AC$21,Dates,0)),(MATCH($C$86,Learning!$E$4:$S$4,0)+MATCH($C$117,Learning!$E$5:$S$5,0)-1)))</f>
        <v>0.63809735820091429</v>
      </c>
      <c r="AD123" s="533" cm="1">
        <f t="array" aca="1" ref="AD123" ca="1">IF(AD$21&lt;Standard_Year,'No STDs Case Rev &amp; Cost'!AD123,
OFFSET(AD123,-4,0)*
OFFSET(MSP!$E$1,
MATCH(OFFSET($C117,((MATCH($C117,EL_List,0)-1)*-10)-1,0),MSP!$C:$C,0)+MATCH($C117,EL_List,0)-1,0)
*INDEX(Learning!$E$6:$S$41,(MATCH(AD$21,Dates,0)),(MATCH($C$86,Learning!$E$4:$S$4,0)+MATCH($C$117,Learning!$E$5:$S$5,0)-1)))</f>
        <v>0.66757333370323435</v>
      </c>
      <c r="AE123" s="533" cm="1">
        <f t="array" aca="1" ref="AE123" ca="1">IF(AE$21&lt;Standard_Year,'No STDs Case Rev &amp; Cost'!AE123,
OFFSET(AE123,-4,0)*
OFFSET(MSP!$E$1,
MATCH(OFFSET($C117,((MATCH($C117,EL_List,0)-1)*-10)-1,0),MSP!$C:$C,0)+MATCH($C117,EL_List,0)-1,0)
*INDEX(Learning!$E$6:$S$41,(MATCH(AE$21,Dates,0)),(MATCH($C$86,Learning!$E$4:$S$4,0)+MATCH($C$117,Learning!$E$5:$S$5,0)-1)))</f>
        <v>0.69761748614342489</v>
      </c>
      <c r="AF123" s="533" cm="1">
        <f t="array" aca="1" ref="AF123" ca="1">IF(AF$21&lt;Standard_Year,'No STDs Case Rev &amp; Cost'!AF123,
OFFSET(AF123,-4,0)*
OFFSET(MSP!$E$1,
MATCH(OFFSET($C117,((MATCH($C117,EL_List,0)-1)*-10)-1,0),MSP!$C:$C,0)+MATCH($C117,EL_List,0)-1,0)
*INDEX(Learning!$E$6:$S$41,(MATCH(AF$21,Dates,0)),(MATCH($C$86,Learning!$E$4:$S$4,0)+MATCH($C$117,Learning!$E$5:$S$5,0)-1)))</f>
        <v>0.72897694245145905</v>
      </c>
      <c r="AG123" s="533" cm="1">
        <f t="array" aca="1" ref="AG123" ca="1">IF(AG$21&lt;Standard_Year,'No STDs Case Rev &amp; Cost'!AG123,
OFFSET(AG123,-4,0)*
OFFSET(MSP!$E$1,
MATCH(OFFSET($C117,((MATCH($C117,EL_List,0)-1)*-10)-1,0),MSP!$C:$C,0)+MATCH($C117,EL_List,0)-1,0)
*INDEX(Learning!$E$6:$S$41,(MATCH(AG$21,Dates,0)),(MATCH($C$86,Learning!$E$4:$S$4,0)+MATCH($C$117,Learning!$E$5:$S$5,0)-1)))</f>
        <v>0.76254805471042431</v>
      </c>
      <c r="AH123" s="533" cm="1">
        <f t="array" aca="1" ref="AH123" ca="1">IF(AH$21&lt;Standard_Year,'No STDs Case Rev &amp; Cost'!AH123,
OFFSET(AH123,-4,0)*
OFFSET(MSP!$E$1,
MATCH(OFFSET($C117,((MATCH($C117,EL_List,0)-1)*-10)-1,0),MSP!$C:$C,0)+MATCH($C117,EL_List,0)-1,0)
*INDEX(Learning!$E$6:$S$41,(MATCH(AH$21,Dates,0)),(MATCH($C$86,Learning!$E$4:$S$4,0)+MATCH($C$117,Learning!$E$5:$S$5,0)-1)))</f>
        <v>0.79674339068758759</v>
      </c>
      <c r="AI123" s="533" cm="1">
        <f t="array" aca="1" ref="AI123" ca="1">IF(AI$21&lt;Standard_Year,'No STDs Case Rev &amp; Cost'!AI123,
OFFSET(AI123,-4,0)*
OFFSET(MSP!$E$1,
MATCH(OFFSET($C117,((MATCH($C117,EL_List,0)-1)*-10)-1,0),MSP!$C:$C,0)+MATCH($C117,EL_List,0)-1,0)
*INDEX(Learning!$E$6:$S$41,(MATCH(AI$21,Dates,0)),(MATCH($C$86,Learning!$E$4:$S$4,0)+MATCH($C$117,Learning!$E$5:$S$5,0)-1)))</f>
        <v>0.83335322197448347</v>
      </c>
      <c r="AJ123" s="533" cm="1">
        <f t="array" aca="1" ref="AJ123" ca="1">IF(AJ$21&lt;Standard_Year,'No STDs Case Rev &amp; Cost'!AJ123,
OFFSET(AJ123,-4,0)*
OFFSET(MSP!$E$1,
MATCH(OFFSET($C117,((MATCH($C117,EL_List,0)-1)*-10)-1,0),MSP!$C:$C,0)+MATCH($C117,EL_List,0)-1,0)
*INDEX(Learning!$E$6:$S$41,(MATCH(AJ$21,Dates,0)),(MATCH($C$86,Learning!$E$4:$S$4,0)+MATCH($C$117,Learning!$E$5:$S$5,0)-1)))</f>
        <v>0.87063053694969805</v>
      </c>
      <c r="AK123" s="533" cm="1">
        <f t="array" aca="1" ref="AK123" ca="1">IF(AK$21&lt;Standard_Year,'No STDs Case Rev &amp; Cost'!AK123,
OFFSET(AK123,-4,0)*
OFFSET(MSP!$E$1,
MATCH(OFFSET($C117,((MATCH($C117,EL_List,0)-1)*-10)-1,0),MSP!$C:$C,0)+MATCH($C117,EL_List,0)-1,0)
*INDEX(Learning!$E$6:$S$41,(MATCH(AK$21,Dates,0)),(MATCH($C$86,Learning!$E$4:$S$4,0)+MATCH($C$117,Learning!$E$5:$S$5,0)-1)))</f>
        <v>0.91054849633407042</v>
      </c>
      <c r="AL123" s="533" cm="1">
        <f t="array" aca="1" ref="AL123" ca="1">IF(AL$21&lt;Standard_Year,'No STDs Case Rev &amp; Cost'!AL123,
OFFSET(AL123,-4,0)*
OFFSET(MSP!$E$1,
MATCH(OFFSET($C117,((MATCH($C117,EL_List,0)-1)*-10)-1,0),MSP!$C:$C,0)+MATCH($C117,EL_List,0)-1,0)
*INDEX(Learning!$E$6:$S$41,(MATCH(AL$21,Dates,0)),(MATCH($C$86,Learning!$E$4:$S$4,0)+MATCH($C$117,Learning!$E$5:$S$5,0)-1)))</f>
        <v>0.95225632295526674</v>
      </c>
      <c r="AM123" s="533" cm="1">
        <f t="array" aca="1" ref="AM123" ca="1">IF(AM$21&lt;Standard_Year,'No STDs Case Rev &amp; Cost'!AM123,
OFFSET(AM123,-4,0)*
OFFSET(MSP!$E$1,
MATCH(OFFSET($C117,((MATCH($C117,EL_List,0)-1)*-10)-1,0),MSP!$C:$C,0)+MATCH($C117,EL_List,0)-1,0)
*INDEX(Learning!$E$6:$S$41,(MATCH(AM$21,Dates,0)),(MATCH($C$86,Learning!$E$4:$S$4,0)+MATCH($C$117,Learning!$E$5:$S$5,0)-1)))</f>
        <v>0.99470963018628344</v>
      </c>
      <c r="AN123" s="533" cm="1">
        <f t="array" aca="1" ref="AN123" ca="1">IF(AN$21&lt;Standard_Year,'No STDs Case Rev &amp; Cost'!AN123,
OFFSET(AN123,-4,0)*
OFFSET(MSP!$E$1,
MATCH(OFFSET($C117,((MATCH($C117,EL_List,0)-1)*-10)-1,0),MSP!$C:$C,0)+MATCH($C117,EL_List,0)-1,0)
*INDEX(Learning!$E$6:$S$41,(MATCH(AN$21,Dates,0)),(MATCH($C$86,Learning!$E$4:$S$4,0)+MATCH($C$117,Learning!$E$5:$S$5,0)-1)))</f>
        <v>1.0401810909403102</v>
      </c>
      <c r="AO123" s="436"/>
      <c r="AP123" s="21"/>
    </row>
    <row r="124" spans="2:42" ht="15" customHeight="1" x14ac:dyDescent="0.35">
      <c r="B124" s="429"/>
      <c r="C124" s="780" t="s">
        <v>214</v>
      </c>
      <c r="D124" s="776"/>
      <c r="E124" s="533" cm="1">
        <f t="array" aca="1" ref="E124" ca="1">IF(E$21&lt;Standard_Year,'No STDs Case Rev &amp; Cost'!E124,
OFFSET(E124,-5,0)*
OFFSET(MSP!$F$1,
MATCH(OFFSET($C117,((MATCH($C117,EL_List,0)-1)*-10)-1,0),MSP!$C:$C,0)+MATCH($C117,EL_List,0)-1,0)
*INDEX(Learning!$E$6:$S$41,(MATCH(E$21,Dates,0)),(MATCH($C$86,Learning!$E$4:$S$4,0)+MATCH($C$117,Learning!$E$5:$S$5,0)-1)))</f>
        <v>0.50929713261547649</v>
      </c>
      <c r="F124" s="533" cm="1">
        <f t="array" aca="1" ref="F124" ca="1">IF(F$21&lt;Standard_Year,'No STDs Case Rev &amp; Cost'!F124,
OFFSET(F124,-5,0)*
OFFSET(MSP!$F$1,
MATCH(OFFSET($C117,((MATCH($C117,EL_List,0)-1)*-10)-1,0),MSP!$C:$C,0)+MATCH($C117,EL_List,0)-1,0)
*INDEX(Learning!$E$6:$S$41,(MATCH(F$21,Dates,0)),(MATCH($C$86,Learning!$E$4:$S$4,0)+MATCH($C$117,Learning!$E$5:$S$5,0)-1)))</f>
        <v>0.52848400918889693</v>
      </c>
      <c r="G124" s="533" cm="1">
        <f t="array" aca="1" ref="G124" ca="1">IF(G$21&lt;Standard_Year,'No STDs Case Rev &amp; Cost'!G124,
OFFSET(G124,-5,0)*
OFFSET(MSP!$F$1,
MATCH(OFFSET($C117,((MATCH($C117,EL_List,0)-1)*-10)-1,0),MSP!$C:$C,0)+MATCH($C117,EL_List,0)-1,0)
*INDEX(Learning!$E$6:$S$41,(MATCH(G$21,Dates,0)),(MATCH($C$86,Learning!$E$4:$S$4,0)+MATCH($C$117,Learning!$E$5:$S$5,0)-1)))</f>
        <v>0.54502950415030116</v>
      </c>
      <c r="H124" s="533" cm="1">
        <f t="array" aca="1" ref="H124" ca="1">IF(H$21&lt;Standard_Year,'No STDs Case Rev &amp; Cost'!H124,
OFFSET(H124,-5,0)*
OFFSET(MSP!$F$1,
MATCH(OFFSET($C117,((MATCH($C117,EL_List,0)-1)*-10)-1,0),MSP!$C:$C,0)+MATCH($C117,EL_List,0)-1,0)
*INDEX(Learning!$E$6:$S$41,(MATCH(H$21,Dates,0)),(MATCH($C$86,Learning!$E$4:$S$4,0)+MATCH($C$117,Learning!$E$5:$S$5,0)-1)))</f>
        <v>0.56728221373956944</v>
      </c>
      <c r="I124" s="533" cm="1">
        <f t="array" aca="1" ref="I124" ca="1">IF(I$21&lt;Standard_Year,'No STDs Case Rev &amp; Cost'!I124,
OFFSET(I124,-5,0)*
OFFSET(MSP!$F$1,
MATCH(OFFSET($C117,((MATCH($C117,EL_List,0)-1)*-10)-1,0),MSP!$C:$C,0)+MATCH($C117,EL_List,0)-1,0)
*INDEX(Learning!$E$6:$S$41,(MATCH(I$21,Dates,0)),(MATCH($C$86,Learning!$E$4:$S$4,0)+MATCH($C$117,Learning!$E$5:$S$5,0)-1)))</f>
        <v>0.59108234539869198</v>
      </c>
      <c r="J124" s="533" cm="1">
        <f t="array" aca="1" ref="J124" ca="1">IF(J$21&lt;Standard_Year,'No STDs Case Rev &amp; Cost'!J124,
OFFSET(J124,-5,0)*
OFFSET(MSP!$F$1,
MATCH(OFFSET($C117,((MATCH($C117,EL_List,0)-1)*-10)-1,0),MSP!$C:$C,0)+MATCH($C117,EL_List,0)-1,0)
*INDEX(Learning!$E$6:$S$41,(MATCH(J$21,Dates,0)),(MATCH($C$86,Learning!$E$4:$S$4,0)+MATCH($C$117,Learning!$E$5:$S$5,0)-1)))</f>
        <v>0.61743941184311346</v>
      </c>
      <c r="K124" s="533" cm="1">
        <f t="array" aca="1" ref="K124" ca="1">IF(K$21&lt;Standard_Year,'No STDs Case Rev &amp; Cost'!K124,
OFFSET(K124,-5,0)*
OFFSET(MSP!$F$1,
MATCH(OFFSET($C117,((MATCH($C117,EL_List,0)-1)*-10)-1,0),MSP!$C:$C,0)+MATCH($C117,EL_List,0)-1,0)
*INDEX(Learning!$E$6:$S$41,(MATCH(K$21,Dates,0)),(MATCH($C$86,Learning!$E$4:$S$4,0)+MATCH($C$117,Learning!$E$5:$S$5,0)-1)))</f>
        <v>0.64595275465533597</v>
      </c>
      <c r="L124" s="533" cm="1">
        <f t="array" aca="1" ref="L124" ca="1">IF(L$21&lt;Standard_Year,'No STDs Case Rev &amp; Cost'!L124,
OFFSET(L124,-5,0)*
OFFSET(MSP!$F$1,
MATCH(OFFSET($C117,((MATCH($C117,EL_List,0)-1)*-10)-1,0),MSP!$C:$C,0)+MATCH($C117,EL_List,0)-1,0)
*INDEX(Learning!$E$6:$S$41,(MATCH(L$21,Dates,0)),(MATCH($C$86,Learning!$E$4:$S$4,0)+MATCH($C$117,Learning!$E$5:$S$5,0)-1)))</f>
        <v>0.67605626659447193</v>
      </c>
      <c r="M124" s="533" cm="1">
        <f t="array" aca="1" ref="M124" ca="1">IF(M$21&lt;Standard_Year,'No STDs Case Rev &amp; Cost'!M124,
OFFSET(M124,-5,0)*
OFFSET(MSP!$F$1,
MATCH(OFFSET($C117,((MATCH($C117,EL_List,0)-1)*-10)-1,0),MSP!$C:$C,0)+MATCH($C117,EL_List,0)-1,0)
*INDEX(Learning!$E$6:$S$41,(MATCH(M$21,Dates,0)),(MATCH($C$86,Learning!$E$4:$S$4,0)+MATCH($C$117,Learning!$E$5:$S$5,0)-1)))</f>
        <v>0.70802602658791969</v>
      </c>
      <c r="N124" s="533" cm="1">
        <f t="array" aca="1" ref="N124" ca="1">IF(N$21&lt;Standard_Year,'No STDs Case Rev &amp; Cost'!N124,
OFFSET(N124,-5,0)*
OFFSET(MSP!$F$1,
MATCH(OFFSET($C117,((MATCH($C117,EL_List,0)-1)*-10)-1,0),MSP!$C:$C,0)+MATCH($C117,EL_List,0)-1,0)
*INDEX(Learning!$E$6:$S$41,(MATCH(N$21,Dates,0)),(MATCH($C$86,Learning!$E$4:$S$4,0)+MATCH($C$117,Learning!$E$5:$S$5,0)-1)))</f>
        <v>0.74092429097425194</v>
      </c>
      <c r="O124" s="533" cm="1">
        <f t="array" aca="1" ref="O124" ca="1">IF(O$21&lt;Standard_Year,'No STDs Case Rev &amp; Cost'!O124,
OFFSET(O124,-5,0)*
OFFSET(MSP!$F$1,
MATCH(OFFSET($C117,((MATCH($C117,EL_List,0)-1)*-10)-1,0),MSP!$C:$C,0)+MATCH($C117,EL_List,0)-1,0)
*INDEX(Learning!$E$6:$S$41,(MATCH(O$21,Dates,0)),(MATCH($C$86,Learning!$E$4:$S$4,0)+MATCH($C$117,Learning!$E$5:$S$5,0)-1)))</f>
        <v>0.77471578111028372</v>
      </c>
      <c r="P124" s="533" cm="1">
        <f t="array" aca="1" ref="P124" ca="1">IF(P$21&lt;Standard_Year,'No STDs Case Rev &amp; Cost'!P124,
OFFSET(P124,-5,0)*
OFFSET(MSP!$F$1,
MATCH(OFFSET($C117,((MATCH($C117,EL_List,0)-1)*-10)-1,0),MSP!$C:$C,0)+MATCH($C117,EL_List,0)-1,0)
*INDEX(Learning!$E$6:$S$41,(MATCH(P$21,Dates,0)),(MATCH($C$86,Learning!$E$4:$S$4,0)+MATCH($C$117,Learning!$E$5:$S$5,0)-1)))</f>
        <v>0.80954115887058453</v>
      </c>
      <c r="Q124" s="533" cm="1">
        <f t="array" aca="1" ref="Q124" ca="1">IF(Q$21&lt;Standard_Year,'No STDs Case Rev &amp; Cost'!Q124,
OFFSET(Q124,-5,0)*
OFFSET(MSP!$F$1,
MATCH(OFFSET($C117,((MATCH($C117,EL_List,0)-1)*-10)-1,0),MSP!$C:$C,0)+MATCH($C117,EL_List,0)-1,0)
*INDEX(Learning!$E$6:$S$41,(MATCH(Q$21,Dates,0)),(MATCH($C$86,Learning!$E$4:$S$4,0)+MATCH($C$117,Learning!$E$5:$S$5,0)-1)))</f>
        <v>0.84562184246786332</v>
      </c>
      <c r="R124" s="533" cm="1">
        <f t="array" aca="1" ref="R124" ca="1">IF(R$21&lt;Standard_Year,'No STDs Case Rev &amp; Cost'!R124,
OFFSET(R124,-5,0)*
OFFSET(MSP!$F$1,
MATCH(OFFSET($C117,((MATCH($C117,EL_List,0)-1)*-10)-1,0),MSP!$C:$C,0)+MATCH($C117,EL_List,0)-1,0)
*INDEX(Learning!$E$6:$S$41,(MATCH(R$21,Dates,0)),(MATCH($C$86,Learning!$E$4:$S$4,0)+MATCH($C$117,Learning!$E$5:$S$5,0)-1)))</f>
        <v>0.88413091270429855</v>
      </c>
      <c r="S124" s="533" cm="1">
        <f t="array" aca="1" ref="S124" ca="1">IF(S$21&lt;Standard_Year,'No STDs Case Rev &amp; Cost'!S124,
OFFSET(S124,-5,0)*
OFFSET(MSP!$F$1,
MATCH(OFFSET($C117,((MATCH($C117,EL_List,0)-1)*-10)-1,0),MSP!$C:$C,0)+MATCH($C117,EL_List,0)-1,0)
*INDEX(Learning!$E$6:$S$41,(MATCH(S$21,Dates,0)),(MATCH($C$86,Learning!$E$4:$S$4,0)+MATCH($C$117,Learning!$E$5:$S$5,0)-1)))</f>
        <v>0.92348792076915776</v>
      </c>
      <c r="T124" s="533" cm="1">
        <f t="array" aca="1" ref="T124" ca="1">IF(T$21&lt;Standard_Year,'No STDs Case Rev &amp; Cost'!T124,
OFFSET(T124,-5,0)*
OFFSET(MSP!$F$1,
MATCH(OFFSET($C117,((MATCH($C117,EL_List,0)-1)*-10)-1,0),MSP!$C:$C,0)+MATCH($C117,EL_List,0)-1,0)
*INDEX(Learning!$E$6:$S$41,(MATCH(T$21,Dates,0)),(MATCH($C$86,Learning!$E$4:$S$4,0)+MATCH($C$117,Learning!$E$5:$S$5,0)-1)))</f>
        <v>0.9656907952926862</v>
      </c>
      <c r="U124" s="533" cm="1">
        <f t="array" aca="1" ref="U124" ca="1">IF(U$21&lt;Standard_Year,'No STDs Case Rev &amp; Cost'!U124,
OFFSET(U124,-5,0)*
OFFSET(MSP!$F$1,
MATCH(OFFSET($C117,((MATCH($C117,EL_List,0)-1)*-10)-1,0),MSP!$C:$C,0)+MATCH($C117,EL_List,0)-1,0)
*INDEX(Learning!$E$6:$S$41,(MATCH(U$21,Dates,0)),(MATCH($C$86,Learning!$E$4:$S$4,0)+MATCH($C$117,Learning!$E$5:$S$5,0)-1)))</f>
        <v>1.0088984992232404</v>
      </c>
      <c r="V124" s="533" cm="1">
        <f t="array" aca="1" ref="V124" ca="1">IF(V$21&lt;Standard_Year,'No STDs Case Rev &amp; Cost'!V124,
OFFSET(V124,-5,0)*
OFFSET(MSP!$F$1,
MATCH(OFFSET($C117,((MATCH($C117,EL_List,0)-1)*-10)-1,0),MSP!$C:$C,0)+MATCH($C117,EL_List,0)-1,0)
*INDEX(Learning!$E$6:$S$41,(MATCH(V$21,Dates,0)),(MATCH($C$86,Learning!$E$4:$S$4,0)+MATCH($C$117,Learning!$E$5:$S$5,0)-1)))</f>
        <v>1.0550522791053101</v>
      </c>
      <c r="W124" s="533" cm="1">
        <f t="array" aca="1" ref="W124" ca="1">IF(W$21&lt;Standard_Year,'No STDs Case Rev &amp; Cost'!W124,
OFFSET(W124,-5,0)*
OFFSET(MSP!$F$1,
MATCH(OFFSET($C117,((MATCH($C117,EL_List,0)-1)*-10)-1,0),MSP!$C:$C,0)+MATCH($C117,EL_List,0)-1,0)
*INDEX(Learning!$E$6:$S$41,(MATCH(W$21,Dates,0)),(MATCH($C$86,Learning!$E$4:$S$4,0)+MATCH($C$117,Learning!$E$5:$S$5,0)-1)))</f>
        <v>1.1032648258078968</v>
      </c>
      <c r="X124" s="533" cm="1">
        <f t="array" aca="1" ref="X124" ca="1">IF(X$21&lt;Standard_Year,'No STDs Case Rev &amp; Cost'!X124,
OFFSET(X124,-5,0)*
OFFSET(MSP!$F$1,
MATCH(OFFSET($C117,((MATCH($C117,EL_List,0)-1)*-10)-1,0),MSP!$C:$C,0)+MATCH($C117,EL_List,0)-1,0)
*INDEX(Learning!$E$6:$S$41,(MATCH(X$21,Dates,0)),(MATCH($C$86,Learning!$E$4:$S$4,0)+MATCH($C$117,Learning!$E$5:$S$5,0)-1)))</f>
        <v>1.153567843984328</v>
      </c>
      <c r="Y124" s="533" cm="1">
        <f t="array" aca="1" ref="Y124" ca="1">IF(Y$21&lt;Standard_Year,'No STDs Case Rev &amp; Cost'!Y124,
OFFSET(Y124,-5,0)*
OFFSET(MSP!$F$1,
MATCH(OFFSET($C117,((MATCH($C117,EL_List,0)-1)*-10)-1,0),MSP!$C:$C,0)+MATCH($C117,EL_List,0)-1,0)
*INDEX(Learning!$E$6:$S$41,(MATCH(Y$21,Dates,0)),(MATCH($C$86,Learning!$E$4:$S$4,0)+MATCH($C$117,Learning!$E$5:$S$5,0)-1)))</f>
        <v>1.2060221637263</v>
      </c>
      <c r="Z124" s="533" cm="1">
        <f t="array" aca="1" ref="Z124" ca="1">IF(Z$21&lt;Standard_Year,'No STDs Case Rev &amp; Cost'!Z124,
OFFSET(Z124,-5,0)*
OFFSET(MSP!$F$1,
MATCH(OFFSET($C117,((MATCH($C117,EL_List,0)-1)*-10)-1,0),MSP!$C:$C,0)+MATCH($C117,EL_List,0)-1,0)
*INDEX(Learning!$E$6:$S$41,(MATCH(Z$21,Dates,0)),(MATCH($C$86,Learning!$E$4:$S$4,0)+MATCH($C$117,Learning!$E$5:$S$5,0)-1)))</f>
        <v>1.260718656540339</v>
      </c>
      <c r="AA124" s="533" cm="1">
        <f t="array" aca="1" ref="AA124" ca="1">IF(AA$21&lt;Standard_Year,'No STDs Case Rev &amp; Cost'!AA124,
OFFSET(AA124,-5,0)*
OFFSET(MSP!$F$1,
MATCH(OFFSET($C117,((MATCH($C117,EL_List,0)-1)*-10)-1,0),MSP!$C:$C,0)+MATCH($C117,EL_List,0)-1,0)
*INDEX(Learning!$E$6:$S$41,(MATCH(AA$21,Dates,0)),(MATCH($C$86,Learning!$E$4:$S$4,0)+MATCH($C$117,Learning!$E$5:$S$5,0)-1)))</f>
        <v>1.3177650834133694</v>
      </c>
      <c r="AB124" s="533" cm="1">
        <f t="array" aca="1" ref="AB124" ca="1">IF(AB$21&lt;Standard_Year,'No STDs Case Rev &amp; Cost'!AB124,
OFFSET(AB124,-5,0)*
OFFSET(MSP!$F$1,
MATCH(OFFSET($C117,((MATCH($C117,EL_List,0)-1)*-10)-1,0),MSP!$C:$C,0)+MATCH($C117,EL_List,0)-1,0)
*INDEX(Learning!$E$6:$S$41,(MATCH(AB$21,Dates,0)),(MATCH($C$86,Learning!$E$4:$S$4,0)+MATCH($C$117,Learning!$E$5:$S$5,0)-1)))</f>
        <v>1.3772875717822826</v>
      </c>
      <c r="AC124" s="533" cm="1">
        <f t="array" aca="1" ref="AC124" ca="1">IF(AC$21&lt;Standard_Year,'No STDs Case Rev &amp; Cost'!AC124,
OFFSET(AC124,-5,0)*
OFFSET(MSP!$F$1,
MATCH(OFFSET($C117,((MATCH($C117,EL_List,0)-1)*-10)-1,0),MSP!$C:$C,0)+MATCH($C117,EL_List,0)-1,0)
*INDEX(Learning!$E$6:$S$41,(MATCH(AC$21,Dates,0)),(MATCH($C$86,Learning!$E$4:$S$4,0)+MATCH($C$117,Learning!$E$5:$S$5,0)-1)))</f>
        <v>1.4394110638405928</v>
      </c>
      <c r="AD124" s="533" cm="1">
        <f t="array" aca="1" ref="AD124" ca="1">IF(AD$21&lt;Standard_Year,'No STDs Case Rev &amp; Cost'!AD124,
OFFSET(AD124,-5,0)*
OFFSET(MSP!$F$1,
MATCH(OFFSET($C117,((MATCH($C117,EL_List,0)-1)*-10)-1,0),MSP!$C:$C,0)+MATCH($C117,EL_List,0)-1,0)
*INDEX(Learning!$E$6:$S$41,(MATCH(AD$21,Dates,0)),(MATCH($C$86,Learning!$E$4:$S$4,0)+MATCH($C$117,Learning!$E$5:$S$5,0)-1)))</f>
        <v>1.5059025556329388</v>
      </c>
      <c r="AE124" s="533" cm="1">
        <f t="array" aca="1" ref="AE124" ca="1">IF(AE$21&lt;Standard_Year,'No STDs Case Rev &amp; Cost'!AE124,
OFFSET(AE124,-5,0)*
OFFSET(MSP!$F$1,
MATCH(OFFSET($C117,((MATCH($C117,EL_List,0)-1)*-10)-1,0),MSP!$C:$C,0)+MATCH($C117,EL_List,0)-1,0)
*INDEX(Learning!$E$6:$S$41,(MATCH(AE$21,Dates,0)),(MATCH($C$86,Learning!$E$4:$S$4,0)+MATCH($C$117,Learning!$E$5:$S$5,0)-1)))</f>
        <v>1.5736757329863968</v>
      </c>
      <c r="AF124" s="533" cm="1">
        <f t="array" aca="1" ref="AF124" ca="1">IF(AF$21&lt;Standard_Year,'No STDs Case Rev &amp; Cost'!AF124,
OFFSET(AF124,-5,0)*
OFFSET(MSP!$F$1,
MATCH(OFFSET($C117,((MATCH($C117,EL_List,0)-1)*-10)-1,0),MSP!$C:$C,0)+MATCH($C117,EL_List,0)-1,0)
*INDEX(Learning!$E$6:$S$41,(MATCH(AF$21,Dates,0)),(MATCH($C$86,Learning!$E$4:$S$4,0)+MATCH($C$117,Learning!$E$5:$S$5,0)-1)))</f>
        <v>1.6444159543423946</v>
      </c>
      <c r="AG124" s="533" cm="1">
        <f t="array" aca="1" ref="AG124" ca="1">IF(AG$21&lt;Standard_Year,'No STDs Case Rev &amp; Cost'!AG124,
OFFSET(AG124,-5,0)*
OFFSET(MSP!$F$1,
MATCH(OFFSET($C117,((MATCH($C117,EL_List,0)-1)*-10)-1,0),MSP!$C:$C,0)+MATCH($C117,EL_List,0)-1,0)
*INDEX(Learning!$E$6:$S$41,(MATCH(AG$21,Dates,0)),(MATCH($C$86,Learning!$E$4:$S$4,0)+MATCH($C$117,Learning!$E$5:$S$5,0)-1)))</f>
        <v>1.7201451981481244</v>
      </c>
      <c r="AH124" s="533" cm="1">
        <f t="array" aca="1" ref="AH124" ca="1">IF(AH$21&lt;Standard_Year,'No STDs Case Rev &amp; Cost'!AH124,
OFFSET(AH124,-5,0)*
OFFSET(MSP!$F$1,
MATCH(OFFSET($C117,((MATCH($C117,EL_List,0)-1)*-10)-1,0),MSP!$C:$C,0)+MATCH($C117,EL_List,0)-1,0)
*INDEX(Learning!$E$6:$S$41,(MATCH(AH$21,Dates,0)),(MATCH($C$86,Learning!$E$4:$S$4,0)+MATCH($C$117,Learning!$E$5:$S$5,0)-1)))</f>
        <v>1.7972825570553166</v>
      </c>
      <c r="AI124" s="533" cm="1">
        <f t="array" aca="1" ref="AI124" ca="1">IF(AI$21&lt;Standard_Year,'No STDs Case Rev &amp; Cost'!AI124,
OFFSET(AI124,-5,0)*
OFFSET(MSP!$F$1,
MATCH(OFFSET($C117,((MATCH($C117,EL_List,0)-1)*-10)-1,0),MSP!$C:$C,0)+MATCH($C117,EL_List,0)-1,0)
*INDEX(Learning!$E$6:$S$41,(MATCH(AI$21,Dates,0)),(MATCH($C$86,Learning!$E$4:$S$4,0)+MATCH($C$117,Learning!$E$5:$S$5,0)-1)))</f>
        <v>1.8798665005906277</v>
      </c>
      <c r="AJ124" s="533" cm="1">
        <f t="array" aca="1" ref="AJ124" ca="1">IF(AJ$21&lt;Standard_Year,'No STDs Case Rev &amp; Cost'!AJ124,
OFFSET(AJ124,-5,0)*
OFFSET(MSP!$F$1,
MATCH(OFFSET($C117,((MATCH($C117,EL_List,0)-1)*-10)-1,0),MSP!$C:$C,0)+MATCH($C117,EL_List,0)-1,0)
*INDEX(Learning!$E$6:$S$41,(MATCH(AJ$21,Dates,0)),(MATCH($C$86,Learning!$E$4:$S$4,0)+MATCH($C$117,Learning!$E$5:$S$5,0)-1)))</f>
        <v>1.9639561444607714</v>
      </c>
      <c r="AK124" s="533" cm="1">
        <f t="array" aca="1" ref="AK124" ca="1">IF(AK$21&lt;Standard_Year,'No STDs Case Rev &amp; Cost'!AK124,
OFFSET(AK124,-5,0)*
OFFSET(MSP!$F$1,
MATCH(OFFSET($C117,((MATCH($C117,EL_List,0)-1)*-10)-1,0),MSP!$C:$C,0)+MATCH($C117,EL_List,0)-1,0)
*INDEX(Learning!$E$6:$S$41,(MATCH(AK$21,Dates,0)),(MATCH($C$86,Learning!$E$4:$S$4,0)+MATCH($C$117,Learning!$E$5:$S$5,0)-1)))</f>
        <v>2.0540025169231275</v>
      </c>
      <c r="AL124" s="533" cm="1">
        <f t="array" aca="1" ref="AL124" ca="1">IF(AL$21&lt;Standard_Year,'No STDs Case Rev &amp; Cost'!AL124,
OFFSET(AL124,-5,0)*
OFFSET(MSP!$F$1,
MATCH(OFFSET($C117,((MATCH($C117,EL_List,0)-1)*-10)-1,0),MSP!$C:$C,0)+MATCH($C117,EL_List,0)-1,0)
*INDEX(Learning!$E$6:$S$41,(MATCH(AL$21,Dates,0)),(MATCH($C$86,Learning!$E$4:$S$4,0)+MATCH($C$117,Learning!$E$5:$S$5,0)-1)))</f>
        <v>2.1480864467744603</v>
      </c>
      <c r="AM124" s="533" cm="1">
        <f t="array" aca="1" ref="AM124" ca="1">IF(AM$21&lt;Standard_Year,'No STDs Case Rev &amp; Cost'!AM124,
OFFSET(AM124,-5,0)*
OFFSET(MSP!$F$1,
MATCH(OFFSET($C117,((MATCH($C117,EL_List,0)-1)*-10)-1,0),MSP!$C:$C,0)+MATCH($C117,EL_List,0)-1,0)
*INDEX(Learning!$E$6:$S$41,(MATCH(AM$21,Dates,0)),(MATCH($C$86,Learning!$E$4:$S$4,0)+MATCH($C$117,Learning!$E$5:$S$5,0)-1)))</f>
        <v>2.2438520213213282</v>
      </c>
      <c r="AN124" s="533" cm="1">
        <f t="array" aca="1" ref="AN124" ca="1">IF(AN$21&lt;Standard_Year,'No STDs Case Rev &amp; Cost'!AN124,
OFFSET(AN124,-5,0)*
OFFSET(MSP!$F$1,
MATCH(OFFSET($C117,((MATCH($C117,EL_List,0)-1)*-10)-1,0),MSP!$C:$C,0)+MATCH($C117,EL_List,0)-1,0)
*INDEX(Learning!$E$6:$S$41,(MATCH(AN$21,Dates,0)),(MATCH($C$86,Learning!$E$4:$S$4,0)+MATCH($C$117,Learning!$E$5:$S$5,0)-1)))</f>
        <v>2.3464259042204496</v>
      </c>
      <c r="AO124" s="436"/>
      <c r="AP124" s="21"/>
    </row>
    <row r="125" spans="2:42" ht="15" customHeight="1" collapsed="1" x14ac:dyDescent="0.35">
      <c r="B125" s="429"/>
      <c r="C125" s="780" t="s">
        <v>215</v>
      </c>
      <c r="D125" s="776"/>
      <c r="E125" s="531" cm="1">
        <f t="array" aca="1" ref="E125" ca="1">IF(E$21&lt;Standard_Year,'No STDs Case Rev &amp; Cost'!E125,
OFFSET(E125,-6,0)*
OFFSET(MSP!$G$1,
MATCH(OFFSET($C117,((MATCH($C117,EL_List,0)-1)*-10)-1,0),MSP!$C:$C,0)+MATCH($C117,EL_List,0)-1,0)
*INDEX(Learning!$E$6:$S$41,(MATCH(E$21,Dates,0)),(MATCH($C$86,Learning!$E$4:$S$4,0)+MATCH($C$117,Learning!$E$5:$S$5,0)-1)))</f>
        <v>0.25280752493130054</v>
      </c>
      <c r="F125" s="531" cm="1">
        <f t="array" aca="1" ref="F125" ca="1">IF(F$21&lt;Standard_Year,'No STDs Case Rev &amp; Cost'!F125,
OFFSET(F125,-6,0)*
OFFSET(MSP!$G$1,
MATCH(OFFSET($C117,((MATCH($C117,EL_List,0)-1)*-10)-1,0),MSP!$C:$C,0)+MATCH($C117,EL_List,0)-1,0)
*INDEX(Learning!$E$6:$S$41,(MATCH(F$21,Dates,0)),(MATCH($C$86,Learning!$E$4:$S$4,0)+MATCH($C$117,Learning!$E$5:$S$5,0)-1)))</f>
        <v>0.26233160521186044</v>
      </c>
      <c r="G125" s="531" cm="1">
        <f t="array" aca="1" ref="G125" ca="1">IF(G$21&lt;Standard_Year,'No STDs Case Rev &amp; Cost'!G125,
OFFSET(G125,-6,0)*
OFFSET(MSP!$G$1,
MATCH(OFFSET($C117,((MATCH($C117,EL_List,0)-1)*-10)-1,0),MSP!$C:$C,0)+MATCH($C117,EL_List,0)-1,0)
*INDEX(Learning!$E$6:$S$41,(MATCH(G$21,Dates,0)),(MATCH($C$86,Learning!$E$4:$S$4,0)+MATCH($C$117,Learning!$E$5:$S$5,0)-1)))</f>
        <v>0.27054454292952473</v>
      </c>
      <c r="H125" s="531" cm="1">
        <f t="array" aca="1" ref="H125" ca="1">IF(H$21&lt;Standard_Year,'No STDs Case Rev &amp; Cost'!H125,
OFFSET(H125,-6,0)*
OFFSET(MSP!$G$1,
MATCH(OFFSET($C117,((MATCH($C117,EL_List,0)-1)*-10)-1,0),MSP!$C:$C,0)+MATCH($C117,EL_List,0)-1,0)
*INDEX(Learning!$E$6:$S$41,(MATCH(H$21,Dates,0)),(MATCH($C$86,Learning!$E$4:$S$4,0)+MATCH($C$117,Learning!$E$5:$S$5,0)-1)))</f>
        <v>0.28159045713954117</v>
      </c>
      <c r="I125" s="531" cm="1">
        <f t="array" aca="1" ref="I125" ca="1">IF(I$21&lt;Standard_Year,'No STDs Case Rev &amp; Cost'!I125,
OFFSET(I125,-6,0)*
OFFSET(MSP!$G$1,
MATCH(OFFSET($C117,((MATCH($C117,EL_List,0)-1)*-10)-1,0),MSP!$C:$C,0)+MATCH($C117,EL_List,0)-1,0)
*INDEX(Learning!$E$6:$S$41,(MATCH(I$21,Dates,0)),(MATCH($C$86,Learning!$E$4:$S$4,0)+MATCH($C$117,Learning!$E$5:$S$5,0)-1)))</f>
        <v>0.29340448865957452</v>
      </c>
      <c r="J125" s="531" cm="1">
        <f t="array" aca="1" ref="J125" ca="1">IF(J$21&lt;Standard_Year,'No STDs Case Rev &amp; Cost'!J125,
OFFSET(J125,-6,0)*
OFFSET(MSP!$G$1,
MATCH(OFFSET($C117,((MATCH($C117,EL_List,0)-1)*-10)-1,0),MSP!$C:$C,0)+MATCH($C117,EL_List,0)-1,0)
*INDEX(Learning!$E$6:$S$41,(MATCH(J$21,Dates,0)),(MATCH($C$86,Learning!$E$4:$S$4,0)+MATCH($C$117,Learning!$E$5:$S$5,0)-1)))</f>
        <v>0.30648774459318856</v>
      </c>
      <c r="K125" s="531" cm="1">
        <f t="array" aca="1" ref="K125" ca="1">IF(K$21&lt;Standard_Year,'No STDs Case Rev &amp; Cost'!K125,
OFFSET(K125,-6,0)*
OFFSET(MSP!$G$1,
MATCH(OFFSET($C117,((MATCH($C117,EL_List,0)-1)*-10)-1,0),MSP!$C:$C,0)+MATCH($C117,EL_List,0)-1,0)
*INDEX(Learning!$E$6:$S$41,(MATCH(K$21,Dates,0)),(MATCH($C$86,Learning!$E$4:$S$4,0)+MATCH($C$117,Learning!$E$5:$S$5,0)-1)))</f>
        <v>0.32064134405850903</v>
      </c>
      <c r="L125" s="531" cm="1">
        <f t="array" aca="1" ref="L125" ca="1">IF(L$21&lt;Standard_Year,'No STDs Case Rev &amp; Cost'!L125,
OFFSET(L125,-6,0)*
OFFSET(MSP!$G$1,
MATCH(OFFSET($C117,((MATCH($C117,EL_List,0)-1)*-10)-1,0),MSP!$C:$C,0)+MATCH($C117,EL_List,0)-1,0)
*INDEX(Learning!$E$6:$S$41,(MATCH(L$21,Dates,0)),(MATCH($C$86,Learning!$E$4:$S$4,0)+MATCH($C$117,Learning!$E$5:$S$5,0)-1)))</f>
        <v>0.33558427983745187</v>
      </c>
      <c r="M125" s="531" cm="1">
        <f t="array" aca="1" ref="M125" ca="1">IF(M$21&lt;Standard_Year,'No STDs Case Rev &amp; Cost'!M125,
OFFSET(M125,-6,0)*
OFFSET(MSP!$G$1,
MATCH(OFFSET($C117,((MATCH($C117,EL_List,0)-1)*-10)-1,0),MSP!$C:$C,0)+MATCH($C117,EL_List,0)-1,0)
*INDEX(Learning!$E$6:$S$41,(MATCH(M$21,Dates,0)),(MATCH($C$86,Learning!$E$4:$S$4,0)+MATCH($C$117,Learning!$E$5:$S$5,0)-1)))</f>
        <v>0.35145359340512394</v>
      </c>
      <c r="N125" s="531" cm="1">
        <f t="array" aca="1" ref="N125" ca="1">IF(N$21&lt;Standard_Year,'No STDs Case Rev &amp; Cost'!N125,
OFFSET(N125,-6,0)*
OFFSET(MSP!$G$1,
MATCH(OFFSET($C117,((MATCH($C117,EL_List,0)-1)*-10)-1,0),MSP!$C:$C,0)+MATCH($C117,EL_List,0)-1,0)
*INDEX(Learning!$E$6:$S$41,(MATCH(N$21,Dates,0)),(MATCH($C$86,Learning!$E$4:$S$4,0)+MATCH($C$117,Learning!$E$5:$S$5,0)-1)))</f>
        <v>0.3677838027493881</v>
      </c>
      <c r="O125" s="531" cm="1">
        <f t="array" aca="1" ref="O125" ca="1">IF(O$21&lt;Standard_Year,'No STDs Case Rev &amp; Cost'!O125,
OFFSET(O125,-6,0)*
OFFSET(MSP!$G$1,
MATCH(OFFSET($C117,((MATCH($C117,EL_List,0)-1)*-10)-1,0),MSP!$C:$C,0)+MATCH($C117,EL_List,0)-1,0)
*INDEX(Learning!$E$6:$S$41,(MATCH(O$21,Dates,0)),(MATCH($C$86,Learning!$E$4:$S$4,0)+MATCH($C$117,Learning!$E$5:$S$5,0)-1)))</f>
        <v>0.38455739607625355</v>
      </c>
      <c r="P125" s="531" cm="1">
        <f t="array" aca="1" ref="P125" ca="1">IF(P$21&lt;Standard_Year,'No STDs Case Rev &amp; Cost'!P125,
OFFSET(P125,-6,0)*
OFFSET(MSP!$G$1,
MATCH(OFFSET($C117,((MATCH($C117,EL_List,0)-1)*-10)-1,0),MSP!$C:$C,0)+MATCH($C117,EL_List,0)-1,0)
*INDEX(Learning!$E$6:$S$41,(MATCH(P$21,Dates,0)),(MATCH($C$86,Learning!$E$4:$S$4,0)+MATCH($C$117,Learning!$E$5:$S$5,0)-1)))</f>
        <v>0.4018441958490423</v>
      </c>
      <c r="Q125" s="531" cm="1">
        <f t="array" aca="1" ref="Q125" ca="1">IF(Q$21&lt;Standard_Year,'No STDs Case Rev &amp; Cost'!Q125,
OFFSET(Q125,-6,0)*
OFFSET(MSP!$G$1,
MATCH(OFFSET($C117,((MATCH($C117,EL_List,0)-1)*-10)-1,0),MSP!$C:$C,0)+MATCH($C117,EL_List,0)-1,0)
*INDEX(Learning!$E$6:$S$41,(MATCH(Q$21,Dates,0)),(MATCH($C$86,Learning!$E$4:$S$4,0)+MATCH($C$117,Learning!$E$5:$S$5,0)-1)))</f>
        <v>0.41975411077672797</v>
      </c>
      <c r="R125" s="531" cm="1">
        <f t="array" aca="1" ref="R125" ca="1">IF(R$21&lt;Standard_Year,'No STDs Case Rev &amp; Cost'!R125,
OFFSET(R125,-6,0)*
OFFSET(MSP!$G$1,
MATCH(OFFSET($C117,((MATCH($C117,EL_List,0)-1)*-10)-1,0),MSP!$C:$C,0)+MATCH($C117,EL_List,0)-1,0)
*INDEX(Learning!$E$6:$S$41,(MATCH(R$21,Dates,0)),(MATCH($C$86,Learning!$E$4:$S$4,0)+MATCH($C$117,Learning!$E$5:$S$5,0)-1)))</f>
        <v>0.43886944072936901</v>
      </c>
      <c r="S125" s="531" cm="1">
        <f t="array" aca="1" ref="S125" ca="1">IF(S$21&lt;Standard_Year,'No STDs Case Rev &amp; Cost'!S125,
OFFSET(S125,-6,0)*
OFFSET(MSP!$G$1,
MATCH(OFFSET($C117,((MATCH($C117,EL_List,0)-1)*-10)-1,0),MSP!$C:$C,0)+MATCH($C117,EL_List,0)-1,0)
*INDEX(Learning!$E$6:$S$41,(MATCH(S$21,Dates,0)),(MATCH($C$86,Learning!$E$4:$S$4,0)+MATCH($C$117,Learning!$E$5:$S$5,0)-1)))</f>
        <v>0.45840567441378371</v>
      </c>
      <c r="T125" s="531" cm="1">
        <f t="array" aca="1" ref="T125" ca="1">IF(T$21&lt;Standard_Year,'No STDs Case Rev &amp; Cost'!T125,
OFFSET(T125,-6,0)*
OFFSET(MSP!$G$1,
MATCH(OFFSET($C117,((MATCH($C117,EL_List,0)-1)*-10)-1,0),MSP!$C:$C,0)+MATCH($C117,EL_List,0)-1,0)
*INDEX(Learning!$E$6:$S$41,(MATCH(T$21,Dates,0)),(MATCH($C$86,Learning!$E$4:$S$4,0)+MATCH($C$117,Learning!$E$5:$S$5,0)-1)))</f>
        <v>0.47935455389890497</v>
      </c>
      <c r="U125" s="531" cm="1">
        <f t="array" aca="1" ref="U125" ca="1">IF(U$21&lt;Standard_Year,'No STDs Case Rev &amp; Cost'!U125,
OFFSET(U125,-6,0)*
OFFSET(MSP!$G$1,
MATCH(OFFSET($C117,((MATCH($C117,EL_List,0)-1)*-10)-1,0),MSP!$C:$C,0)+MATCH($C117,EL_List,0)-1,0)
*INDEX(Learning!$E$6:$S$41,(MATCH(U$21,Dates,0)),(MATCH($C$86,Learning!$E$4:$S$4,0)+MATCH($C$117,Learning!$E$5:$S$5,0)-1)))</f>
        <v>0.5008022157629175</v>
      </c>
      <c r="V125" s="531" cm="1">
        <f t="array" aca="1" ref="V125" ca="1">IF(V$21&lt;Standard_Year,'No STDs Case Rev &amp; Cost'!V125,
OFFSET(V125,-6,0)*
OFFSET(MSP!$G$1,
MATCH(OFFSET($C117,((MATCH($C117,EL_List,0)-1)*-10)-1,0),MSP!$C:$C,0)+MATCH($C117,EL_List,0)-1,0)
*INDEX(Learning!$E$6:$S$41,(MATCH(V$21,Dates,0)),(MATCH($C$86,Learning!$E$4:$S$4,0)+MATCH($C$117,Learning!$E$5:$S$5,0)-1)))</f>
        <v>0.52371226593007503</v>
      </c>
      <c r="W125" s="531" cm="1">
        <f t="array" aca="1" ref="W125" ca="1">IF(W$21&lt;Standard_Year,'No STDs Case Rev &amp; Cost'!W125,
OFFSET(W125,-6,0)*
OFFSET(MSP!$G$1,
MATCH(OFFSET($C117,((MATCH($C117,EL_List,0)-1)*-10)-1,0),MSP!$C:$C,0)+MATCH($C117,EL_List,0)-1,0)
*INDEX(Learning!$E$6:$S$41,(MATCH(W$21,Dates,0)),(MATCH($C$86,Learning!$E$4:$S$4,0)+MATCH($C$117,Learning!$E$5:$S$5,0)-1)))</f>
        <v>0.54764425733933775</v>
      </c>
      <c r="X125" s="531" cm="1">
        <f t="array" aca="1" ref="X125" ca="1">IF(X$21&lt;Standard_Year,'No STDs Case Rev &amp; Cost'!X125,
OFFSET(X125,-6,0)*
OFFSET(MSP!$G$1,
MATCH(OFFSET($C117,((MATCH($C117,EL_List,0)-1)*-10)-1,0),MSP!$C:$C,0)+MATCH($C117,EL_List,0)-1,0)
*INDEX(Learning!$E$6:$S$41,(MATCH(X$21,Dates,0)),(MATCH($C$86,Learning!$E$4:$S$4,0)+MATCH($C$117,Learning!$E$5:$S$5,0)-1)))</f>
        <v>0.57261392770926534</v>
      </c>
      <c r="Y125" s="531" cm="1">
        <f t="array" aca="1" ref="Y125" ca="1">IF(Y$21&lt;Standard_Year,'No STDs Case Rev &amp; Cost'!Y125,
OFFSET(Y125,-6,0)*
OFFSET(MSP!$G$1,
MATCH(OFFSET($C117,((MATCH($C117,EL_List,0)-1)*-10)-1,0),MSP!$C:$C,0)+MATCH($C117,EL_List,0)-1,0)
*INDEX(Learning!$E$6:$S$41,(MATCH(Y$21,Dates,0)),(MATCH($C$86,Learning!$E$4:$S$4,0)+MATCH($C$117,Learning!$E$5:$S$5,0)-1)))</f>
        <v>0.59865147219301762</v>
      </c>
      <c r="Z125" s="531" cm="1">
        <f t="array" aca="1" ref="Z125" ca="1">IF(Z$21&lt;Standard_Year,'No STDs Case Rev &amp; Cost'!Z125,
OFFSET(Z125,-6,0)*
OFFSET(MSP!$G$1,
MATCH(OFFSET($C117,((MATCH($C117,EL_List,0)-1)*-10)-1,0),MSP!$C:$C,0)+MATCH($C117,EL_List,0)-1,0)
*INDEX(Learning!$E$6:$S$41,(MATCH(Z$21,Dates,0)),(MATCH($C$86,Learning!$E$4:$S$4,0)+MATCH($C$117,Learning!$E$5:$S$5,0)-1)))</f>
        <v>0.62580199805545145</v>
      </c>
      <c r="AA125" s="531" cm="1">
        <f t="array" aca="1" ref="AA125" ca="1">IF(AA$21&lt;Standard_Year,'No STDs Case Rev &amp; Cost'!AA125,
OFFSET(AA125,-6,0)*
OFFSET(MSP!$G$1,
MATCH(OFFSET($C117,((MATCH($C117,EL_List,0)-1)*-10)-1,0),MSP!$C:$C,0)+MATCH($C117,EL_List,0)-1,0)
*INDEX(Learning!$E$6:$S$41,(MATCH(AA$21,Dates,0)),(MATCH($C$86,Learning!$E$4:$S$4,0)+MATCH($C$117,Learning!$E$5:$S$5,0)-1)))</f>
        <v>0.65411899624839787</v>
      </c>
      <c r="AB125" s="531" cm="1">
        <f t="array" aca="1" ref="AB125" ca="1">IF(AB$21&lt;Standard_Year,'No STDs Case Rev &amp; Cost'!AB125,
OFFSET(AB125,-6,0)*
OFFSET(MSP!$G$1,
MATCH(OFFSET($C117,((MATCH($C117,EL_List,0)-1)*-10)-1,0),MSP!$C:$C,0)+MATCH($C117,EL_List,0)-1,0)
*INDEX(Learning!$E$6:$S$41,(MATCH(AB$21,Dates,0)),(MATCH($C$86,Learning!$E$4:$S$4,0)+MATCH($C$117,Learning!$E$5:$S$5,0)-1)))</f>
        <v>0.68366507455639858</v>
      </c>
      <c r="AC125" s="531" cm="1">
        <f t="array" aca="1" ref="AC125" ca="1">IF(AC$21&lt;Standard_Year,'No STDs Case Rev &amp; Cost'!AC125,
OFFSET(AC125,-6,0)*
OFFSET(MSP!$G$1,
MATCH(OFFSET($C117,((MATCH($C117,EL_List,0)-1)*-10)-1,0),MSP!$C:$C,0)+MATCH($C117,EL_List,0)-1,0)
*INDEX(Learning!$E$6:$S$41,(MATCH(AC$21,Dates,0)),(MATCH($C$86,Learning!$E$4:$S$4,0)+MATCH($C$117,Learning!$E$5:$S$5,0)-1)))</f>
        <v>0.71450225242680365</v>
      </c>
      <c r="AD125" s="531" cm="1">
        <f t="array" aca="1" ref="AD125" ca="1">IF(AD$21&lt;Standard_Year,'No STDs Case Rev &amp; Cost'!AD125,
OFFSET(AD125,-6,0)*
OFFSET(MSP!$G$1,
MATCH(OFFSET($C117,((MATCH($C117,EL_List,0)-1)*-10)-1,0),MSP!$C:$C,0)+MATCH($C117,EL_List,0)-1,0)
*INDEX(Learning!$E$6:$S$41,(MATCH(AD$21,Dates,0)),(MATCH($C$86,Learning!$E$4:$S$4,0)+MATCH($C$117,Learning!$E$5:$S$5,0)-1)))</f>
        <v>0.7475076404263159</v>
      </c>
      <c r="AE125" s="531" cm="1">
        <f t="array" aca="1" ref="AE125" ca="1">IF(AE$21&lt;Standard_Year,'No STDs Case Rev &amp; Cost'!AE125,
OFFSET(AE125,-6,0)*
OFFSET(MSP!$G$1,
MATCH(OFFSET($C117,((MATCH($C117,EL_List,0)-1)*-10)-1,0),MSP!$C:$C,0)+MATCH($C117,EL_List,0)-1,0)
*INDEX(Learning!$E$6:$S$41,(MATCH(AE$21,Dates,0)),(MATCH($C$86,Learning!$E$4:$S$4,0)+MATCH($C$117,Learning!$E$5:$S$5,0)-1)))</f>
        <v>0.78114923808359893</v>
      </c>
      <c r="AF125" s="531" cm="1">
        <f t="array" aca="1" ref="AF125" ca="1">IF(AF$21&lt;Standard_Year,'No STDs Case Rev &amp; Cost'!AF125,
OFFSET(AF125,-6,0)*
OFFSET(MSP!$G$1,
MATCH(OFFSET($C117,((MATCH($C117,EL_List,0)-1)*-10)-1,0),MSP!$C:$C,0)+MATCH($C117,EL_List,0)-1,0)
*INDEX(Learning!$E$6:$S$41,(MATCH(AF$21,Dates,0)),(MATCH($C$86,Learning!$E$4:$S$4,0)+MATCH($C$117,Learning!$E$5:$S$5,0)-1)))</f>
        <v>0.81626363227282461</v>
      </c>
      <c r="AG125" s="531" cm="1">
        <f t="array" aca="1" ref="AG125" ca="1">IF(AG$21&lt;Standard_Year,'No STDs Case Rev &amp; Cost'!AG125,
OFFSET(AG125,-6,0)*
OFFSET(MSP!$G$1,
MATCH(OFFSET($C117,((MATCH($C117,EL_List,0)-1)*-10)-1,0),MSP!$C:$C,0)+MATCH($C117,EL_List,0)-1,0)
*INDEX(Learning!$E$6:$S$41,(MATCH(AG$21,Dates,0)),(MATCH($C$86,Learning!$E$4:$S$4,0)+MATCH($C$117,Learning!$E$5:$S$5,0)-1)))</f>
        <v>0.85385450303451038</v>
      </c>
      <c r="AH125" s="531" cm="1">
        <f t="array" aca="1" ref="AH125" ca="1">IF(AH$21&lt;Standard_Year,'No STDs Case Rev &amp; Cost'!AH125,
OFFSET(AH125,-6,0)*
OFFSET(MSP!$G$1,
MATCH(OFFSET($C117,((MATCH($C117,EL_List,0)-1)*-10)-1,0),MSP!$C:$C,0)+MATCH($C117,EL_List,0)-1,0)
*INDEX(Learning!$E$6:$S$41,(MATCH(AH$21,Dates,0)),(MATCH($C$86,Learning!$E$4:$S$4,0)+MATCH($C$117,Learning!$E$5:$S$5,0)-1)))</f>
        <v>0.89214434119817432</v>
      </c>
      <c r="AI125" s="531" cm="1">
        <f t="array" aca="1" ref="AI125" ca="1">IF(AI$21&lt;Standard_Year,'No STDs Case Rev &amp; Cost'!AI125,
OFFSET(AI125,-6,0)*
OFFSET(MSP!$G$1,
MATCH(OFFSET($C117,((MATCH($C117,EL_List,0)-1)*-10)-1,0),MSP!$C:$C,0)+MATCH($C117,EL_List,0)-1,0)
*INDEX(Learning!$E$6:$S$41,(MATCH(AI$21,Dates,0)),(MATCH($C$86,Learning!$E$4:$S$4,0)+MATCH($C$117,Learning!$E$5:$S$5,0)-1)))</f>
        <v>0.93313778299709216</v>
      </c>
      <c r="AJ125" s="531" cm="1">
        <f t="array" aca="1" ref="AJ125" ca="1">IF(AJ$21&lt;Standard_Year,'No STDs Case Rev &amp; Cost'!AJ125,
OFFSET(AJ125,-6,0)*
OFFSET(MSP!$G$1,
MATCH(OFFSET($C117,((MATCH($C117,EL_List,0)-1)*-10)-1,0),MSP!$C:$C,0)+MATCH($C117,EL_List,0)-1,0)
*INDEX(Learning!$E$6:$S$41,(MATCH(AJ$21,Dates,0)),(MATCH($C$86,Learning!$E$4:$S$4,0)+MATCH($C$117,Learning!$E$5:$S$5,0)-1)))</f>
        <v>0.9748786320570374</v>
      </c>
      <c r="AK125" s="531" cm="1">
        <f t="array" aca="1" ref="AK125" ca="1">IF(AK$21&lt;Standard_Year,'No STDs Case Rev &amp; Cost'!AK125,
OFFSET(AK125,-6,0)*
OFFSET(MSP!$G$1,
MATCH(OFFSET($C117,((MATCH($C117,EL_List,0)-1)*-10)-1,0),MSP!$C:$C,0)+MATCH($C117,EL_List,0)-1,0)
*INDEX(Learning!$E$6:$S$41,(MATCH(AK$21,Dates,0)),(MATCH($C$86,Learning!$E$4:$S$4,0)+MATCH($C$117,Learning!$E$5:$S$5,0)-1)))</f>
        <v>1.0195763126317239</v>
      </c>
      <c r="AL125" s="531" cm="1">
        <f t="array" aca="1" ref="AL125" ca="1">IF(AL$21&lt;Standard_Year,'No STDs Case Rev &amp; Cost'!AL125,
OFFSET(AL125,-6,0)*
OFFSET(MSP!$G$1,
MATCH(OFFSET($C117,((MATCH($C117,EL_List,0)-1)*-10)-1,0),MSP!$C:$C,0)+MATCH($C117,EL_List,0)-1,0)
*INDEX(Learning!$E$6:$S$41,(MATCH(AL$21,Dates,0)),(MATCH($C$86,Learning!$E$4:$S$4,0)+MATCH($C$117,Learning!$E$5:$S$5,0)-1)))</f>
        <v>1.0662781766681024</v>
      </c>
      <c r="AM125" s="531" cm="1">
        <f t="array" aca="1" ref="AM125" ca="1">IF(AM$21&lt;Standard_Year,'No STDs Case Rev &amp; Cost'!AM125,
OFFSET(AM125,-6,0)*
OFFSET(MSP!$G$1,
MATCH(OFFSET($C117,((MATCH($C117,EL_List,0)-1)*-10)-1,0),MSP!$C:$C,0)+MATCH($C117,EL_List,0)-1,0)
*INDEX(Learning!$E$6:$S$41,(MATCH(AM$21,Dates,0)),(MATCH($C$86,Learning!$E$4:$S$4,0)+MATCH($C$117,Learning!$E$5:$S$5,0)-1)))</f>
        <v>1.113814784130404</v>
      </c>
      <c r="AN125" s="531" cm="1">
        <f t="array" aca="1" ref="AN125" ca="1">IF(AN$21&lt;Standard_Year,'No STDs Case Rev &amp; Cost'!AN125,
OFFSET(AN125,-6,0)*
OFFSET(MSP!$G$1,
MATCH(OFFSET($C117,((MATCH($C117,EL_List,0)-1)*-10)-1,0),MSP!$C:$C,0)+MATCH($C117,EL_List,0)-1,0)
*INDEX(Learning!$E$6:$S$41,(MATCH(AN$21,Dates,0)),(MATCH($C$86,Learning!$E$4:$S$4,0)+MATCH($C$117,Learning!$E$5:$S$5,0)-1)))</f>
        <v>1.1647309346399306</v>
      </c>
      <c r="AO125" s="436"/>
      <c r="AP125" s="21"/>
    </row>
    <row r="126" spans="2:42" ht="15" customHeight="1" x14ac:dyDescent="0.35">
      <c r="B126" s="429"/>
      <c r="C126" s="776"/>
      <c r="D126" s="776"/>
      <c r="E126" s="776"/>
      <c r="F126" s="776"/>
      <c r="G126" s="776"/>
      <c r="H126" s="776"/>
      <c r="I126" s="776"/>
      <c r="J126" s="776"/>
      <c r="K126" s="776"/>
      <c r="L126" s="776"/>
      <c r="M126" s="776"/>
      <c r="N126" s="776"/>
      <c r="O126" s="776"/>
      <c r="P126" s="776"/>
      <c r="Q126" s="776"/>
      <c r="R126" s="776"/>
      <c r="S126" s="776"/>
      <c r="T126" s="776"/>
      <c r="U126" s="776"/>
      <c r="V126" s="776"/>
      <c r="W126" s="776"/>
      <c r="X126" s="776"/>
      <c r="Y126" s="776"/>
      <c r="Z126" s="776"/>
      <c r="AA126" s="776"/>
      <c r="AB126" s="776"/>
      <c r="AC126" s="776"/>
      <c r="AD126" s="776"/>
      <c r="AE126" s="776"/>
      <c r="AF126" s="776"/>
      <c r="AG126" s="776"/>
      <c r="AH126" s="776"/>
      <c r="AI126" s="776"/>
      <c r="AJ126" s="776"/>
      <c r="AK126" s="776"/>
      <c r="AL126" s="776"/>
      <c r="AM126" s="776"/>
      <c r="AN126" s="776"/>
      <c r="AO126" s="436"/>
      <c r="AP126" s="21"/>
    </row>
    <row r="127" spans="2:42" ht="15" customHeight="1" x14ac:dyDescent="0.35">
      <c r="B127" s="429"/>
      <c r="C127" s="772" t="s">
        <v>342</v>
      </c>
      <c r="D127" s="776"/>
      <c r="E127" s="776"/>
      <c r="F127" s="776"/>
      <c r="G127" s="776"/>
      <c r="H127" s="776"/>
      <c r="I127" s="776"/>
      <c r="J127" s="776"/>
      <c r="K127" s="776"/>
      <c r="L127" s="776"/>
      <c r="M127" s="776"/>
      <c r="N127" s="776"/>
      <c r="O127" s="776"/>
      <c r="P127" s="776"/>
      <c r="Q127" s="776"/>
      <c r="R127" s="776"/>
      <c r="S127" s="776"/>
      <c r="T127" s="776"/>
      <c r="U127" s="776"/>
      <c r="V127" s="776"/>
      <c r="W127" s="776"/>
      <c r="X127" s="776"/>
      <c r="Y127" s="776"/>
      <c r="Z127" s="776"/>
      <c r="AA127" s="776"/>
      <c r="AB127" s="776"/>
      <c r="AC127" s="776"/>
      <c r="AD127" s="776"/>
      <c r="AE127" s="776"/>
      <c r="AF127" s="776"/>
      <c r="AG127" s="776"/>
      <c r="AH127" s="776"/>
      <c r="AI127" s="776"/>
      <c r="AJ127" s="776"/>
      <c r="AK127" s="776"/>
      <c r="AL127" s="776"/>
      <c r="AM127" s="776"/>
      <c r="AN127" s="776"/>
      <c r="AO127" s="436"/>
      <c r="AP127" s="21"/>
    </row>
    <row r="128" spans="2:42" ht="15" customHeight="1" x14ac:dyDescent="0.35">
      <c r="B128" s="429"/>
      <c r="C128" s="777" t="s">
        <v>10</v>
      </c>
      <c r="D128" s="776"/>
      <c r="E128" s="778" cm="1">
        <f t="array" aca="1" ref="E128" ca="1">IF(E$21&lt;Standard_Year,'No STDs Case Rev &amp; Cost'!E128,
OFFSET(MSP!$C$1,
MATCH(OFFSET($C127,((MATCH($C127,EL_List,0)-1)*-10)-1,0),MSP!$C:$C,0)+MATCH($C127,EL_List,0)-1,
MATCH(OFFSET($C127,((MATCH($C127,EL_List,0)-1)*-10)-3,0),MSP!$D$5:$N$5,0)+1)
*INDEX(Learning!$E$6:$S$41,(MATCH(E$21,Dates,0)),(MATCH($C$86,Learning!$E$4:$S$4,0)+MATCH($C$127,Learning!$E$5:$S$5,0)-1)))</f>
        <v>83.849947499999999</v>
      </c>
      <c r="F128" s="778" cm="1">
        <f t="array" aca="1" ref="F128" ca="1">IF(F$21&lt;Standard_Year,'No STDs Case Rev &amp; Cost'!F128,
OFFSET(MSP!$C$1,
MATCH(OFFSET($C127,((MATCH($C127,EL_List,0)-1)*-10)-1,0),MSP!$C:$C,0)+MATCH($C127,EL_List,0)-1,
MATCH(OFFSET($C127,((MATCH($C127,EL_List,0)-1)*-10)-3,0),MSP!$D$5:$N$5,0)+1)
*INDEX(Learning!$E$6:$S$41,(MATCH(F$21,Dates,0)),(MATCH($C$86,Learning!$E$4:$S$4,0)+MATCH($C$127,Learning!$E$5:$S$5,0)-1)))</f>
        <v>83.205567499999987</v>
      </c>
      <c r="G128" s="778" cm="1">
        <f t="array" aca="1" ref="G128" ca="1">IF(G$21&lt;Standard_Year,'No STDs Case Rev &amp; Cost'!G128,
OFFSET(MSP!$C$1,
MATCH(OFFSET($C127,((MATCH($C127,EL_List,0)-1)*-10)-1,0),MSP!$C:$C,0)+MATCH($C127,EL_List,0)-1,
MATCH(OFFSET($C127,((MATCH($C127,EL_List,0)-1)*-10)-3,0),MSP!$D$5:$N$5,0)+1)
*INDEX(Learning!$E$6:$S$41,(MATCH(G$21,Dates,0)),(MATCH($C$86,Learning!$E$4:$S$4,0)+MATCH($C$127,Learning!$E$5:$S$5,0)-1)))</f>
        <v>82.641734999999997</v>
      </c>
      <c r="H128" s="778" cm="1">
        <f t="array" aca="1" ref="H128" ca="1">IF(H$21&lt;Standard_Year,'No STDs Case Rev &amp; Cost'!H128,
OFFSET(MSP!$C$1,
MATCH(OFFSET($C127,((MATCH($C127,EL_List,0)-1)*-10)-1,0),MSP!$C:$C,0)+MATCH($C127,EL_List,0)-1,
MATCH(OFFSET($C127,((MATCH($C127,EL_List,0)-1)*-10)-3,0),MSP!$D$5:$N$5,0)+1)
*INDEX(Learning!$E$6:$S$41,(MATCH(H$21,Dates,0)),(MATCH($C$86,Learning!$E$4:$S$4,0)+MATCH($C$127,Learning!$E$5:$S$5,0)-1)))</f>
        <v>82.077902499999993</v>
      </c>
      <c r="I128" s="778" cm="1">
        <f t="array" aca="1" ref="I128" ca="1">IF(I$21&lt;Standard_Year,'No STDs Case Rev &amp; Cost'!I128,
OFFSET(MSP!$C$1,
MATCH(OFFSET($C127,((MATCH($C127,EL_List,0)-1)*-10)-1,0),MSP!$C:$C,0)+MATCH($C127,EL_List,0)-1,
MATCH(OFFSET($C127,((MATCH($C127,EL_List,0)-1)*-10)-3,0),MSP!$D$5:$N$5,0)+1)
*INDEX(Learning!$E$6:$S$41,(MATCH(I$21,Dates,0)),(MATCH($C$86,Learning!$E$4:$S$4,0)+MATCH($C$127,Learning!$E$5:$S$5,0)-1)))</f>
        <v>81.514070000000004</v>
      </c>
      <c r="J128" s="778" cm="1">
        <f t="array" aca="1" ref="J128" ca="1">IF(J$21&lt;Standard_Year,'No STDs Case Rev &amp; Cost'!J128,
OFFSET(MSP!$C$1,
MATCH(OFFSET($C127,((MATCH($C127,EL_List,0)-1)*-10)-1,0),MSP!$C:$C,0)+MATCH($C127,EL_List,0)-1,
MATCH(OFFSET($C127,((MATCH($C127,EL_List,0)-1)*-10)-3,0),MSP!$D$5:$N$5,0)+1)
*INDEX(Learning!$E$6:$S$41,(MATCH(J$21,Dates,0)),(MATCH($C$86,Learning!$E$4:$S$4,0)+MATCH($C$127,Learning!$E$5:$S$5,0)-1)))</f>
        <v>81.030784999999995</v>
      </c>
      <c r="K128" s="778" cm="1">
        <f t="array" aca="1" ref="K128" ca="1">IF(K$21&lt;Standard_Year,'No STDs Case Rev &amp; Cost'!K128,
OFFSET(MSP!$C$1,
MATCH(OFFSET($C127,((MATCH($C127,EL_List,0)-1)*-10)-1,0),MSP!$C:$C,0)+MATCH($C127,EL_List,0)-1,
MATCH(OFFSET($C127,((MATCH($C127,EL_List,0)-1)*-10)-3,0),MSP!$D$5:$N$5,0)+1)
*INDEX(Learning!$E$6:$S$41,(MATCH(K$21,Dates,0)),(MATCH($C$86,Learning!$E$4:$S$4,0)+MATCH($C$127,Learning!$E$5:$S$5,0)-1)))</f>
        <v>80.547499999999999</v>
      </c>
      <c r="L128" s="778" cm="1">
        <f t="array" aca="1" ref="L128" ca="1">IF(L$21&lt;Standard_Year,'No STDs Case Rev &amp; Cost'!L128,
OFFSET(MSP!$C$1,
MATCH(OFFSET($C127,((MATCH($C127,EL_List,0)-1)*-10)-1,0),MSP!$C:$C,0)+MATCH($C127,EL_List,0)-1,
MATCH(OFFSET($C127,((MATCH($C127,EL_List,0)-1)*-10)-3,0),MSP!$D$5:$N$5,0)+1)
*INDEX(Learning!$E$6:$S$41,(MATCH(L$21,Dates,0)),(MATCH($C$86,Learning!$E$4:$S$4,0)+MATCH($C$127,Learning!$E$5:$S$5,0)-1)))</f>
        <v>80.064215000000004</v>
      </c>
      <c r="M128" s="778" cm="1">
        <f t="array" aca="1" ref="M128" ca="1">IF(M$21&lt;Standard_Year,'No STDs Case Rev &amp; Cost'!M128,
OFFSET(MSP!$C$1,
MATCH(OFFSET($C127,((MATCH($C127,EL_List,0)-1)*-10)-1,0),MSP!$C:$C,0)+MATCH($C127,EL_List,0)-1,
MATCH(OFFSET($C127,((MATCH($C127,EL_List,0)-1)*-10)-3,0),MSP!$D$5:$N$5,0)+1)
*INDEX(Learning!$E$6:$S$41,(MATCH(M$21,Dates,0)),(MATCH($C$86,Learning!$E$4:$S$4,0)+MATCH($C$127,Learning!$E$5:$S$5,0)-1)))</f>
        <v>79.580929999999995</v>
      </c>
      <c r="N128" s="778" cm="1">
        <f t="array" aca="1" ref="N128" ca="1">IF(N$21&lt;Standard_Year,'No STDs Case Rev &amp; Cost'!N128,
OFFSET(MSP!$C$1,
MATCH(OFFSET($C127,((MATCH($C127,EL_List,0)-1)*-10)-1,0),MSP!$C:$C,0)+MATCH($C127,EL_List,0)-1,
MATCH(OFFSET($C127,((MATCH($C127,EL_List,0)-1)*-10)-3,0),MSP!$D$5:$N$5,0)+1)
*INDEX(Learning!$E$6:$S$41,(MATCH(N$21,Dates,0)),(MATCH($C$86,Learning!$E$4:$S$4,0)+MATCH($C$127,Learning!$E$5:$S$5,0)-1)))</f>
        <v>79.178192499999994</v>
      </c>
      <c r="O128" s="778" cm="1">
        <f t="array" aca="1" ref="O128" ca="1">IF(O$21&lt;Standard_Year,'No STDs Case Rev &amp; Cost'!O128,
OFFSET(MSP!$C$1,
MATCH(OFFSET($C127,((MATCH($C127,EL_List,0)-1)*-10)-1,0),MSP!$C:$C,0)+MATCH($C127,EL_List,0)-1,
MATCH(OFFSET($C127,((MATCH($C127,EL_List,0)-1)*-10)-3,0),MSP!$D$5:$N$5,0)+1)
*INDEX(Learning!$E$6:$S$41,(MATCH(O$21,Dates,0)),(MATCH($C$86,Learning!$E$4:$S$4,0)+MATCH($C$127,Learning!$E$5:$S$5,0)-1)))</f>
        <v>78.694907499999999</v>
      </c>
      <c r="P128" s="778" cm="1">
        <f t="array" aca="1" ref="P128" ca="1">IF(P$21&lt;Standard_Year,'No STDs Case Rev &amp; Cost'!P128,
OFFSET(MSP!$C$1,
MATCH(OFFSET($C127,((MATCH($C127,EL_List,0)-1)*-10)-1,0),MSP!$C:$C,0)+MATCH($C127,EL_List,0)-1,
MATCH(OFFSET($C127,((MATCH($C127,EL_List,0)-1)*-10)-3,0),MSP!$D$5:$N$5,0)+1)
*INDEX(Learning!$E$6:$S$41,(MATCH(P$21,Dates,0)),(MATCH($C$86,Learning!$E$4:$S$4,0)+MATCH($C$127,Learning!$E$5:$S$5,0)-1)))</f>
        <v>78.292169999999999</v>
      </c>
      <c r="Q128" s="778" cm="1">
        <f t="array" aca="1" ref="Q128" ca="1">IF(Q$21&lt;Standard_Year,'No STDs Case Rev &amp; Cost'!Q128,
OFFSET(MSP!$C$1,
MATCH(OFFSET($C127,((MATCH($C127,EL_List,0)-1)*-10)-1,0),MSP!$C:$C,0)+MATCH($C127,EL_List,0)-1,
MATCH(OFFSET($C127,((MATCH($C127,EL_List,0)-1)*-10)-3,0),MSP!$D$5:$N$5,0)+1)
*INDEX(Learning!$E$6:$S$41,(MATCH(Q$21,Dates,0)),(MATCH($C$86,Learning!$E$4:$S$4,0)+MATCH($C$127,Learning!$E$5:$S$5,0)-1)))</f>
        <v>77.889432499999998</v>
      </c>
      <c r="R128" s="778" cm="1">
        <f t="array" aca="1" ref="R128" ca="1">IF(R$21&lt;Standard_Year,'No STDs Case Rev &amp; Cost'!R128,
OFFSET(MSP!$C$1,
MATCH(OFFSET($C127,((MATCH($C127,EL_List,0)-1)*-10)-1,0),MSP!$C:$C,0)+MATCH($C127,EL_List,0)-1,
MATCH(OFFSET($C127,((MATCH($C127,EL_List,0)-1)*-10)-3,0),MSP!$D$5:$N$5,0)+1)
*INDEX(Learning!$E$6:$S$41,(MATCH(R$21,Dates,0)),(MATCH($C$86,Learning!$E$4:$S$4,0)+MATCH($C$127,Learning!$E$5:$S$5,0)-1)))</f>
        <v>77.486694999999997</v>
      </c>
      <c r="S128" s="778" cm="1">
        <f t="array" aca="1" ref="S128" ca="1">IF(S$21&lt;Standard_Year,'No STDs Case Rev &amp; Cost'!S128,
OFFSET(MSP!$C$1,
MATCH(OFFSET($C127,((MATCH($C127,EL_List,0)-1)*-10)-1,0),MSP!$C:$C,0)+MATCH($C127,EL_List,0)-1,
MATCH(OFFSET($C127,((MATCH($C127,EL_List,0)-1)*-10)-3,0),MSP!$D$5:$N$5,0)+1)
*INDEX(Learning!$E$6:$S$41,(MATCH(S$21,Dates,0)),(MATCH($C$86,Learning!$E$4:$S$4,0)+MATCH($C$127,Learning!$E$5:$S$5,0)-1)))</f>
        <v>77.083957499999997</v>
      </c>
      <c r="T128" s="778" cm="1">
        <f t="array" aca="1" ref="T128" ca="1">IF(T$21&lt;Standard_Year,'No STDs Case Rev &amp; Cost'!T128,
OFFSET(MSP!$C$1,
MATCH(OFFSET($C127,((MATCH($C127,EL_List,0)-1)*-10)-1,0),MSP!$C:$C,0)+MATCH($C127,EL_List,0)-1,
MATCH(OFFSET($C127,((MATCH($C127,EL_List,0)-1)*-10)-3,0),MSP!$D$5:$N$5,0)+1)
*INDEX(Learning!$E$6:$S$41,(MATCH(T$21,Dates,0)),(MATCH($C$86,Learning!$E$4:$S$4,0)+MATCH($C$127,Learning!$E$5:$S$5,0)-1)))</f>
        <v>76.761767499999991</v>
      </c>
      <c r="U128" s="778" cm="1">
        <f t="array" aca="1" ref="U128" ca="1">IF(U$21&lt;Standard_Year,'No STDs Case Rev &amp; Cost'!U128,
OFFSET(MSP!$C$1,
MATCH(OFFSET($C127,((MATCH($C127,EL_List,0)-1)*-10)-1,0),MSP!$C:$C,0)+MATCH($C127,EL_List,0)-1,
MATCH(OFFSET($C127,((MATCH($C127,EL_List,0)-1)*-10)-3,0),MSP!$D$5:$N$5,0)+1)
*INDEX(Learning!$E$6:$S$41,(MATCH(U$21,Dates,0)),(MATCH($C$86,Learning!$E$4:$S$4,0)+MATCH($C$127,Learning!$E$5:$S$5,0)-1)))</f>
        <v>76.35902999999999</v>
      </c>
      <c r="V128" s="778" cm="1">
        <f t="array" aca="1" ref="V128" ca="1">IF(V$21&lt;Standard_Year,'No STDs Case Rev &amp; Cost'!V128,
OFFSET(MSP!$C$1,
MATCH(OFFSET($C127,((MATCH($C127,EL_List,0)-1)*-10)-1,0),MSP!$C:$C,0)+MATCH($C127,EL_List,0)-1,
MATCH(OFFSET($C127,((MATCH($C127,EL_List,0)-1)*-10)-3,0),MSP!$D$5:$N$5,0)+1)
*INDEX(Learning!$E$6:$S$41,(MATCH(V$21,Dates,0)),(MATCH($C$86,Learning!$E$4:$S$4,0)+MATCH($C$127,Learning!$E$5:$S$5,0)-1)))</f>
        <v>75.956292499999989</v>
      </c>
      <c r="W128" s="778" cm="1">
        <f t="array" aca="1" ref="W128" ca="1">IF(W$21&lt;Standard_Year,'No STDs Case Rev &amp; Cost'!W128,
OFFSET(MSP!$C$1,
MATCH(OFFSET($C127,((MATCH($C127,EL_List,0)-1)*-10)-1,0),MSP!$C:$C,0)+MATCH($C127,EL_List,0)-1,
MATCH(OFFSET($C127,((MATCH($C127,EL_List,0)-1)*-10)-3,0),MSP!$D$5:$N$5,0)+1)
*INDEX(Learning!$E$6:$S$41,(MATCH(W$21,Dates,0)),(MATCH($C$86,Learning!$E$4:$S$4,0)+MATCH($C$127,Learning!$E$5:$S$5,0)-1)))</f>
        <v>75.634102499999997</v>
      </c>
      <c r="X128" s="778" cm="1">
        <f t="array" aca="1" ref="X128" ca="1">IF(X$21&lt;Standard_Year,'No STDs Case Rev &amp; Cost'!X128,
OFFSET(MSP!$C$1,
MATCH(OFFSET($C127,((MATCH($C127,EL_List,0)-1)*-10)-1,0),MSP!$C:$C,0)+MATCH($C127,EL_List,0)-1,
MATCH(OFFSET($C127,((MATCH($C127,EL_List,0)-1)*-10)-3,0),MSP!$D$5:$N$5,0)+1)
*INDEX(Learning!$E$6:$S$41,(MATCH(X$21,Dates,0)),(MATCH($C$86,Learning!$E$4:$S$4,0)+MATCH($C$127,Learning!$E$5:$S$5,0)-1)))</f>
        <v>75.311912500000005</v>
      </c>
      <c r="Y128" s="778" cm="1">
        <f t="array" aca="1" ref="Y128" ca="1">IF(Y$21&lt;Standard_Year,'No STDs Case Rev &amp; Cost'!Y128,
OFFSET(MSP!$C$1,
MATCH(OFFSET($C127,((MATCH($C127,EL_List,0)-1)*-10)-1,0),MSP!$C:$C,0)+MATCH($C127,EL_List,0)-1,
MATCH(OFFSET($C127,((MATCH($C127,EL_List,0)-1)*-10)-3,0),MSP!$D$5:$N$5,0)+1)
*INDEX(Learning!$E$6:$S$41,(MATCH(Y$21,Dates,0)),(MATCH($C$86,Learning!$E$4:$S$4,0)+MATCH($C$127,Learning!$E$5:$S$5,0)-1)))</f>
        <v>74.909175000000005</v>
      </c>
      <c r="Z128" s="778" cm="1">
        <f t="array" aca="1" ref="Z128" ca="1">IF(Z$21&lt;Standard_Year,'No STDs Case Rev &amp; Cost'!Z128,
OFFSET(MSP!$C$1,
MATCH(OFFSET($C127,((MATCH($C127,EL_List,0)-1)*-10)-1,0),MSP!$C:$C,0)+MATCH($C127,EL_List,0)-1,
MATCH(OFFSET($C127,((MATCH($C127,EL_List,0)-1)*-10)-3,0),MSP!$D$5:$N$5,0)+1)
*INDEX(Learning!$E$6:$S$41,(MATCH(Z$21,Dates,0)),(MATCH($C$86,Learning!$E$4:$S$4,0)+MATCH($C$127,Learning!$E$5:$S$5,0)-1)))</f>
        <v>74.586984999999999</v>
      </c>
      <c r="AA128" s="778" cm="1">
        <f t="array" aca="1" ref="AA128" ca="1">IF(AA$21&lt;Standard_Year,'No STDs Case Rev &amp; Cost'!AA128,
OFFSET(MSP!$C$1,
MATCH(OFFSET($C127,((MATCH($C127,EL_List,0)-1)*-10)-1,0),MSP!$C:$C,0)+MATCH($C127,EL_List,0)-1,
MATCH(OFFSET($C127,((MATCH($C127,EL_List,0)-1)*-10)-3,0),MSP!$D$5:$N$5,0)+1)
*INDEX(Learning!$E$6:$S$41,(MATCH(AA$21,Dates,0)),(MATCH($C$86,Learning!$E$4:$S$4,0)+MATCH($C$127,Learning!$E$5:$S$5,0)-1)))</f>
        <v>74.264795000000007</v>
      </c>
      <c r="AB128" s="778" cm="1">
        <f t="array" aca="1" ref="AB128" ca="1">IF(AB$21&lt;Standard_Year,'No STDs Case Rev &amp; Cost'!AB128,
OFFSET(MSP!$C$1,
MATCH(OFFSET($C127,((MATCH($C127,EL_List,0)-1)*-10)-1,0),MSP!$C:$C,0)+MATCH($C127,EL_List,0)-1,
MATCH(OFFSET($C127,((MATCH($C127,EL_List,0)-1)*-10)-3,0),MSP!$D$5:$N$5,0)+1)
*INDEX(Learning!$E$6:$S$41,(MATCH(AB$21,Dates,0)),(MATCH($C$86,Learning!$E$4:$S$4,0)+MATCH($C$127,Learning!$E$5:$S$5,0)-1)))</f>
        <v>73.942605</v>
      </c>
      <c r="AC128" s="778" cm="1">
        <f t="array" aca="1" ref="AC128" ca="1">IF(AC$21&lt;Standard_Year,'No STDs Case Rev &amp; Cost'!AC128,
OFFSET(MSP!$C$1,
MATCH(OFFSET($C127,((MATCH($C127,EL_List,0)-1)*-10)-1,0),MSP!$C:$C,0)+MATCH($C127,EL_List,0)-1,
MATCH(OFFSET($C127,((MATCH($C127,EL_List,0)-1)*-10)-3,0),MSP!$D$5:$N$5,0)+1)
*INDEX(Learning!$E$6:$S$41,(MATCH(AC$21,Dates,0)),(MATCH($C$86,Learning!$E$4:$S$4,0)+MATCH($C$127,Learning!$E$5:$S$5,0)-1)))</f>
        <v>73.620415000000008</v>
      </c>
      <c r="AD128" s="778" cm="1">
        <f t="array" aca="1" ref="AD128" ca="1">IF(AD$21&lt;Standard_Year,'No STDs Case Rev &amp; Cost'!AD128,
OFFSET(MSP!$C$1,
MATCH(OFFSET($C127,((MATCH($C127,EL_List,0)-1)*-10)-1,0),MSP!$C:$C,0)+MATCH($C127,EL_List,0)-1,
MATCH(OFFSET($C127,((MATCH($C127,EL_List,0)-1)*-10)-3,0),MSP!$D$5:$N$5,0)+1)
*INDEX(Learning!$E$6:$S$41,(MATCH(AD$21,Dates,0)),(MATCH($C$86,Learning!$E$4:$S$4,0)+MATCH($C$127,Learning!$E$5:$S$5,0)-1)))</f>
        <v>73.298225000000002</v>
      </c>
      <c r="AE128" s="778" cm="1">
        <f t="array" aca="1" ref="AE128" ca="1">IF(AE$21&lt;Standard_Year,'No STDs Case Rev &amp; Cost'!AE128,
OFFSET(MSP!$C$1,
MATCH(OFFSET($C127,((MATCH($C127,EL_List,0)-1)*-10)-1,0),MSP!$C:$C,0)+MATCH($C127,EL_List,0)-1,
MATCH(OFFSET($C127,((MATCH($C127,EL_List,0)-1)*-10)-3,0),MSP!$D$5:$N$5,0)+1)
*INDEX(Learning!$E$6:$S$41,(MATCH(AE$21,Dates,0)),(MATCH($C$86,Learning!$E$4:$S$4,0)+MATCH($C$127,Learning!$E$5:$S$5,0)-1)))</f>
        <v>72.976034999999996</v>
      </c>
      <c r="AF128" s="778" cm="1">
        <f t="array" aca="1" ref="AF128" ca="1">IF(AF$21&lt;Standard_Year,'No STDs Case Rev &amp; Cost'!AF128,
OFFSET(MSP!$C$1,
MATCH(OFFSET($C127,((MATCH($C127,EL_List,0)-1)*-10)-1,0),MSP!$C:$C,0)+MATCH($C127,EL_List,0)-1,
MATCH(OFFSET($C127,((MATCH($C127,EL_List,0)-1)*-10)-3,0),MSP!$D$5:$N$5,0)+1)
*INDEX(Learning!$E$6:$S$41,(MATCH(AF$21,Dates,0)),(MATCH($C$86,Learning!$E$4:$S$4,0)+MATCH($C$127,Learning!$E$5:$S$5,0)-1)))</f>
        <v>72.653845000000004</v>
      </c>
      <c r="AG128" s="778" cm="1">
        <f t="array" aca="1" ref="AG128" ca="1">IF(AG$21&lt;Standard_Year,'No STDs Case Rev &amp; Cost'!AG128,
OFFSET(MSP!$C$1,
MATCH(OFFSET($C127,((MATCH($C127,EL_List,0)-1)*-10)-1,0),MSP!$C:$C,0)+MATCH($C127,EL_List,0)-1,
MATCH(OFFSET($C127,((MATCH($C127,EL_List,0)-1)*-10)-3,0),MSP!$D$5:$N$5,0)+1)
*INDEX(Learning!$E$6:$S$41,(MATCH(AG$21,Dates,0)),(MATCH($C$86,Learning!$E$4:$S$4,0)+MATCH($C$127,Learning!$E$5:$S$5,0)-1)))</f>
        <v>72.331654999999998</v>
      </c>
      <c r="AH128" s="778" cm="1">
        <f t="array" aca="1" ref="AH128" ca="1">IF(AH$21&lt;Standard_Year,'No STDs Case Rev &amp; Cost'!AH128,
OFFSET(MSP!$C$1,
MATCH(OFFSET($C127,((MATCH($C127,EL_List,0)-1)*-10)-1,0),MSP!$C:$C,0)+MATCH($C127,EL_List,0)-1,
MATCH(OFFSET($C127,((MATCH($C127,EL_List,0)-1)*-10)-3,0),MSP!$D$5:$N$5,0)+1)
*INDEX(Learning!$E$6:$S$41,(MATCH(AH$21,Dates,0)),(MATCH($C$86,Learning!$E$4:$S$4,0)+MATCH($C$127,Learning!$E$5:$S$5,0)-1)))</f>
        <v>72.0900125</v>
      </c>
      <c r="AI128" s="778" cm="1">
        <f t="array" aca="1" ref="AI128" ca="1">IF(AI$21&lt;Standard_Year,'No STDs Case Rev &amp; Cost'!AI128,
OFFSET(MSP!$C$1,
MATCH(OFFSET($C127,((MATCH($C127,EL_List,0)-1)*-10)-1,0),MSP!$C:$C,0)+MATCH($C127,EL_List,0)-1,
MATCH(OFFSET($C127,((MATCH($C127,EL_List,0)-1)*-10)-3,0),MSP!$D$5:$N$5,0)+1)
*INDEX(Learning!$E$6:$S$41,(MATCH(AI$21,Dates,0)),(MATCH($C$86,Learning!$E$4:$S$4,0)+MATCH($C$127,Learning!$E$5:$S$5,0)-1)))</f>
        <v>71.767822499999994</v>
      </c>
      <c r="AJ128" s="778" cm="1">
        <f t="array" aca="1" ref="AJ128" ca="1">IF(AJ$21&lt;Standard_Year,'No STDs Case Rev &amp; Cost'!AJ128,
OFFSET(MSP!$C$1,
MATCH(OFFSET($C127,((MATCH($C127,EL_List,0)-1)*-10)-1,0),MSP!$C:$C,0)+MATCH($C127,EL_List,0)-1,
MATCH(OFFSET($C127,((MATCH($C127,EL_List,0)-1)*-10)-3,0),MSP!$D$5:$N$5,0)+1)
*INDEX(Learning!$E$6:$S$41,(MATCH(AJ$21,Dates,0)),(MATCH($C$86,Learning!$E$4:$S$4,0)+MATCH($C$127,Learning!$E$5:$S$5,0)-1)))</f>
        <v>71.445632500000002</v>
      </c>
      <c r="AK128" s="778" cm="1">
        <f t="array" aca="1" ref="AK128" ca="1">IF(AK$21&lt;Standard_Year,'No STDs Case Rev &amp; Cost'!AK128,
OFFSET(MSP!$C$1,
MATCH(OFFSET($C127,((MATCH($C127,EL_List,0)-1)*-10)-1,0),MSP!$C:$C,0)+MATCH($C127,EL_List,0)-1,
MATCH(OFFSET($C127,((MATCH($C127,EL_List,0)-1)*-10)-3,0),MSP!$D$5:$N$5,0)+1)
*INDEX(Learning!$E$6:$S$41,(MATCH(AK$21,Dates,0)),(MATCH($C$86,Learning!$E$4:$S$4,0)+MATCH($C$127,Learning!$E$5:$S$5,0)-1)))</f>
        <v>71.203990000000005</v>
      </c>
      <c r="AL128" s="778" cm="1">
        <f t="array" aca="1" ref="AL128" ca="1">IF(AL$21&lt;Standard_Year,'No STDs Case Rev &amp; Cost'!AL128,
OFFSET(MSP!$C$1,
MATCH(OFFSET($C127,((MATCH($C127,EL_List,0)-1)*-10)-1,0),MSP!$C:$C,0)+MATCH($C127,EL_List,0)-1,
MATCH(OFFSET($C127,((MATCH($C127,EL_List,0)-1)*-10)-3,0),MSP!$D$5:$N$5,0)+1)
*INDEX(Learning!$E$6:$S$41,(MATCH(AL$21,Dates,0)),(MATCH($C$86,Learning!$E$4:$S$4,0)+MATCH($C$127,Learning!$E$5:$S$5,0)-1)))</f>
        <v>70.881799999999998</v>
      </c>
      <c r="AM128" s="778" cm="1">
        <f t="array" aca="1" ref="AM128" ca="1">IF(AM$21&lt;Standard_Year,'No STDs Case Rev &amp; Cost'!AM128,
OFFSET(MSP!$C$1,
MATCH(OFFSET($C127,((MATCH($C127,EL_List,0)-1)*-10)-1,0),MSP!$C:$C,0)+MATCH($C127,EL_List,0)-1,
MATCH(OFFSET($C127,((MATCH($C127,EL_List,0)-1)*-10)-3,0),MSP!$D$5:$N$5,0)+1)
*INDEX(Learning!$E$6:$S$41,(MATCH(AM$21,Dates,0)),(MATCH($C$86,Learning!$E$4:$S$4,0)+MATCH($C$127,Learning!$E$5:$S$5,0)-1)))</f>
        <v>70.559610000000006</v>
      </c>
      <c r="AN128" s="778" cm="1">
        <f t="array" aca="1" ref="AN128" ca="1">IF(AN$21&lt;Standard_Year,'No STDs Case Rev &amp; Cost'!AN128,
OFFSET(MSP!$C$1,
MATCH(OFFSET($C127,((MATCH($C127,EL_List,0)-1)*-10)-1,0),MSP!$C:$C,0)+MATCH($C127,EL_List,0)-1,
MATCH(OFFSET($C127,((MATCH($C127,EL_List,0)-1)*-10)-3,0),MSP!$D$5:$N$5,0)+1)
*INDEX(Learning!$E$6:$S$41,(MATCH(AN$21,Dates,0)),(MATCH($C$86,Learning!$E$4:$S$4,0)+MATCH($C$127,Learning!$E$5:$S$5,0)-1)))</f>
        <v>70.316319105258614</v>
      </c>
      <c r="AO128" s="436"/>
      <c r="AP128" s="21"/>
    </row>
    <row r="129" spans="2:42" ht="15" customHeight="1" x14ac:dyDescent="0.35">
      <c r="B129" s="429"/>
      <c r="C129" s="777" t="s">
        <v>78</v>
      </c>
      <c r="D129" s="776"/>
      <c r="E129" s="530">
        <f ca="1">OFFSET(OFFSET(Shipments!$D$1,0,MATCH(E$7,Dates)),
MATCH(OFFSET($C127,((MATCH($C127,EL_List,0)-1)*-10)-3,0),Shipments!$C:$C,0)+
MATCH(OFFSET($C127,((MATCH($C127,EL_List,0)-1)*-10)-1,0),Shipments!$D:$D,0)+
MATCH($C127,EL_List,0)-10,
MATCH(Shipments_Scenario_X,Shipments!$F$5:$AQ$5,0))</f>
        <v>7.0976224895146645E-3</v>
      </c>
      <c r="F129" s="530">
        <f ca="1">OFFSET(OFFSET(Shipments!$D$1,0,MATCH(F$7,Dates)),
MATCH(OFFSET($C127,((MATCH($C127,EL_List,0)-1)*-10)-3,0),Shipments!$C:$C,0)+
MATCH(OFFSET($C127,((MATCH($C127,EL_List,0)-1)*-10)-1,0),Shipments!$D:$D,0)+
MATCH($C127,EL_List,0)-10,
MATCH(Shipments_Scenario_X,Shipments!$F$5:$AQ$5,0))</f>
        <v>7.4150179110243136E-3</v>
      </c>
      <c r="G129" s="530">
        <f ca="1">OFFSET(OFFSET(Shipments!$D$1,0,MATCH(G$7,Dates)),
MATCH(OFFSET($C127,((MATCH($C127,EL_List,0)-1)*-10)-3,0),Shipments!$C:$C,0)+
MATCH(OFFSET($C127,((MATCH($C127,EL_List,0)-1)*-10)-1,0),Shipments!$D:$D,0)+
MATCH($C127,EL_List,0)-10,
MATCH(Shipments_Scenario_X,Shipments!$F$5:$AQ$5,0))</f>
        <v>7.6994388601007765E-3</v>
      </c>
      <c r="H129" s="530">
        <f ca="1">OFFSET(OFFSET(Shipments!$D$1,0,MATCH(H$7,Dates)),
MATCH(OFFSET($C127,((MATCH($C127,EL_List,0)-1)*-10)-3,0),Shipments!$C:$C,0)+
MATCH(OFFSET($C127,((MATCH($C127,EL_List,0)-1)*-10)-1,0),Shipments!$D:$D,0)+
MATCH($C127,EL_List,0)-10,
MATCH(Shipments_Scenario_X,Shipments!$F$5:$AQ$5,0))</f>
        <v>8.0610275943827723E-3</v>
      </c>
      <c r="I129" s="530">
        <f ca="1">OFFSET(OFFSET(Shipments!$D$1,0,MATCH(I$7,Dates)),
MATCH(OFFSET($C127,((MATCH($C127,EL_List,0)-1)*-10)-3,0),Shipments!$C:$C,0)+
MATCH(OFFSET($C127,((MATCH($C127,EL_List,0)-1)*-10)-1,0),Shipments!$D:$D,0)+
MATCH($C127,EL_List,0)-10,
MATCH(Shipments_Scenario_X,Shipments!$F$5:$AQ$5,0))</f>
        <v>8.4490230340032151E-3</v>
      </c>
      <c r="J129" s="530">
        <f ca="1">OFFSET(OFFSET(Shipments!$D$1,0,MATCH(J$7,Dates)),
MATCH(OFFSET($C127,((MATCH($C127,EL_List,0)-1)*-10)-3,0),Shipments!$C:$C,0)+
MATCH(OFFSET($C127,((MATCH($C127,EL_List,0)-1)*-10)-1,0),Shipments!$D:$D,0)+
MATCH($C127,EL_List,0)-10,
MATCH(Shipments_Scenario_X,Shipments!$F$5:$AQ$5,0))</f>
        <v>8.8784138610111182E-3</v>
      </c>
      <c r="K129" s="530">
        <f ca="1">OFFSET(OFFSET(Shipments!$D$1,0,MATCH(K$7,Dates)),
MATCH(OFFSET($C127,((MATCH($C127,EL_List,0)-1)*-10)-3,0),Shipments!$C:$C,0)+
MATCH(OFFSET($C127,((MATCH($C127,EL_List,0)-1)*-10)-1,0),Shipments!$D:$D,0)+
MATCH($C127,EL_List,0)-10,
MATCH(Shipments_Scenario_X,Shipments!$F$5:$AQ$5,0))</f>
        <v>9.3441493937208575E-3</v>
      </c>
      <c r="L129" s="530">
        <f ca="1">OFFSET(OFFSET(Shipments!$D$1,0,MATCH(L$7,Dates)),
MATCH(OFFSET($C127,((MATCH($C127,EL_List,0)-1)*-10)-3,0),Shipments!$C:$C,0)+
MATCH(OFFSET($C127,((MATCH($C127,EL_List,0)-1)*-10)-1,0),Shipments!$D:$D,0)+
MATCH($C127,EL_List,0)-10,
MATCH(Shipments_Scenario_X,Shipments!$F$5:$AQ$5,0))</f>
        <v>9.8386492250894624E-3</v>
      </c>
      <c r="M129" s="530">
        <f ca="1">OFFSET(OFFSET(Shipments!$D$1,0,MATCH(M$7,Dates)),
MATCH(OFFSET($C127,((MATCH($C127,EL_List,0)-1)*-10)-3,0),Shipments!$C:$C,0)+
MATCH(OFFSET($C127,((MATCH($C127,EL_List,0)-1)*-10)-1,0),Shipments!$D:$D,0)+
MATCH($C127,EL_List,0)-10,
MATCH(Shipments_Scenario_X,Shipments!$F$5:$AQ$5,0))</f>
        <v>1.0355997798955553E-2</v>
      </c>
      <c r="N129" s="530">
        <f ca="1">OFFSET(OFFSET(Shipments!$D$1,0,MATCH(N$7,Dates)),
MATCH(OFFSET($C127,((MATCH($C127,EL_List,0)-1)*-10)-3,0),Shipments!$C:$C,0)+
MATCH(OFFSET($C127,((MATCH($C127,EL_List,0)-1)*-10)-1,0),Shipments!$D:$D,0)+
MATCH($C127,EL_List,0)-10,
MATCH(Shipments_Scenario_X,Shipments!$F$5:$AQ$5,0))</f>
        <v>1.0892253830410273E-2</v>
      </c>
      <c r="O129" s="530">
        <f ca="1">OFFSET(OFFSET(Shipments!$D$1,0,MATCH(O$7,Dates)),
MATCH(OFFSET($C127,((MATCH($C127,EL_List,0)-1)*-10)-3,0),Shipments!$C:$C,0)+
MATCH(OFFSET($C127,((MATCH($C127,EL_List,0)-1)*-10)-1,0),Shipments!$D:$D,0)+
MATCH($C127,EL_List,0)-10,
MATCH(Shipments_Scenario_X,Shipments!$F$5:$AQ$5,0))</f>
        <v>1.1447185738357412E-2</v>
      </c>
      <c r="P129" s="530">
        <f ca="1">OFFSET(OFFSET(Shipments!$D$1,0,MATCH(P$7,Dates)),
MATCH(OFFSET($C127,((MATCH($C127,EL_List,0)-1)*-10)-3,0),Shipments!$C:$C,0)+
MATCH(OFFSET($C127,((MATCH($C127,EL_List,0)-1)*-10)-1,0),Shipments!$D:$D,0)+
MATCH($C127,EL_List,0)-10,
MATCH(Shipments_Scenario_X,Shipments!$F$5:$AQ$5,0))</f>
        <v>1.2023170225657442E-2</v>
      </c>
      <c r="Q129" s="530">
        <f ca="1">OFFSET(OFFSET(Shipments!$D$1,0,MATCH(Q$7,Dates)),
MATCH(OFFSET($C127,((MATCH($C127,EL_List,0)-1)*-10)-3,0),Shipments!$C:$C,0)+
MATCH(OFFSET($C127,((MATCH($C127,EL_List,0)-1)*-10)-1,0),Shipments!$D:$D,0)+
MATCH($C127,EL_List,0)-10,
MATCH(Shipments_Scenario_X,Shipments!$F$5:$AQ$5,0))</f>
        <v>1.2623838618335433E-2</v>
      </c>
      <c r="R129" s="530">
        <f ca="1">OFFSET(OFFSET(Shipments!$D$1,0,MATCH(R$7,Dates)),
MATCH(OFFSET($C127,((MATCH($C127,EL_List,0)-1)*-10)-3,0),Shipments!$C:$C,0)+
MATCH(OFFSET($C127,((MATCH($C127,EL_List,0)-1)*-10)-1,0),Shipments!$D:$D,0)+
MATCH($C127,EL_List,0)-10,
MATCH(Shipments_Scenario_X,Shipments!$F$5:$AQ$5,0))</f>
        <v>1.3253429761582331E-2</v>
      </c>
      <c r="S129" s="530">
        <f ca="1">OFFSET(OFFSET(Shipments!$D$1,0,MATCH(S$7,Dates)),
MATCH(OFFSET($C127,((MATCH($C127,EL_List,0)-1)*-10)-3,0),Shipments!$C:$C,0)+
MATCH(OFFSET($C127,((MATCH($C127,EL_List,0)-1)*-10)-1,0),Shipments!$D:$D,0)+
MATCH($C127,EL_List,0)-10,
MATCH(Shipments_Scenario_X,Shipments!$F$5:$AQ$5,0))</f>
        <v>1.391550606315884E-2</v>
      </c>
      <c r="T129" s="530">
        <f ca="1">OFFSET(OFFSET(Shipments!$D$1,0,MATCH(T$7,Dates)),
MATCH(OFFSET($C127,((MATCH($C127,EL_List,0)-1)*-10)-3,0),Shipments!$C:$C,0)+
MATCH(OFFSET($C127,((MATCH($C127,EL_List,0)-1)*-10)-1,0),Shipments!$D:$D,0)+
MATCH($C127,EL_List,0)-10,
MATCH(Shipments_Scenario_X,Shipments!$F$5:$AQ$5,0))</f>
        <v>1.4612321475408982E-2</v>
      </c>
      <c r="U129" s="530">
        <f ca="1">OFFSET(OFFSET(Shipments!$D$1,0,MATCH(U$7,Dates)),
MATCH(OFFSET($C127,((MATCH($C127,EL_List,0)-1)*-10)-3,0),Shipments!$C:$C,0)+
MATCH(OFFSET($C127,((MATCH($C127,EL_List,0)-1)*-10)-1,0),Shipments!$D:$D,0)+
MATCH($C127,EL_List,0)-10,
MATCH(Shipments_Scenario_X,Shipments!$F$5:$AQ$5,0))</f>
        <v>1.5346381058389109E-2</v>
      </c>
      <c r="V129" s="530">
        <f ca="1">OFFSET(OFFSET(Shipments!$D$1,0,MATCH(V$7,Dates)),
MATCH(OFFSET($C127,((MATCH($C127,EL_List,0)-1)*-10)-3,0),Shipments!$C:$C,0)+
MATCH(OFFSET($C127,((MATCH($C127,EL_List,0)-1)*-10)-1,0),Shipments!$D:$D,0)+
MATCH($C127,EL_List,0)-10,
MATCH(Shipments_Scenario_X,Shipments!$F$5:$AQ$5,0))</f>
        <v>1.6116213781124846E-2</v>
      </c>
      <c r="W129" s="530">
        <f ca="1">OFFSET(OFFSET(Shipments!$D$1,0,MATCH(W$7,Dates)),
MATCH(OFFSET($C127,((MATCH($C127,EL_List,0)-1)*-10)-3,0),Shipments!$C:$C,0)+
MATCH(OFFSET($C127,((MATCH($C127,EL_List,0)-1)*-10)-1,0),Shipments!$D:$D,0)+
MATCH($C127,EL_List,0)-10,
MATCH(Shipments_Scenario_X,Shipments!$F$5:$AQ$5,0))</f>
        <v>1.692415905435456E-2</v>
      </c>
      <c r="X129" s="530">
        <f ca="1">OFFSET(OFFSET(Shipments!$D$1,0,MATCH(X$7,Dates)),
MATCH(OFFSET($C127,((MATCH($C127,EL_List,0)-1)*-10)-3,0),Shipments!$C:$C,0)+
MATCH(OFFSET($C127,((MATCH($C127,EL_List,0)-1)*-10)-1,0),Shipments!$D:$D,0)+
MATCH($C127,EL_List,0)-10,
MATCH(Shipments_Scenario_X,Shipments!$F$5:$AQ$5,0))</f>
        <v>1.7771192362795712E-2</v>
      </c>
      <c r="Y129" s="530">
        <f ca="1">OFFSET(OFFSET(Shipments!$D$1,0,MATCH(Y$7,Dates)),
MATCH(OFFSET($C127,((MATCH($C127,EL_List,0)-1)*-10)-3,0),Shipments!$C:$C,0)+
MATCH(OFFSET($C127,((MATCH($C127,EL_List,0)-1)*-10)-1,0),Shipments!$D:$D,0)+
MATCH($C127,EL_List,0)-10,
MATCH(Shipments_Scenario_X,Shipments!$F$5:$AQ$5,0))</f>
        <v>1.8658756492969879E-2</v>
      </c>
      <c r="Z129" s="530">
        <f ca="1">OFFSET(OFFSET(Shipments!$D$1,0,MATCH(Z$7,Dates)),
MATCH(OFFSET($C127,((MATCH($C127,EL_List,0)-1)*-10)-3,0),Shipments!$C:$C,0)+
MATCH(OFFSET($C127,((MATCH($C127,EL_List,0)-1)*-10)-1,0),Shipments!$D:$D,0)+
MATCH($C127,EL_List,0)-10,
MATCH(Shipments_Scenario_X,Shipments!$F$5:$AQ$5,0))</f>
        <v>1.9588785804162449E-2</v>
      </c>
      <c r="AA129" s="530">
        <f ca="1">OFFSET(OFFSET(Shipments!$D$1,0,MATCH(AA$7,Dates)),
MATCH(OFFSET($C127,((MATCH($C127,EL_List,0)-1)*-10)-3,0),Shipments!$C:$C,0)+
MATCH(OFFSET($C127,((MATCH($C127,EL_List,0)-1)*-10)-1,0),Shipments!$D:$D,0)+
MATCH($C127,EL_List,0)-10,
MATCH(Shipments_Scenario_X,Shipments!$F$5:$AQ$5,0))</f>
        <v>2.0563511600276058E-2</v>
      </c>
      <c r="AB129" s="530">
        <f ca="1">OFFSET(OFFSET(Shipments!$D$1,0,MATCH(AB$7,Dates)),
MATCH(OFFSET($C127,((MATCH($C127,EL_List,0)-1)*-10)-3,0),Shipments!$C:$C,0)+
MATCH(OFFSET($C127,((MATCH($C127,EL_List,0)-1)*-10)-1,0),Shipments!$D:$D,0)+
MATCH($C127,EL_List,0)-10,
MATCH(Shipments_Scenario_X,Shipments!$F$5:$AQ$5,0))</f>
        <v>2.1585491711921166E-2</v>
      </c>
      <c r="AC129" s="530">
        <f ca="1">OFFSET(OFFSET(Shipments!$D$1,0,MATCH(AC$7,Dates)),
MATCH(OFFSET($C127,((MATCH($C127,EL_List,0)-1)*-10)-3,0),Shipments!$C:$C,0)+
MATCH(OFFSET($C127,((MATCH($C127,EL_List,0)-1)*-10)-1,0),Shipments!$D:$D,0)+
MATCH($C127,EL_List,0)-10,
MATCH(Shipments_Scenario_X,Shipments!$F$5:$AQ$5,0))</f>
        <v>2.2657309845586206E-2</v>
      </c>
      <c r="AD129" s="530">
        <f ca="1">OFFSET(OFFSET(Shipments!$D$1,0,MATCH(AD$7,Dates)),
MATCH(OFFSET($C127,((MATCH($C127,EL_List,0)-1)*-10)-3,0),Shipments!$C:$C,0)+
MATCH(OFFSET($C127,((MATCH($C127,EL_List,0)-1)*-10)-1,0),Shipments!$D:$D,0)+
MATCH($C127,EL_List,0)-10,
MATCH(Shipments_Scenario_X,Shipments!$F$5:$AQ$5,0))</f>
        <v>2.378156414462957E-2</v>
      </c>
      <c r="AE129" s="530">
        <f ca="1">OFFSET(OFFSET(Shipments!$D$1,0,MATCH(AE$7,Dates)),
MATCH(OFFSET($C127,((MATCH($C127,EL_List,0)-1)*-10)-3,0),Shipments!$C:$C,0)+
MATCH(OFFSET($C127,((MATCH($C127,EL_List,0)-1)*-10)-1,0),Shipments!$D:$D,0)+
MATCH($C127,EL_List,0)-10,
MATCH(Shipments_Scenario_X,Shipments!$F$5:$AQ$5,0))</f>
        <v>2.4960853316994165E-2</v>
      </c>
      <c r="AF129" s="530">
        <f ca="1">OFFSET(OFFSET(Shipments!$D$1,0,MATCH(AF$7,Dates)),
MATCH(OFFSET($C127,((MATCH($C127,EL_List,0)-1)*-10)-3,0),Shipments!$C:$C,0)+
MATCH(OFFSET($C127,((MATCH($C127,EL_List,0)-1)*-10)-1,0),Shipments!$D:$D,0)+
MATCH($C127,EL_List,0)-10,
MATCH(Shipments_Scenario_X,Shipments!$F$5:$AQ$5,0))</f>
        <v>2.6197801783158996E-2</v>
      </c>
      <c r="AG129" s="530">
        <f ca="1">OFFSET(OFFSET(Shipments!$D$1,0,MATCH(AG$7,Dates)),
MATCH(OFFSET($C127,((MATCH($C127,EL_List,0)-1)*-10)-3,0),Shipments!$C:$C,0)+
MATCH(OFFSET($C127,((MATCH($C127,EL_List,0)-1)*-10)-1,0),Shipments!$D:$D,0)+
MATCH($C127,EL_List,0)-10,
MATCH(Shipments_Scenario_X,Shipments!$F$5:$AQ$5,0))</f>
        <v>2.7495115406414687E-2</v>
      </c>
      <c r="AH129" s="530">
        <f ca="1">OFFSET(OFFSET(Shipments!$D$1,0,MATCH(AH$7,Dates)),
MATCH(OFFSET($C127,((MATCH($C127,EL_List,0)-1)*-10)-3,0),Shipments!$C:$C,0)+
MATCH(OFFSET($C127,((MATCH($C127,EL_List,0)-1)*-10)-1,0),Shipments!$D:$D,0)+
MATCH($C127,EL_List,0)-10,
MATCH(Shipments_Scenario_X,Shipments!$F$5:$AQ$5,0))</f>
        <v>2.8855631761044692E-2</v>
      </c>
      <c r="AI129" s="530">
        <f ca="1">OFFSET(OFFSET(Shipments!$D$1,0,MATCH(AI$7,Dates)),
MATCH(OFFSET($C127,((MATCH($C127,EL_List,0)-1)*-10)-3,0),Shipments!$C:$C,0)+
MATCH(OFFSET($C127,((MATCH($C127,EL_List,0)-1)*-10)-1,0),Shipments!$D:$D,0)+
MATCH($C127,EL_List,0)-10,
MATCH(Shipments_Scenario_X,Shipments!$F$5:$AQ$5,0))</f>
        <v>3.0282358096716713E-2</v>
      </c>
      <c r="AJ129" s="530">
        <f ca="1">OFFSET(OFFSET(Shipments!$D$1,0,MATCH(AJ$7,Dates)),
MATCH(OFFSET($C127,((MATCH($C127,EL_List,0)-1)*-10)-3,0),Shipments!$C:$C,0)+
MATCH(OFFSET($C127,((MATCH($C127,EL_List,0)-1)*-10)-1,0),Shipments!$D:$D,0)+
MATCH($C127,EL_List,0)-10,
MATCH(Shipments_Scenario_X,Shipments!$F$5:$AQ$5,0))</f>
        <v>3.1778492072143096E-2</v>
      </c>
      <c r="AK129" s="530">
        <f ca="1">OFFSET(OFFSET(Shipments!$D$1,0,MATCH(AK$7,Dates)),
MATCH(OFFSET($C127,((MATCH($C127,EL_List,0)-1)*-10)-3,0),Shipments!$C:$C,0)+
MATCH(OFFSET($C127,((MATCH($C127,EL_List,0)-1)*-10)-1,0),Shipments!$D:$D,0)+
MATCH($C127,EL_List,0)-10,
MATCH(Shipments_Scenario_X,Shipments!$F$5:$AQ$5,0))</f>
        <v>3.3347423587583108E-2</v>
      </c>
      <c r="AL129" s="530">
        <f ca="1">OFFSET(OFFSET(Shipments!$D$1,0,MATCH(AL$7,Dates)),
MATCH(OFFSET($C127,((MATCH($C127,EL_List,0)-1)*-10)-3,0),Shipments!$C:$C,0)+
MATCH(OFFSET($C127,((MATCH($C127,EL_List,0)-1)*-10)-1,0),Shipments!$D:$D,0)+
MATCH($C127,EL_List,0)-10,
MATCH(Shipments_Scenario_X,Shipments!$F$5:$AQ$5,0))</f>
        <v>3.4992728553981618E-2</v>
      </c>
      <c r="AM129" s="530">
        <f ca="1">OFFSET(OFFSET(Shipments!$D$1,0,MATCH(AM$7,Dates)),
MATCH(OFFSET($C127,((MATCH($C127,EL_List,0)-1)*-10)-3,0),Shipments!$C:$C,0)+
MATCH(OFFSET($C127,((MATCH($C127,EL_List,0)-1)*-10)-1,0),Shipments!$D:$D,0)+
MATCH($C127,EL_List,0)-10,
MATCH(Shipments_Scenario_X,Shipments!$F$5:$AQ$5,0))</f>
        <v>3.6718164749564929E-2</v>
      </c>
      <c r="AN129" s="530">
        <f ca="1">OFFSET(OFFSET(Shipments!$D$1,0,MATCH(AN$7,Dates)),
MATCH(OFFSET($C127,((MATCH($C127,EL_List,0)-1)*-10)-3,0),Shipments!$C:$C,0)+
MATCH(OFFSET($C127,((MATCH($C127,EL_List,0)-1)*-10)-1,0),Shipments!$D:$D,0)+
MATCH($C127,EL_List,0)-10,
MATCH(Shipments_Scenario_X,Shipments!$F$5:$AQ$5,0))</f>
        <v>3.8527656920893487E-2</v>
      </c>
      <c r="AO129" s="436"/>
      <c r="AP129" s="21"/>
    </row>
    <row r="130" spans="2:42" ht="15" customHeight="1" x14ac:dyDescent="0.35">
      <c r="B130" s="429"/>
      <c r="C130" s="777" t="s">
        <v>79</v>
      </c>
      <c r="D130" s="776"/>
      <c r="E130" s="531">
        <f t="shared" ref="E130:AN130" ca="1" si="30">E128*E129</f>
        <v>0.59513527312062386</v>
      </c>
      <c r="F130" s="531">
        <f t="shared" ca="1" si="30"/>
        <v>0.61697077330944239</v>
      </c>
      <c r="G130" s="531">
        <f t="shared" ca="1" si="30"/>
        <v>0.63629498592515044</v>
      </c>
      <c r="H130" s="531">
        <f t="shared" ca="1" si="30"/>
        <v>0.6616322369415587</v>
      </c>
      <c r="I130" s="531">
        <f t="shared" ca="1" si="30"/>
        <v>0.68871425502535044</v>
      </c>
      <c r="J130" s="531">
        <f t="shared" ca="1" si="30"/>
        <v>0.71942484471261181</v>
      </c>
      <c r="K130" s="531">
        <f t="shared" ca="1" si="30"/>
        <v>0.7526478732907308</v>
      </c>
      <c r="L130" s="531">
        <f t="shared" ca="1" si="30"/>
        <v>0.7877237268671462</v>
      </c>
      <c r="M130" s="531">
        <f t="shared" ca="1" si="30"/>
        <v>0.82413993591883594</v>
      </c>
      <c r="N130" s="531">
        <f t="shared" ca="1" si="30"/>
        <v>0.86242897054308687</v>
      </c>
      <c r="O130" s="531">
        <f t="shared" ca="1" si="30"/>
        <v>0.90083522281535577</v>
      </c>
      <c r="P130" s="531">
        <f t="shared" ca="1" si="30"/>
        <v>0.94132008724611083</v>
      </c>
      <c r="Q130" s="531">
        <f t="shared" ca="1" si="30"/>
        <v>0.98326362595373096</v>
      </c>
      <c r="R130" s="531">
        <f t="shared" ca="1" si="30"/>
        <v>1.0269644696396527</v>
      </c>
      <c r="S130" s="531">
        <f t="shared" ca="1" si="30"/>
        <v>1.0726622779635284</v>
      </c>
      <c r="T130" s="531">
        <f t="shared" ca="1" si="30"/>
        <v>1.1216676237306011</v>
      </c>
      <c r="U130" s="531">
        <f t="shared" ca="1" si="30"/>
        <v>1.1718347716289657</v>
      </c>
      <c r="V130" s="531">
        <f t="shared" ca="1" si="30"/>
        <v>1.2241278479516495</v>
      </c>
      <c r="W130" s="531">
        <f t="shared" ca="1" si="30"/>
        <v>1.2800435806433559</v>
      </c>
      <c r="X130" s="531">
        <f t="shared" ca="1" si="30"/>
        <v>1.3383824842475389</v>
      </c>
      <c r="Y130" s="531">
        <f t="shared" ca="1" si="30"/>
        <v>1.397712055414267</v>
      </c>
      <c r="Z130" s="531">
        <f t="shared" ca="1" si="30"/>
        <v>1.4610684729432775</v>
      </c>
      <c r="AA130" s="531">
        <f t="shared" ca="1" si="30"/>
        <v>1.5271449734746234</v>
      </c>
      <c r="AB130" s="531">
        <f t="shared" ca="1" si="30"/>
        <v>1.5960874873853605</v>
      </c>
      <c r="AC130" s="531">
        <f t="shared" ca="1" si="30"/>
        <v>1.6680405536156426</v>
      </c>
      <c r="AD130" s="531">
        <f t="shared" ca="1" si="30"/>
        <v>1.7431464395249909</v>
      </c>
      <c r="AE130" s="531">
        <f t="shared" ca="1" si="30"/>
        <v>1.8215441052908321</v>
      </c>
      <c r="AF130" s="531">
        <f t="shared" ca="1" si="30"/>
        <v>1.9033710300943574</v>
      </c>
      <c r="AG130" s="531">
        <f t="shared" ca="1" si="30"/>
        <v>1.988767201761972</v>
      </c>
      <c r="AH130" s="531">
        <f t="shared" ca="1" si="30"/>
        <v>2.0802028543491087</v>
      </c>
      <c r="AI130" s="531">
        <f t="shared" ca="1" si="30"/>
        <v>2.1732989007666026</v>
      </c>
      <c r="AJ130" s="531">
        <f t="shared" ca="1" si="30"/>
        <v>2.2704344659904994</v>
      </c>
      <c r="AK130" s="531">
        <f t="shared" ca="1" si="30"/>
        <v>2.3744696156560319</v>
      </c>
      <c r="AL130" s="531">
        <f t="shared" ca="1" si="30"/>
        <v>2.4803475868176141</v>
      </c>
      <c r="AM130" s="531">
        <f t="shared" ref="AM130" ca="1" si="31">AM128*AM129</f>
        <v>2.5908193846450494</v>
      </c>
      <c r="AN130" s="531">
        <f t="shared" ca="1" si="30"/>
        <v>2.7091230184274719</v>
      </c>
      <c r="AO130" s="436"/>
      <c r="AP130" s="21"/>
    </row>
    <row r="131" spans="2:42" ht="15" customHeight="1" x14ac:dyDescent="0.35">
      <c r="B131" s="429"/>
      <c r="C131" s="777"/>
      <c r="D131" s="776"/>
      <c r="E131" s="776"/>
      <c r="F131" s="776"/>
      <c r="G131" s="776"/>
      <c r="H131" s="776"/>
      <c r="I131" s="776"/>
      <c r="J131" s="776"/>
      <c r="K131" s="776"/>
      <c r="L131" s="776"/>
      <c r="M131" s="776"/>
      <c r="N131" s="776"/>
      <c r="O131" s="776"/>
      <c r="P131" s="776"/>
      <c r="Q131" s="776"/>
      <c r="R131" s="776"/>
      <c r="S131" s="776"/>
      <c r="T131" s="776"/>
      <c r="U131" s="776"/>
      <c r="V131" s="776"/>
      <c r="W131" s="776"/>
      <c r="X131" s="776"/>
      <c r="Y131" s="776"/>
      <c r="Z131" s="776"/>
      <c r="AA131" s="776"/>
      <c r="AB131" s="776"/>
      <c r="AC131" s="776"/>
      <c r="AD131" s="776"/>
      <c r="AE131" s="776"/>
      <c r="AF131" s="776"/>
      <c r="AG131" s="776"/>
      <c r="AH131" s="776"/>
      <c r="AI131" s="776"/>
      <c r="AJ131" s="776"/>
      <c r="AK131" s="776"/>
      <c r="AL131" s="776"/>
      <c r="AM131" s="776"/>
      <c r="AN131" s="776"/>
      <c r="AO131" s="436"/>
      <c r="AP131" s="21"/>
    </row>
    <row r="132" spans="2:42" ht="15" customHeight="1" x14ac:dyDescent="0.35">
      <c r="B132" s="429"/>
      <c r="C132" s="780" t="s">
        <v>212</v>
      </c>
      <c r="D132" s="776"/>
      <c r="E132" s="532" cm="1">
        <f t="array" aca="1" ref="E132" ca="1">IF(E$21&lt;Standard_Year,'No STDs Case Rev &amp; Cost'!E132,
OFFSET(E132,-3,0)*
OFFSET(MSP!$D$1,
MATCH(OFFSET($C127,((MATCH($C127,EL_List,0)-1)*-10)-1,0),MSP!$C:$C,0)+MATCH($C127,EL_List,0)-1,0)
*INDEX(Learning!$E$6:$S$41,(MATCH(E$21,Dates,0)),(MATCH($C$86,Learning!$E$4:$S$4,0)+MATCH($C$127,Learning!$E$5:$S$5,0)-1)))</f>
        <v>0.36734514697816573</v>
      </c>
      <c r="F132" s="532" cm="1">
        <f t="array" aca="1" ref="F132" ca="1">IF(F$21&lt;Standard_Year,'No STDs Case Rev &amp; Cost'!F132,
OFFSET(F132,-3,0)*
OFFSET(MSP!$D$1,
MATCH(OFFSET($C127,((MATCH($C127,EL_List,0)-1)*-10)-1,0),MSP!$C:$C,0)+MATCH($C127,EL_List,0)-1,0)
*INDEX(Learning!$E$6:$S$41,(MATCH(F$21,Dates,0)),(MATCH($C$86,Learning!$E$4:$S$4,0)+MATCH($C$127,Learning!$E$5:$S$5,0)-1)))</f>
        <v>0.38082303240771503</v>
      </c>
      <c r="G132" s="532" cm="1">
        <f t="array" aca="1" ref="G132" ca="1">IF(G$21&lt;Standard_Year,'No STDs Case Rev &amp; Cost'!G132,
OFFSET(G132,-3,0)*
OFFSET(MSP!$D$1,
MATCH(OFFSET($C127,((MATCH($C127,EL_List,0)-1)*-10)-1,0),MSP!$C:$C,0)+MATCH($C127,EL_List,0)-1,0)
*INDEX(Learning!$E$6:$S$41,(MATCH(G$21,Dates,0)),(MATCH($C$86,Learning!$E$4:$S$4,0)+MATCH($C$127,Learning!$E$5:$S$5,0)-1)))</f>
        <v>0.39275083444561543</v>
      </c>
      <c r="H132" s="532" cm="1">
        <f t="array" aca="1" ref="H132" ca="1">IF(H$21&lt;Standard_Year,'No STDs Case Rev &amp; Cost'!H132,
OFFSET(H132,-3,0)*
OFFSET(MSP!$D$1,
MATCH(OFFSET($C127,((MATCH($C127,EL_List,0)-1)*-10)-1,0),MSP!$C:$C,0)+MATCH($C127,EL_List,0)-1,0)
*INDEX(Learning!$E$6:$S$41,(MATCH(H$21,Dates,0)),(MATCH($C$86,Learning!$E$4:$S$4,0)+MATCH($C$127,Learning!$E$5:$S$5,0)-1)))</f>
        <v>0.40839016321509114</v>
      </c>
      <c r="I132" s="532" cm="1">
        <f t="array" aca="1" ref="I132" ca="1">IF(I$21&lt;Standard_Year,'No STDs Case Rev &amp; Cost'!I132,
OFFSET(I132,-3,0)*
OFFSET(MSP!$D$1,
MATCH(OFFSET($C127,((MATCH($C127,EL_List,0)-1)*-10)-1,0),MSP!$C:$C,0)+MATCH($C127,EL_List,0)-1,0)
*INDEX(Learning!$E$6:$S$41,(MATCH(I$21,Dates,0)),(MATCH($C$86,Learning!$E$4:$S$4,0)+MATCH($C$127,Learning!$E$5:$S$5,0)-1)))</f>
        <v>0.42510644329926528</v>
      </c>
      <c r="J132" s="532" cm="1">
        <f t="array" aca="1" ref="J132" ca="1">IF(J$21&lt;Standard_Year,'No STDs Case Rev &amp; Cost'!J132,
OFFSET(J132,-3,0)*
OFFSET(MSP!$D$1,
MATCH(OFFSET($C127,((MATCH($C127,EL_List,0)-1)*-10)-1,0),MSP!$C:$C,0)+MATCH($C127,EL_List,0)-1,0)
*INDEX(Learning!$E$6:$S$41,(MATCH(J$21,Dates,0)),(MATCH($C$86,Learning!$E$4:$S$4,0)+MATCH($C$127,Learning!$E$5:$S$5,0)-1)))</f>
        <v>0.44406244639970094</v>
      </c>
      <c r="K132" s="532" cm="1">
        <f t="array" aca="1" ref="K132" ca="1">IF(K$21&lt;Standard_Year,'No STDs Case Rev &amp; Cost'!K132,
OFFSET(K132,-3,0)*
OFFSET(MSP!$D$1,
MATCH(OFFSET($C127,((MATCH($C127,EL_List,0)-1)*-10)-1,0),MSP!$C:$C,0)+MATCH($C127,EL_List,0)-1,0)
*INDEX(Learning!$E$6:$S$41,(MATCH(K$21,Dates,0)),(MATCH($C$86,Learning!$E$4:$S$4,0)+MATCH($C$127,Learning!$E$5:$S$5,0)-1)))</f>
        <v>0.46456924353860168</v>
      </c>
      <c r="L132" s="532" cm="1">
        <f t="array" aca="1" ref="L132" ca="1">IF(L$21&lt;Standard_Year,'No STDs Case Rev &amp; Cost'!L132,
OFFSET(L132,-3,0)*
OFFSET(MSP!$D$1,
MATCH(OFFSET($C127,((MATCH($C127,EL_List,0)-1)*-10)-1,0),MSP!$C:$C,0)+MATCH($C127,EL_List,0)-1,0)
*INDEX(Learning!$E$6:$S$41,(MATCH(L$21,Dates,0)),(MATCH($C$86,Learning!$E$4:$S$4,0)+MATCH($C$127,Learning!$E$5:$S$5,0)-1)))</f>
        <v>0.48621969036869794</v>
      </c>
      <c r="M132" s="532" cm="1">
        <f t="array" aca="1" ref="M132" ca="1">IF(M$21&lt;Standard_Year,'No STDs Case Rev &amp; Cost'!M132,
OFFSET(M132,-3,0)*
OFFSET(MSP!$D$1,
MATCH(OFFSET($C127,((MATCH($C127,EL_List,0)-1)*-10)-1,0),MSP!$C:$C,0)+MATCH($C127,EL_List,0)-1,0)
*INDEX(Learning!$E$6:$S$41,(MATCH(M$21,Dates,0)),(MATCH($C$86,Learning!$E$4:$S$4,0)+MATCH($C$127,Learning!$E$5:$S$5,0)-1)))</f>
        <v>0.50869746688551565</v>
      </c>
      <c r="N132" s="532" cm="1">
        <f t="array" aca="1" ref="N132" ca="1">IF(N$21&lt;Standard_Year,'No STDs Case Rev &amp; Cost'!N132,
OFFSET(N132,-3,0)*
OFFSET(MSP!$D$1,
MATCH(OFFSET($C127,((MATCH($C127,EL_List,0)-1)*-10)-1,0),MSP!$C:$C,0)+MATCH($C127,EL_List,0)-1,0)
*INDEX(Learning!$E$6:$S$41,(MATCH(N$21,Dates,0)),(MATCH($C$86,Learning!$E$4:$S$4,0)+MATCH($C$127,Learning!$E$5:$S$5,0)-1)))</f>
        <v>0.53233123837740759</v>
      </c>
      <c r="O132" s="532" cm="1">
        <f t="array" aca="1" ref="O132" ca="1">IF(O$21&lt;Standard_Year,'No STDs Case Rev &amp; Cost'!O132,
OFFSET(O132,-3,0)*
OFFSET(MSP!$D$1,
MATCH(OFFSET($C127,((MATCH($C127,EL_List,0)-1)*-10)-1,0),MSP!$C:$C,0)+MATCH($C127,EL_List,0)-1,0)
*INDEX(Learning!$E$6:$S$41,(MATCH(O$21,Dates,0)),(MATCH($C$86,Learning!$E$4:$S$4,0)+MATCH($C$127,Learning!$E$5:$S$5,0)-1)))</f>
        <v>0.55603736204885323</v>
      </c>
      <c r="P132" s="532" cm="1">
        <f t="array" aca="1" ref="P132" ca="1">IF(P$21&lt;Standard_Year,'No STDs Case Rev &amp; Cost'!P132,
OFFSET(P132,-3,0)*
OFFSET(MSP!$D$1,
MATCH(OFFSET($C127,((MATCH($C127,EL_List,0)-1)*-10)-1,0),MSP!$C:$C,0)+MATCH($C127,EL_List,0)-1,0)
*INDEX(Learning!$E$6:$S$41,(MATCH(P$21,Dates,0)),(MATCH($C$86,Learning!$E$4:$S$4,0)+MATCH($C$127,Learning!$E$5:$S$5,0)-1)))</f>
        <v>0.58102650173927206</v>
      </c>
      <c r="Q132" s="532" cm="1">
        <f t="array" aca="1" ref="Q132" ca="1">IF(Q$21&lt;Standard_Year,'No STDs Case Rev &amp; Cost'!Q132,
OFFSET(Q132,-3,0)*
OFFSET(MSP!$D$1,
MATCH(OFFSET($C127,((MATCH($C127,EL_List,0)-1)*-10)-1,0),MSP!$C:$C,0)+MATCH($C127,EL_List,0)-1,0)
*INDEX(Learning!$E$6:$S$41,(MATCH(Q$21,Dates,0)),(MATCH($C$86,Learning!$E$4:$S$4,0)+MATCH($C$127,Learning!$E$5:$S$5,0)-1)))</f>
        <v>0.60691600297912252</v>
      </c>
      <c r="R132" s="532" cm="1">
        <f t="array" aca="1" ref="R132" ca="1">IF(R$21&lt;Standard_Year,'No STDs Case Rev &amp; Cost'!R132,
OFFSET(R132,-3,0)*
OFFSET(MSP!$D$1,
MATCH(OFFSET($C127,((MATCH($C127,EL_List,0)-1)*-10)-1,0),MSP!$C:$C,0)+MATCH($C127,EL_List,0)-1,0)
*INDEX(Learning!$E$6:$S$41,(MATCH(R$21,Dates,0)),(MATCH($C$86,Learning!$E$4:$S$4,0)+MATCH($C$127,Learning!$E$5:$S$5,0)-1)))</f>
        <v>0.63389019451493667</v>
      </c>
      <c r="S132" s="532" cm="1">
        <f t="array" aca="1" ref="S132" ca="1">IF(S$21&lt;Standard_Year,'No STDs Case Rev &amp; Cost'!S132,
OFFSET(S132,-3,0)*
OFFSET(MSP!$D$1,
MATCH(OFFSET($C127,((MATCH($C127,EL_List,0)-1)*-10)-1,0),MSP!$C:$C,0)+MATCH($C127,EL_List,0)-1,0)
*INDEX(Learning!$E$6:$S$41,(MATCH(S$21,Dates,0)),(MATCH($C$86,Learning!$E$4:$S$4,0)+MATCH($C$127,Learning!$E$5:$S$5,0)-1)))</f>
        <v>0.66209700542582628</v>
      </c>
      <c r="T132" s="532" cm="1">
        <f t="array" aca="1" ref="T132" ca="1">IF(T$21&lt;Standard_Year,'No STDs Case Rev &amp; Cost'!T132,
OFFSET(T132,-3,0)*
OFFSET(MSP!$D$1,
MATCH(OFFSET($C127,((MATCH($C127,EL_List,0)-1)*-10)-1,0),MSP!$C:$C,0)+MATCH($C127,EL_List,0)-1,0)
*INDEX(Learning!$E$6:$S$41,(MATCH(T$21,Dates,0)),(MATCH($C$86,Learning!$E$4:$S$4,0)+MATCH($C$127,Learning!$E$5:$S$5,0)-1)))</f>
        <v>0.69234538215054542</v>
      </c>
      <c r="U132" s="532" cm="1">
        <f t="array" aca="1" ref="U132" ca="1">IF(U$21&lt;Standard_Year,'No STDs Case Rev &amp; Cost'!U132,
OFFSET(U132,-3,0)*
OFFSET(MSP!$D$1,
MATCH(OFFSET($C127,((MATCH($C127,EL_List,0)-1)*-10)-1,0),MSP!$C:$C,0)+MATCH($C127,EL_List,0)-1,0)
*INDEX(Learning!$E$6:$S$41,(MATCH(U$21,Dates,0)),(MATCH($C$86,Learning!$E$4:$S$4,0)+MATCH($C$127,Learning!$E$5:$S$5,0)-1)))</f>
        <v>0.72331087714056408</v>
      </c>
      <c r="V132" s="532" cm="1">
        <f t="array" aca="1" ref="V132" ca="1">IF(V$21&lt;Standard_Year,'No STDs Case Rev &amp; Cost'!V132,
OFFSET(V132,-3,0)*
OFFSET(MSP!$D$1,
MATCH(OFFSET($C127,((MATCH($C127,EL_List,0)-1)*-10)-1,0),MSP!$C:$C,0)+MATCH($C127,EL_List,0)-1,0)
*INDEX(Learning!$E$6:$S$41,(MATCH(V$21,Dates,0)),(MATCH($C$86,Learning!$E$4:$S$4,0)+MATCH($C$127,Learning!$E$5:$S$5,0)-1)))</f>
        <v>0.75558859394765265</v>
      </c>
      <c r="W132" s="532" cm="1">
        <f t="array" aca="1" ref="W132" ca="1">IF(W$21&lt;Standard_Year,'No STDs Case Rev &amp; Cost'!W132,
OFFSET(W132,-3,0)*
OFFSET(MSP!$D$1,
MATCH(OFFSET($C127,((MATCH($C127,EL_List,0)-1)*-10)-1,0),MSP!$C:$C,0)+MATCH($C127,EL_List,0)-1,0)
*INDEX(Learning!$E$6:$S$41,(MATCH(W$21,Dates,0)),(MATCH($C$86,Learning!$E$4:$S$4,0)+MATCH($C$127,Learning!$E$5:$S$5,0)-1)))</f>
        <v>0.79010238261341603</v>
      </c>
      <c r="X132" s="532" cm="1">
        <f t="array" aca="1" ref="X132" ca="1">IF(X$21&lt;Standard_Year,'No STDs Case Rev &amp; Cost'!X132,
OFFSET(X132,-3,0)*
OFFSET(MSP!$D$1,
MATCH(OFFSET($C127,((MATCH($C127,EL_List,0)-1)*-10)-1,0),MSP!$C:$C,0)+MATCH($C127,EL_List,0)-1,0)
*INDEX(Learning!$E$6:$S$41,(MATCH(X$21,Dates,0)),(MATCH($C$86,Learning!$E$4:$S$4,0)+MATCH($C$127,Learning!$E$5:$S$5,0)-1)))</f>
        <v>0.82611186497303435</v>
      </c>
      <c r="Y132" s="532" cm="1">
        <f t="array" aca="1" ref="Y132" ca="1">IF(Y$21&lt;Standard_Year,'No STDs Case Rev &amp; Cost'!Y132,
OFFSET(Y132,-3,0)*
OFFSET(MSP!$D$1,
MATCH(OFFSET($C127,((MATCH($C127,EL_List,0)-1)*-10)-1,0),MSP!$C:$C,0)+MATCH($C127,EL_List,0)-1,0)
*INDEX(Learning!$E$6:$S$41,(MATCH(Y$21,Dates,0)),(MATCH($C$86,Learning!$E$4:$S$4,0)+MATCH($C$127,Learning!$E$5:$S$5,0)-1)))</f>
        <v>0.86273283338936257</v>
      </c>
      <c r="Z132" s="532" cm="1">
        <f t="array" aca="1" ref="Z132" ca="1">IF(Z$21&lt;Standard_Year,'No STDs Case Rev &amp; Cost'!Z132,
OFFSET(Z132,-3,0)*
OFFSET(MSP!$D$1,
MATCH(OFFSET($C127,((MATCH($C127,EL_List,0)-1)*-10)-1,0),MSP!$C:$C,0)+MATCH($C127,EL_List,0)-1,0)
*INDEX(Learning!$E$6:$S$41,(MATCH(Z$21,Dates,0)),(MATCH($C$86,Learning!$E$4:$S$4,0)+MATCH($C$127,Learning!$E$5:$S$5,0)-1)))</f>
        <v>0.90183935851123553</v>
      </c>
      <c r="AA132" s="532" cm="1">
        <f t="array" aca="1" ref="AA132" ca="1">IF(AA$21&lt;Standard_Year,'No STDs Case Rev &amp; Cost'!AA132,
OFFSET(AA132,-3,0)*
OFFSET(MSP!$D$1,
MATCH(OFFSET($C127,((MATCH($C127,EL_List,0)-1)*-10)-1,0),MSP!$C:$C,0)+MATCH($C127,EL_List,0)-1,0)
*INDEX(Learning!$E$6:$S$41,(MATCH(AA$21,Dates,0)),(MATCH($C$86,Learning!$E$4:$S$4,0)+MATCH($C$127,Learning!$E$5:$S$5,0)-1)))</f>
        <v>0.9426248452665642</v>
      </c>
      <c r="AB132" s="532" cm="1">
        <f t="array" aca="1" ref="AB132" ca="1">IF(AB$21&lt;Standard_Year,'No STDs Case Rev &amp; Cost'!AB132,
OFFSET(AB132,-3,0)*
OFFSET(MSP!$D$1,
MATCH(OFFSET($C127,((MATCH($C127,EL_List,0)-1)*-10)-1,0),MSP!$C:$C,0)+MATCH($C127,EL_List,0)-1,0)
*INDEX(Learning!$E$6:$S$41,(MATCH(AB$21,Dates,0)),(MATCH($C$86,Learning!$E$4:$S$4,0)+MATCH($C$127,Learning!$E$5:$S$5,0)-1)))</f>
        <v>0.98517936866556777</v>
      </c>
      <c r="AC132" s="532" cm="1">
        <f t="array" aca="1" ref="AC132" ca="1">IF(AC$21&lt;Standard_Year,'No STDs Case Rev &amp; Cost'!AC132,
OFFSET(AC132,-3,0)*
OFFSET(MSP!$D$1,
MATCH(OFFSET($C127,((MATCH($C127,EL_List,0)-1)*-10)-1,0),MSP!$C:$C,0)+MATCH($C127,EL_List,0)-1,0)
*INDEX(Learning!$E$6:$S$41,(MATCH(AC$21,Dates,0)),(MATCH($C$86,Learning!$E$4:$S$4,0)+MATCH($C$127,Learning!$E$5:$S$5,0)-1)))</f>
        <v>1.029592144858948</v>
      </c>
      <c r="AD132" s="532" cm="1">
        <f t="array" aca="1" ref="AD132" ca="1">IF(AD$21&lt;Standard_Year,'No STDs Case Rev &amp; Cost'!AD132,
OFFSET(AD132,-3,0)*
OFFSET(MSP!$D$1,
MATCH(OFFSET($C127,((MATCH($C127,EL_List,0)-1)*-10)-1,0),MSP!$C:$C,0)+MATCH($C127,EL_List,0)-1,0)
*INDEX(Learning!$E$6:$S$41,(MATCH(AD$21,Dates,0)),(MATCH($C$86,Learning!$E$4:$S$4,0)+MATCH($C$127,Learning!$E$5:$S$5,0)-1)))</f>
        <v>1.0759509878722793</v>
      </c>
      <c r="AE132" s="532" cm="1">
        <f t="array" aca="1" ref="AE132" ca="1">IF(AE$21&lt;Standard_Year,'No STDs Case Rev &amp; Cost'!AE132,
OFFSET(AE132,-3,0)*
OFFSET(MSP!$D$1,
MATCH(OFFSET($C127,((MATCH($C127,EL_List,0)-1)*-10)-1,0),MSP!$C:$C,0)+MATCH($C127,EL_List,0)-1,0)
*INDEX(Learning!$E$6:$S$41,(MATCH(AE$21,Dates,0)),(MATCH($C$86,Learning!$E$4:$S$4,0)+MATCH($C$127,Learning!$E$5:$S$5,0)-1)))</f>
        <v>1.1243416703846585</v>
      </c>
      <c r="AF132" s="532" cm="1">
        <f t="array" aca="1" ref="AF132" ca="1">IF(AF$21&lt;Standard_Year,'No STDs Case Rev &amp; Cost'!AF132,
OFFSET(AF132,-3,0)*
OFFSET(MSP!$D$1,
MATCH(OFFSET($C127,((MATCH($C127,EL_List,0)-1)*-10)-1,0),MSP!$C:$C,0)+MATCH($C127,EL_List,0)-1,0)
*INDEX(Learning!$E$6:$S$41,(MATCH(AF$21,Dates,0)),(MATCH($C$86,Learning!$E$4:$S$4,0)+MATCH($C$127,Learning!$E$5:$S$5,0)-1)))</f>
        <v>1.1748490509354828</v>
      </c>
      <c r="AG132" s="532" cm="1">
        <f t="array" aca="1" ref="AG132" ca="1">IF(AG$21&lt;Standard_Year,'No STDs Case Rev &amp; Cost'!AG132,
OFFSET(AG132,-3,0)*
OFFSET(MSP!$D$1,
MATCH(OFFSET($C127,((MATCH($C127,EL_List,0)-1)*-10)-1,0),MSP!$C:$C,0)+MATCH($C127,EL_List,0)-1,0)
*INDEX(Learning!$E$6:$S$41,(MATCH(AG$21,Dates,0)),(MATCH($C$86,Learning!$E$4:$S$4,0)+MATCH($C$127,Learning!$E$5:$S$5,0)-1)))</f>
        <v>1.2275595365165559</v>
      </c>
      <c r="AH132" s="532" cm="1">
        <f t="array" aca="1" ref="AH132" ca="1">IF(AH$21&lt;Standard_Year,'No STDs Case Rev &amp; Cost'!AH132,
OFFSET(AH132,-3,0)*
OFFSET(MSP!$D$1,
MATCH(OFFSET($C127,((MATCH($C127,EL_List,0)-1)*-10)-1,0),MSP!$C:$C,0)+MATCH($C127,EL_List,0)-1,0)
*INDEX(Learning!$E$6:$S$41,(MATCH(AH$21,Dates,0)),(MATCH($C$86,Learning!$E$4:$S$4,0)+MATCH($C$127,Learning!$E$5:$S$5,0)-1)))</f>
        <v>1.2839978703806261</v>
      </c>
      <c r="AI132" s="532" cm="1">
        <f t="array" aca="1" ref="AI132" ca="1">IF(AI$21&lt;Standard_Year,'No STDs Case Rev &amp; Cost'!AI132,
OFFSET(AI132,-3,0)*
OFFSET(MSP!$D$1,
MATCH(OFFSET($C127,((MATCH($C127,EL_List,0)-1)*-10)-1,0),MSP!$C:$C,0)+MATCH($C127,EL_List,0)-1,0)
*INDEX(Learning!$E$6:$S$41,(MATCH(AI$21,Dates,0)),(MATCH($C$86,Learning!$E$4:$S$4,0)+MATCH($C$127,Learning!$E$5:$S$5,0)-1)))</f>
        <v>1.3414610764766106</v>
      </c>
      <c r="AJ132" s="532" cm="1">
        <f t="array" aca="1" ref="AJ132" ca="1">IF(AJ$21&lt;Standard_Year,'No STDs Case Rev &amp; Cost'!AJ132,
OFFSET(AJ132,-3,0)*
OFFSET(MSP!$D$1,
MATCH(OFFSET($C127,((MATCH($C127,EL_List,0)-1)*-10)-1,0),MSP!$C:$C,0)+MATCH($C127,EL_List,0)-1,0)
*INDEX(Learning!$E$6:$S$41,(MATCH(AJ$21,Dates,0)),(MATCH($C$86,Learning!$E$4:$S$4,0)+MATCH($C$127,Learning!$E$5:$S$5,0)-1)))</f>
        <v>1.401417661299549</v>
      </c>
      <c r="AK132" s="532" cm="1">
        <f t="array" aca="1" ref="AK132" ca="1">IF(AK$21&lt;Standard_Year,'No STDs Case Rev &amp; Cost'!AK132,
OFFSET(AK132,-3,0)*
OFFSET(MSP!$D$1,
MATCH(OFFSET($C127,((MATCH($C127,EL_List,0)-1)*-10)-1,0),MSP!$C:$C,0)+MATCH($C127,EL_List,0)-1,0)
*INDEX(Learning!$E$6:$S$41,(MATCH(AK$21,Dates,0)),(MATCH($C$86,Learning!$E$4:$S$4,0)+MATCH($C$127,Learning!$E$5:$S$5,0)-1)))</f>
        <v>1.4656329902690264</v>
      </c>
      <c r="AL132" s="532" cm="1">
        <f t="array" aca="1" ref="AL132" ca="1">IF(AL$21&lt;Standard_Year,'No STDs Case Rev &amp; Cost'!AL132,
OFFSET(AL132,-3,0)*
OFFSET(MSP!$D$1,
MATCH(OFFSET($C127,((MATCH($C127,EL_List,0)-1)*-10)-1,0),MSP!$C:$C,0)+MATCH($C127,EL_List,0)-1,0)
*INDEX(Learning!$E$6:$S$41,(MATCH(AL$21,Dates,0)),(MATCH($C$86,Learning!$E$4:$S$4,0)+MATCH($C$127,Learning!$E$5:$S$5,0)-1)))</f>
        <v>1.5309857943032419</v>
      </c>
      <c r="AM132" s="532" cm="1">
        <f t="array" aca="1" ref="AM132" ca="1">IF(AM$21&lt;Standard_Year,'No STDs Case Rev &amp; Cost'!AM132,
OFFSET(AM132,-3,0)*
OFFSET(MSP!$D$1,
MATCH(OFFSET($C127,((MATCH($C127,EL_List,0)-1)*-10)-1,0),MSP!$C:$C,0)+MATCH($C127,EL_List,0)-1,0)
*INDEX(Learning!$E$6:$S$41,(MATCH(AM$21,Dates,0)),(MATCH($C$86,Learning!$E$4:$S$4,0)+MATCH($C$127,Learning!$E$5:$S$5,0)-1)))</f>
        <v>1.5991741216343898</v>
      </c>
      <c r="AN132" s="532" cm="1">
        <f t="array" aca="1" ref="AN132" ca="1">IF(AN$21&lt;Standard_Year,'No STDs Case Rev &amp; Cost'!AN132,
OFFSET(AN132,-3,0)*
OFFSET(MSP!$D$1,
MATCH(OFFSET($C127,((MATCH($C127,EL_List,0)-1)*-10)-1,0),MSP!$C:$C,0)+MATCH($C127,EL_List,0)-1,0)
*INDEX(Learning!$E$6:$S$41,(MATCH(AN$21,Dates,0)),(MATCH($C$86,Learning!$E$4:$S$4,0)+MATCH($C$127,Learning!$E$5:$S$5,0)-1)))</f>
        <v>1.6721966220685844</v>
      </c>
      <c r="AO132" s="436"/>
      <c r="AP132" s="21"/>
    </row>
    <row r="133" spans="2:42" ht="15" customHeight="1" x14ac:dyDescent="0.35">
      <c r="B133" s="429"/>
      <c r="C133" s="780" t="s">
        <v>213</v>
      </c>
      <c r="D133" s="776"/>
      <c r="E133" s="533" cm="1">
        <f t="array" aca="1" ref="E133" ca="1">IF(E$21&lt;Standard_Year,'No STDs Case Rev &amp; Cost'!E133,
OFFSET(E133,-4,0)*
OFFSET(MSP!$E$1,
MATCH(OFFSET($C127,((MATCH($C127,EL_List,0)-1)*-10)-1,0),MSP!$C:$C,0)+MATCH($C127,EL_List,0)-1,0)
*INDEX(Learning!$E$6:$S$41,(MATCH(E$21,Dates,0)),(MATCH($C$86,Learning!$E$4:$S$4,0)+MATCH($C$127,Learning!$E$5:$S$5,0)-1)))</f>
        <v>9.6196514450153439E-3</v>
      </c>
      <c r="F133" s="533" cm="1">
        <f t="array" aca="1" ref="F133" ca="1">IF(F$21&lt;Standard_Year,'No STDs Case Rev &amp; Cost'!F133,
OFFSET(F133,-4,0)*
OFFSET(MSP!$E$1,
MATCH(OFFSET($C127,((MATCH($C127,EL_List,0)-1)*-10)-1,0),MSP!$C:$C,0)+MATCH($C127,EL_List,0)-1,0)
*INDEX(Learning!$E$6:$S$41,(MATCH(F$21,Dates,0)),(MATCH($C$86,Learning!$E$4:$S$4,0)+MATCH($C$127,Learning!$E$5:$S$5,0)-1)))</f>
        <v>9.9725962466947898E-3</v>
      </c>
      <c r="G133" s="533" cm="1">
        <f t="array" aca="1" ref="G133" ca="1">IF(G$21&lt;Standard_Year,'No STDs Case Rev &amp; Cost'!G133,
OFFSET(G133,-4,0)*
OFFSET(MSP!$E$1,
MATCH(OFFSET($C127,((MATCH($C127,EL_List,0)-1)*-10)-1,0),MSP!$C:$C,0)+MATCH($C127,EL_List,0)-1,0)
*INDEX(Learning!$E$6:$S$41,(MATCH(G$21,Dates,0)),(MATCH($C$86,Learning!$E$4:$S$4,0)+MATCH($C$127,Learning!$E$5:$S$5,0)-1)))</f>
        <v>1.0284949081769986E-2</v>
      </c>
      <c r="H133" s="533" cm="1">
        <f t="array" aca="1" ref="H133" ca="1">IF(H$21&lt;Standard_Year,'No STDs Case Rev &amp; Cost'!H133,
OFFSET(H133,-4,0)*
OFFSET(MSP!$E$1,
MATCH(OFFSET($C127,((MATCH($C127,EL_List,0)-1)*-10)-1,0),MSP!$C:$C,0)+MATCH($C127,EL_List,0)-1,0)
*INDEX(Learning!$E$6:$S$41,(MATCH(H$21,Dates,0)),(MATCH($C$86,Learning!$E$4:$S$4,0)+MATCH($C$127,Learning!$E$5:$S$5,0)-1)))</f>
        <v>1.0694495506525938E-2</v>
      </c>
      <c r="I133" s="533" cm="1">
        <f t="array" aca="1" ref="I133" ca="1">IF(I$21&lt;Standard_Year,'No STDs Case Rev &amp; Cost'!I133,
OFFSET(I133,-4,0)*
OFFSET(MSP!$E$1,
MATCH(OFFSET($C127,((MATCH($C127,EL_List,0)-1)*-10)-1,0),MSP!$C:$C,0)+MATCH($C127,EL_List,0)-1,0)
*INDEX(Learning!$E$6:$S$41,(MATCH(I$21,Dates,0)),(MATCH($C$86,Learning!$E$4:$S$4,0)+MATCH($C$127,Learning!$E$5:$S$5,0)-1)))</f>
        <v>1.1132244008690213E-2</v>
      </c>
      <c r="J133" s="533" cm="1">
        <f t="array" aca="1" ref="J133" ca="1">IF(J$21&lt;Standard_Year,'No STDs Case Rev &amp; Cost'!J133,
OFFSET(J133,-4,0)*
OFFSET(MSP!$E$1,
MATCH(OFFSET($C127,((MATCH($C127,EL_List,0)-1)*-10)-1,0),MSP!$C:$C,0)+MATCH($C127,EL_List,0)-1,0)
*INDEX(Learning!$E$6:$S$41,(MATCH(J$21,Dates,0)),(MATCH($C$86,Learning!$E$4:$S$4,0)+MATCH($C$127,Learning!$E$5:$S$5,0)-1)))</f>
        <v>1.1628644040422929E-2</v>
      </c>
      <c r="K133" s="533" cm="1">
        <f t="array" aca="1" ref="K133" ca="1">IF(K$21&lt;Standard_Year,'No STDs Case Rev &amp; Cost'!K133,
OFFSET(K133,-4,0)*
OFFSET(MSP!$E$1,
MATCH(OFFSET($C127,((MATCH($C127,EL_List,0)-1)*-10)-1,0),MSP!$C:$C,0)+MATCH($C127,EL_List,0)-1,0)
*INDEX(Learning!$E$6:$S$41,(MATCH(K$21,Dates,0)),(MATCH($C$86,Learning!$E$4:$S$4,0)+MATCH($C$127,Learning!$E$5:$S$5,0)-1)))</f>
        <v>1.2165654648437272E-2</v>
      </c>
      <c r="L133" s="533" cm="1">
        <f t="array" aca="1" ref="L133" ca="1">IF(L$21&lt;Standard_Year,'No STDs Case Rev &amp; Cost'!L133,
OFFSET(L133,-4,0)*
OFFSET(MSP!$E$1,
MATCH(OFFSET($C127,((MATCH($C127,EL_List,0)-1)*-10)-1,0),MSP!$C:$C,0)+MATCH($C127,EL_List,0)-1,0)
*INDEX(Learning!$E$6:$S$41,(MATCH(L$21,Dates,0)),(MATCH($C$86,Learning!$E$4:$S$4,0)+MATCH($C$127,Learning!$E$5:$S$5,0)-1)))</f>
        <v>1.2732613961354895E-2</v>
      </c>
      <c r="M133" s="533" cm="1">
        <f t="array" aca="1" ref="M133" ca="1">IF(M$21&lt;Standard_Year,'No STDs Case Rev &amp; Cost'!M133,
OFFSET(M133,-4,0)*
OFFSET(MSP!$E$1,
MATCH(OFFSET($C127,((MATCH($C127,EL_List,0)-1)*-10)-1,0),MSP!$C:$C,0)+MATCH($C127,EL_List,0)-1,0)
*INDEX(Learning!$E$6:$S$41,(MATCH(M$21,Dates,0)),(MATCH($C$86,Learning!$E$4:$S$4,0)+MATCH($C$127,Learning!$E$5:$S$5,0)-1)))</f>
        <v>1.3321238520926357E-2</v>
      </c>
      <c r="N133" s="533" cm="1">
        <f t="array" aca="1" ref="N133" ca="1">IF(N$21&lt;Standard_Year,'No STDs Case Rev &amp; Cost'!N133,
OFFSET(N133,-4,0)*
OFFSET(MSP!$E$1,
MATCH(OFFSET($C127,((MATCH($C127,EL_List,0)-1)*-10)-1,0),MSP!$C:$C,0)+MATCH($C127,EL_List,0)-1,0)
*INDEX(Learning!$E$6:$S$41,(MATCH(N$21,Dates,0)),(MATCH($C$86,Learning!$E$4:$S$4,0)+MATCH($C$127,Learning!$E$5:$S$5,0)-1)))</f>
        <v>1.3940135070815049E-2</v>
      </c>
      <c r="O133" s="533" cm="1">
        <f t="array" aca="1" ref="O133" ca="1">IF(O$21&lt;Standard_Year,'No STDs Case Rev &amp; Cost'!O133,
OFFSET(O133,-4,0)*
OFFSET(MSP!$E$1,
MATCH(OFFSET($C127,((MATCH($C127,EL_List,0)-1)*-10)-1,0),MSP!$C:$C,0)+MATCH($C127,EL_List,0)-1,0)
*INDEX(Learning!$E$6:$S$41,(MATCH(O$21,Dates,0)),(MATCH($C$86,Learning!$E$4:$S$4,0)+MATCH($C$127,Learning!$E$5:$S$5,0)-1)))</f>
        <v>1.456092630409433E-2</v>
      </c>
      <c r="P133" s="533" cm="1">
        <f t="array" aca="1" ref="P133" ca="1">IF(P$21&lt;Standard_Year,'No STDs Case Rev &amp; Cost'!P133,
OFFSET(P133,-4,0)*
OFFSET(MSP!$E$1,
MATCH(OFFSET($C127,((MATCH($C127,EL_List,0)-1)*-10)-1,0),MSP!$C:$C,0)+MATCH($C127,EL_List,0)-1,0)
*INDEX(Learning!$E$6:$S$41,(MATCH(P$21,Dates,0)),(MATCH($C$86,Learning!$E$4:$S$4,0)+MATCH($C$127,Learning!$E$5:$S$5,0)-1)))</f>
        <v>1.5215315822262966E-2</v>
      </c>
      <c r="Q133" s="533" cm="1">
        <f t="array" aca="1" ref="Q133" ca="1">IF(Q$21&lt;Standard_Year,'No STDs Case Rev &amp; Cost'!Q133,
OFFSET(Q133,-4,0)*
OFFSET(MSP!$E$1,
MATCH(OFFSET($C127,((MATCH($C127,EL_List,0)-1)*-10)-1,0),MSP!$C:$C,0)+MATCH($C127,EL_List,0)-1,0)
*INDEX(Learning!$E$6:$S$41,(MATCH(Q$21,Dates,0)),(MATCH($C$86,Learning!$E$4:$S$4,0)+MATCH($C$127,Learning!$E$5:$S$5,0)-1)))</f>
        <v>1.5893283069309396E-2</v>
      </c>
      <c r="R133" s="533" cm="1">
        <f t="array" aca="1" ref="R133" ca="1">IF(R$21&lt;Standard_Year,'No STDs Case Rev &amp; Cost'!R133,
OFFSET(R133,-4,0)*
OFFSET(MSP!$E$1,
MATCH(OFFSET($C127,((MATCH($C127,EL_List,0)-1)*-10)-1,0),MSP!$C:$C,0)+MATCH($C127,EL_List,0)-1,0)
*INDEX(Learning!$E$6:$S$41,(MATCH(R$21,Dates,0)),(MATCH($C$86,Learning!$E$4:$S$4,0)+MATCH($C$127,Learning!$E$5:$S$5,0)-1)))</f>
        <v>1.6599655054131173E-2</v>
      </c>
      <c r="S133" s="533" cm="1">
        <f t="array" aca="1" ref="S133" ca="1">IF(S$21&lt;Standard_Year,'No STDs Case Rev &amp; Cost'!S133,
OFFSET(S133,-4,0)*
OFFSET(MSP!$E$1,
MATCH(OFFSET($C127,((MATCH($C127,EL_List,0)-1)*-10)-1,0),MSP!$C:$C,0)+MATCH($C127,EL_List,0)-1,0)
*INDEX(Learning!$E$6:$S$41,(MATCH(S$21,Dates,0)),(MATCH($C$86,Learning!$E$4:$S$4,0)+MATCH($C$127,Learning!$E$5:$S$5,0)-1)))</f>
        <v>1.73383055891125E-2</v>
      </c>
      <c r="T133" s="533" cm="1">
        <f t="array" aca="1" ref="T133" ca="1">IF(T$21&lt;Standard_Year,'No STDs Case Rev &amp; Cost'!T133,
OFFSET(T133,-4,0)*
OFFSET(MSP!$E$1,
MATCH(OFFSET($C127,((MATCH($C127,EL_List,0)-1)*-10)-1,0),MSP!$C:$C,0)+MATCH($C127,EL_List,0)-1,0)
*INDEX(Learning!$E$6:$S$41,(MATCH(T$21,Dates,0)),(MATCH($C$86,Learning!$E$4:$S$4,0)+MATCH($C$127,Learning!$E$5:$S$5,0)-1)))</f>
        <v>1.8130418519589318E-2</v>
      </c>
      <c r="U133" s="533" cm="1">
        <f t="array" aca="1" ref="U133" ca="1">IF(U$21&lt;Standard_Year,'No STDs Case Rev &amp; Cost'!U133,
OFFSET(U133,-4,0)*
OFFSET(MSP!$E$1,
MATCH(OFFSET($C127,((MATCH($C127,EL_List,0)-1)*-10)-1,0),MSP!$C:$C,0)+MATCH($C127,EL_List,0)-1,0)
*INDEX(Learning!$E$6:$S$41,(MATCH(U$21,Dates,0)),(MATCH($C$86,Learning!$E$4:$S$4,0)+MATCH($C$127,Learning!$E$5:$S$5,0)-1)))</f>
        <v>1.8941310595003213E-2</v>
      </c>
      <c r="V133" s="533" cm="1">
        <f t="array" aca="1" ref="V133" ca="1">IF(V$21&lt;Standard_Year,'No STDs Case Rev &amp; Cost'!V133,
OFFSET(V133,-4,0)*
OFFSET(MSP!$E$1,
MATCH(OFFSET($C127,((MATCH($C127,EL_List,0)-1)*-10)-1,0),MSP!$C:$C,0)+MATCH($C127,EL_List,0)-1,0)
*INDEX(Learning!$E$6:$S$41,(MATCH(V$21,Dates,0)),(MATCH($C$86,Learning!$E$4:$S$4,0)+MATCH($C$127,Learning!$E$5:$S$5,0)-1)))</f>
        <v>1.9786565766275591E-2</v>
      </c>
      <c r="W133" s="533" cm="1">
        <f t="array" aca="1" ref="W133" ca="1">IF(W$21&lt;Standard_Year,'No STDs Case Rev &amp; Cost'!W133,
OFFSET(W133,-4,0)*
OFFSET(MSP!$E$1,
MATCH(OFFSET($C127,((MATCH($C127,EL_List,0)-1)*-10)-1,0),MSP!$C:$C,0)+MATCH($C127,EL_List,0)-1,0)
*INDEX(Learning!$E$6:$S$41,(MATCH(W$21,Dates,0)),(MATCH($C$86,Learning!$E$4:$S$4,0)+MATCH($C$127,Learning!$E$5:$S$5,0)-1)))</f>
        <v>2.069037685441091E-2</v>
      </c>
      <c r="X133" s="533" cm="1">
        <f t="array" aca="1" ref="X133" ca="1">IF(X$21&lt;Standard_Year,'No STDs Case Rev &amp; Cost'!X133,
OFFSET(X133,-4,0)*
OFFSET(MSP!$E$1,
MATCH(OFFSET($C127,((MATCH($C127,EL_List,0)-1)*-10)-1,0),MSP!$C:$C,0)+MATCH($C127,EL_List,0)-1,0)
*INDEX(Learning!$E$6:$S$41,(MATCH(X$21,Dates,0)),(MATCH($C$86,Learning!$E$4:$S$4,0)+MATCH($C$127,Learning!$E$5:$S$5,0)-1)))</f>
        <v>2.1633355608491323E-2</v>
      </c>
      <c r="Y133" s="533" cm="1">
        <f t="array" aca="1" ref="Y133" ca="1">IF(Y$21&lt;Standard_Year,'No STDs Case Rev &amp; Cost'!Y133,
OFFSET(Y133,-4,0)*
OFFSET(MSP!$E$1,
MATCH(OFFSET($C127,((MATCH($C127,EL_List,0)-1)*-10)-1,0),MSP!$C:$C,0)+MATCH($C127,EL_List,0)-1,0)
*INDEX(Learning!$E$6:$S$41,(MATCH(Y$21,Dates,0)),(MATCH($C$86,Learning!$E$4:$S$4,0)+MATCH($C$127,Learning!$E$5:$S$5,0)-1)))</f>
        <v>2.259234732144005E-2</v>
      </c>
      <c r="Z133" s="533" cm="1">
        <f t="array" aca="1" ref="Z133" ca="1">IF(Z$21&lt;Standard_Year,'No STDs Case Rev &amp; Cost'!Z133,
OFFSET(Z133,-4,0)*
OFFSET(MSP!$E$1,
MATCH(OFFSET($C127,((MATCH($C127,EL_List,0)-1)*-10)-1,0),MSP!$C:$C,0)+MATCH($C127,EL_List,0)-1,0)
*INDEX(Learning!$E$6:$S$41,(MATCH(Z$21,Dates,0)),(MATCH($C$86,Learning!$E$4:$S$4,0)+MATCH($C$127,Learning!$E$5:$S$5,0)-1)))</f>
        <v>2.3616428200125279E-2</v>
      </c>
      <c r="AA133" s="533" cm="1">
        <f t="array" aca="1" ref="AA133" ca="1">IF(AA$21&lt;Standard_Year,'No STDs Case Rev &amp; Cost'!AA133,
OFFSET(AA133,-4,0)*
OFFSET(MSP!$E$1,
MATCH(OFFSET($C127,((MATCH($C127,EL_List,0)-1)*-10)-1,0),MSP!$C:$C,0)+MATCH($C127,EL_List,0)-1,0)
*INDEX(Learning!$E$6:$S$41,(MATCH(AA$21,Dates,0)),(MATCH($C$86,Learning!$E$4:$S$4,0)+MATCH($C$127,Learning!$E$5:$S$5,0)-1)))</f>
        <v>2.4684475974348006E-2</v>
      </c>
      <c r="AB133" s="533" cm="1">
        <f t="array" aca="1" ref="AB133" ca="1">IF(AB$21&lt;Standard_Year,'No STDs Case Rev &amp; Cost'!AB133,
OFFSET(AB133,-4,0)*
OFFSET(MSP!$E$1,
MATCH(OFFSET($C127,((MATCH($C127,EL_List,0)-1)*-10)-1,0),MSP!$C:$C,0)+MATCH($C127,EL_List,0)-1,0)
*INDEX(Learning!$E$6:$S$41,(MATCH(AB$21,Dates,0)),(MATCH($C$86,Learning!$E$4:$S$4,0)+MATCH($C$127,Learning!$E$5:$S$5,0)-1)))</f>
        <v>2.5798849434497454E-2</v>
      </c>
      <c r="AC133" s="533" cm="1">
        <f t="array" aca="1" ref="AC133" ca="1">IF(AC$21&lt;Standard_Year,'No STDs Case Rev &amp; Cost'!AC133,
OFFSET(AC133,-4,0)*
OFFSET(MSP!$E$1,
MATCH(OFFSET($C127,((MATCH($C127,EL_List,0)-1)*-10)-1,0),MSP!$C:$C,0)+MATCH($C127,EL_List,0)-1,0)
*INDEX(Learning!$E$6:$S$41,(MATCH(AC$21,Dates,0)),(MATCH($C$86,Learning!$E$4:$S$4,0)+MATCH($C$127,Learning!$E$5:$S$5,0)-1)))</f>
        <v>2.6961884880045854E-2</v>
      </c>
      <c r="AD133" s="533" cm="1">
        <f t="array" aca="1" ref="AD133" ca="1">IF(AD$21&lt;Standard_Year,'No STDs Case Rev &amp; Cost'!AD133,
OFFSET(AD133,-4,0)*
OFFSET(MSP!$E$1,
MATCH(OFFSET($C127,((MATCH($C127,EL_List,0)-1)*-10)-1,0),MSP!$C:$C,0)+MATCH($C127,EL_List,0)-1,0)
*INDEX(Learning!$E$6:$S$41,(MATCH(AD$21,Dates,0)),(MATCH($C$86,Learning!$E$4:$S$4,0)+MATCH($C$127,Learning!$E$5:$S$5,0)-1)))</f>
        <v>2.8175881893075502E-2</v>
      </c>
      <c r="AE133" s="533" cm="1">
        <f t="array" aca="1" ref="AE133" ca="1">IF(AE$21&lt;Standard_Year,'No STDs Case Rev &amp; Cost'!AE133,
OFFSET(AE133,-4,0)*
OFFSET(MSP!$E$1,
MATCH(OFFSET($C127,((MATCH($C127,EL_List,0)-1)*-10)-1,0),MSP!$C:$C,0)+MATCH($C127,EL_List,0)-1,0)
*INDEX(Learning!$E$6:$S$41,(MATCH(AE$21,Dates,0)),(MATCH($C$86,Learning!$E$4:$S$4,0)+MATCH($C$127,Learning!$E$5:$S$5,0)-1)))</f>
        <v>2.9443086599016958E-2</v>
      </c>
      <c r="AF133" s="533" cm="1">
        <f t="array" aca="1" ref="AF133" ca="1">IF(AF$21&lt;Standard_Year,'No STDs Case Rev &amp; Cost'!AF133,
OFFSET(AF133,-4,0)*
OFFSET(MSP!$E$1,
MATCH(OFFSET($C127,((MATCH($C127,EL_List,0)-1)*-10)-1,0),MSP!$C:$C,0)+MATCH($C127,EL_List,0)-1,0)
*INDEX(Learning!$E$6:$S$41,(MATCH(AF$21,Dates,0)),(MATCH($C$86,Learning!$E$4:$S$4,0)+MATCH($C$127,Learning!$E$5:$S$5,0)-1)))</f>
        <v>3.0765721184764068E-2</v>
      </c>
      <c r="AG133" s="533" cm="1">
        <f t="array" aca="1" ref="AG133" ca="1">IF(AG$21&lt;Standard_Year,'No STDs Case Rev &amp; Cost'!AG133,
OFFSET(AG133,-4,0)*
OFFSET(MSP!$E$1,
MATCH(OFFSET($C127,((MATCH($C127,EL_List,0)-1)*-10)-1,0),MSP!$C:$C,0)+MATCH($C127,EL_List,0)-1,0)
*INDEX(Learning!$E$6:$S$41,(MATCH(AG$21,Dates,0)),(MATCH($C$86,Learning!$E$4:$S$4,0)+MATCH($C$127,Learning!$E$5:$S$5,0)-1)))</f>
        <v>3.2146048386466744E-2</v>
      </c>
      <c r="AH133" s="533" cm="1">
        <f t="array" aca="1" ref="AH133" ca="1">IF(AH$21&lt;Standard_Year,'No STDs Case Rev &amp; Cost'!AH133,
OFFSET(AH133,-4,0)*
OFFSET(MSP!$E$1,
MATCH(OFFSET($C127,((MATCH($C127,EL_List,0)-1)*-10)-1,0),MSP!$C:$C,0)+MATCH($C127,EL_List,0)-1,0)
*INDEX(Learning!$E$6:$S$41,(MATCH(AH$21,Dates,0)),(MATCH($C$86,Learning!$E$4:$S$4,0)+MATCH($C$127,Learning!$E$5:$S$5,0)-1)))</f>
        <v>3.3623996589609961E-2</v>
      </c>
      <c r="AI133" s="533" cm="1">
        <f t="array" aca="1" ref="AI133" ca="1">IF(AI$21&lt;Standard_Year,'No STDs Case Rev &amp; Cost'!AI133,
OFFSET(AI133,-4,0)*
OFFSET(MSP!$E$1,
MATCH(OFFSET($C127,((MATCH($C127,EL_List,0)-1)*-10)-1,0),MSP!$C:$C,0)+MATCH($C127,EL_List,0)-1,0)
*INDEX(Learning!$E$6:$S$41,(MATCH(AI$21,Dates,0)),(MATCH($C$86,Learning!$E$4:$S$4,0)+MATCH($C$127,Learning!$E$5:$S$5,0)-1)))</f>
        <v>3.512878307747748E-2</v>
      </c>
      <c r="AJ133" s="533" cm="1">
        <f t="array" aca="1" ref="AJ133" ca="1">IF(AJ$21&lt;Standard_Year,'No STDs Case Rev &amp; Cost'!AJ133,
OFFSET(AJ133,-4,0)*
OFFSET(MSP!$E$1,
MATCH(OFFSET($C127,((MATCH($C127,EL_List,0)-1)*-10)-1,0),MSP!$C:$C,0)+MATCH($C127,EL_List,0)-1,0)
*INDEX(Learning!$E$6:$S$41,(MATCH(AJ$21,Dates,0)),(MATCH($C$86,Learning!$E$4:$S$4,0)+MATCH($C$127,Learning!$E$5:$S$5,0)-1)))</f>
        <v>3.6698863566017176E-2</v>
      </c>
      <c r="AK133" s="533" cm="1">
        <f t="array" aca="1" ref="AK133" ca="1">IF(AK$21&lt;Standard_Year,'No STDs Case Rev &amp; Cost'!AK133,
OFFSET(AK133,-4,0)*
OFFSET(MSP!$E$1,
MATCH(OFFSET($C127,((MATCH($C127,EL_List,0)-1)*-10)-1,0),MSP!$C:$C,0)+MATCH($C127,EL_List,0)-1,0)
*INDEX(Learning!$E$6:$S$41,(MATCH(AK$21,Dates,0)),(MATCH($C$86,Learning!$E$4:$S$4,0)+MATCH($C$127,Learning!$E$5:$S$5,0)-1)))</f>
        <v>3.8380467602969606E-2</v>
      </c>
      <c r="AL133" s="533" cm="1">
        <f t="array" aca="1" ref="AL133" ca="1">IF(AL$21&lt;Standard_Year,'No STDs Case Rev &amp; Cost'!AL133,
OFFSET(AL133,-4,0)*
OFFSET(MSP!$E$1,
MATCH(OFFSET($C127,((MATCH($C127,EL_List,0)-1)*-10)-1,0),MSP!$C:$C,0)+MATCH($C127,EL_List,0)-1,0)
*INDEX(Learning!$E$6:$S$41,(MATCH(AL$21,Dates,0)),(MATCH($C$86,Learning!$E$4:$S$4,0)+MATCH($C$127,Learning!$E$5:$S$5,0)-1)))</f>
        <v>4.0091858650149859E-2</v>
      </c>
      <c r="AM133" s="533" cm="1">
        <f t="array" aca="1" ref="AM133" ca="1">IF(AM$21&lt;Standard_Year,'No STDs Case Rev &amp; Cost'!AM133,
OFFSET(AM133,-4,0)*
OFFSET(MSP!$E$1,
MATCH(OFFSET($C127,((MATCH($C127,EL_List,0)-1)*-10)-1,0),MSP!$C:$C,0)+MATCH($C127,EL_List,0)-1,0)
*INDEX(Learning!$E$6:$S$41,(MATCH(AM$21,Dates,0)),(MATCH($C$86,Learning!$E$4:$S$4,0)+MATCH($C$127,Learning!$E$5:$S$5,0)-1)))</f>
        <v>4.1877503423029476E-2</v>
      </c>
      <c r="AN133" s="533" cm="1">
        <f t="array" aca="1" ref="AN133" ca="1">IF(AN$21&lt;Standard_Year,'No STDs Case Rev &amp; Cost'!AN133,
OFFSET(AN133,-4,0)*
OFFSET(MSP!$E$1,
MATCH(OFFSET($C127,((MATCH($C127,EL_List,0)-1)*-10)-1,0),MSP!$C:$C,0)+MATCH($C127,EL_List,0)-1,0)
*INDEX(Learning!$E$6:$S$41,(MATCH(AN$21,Dates,0)),(MATCH($C$86,Learning!$E$4:$S$4,0)+MATCH($C$127,Learning!$E$5:$S$5,0)-1)))</f>
        <v>4.3789740477469689E-2</v>
      </c>
      <c r="AO133" s="436"/>
      <c r="AP133" s="21"/>
    </row>
    <row r="134" spans="2:42" ht="15" customHeight="1" x14ac:dyDescent="0.35">
      <c r="B134" s="429"/>
      <c r="C134" s="780" t="s">
        <v>214</v>
      </c>
      <c r="D134" s="776"/>
      <c r="E134" s="533" cm="1">
        <f t="array" aca="1" ref="E134" ca="1">IF(E$21&lt;Standard_Year,'No STDs Case Rev &amp; Cost'!E134,
OFFSET(E134,-5,0)*
OFFSET(MSP!$F$1,
MATCH(OFFSET($C127,((MATCH($C127,EL_List,0)-1)*-10)-1,0),MSP!$C:$C,0)+MATCH($C127,EL_List,0)-1,0)
*INDEX(Learning!$E$6:$S$41,(MATCH(E$21,Dates,0)),(MATCH($C$86,Learning!$E$4:$S$4,0)+MATCH($C$127,Learning!$E$5:$S$5,0)-1)))</f>
        <v>2.0829734559221838E-2</v>
      </c>
      <c r="F134" s="533" cm="1">
        <f t="array" aca="1" ref="F134" ca="1">IF(F$21&lt;Standard_Year,'No STDs Case Rev &amp; Cost'!F134,
OFFSET(F134,-5,0)*
OFFSET(MSP!$F$1,
MATCH(OFFSET($C127,((MATCH($C127,EL_List,0)-1)*-10)-1,0),MSP!$C:$C,0)+MATCH($C127,EL_List,0)-1,0)
*INDEX(Learning!$E$6:$S$41,(MATCH(F$21,Dates,0)),(MATCH($C$86,Learning!$E$4:$S$4,0)+MATCH($C$127,Learning!$E$5:$S$5,0)-1)))</f>
        <v>2.1593977065830487E-2</v>
      </c>
      <c r="G134" s="533" cm="1">
        <f t="array" aca="1" ref="G134" ca="1">IF(G$21&lt;Standard_Year,'No STDs Case Rev &amp; Cost'!G134,
OFFSET(G134,-5,0)*
OFFSET(MSP!$F$1,
MATCH(OFFSET($C127,((MATCH($C127,EL_List,0)-1)*-10)-1,0),MSP!$C:$C,0)+MATCH($C127,EL_List,0)-1,0)
*INDEX(Learning!$E$6:$S$41,(MATCH(G$21,Dates,0)),(MATCH($C$86,Learning!$E$4:$S$4,0)+MATCH($C$127,Learning!$E$5:$S$5,0)-1)))</f>
        <v>2.2270324507380267E-2</v>
      </c>
      <c r="H134" s="533" cm="1">
        <f t="array" aca="1" ref="H134" ca="1">IF(H$21&lt;Standard_Year,'No STDs Case Rev &amp; Cost'!H134,
OFFSET(H134,-5,0)*
OFFSET(MSP!$F$1,
MATCH(OFFSET($C127,((MATCH($C127,EL_List,0)-1)*-10)-1,0),MSP!$C:$C,0)+MATCH($C127,EL_List,0)-1,0)
*INDEX(Learning!$E$6:$S$41,(MATCH(H$21,Dates,0)),(MATCH($C$86,Learning!$E$4:$S$4,0)+MATCH($C$127,Learning!$E$5:$S$5,0)-1)))</f>
        <v>2.3157128292954555E-2</v>
      </c>
      <c r="I134" s="533" cm="1">
        <f t="array" aca="1" ref="I134" ca="1">IF(I$21&lt;Standard_Year,'No STDs Case Rev &amp; Cost'!I134,
OFFSET(I134,-5,0)*
OFFSET(MSP!$F$1,
MATCH(OFFSET($C127,((MATCH($C127,EL_List,0)-1)*-10)-1,0),MSP!$C:$C,0)+MATCH($C127,EL_List,0)-1,0)
*INDEX(Learning!$E$6:$S$41,(MATCH(I$21,Dates,0)),(MATCH($C$86,Learning!$E$4:$S$4,0)+MATCH($C$127,Learning!$E$5:$S$5,0)-1)))</f>
        <v>2.4104998925887265E-2</v>
      </c>
      <c r="J134" s="533" cm="1">
        <f t="array" aca="1" ref="J134" ca="1">IF(J$21&lt;Standard_Year,'No STDs Case Rev &amp; Cost'!J134,
OFFSET(J134,-5,0)*
OFFSET(MSP!$F$1,
MATCH(OFFSET($C127,((MATCH($C127,EL_List,0)-1)*-10)-1,0),MSP!$C:$C,0)+MATCH($C127,EL_List,0)-1,0)
*INDEX(Learning!$E$6:$S$41,(MATCH(J$21,Dates,0)),(MATCH($C$86,Learning!$E$4:$S$4,0)+MATCH($C$127,Learning!$E$5:$S$5,0)-1)))</f>
        <v>2.517986956494141E-2</v>
      </c>
      <c r="K134" s="533" cm="1">
        <f t="array" aca="1" ref="K134" ca="1">IF(K$21&lt;Standard_Year,'No STDs Case Rev &amp; Cost'!K134,
OFFSET(K134,-5,0)*
OFFSET(MSP!$F$1,
MATCH(OFFSET($C127,((MATCH($C127,EL_List,0)-1)*-10)-1,0),MSP!$C:$C,0)+MATCH($C127,EL_List,0)-1,0)
*INDEX(Learning!$E$6:$S$41,(MATCH(K$21,Dates,0)),(MATCH($C$86,Learning!$E$4:$S$4,0)+MATCH($C$127,Learning!$E$5:$S$5,0)-1)))</f>
        <v>2.6342675565175576E-2</v>
      </c>
      <c r="L134" s="533" cm="1">
        <f t="array" aca="1" ref="L134" ca="1">IF(L$21&lt;Standard_Year,'No STDs Case Rev &amp; Cost'!L134,
OFFSET(L134,-5,0)*
OFFSET(MSP!$F$1,
MATCH(OFFSET($C127,((MATCH($C127,EL_List,0)-1)*-10)-1,0),MSP!$C:$C,0)+MATCH($C127,EL_List,0)-1,0)
*INDEX(Learning!$E$6:$S$41,(MATCH(L$21,Dates,0)),(MATCH($C$86,Learning!$E$4:$S$4,0)+MATCH($C$127,Learning!$E$5:$S$5,0)-1)))</f>
        <v>2.7570330440350115E-2</v>
      </c>
      <c r="M134" s="533" cm="1">
        <f t="array" aca="1" ref="M134" ca="1">IF(M$21&lt;Standard_Year,'No STDs Case Rev &amp; Cost'!M134,
OFFSET(M134,-5,0)*
OFFSET(MSP!$F$1,
MATCH(OFFSET($C127,((MATCH($C127,EL_List,0)-1)*-10)-1,0),MSP!$C:$C,0)+MATCH($C127,EL_List,0)-1,0)
*INDEX(Learning!$E$6:$S$41,(MATCH(M$21,Dates,0)),(MATCH($C$86,Learning!$E$4:$S$4,0)+MATCH($C$127,Learning!$E$5:$S$5,0)-1)))</f>
        <v>2.8844897757159257E-2</v>
      </c>
      <c r="N134" s="533" cm="1">
        <f t="array" aca="1" ref="N134" ca="1">IF(N$21&lt;Standard_Year,'No STDs Case Rev &amp; Cost'!N134,
OFFSET(N134,-5,0)*
OFFSET(MSP!$F$1,
MATCH(OFFSET($C127,((MATCH($C127,EL_List,0)-1)*-10)-1,0),MSP!$C:$C,0)+MATCH($C127,EL_List,0)-1,0)
*INDEX(Learning!$E$6:$S$41,(MATCH(N$21,Dates,0)),(MATCH($C$86,Learning!$E$4:$S$4,0)+MATCH($C$127,Learning!$E$5:$S$5,0)-1)))</f>
        <v>3.0185013969008044E-2</v>
      </c>
      <c r="O134" s="533" cm="1">
        <f t="array" aca="1" ref="O134" ca="1">IF(O$21&lt;Standard_Year,'No STDs Case Rev &amp; Cost'!O134,
OFFSET(O134,-5,0)*
OFFSET(MSP!$F$1,
MATCH(OFFSET($C127,((MATCH($C127,EL_List,0)-1)*-10)-1,0),MSP!$C:$C,0)+MATCH($C127,EL_List,0)-1,0)
*INDEX(Learning!$E$6:$S$41,(MATCH(O$21,Dates,0)),(MATCH($C$86,Learning!$E$4:$S$4,0)+MATCH($C$127,Learning!$E$5:$S$5,0)-1)))</f>
        <v>3.1529232798537456E-2</v>
      </c>
      <c r="P134" s="533" cm="1">
        <f t="array" aca="1" ref="P134" ca="1">IF(P$21&lt;Standard_Year,'No STDs Case Rev &amp; Cost'!P134,
OFFSET(P134,-5,0)*
OFFSET(MSP!$F$1,
MATCH(OFFSET($C127,((MATCH($C127,EL_List,0)-1)*-10)-1,0),MSP!$C:$C,0)+MATCH($C127,EL_List,0)-1,0)
*INDEX(Learning!$E$6:$S$41,(MATCH(P$21,Dates,0)),(MATCH($C$86,Learning!$E$4:$S$4,0)+MATCH($C$127,Learning!$E$5:$S$5,0)-1)))</f>
        <v>3.2946203053613878E-2</v>
      </c>
      <c r="Q134" s="533" cm="1">
        <f t="array" aca="1" ref="Q134" ca="1">IF(Q$21&lt;Standard_Year,'No STDs Case Rev &amp; Cost'!Q134,
OFFSET(Q134,-5,0)*
OFFSET(MSP!$F$1,
MATCH(OFFSET($C127,((MATCH($C127,EL_List,0)-1)*-10)-1,0),MSP!$C:$C,0)+MATCH($C127,EL_List,0)-1,0)
*INDEX(Learning!$E$6:$S$41,(MATCH(Q$21,Dates,0)),(MATCH($C$86,Learning!$E$4:$S$4,0)+MATCH($C$127,Learning!$E$5:$S$5,0)-1)))</f>
        <v>3.4414226908380585E-2</v>
      </c>
      <c r="R134" s="533" cm="1">
        <f t="array" aca="1" ref="R134" ca="1">IF(R$21&lt;Standard_Year,'No STDs Case Rev &amp; Cost'!R134,
OFFSET(R134,-5,0)*
OFFSET(MSP!$F$1,
MATCH(OFFSET($C127,((MATCH($C127,EL_List,0)-1)*-10)-1,0),MSP!$C:$C,0)+MATCH($C127,EL_List,0)-1,0)
*INDEX(Learning!$E$6:$S$41,(MATCH(R$21,Dates,0)),(MATCH($C$86,Learning!$E$4:$S$4,0)+MATCH($C$127,Learning!$E$5:$S$5,0)-1)))</f>
        <v>3.5943756437387848E-2</v>
      </c>
      <c r="S134" s="533" cm="1">
        <f t="array" aca="1" ref="S134" ca="1">IF(S$21&lt;Standard_Year,'No STDs Case Rev &amp; Cost'!S134,
OFFSET(S134,-5,0)*
OFFSET(MSP!$F$1,
MATCH(OFFSET($C127,((MATCH($C127,EL_List,0)-1)*-10)-1,0),MSP!$C:$C,0)+MATCH($C127,EL_List,0)-1,0)
*INDEX(Learning!$E$6:$S$41,(MATCH(S$21,Dates,0)),(MATCH($C$86,Learning!$E$4:$S$4,0)+MATCH($C$127,Learning!$E$5:$S$5,0)-1)))</f>
        <v>3.7543179728723494E-2</v>
      </c>
      <c r="T134" s="533" cm="1">
        <f t="array" aca="1" ref="T134" ca="1">IF(T$21&lt;Standard_Year,'No STDs Case Rev &amp; Cost'!T134,
OFFSET(T134,-5,0)*
OFFSET(MSP!$F$1,
MATCH(OFFSET($C127,((MATCH($C127,EL_List,0)-1)*-10)-1,0),MSP!$C:$C,0)+MATCH($C127,EL_List,0)-1,0)
*INDEX(Learning!$E$6:$S$41,(MATCH(T$21,Dates,0)),(MATCH($C$86,Learning!$E$4:$S$4,0)+MATCH($C$127,Learning!$E$5:$S$5,0)-1)))</f>
        <v>3.9258366830571045E-2</v>
      </c>
      <c r="U134" s="533" cm="1">
        <f t="array" aca="1" ref="U134" ca="1">IF(U$21&lt;Standard_Year,'No STDs Case Rev &amp; Cost'!U134,
OFFSET(U134,-5,0)*
OFFSET(MSP!$F$1,
MATCH(OFFSET($C127,((MATCH($C127,EL_List,0)-1)*-10)-1,0),MSP!$C:$C,0)+MATCH($C127,EL_List,0)-1,0)
*INDEX(Learning!$E$6:$S$41,(MATCH(U$21,Dates,0)),(MATCH($C$86,Learning!$E$4:$S$4,0)+MATCH($C$127,Learning!$E$5:$S$5,0)-1)))</f>
        <v>4.1014217007013798E-2</v>
      </c>
      <c r="V134" s="533" cm="1">
        <f t="array" aca="1" ref="V134" ca="1">IF(V$21&lt;Standard_Year,'No STDs Case Rev &amp; Cost'!V134,
OFFSET(V134,-5,0)*
OFFSET(MSP!$F$1,
MATCH(OFFSET($C127,((MATCH($C127,EL_List,0)-1)*-10)-1,0),MSP!$C:$C,0)+MATCH($C127,EL_List,0)-1,0)
*INDEX(Learning!$E$6:$S$41,(MATCH(V$21,Dates,0)),(MATCH($C$86,Learning!$E$4:$S$4,0)+MATCH($C$127,Learning!$E$5:$S$5,0)-1)))</f>
        <v>4.2844474678307744E-2</v>
      </c>
      <c r="W134" s="533" cm="1">
        <f t="array" aca="1" ref="W134" ca="1">IF(W$21&lt;Standard_Year,'No STDs Case Rev &amp; Cost'!W134,
OFFSET(W134,-5,0)*
OFFSET(MSP!$F$1,
MATCH(OFFSET($C127,((MATCH($C127,EL_List,0)-1)*-10)-1,0),MSP!$C:$C,0)+MATCH($C127,EL_List,0)-1,0)
*INDEX(Learning!$E$6:$S$41,(MATCH(W$21,Dates,0)),(MATCH($C$86,Learning!$E$4:$S$4,0)+MATCH($C$127,Learning!$E$5:$S$5,0)-1)))</f>
        <v>4.4801525322517452E-2</v>
      </c>
      <c r="X134" s="533" cm="1">
        <f t="array" aca="1" ref="X134" ca="1">IF(X$21&lt;Standard_Year,'No STDs Case Rev &amp; Cost'!X134,
OFFSET(X134,-5,0)*
OFFSET(MSP!$F$1,
MATCH(OFFSET($C127,((MATCH($C127,EL_List,0)-1)*-10)-1,0),MSP!$C:$C,0)+MATCH($C127,EL_List,0)-1,0)
*INDEX(Learning!$E$6:$S$41,(MATCH(X$21,Dates,0)),(MATCH($C$86,Learning!$E$4:$S$4,0)+MATCH($C$127,Learning!$E$5:$S$5,0)-1)))</f>
        <v>4.684338694866387E-2</v>
      </c>
      <c r="Y134" s="533" cm="1">
        <f t="array" aca="1" ref="Y134" ca="1">IF(Y$21&lt;Standard_Year,'No STDs Case Rev &amp; Cost'!Y134,
OFFSET(Y134,-5,0)*
OFFSET(MSP!$F$1,
MATCH(OFFSET($C127,((MATCH($C127,EL_List,0)-1)*-10)-1,0),MSP!$C:$C,0)+MATCH($C127,EL_List,0)-1,0)
*INDEX(Learning!$E$6:$S$41,(MATCH(Y$21,Dates,0)),(MATCH($C$86,Learning!$E$4:$S$4,0)+MATCH($C$127,Learning!$E$5:$S$5,0)-1)))</f>
        <v>4.8919921939499345E-2</v>
      </c>
      <c r="Z134" s="533" cm="1">
        <f t="array" aca="1" ref="Z134" ca="1">IF(Z$21&lt;Standard_Year,'No STDs Case Rev &amp; Cost'!Z134,
OFFSET(Z134,-5,0)*
OFFSET(MSP!$F$1,
MATCH(OFFSET($C127,((MATCH($C127,EL_List,0)-1)*-10)-1,0),MSP!$C:$C,0)+MATCH($C127,EL_List,0)-1,0)
*INDEX(Learning!$E$6:$S$41,(MATCH(Z$21,Dates,0)),(MATCH($C$86,Learning!$E$4:$S$4,0)+MATCH($C$127,Learning!$E$5:$S$5,0)-1)))</f>
        <v>5.1137396553014719E-2</v>
      </c>
      <c r="AA134" s="533" cm="1">
        <f t="array" aca="1" ref="AA134" ca="1">IF(AA$21&lt;Standard_Year,'No STDs Case Rev &amp; Cost'!AA134,
OFFSET(AA134,-5,0)*
OFFSET(MSP!$F$1,
MATCH(OFFSET($C127,((MATCH($C127,EL_List,0)-1)*-10)-1,0),MSP!$C:$C,0)+MATCH($C127,EL_List,0)-1,0)
*INDEX(Learning!$E$6:$S$41,(MATCH(AA$21,Dates,0)),(MATCH($C$86,Learning!$E$4:$S$4,0)+MATCH($C$127,Learning!$E$5:$S$5,0)-1)))</f>
        <v>5.3450074071611821E-2</v>
      </c>
      <c r="AB134" s="533" cm="1">
        <f t="array" aca="1" ref="AB134" ca="1">IF(AB$21&lt;Standard_Year,'No STDs Case Rev &amp; Cost'!AB134,
OFFSET(AB134,-5,0)*
OFFSET(MSP!$F$1,
MATCH(OFFSET($C127,((MATCH($C127,EL_List,0)-1)*-10)-1,0),MSP!$C:$C,0)+MATCH($C127,EL_List,0)-1,0)
*INDEX(Learning!$E$6:$S$41,(MATCH(AB$21,Dates,0)),(MATCH($C$86,Learning!$E$4:$S$4,0)+MATCH($C$127,Learning!$E$5:$S$5,0)-1)))</f>
        <v>5.5863062058487623E-2</v>
      </c>
      <c r="AC134" s="533" cm="1">
        <f t="array" aca="1" ref="AC134" ca="1">IF(AC$21&lt;Standard_Year,'No STDs Case Rev &amp; Cost'!AC134,
OFFSET(AC134,-5,0)*
OFFSET(MSP!$F$1,
MATCH(OFFSET($C127,((MATCH($C127,EL_List,0)-1)*-10)-1,0),MSP!$C:$C,0)+MATCH($C127,EL_List,0)-1,0)
*INDEX(Learning!$E$6:$S$41,(MATCH(AC$21,Dates,0)),(MATCH($C$86,Learning!$E$4:$S$4,0)+MATCH($C$127,Learning!$E$5:$S$5,0)-1)))</f>
        <v>5.8381419376547485E-2</v>
      </c>
      <c r="AD134" s="533" cm="1">
        <f t="array" aca="1" ref="AD134" ca="1">IF(AD$21&lt;Standard_Year,'No STDs Case Rev &amp; Cost'!AD134,
OFFSET(AD134,-5,0)*
OFFSET(MSP!$F$1,
MATCH(OFFSET($C127,((MATCH($C127,EL_List,0)-1)*-10)-1,0),MSP!$C:$C,0)+MATCH($C127,EL_List,0)-1,0)
*INDEX(Learning!$E$6:$S$41,(MATCH(AD$21,Dates,0)),(MATCH($C$86,Learning!$E$4:$S$4,0)+MATCH($C$127,Learning!$E$5:$S$5,0)-1)))</f>
        <v>6.1010125383374678E-2</v>
      </c>
      <c r="AE134" s="533" cm="1">
        <f t="array" aca="1" ref="AE134" ca="1">IF(AE$21&lt;Standard_Year,'No STDs Case Rev &amp; Cost'!AE134,
OFFSET(AE134,-5,0)*
OFFSET(MSP!$F$1,
MATCH(OFFSET($C127,((MATCH($C127,EL_List,0)-1)*-10)-1,0),MSP!$C:$C,0)+MATCH($C127,EL_List,0)-1,0)
*INDEX(Learning!$E$6:$S$41,(MATCH(AE$21,Dates,0)),(MATCH($C$86,Learning!$E$4:$S$4,0)+MATCH($C$127,Learning!$E$5:$S$5,0)-1)))</f>
        <v>6.3754043685179132E-2</v>
      </c>
      <c r="AF134" s="533" cm="1">
        <f t="array" aca="1" ref="AF134" ca="1">IF(AF$21&lt;Standard_Year,'No STDs Case Rev &amp; Cost'!AF134,
OFFSET(AF134,-5,0)*
OFFSET(MSP!$F$1,
MATCH(OFFSET($C127,((MATCH($C127,EL_List,0)-1)*-10)-1,0),MSP!$C:$C,0)+MATCH($C127,EL_List,0)-1,0)
*INDEX(Learning!$E$6:$S$41,(MATCH(AF$21,Dates,0)),(MATCH($C$86,Learning!$E$4:$S$4,0)+MATCH($C$127,Learning!$E$5:$S$5,0)-1)))</f>
        <v>6.6617986053302505E-2</v>
      </c>
      <c r="AG134" s="533" cm="1">
        <f t="array" aca="1" ref="AG134" ca="1">IF(AG$21&lt;Standard_Year,'No STDs Case Rev &amp; Cost'!AG134,
OFFSET(AG134,-5,0)*
OFFSET(MSP!$F$1,
MATCH(OFFSET($C127,((MATCH($C127,EL_List,0)-1)*-10)-1,0),MSP!$C:$C,0)+MATCH($C127,EL_List,0)-1,0)
*INDEX(Learning!$E$6:$S$41,(MATCH(AG$21,Dates,0)),(MATCH($C$86,Learning!$E$4:$S$4,0)+MATCH($C$127,Learning!$E$5:$S$5,0)-1)))</f>
        <v>6.9606852061669028E-2</v>
      </c>
      <c r="AH134" s="533" cm="1">
        <f t="array" aca="1" ref="AH134" ca="1">IF(AH$21&lt;Standard_Year,'No STDs Case Rev &amp; Cost'!AH134,
OFFSET(AH134,-5,0)*
OFFSET(MSP!$F$1,
MATCH(OFFSET($C127,((MATCH($C127,EL_List,0)-1)*-10)-1,0),MSP!$C:$C,0)+MATCH($C127,EL_List,0)-1,0)
*INDEX(Learning!$E$6:$S$41,(MATCH(AH$21,Dates,0)),(MATCH($C$86,Learning!$E$4:$S$4,0)+MATCH($C$127,Learning!$E$5:$S$5,0)-1)))</f>
        <v>7.2807099902218814E-2</v>
      </c>
      <c r="AI134" s="533" cm="1">
        <f t="array" aca="1" ref="AI134" ca="1">IF(AI$21&lt;Standard_Year,'No STDs Case Rev &amp; Cost'!AI134,
OFFSET(AI134,-5,0)*
OFFSET(MSP!$F$1,
MATCH(OFFSET($C127,((MATCH($C127,EL_List,0)-1)*-10)-1,0),MSP!$C:$C,0)+MATCH($C127,EL_List,0)-1,0)
*INDEX(Learning!$E$6:$S$41,(MATCH(AI$21,Dates,0)),(MATCH($C$86,Learning!$E$4:$S$4,0)+MATCH($C$127,Learning!$E$5:$S$5,0)-1)))</f>
        <v>7.6065461526831107E-2</v>
      </c>
      <c r="AJ134" s="533" cm="1">
        <f t="array" aca="1" ref="AJ134" ca="1">IF(AJ$21&lt;Standard_Year,'No STDs Case Rev &amp; Cost'!AJ134,
OFFSET(AJ134,-5,0)*
OFFSET(MSP!$F$1,
MATCH(OFFSET($C127,((MATCH($C127,EL_List,0)-1)*-10)-1,0),MSP!$C:$C,0)+MATCH($C127,EL_List,0)-1,0)
*INDEX(Learning!$E$6:$S$41,(MATCH(AJ$21,Dates,0)),(MATCH($C$86,Learning!$E$4:$S$4,0)+MATCH($C$127,Learning!$E$5:$S$5,0)-1)))</f>
        <v>7.9465206309667469E-2</v>
      </c>
      <c r="AK134" s="533" cm="1">
        <f t="array" aca="1" ref="AK134" ca="1">IF(AK$21&lt;Standard_Year,'No STDs Case Rev &amp; Cost'!AK134,
OFFSET(AK134,-5,0)*
OFFSET(MSP!$F$1,
MATCH(OFFSET($C127,((MATCH($C127,EL_List,0)-1)*-10)-1,0),MSP!$C:$C,0)+MATCH($C127,EL_List,0)-1,0)
*INDEX(Learning!$E$6:$S$41,(MATCH(AK$21,Dates,0)),(MATCH($C$86,Learning!$E$4:$S$4,0)+MATCH($C$127,Learning!$E$5:$S$5,0)-1)))</f>
        <v>8.3106436547961113E-2</v>
      </c>
      <c r="AL134" s="533" cm="1">
        <f t="array" aca="1" ref="AL134" ca="1">IF(AL$21&lt;Standard_Year,'No STDs Case Rev &amp; Cost'!AL134,
OFFSET(AL134,-5,0)*
OFFSET(MSP!$F$1,
MATCH(OFFSET($C127,((MATCH($C127,EL_List,0)-1)*-10)-1,0),MSP!$C:$C,0)+MATCH($C127,EL_List,0)-1,0)
*INDEX(Learning!$E$6:$S$41,(MATCH(AL$21,Dates,0)),(MATCH($C$86,Learning!$E$4:$S$4,0)+MATCH($C$127,Learning!$E$5:$S$5,0)-1)))</f>
        <v>8.6812165538616495E-2</v>
      </c>
      <c r="AM134" s="533" cm="1">
        <f t="array" aca="1" ref="AM134" ca="1">IF(AM$21&lt;Standard_Year,'No STDs Case Rev &amp; Cost'!AM134,
OFFSET(AM134,-5,0)*
OFFSET(MSP!$F$1,
MATCH(OFFSET($C127,((MATCH($C127,EL_List,0)-1)*-10)-1,0),MSP!$C:$C,0)+MATCH($C127,EL_List,0)-1,0)
*INDEX(Learning!$E$6:$S$41,(MATCH(AM$21,Dates,0)),(MATCH($C$86,Learning!$E$4:$S$4,0)+MATCH($C$127,Learning!$E$5:$S$5,0)-1)))</f>
        <v>9.0678678462576726E-2</v>
      </c>
      <c r="AN134" s="533" cm="1">
        <f t="array" aca="1" ref="AN134" ca="1">IF(AN$21&lt;Standard_Year,'No STDs Case Rev &amp; Cost'!AN134,
OFFSET(AN134,-5,0)*
OFFSET(MSP!$F$1,
MATCH(OFFSET($C127,((MATCH($C127,EL_List,0)-1)*-10)-1,0),MSP!$C:$C,0)+MATCH($C127,EL_List,0)-1,0)
*INDEX(Learning!$E$6:$S$41,(MATCH(AN$21,Dates,0)),(MATCH($C$86,Learning!$E$4:$S$4,0)+MATCH($C$127,Learning!$E$5:$S$5,0)-1)))</f>
        <v>9.4819305644961521E-2</v>
      </c>
      <c r="AO134" s="436"/>
      <c r="AP134" s="21"/>
    </row>
    <row r="135" spans="2:42" ht="15" customHeight="1" collapsed="1" x14ac:dyDescent="0.35">
      <c r="B135" s="429"/>
      <c r="C135" s="780" t="s">
        <v>215</v>
      </c>
      <c r="D135" s="776"/>
      <c r="E135" s="531" cm="1">
        <f t="array" aca="1" ref="E135" ca="1">IF(E$21&lt;Standard_Year,'No STDs Case Rev &amp; Cost'!E135,
OFFSET(E135,-6,0)*
OFFSET(MSP!$G$1,
MATCH(OFFSET($C127,((MATCH($C127,EL_List,0)-1)*-10)-1,0),MSP!$C:$C,0)+MATCH($C127,EL_List,0)-1,0)
*INDEX(Learning!$E$6:$S$41,(MATCH(E$21,Dates,0)),(MATCH($C$86,Learning!$E$4:$S$4,0)+MATCH($C$127,Learning!$E$5:$S$5,0)-1)))</f>
        <v>1.2643586411130833E-2</v>
      </c>
      <c r="F135" s="531" cm="1">
        <f t="array" aca="1" ref="F135" ca="1">IF(F$21&lt;Standard_Year,'No STDs Case Rev &amp; Cost'!F135,
OFFSET(F135,-6,0)*
OFFSET(MSP!$G$1,
MATCH(OFFSET($C127,((MATCH($C127,EL_List,0)-1)*-10)-1,0),MSP!$C:$C,0)+MATCH($C127,EL_List,0)-1,0)
*INDEX(Learning!$E$6:$S$41,(MATCH(F$21,Dates,0)),(MATCH($C$86,Learning!$E$4:$S$4,0)+MATCH($C$127,Learning!$E$5:$S$5,0)-1)))</f>
        <v>1.3107479320754482E-2</v>
      </c>
      <c r="G135" s="531" cm="1">
        <f t="array" aca="1" ref="G135" ca="1">IF(G$21&lt;Standard_Year,'No STDs Case Rev &amp; Cost'!G135,
OFFSET(G135,-6,0)*
OFFSET(MSP!$G$1,
MATCH(OFFSET($C127,((MATCH($C127,EL_List,0)-1)*-10)-1,0),MSP!$C:$C,0)+MATCH($C127,EL_List,0)-1,0)
*INDEX(Learning!$E$6:$S$41,(MATCH(G$21,Dates,0)),(MATCH($C$86,Learning!$E$4:$S$4,0)+MATCH($C$127,Learning!$E$5:$S$5,0)-1)))</f>
        <v>1.3518020189476017E-2</v>
      </c>
      <c r="H135" s="531" cm="1">
        <f t="array" aca="1" ref="H135" ca="1">IF(H$21&lt;Standard_Year,'No STDs Case Rev &amp; Cost'!H135,
OFFSET(H135,-6,0)*
OFFSET(MSP!$G$1,
MATCH(OFFSET($C127,((MATCH($C127,EL_List,0)-1)*-10)-1,0),MSP!$C:$C,0)+MATCH($C127,EL_List,0)-1,0)
*INDEX(Learning!$E$6:$S$41,(MATCH(H$21,Dates,0)),(MATCH($C$86,Learning!$E$4:$S$4,0)+MATCH($C$127,Learning!$E$5:$S$5,0)-1)))</f>
        <v>1.4056307427882636E-2</v>
      </c>
      <c r="I135" s="531" cm="1">
        <f t="array" aca="1" ref="I135" ca="1">IF(I$21&lt;Standard_Year,'No STDs Case Rev &amp; Cost'!I135,
OFFSET(I135,-6,0)*
OFFSET(MSP!$G$1,
MATCH(OFFSET($C127,((MATCH($C127,EL_List,0)-1)*-10)-1,0),MSP!$C:$C,0)+MATCH($C127,EL_List,0)-1,0)
*INDEX(Learning!$E$6:$S$41,(MATCH(I$21,Dates,0)),(MATCH($C$86,Learning!$E$4:$S$4,0)+MATCH($C$127,Learning!$E$5:$S$5,0)-1)))</f>
        <v>1.4631662059502375E-2</v>
      </c>
      <c r="J135" s="531" cm="1">
        <f t="array" aca="1" ref="J135" ca="1">IF(J$21&lt;Standard_Year,'No STDs Case Rev &amp; Cost'!J135,
OFFSET(J135,-6,0)*
OFFSET(MSP!$G$1,
MATCH(OFFSET($C127,((MATCH($C127,EL_List,0)-1)*-10)-1,0),MSP!$C:$C,0)+MATCH($C127,EL_List,0)-1,0)
*INDEX(Learning!$E$6:$S$41,(MATCH(J$21,Dates,0)),(MATCH($C$86,Learning!$E$4:$S$4,0)+MATCH($C$127,Learning!$E$5:$S$5,0)-1)))</f>
        <v>1.5284105313977349E-2</v>
      </c>
      <c r="K135" s="531" cm="1">
        <f t="array" aca="1" ref="K135" ca="1">IF(K$21&lt;Standard_Year,'No STDs Case Rev &amp; Cost'!K135,
OFFSET(K135,-6,0)*
OFFSET(MSP!$G$1,
MATCH(OFFSET($C127,((MATCH($C127,EL_List,0)-1)*-10)-1,0),MSP!$C:$C,0)+MATCH($C127,EL_List,0)-1,0)
*INDEX(Learning!$E$6:$S$41,(MATCH(K$21,Dates,0)),(MATCH($C$86,Learning!$E$4:$S$4,0)+MATCH($C$127,Learning!$E$5:$S$5,0)-1)))</f>
        <v>1.598992506897913E-2</v>
      </c>
      <c r="L135" s="531" cm="1">
        <f t="array" aca="1" ref="L135" ca="1">IF(L$21&lt;Standard_Year,'No STDs Case Rev &amp; Cost'!L135,
OFFSET(L135,-6,0)*
OFFSET(MSP!$G$1,
MATCH(OFFSET($C127,((MATCH($C127,EL_List,0)-1)*-10)-1,0),MSP!$C:$C,0)+MATCH($C127,EL_List,0)-1,0)
*INDEX(Learning!$E$6:$S$41,(MATCH(L$21,Dates,0)),(MATCH($C$86,Learning!$E$4:$S$4,0)+MATCH($C$127,Learning!$E$5:$S$5,0)-1)))</f>
        <v>1.6735107896594343E-2</v>
      </c>
      <c r="M135" s="531" cm="1">
        <f t="array" aca="1" ref="M135" ca="1">IF(M$21&lt;Standard_Year,'No STDs Case Rev &amp; Cost'!M135,
OFFSET(M135,-6,0)*
OFFSET(MSP!$G$1,
MATCH(OFFSET($C127,((MATCH($C127,EL_List,0)-1)*-10)-1,0),MSP!$C:$C,0)+MATCH($C127,EL_List,0)-1,0)
*INDEX(Learning!$E$6:$S$41,(MATCH(M$21,Dates,0)),(MATCH($C$86,Learning!$E$4:$S$4,0)+MATCH($C$127,Learning!$E$5:$S$5,0)-1)))</f>
        <v>1.7508766435595988E-2</v>
      </c>
      <c r="N135" s="531" cm="1">
        <f t="array" aca="1" ref="N135" ca="1">IF(N$21&lt;Standard_Year,'No STDs Case Rev &amp; Cost'!N135,
OFFSET(N135,-6,0)*
OFFSET(MSP!$G$1,
MATCH(OFFSET($C127,((MATCH($C127,EL_List,0)-1)*-10)-1,0),MSP!$C:$C,0)+MATCH($C127,EL_List,0)-1,0)
*INDEX(Learning!$E$6:$S$41,(MATCH(N$21,Dates,0)),(MATCH($C$86,Learning!$E$4:$S$4,0)+MATCH($C$127,Learning!$E$5:$S$5,0)-1)))</f>
        <v>1.8322212957312029E-2</v>
      </c>
      <c r="O135" s="531" cm="1">
        <f t="array" aca="1" ref="O135" ca="1">IF(O$21&lt;Standard_Year,'No STDs Case Rev &amp; Cost'!O135,
OFFSET(O135,-6,0)*
OFFSET(MSP!$G$1,
MATCH(OFFSET($C127,((MATCH($C127,EL_List,0)-1)*-10)-1,0),MSP!$C:$C,0)+MATCH($C127,EL_List,0)-1,0)
*INDEX(Learning!$E$6:$S$41,(MATCH(O$21,Dates,0)),(MATCH($C$86,Learning!$E$4:$S$4,0)+MATCH($C$127,Learning!$E$5:$S$5,0)-1)))</f>
        <v>1.913814975565686E-2</v>
      </c>
      <c r="P135" s="531" cm="1">
        <f t="array" aca="1" ref="P135" ca="1">IF(P$21&lt;Standard_Year,'No STDs Case Rev &amp; Cost'!P135,
OFFSET(P135,-6,0)*
OFFSET(MSP!$G$1,
MATCH(OFFSET($C127,((MATCH($C127,EL_List,0)-1)*-10)-1,0),MSP!$C:$C,0)+MATCH($C127,EL_List,0)-1,0)
*INDEX(Learning!$E$6:$S$41,(MATCH(P$21,Dates,0)),(MATCH($C$86,Learning!$E$4:$S$4,0)+MATCH($C$127,Learning!$E$5:$S$5,0)-1)))</f>
        <v>1.9998246451134398E-2</v>
      </c>
      <c r="Q135" s="531" cm="1">
        <f t="array" aca="1" ref="Q135" ca="1">IF(Q$21&lt;Standard_Year,'No STDs Case Rev &amp; Cost'!Q135,
OFFSET(Q135,-6,0)*
OFFSET(MSP!$G$1,
MATCH(OFFSET($C127,((MATCH($C127,EL_List,0)-1)*-10)-1,0),MSP!$C:$C,0)+MATCH($C127,EL_List,0)-1,0)
*INDEX(Learning!$E$6:$S$41,(MATCH(Q$21,Dates,0)),(MATCH($C$86,Learning!$E$4:$S$4,0)+MATCH($C$127,Learning!$E$5:$S$5,0)-1)))</f>
        <v>2.0889332528519228E-2</v>
      </c>
      <c r="R135" s="531" cm="1">
        <f t="array" aca="1" ref="R135" ca="1">IF(R$21&lt;Standard_Year,'No STDs Case Rev &amp; Cost'!R135,
OFFSET(R135,-6,0)*
OFFSET(MSP!$G$1,
MATCH(OFFSET($C127,((MATCH($C127,EL_List,0)-1)*-10)-1,0),MSP!$C:$C,0)+MATCH($C127,EL_List,0)-1,0)
*INDEX(Learning!$E$6:$S$41,(MATCH(R$21,Dates,0)),(MATCH($C$86,Learning!$E$4:$S$4,0)+MATCH($C$127,Learning!$E$5:$S$5,0)-1)))</f>
        <v>2.1817752365718632E-2</v>
      </c>
      <c r="S135" s="531" cm="1">
        <f t="array" aca="1" ref="S135" ca="1">IF(S$21&lt;Standard_Year,'No STDs Case Rev &amp; Cost'!S135,
OFFSET(S135,-6,0)*
OFFSET(MSP!$G$1,
MATCH(OFFSET($C127,((MATCH($C127,EL_List,0)-1)*-10)-1,0),MSP!$C:$C,0)+MATCH($C127,EL_List,0)-1,0)
*INDEX(Learning!$E$6:$S$41,(MATCH(S$21,Dates,0)),(MATCH($C$86,Learning!$E$4:$S$4,0)+MATCH($C$127,Learning!$E$5:$S$5,0)-1)))</f>
        <v>2.2788597507046874E-2</v>
      </c>
      <c r="T135" s="531" cm="1">
        <f t="array" aca="1" ref="T135" ca="1">IF(T$21&lt;Standard_Year,'No STDs Case Rev &amp; Cost'!T135,
OFFSET(T135,-6,0)*
OFFSET(MSP!$G$1,
MATCH(OFFSET($C127,((MATCH($C127,EL_List,0)-1)*-10)-1,0),MSP!$C:$C,0)+MATCH($C127,EL_List,0)-1,0)
*INDEX(Learning!$E$6:$S$41,(MATCH(T$21,Dates,0)),(MATCH($C$86,Learning!$E$4:$S$4,0)+MATCH($C$127,Learning!$E$5:$S$5,0)-1)))</f>
        <v>2.3829710934191613E-2</v>
      </c>
      <c r="U135" s="531" cm="1">
        <f t="array" aca="1" ref="U135" ca="1">IF(U$21&lt;Standard_Year,'No STDs Case Rev &amp; Cost'!U135,
OFFSET(U135,-6,0)*
OFFSET(MSP!$G$1,
MATCH(OFFSET($C127,((MATCH($C127,EL_List,0)-1)*-10)-1,0),MSP!$C:$C,0)+MATCH($C127,EL_List,0)-1,0)
*INDEX(Learning!$E$6:$S$41,(MATCH(U$21,Dates,0)),(MATCH($C$86,Learning!$E$4:$S$4,0)+MATCH($C$127,Learning!$E$5:$S$5,0)-1)))</f>
        <v>2.4895506725671094E-2</v>
      </c>
      <c r="V135" s="531" cm="1">
        <f t="array" aca="1" ref="V135" ca="1">IF(V$21&lt;Standard_Year,'No STDs Case Rev &amp; Cost'!V135,
OFFSET(V135,-6,0)*
OFFSET(MSP!$G$1,
MATCH(OFFSET($C127,((MATCH($C127,EL_List,0)-1)*-10)-1,0),MSP!$C:$C,0)+MATCH($C127,EL_List,0)-1,0)
*INDEX(Learning!$E$6:$S$41,(MATCH(V$21,Dates,0)),(MATCH($C$86,Learning!$E$4:$S$4,0)+MATCH($C$127,Learning!$E$5:$S$5,0)-1)))</f>
        <v>2.6006467643384511E-2</v>
      </c>
      <c r="W135" s="531" cm="1">
        <f t="array" aca="1" ref="W135" ca="1">IF(W$21&lt;Standard_Year,'No STDs Case Rev &amp; Cost'!W135,
OFFSET(W135,-6,0)*
OFFSET(MSP!$G$1,
MATCH(OFFSET($C127,((MATCH($C127,EL_List,0)-1)*-10)-1,0),MSP!$C:$C,0)+MATCH($C127,EL_List,0)-1,0)
*INDEX(Learning!$E$6:$S$41,(MATCH(W$21,Dates,0)),(MATCH($C$86,Learning!$E$4:$S$4,0)+MATCH($C$127,Learning!$E$5:$S$5,0)-1)))</f>
        <v>2.7194391515418199E-2</v>
      </c>
      <c r="X135" s="531" cm="1">
        <f t="array" aca="1" ref="X135" ca="1">IF(X$21&lt;Standard_Year,'No STDs Case Rev &amp; Cost'!X135,
OFFSET(X135,-6,0)*
OFFSET(MSP!$G$1,
MATCH(OFFSET($C127,((MATCH($C127,EL_List,0)-1)*-10)-1,0),MSP!$C:$C,0)+MATCH($C127,EL_List,0)-1,0)
*INDEX(Learning!$E$6:$S$41,(MATCH(X$21,Dates,0)),(MATCH($C$86,Learning!$E$4:$S$4,0)+MATCH($C$127,Learning!$E$5:$S$5,0)-1)))</f>
        <v>2.8433795399147709E-2</v>
      </c>
      <c r="Y135" s="531" cm="1">
        <f t="array" aca="1" ref="Y135" ca="1">IF(Y$21&lt;Standard_Year,'No STDs Case Rev &amp; Cost'!Y135,
OFFSET(Y135,-6,0)*
OFFSET(MSP!$G$1,
MATCH(OFFSET($C127,((MATCH($C127,EL_List,0)-1)*-10)-1,0),MSP!$C:$C,0)+MATCH($C127,EL_List,0)-1,0)
*INDEX(Learning!$E$6:$S$41,(MATCH(Y$21,Dates,0)),(MATCH($C$86,Learning!$E$4:$S$4,0)+MATCH($C$127,Learning!$E$5:$S$5,0)-1)))</f>
        <v>2.9694245911261484E-2</v>
      </c>
      <c r="Z135" s="531" cm="1">
        <f t="array" aca="1" ref="Z135" ca="1">IF(Z$21&lt;Standard_Year,'No STDs Case Rev &amp; Cost'!Z135,
OFFSET(Z135,-6,0)*
OFFSET(MSP!$G$1,
MATCH(OFFSET($C127,((MATCH($C127,EL_List,0)-1)*-10)-1,0),MSP!$C:$C,0)+MATCH($C127,EL_List,0)-1,0)
*INDEX(Learning!$E$6:$S$41,(MATCH(Z$21,Dates,0)),(MATCH($C$86,Learning!$E$4:$S$4,0)+MATCH($C$127,Learning!$E$5:$S$5,0)-1)))</f>
        <v>3.1040246351677941E-2</v>
      </c>
      <c r="AA135" s="531" cm="1">
        <f t="array" aca="1" ref="AA135" ca="1">IF(AA$21&lt;Standard_Year,'No STDs Case Rev &amp; Cost'!AA135,
OFFSET(AA135,-6,0)*
OFFSET(MSP!$G$1,
MATCH(OFFSET($C127,((MATCH($C127,EL_List,0)-1)*-10)-1,0),MSP!$C:$C,0)+MATCH($C127,EL_List,0)-1,0)
*INDEX(Learning!$E$6:$S$41,(MATCH(AA$21,Dates,0)),(MATCH($C$86,Learning!$E$4:$S$4,0)+MATCH($C$127,Learning!$E$5:$S$5,0)-1)))</f>
        <v>3.2444034669974905E-2</v>
      </c>
      <c r="AB135" s="531" cm="1">
        <f t="array" aca="1" ref="AB135" ca="1">IF(AB$21&lt;Standard_Year,'No STDs Case Rev &amp; Cost'!AB135,
OFFSET(AB135,-6,0)*
OFFSET(MSP!$G$1,
MATCH(OFFSET($C127,((MATCH($C127,EL_List,0)-1)*-10)-1,0),MSP!$C:$C,0)+MATCH($C127,EL_List,0)-1,0)
*INDEX(Learning!$E$6:$S$41,(MATCH(AB$21,Dates,0)),(MATCH($C$86,Learning!$E$4:$S$4,0)+MATCH($C$127,Learning!$E$5:$S$5,0)-1)))</f>
        <v>3.3908711141695851E-2</v>
      </c>
      <c r="AC135" s="531" cm="1">
        <f t="array" aca="1" ref="AC135" ca="1">IF(AC$21&lt;Standard_Year,'No STDs Case Rev &amp; Cost'!AC135,
OFFSET(AC135,-6,0)*
OFFSET(MSP!$G$1,
MATCH(OFFSET($C127,((MATCH($C127,EL_List,0)-1)*-10)-1,0),MSP!$C:$C,0)+MATCH($C127,EL_List,0)-1,0)
*INDEX(Learning!$E$6:$S$41,(MATCH(AC$21,Dates,0)),(MATCH($C$86,Learning!$E$4:$S$4,0)+MATCH($C$127,Learning!$E$5:$S$5,0)-1)))</f>
        <v>3.5437346481453295E-2</v>
      </c>
      <c r="AD135" s="531" cm="1">
        <f t="array" aca="1" ref="AD135" ca="1">IF(AD$21&lt;Standard_Year,'No STDs Case Rev &amp; Cost'!AD135,
OFFSET(AD135,-6,0)*
OFFSET(MSP!$G$1,
MATCH(OFFSET($C127,((MATCH($C127,EL_List,0)-1)*-10)-1,0),MSP!$C:$C,0)+MATCH($C127,EL_List,0)-1,0)
*INDEX(Learning!$E$6:$S$41,(MATCH(AD$21,Dates,0)),(MATCH($C$86,Learning!$E$4:$S$4,0)+MATCH($C$127,Learning!$E$5:$S$5,0)-1)))</f>
        <v>3.70329631443677E-2</v>
      </c>
      <c r="AE135" s="531" cm="1">
        <f t="array" aca="1" ref="AE135" ca="1">IF(AE$21&lt;Standard_Year,'No STDs Case Rev &amp; Cost'!AE135,
OFFSET(AE135,-6,0)*
OFFSET(MSP!$G$1,
MATCH(OFFSET($C127,((MATCH($C127,EL_List,0)-1)*-10)-1,0),MSP!$C:$C,0)+MATCH($C127,EL_List,0)-1,0)
*INDEX(Learning!$E$6:$S$41,(MATCH(AE$21,Dates,0)),(MATCH($C$86,Learning!$E$4:$S$4,0)+MATCH($C$127,Learning!$E$5:$S$5,0)-1)))</f>
        <v>3.8698513324823006E-2</v>
      </c>
      <c r="AF135" s="531" cm="1">
        <f t="array" aca="1" ref="AF135" ca="1">IF(AF$21&lt;Standard_Year,'No STDs Case Rev &amp; Cost'!AF135,
OFFSET(AF135,-6,0)*
OFFSET(MSP!$G$1,
MATCH(OFFSET($C127,((MATCH($C127,EL_List,0)-1)*-10)-1,0),MSP!$C:$C,0)+MATCH($C127,EL_List,0)-1,0)
*INDEX(Learning!$E$6:$S$41,(MATCH(AF$21,Dates,0)),(MATCH($C$86,Learning!$E$4:$S$4,0)+MATCH($C$127,Learning!$E$5:$S$5,0)-1)))</f>
        <v>4.0436917753593565E-2</v>
      </c>
      <c r="AG135" s="531" cm="1">
        <f t="array" aca="1" ref="AG135" ca="1">IF(AG$21&lt;Standard_Year,'No STDs Case Rev &amp; Cost'!AG135,
OFFSET(AG135,-6,0)*
OFFSET(MSP!$G$1,
MATCH(OFFSET($C127,((MATCH($C127,EL_List,0)-1)*-10)-1,0),MSP!$C:$C,0)+MATCH($C127,EL_List,0)-1,0)
*INDEX(Learning!$E$6:$S$41,(MATCH(AG$21,Dates,0)),(MATCH($C$86,Learning!$E$4:$S$4,0)+MATCH($C$127,Learning!$E$5:$S$5,0)-1)))</f>
        <v>4.2251150457358055E-2</v>
      </c>
      <c r="AH135" s="531" cm="1">
        <f t="array" aca="1" ref="AH135" ca="1">IF(AH$21&lt;Standard_Year,'No STDs Case Rev &amp; Cost'!AH135,
OFFSET(AH135,-6,0)*
OFFSET(MSP!$G$1,
MATCH(OFFSET($C127,((MATCH($C127,EL_List,0)-1)*-10)-1,0),MSP!$C:$C,0)+MATCH($C127,EL_List,0)-1,0)
*INDEX(Learning!$E$6:$S$41,(MATCH(AH$21,Dates,0)),(MATCH($C$86,Learning!$E$4:$S$4,0)+MATCH($C$127,Learning!$E$5:$S$5,0)-1)))</f>
        <v>4.4193691299344563E-2</v>
      </c>
      <c r="AI135" s="531" cm="1">
        <f t="array" aca="1" ref="AI135" ca="1">IF(AI$21&lt;Standard_Year,'No STDs Case Rev &amp; Cost'!AI135,
OFFSET(AI135,-6,0)*
OFFSET(MSP!$G$1,
MATCH(OFFSET($C127,((MATCH($C127,EL_List,0)-1)*-10)-1,0),MSP!$C:$C,0)+MATCH($C127,EL_List,0)-1,0)
*INDEX(Learning!$E$6:$S$41,(MATCH(AI$21,Dates,0)),(MATCH($C$86,Learning!$E$4:$S$4,0)+MATCH($C$127,Learning!$E$5:$S$5,0)-1)))</f>
        <v>4.6171507033979507E-2</v>
      </c>
      <c r="AJ135" s="531" cm="1">
        <f t="array" aca="1" ref="AJ135" ca="1">IF(AJ$21&lt;Standard_Year,'No STDs Case Rev &amp; Cost'!AJ135,
OFFSET(AJ135,-6,0)*
OFFSET(MSP!$G$1,
MATCH(OFFSET($C127,((MATCH($C127,EL_List,0)-1)*-10)-1,0),MSP!$C:$C,0)+MATCH($C127,EL_List,0)-1,0)
*INDEX(Learning!$E$6:$S$41,(MATCH(AJ$21,Dates,0)),(MATCH($C$86,Learning!$E$4:$S$4,0)+MATCH($C$127,Learning!$E$5:$S$5,0)-1)))</f>
        <v>4.8235141921662332E-2</v>
      </c>
      <c r="AK135" s="531" cm="1">
        <f t="array" aca="1" ref="AK135" ca="1">IF(AK$21&lt;Standard_Year,'No STDs Case Rev &amp; Cost'!AK135,
OFFSET(AK135,-6,0)*
OFFSET(MSP!$G$1,
MATCH(OFFSET($C127,((MATCH($C127,EL_List,0)-1)*-10)-1,0),MSP!$C:$C,0)+MATCH($C127,EL_List,0)-1,0)
*INDEX(Learning!$E$6:$S$41,(MATCH(AK$21,Dates,0)),(MATCH($C$86,Learning!$E$4:$S$4,0)+MATCH($C$127,Learning!$E$5:$S$5,0)-1)))</f>
        <v>5.0445357756616689E-2</v>
      </c>
      <c r="AL135" s="531" cm="1">
        <f t="array" aca="1" ref="AL135" ca="1">IF(AL$21&lt;Standard_Year,'No STDs Case Rev &amp; Cost'!AL135,
OFFSET(AL135,-6,0)*
OFFSET(MSP!$G$1,
MATCH(OFFSET($C127,((MATCH($C127,EL_List,0)-1)*-10)-1,0),MSP!$C:$C,0)+MATCH($C127,EL_List,0)-1,0)
*INDEX(Learning!$E$6:$S$41,(MATCH(AL$21,Dates,0)),(MATCH($C$86,Learning!$E$4:$S$4,0)+MATCH($C$127,Learning!$E$5:$S$5,0)-1)))</f>
        <v>5.2694724140829242E-2</v>
      </c>
      <c r="AM135" s="531" cm="1">
        <f t="array" aca="1" ref="AM135" ca="1">IF(AM$21&lt;Standard_Year,'No STDs Case Rev &amp; Cost'!AM135,
OFFSET(AM135,-6,0)*
OFFSET(MSP!$G$1,
MATCH(OFFSET($C127,((MATCH($C127,EL_List,0)-1)*-10)-1,0),MSP!$C:$C,0)+MATCH($C127,EL_List,0)-1,0)
*INDEX(Learning!$E$6:$S$41,(MATCH(AM$21,Dates,0)),(MATCH($C$86,Learning!$E$4:$S$4,0)+MATCH($C$127,Learning!$E$5:$S$5,0)-1)))</f>
        <v>5.5041685890382684E-2</v>
      </c>
      <c r="AN135" s="531" cm="1">
        <f t="array" aca="1" ref="AN135" ca="1">IF(AN$21&lt;Standard_Year,'No STDs Case Rev &amp; Cost'!AN135,
OFFSET(AN135,-6,0)*
OFFSET(MSP!$G$1,
MATCH(OFFSET($C127,((MATCH($C127,EL_List,0)-1)*-10)-1,0),MSP!$C:$C,0)+MATCH($C127,EL_List,0)-1,0)
*INDEX(Learning!$E$6:$S$41,(MATCH(AN$21,Dates,0)),(MATCH($C$86,Learning!$E$4:$S$4,0)+MATCH($C$127,Learning!$E$5:$S$5,0)-1)))</f>
        <v>5.7555034172758264E-2</v>
      </c>
      <c r="AO135" s="436"/>
      <c r="AP135" s="21"/>
    </row>
    <row r="136" spans="2:42" ht="15" customHeight="1" x14ac:dyDescent="0.35">
      <c r="B136" s="429"/>
      <c r="C136" s="776"/>
      <c r="D136" s="776"/>
      <c r="E136" s="776"/>
      <c r="F136" s="776"/>
      <c r="G136" s="776"/>
      <c r="H136" s="776"/>
      <c r="I136" s="776"/>
      <c r="J136" s="776"/>
      <c r="K136" s="776"/>
      <c r="L136" s="776"/>
      <c r="M136" s="776"/>
      <c r="N136" s="776"/>
      <c r="O136" s="776"/>
      <c r="P136" s="776"/>
      <c r="Q136" s="776"/>
      <c r="R136" s="776"/>
      <c r="S136" s="776"/>
      <c r="T136" s="776"/>
      <c r="U136" s="776"/>
      <c r="V136" s="776"/>
      <c r="W136" s="776"/>
      <c r="X136" s="776"/>
      <c r="Y136" s="776"/>
      <c r="Z136" s="776"/>
      <c r="AA136" s="776"/>
      <c r="AB136" s="776"/>
      <c r="AC136" s="776"/>
      <c r="AD136" s="776"/>
      <c r="AE136" s="776"/>
      <c r="AF136" s="776"/>
      <c r="AG136" s="776"/>
      <c r="AH136" s="776"/>
      <c r="AI136" s="776"/>
      <c r="AJ136" s="776"/>
      <c r="AK136" s="776"/>
      <c r="AL136" s="776"/>
      <c r="AM136" s="776"/>
      <c r="AN136" s="776"/>
      <c r="AO136" s="436"/>
      <c r="AP136" s="21"/>
    </row>
    <row r="137" spans="2:42" ht="15" customHeight="1" x14ac:dyDescent="0.35">
      <c r="B137" s="429"/>
      <c r="C137" s="776"/>
      <c r="D137" s="776"/>
      <c r="E137" s="776"/>
      <c r="F137" s="776"/>
      <c r="G137" s="776"/>
      <c r="H137" s="776"/>
      <c r="I137" s="776"/>
      <c r="J137" s="776"/>
      <c r="K137" s="776"/>
      <c r="L137" s="776"/>
      <c r="M137" s="776"/>
      <c r="N137" s="776"/>
      <c r="O137" s="776"/>
      <c r="P137" s="776"/>
      <c r="Q137" s="776"/>
      <c r="R137" s="776"/>
      <c r="S137" s="776"/>
      <c r="T137" s="776"/>
      <c r="U137" s="776"/>
      <c r="V137" s="776"/>
      <c r="W137" s="776"/>
      <c r="X137" s="776"/>
      <c r="Y137" s="776"/>
      <c r="Z137" s="776"/>
      <c r="AA137" s="776"/>
      <c r="AB137" s="776"/>
      <c r="AC137" s="776"/>
      <c r="AD137" s="776"/>
      <c r="AE137" s="776"/>
      <c r="AF137" s="776"/>
      <c r="AG137" s="776"/>
      <c r="AH137" s="776"/>
      <c r="AI137" s="776"/>
      <c r="AJ137" s="776"/>
      <c r="AK137" s="776"/>
      <c r="AL137" s="776"/>
      <c r="AM137" s="776"/>
      <c r="AN137" s="776"/>
      <c r="AO137" s="436"/>
      <c r="AP137" s="21"/>
    </row>
    <row r="138" spans="2:42" ht="15" customHeight="1" collapsed="1" x14ac:dyDescent="0.35">
      <c r="B138" s="429"/>
      <c r="C138" s="772" t="s">
        <v>57</v>
      </c>
      <c r="D138" s="779"/>
      <c r="E138" s="772">
        <f>Reference_Year - 1</f>
        <v>2022</v>
      </c>
      <c r="F138" s="772">
        <f ca="1">OFFSET(F138,0,-1)+1</f>
        <v>2023</v>
      </c>
      <c r="G138" s="772">
        <f t="shared" ref="G138:AN138" ca="1" si="32">OFFSET(G138,0,-1)+1</f>
        <v>2024</v>
      </c>
      <c r="H138" s="772">
        <f t="shared" ca="1" si="32"/>
        <v>2025</v>
      </c>
      <c r="I138" s="772">
        <f t="shared" ca="1" si="32"/>
        <v>2026</v>
      </c>
      <c r="J138" s="772">
        <f t="shared" ca="1" si="32"/>
        <v>2027</v>
      </c>
      <c r="K138" s="772">
        <f t="shared" ca="1" si="32"/>
        <v>2028</v>
      </c>
      <c r="L138" s="772">
        <f t="shared" ca="1" si="32"/>
        <v>2029</v>
      </c>
      <c r="M138" s="772">
        <f t="shared" ca="1" si="32"/>
        <v>2030</v>
      </c>
      <c r="N138" s="772">
        <f t="shared" ca="1" si="32"/>
        <v>2031</v>
      </c>
      <c r="O138" s="772">
        <f t="shared" ca="1" si="32"/>
        <v>2032</v>
      </c>
      <c r="P138" s="772">
        <f t="shared" ca="1" si="32"/>
        <v>2033</v>
      </c>
      <c r="Q138" s="772">
        <f t="shared" ca="1" si="32"/>
        <v>2034</v>
      </c>
      <c r="R138" s="772">
        <f t="shared" ca="1" si="32"/>
        <v>2035</v>
      </c>
      <c r="S138" s="772">
        <f t="shared" ca="1" si="32"/>
        <v>2036</v>
      </c>
      <c r="T138" s="772">
        <f t="shared" ca="1" si="32"/>
        <v>2037</v>
      </c>
      <c r="U138" s="772">
        <f t="shared" ca="1" si="32"/>
        <v>2038</v>
      </c>
      <c r="V138" s="772">
        <f t="shared" ca="1" si="32"/>
        <v>2039</v>
      </c>
      <c r="W138" s="772">
        <f t="shared" ca="1" si="32"/>
        <v>2040</v>
      </c>
      <c r="X138" s="772">
        <f t="shared" ca="1" si="32"/>
        <v>2041</v>
      </c>
      <c r="Y138" s="772">
        <f t="shared" ca="1" si="32"/>
        <v>2042</v>
      </c>
      <c r="Z138" s="772">
        <f t="shared" ca="1" si="32"/>
        <v>2043</v>
      </c>
      <c r="AA138" s="772">
        <f t="shared" ca="1" si="32"/>
        <v>2044</v>
      </c>
      <c r="AB138" s="772">
        <f t="shared" ca="1" si="32"/>
        <v>2045</v>
      </c>
      <c r="AC138" s="772">
        <f t="shared" ca="1" si="32"/>
        <v>2046</v>
      </c>
      <c r="AD138" s="772">
        <f t="shared" ca="1" si="32"/>
        <v>2047</v>
      </c>
      <c r="AE138" s="772">
        <f t="shared" ca="1" si="32"/>
        <v>2048</v>
      </c>
      <c r="AF138" s="772">
        <f t="shared" ca="1" si="32"/>
        <v>2049</v>
      </c>
      <c r="AG138" s="772">
        <f t="shared" ca="1" si="32"/>
        <v>2050</v>
      </c>
      <c r="AH138" s="772">
        <f t="shared" ca="1" si="32"/>
        <v>2051</v>
      </c>
      <c r="AI138" s="772">
        <f t="shared" ca="1" si="32"/>
        <v>2052</v>
      </c>
      <c r="AJ138" s="772">
        <f t="shared" ca="1" si="32"/>
        <v>2053</v>
      </c>
      <c r="AK138" s="772">
        <f t="shared" ca="1" si="32"/>
        <v>2054</v>
      </c>
      <c r="AL138" s="772">
        <f t="shared" ca="1" si="32"/>
        <v>2055</v>
      </c>
      <c r="AM138" s="772">
        <f t="shared" ca="1" si="32"/>
        <v>2056</v>
      </c>
      <c r="AN138" s="772">
        <f t="shared" ca="1" si="32"/>
        <v>2057</v>
      </c>
      <c r="AO138" s="436"/>
      <c r="AP138" s="21"/>
    </row>
    <row r="139" spans="2:42" ht="15" customHeight="1" x14ac:dyDescent="0.35">
      <c r="B139" s="429"/>
      <c r="C139" s="777" t="s">
        <v>141</v>
      </c>
      <c r="D139" s="777"/>
      <c r="E139" s="534">
        <f ca="1">IF(OFFSET(NAMES!$G$1,MATCH($C86,NAMES!$D:$D,0)-1,0)=TRUE,
(SUMIF($C87:$C136,"Unit Sales (MM)",E87:E136)),
0)</f>
        <v>1.8169913573157541</v>
      </c>
      <c r="F139" s="534">
        <f ca="1">IF(OFFSET(NAMES!$G$1,MATCH($C86,NAMES!$D:$D,0)-1,0)=TRUE,
(SUMIF($C87:$C136,"Unit Sales (MM)",F87:F136)),
0)</f>
        <v>1.8982445852222245</v>
      </c>
      <c r="G139" s="534">
        <f ca="1">IF(OFFSET(NAMES!$G$1,MATCH($C86,NAMES!$D:$D,0)-1,0)=TRUE,
(SUMIF($C87:$C136,"Unit Sales (MM)",G87:G136)),
0)</f>
        <v>1.9657285369708024</v>
      </c>
      <c r="H139" s="534">
        <f ca="1">IF(OFFSET(NAMES!$G$1,MATCH($C86,NAMES!$D:$D,0)-1,0)=TRUE,
(SUMIF($C87:$C136,"Unit Sales (MM)",H87:H136)),
0)</f>
        <v>2.0593265275221397</v>
      </c>
      <c r="I139" s="534">
        <f ca="1">IF(OFFSET(NAMES!$G$1,MATCH($C86,NAMES!$D:$D,0)-1,0)=TRUE,
(SUMIF($C87:$C136,"Unit Sales (MM)",I87:I136)),
0)</f>
        <v>2.1499008500841734</v>
      </c>
      <c r="J139" s="534">
        <f ca="1">IF(OFFSET(NAMES!$G$1,MATCH($C86,NAMES!$D:$D,0)-1,0)=TRUE,
(SUMIF($C87:$C136,"Unit Sales (MM)",J87:J136)),
0)</f>
        <v>2.261056057227719</v>
      </c>
      <c r="K139" s="534">
        <f ca="1">IF(OFFSET(NAMES!$G$1,MATCH($C86,NAMES!$D:$D,0)-1,0)=TRUE,
(SUMIF($C87:$C136,"Unit Sales (MM)",K87:K136)),
0)</f>
        <v>2.3816353469077018</v>
      </c>
      <c r="L139" s="534">
        <f ca="1">IF(OFFSET(NAMES!$G$1,MATCH($C86,NAMES!$D:$D,0)-1,0)=TRUE,
(SUMIF($C87:$C136,"Unit Sales (MM)",L87:L136)),
0)</f>
        <v>2.5082507461325267</v>
      </c>
      <c r="M139" s="534">
        <f ca="1">IF(OFFSET(NAMES!$G$1,MATCH($C86,NAMES!$D:$D,0)-1,0)=TRUE,
(SUMIF($C87:$C136,"Unit Sales (MM)",M87:M136)),
0)</f>
        <v>2.6407435495323379</v>
      </c>
      <c r="N139" s="534">
        <f ca="1">IF(OFFSET(NAMES!$G$1,MATCH($C86,NAMES!$D:$D,0)-1,0)=TRUE,
(SUMIF($C87:$C136,"Unit Sales (MM)",N87:N136)),
0)</f>
        <v>2.7781116999706628</v>
      </c>
      <c r="O139" s="534">
        <f ca="1">IF(OFFSET(NAMES!$G$1,MATCH($C86,NAMES!$D:$D,0)-1,0)=TRUE,
(SUMIF($C87:$C136,"Unit Sales (MM)",O87:O136)),
0)</f>
        <v>2.9202985635020493</v>
      </c>
      <c r="P139" s="534">
        <f ca="1">IF(OFFSET(NAMES!$G$1,MATCH($C86,NAMES!$D:$D,0)-1,0)=TRUE,
(SUMIF($C87:$C136,"Unit Sales (MM)",P87:P136)),
0)</f>
        <v>3.0679129629328941</v>
      </c>
      <c r="Q139" s="534">
        <f ca="1">IF(OFFSET(NAMES!$G$1,MATCH($C86,NAMES!$D:$D,0)-1,0)=TRUE,
(SUMIF($C87:$C136,"Unit Sales (MM)",Q87:Q136)),
0)</f>
        <v>3.2212863551823068</v>
      </c>
      <c r="R139" s="534">
        <f ca="1">IF(OFFSET(NAMES!$G$1,MATCH($C86,NAMES!$D:$D,0)-1,0)=TRUE,
(SUMIF($C87:$C136,"Unit Sales (MM)",R87:R136)),
0)</f>
        <v>3.3820487764313505</v>
      </c>
      <c r="S139" s="534">
        <f ca="1">IF(OFFSET(NAMES!$G$1,MATCH($C86,NAMES!$D:$D,0)-1,0)=TRUE,
(SUMIF($C87:$C136,"Unit Sales (MM)",S87:S136)),
0)</f>
        <v>3.5511099213147981</v>
      </c>
      <c r="T139" s="534">
        <f ca="1">IF(OFFSET(NAMES!$G$1,MATCH($C86,NAMES!$D:$D,0)-1,0)=TRUE,
(SUMIF($C87:$C136,"Unit Sales (MM)",T87:T136)),
0)</f>
        <v>3.7290456727838639</v>
      </c>
      <c r="U139" s="534">
        <f ca="1">IF(OFFSET(NAMES!$G$1,MATCH($C86,NAMES!$D:$D,0)-1,0)=TRUE,
(SUMIF($C87:$C136,"Unit Sales (MM)",U87:U136)),
0)</f>
        <v>3.9164960602017787</v>
      </c>
      <c r="V139" s="534">
        <f ca="1">IF(OFFSET(NAMES!$G$1,MATCH($C86,NAMES!$D:$D,0)-1,0)=TRUE,
(SUMIF($C87:$C136,"Unit Sales (MM)",V87:V136)),
0)</f>
        <v>4.1130864117381822</v>
      </c>
      <c r="W139" s="534">
        <f ca="1">IF(OFFSET(NAMES!$G$1,MATCH($C86,NAMES!$D:$D,0)-1,0)=TRUE,
(SUMIF($C87:$C136,"Unit Sales (MM)",W87:W136)),
0)</f>
        <v>4.3194145093243161</v>
      </c>
      <c r="X139" s="534">
        <f ca="1">IF(OFFSET(NAMES!$G$1,MATCH($C86,NAMES!$D:$D,0)-1,0)=TRUE,
(SUMIF($C87:$C136,"Unit Sales (MM)",X87:X136)),
0)</f>
        <v>4.535730078353069</v>
      </c>
      <c r="Y139" s="534">
        <f ca="1">IF(OFFSET(NAMES!$G$1,MATCH($C86,NAMES!$D:$D,0)-1,0)=TRUE,
(SUMIF($C87:$C136,"Unit Sales (MM)",Y87:Y136)),
0)</f>
        <v>4.7624021340277443</v>
      </c>
      <c r="Z139" s="534">
        <f ca="1">IF(OFFSET(NAMES!$G$1,MATCH($C86,NAMES!$D:$D,0)-1,0)=TRUE,
(SUMIF($C87:$C136,"Unit Sales (MM)",Z87:Z136)),
0)</f>
        <v>4.9999251951663961</v>
      </c>
      <c r="AA139" s="534">
        <f ca="1">IF(OFFSET(NAMES!$G$1,MATCH($C86,NAMES!$D:$D,0)-1,0)=TRUE,
(SUMIF($C87:$C136,"Unit Sales (MM)",AA87:AA136)),
0)</f>
        <v>5.2487922900592539</v>
      </c>
      <c r="AB139" s="534">
        <f ca="1">IF(OFFSET(NAMES!$G$1,MATCH($C86,NAMES!$D:$D,0)-1,0)=TRUE,
(SUMIF($C87:$C136,"Unit Sales (MM)",AB87:AB136)),
0)</f>
        <v>5.5097276026998276</v>
      </c>
      <c r="AC139" s="534">
        <f ca="1">IF(OFFSET(NAMES!$G$1,MATCH($C86,NAMES!$D:$D,0)-1,0)=TRUE,
(SUMIF($C87:$C136,"Unit Sales (MM)",AC87:AC136)),
0)</f>
        <v>5.783391114164492</v>
      </c>
      <c r="AD139" s="534">
        <f ca="1">IF(OFFSET(NAMES!$G$1,MATCH($C86,NAMES!$D:$D,0)-1,0)=TRUE,
(SUMIF($C87:$C136,"Unit Sales (MM)",AD87:AD136)),
0)</f>
        <v>6.070446526134158</v>
      </c>
      <c r="AE139" s="534">
        <f ca="1">IF(OFFSET(NAMES!$G$1,MATCH($C86,NAMES!$D:$D,0)-1,0)=TRUE,
(SUMIF($C87:$C136,"Unit Sales (MM)",AE87:AE136)),
0)</f>
        <v>6.3715577196113209</v>
      </c>
      <c r="AF139" s="534">
        <f ca="1">IF(OFFSET(NAMES!$G$1,MATCH($C86,NAMES!$D:$D,0)-1,0)=TRUE,
(SUMIF($C87:$C136,"Unit Sales (MM)",AF87:AF136)),
0)</f>
        <v>6.6873951739796702</v>
      </c>
      <c r="AG139" s="534">
        <f ca="1">IF(OFFSET(NAMES!$G$1,MATCH($C86,NAMES!$D:$D,0)-1,0)=TRUE,
(SUMIF($C87:$C136,"Unit Sales (MM)",AG87:AG136)),
0)</f>
        <v>7.018650193516053</v>
      </c>
      <c r="AH139" s="534">
        <f ca="1">IF(OFFSET(NAMES!$G$1,MATCH($C86,NAMES!$D:$D,0)-1,0)=TRUE,
(SUMIF($C87:$C136,"Unit Sales (MM)",AH87:AH136)),
0)</f>
        <v>7.3660477409111635</v>
      </c>
      <c r="AI139" s="534">
        <f ca="1">IF(OFFSET(NAMES!$G$1,MATCH($C86,NAMES!$D:$D,0)-1,0)=TRUE,
(SUMIF($C87:$C136,"Unit Sales (MM)",AI87:AI136)),
0)</f>
        <v>7.7303561310829485</v>
      </c>
      <c r="AJ139" s="534">
        <f ca="1">IF(OFFSET(NAMES!$G$1,MATCH($C86,NAMES!$D:$D,0)-1,0)=TRUE,
(SUMIF($C87:$C136,"Unit Sales (MM)",AJ87:AJ136)),
0)</f>
        <v>8.112392327167397</v>
      </c>
      <c r="AK139" s="534">
        <f ca="1">IF(OFFSET(NAMES!$G$1,MATCH($C86,NAMES!$D:$D,0)-1,0)=TRUE,
(SUMIF($C87:$C136,"Unit Sales (MM)",AK87:AK136)),
0)</f>
        <v>8.5130224117716384</v>
      </c>
      <c r="AL139" s="534">
        <f ca="1">IF(OFFSET(NAMES!$G$1,MATCH($C86,NAMES!$D:$D,0)-1,0)=TRUE,
(SUMIF($C87:$C136,"Unit Sales (MM)",AL87:AL136)),
0)</f>
        <v>8.9331599997488613</v>
      </c>
      <c r="AM139" s="534">
        <f ca="1">IF(OFFSET(NAMES!$G$1,MATCH($C86,NAMES!$D:$D,0)-1,0)=TRUE,
(SUMIF($C87:$C136,"Unit Sales (MM)",AM87:AM136)),
0)</f>
        <v>9.3737651837121234</v>
      </c>
      <c r="AN139" s="534">
        <f ca="1">IF(OFFSET(NAMES!$G$1,MATCH($C86,NAMES!$D:$D,0)-1,0)=TRUE,
(SUMIF($C87:$C136,"Unit Sales (MM)",AN87:AN136)),
0)</f>
        <v>9.8358407335770703</v>
      </c>
      <c r="AO139" s="436"/>
      <c r="AP139" s="21"/>
    </row>
    <row r="140" spans="2:42" ht="15" customHeight="1" x14ac:dyDescent="0.35">
      <c r="B140" s="429"/>
      <c r="C140" s="777" t="s">
        <v>142</v>
      </c>
      <c r="D140" s="777"/>
      <c r="E140" s="535">
        <f ca="1">IF(OFFSET(NAMES!$G$1,MATCH($C86,NAMES!$D:$D,0)-1,0)=TRUE,
(SUMIF($C87:$C136,"Revenues (MM)",E87:E136)),
0)</f>
        <v>123.55638884870316</v>
      </c>
      <c r="F140" s="535">
        <f ca="1">IF(OFFSET(NAMES!$G$1,MATCH($C86,NAMES!$D:$D,0)-1,0)=TRUE,
(SUMIF($C87:$C136,"Revenues (MM)",F87:F136)),
0)</f>
        <v>128.10486303946942</v>
      </c>
      <c r="G140" s="535">
        <f ca="1">IF(OFFSET(NAMES!$G$1,MATCH($C86,NAMES!$D:$D,0)-1,0)=TRUE,
(SUMIF($C87:$C136,"Revenues (MM)",G87:G136)),
0)</f>
        <v>132.682900644949</v>
      </c>
      <c r="H140" s="535">
        <f ca="1">IF(OFFSET(NAMES!$G$1,MATCH($C86,NAMES!$D:$D,0)-1,0)=TRUE,
(SUMIF($C87:$C136,"Revenues (MM)",H87:H136)),
0)</f>
        <v>137.98630341367388</v>
      </c>
      <c r="I140" s="535">
        <f ca="1">IF(OFFSET(NAMES!$G$1,MATCH($C86,NAMES!$D:$D,0)-1,0)=TRUE,
(SUMIF($C87:$C136,"Revenues (MM)",I87:I136)),
0)</f>
        <v>145.2957139843376</v>
      </c>
      <c r="J140" s="535">
        <f ca="1">IF(OFFSET(NAMES!$G$1,MATCH($C86,NAMES!$D:$D,0)-1,0)=TRUE,
(SUMIF($C87:$C136,"Revenues (MM)",J87:J136)),
0)</f>
        <v>151.76849781863956</v>
      </c>
      <c r="K140" s="535">
        <f ca="1">IF(OFFSET(NAMES!$G$1,MATCH($C86,NAMES!$D:$D,0)-1,0)=TRUE,
(SUMIF($C87:$C136,"Revenues (MM)",K87:K136)),
0)</f>
        <v>158.90704006159464</v>
      </c>
      <c r="L140" s="535">
        <f ca="1">IF(OFFSET(NAMES!$G$1,MATCH($C86,NAMES!$D:$D,0)-1,0)=TRUE,
(SUMIF($C87:$C136,"Revenues (MM)",L87:L136)),
0)</f>
        <v>166.35044521443177</v>
      </c>
      <c r="M140" s="535">
        <f ca="1">IF(OFFSET(NAMES!$G$1,MATCH($C86,NAMES!$D:$D,0)-1,0)=TRUE,
(SUMIF($C87:$C136,"Revenues (MM)",M87:M136)),
0)</f>
        <v>174.10033571457546</v>
      </c>
      <c r="N140" s="535">
        <f ca="1">IF(OFFSET(NAMES!$G$1,MATCH($C86,NAMES!$D:$D,0)-1,0)=TRUE,
(SUMIF($C87:$C136,"Revenues (MM)",N87:N136)),
0)</f>
        <v>182.0665373735628</v>
      </c>
      <c r="O140" s="535">
        <f ca="1">IF(OFFSET(NAMES!$G$1,MATCH($C86,NAMES!$D:$D,0)-1,0)=TRUE,
(SUMIF($C87:$C136,"Revenues (MM)",O87:O136)),
0)</f>
        <v>190.2379064840938</v>
      </c>
      <c r="P140" s="535">
        <f ca="1">IF(OFFSET(NAMES!$G$1,MATCH($C86,NAMES!$D:$D,0)-1,0)=TRUE,
(SUMIF($C87:$C136,"Revenues (MM)",P87:P136)),
0)</f>
        <v>198.82996783213298</v>
      </c>
      <c r="Q140" s="535">
        <f ca="1">IF(OFFSET(NAMES!$G$1,MATCH($C86,NAMES!$D:$D,0)-1,0)=TRUE,
(SUMIF($C87:$C136,"Revenues (MM)",Q87:Q136)),
0)</f>
        <v>207.6953040016605</v>
      </c>
      <c r="R140" s="535">
        <f ca="1">IF(OFFSET(NAMES!$G$1,MATCH($C86,NAMES!$D:$D,0)-1,0)=TRUE,
(SUMIF($C87:$C136,"Revenues (MM)",R87:R136)),
0)</f>
        <v>216.76001962478733</v>
      </c>
      <c r="S140" s="535">
        <f ca="1">IF(OFFSET(NAMES!$G$1,MATCH($C86,NAMES!$D:$D,0)-1,0)=TRUE,
(SUMIF($C87:$C136,"Revenues (MM)",S87:S136)),
0)</f>
        <v>226.41061739205932</v>
      </c>
      <c r="T140" s="535">
        <f ca="1">IF(OFFSET(NAMES!$G$1,MATCH($C86,NAMES!$D:$D,0)-1,0)=TRUE,
(SUMIF($C87:$C136,"Revenues (MM)",T87:T136)),
0)</f>
        <v>236.54131121598834</v>
      </c>
      <c r="U140" s="535">
        <f ca="1">IF(OFFSET(NAMES!$G$1,MATCH($C86,NAMES!$D:$D,0)-1,0)=TRUE,
(SUMIF($C87:$C136,"Revenues (MM)",U87:U136)),
0)</f>
        <v>247.35479602889311</v>
      </c>
      <c r="V140" s="535">
        <f ca="1">IF(OFFSET(NAMES!$G$1,MATCH($C86,NAMES!$D:$D,0)-1,0)=TRUE,
(SUMIF($C87:$C136,"Revenues (MM)",V87:V136)),
0)</f>
        <v>258.43047466023836</v>
      </c>
      <c r="W140" s="535">
        <f ca="1">IF(OFFSET(NAMES!$G$1,MATCH($C86,NAMES!$D:$D,0)-1,0)=TRUE,
(SUMIF($C87:$C136,"Revenues (MM)",W87:W136)),
0)</f>
        <v>269.98804479482067</v>
      </c>
      <c r="X140" s="535">
        <f ca="1">IF(OFFSET(NAMES!$G$1,MATCH($C86,NAMES!$D:$D,0)-1,0)=TRUE,
(SUMIF($C87:$C136,"Revenues (MM)",X87:X136)),
0)</f>
        <v>282.29838258884195</v>
      </c>
      <c r="Y140" s="535">
        <f ca="1">IF(OFFSET(NAMES!$G$1,MATCH($C86,NAMES!$D:$D,0)-1,0)=TRUE,
(SUMIF($C87:$C136,"Revenues (MM)",Y87:Y136)),
0)</f>
        <v>294.85416364141042</v>
      </c>
      <c r="Z140" s="535">
        <f ca="1">IF(OFFSET(NAMES!$G$1,MATCH($C86,NAMES!$D:$D,0)-1,0)=TRUE,
(SUMIF($C87:$C136,"Revenues (MM)",Z87:Z136)),
0)</f>
        <v>308.22539391829883</v>
      </c>
      <c r="AA140" s="535">
        <f ca="1">IF(OFFSET(NAMES!$G$1,MATCH($C86,NAMES!$D:$D,0)-1,0)=TRUE,
(SUMIF($C87:$C136,"Revenues (MM)",AA87:AA136)),
0)</f>
        <v>321.85825230773139</v>
      </c>
      <c r="AB140" s="535">
        <f ca="1">IF(OFFSET(NAMES!$G$1,MATCH($C86,NAMES!$D:$D,0)-1,0)=TRUE,
(SUMIF($C87:$C136,"Revenues (MM)",AB87:AB136)),
0)</f>
        <v>336.38840696792698</v>
      </c>
      <c r="AC140" s="535">
        <f ca="1">IF(OFFSET(NAMES!$G$1,MATCH($C86,NAMES!$D:$D,0)-1,0)=TRUE,
(SUMIF($C87:$C136,"Revenues (MM)",AC87:AC136)),
0)</f>
        <v>351.55298300483622</v>
      </c>
      <c r="AD140" s="535">
        <f ca="1">IF(OFFSET(NAMES!$G$1,MATCH($C86,NAMES!$D:$D,0)-1,0)=TRUE,
(SUMIF($C87:$C136,"Revenues (MM)",AD87:AD136)),
0)</f>
        <v>367.42892772519997</v>
      </c>
      <c r="AE140" s="535">
        <f ca="1">IF(OFFSET(NAMES!$G$1,MATCH($C86,NAMES!$D:$D,0)-1,0)=TRUE,
(SUMIF($C87:$C136,"Revenues (MM)",AE87:AE136)),
0)</f>
        <v>383.95390578136647</v>
      </c>
      <c r="AF140" s="535">
        <f ca="1">IF(OFFSET(NAMES!$G$1,MATCH($C86,NAMES!$D:$D,0)-1,0)=TRUE,
(SUMIF($C87:$C136,"Revenues (MM)",AF87:AF136)),
0)</f>
        <v>400.80930555591897</v>
      </c>
      <c r="AG140" s="535">
        <f ca="1">IF(OFFSET(NAMES!$G$1,MATCH($C86,NAMES!$D:$D,0)-1,0)=TRUE,
(SUMIF($C87:$C136,"Revenues (MM)",AG87:AG136)),
0)</f>
        <v>418.84416282458909</v>
      </c>
      <c r="AH140" s="535">
        <f ca="1">IF(OFFSET(NAMES!$G$1,MATCH($C86,NAMES!$D:$D,0)-1,0)=TRUE,
(SUMIF($C87:$C136,"Revenues (MM)",AH87:AH136)),
0)</f>
        <v>438.04394244582392</v>
      </c>
      <c r="AI140" s="535">
        <f ca="1">IF(OFFSET(NAMES!$G$1,MATCH($C86,NAMES!$D:$D,0)-1,0)=TRUE,
(SUMIF($C87:$C136,"Revenues (MM)",AI87:AI136)),
0)</f>
        <v>457.7052560999029</v>
      </c>
      <c r="AJ140" s="535">
        <f ca="1">IF(OFFSET(NAMES!$G$1,MATCH($C86,NAMES!$D:$D,0)-1,0)=TRUE,
(SUMIF($C87:$C136,"Revenues (MM)",AJ87:AJ136)),
0)</f>
        <v>478.16002557304279</v>
      </c>
      <c r="AK140" s="535">
        <f ca="1">IF(OFFSET(NAMES!$G$1,MATCH($C86,NAMES!$D:$D,0)-1,0)=TRUE,
(SUMIF($C87:$C136,"Revenues (MM)",AK87:AK136)),
0)</f>
        <v>499.57041850405705</v>
      </c>
      <c r="AL140" s="535">
        <f ca="1">IF(OFFSET(NAMES!$G$1,MATCH($C86,NAMES!$D:$D,0)-1,0)=TRUE,
(SUMIF($C87:$C136,"Revenues (MM)",AL87:AL136)),
0)</f>
        <v>521.91030449426751</v>
      </c>
      <c r="AM140" s="535">
        <f ca="1">IF(OFFSET(NAMES!$G$1,MATCH($C86,NAMES!$D:$D,0)-1,0)=TRUE,
(SUMIF($C87:$C136,"Revenues (MM)",AM87:AM136)),
0)</f>
        <v>545.70033947122272</v>
      </c>
      <c r="AN140" s="535">
        <f ca="1">IF(OFFSET(NAMES!$G$1,MATCH($C86,NAMES!$D:$D,0)-1,0)=TRUE,
(SUMIF($C87:$C136,"Revenues (MM)",AN87:AN136)),
0)</f>
        <v>569.96381670110566</v>
      </c>
      <c r="AO140" s="436"/>
      <c r="AP140" s="21"/>
    </row>
    <row r="141" spans="2:42" ht="15" customHeight="1" x14ac:dyDescent="0.35">
      <c r="B141" s="429"/>
      <c r="C141" s="777"/>
      <c r="D141" s="776"/>
      <c r="E141" s="468"/>
      <c r="F141" s="468"/>
      <c r="G141" s="468"/>
      <c r="H141" s="468"/>
      <c r="I141" s="468"/>
      <c r="J141" s="468"/>
      <c r="K141" s="468"/>
      <c r="L141" s="468"/>
      <c r="M141" s="468"/>
      <c r="N141" s="468"/>
      <c r="O141" s="468"/>
      <c r="P141" s="468"/>
      <c r="Q141" s="468"/>
      <c r="R141" s="468"/>
      <c r="S141" s="468"/>
      <c r="T141" s="468"/>
      <c r="U141" s="468"/>
      <c r="V141" s="468"/>
      <c r="W141" s="468"/>
      <c r="X141" s="468"/>
      <c r="Y141" s="468"/>
      <c r="Z141" s="468"/>
      <c r="AA141" s="468"/>
      <c r="AB141" s="468"/>
      <c r="AC141" s="468"/>
      <c r="AD141" s="468"/>
      <c r="AE141" s="468"/>
      <c r="AF141" s="468"/>
      <c r="AG141" s="468"/>
      <c r="AH141" s="468"/>
      <c r="AI141" s="468"/>
      <c r="AJ141" s="468"/>
      <c r="AK141" s="468"/>
      <c r="AL141" s="468"/>
      <c r="AM141" s="468"/>
      <c r="AN141" s="468"/>
      <c r="AO141" s="436"/>
      <c r="AP141" s="21"/>
    </row>
    <row r="142" spans="2:42" ht="15" customHeight="1" x14ac:dyDescent="0.35">
      <c r="B142" s="429"/>
      <c r="C142" s="777" t="s">
        <v>216</v>
      </c>
      <c r="D142" s="776"/>
      <c r="E142" s="536">
        <f ca="1">IF(OFFSET(NAMES!$G$1,MATCH($C86,NAMES!$D:$D,0)-1,0)=TRUE,
(SUMIF($C87:$C137,"Materials (MM)",E87:E137)),
0)</f>
        <v>76.591784667244738</v>
      </c>
      <c r="F142" s="536">
        <f ca="1">IF(OFFSET(NAMES!$G$1,MATCH($C86,NAMES!$D:$D,0)-1,0)=TRUE,
(SUMIF($C87:$C137,"Materials (MM)",F87:F137)),
0)</f>
        <v>79.411382130793939</v>
      </c>
      <c r="G142" s="536">
        <f ca="1">IF(OFFSET(NAMES!$G$1,MATCH($C86,NAMES!$D:$D,0)-1,0)=TRUE,
(SUMIF($C87:$C137,"Materials (MM)",G87:G137)),
0)</f>
        <v>81.87623202685441</v>
      </c>
      <c r="H142" s="536">
        <f ca="1">IF(OFFSET(NAMES!$G$1,MATCH($C86,NAMES!$D:$D,0)-1,0)=TRUE,
(SUMIF($C87:$C137,"Materials (MM)",H87:H137)),
0)</f>
        <v>85.116511436597548</v>
      </c>
      <c r="I142" s="536">
        <f ca="1">IF(OFFSET(NAMES!$G$1,MATCH($C86,NAMES!$D:$D,0)-1,0)=TRUE,
(SUMIF($C87:$C137,"Materials (MM)",I87:I137)),
0)</f>
        <v>90.567309102073807</v>
      </c>
      <c r="J142" s="536">
        <f ca="1">IF(OFFSET(NAMES!$G$1,MATCH($C86,NAMES!$D:$D,0)-1,0)=TRUE,
(SUMIF($C87:$C137,"Materials (MM)",J87:J137)),
0)</f>
        <v>94.60199384839413</v>
      </c>
      <c r="K142" s="536">
        <f ca="1">IF(OFFSET(NAMES!$G$1,MATCH($C86,NAMES!$D:$D,0)-1,0)=TRUE,
(SUMIF($C87:$C137,"Materials (MM)",K87:K137)),
0)</f>
        <v>99.051698922671775</v>
      </c>
      <c r="L142" s="536">
        <f ca="1">IF(OFFSET(NAMES!$G$1,MATCH($C86,NAMES!$D:$D,0)-1,0)=TRUE,
(SUMIF($C87:$C137,"Materials (MM)",L87:L137)),
0)</f>
        <v>103.69141384901714</v>
      </c>
      <c r="M142" s="536">
        <f ca="1">IF(OFFSET(NAMES!$G$1,MATCH($C86,NAMES!$D:$D,0)-1,0)=TRUE,
(SUMIF($C87:$C137,"Materials (MM)",M87:M137)),
0)</f>
        <v>108.52213933807887</v>
      </c>
      <c r="N142" s="536">
        <f ca="1">IF(OFFSET(NAMES!$G$1,MATCH($C86,NAMES!$D:$D,0)-1,0)=TRUE,
(SUMIF($C87:$C137,"Materials (MM)",N87:N137)),
0)</f>
        <v>113.48769039639809</v>
      </c>
      <c r="O142" s="536">
        <f ca="1">IF(OFFSET(NAMES!$G$1,MATCH($C86,NAMES!$D:$D,0)-1,0)=TRUE,
(SUMIF($C87:$C137,"Materials (MM)",O87:O137)),
0)</f>
        <v>118.58113105704301</v>
      </c>
      <c r="P142" s="536">
        <f ca="1">IF(OFFSET(NAMES!$G$1,MATCH($C86,NAMES!$D:$D,0)-1,0)=TRUE,
(SUMIF($C87:$C137,"Materials (MM)",P87:P137)),
0)</f>
        <v>123.93683659127466</v>
      </c>
      <c r="Q142" s="536">
        <f ca="1">IF(OFFSET(NAMES!$G$1,MATCH($C86,NAMES!$D:$D,0)-1,0)=TRUE,
(SUMIF($C87:$C137,"Materials (MM)",Q87:Q137)),
0)</f>
        <v>129.46287433141529</v>
      </c>
      <c r="R142" s="536">
        <f ca="1">IF(OFFSET(NAMES!$G$1,MATCH($C86,NAMES!$D:$D,0)-1,0)=TRUE,
(SUMIF($C87:$C137,"Materials (MM)",R87:R137)),
0)</f>
        <v>135.11310292323046</v>
      </c>
      <c r="S142" s="536">
        <f ca="1">IF(OFFSET(NAMES!$G$1,MATCH($C86,NAMES!$D:$D,0)-1,0)=TRUE,
(SUMIF($C87:$C137,"Materials (MM)",S87:S137)),
0)</f>
        <v>141.12861406778754</v>
      </c>
      <c r="T142" s="536">
        <f ca="1">IF(OFFSET(NAMES!$G$1,MATCH($C86,NAMES!$D:$D,0)-1,0)=TRUE,
(SUMIF($C87:$C137,"Materials (MM)",T87:T137)),
0)</f>
        <v>147.4433313656836</v>
      </c>
      <c r="U142" s="536">
        <f ca="1">IF(OFFSET(NAMES!$G$1,MATCH($C86,NAMES!$D:$D,0)-1,0)=TRUE,
(SUMIF($C87:$C137,"Materials (MM)",U87:U137)),
0)</f>
        <v>154.18375791875343</v>
      </c>
      <c r="V142" s="536">
        <f ca="1">IF(OFFSET(NAMES!$G$1,MATCH($C86,NAMES!$D:$D,0)-1,0)=TRUE,
(SUMIF($C87:$C137,"Materials (MM)",V87:V137)),
0)</f>
        <v>161.08751549366531</v>
      </c>
      <c r="W142" s="536">
        <f ca="1">IF(OFFSET(NAMES!$G$1,MATCH($C86,NAMES!$D:$D,0)-1,0)=TRUE,
(SUMIF($C87:$C137,"Materials (MM)",W87:W137)),
0)</f>
        <v>168.29163739968067</v>
      </c>
      <c r="X142" s="536">
        <f ca="1">IF(OFFSET(NAMES!$G$1,MATCH($C86,NAMES!$D:$D,0)-1,0)=TRUE,
(SUMIF($C87:$C137,"Materials (MM)",X87:X137)),
0)</f>
        <v>175.96504000499613</v>
      </c>
      <c r="Y142" s="536">
        <f ca="1">IF(OFFSET(NAMES!$G$1,MATCH($C86,NAMES!$D:$D,0)-1,0)=TRUE,
(SUMIF($C87:$C137,"Materials (MM)",Y87:Y137)),
0)</f>
        <v>183.7913766330087</v>
      </c>
      <c r="Z142" s="536">
        <f ca="1">IF(OFFSET(NAMES!$G$1,MATCH($C86,NAMES!$D:$D,0)-1,0)=TRUE,
(SUMIF($C87:$C137,"Materials (MM)",Z87:Z137)),
0)</f>
        <v>192.1260623799883</v>
      </c>
      <c r="AA142" s="536">
        <f ca="1">IF(OFFSET(NAMES!$G$1,MATCH($C86,NAMES!$D:$D,0)-1,0)=TRUE,
(SUMIF($C87:$C137,"Materials (MM)",AA87:AA137)),
0)</f>
        <v>200.62375337077154</v>
      </c>
      <c r="AB142" s="536">
        <f ca="1">IF(OFFSET(NAMES!$G$1,MATCH($C86,NAMES!$D:$D,0)-1,0)=TRUE,
(SUMIF($C87:$C137,"Materials (MM)",AB87:AB137)),
0)</f>
        <v>209.68082617738222</v>
      </c>
      <c r="AC142" s="536">
        <f ca="1">IF(OFFSET(NAMES!$G$1,MATCH($C86,NAMES!$D:$D,0)-1,0)=TRUE,
(SUMIF($C87:$C137,"Materials (MM)",AC87:AC137)),
0)</f>
        <v>219.13335237870146</v>
      </c>
      <c r="AD142" s="536">
        <f ca="1">IF(OFFSET(NAMES!$G$1,MATCH($C86,NAMES!$D:$D,0)-1,0)=TRUE,
(SUMIF($C87:$C137,"Materials (MM)",AD87:AD137)),
0)</f>
        <v>229.02922204972398</v>
      </c>
      <c r="AE142" s="536">
        <f ca="1">IF(OFFSET(NAMES!$G$1,MATCH($C86,NAMES!$D:$D,0)-1,0)=TRUE,
(SUMIF($C87:$C137,"Materials (MM)",AE87:AE137)),
0)</f>
        <v>239.32972294960629</v>
      </c>
      <c r="AF142" s="536">
        <f ca="1">IF(OFFSET(NAMES!$G$1,MATCH($C86,NAMES!$D:$D,0)-1,0)=TRUE,
(SUMIF($C87:$C137,"Materials (MM)",AF87:AF137)),
0)</f>
        <v>249.83609046273713</v>
      </c>
      <c r="AG142" s="536">
        <f ca="1">IF(OFFSET(NAMES!$G$1,MATCH($C86,NAMES!$D:$D,0)-1,0)=TRUE,
(SUMIF($C87:$C137,"Materials (MM)",AG87:AG137)),
0)</f>
        <v>261.0776532297001</v>
      </c>
      <c r="AH142" s="536">
        <f ca="1">IF(OFFSET(NAMES!$G$1,MATCH($C86,NAMES!$D:$D,0)-1,0)=TRUE,
(SUMIF($C87:$C137,"Materials (MM)",AH87:AH137)),
0)</f>
        <v>273.04551657245958</v>
      </c>
      <c r="AI142" s="536">
        <f ca="1">IF(OFFSET(NAMES!$G$1,MATCH($C86,NAMES!$D:$D,0)-1,0)=TRUE,
(SUMIF($C87:$C137,"Materials (MM)",AI87:AI137)),
0)</f>
        <v>285.30088765931851</v>
      </c>
      <c r="AJ142" s="536">
        <f ca="1">IF(OFFSET(NAMES!$G$1,MATCH($C86,NAMES!$D:$D,0)-1,0)=TRUE,
(SUMIF($C87:$C137,"Materials (MM)",AJ87:AJ137)),
0)</f>
        <v>298.0509313158239</v>
      </c>
      <c r="AK142" s="536">
        <f ca="1">IF(OFFSET(NAMES!$G$1,MATCH($C86,NAMES!$D:$D,0)-1,0)=TRUE,
(SUMIF($C87:$C137,"Materials (MM)",AK87:AK137)),
0)</f>
        <v>311.39652293716239</v>
      </c>
      <c r="AL142" s="536">
        <f ca="1">IF(OFFSET(NAMES!$G$1,MATCH($C86,NAMES!$D:$D,0)-1,0)=TRUE,
(SUMIF($C87:$C137,"Materials (MM)",AL87:AL137)),
0)</f>
        <v>325.32149930628333</v>
      </c>
      <c r="AM142" s="536">
        <f ca="1">IF(OFFSET(NAMES!$G$1,MATCH($C86,NAMES!$D:$D,0)-1,0)=TRUE,
(SUMIF($C87:$C137,"Materials (MM)",AM87:AM137)),
0)</f>
        <v>340.15063024440173</v>
      </c>
      <c r="AN142" s="536">
        <f ca="1">IF(OFFSET(NAMES!$G$1,MATCH($C86,NAMES!$D:$D,0)-1,0)=TRUE,
(SUMIF($C87:$C137,"Materials (MM)",AN87:AN137)),
0)</f>
        <v>355.27458530329085</v>
      </c>
      <c r="AO142" s="436"/>
      <c r="AP142" s="21"/>
    </row>
    <row r="143" spans="2:42" ht="15" customHeight="1" x14ac:dyDescent="0.35">
      <c r="B143" s="429"/>
      <c r="C143" s="777" t="s">
        <v>217</v>
      </c>
      <c r="D143" s="776"/>
      <c r="E143" s="537">
        <f ca="1">IF(OFFSET(NAMES!$G$1,MATCH($C86,NAMES!$D:$D,0)-1,0)=TRUE,
(SUMIF($C87:$C137,"Labor (MM)",E87:E137)),
0)</f>
        <v>1.7919008782448069</v>
      </c>
      <c r="F143" s="537">
        <f ca="1">IF(OFFSET(NAMES!$G$1,MATCH($C86,NAMES!$D:$D,0)-1,0)=TRUE,
(SUMIF($C87:$C137,"Labor (MM)",F87:F137)),
0)</f>
        <v>1.8578796439246661</v>
      </c>
      <c r="G143" s="537">
        <f ca="1">IF(OFFSET(NAMES!$G$1,MATCH($C86,NAMES!$D:$D,0)-1,0)=TRUE,
(SUMIF($C87:$C137,"Labor (MM)",G87:G137)),
0)</f>
        <v>1.9155933259414919</v>
      </c>
      <c r="H143" s="537">
        <f ca="1">IF(OFFSET(NAMES!$G$1,MATCH($C86,NAMES!$D:$D,0)-1,0)=TRUE,
(SUMIF($C87:$C137,"Labor (MM)",H87:H137)),
0)</f>
        <v>1.9914467358865036</v>
      </c>
      <c r="I143" s="537">
        <f ca="1">IF(OFFSET(NAMES!$G$1,MATCH($C86,NAMES!$D:$D,0)-1,0)=TRUE,
(SUMIF($C87:$C137,"Labor (MM)",I87:I137)),
0)</f>
        <v>1.968644709645631</v>
      </c>
      <c r="J143" s="537">
        <f ca="1">IF(OFFSET(NAMES!$G$1,MATCH($C86,NAMES!$D:$D,0)-1,0)=TRUE,
(SUMIF($C87:$C137,"Labor (MM)",J87:J137)),
0)</f>
        <v>2.0563476105749716</v>
      </c>
      <c r="K143" s="537">
        <f ca="1">IF(OFFSET(NAMES!$G$1,MATCH($C86,NAMES!$D:$D,0)-1,0)=TRUE,
(SUMIF($C87:$C137,"Labor (MM)",K87:K137)),
0)</f>
        <v>2.1530338212938367</v>
      </c>
      <c r="L143" s="537">
        <f ca="1">IF(OFFSET(NAMES!$G$1,MATCH($C86,NAMES!$D:$D,0)-1,0)=TRUE,
(SUMIF($C87:$C137,"Labor (MM)",L87:L137)),
0)</f>
        <v>2.2538742688566611</v>
      </c>
      <c r="M143" s="537">
        <f ca="1">IF(OFFSET(NAMES!$G$1,MATCH($C86,NAMES!$D:$D,0)-1,0)=TRUE,
(SUMIF($C87:$C137,"Labor (MM)",M87:M137)),
0)</f>
        <v>2.3589066842851256</v>
      </c>
      <c r="N143" s="537">
        <f ca="1">IF(OFFSET(NAMES!$G$1,MATCH($C86,NAMES!$D:$D,0)-1,0)=TRUE,
(SUMIF($C87:$C137,"Labor (MM)",N87:N137)),
0)</f>
        <v>2.4668755031483411</v>
      </c>
      <c r="O143" s="537">
        <f ca="1">IF(OFFSET(NAMES!$G$1,MATCH($C86,NAMES!$D:$D,0)-1,0)=TRUE,
(SUMIF($C87:$C137,"Labor (MM)",O87:O137)),
0)</f>
        <v>2.5776254616944048</v>
      </c>
      <c r="P143" s="537">
        <f ca="1">IF(OFFSET(NAMES!$G$1,MATCH($C86,NAMES!$D:$D,0)-1,0)=TRUE,
(SUMIF($C87:$C137,"Labor (MM)",P87:P137)),
0)</f>
        <v>2.694032345822615</v>
      </c>
      <c r="Q143" s="537">
        <f ca="1">IF(OFFSET(NAMES!$G$1,MATCH($C86,NAMES!$D:$D,0)-1,0)=TRUE,
(SUMIF($C87:$C137,"Labor (MM)",Q87:Q137)),
0)</f>
        <v>2.8141515563626762</v>
      </c>
      <c r="R143" s="537">
        <f ca="1">IF(OFFSET(NAMES!$G$1,MATCH($C86,NAMES!$D:$D,0)-1,0)=TRUE,
(SUMIF($C87:$C137,"Labor (MM)",R87:R137)),
0)</f>
        <v>2.9370780821995668</v>
      </c>
      <c r="S143" s="537">
        <f ca="1">IF(OFFSET(NAMES!$G$1,MATCH($C86,NAMES!$D:$D,0)-1,0)=TRUE,
(SUMIF($C87:$C137,"Labor (MM)",S87:S137)),
0)</f>
        <v>3.0678423084409068</v>
      </c>
      <c r="T143" s="537">
        <f ca="1">IF(OFFSET(NAMES!$G$1,MATCH($C86,NAMES!$D:$D,0)-1,0)=TRUE,
(SUMIF($C87:$C137,"Labor (MM)",T87:T137)),
0)</f>
        <v>3.205171597432114</v>
      </c>
      <c r="U143" s="537">
        <f ca="1">IF(OFFSET(NAMES!$G$1,MATCH($C86,NAMES!$D:$D,0)-1,0)=TRUE,
(SUMIF($C87:$C137,"Labor (MM)",U87:U137)),
0)</f>
        <v>3.3516326934838596</v>
      </c>
      <c r="V143" s="537">
        <f ca="1">IF(OFFSET(NAMES!$G$1,MATCH($C86,NAMES!$D:$D,0)-1,0)=TRUE,
(SUMIF($C87:$C137,"Labor (MM)",V87:V137)),
0)</f>
        <v>3.5017691775268682</v>
      </c>
      <c r="W143" s="537">
        <f ca="1">IF(OFFSET(NAMES!$G$1,MATCH($C86,NAMES!$D:$D,0)-1,0)=TRUE,
(SUMIF($C87:$C137,"Labor (MM)",W87:W137)),
0)</f>
        <v>3.6584450827142567</v>
      </c>
      <c r="X143" s="537">
        <f ca="1">IF(OFFSET(NAMES!$G$1,MATCH($C86,NAMES!$D:$D,0)-1,0)=TRUE,
(SUMIF($C87:$C137,"Labor (MM)",X87:X137)),
0)</f>
        <v>3.8252548847545835</v>
      </c>
      <c r="Y143" s="537">
        <f ca="1">IF(OFFSET(NAMES!$G$1,MATCH($C86,NAMES!$D:$D,0)-1,0)=TRUE,
(SUMIF($C87:$C137,"Labor (MM)",Y87:Y137)),
0)</f>
        <v>3.9954635518754951</v>
      </c>
      <c r="Z143" s="537">
        <f ca="1">IF(OFFSET(NAMES!$G$1,MATCH($C86,NAMES!$D:$D,0)-1,0)=TRUE,
(SUMIF($C87:$C137,"Labor (MM)",Z87:Z137)),
0)</f>
        <v>4.1766525643824277</v>
      </c>
      <c r="AA143" s="537">
        <f ca="1">IF(OFFSET(NAMES!$G$1,MATCH($C86,NAMES!$D:$D,0)-1,0)=TRUE,
(SUMIF($C87:$C137,"Labor (MM)",AA87:AA137)),
0)</f>
        <v>4.3614730090338414</v>
      </c>
      <c r="AB143" s="537">
        <f ca="1">IF(OFFSET(NAMES!$G$1,MATCH($C86,NAMES!$D:$D,0)-1,0)=TRUE,
(SUMIF($C87:$C137,"Labor (MM)",AB87:AB137)),
0)</f>
        <v>4.5583719469155426</v>
      </c>
      <c r="AC143" s="537">
        <f ca="1">IF(OFFSET(NAMES!$G$1,MATCH($C86,NAMES!$D:$D,0)-1,0)=TRUE,
(SUMIF($C87:$C137,"Labor (MM)",AC87:AC137)),
0)</f>
        <v>4.7638681003826147</v>
      </c>
      <c r="AD143" s="537">
        <f ca="1">IF(OFFSET(NAMES!$G$1,MATCH($C86,NAMES!$D:$D,0)-1,0)=TRUE,
(SUMIF($C87:$C137,"Labor (MM)",AD87:AD137)),
0)</f>
        <v>4.9790964797261648</v>
      </c>
      <c r="AE143" s="537">
        <f ca="1">IF(OFFSET(NAMES!$G$1,MATCH($C86,NAMES!$D:$D,0)-1,0)=TRUE,
(SUMIF($C87:$C137,"Labor (MM)",AE87:AE137)),
0)</f>
        <v>5.203032405498984</v>
      </c>
      <c r="AF143" s="537">
        <f ca="1">IF(OFFSET(NAMES!$G$1,MATCH($C86,NAMES!$D:$D,0)-1,0)=TRUE,
(SUMIF($C87:$C137,"Labor (MM)",AF87:AF137)),
0)</f>
        <v>5.4315545594214658</v>
      </c>
      <c r="AG143" s="537">
        <f ca="1">IF(OFFSET(NAMES!$G$1,MATCH($C86,NAMES!$D:$D,0)-1,0)=TRUE,
(SUMIF($C87:$C137,"Labor (MM)",AG87:AG137)),
0)</f>
        <v>5.6760638282430662</v>
      </c>
      <c r="AH143" s="537">
        <f ca="1">IF(OFFSET(NAMES!$G$1,MATCH($C86,NAMES!$D:$D,0)-1,0)=TRUE,
(SUMIF($C87:$C137,"Labor (MM)",AH87:AH137)),
0)</f>
        <v>5.9361451582333178</v>
      </c>
      <c r="AI143" s="537">
        <f ca="1">IF(OFFSET(NAMES!$G$1,MATCH($C86,NAMES!$D:$D,0)-1,0)=TRUE,
(SUMIF($C87:$C137,"Labor (MM)",AI87:AI137)),
0)</f>
        <v>6.2027068664344815</v>
      </c>
      <c r="AJ143" s="537">
        <f ca="1">IF(OFFSET(NAMES!$G$1,MATCH($C86,NAMES!$D:$D,0)-1,0)=TRUE,
(SUMIF($C87:$C137,"Labor (MM)",AJ87:AJ137)),
0)</f>
        <v>6.4799098460000364</v>
      </c>
      <c r="AK143" s="537">
        <f ca="1">IF(OFFSET(NAMES!$G$1,MATCH($C86,NAMES!$D:$D,0)-1,0)=TRUE,
(SUMIF($C87:$C137,"Labor (MM)",AK87:AK137)),
0)</f>
        <v>6.7702000873704851</v>
      </c>
      <c r="AL143" s="537">
        <f ca="1">IF(OFFSET(NAMES!$G$1,MATCH($C86,NAMES!$D:$D,0)-1,0)=TRUE,
(SUMIF($C87:$C137,"Labor (MM)",AL87:AL137)),
0)</f>
        <v>7.0730932422919635</v>
      </c>
      <c r="AM143" s="537">
        <f ca="1">IF(OFFSET(NAMES!$G$1,MATCH($C86,NAMES!$D:$D,0)-1,0)=TRUE,
(SUMIF($C87:$C137,"Labor (MM)",AM87:AM137)),
0)</f>
        <v>7.3953582077374671</v>
      </c>
      <c r="AN143" s="537">
        <f ca="1">IF(OFFSET(NAMES!$G$1,MATCH($C86,NAMES!$D:$D,0)-1,0)=TRUE,
(SUMIF($C87:$C137,"Labor (MM)",AN87:AN137)),
0)</f>
        <v>7.7243666332912513</v>
      </c>
      <c r="AO143" s="436"/>
      <c r="AP143" s="21"/>
    </row>
    <row r="144" spans="2:42" ht="15" customHeight="1" x14ac:dyDescent="0.35">
      <c r="B144" s="429"/>
      <c r="C144" s="777" t="s">
        <v>218</v>
      </c>
      <c r="D144" s="776"/>
      <c r="E144" s="537">
        <f ca="1">IF(OFFSET(NAMES!$G$1,MATCH($C86,NAMES!$D:$D,0)-1,0)=TRUE,
(SUMIF($C87:$C137,"Depreciation (MM)",E87:E137)),
0)</f>
        <v>4.3244736097046115</v>
      </c>
      <c r="F144" s="537">
        <f ca="1">IF(OFFSET(NAMES!$G$1,MATCH($C86,NAMES!$D:$D,0)-1,0)=TRUE,
(SUMIF($C87:$C137,"Depreciation (MM)",F87:F137)),
0)</f>
        <v>4.4836702063814293</v>
      </c>
      <c r="G144" s="537">
        <f ca="1">IF(OFFSET(NAMES!$G$1,MATCH($C86,NAMES!$D:$D,0)-1,0)=TRUE,
(SUMIF($C87:$C137,"Depreciation (MM)",G87:G137)),
0)</f>
        <v>4.6228414456609013</v>
      </c>
      <c r="H144" s="537">
        <f ca="1">IF(OFFSET(NAMES!$G$1,MATCH($C86,NAMES!$D:$D,0)-1,0)=TRUE,
(SUMIF($C87:$C137,"Depreciation (MM)",H87:H137)),
0)</f>
        <v>4.8057984776995957</v>
      </c>
      <c r="I144" s="537">
        <f ca="1">IF(OFFSET(NAMES!$G$1,MATCH($C86,NAMES!$D:$D,0)-1,0)=TRUE,
(SUMIF($C87:$C137,"Depreciation (MM)",I87:I137)),
0)</f>
        <v>5.102540464855239</v>
      </c>
      <c r="J144" s="537">
        <f ca="1">IF(OFFSET(NAMES!$G$1,MATCH($C86,NAMES!$D:$D,0)-1,0)=TRUE,
(SUMIF($C87:$C137,"Depreciation (MM)",J87:J137)),
0)</f>
        <v>5.3298536184104188</v>
      </c>
      <c r="K144" s="537">
        <f ca="1">IF(OFFSET(NAMES!$G$1,MATCH($C86,NAMES!$D:$D,0)-1,0)=TRUE,
(SUMIF($C87:$C137,"Depreciation (MM)",K87:K137)),
0)</f>
        <v>5.5805492944310906</v>
      </c>
      <c r="L144" s="537">
        <f ca="1">IF(OFFSET(NAMES!$G$1,MATCH($C86,NAMES!$D:$D,0)-1,0)=TRUE,
(SUMIF($C87:$C137,"Depreciation (MM)",L87:L137)),
0)</f>
        <v>5.8419498411247952</v>
      </c>
      <c r="M144" s="537">
        <f ca="1">IF(OFFSET(NAMES!$G$1,MATCH($C86,NAMES!$D:$D,0)-1,0)=TRUE,
(SUMIF($C87:$C137,"Depreciation (MM)",M87:M137)),
0)</f>
        <v>6.1141112694613966</v>
      </c>
      <c r="N144" s="537">
        <f ca="1">IF(OFFSET(NAMES!$G$1,MATCH($C86,NAMES!$D:$D,0)-1,0)=TRUE,
(SUMIF($C87:$C137,"Depreciation (MM)",N87:N137)),
0)</f>
        <v>6.3938688802693227</v>
      </c>
      <c r="O144" s="537">
        <f ca="1">IF(OFFSET(NAMES!$G$1,MATCH($C86,NAMES!$D:$D,0)-1,0)=TRUE,
(SUMIF($C87:$C137,"Depreciation (MM)",O87:O137)),
0)</f>
        <v>6.6808315158588281</v>
      </c>
      <c r="P144" s="537">
        <f ca="1">IF(OFFSET(NAMES!$G$1,MATCH($C86,NAMES!$D:$D,0)-1,0)=TRUE,
(SUMIF($C87:$C137,"Depreciation (MM)",P87:P137)),
0)</f>
        <v>6.9825707476170269</v>
      </c>
      <c r="Q144" s="537">
        <f ca="1">IF(OFFSET(NAMES!$G$1,MATCH($C86,NAMES!$D:$D,0)-1,0)=TRUE,
(SUMIF($C87:$C137,"Depreciation (MM)",Q87:Q137)),
0)</f>
        <v>7.2939063561224735</v>
      </c>
      <c r="R144" s="537">
        <f ca="1">IF(OFFSET(NAMES!$G$1,MATCH($C86,NAMES!$D:$D,0)-1,0)=TRUE,
(SUMIF($C87:$C137,"Depreciation (MM)",R87:R137)),
0)</f>
        <v>7.6122375060689613</v>
      </c>
      <c r="S144" s="537">
        <f ca="1">IF(OFFSET(NAMES!$G$1,MATCH($C86,NAMES!$D:$D,0)-1,0)=TRUE,
(SUMIF($C87:$C137,"Depreciation (MM)",S87:S137)),
0)</f>
        <v>7.9511498589190284</v>
      </c>
      <c r="T144" s="537">
        <f ca="1">IF(OFFSET(NAMES!$G$1,MATCH($C86,NAMES!$D:$D,0)-1,0)=TRUE,
(SUMIF($C87:$C137,"Depreciation (MM)",T87:T137)),
0)</f>
        <v>8.3069188035711097</v>
      </c>
      <c r="U144" s="537">
        <f ca="1">IF(OFFSET(NAMES!$G$1,MATCH($C86,NAMES!$D:$D,0)-1,0)=TRUE,
(SUMIF($C87:$C137,"Depreciation (MM)",U87:U137)),
0)</f>
        <v>8.6866733133190923</v>
      </c>
      <c r="V144" s="537">
        <f ca="1">IF(OFFSET(NAMES!$G$1,MATCH($C86,NAMES!$D:$D,0)-1,0)=TRUE,
(SUMIF($C87:$C137,"Depreciation (MM)",V87:V137)),
0)</f>
        <v>9.0756282814052369</v>
      </c>
      <c r="W144" s="537">
        <f ca="1">IF(OFFSET(NAMES!$G$1,MATCH($C86,NAMES!$D:$D,0)-1,0)=TRUE,
(SUMIF($C87:$C137,"Depreciation (MM)",W87:W137)),
0)</f>
        <v>9.4815059080436104</v>
      </c>
      <c r="X144" s="537">
        <f ca="1">IF(OFFSET(NAMES!$G$1,MATCH($C86,NAMES!$D:$D,0)-1,0)=TRUE,
(SUMIF($C87:$C137,"Depreciation (MM)",X87:X137)),
0)</f>
        <v>9.9138233571090097</v>
      </c>
      <c r="Y144" s="537">
        <f ca="1">IF(OFFSET(NAMES!$G$1,MATCH($C86,NAMES!$D:$D,0)-1,0)=TRUE,
(SUMIF($C87:$C137,"Depreciation (MM)",Y87:Y137)),
0)</f>
        <v>10.35475594954489</v>
      </c>
      <c r="Z144" s="537">
        <f ca="1">IF(OFFSET(NAMES!$G$1,MATCH($C86,NAMES!$D:$D,0)-1,0)=TRUE,
(SUMIF($C87:$C137,"Depreciation (MM)",Z87:Z137)),
0)</f>
        <v>10.824329856642539</v>
      </c>
      <c r="AA144" s="537">
        <f ca="1">IF(OFFSET(NAMES!$G$1,MATCH($C86,NAMES!$D:$D,0)-1,0)=TRUE,
(SUMIF($C87:$C137,"Depreciation (MM)",AA87:AA137)),
0)</f>
        <v>11.303086558784887</v>
      </c>
      <c r="AB144" s="537">
        <f ca="1">IF(OFFSET(NAMES!$G$1,MATCH($C86,NAMES!$D:$D,0)-1,0)=TRUE,
(SUMIF($C87:$C137,"Depreciation (MM)",AB87:AB137)),
0)</f>
        <v>11.813359495312442</v>
      </c>
      <c r="AC144" s="537">
        <f ca="1">IF(OFFSET(NAMES!$G$1,MATCH($C86,NAMES!$D:$D,0)-1,0)=TRUE,
(SUMIF($C87:$C137,"Depreciation (MM)",AC87:AC137)),
0)</f>
        <v>12.345912163054741</v>
      </c>
      <c r="AD144" s="537">
        <f ca="1">IF(OFFSET(NAMES!$G$1,MATCH($C86,NAMES!$D:$D,0)-1,0)=TRUE,
(SUMIF($C87:$C137,"Depreciation (MM)",AD87:AD137)),
0)</f>
        <v>12.9034412602425</v>
      </c>
      <c r="AE144" s="537">
        <f ca="1">IF(OFFSET(NAMES!$G$1,MATCH($C86,NAMES!$D:$D,0)-1,0)=TRUE,
(SUMIF($C87:$C137,"Depreciation (MM)",AE87:AE137)),
0)</f>
        <v>13.483768509649362</v>
      </c>
      <c r="AF144" s="537">
        <f ca="1">IF(OFFSET(NAMES!$G$1,MATCH($C86,NAMES!$D:$D,0)-1,0)=TRUE,
(SUMIF($C87:$C137,"Depreciation (MM)",AF87:AF137)),
0)</f>
        <v>14.075693121046394</v>
      </c>
      <c r="AG144" s="537">
        <f ca="1">IF(OFFSET(NAMES!$G$1,MATCH($C86,NAMES!$D:$D,0)-1,0)=TRUE,
(SUMIF($C87:$C137,"Depreciation (MM)",AG87:AG137)),
0)</f>
        <v>14.709037828952448</v>
      </c>
      <c r="AH144" s="537">
        <f ca="1">IF(OFFSET(NAMES!$G$1,MATCH($C86,NAMES!$D:$D,0)-1,0)=TRUE,
(SUMIF($C87:$C137,"Depreciation (MM)",AH87:AH137)),
0)</f>
        <v>15.38330538530691</v>
      </c>
      <c r="AI144" s="537">
        <f ca="1">IF(OFFSET(NAMES!$G$1,MATCH($C86,NAMES!$D:$D,0)-1,0)=TRUE,
(SUMIF($C87:$C137,"Depreciation (MM)",AI87:AI137)),
0)</f>
        <v>16.073767584620118</v>
      </c>
      <c r="AJ144" s="537">
        <f ca="1">IF(OFFSET(NAMES!$G$1,MATCH($C86,NAMES!$D:$D,0)-1,0)=TRUE,
(SUMIF($C87:$C137,"Depreciation (MM)",AJ87:AJ137)),
0)</f>
        <v>16.792101199660408</v>
      </c>
      <c r="AK144" s="537">
        <f ca="1">IF(OFFSET(NAMES!$G$1,MATCH($C86,NAMES!$D:$D,0)-1,0)=TRUE,
(SUMIF($C87:$C137,"Depreciation (MM)",AK87:AK137)),
0)</f>
        <v>17.543986423078632</v>
      </c>
      <c r="AL144" s="537">
        <f ca="1">IF(OFFSET(NAMES!$G$1,MATCH($C86,NAMES!$D:$D,0)-1,0)=TRUE,
(SUMIF($C87:$C137,"Depreciation (MM)",AL87:AL137)),
0)</f>
        <v>18.328513234863486</v>
      </c>
      <c r="AM144" s="537">
        <f ca="1">IF(OFFSET(NAMES!$G$1,MATCH($C86,NAMES!$D:$D,0)-1,0)=TRUE,
(SUMIF($C87:$C137,"Depreciation (MM)",AM87:AM137)),
0)</f>
        <v>19.163983360390137</v>
      </c>
      <c r="AN144" s="537">
        <f ca="1">IF(OFFSET(NAMES!$G$1,MATCH($C86,NAMES!$D:$D,0)-1,0)=TRUE,
(SUMIF($C87:$C137,"Depreciation (MM)",AN87:AN137)),
0)</f>
        <v>20.016060452076417</v>
      </c>
      <c r="AO144" s="436"/>
      <c r="AP144" s="21"/>
    </row>
    <row r="145" spans="2:42" ht="15" customHeight="1" x14ac:dyDescent="0.35">
      <c r="B145" s="429"/>
      <c r="C145" s="777" t="s">
        <v>219</v>
      </c>
      <c r="D145" s="776"/>
      <c r="E145" s="535">
        <f ca="1">IF(OFFSET(NAMES!$G$1,MATCH($C86,NAMES!$D:$D,0)-1,0)=TRUE,
(SUMIF($C87:$C137,"Overhead (MM)",E87:E137)),
0)</f>
        <v>2.5031434990838988</v>
      </c>
      <c r="F145" s="535">
        <f ca="1">IF(OFFSET(NAMES!$G$1,MATCH($C86,NAMES!$D:$D,0)-1,0)=TRUE,
(SUMIF($C87:$C137,"Overhead (MM)",F87:F137)),
0)</f>
        <v>2.5952494254306009</v>
      </c>
      <c r="G145" s="535">
        <f ca="1">IF(OFFSET(NAMES!$G$1,MATCH($C86,NAMES!$D:$D,0)-1,0)=TRUE,
(SUMIF($C87:$C137,"Overhead (MM)",G87:G137)),
0)</f>
        <v>2.6758050372259938</v>
      </c>
      <c r="H145" s="535">
        <f ca="1">IF(OFFSET(NAMES!$G$1,MATCH($C86,NAMES!$D:$D,0)-1,0)=TRUE,
(SUMIF($C87:$C137,"Overhead (MM)",H87:H137)),
0)</f>
        <v>2.7817798562123084</v>
      </c>
      <c r="I145" s="535">
        <f ca="1">IF(OFFSET(NAMES!$G$1,MATCH($C86,NAMES!$D:$D,0)-1,0)=TRUE,
(SUMIF($C87:$C137,"Overhead (MM)",I87:I137)),
0)</f>
        <v>2.9041749816566251</v>
      </c>
      <c r="J145" s="535">
        <f ca="1">IF(OFFSET(NAMES!$G$1,MATCH($C86,NAMES!$D:$D,0)-1,0)=TRUE,
(SUMIF($C87:$C137,"Overhead (MM)",J87:J137)),
0)</f>
        <v>3.0335510981952125</v>
      </c>
      <c r="K145" s="535">
        <f ca="1">IF(OFFSET(NAMES!$G$1,MATCH($C86,NAMES!$D:$D,0)-1,0)=TRUE,
(SUMIF($C87:$C137,"Overhead (MM)",K87:K137)),
0)</f>
        <v>3.1762804134474409</v>
      </c>
      <c r="L145" s="535">
        <f ca="1">IF(OFFSET(NAMES!$G$1,MATCH($C86,NAMES!$D:$D,0)-1,0)=TRUE,
(SUMIF($C87:$C137,"Overhead (MM)",L87:L137)),
0)</f>
        <v>3.3250741813914377</v>
      </c>
      <c r="M145" s="535">
        <f ca="1">IF(OFFSET(NAMES!$G$1,MATCH($C86,NAMES!$D:$D,0)-1,0)=TRUE,
(SUMIF($C87:$C137,"Overhead (MM)",M87:M137)),
0)</f>
        <v>3.4799416138178678</v>
      </c>
      <c r="N145" s="535">
        <f ca="1">IF(OFFSET(NAMES!$G$1,MATCH($C86,NAMES!$D:$D,0)-1,0)=TRUE,
(SUMIF($C87:$C137,"Overhead (MM)",N87:N137)),
0)</f>
        <v>3.6391293634221271</v>
      </c>
      <c r="O145" s="535">
        <f ca="1">IF(OFFSET(NAMES!$G$1,MATCH($C86,NAMES!$D:$D,0)-1,0)=TRUE,
(SUMIF($C87:$C137,"Overhead (MM)",O87:O137)),
0)</f>
        <v>3.802412277892977</v>
      </c>
      <c r="P145" s="535">
        <f ca="1">IF(OFFSET(NAMES!$G$1,MATCH($C86,NAMES!$D:$D,0)-1,0)=TRUE,
(SUMIF($C87:$C137,"Overhead (MM)",P87:P137)),
0)</f>
        <v>3.9741612535522255</v>
      </c>
      <c r="Q145" s="535">
        <f ca="1">IF(OFFSET(NAMES!$G$1,MATCH($C86,NAMES!$D:$D,0)-1,0)=TRUE,
(SUMIF($C87:$C137,"Overhead (MM)",Q87:Q137)),
0)</f>
        <v>4.1513604875768397</v>
      </c>
      <c r="R145" s="535">
        <f ca="1">IF(OFFSET(NAMES!$G$1,MATCH($C86,NAMES!$D:$D,0)-1,0)=TRUE,
(SUMIF($C87:$C137,"Overhead (MM)",R87:R137)),
0)</f>
        <v>4.3324091942933167</v>
      </c>
      <c r="S145" s="535">
        <f ca="1">IF(OFFSET(NAMES!$G$1,MATCH($C86,NAMES!$D:$D,0)-1,0)=TRUE,
(SUMIF($C87:$C137,"Overhead (MM)",S87:S137)),
0)</f>
        <v>4.5252973888727812</v>
      </c>
      <c r="T145" s="535">
        <f ca="1">IF(OFFSET(NAMES!$G$1,MATCH($C86,NAMES!$D:$D,0)-1,0)=TRUE,
(SUMIF($C87:$C137,"Overhead (MM)",T87:T137)),
0)</f>
        <v>4.7277073677192174</v>
      </c>
      <c r="U145" s="535">
        <f ca="1">IF(OFFSET(NAMES!$G$1,MATCH($C86,NAMES!$D:$D,0)-1,0)=TRUE,
(SUMIF($C87:$C137,"Overhead (MM)",U87:U137)),
0)</f>
        <v>4.9439126915685305</v>
      </c>
      <c r="V145" s="535">
        <f ca="1">IF(OFFSET(NAMES!$G$1,MATCH($C86,NAMES!$D:$D,0)-1,0)=TRUE,
(SUMIF($C87:$C137,"Overhead (MM)",V87:V137)),
0)</f>
        <v>5.1652009667176078</v>
      </c>
      <c r="W145" s="535">
        <f ca="1">IF(OFFSET(NAMES!$G$1,MATCH($C86,NAMES!$D:$D,0)-1,0)=TRUE,
(SUMIF($C87:$C137,"Overhead (MM)",W87:W137)),
0)</f>
        <v>5.3961142311104471</v>
      </c>
      <c r="X145" s="535">
        <f ca="1">IF(OFFSET(NAMES!$G$1,MATCH($C86,NAMES!$D:$D,0)-1,0)=TRUE,
(SUMIF($C87:$C137,"Overhead (MM)",X87:X137)),
0)</f>
        <v>5.6421547996231656</v>
      </c>
      <c r="Y145" s="535">
        <f ca="1">IF(OFFSET(NAMES!$G$1,MATCH($C86,NAMES!$D:$D,0)-1,0)=TRUE,
(SUMIF($C87:$C137,"Overhead (MM)",Y87:Y137)),
0)</f>
        <v>5.8930038566032197</v>
      </c>
      <c r="Z145" s="535">
        <f ca="1">IF(OFFSET(NAMES!$G$1,MATCH($C86,NAMES!$D:$D,0)-1,0)=TRUE,
(SUMIF($C87:$C137,"Overhead (MM)",Z87:Z137)),
0)</f>
        <v>6.1602430146032141</v>
      </c>
      <c r="AA145" s="535">
        <f ca="1">IF(OFFSET(NAMES!$G$1,MATCH($C86,NAMES!$D:$D,0)-1,0)=TRUE,
(SUMIF($C87:$C137,"Overhead (MM)",AA87:AA137)),
0)</f>
        <v>6.4326044758901952</v>
      </c>
      <c r="AB145" s="535">
        <f ca="1">IF(OFFSET(NAMES!$G$1,MATCH($C86,NAMES!$D:$D,0)-1,0)=TRUE,
(SUMIF($C87:$C137,"Overhead (MM)",AB87:AB137)),
0)</f>
        <v>6.7229989382703996</v>
      </c>
      <c r="AC145" s="535">
        <f ca="1">IF(OFFSET(NAMES!$G$1,MATCH($C86,NAMES!$D:$D,0)-1,0)=TRUE,
(SUMIF($C87:$C137,"Overhead (MM)",AC87:AC137)),
0)</f>
        <v>7.0260725412058127</v>
      </c>
      <c r="AD145" s="535">
        <f ca="1">IF(OFFSET(NAMES!$G$1,MATCH($C86,NAMES!$D:$D,0)-1,0)=TRUE,
(SUMIF($C87:$C137,"Overhead (MM)",AD87:AD137)),
0)</f>
        <v>7.343240412129977</v>
      </c>
      <c r="AE145" s="535">
        <f ca="1">IF(OFFSET(NAMES!$G$1,MATCH($C86,NAMES!$D:$D,0)-1,0)=TRUE,
(SUMIF($C87:$C137,"Overhead (MM)",AE87:AE137)),
0)</f>
        <v>7.673496029814066</v>
      </c>
      <c r="AF145" s="535">
        <f ca="1">IF(OFFSET(NAMES!$G$1,MATCH($C86,NAMES!$D:$D,0)-1,0)=TRUE,
(SUMIF($C87:$C137,"Overhead (MM)",AF87:AF137)),
0)</f>
        <v>8.0102208921918781</v>
      </c>
      <c r="AG145" s="535">
        <f ca="1">IF(OFFSET(NAMES!$G$1,MATCH($C86,NAMES!$D:$D,0)-1,0)=TRUE,
(SUMIF($C87:$C137,"Overhead (MM)",AG87:AG137)),
0)</f>
        <v>8.3705028264530839</v>
      </c>
      <c r="AH145" s="535">
        <f ca="1">IF(OFFSET(NAMES!$G$1,MATCH($C86,NAMES!$D:$D,0)-1,0)=TRUE,
(SUMIF($C87:$C137,"Overhead (MM)",AH87:AH137)),
0)</f>
        <v>8.7543508210821486</v>
      </c>
      <c r="AI145" s="535">
        <f ca="1">IF(OFFSET(NAMES!$G$1,MATCH($C86,NAMES!$D:$D,0)-1,0)=TRUE,
(SUMIF($C87:$C137,"Overhead (MM)",AI87:AI137)),
0)</f>
        <v>9.1471223156389598</v>
      </c>
      <c r="AJ145" s="535">
        <f ca="1">IF(OFFSET(NAMES!$G$1,MATCH($C86,NAMES!$D:$D,0)-1,0)=TRUE,
(SUMIF($C87:$C137,"Overhead (MM)",AJ87:AJ137)),
0)</f>
        <v>9.5558990111345832</v>
      </c>
      <c r="AK145" s="535">
        <f ca="1">IF(OFFSET(NAMES!$G$1,MATCH($C86,NAMES!$D:$D,0)-1,0)=TRUE,
(SUMIF($C87:$C137,"Overhead (MM)",AK87:AK137)),
0)</f>
        <v>9.9836043076323886</v>
      </c>
      <c r="AL145" s="535">
        <f ca="1">IF(OFFSET(NAMES!$G$1,MATCH($C86,NAMES!$D:$D,0)-1,0)=TRUE,
(SUMIF($C87:$C137,"Overhead (MM)",AL87:AL137)),
0)</f>
        <v>10.42986436165446</v>
      </c>
      <c r="AM145" s="535">
        <f ca="1">IF(OFFSET(NAMES!$G$1,MATCH($C86,NAMES!$D:$D,0)-1,0)=TRUE,
(SUMIF($C87:$C137,"Overhead (MM)",AM87:AM137)),
0)</f>
        <v>10.90546386018273</v>
      </c>
      <c r="AN145" s="535">
        <f ca="1">IF(OFFSET(NAMES!$G$1,MATCH($C86,NAMES!$D:$D,0)-1,0)=TRUE,
(SUMIF($C87:$C137,"Overhead (MM)",AN87:AN137)),
0)</f>
        <v>11.390119671960489</v>
      </c>
      <c r="AO145" s="436"/>
      <c r="AP145" s="21"/>
    </row>
    <row r="146" spans="2:42" ht="15" customHeight="1" thickBot="1" x14ac:dyDescent="0.4">
      <c r="B146" s="465"/>
      <c r="C146" s="466"/>
      <c r="D146" s="466"/>
      <c r="E146" s="466"/>
      <c r="F146" s="466"/>
      <c r="G146" s="466"/>
      <c r="H146" s="466"/>
      <c r="I146" s="466"/>
      <c r="J146" s="466"/>
      <c r="K146" s="466"/>
      <c r="L146" s="466"/>
      <c r="M146" s="466"/>
      <c r="N146" s="466"/>
      <c r="O146" s="466"/>
      <c r="P146" s="466"/>
      <c r="Q146" s="466"/>
      <c r="R146" s="466"/>
      <c r="S146" s="466"/>
      <c r="T146" s="466"/>
      <c r="U146" s="466"/>
      <c r="V146" s="466"/>
      <c r="W146" s="466"/>
      <c r="X146" s="466"/>
      <c r="Y146" s="466"/>
      <c r="Z146" s="466"/>
      <c r="AA146" s="466"/>
      <c r="AB146" s="466"/>
      <c r="AC146" s="466"/>
      <c r="AD146" s="466"/>
      <c r="AE146" s="466"/>
      <c r="AF146" s="466"/>
      <c r="AG146" s="466"/>
      <c r="AH146" s="466"/>
      <c r="AI146" s="466"/>
      <c r="AJ146" s="466"/>
      <c r="AK146" s="466"/>
      <c r="AL146" s="466"/>
      <c r="AM146" s="466"/>
      <c r="AN146" s="466"/>
      <c r="AO146" s="467"/>
      <c r="AP146" s="21"/>
    </row>
    <row r="147" spans="2:42" ht="15" customHeight="1" thickBot="1" x14ac:dyDescent="0.4">
      <c r="B147" s="21"/>
      <c r="C147" s="150"/>
      <c r="D147" s="21"/>
      <c r="E147" s="150"/>
      <c r="F147" s="150"/>
      <c r="G147" s="150"/>
      <c r="H147" s="150"/>
      <c r="I147" s="150"/>
      <c r="J147" s="150"/>
      <c r="K147" s="150"/>
      <c r="L147" s="150"/>
      <c r="M147" s="150"/>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row>
    <row r="148" spans="2:42" ht="15" customHeight="1" x14ac:dyDescent="0.35">
      <c r="B148" s="425"/>
      <c r="C148" s="453"/>
      <c r="D148" s="426"/>
      <c r="E148" s="453"/>
      <c r="F148" s="453"/>
      <c r="G148" s="453"/>
      <c r="H148" s="453"/>
      <c r="I148" s="453"/>
      <c r="J148" s="453"/>
      <c r="K148" s="453"/>
      <c r="L148" s="453"/>
      <c r="M148" s="453"/>
      <c r="N148" s="426"/>
      <c r="O148" s="426"/>
      <c r="P148" s="426"/>
      <c r="Q148" s="426"/>
      <c r="R148" s="426"/>
      <c r="S148" s="426"/>
      <c r="T148" s="426"/>
      <c r="U148" s="426"/>
      <c r="V148" s="426"/>
      <c r="W148" s="426"/>
      <c r="X148" s="426"/>
      <c r="Y148" s="426"/>
      <c r="Z148" s="426"/>
      <c r="AA148" s="426"/>
      <c r="AB148" s="426"/>
      <c r="AC148" s="426"/>
      <c r="AD148" s="426"/>
      <c r="AE148" s="426"/>
      <c r="AF148" s="426"/>
      <c r="AG148" s="426"/>
      <c r="AH148" s="426"/>
      <c r="AI148" s="426"/>
      <c r="AJ148" s="426"/>
      <c r="AK148" s="426"/>
      <c r="AL148" s="426"/>
      <c r="AM148" s="426"/>
      <c r="AN148" s="426"/>
      <c r="AO148" s="428"/>
      <c r="AP148" s="21"/>
    </row>
    <row r="149" spans="2:42" ht="15" customHeight="1" x14ac:dyDescent="0.35">
      <c r="B149" s="429"/>
      <c r="C149" s="772" t="str">
        <f>TSL_X</f>
        <v>TSL 1</v>
      </c>
      <c r="D149" s="773"/>
      <c r="E149" s="773"/>
      <c r="F149" s="773"/>
      <c r="G149" s="773"/>
      <c r="H149" s="773"/>
      <c r="I149" s="773"/>
      <c r="J149" s="773"/>
      <c r="K149" s="773"/>
      <c r="L149" s="773"/>
      <c r="M149" s="773"/>
      <c r="N149" s="773"/>
      <c r="O149" s="773"/>
      <c r="P149" s="773"/>
      <c r="Q149" s="773"/>
      <c r="R149" s="773"/>
      <c r="S149" s="773"/>
      <c r="T149" s="773"/>
      <c r="U149" s="773"/>
      <c r="V149" s="773"/>
      <c r="W149" s="773"/>
      <c r="X149" s="773"/>
      <c r="Y149" s="773"/>
      <c r="Z149" s="773"/>
      <c r="AA149" s="773"/>
      <c r="AB149" s="773"/>
      <c r="AC149" s="773"/>
      <c r="AD149" s="773"/>
      <c r="AE149" s="773"/>
      <c r="AF149" s="773"/>
      <c r="AG149" s="773"/>
      <c r="AH149" s="773"/>
      <c r="AI149" s="773"/>
      <c r="AJ149" s="773"/>
      <c r="AK149" s="773"/>
      <c r="AL149" s="773"/>
      <c r="AM149" s="773"/>
      <c r="AN149" s="773"/>
      <c r="AO149" s="436"/>
      <c r="AP149" s="21"/>
    </row>
    <row r="150" spans="2:42" ht="15" customHeight="1" x14ac:dyDescent="0.35">
      <c r="B150" s="429"/>
      <c r="C150" s="772"/>
      <c r="D150" s="773"/>
      <c r="E150" s="774" t="str">
        <f t="shared" ref="E150:AN150" si="33">IF(E151=Announcement_Year,"Ancmt Yr",
IF(E151=Reference_Year,"Ref Yr",
IF(E151=Standard_Year,"Std Yr",
IF(E151=Terminal_Year,"Term Yr",
" "))))</f>
        <v xml:space="preserve"> </v>
      </c>
      <c r="F150" s="774" t="str">
        <f t="shared" ca="1" si="33"/>
        <v>Ancmt Yr</v>
      </c>
      <c r="G150" s="774" t="str">
        <f t="shared" ca="1" si="33"/>
        <v xml:space="preserve"> </v>
      </c>
      <c r="H150" s="774" t="str">
        <f t="shared" ca="1" si="33"/>
        <v xml:space="preserve"> </v>
      </c>
      <c r="I150" s="774" t="str">
        <f t="shared" ca="1" si="33"/>
        <v>Std Yr</v>
      </c>
      <c r="J150" s="774" t="str">
        <f t="shared" ca="1" si="33"/>
        <v xml:space="preserve"> </v>
      </c>
      <c r="K150" s="774" t="str">
        <f t="shared" ca="1" si="33"/>
        <v xml:space="preserve"> </v>
      </c>
      <c r="L150" s="774" t="str">
        <f t="shared" ca="1" si="33"/>
        <v xml:space="preserve"> </v>
      </c>
      <c r="M150" s="774" t="str">
        <f t="shared" ca="1" si="33"/>
        <v xml:space="preserve"> </v>
      </c>
      <c r="N150" s="774" t="str">
        <f t="shared" ca="1" si="33"/>
        <v xml:space="preserve"> </v>
      </c>
      <c r="O150" s="774" t="str">
        <f t="shared" ca="1" si="33"/>
        <v xml:space="preserve"> </v>
      </c>
      <c r="P150" s="774" t="str">
        <f t="shared" ca="1" si="33"/>
        <v xml:space="preserve"> </v>
      </c>
      <c r="Q150" s="774" t="str">
        <f t="shared" ca="1" si="33"/>
        <v xml:space="preserve"> </v>
      </c>
      <c r="R150" s="774" t="str">
        <f t="shared" ca="1" si="33"/>
        <v xml:space="preserve"> </v>
      </c>
      <c r="S150" s="774" t="str">
        <f t="shared" ca="1" si="33"/>
        <v xml:space="preserve"> </v>
      </c>
      <c r="T150" s="774" t="str">
        <f t="shared" ca="1" si="33"/>
        <v xml:space="preserve"> </v>
      </c>
      <c r="U150" s="774" t="str">
        <f t="shared" ca="1" si="33"/>
        <v xml:space="preserve"> </v>
      </c>
      <c r="V150" s="774" t="str">
        <f t="shared" ca="1" si="33"/>
        <v xml:space="preserve"> </v>
      </c>
      <c r="W150" s="774" t="str">
        <f t="shared" ca="1" si="33"/>
        <v xml:space="preserve"> </v>
      </c>
      <c r="X150" s="774" t="str">
        <f t="shared" ca="1" si="33"/>
        <v xml:space="preserve"> </v>
      </c>
      <c r="Y150" s="774" t="str">
        <f t="shared" ca="1" si="33"/>
        <v xml:space="preserve"> </v>
      </c>
      <c r="Z150" s="774" t="str">
        <f t="shared" ca="1" si="33"/>
        <v xml:space="preserve"> </v>
      </c>
      <c r="AA150" s="774" t="str">
        <f t="shared" ca="1" si="33"/>
        <v xml:space="preserve"> </v>
      </c>
      <c r="AB150" s="774" t="str">
        <f t="shared" ca="1" si="33"/>
        <v xml:space="preserve"> </v>
      </c>
      <c r="AC150" s="774" t="str">
        <f t="shared" ca="1" si="33"/>
        <v xml:space="preserve"> </v>
      </c>
      <c r="AD150" s="774" t="str">
        <f t="shared" ca="1" si="33"/>
        <v xml:space="preserve"> </v>
      </c>
      <c r="AE150" s="774" t="str">
        <f t="shared" ca="1" si="33"/>
        <v xml:space="preserve"> </v>
      </c>
      <c r="AF150" s="774" t="str">
        <f t="shared" ca="1" si="33"/>
        <v xml:space="preserve"> </v>
      </c>
      <c r="AG150" s="774" t="str">
        <f t="shared" ca="1" si="33"/>
        <v xml:space="preserve"> </v>
      </c>
      <c r="AH150" s="774" t="str">
        <f t="shared" ca="1" si="33"/>
        <v xml:space="preserve"> </v>
      </c>
      <c r="AI150" s="774" t="str">
        <f t="shared" ca="1" si="33"/>
        <v xml:space="preserve"> </v>
      </c>
      <c r="AJ150" s="774" t="str">
        <f t="shared" ca="1" si="33"/>
        <v xml:space="preserve"> </v>
      </c>
      <c r="AK150" s="774" t="str">
        <f t="shared" ca="1" si="33"/>
        <v xml:space="preserve"> </v>
      </c>
      <c r="AL150" s="774" t="str">
        <f t="shared" ca="1" si="33"/>
        <v xml:space="preserve"> </v>
      </c>
      <c r="AM150" s="774" t="str">
        <f t="shared" ca="1" si="33"/>
        <v xml:space="preserve"> </v>
      </c>
      <c r="AN150" s="774" t="str">
        <f t="shared" ca="1" si="33"/>
        <v>Term Yr</v>
      </c>
      <c r="AO150" s="436"/>
      <c r="AP150" s="21"/>
    </row>
    <row r="151" spans="2:42" ht="15" customHeight="1" x14ac:dyDescent="0.35">
      <c r="B151" s="429"/>
      <c r="C151" s="775" t="s">
        <v>181</v>
      </c>
      <c r="D151" s="776"/>
      <c r="E151" s="772">
        <f>Reference_Year -1</f>
        <v>2022</v>
      </c>
      <c r="F151" s="772">
        <f ca="1">OFFSET(F151,0,-1)+1</f>
        <v>2023</v>
      </c>
      <c r="G151" s="772">
        <f t="shared" ref="G151:AN151" ca="1" si="34">OFFSET(G151,0,-1)+1</f>
        <v>2024</v>
      </c>
      <c r="H151" s="772">
        <f t="shared" ca="1" si="34"/>
        <v>2025</v>
      </c>
      <c r="I151" s="772">
        <f t="shared" ca="1" si="34"/>
        <v>2026</v>
      </c>
      <c r="J151" s="772">
        <f t="shared" ca="1" si="34"/>
        <v>2027</v>
      </c>
      <c r="K151" s="772">
        <f t="shared" ca="1" si="34"/>
        <v>2028</v>
      </c>
      <c r="L151" s="772">
        <f t="shared" ca="1" si="34"/>
        <v>2029</v>
      </c>
      <c r="M151" s="772">
        <f t="shared" ca="1" si="34"/>
        <v>2030</v>
      </c>
      <c r="N151" s="772">
        <f t="shared" ca="1" si="34"/>
        <v>2031</v>
      </c>
      <c r="O151" s="772">
        <f t="shared" ca="1" si="34"/>
        <v>2032</v>
      </c>
      <c r="P151" s="772">
        <f t="shared" ca="1" si="34"/>
        <v>2033</v>
      </c>
      <c r="Q151" s="772">
        <f t="shared" ca="1" si="34"/>
        <v>2034</v>
      </c>
      <c r="R151" s="772">
        <f t="shared" ca="1" si="34"/>
        <v>2035</v>
      </c>
      <c r="S151" s="772">
        <f t="shared" ca="1" si="34"/>
        <v>2036</v>
      </c>
      <c r="T151" s="772">
        <f t="shared" ca="1" si="34"/>
        <v>2037</v>
      </c>
      <c r="U151" s="772">
        <f t="shared" ca="1" si="34"/>
        <v>2038</v>
      </c>
      <c r="V151" s="772">
        <f t="shared" ca="1" si="34"/>
        <v>2039</v>
      </c>
      <c r="W151" s="772">
        <f t="shared" ca="1" si="34"/>
        <v>2040</v>
      </c>
      <c r="X151" s="772">
        <f t="shared" ca="1" si="34"/>
        <v>2041</v>
      </c>
      <c r="Y151" s="772">
        <f t="shared" ca="1" si="34"/>
        <v>2042</v>
      </c>
      <c r="Z151" s="772">
        <f t="shared" ca="1" si="34"/>
        <v>2043</v>
      </c>
      <c r="AA151" s="772">
        <f t="shared" ca="1" si="34"/>
        <v>2044</v>
      </c>
      <c r="AB151" s="772">
        <f t="shared" ca="1" si="34"/>
        <v>2045</v>
      </c>
      <c r="AC151" s="772">
        <f t="shared" ca="1" si="34"/>
        <v>2046</v>
      </c>
      <c r="AD151" s="772">
        <f t="shared" ca="1" si="34"/>
        <v>2047</v>
      </c>
      <c r="AE151" s="772">
        <f t="shared" ca="1" si="34"/>
        <v>2048</v>
      </c>
      <c r="AF151" s="772">
        <f t="shared" ca="1" si="34"/>
        <v>2049</v>
      </c>
      <c r="AG151" s="772">
        <f t="shared" ca="1" si="34"/>
        <v>2050</v>
      </c>
      <c r="AH151" s="772">
        <f t="shared" ca="1" si="34"/>
        <v>2051</v>
      </c>
      <c r="AI151" s="772">
        <f t="shared" ca="1" si="34"/>
        <v>2052</v>
      </c>
      <c r="AJ151" s="772">
        <f t="shared" ca="1" si="34"/>
        <v>2053</v>
      </c>
      <c r="AK151" s="772">
        <f t="shared" ca="1" si="34"/>
        <v>2054</v>
      </c>
      <c r="AL151" s="772">
        <f t="shared" ca="1" si="34"/>
        <v>2055</v>
      </c>
      <c r="AM151" s="772">
        <f t="shared" ca="1" si="34"/>
        <v>2056</v>
      </c>
      <c r="AN151" s="772">
        <f t="shared" ca="1" si="34"/>
        <v>2057</v>
      </c>
      <c r="AO151" s="436"/>
      <c r="AP151" s="21"/>
    </row>
    <row r="152" spans="2:42" ht="15" customHeight="1" x14ac:dyDescent="0.35">
      <c r="B152" s="429"/>
      <c r="C152" s="772" t="s">
        <v>81</v>
      </c>
      <c r="D152" s="776"/>
      <c r="E152" s="776"/>
      <c r="F152" s="776"/>
      <c r="G152" s="776"/>
      <c r="H152" s="776"/>
      <c r="I152" s="776"/>
      <c r="J152" s="776"/>
      <c r="K152" s="776"/>
      <c r="L152" s="776"/>
      <c r="M152" s="776"/>
      <c r="N152" s="776"/>
      <c r="O152" s="776"/>
      <c r="P152" s="776"/>
      <c r="Q152" s="776"/>
      <c r="R152" s="776"/>
      <c r="S152" s="776"/>
      <c r="T152" s="776"/>
      <c r="U152" s="776"/>
      <c r="V152" s="776"/>
      <c r="W152" s="776"/>
      <c r="X152" s="776"/>
      <c r="Y152" s="776"/>
      <c r="Z152" s="776"/>
      <c r="AA152" s="776"/>
      <c r="AB152" s="776"/>
      <c r="AC152" s="776"/>
      <c r="AD152" s="776"/>
      <c r="AE152" s="776"/>
      <c r="AF152" s="776"/>
      <c r="AG152" s="776"/>
      <c r="AH152" s="776"/>
      <c r="AI152" s="776"/>
      <c r="AJ152" s="776"/>
      <c r="AK152" s="776"/>
      <c r="AL152" s="776"/>
      <c r="AM152" s="776"/>
      <c r="AN152" s="776"/>
      <c r="AO152" s="436"/>
      <c r="AP152" s="21"/>
    </row>
    <row r="153" spans="2:42" ht="15" customHeight="1" x14ac:dyDescent="0.35">
      <c r="B153" s="429"/>
      <c r="C153" s="780" t="s">
        <v>10</v>
      </c>
      <c r="D153" s="776"/>
      <c r="E153" s="778" cm="1">
        <f t="array" aca="1" ref="E153" ca="1">IF(E$21&lt;Standard_Year,'No STDs Case Rev &amp; Cost'!E153,
OFFSET(MSP!$C$1,
MATCH(OFFSET($C152,((MATCH($C152,EL_List,0)-1)*-10)-1,0),MSP!$C:$C,0)+MATCH($C152,EL_List,0)-1,
MATCH(OFFSET($C152,((MATCH($C152,EL_List,0)-1)*-10)-3,0),MSP!$D$5:$N$5,0)+1)
*INDEX(Learning!$E$6:$S$41,(MATCH(E$21,Dates,0)),(MATCH($C$151,Learning!$E$4:$S$4,0)+MATCH($C$152,Learning!$E$5:$S$5,0)-1)))</f>
        <v>106.41622499999998</v>
      </c>
      <c r="F153" s="778" cm="1">
        <f t="array" aca="1" ref="F153" ca="1">IF(F$21&lt;Standard_Year,'No STDs Case Rev &amp; Cost'!F153,
OFFSET(MSP!$C$1,
MATCH(OFFSET($C152,((MATCH($C152,EL_List,0)-1)*-10)-1,0),MSP!$C:$C,0)+MATCH($C152,EL_List,0)-1,
MATCH(OFFSET($C152,((MATCH($C152,EL_List,0)-1)*-10)-3,0),MSP!$D$5:$N$5,0)+1)
*INDEX(Learning!$E$6:$S$41,(MATCH(F$21,Dates,0)),(MATCH($C$151,Learning!$E$4:$S$4,0)+MATCH($C$152,Learning!$E$5:$S$5,0)-1)))</f>
        <v>105.70065</v>
      </c>
      <c r="G153" s="778" cm="1">
        <f t="array" aca="1" ref="G153" ca="1">IF(G$21&lt;Standard_Year,'No STDs Case Rev &amp; Cost'!G153,
OFFSET(MSP!$C$1,
MATCH(OFFSET($C152,((MATCH($C152,EL_List,0)-1)*-10)-1,0),MSP!$C:$C,0)+MATCH($C152,EL_List,0)-1,
MATCH(OFFSET($C152,((MATCH($C152,EL_List,0)-1)*-10)-3,0),MSP!$D$5:$N$5,0)+1)
*INDEX(Learning!$E$6:$S$41,(MATCH(G$21,Dates,0)),(MATCH($C$151,Learning!$E$4:$S$4,0)+MATCH($C$152,Learning!$E$5:$S$5,0)-1)))</f>
        <v>104.88284999999999</v>
      </c>
      <c r="H153" s="778" cm="1">
        <f t="array" aca="1" ref="H153" ca="1">IF(H$21&lt;Standard_Year,'No STDs Case Rev &amp; Cost'!H153,
OFFSET(MSP!$C$1,
MATCH(OFFSET($C152,((MATCH($C152,EL_List,0)-1)*-10)-1,0),MSP!$C:$C,0)+MATCH($C152,EL_List,0)-1,
MATCH(OFFSET($C152,((MATCH($C152,EL_List,0)-1)*-10)-3,0),MSP!$D$5:$N$5,0)+1)
*INDEX(Learning!$E$6:$S$41,(MATCH(H$21,Dates,0)),(MATCH($C$151,Learning!$E$4:$S$4,0)+MATCH($C$152,Learning!$E$5:$S$5,0)-1)))</f>
        <v>104.16727499999999</v>
      </c>
      <c r="I153" s="778" cm="1">
        <f t="array" aca="1" ref="I153" ca="1">IF(I$21&lt;Standard_Year,'No STDs Case Rev &amp; Cost'!I153,
OFFSET(MSP!$C$1,
MATCH(OFFSET($C152,((MATCH($C152,EL_List,0)-1)*-10)-1,0),MSP!$C:$C,0)+MATCH($C152,EL_List,0)-1,
MATCH(OFFSET($C152,((MATCH($C152,EL_List,0)-1)*-10)-3,0),MSP!$D$5:$N$5,0)+1)
*INDEX(Learning!$E$6:$S$41,(MATCH(I$21,Dates,0)),(MATCH($C$151,Learning!$E$4:$S$4,0)+MATCH($C$152,Learning!$E$5:$S$5,0)-1)))</f>
        <v>0</v>
      </c>
      <c r="J153" s="778" cm="1">
        <f t="array" aca="1" ref="J153" ca="1">IF(J$21&lt;Standard_Year,'No STDs Case Rev &amp; Cost'!J153,
OFFSET(MSP!$C$1,
MATCH(OFFSET($C152,((MATCH($C152,EL_List,0)-1)*-10)-1,0),MSP!$C:$C,0)+MATCH($C152,EL_List,0)-1,
MATCH(OFFSET($C152,((MATCH($C152,EL_List,0)-1)*-10)-3,0),MSP!$D$5:$N$5,0)+1)
*INDEX(Learning!$E$6:$S$41,(MATCH(J$21,Dates,0)),(MATCH($C$151,Learning!$E$4:$S$4,0)+MATCH($C$152,Learning!$E$5:$S$5,0)-1)))</f>
        <v>0</v>
      </c>
      <c r="K153" s="778" cm="1">
        <f t="array" aca="1" ref="K153" ca="1">IF(K$21&lt;Standard_Year,'No STDs Case Rev &amp; Cost'!K153,
OFFSET(MSP!$C$1,
MATCH(OFFSET($C152,((MATCH($C152,EL_List,0)-1)*-10)-1,0),MSP!$C:$C,0)+MATCH($C152,EL_List,0)-1,
MATCH(OFFSET($C152,((MATCH($C152,EL_List,0)-1)*-10)-3,0),MSP!$D$5:$N$5,0)+1)
*INDEX(Learning!$E$6:$S$41,(MATCH(K$21,Dates,0)),(MATCH($C$151,Learning!$E$4:$S$4,0)+MATCH($C$152,Learning!$E$5:$S$5,0)-1)))</f>
        <v>0</v>
      </c>
      <c r="L153" s="778" cm="1">
        <f t="array" aca="1" ref="L153" ca="1">IF(L$21&lt;Standard_Year,'No STDs Case Rev &amp; Cost'!L153,
OFFSET(MSP!$C$1,
MATCH(OFFSET($C152,((MATCH($C152,EL_List,0)-1)*-10)-1,0),MSP!$C:$C,0)+MATCH($C152,EL_List,0)-1,
MATCH(OFFSET($C152,((MATCH($C152,EL_List,0)-1)*-10)-3,0),MSP!$D$5:$N$5,0)+1)
*INDEX(Learning!$E$6:$S$41,(MATCH(L$21,Dates,0)),(MATCH($C$151,Learning!$E$4:$S$4,0)+MATCH($C$152,Learning!$E$5:$S$5,0)-1)))</f>
        <v>0</v>
      </c>
      <c r="M153" s="778" cm="1">
        <f t="array" aca="1" ref="M153" ca="1">IF(M$21&lt;Standard_Year,'No STDs Case Rev &amp; Cost'!M153,
OFFSET(MSP!$C$1,
MATCH(OFFSET($C152,((MATCH($C152,EL_List,0)-1)*-10)-1,0),MSP!$C:$C,0)+MATCH($C152,EL_List,0)-1,
MATCH(OFFSET($C152,((MATCH($C152,EL_List,0)-1)*-10)-3,0),MSP!$D$5:$N$5,0)+1)
*INDEX(Learning!$E$6:$S$41,(MATCH(M$21,Dates,0)),(MATCH($C$151,Learning!$E$4:$S$4,0)+MATCH($C$152,Learning!$E$5:$S$5,0)-1)))</f>
        <v>0</v>
      </c>
      <c r="N153" s="778" cm="1">
        <f t="array" aca="1" ref="N153" ca="1">IF(N$21&lt;Standard_Year,'No STDs Case Rev &amp; Cost'!N153,
OFFSET(MSP!$C$1,
MATCH(OFFSET($C152,((MATCH($C152,EL_List,0)-1)*-10)-1,0),MSP!$C:$C,0)+MATCH($C152,EL_List,0)-1,
MATCH(OFFSET($C152,((MATCH($C152,EL_List,0)-1)*-10)-3,0),MSP!$D$5:$N$5,0)+1)
*INDEX(Learning!$E$6:$S$41,(MATCH(N$21,Dates,0)),(MATCH($C$151,Learning!$E$4:$S$4,0)+MATCH($C$152,Learning!$E$5:$S$5,0)-1)))</f>
        <v>0</v>
      </c>
      <c r="O153" s="778" cm="1">
        <f t="array" aca="1" ref="O153" ca="1">IF(O$21&lt;Standard_Year,'No STDs Case Rev &amp; Cost'!O153,
OFFSET(MSP!$C$1,
MATCH(OFFSET($C152,((MATCH($C152,EL_List,0)-1)*-10)-1,0),MSP!$C:$C,0)+MATCH($C152,EL_List,0)-1,
MATCH(OFFSET($C152,((MATCH($C152,EL_List,0)-1)*-10)-3,0),MSP!$D$5:$N$5,0)+1)
*INDEX(Learning!$E$6:$S$41,(MATCH(O$21,Dates,0)),(MATCH($C$151,Learning!$E$4:$S$4,0)+MATCH($C$152,Learning!$E$5:$S$5,0)-1)))</f>
        <v>0</v>
      </c>
      <c r="P153" s="778" cm="1">
        <f t="array" aca="1" ref="P153" ca="1">IF(P$21&lt;Standard_Year,'No STDs Case Rev &amp; Cost'!P153,
OFFSET(MSP!$C$1,
MATCH(OFFSET($C152,((MATCH($C152,EL_List,0)-1)*-10)-1,0),MSP!$C:$C,0)+MATCH($C152,EL_List,0)-1,
MATCH(OFFSET($C152,((MATCH($C152,EL_List,0)-1)*-10)-3,0),MSP!$D$5:$N$5,0)+1)
*INDEX(Learning!$E$6:$S$41,(MATCH(P$21,Dates,0)),(MATCH($C$151,Learning!$E$4:$S$4,0)+MATCH($C$152,Learning!$E$5:$S$5,0)-1)))</f>
        <v>0</v>
      </c>
      <c r="Q153" s="778" cm="1">
        <f t="array" aca="1" ref="Q153" ca="1">IF(Q$21&lt;Standard_Year,'No STDs Case Rev &amp; Cost'!Q153,
OFFSET(MSP!$C$1,
MATCH(OFFSET($C152,((MATCH($C152,EL_List,0)-1)*-10)-1,0),MSP!$C:$C,0)+MATCH($C152,EL_List,0)-1,
MATCH(OFFSET($C152,((MATCH($C152,EL_List,0)-1)*-10)-3,0),MSP!$D$5:$N$5,0)+1)
*INDEX(Learning!$E$6:$S$41,(MATCH(Q$21,Dates,0)),(MATCH($C$151,Learning!$E$4:$S$4,0)+MATCH($C$152,Learning!$E$5:$S$5,0)-1)))</f>
        <v>0</v>
      </c>
      <c r="R153" s="778" cm="1">
        <f t="array" aca="1" ref="R153" ca="1">IF(R$21&lt;Standard_Year,'No STDs Case Rev &amp; Cost'!R153,
OFFSET(MSP!$C$1,
MATCH(OFFSET($C152,((MATCH($C152,EL_List,0)-1)*-10)-1,0),MSP!$C:$C,0)+MATCH($C152,EL_List,0)-1,
MATCH(OFFSET($C152,((MATCH($C152,EL_List,0)-1)*-10)-3,0),MSP!$D$5:$N$5,0)+1)
*INDEX(Learning!$E$6:$S$41,(MATCH(R$21,Dates,0)),(MATCH($C$151,Learning!$E$4:$S$4,0)+MATCH($C$152,Learning!$E$5:$S$5,0)-1)))</f>
        <v>0</v>
      </c>
      <c r="S153" s="778" cm="1">
        <f t="array" aca="1" ref="S153" ca="1">IF(S$21&lt;Standard_Year,'No STDs Case Rev &amp; Cost'!S153,
OFFSET(MSP!$C$1,
MATCH(OFFSET($C152,((MATCH($C152,EL_List,0)-1)*-10)-1,0),MSP!$C:$C,0)+MATCH($C152,EL_List,0)-1,
MATCH(OFFSET($C152,((MATCH($C152,EL_List,0)-1)*-10)-3,0),MSP!$D$5:$N$5,0)+1)
*INDEX(Learning!$E$6:$S$41,(MATCH(S$21,Dates,0)),(MATCH($C$151,Learning!$E$4:$S$4,0)+MATCH($C$152,Learning!$E$5:$S$5,0)-1)))</f>
        <v>0</v>
      </c>
      <c r="T153" s="778" cm="1">
        <f t="array" aca="1" ref="T153" ca="1">IF(T$21&lt;Standard_Year,'No STDs Case Rev &amp; Cost'!T153,
OFFSET(MSP!$C$1,
MATCH(OFFSET($C152,((MATCH($C152,EL_List,0)-1)*-10)-1,0),MSP!$C:$C,0)+MATCH($C152,EL_List,0)-1,
MATCH(OFFSET($C152,((MATCH($C152,EL_List,0)-1)*-10)-3,0),MSP!$D$5:$N$5,0)+1)
*INDEX(Learning!$E$6:$S$41,(MATCH(T$21,Dates,0)),(MATCH($C$151,Learning!$E$4:$S$4,0)+MATCH($C$152,Learning!$E$5:$S$5,0)-1)))</f>
        <v>0</v>
      </c>
      <c r="U153" s="778" cm="1">
        <f t="array" aca="1" ref="U153" ca="1">IF(U$21&lt;Standard_Year,'No STDs Case Rev &amp; Cost'!U153,
OFFSET(MSP!$C$1,
MATCH(OFFSET($C152,((MATCH($C152,EL_List,0)-1)*-10)-1,0),MSP!$C:$C,0)+MATCH($C152,EL_List,0)-1,
MATCH(OFFSET($C152,((MATCH($C152,EL_List,0)-1)*-10)-3,0),MSP!$D$5:$N$5,0)+1)
*INDEX(Learning!$E$6:$S$41,(MATCH(U$21,Dates,0)),(MATCH($C$151,Learning!$E$4:$S$4,0)+MATCH($C$152,Learning!$E$5:$S$5,0)-1)))</f>
        <v>0</v>
      </c>
      <c r="V153" s="778" cm="1">
        <f t="array" aca="1" ref="V153" ca="1">IF(V$21&lt;Standard_Year,'No STDs Case Rev &amp; Cost'!V153,
OFFSET(MSP!$C$1,
MATCH(OFFSET($C152,((MATCH($C152,EL_List,0)-1)*-10)-1,0),MSP!$C:$C,0)+MATCH($C152,EL_List,0)-1,
MATCH(OFFSET($C152,((MATCH($C152,EL_List,0)-1)*-10)-3,0),MSP!$D$5:$N$5,0)+1)
*INDEX(Learning!$E$6:$S$41,(MATCH(V$21,Dates,0)),(MATCH($C$151,Learning!$E$4:$S$4,0)+MATCH($C$152,Learning!$E$5:$S$5,0)-1)))</f>
        <v>0</v>
      </c>
      <c r="W153" s="778" cm="1">
        <f t="array" aca="1" ref="W153" ca="1">IF(W$21&lt;Standard_Year,'No STDs Case Rev &amp; Cost'!W153,
OFFSET(MSP!$C$1,
MATCH(OFFSET($C152,((MATCH($C152,EL_List,0)-1)*-10)-1,0),MSP!$C:$C,0)+MATCH($C152,EL_List,0)-1,
MATCH(OFFSET($C152,((MATCH($C152,EL_List,0)-1)*-10)-3,0),MSP!$D$5:$N$5,0)+1)
*INDEX(Learning!$E$6:$S$41,(MATCH(W$21,Dates,0)),(MATCH($C$151,Learning!$E$4:$S$4,0)+MATCH($C$152,Learning!$E$5:$S$5,0)-1)))</f>
        <v>0</v>
      </c>
      <c r="X153" s="778" cm="1">
        <f t="array" aca="1" ref="X153" ca="1">IF(X$21&lt;Standard_Year,'No STDs Case Rev &amp; Cost'!X153,
OFFSET(MSP!$C$1,
MATCH(OFFSET($C152,((MATCH($C152,EL_List,0)-1)*-10)-1,0),MSP!$C:$C,0)+MATCH($C152,EL_List,0)-1,
MATCH(OFFSET($C152,((MATCH($C152,EL_List,0)-1)*-10)-3,0),MSP!$D$5:$N$5,0)+1)
*INDEX(Learning!$E$6:$S$41,(MATCH(X$21,Dates,0)),(MATCH($C$151,Learning!$E$4:$S$4,0)+MATCH($C$152,Learning!$E$5:$S$5,0)-1)))</f>
        <v>0</v>
      </c>
      <c r="Y153" s="778" cm="1">
        <f t="array" aca="1" ref="Y153" ca="1">IF(Y$21&lt;Standard_Year,'No STDs Case Rev &amp; Cost'!Y153,
OFFSET(MSP!$C$1,
MATCH(OFFSET($C152,((MATCH($C152,EL_List,0)-1)*-10)-1,0),MSP!$C:$C,0)+MATCH($C152,EL_List,0)-1,
MATCH(OFFSET($C152,((MATCH($C152,EL_List,0)-1)*-10)-3,0),MSP!$D$5:$N$5,0)+1)
*INDEX(Learning!$E$6:$S$41,(MATCH(Y$21,Dates,0)),(MATCH($C$151,Learning!$E$4:$S$4,0)+MATCH($C$152,Learning!$E$5:$S$5,0)-1)))</f>
        <v>0</v>
      </c>
      <c r="Z153" s="778" cm="1">
        <f t="array" aca="1" ref="Z153" ca="1">IF(Z$21&lt;Standard_Year,'No STDs Case Rev &amp; Cost'!Z153,
OFFSET(MSP!$C$1,
MATCH(OFFSET($C152,((MATCH($C152,EL_List,0)-1)*-10)-1,0),MSP!$C:$C,0)+MATCH($C152,EL_List,0)-1,
MATCH(OFFSET($C152,((MATCH($C152,EL_List,0)-1)*-10)-3,0),MSP!$D$5:$N$5,0)+1)
*INDEX(Learning!$E$6:$S$41,(MATCH(Z$21,Dates,0)),(MATCH($C$151,Learning!$E$4:$S$4,0)+MATCH($C$152,Learning!$E$5:$S$5,0)-1)))</f>
        <v>0</v>
      </c>
      <c r="AA153" s="778" cm="1">
        <f t="array" aca="1" ref="AA153" ca="1">IF(AA$21&lt;Standard_Year,'No STDs Case Rev &amp; Cost'!AA153,
OFFSET(MSP!$C$1,
MATCH(OFFSET($C152,((MATCH($C152,EL_List,0)-1)*-10)-1,0),MSP!$C:$C,0)+MATCH($C152,EL_List,0)-1,
MATCH(OFFSET($C152,((MATCH($C152,EL_List,0)-1)*-10)-3,0),MSP!$D$5:$N$5,0)+1)
*INDEX(Learning!$E$6:$S$41,(MATCH(AA$21,Dates,0)),(MATCH($C$151,Learning!$E$4:$S$4,0)+MATCH($C$152,Learning!$E$5:$S$5,0)-1)))</f>
        <v>0</v>
      </c>
      <c r="AB153" s="778" cm="1">
        <f t="array" aca="1" ref="AB153" ca="1">IF(AB$21&lt;Standard_Year,'No STDs Case Rev &amp; Cost'!AB153,
OFFSET(MSP!$C$1,
MATCH(OFFSET($C152,((MATCH($C152,EL_List,0)-1)*-10)-1,0),MSP!$C:$C,0)+MATCH($C152,EL_List,0)-1,
MATCH(OFFSET($C152,((MATCH($C152,EL_List,0)-1)*-10)-3,0),MSP!$D$5:$N$5,0)+1)
*INDEX(Learning!$E$6:$S$41,(MATCH(AB$21,Dates,0)),(MATCH($C$151,Learning!$E$4:$S$4,0)+MATCH($C$152,Learning!$E$5:$S$5,0)-1)))</f>
        <v>0</v>
      </c>
      <c r="AC153" s="778" cm="1">
        <f t="array" aca="1" ref="AC153" ca="1">IF(AC$21&lt;Standard_Year,'No STDs Case Rev &amp; Cost'!AC153,
OFFSET(MSP!$C$1,
MATCH(OFFSET($C152,((MATCH($C152,EL_List,0)-1)*-10)-1,0),MSP!$C:$C,0)+MATCH($C152,EL_List,0)-1,
MATCH(OFFSET($C152,((MATCH($C152,EL_List,0)-1)*-10)-3,0),MSP!$D$5:$N$5,0)+1)
*INDEX(Learning!$E$6:$S$41,(MATCH(AC$21,Dates,0)),(MATCH($C$151,Learning!$E$4:$S$4,0)+MATCH($C$152,Learning!$E$5:$S$5,0)-1)))</f>
        <v>0</v>
      </c>
      <c r="AD153" s="778" cm="1">
        <f t="array" aca="1" ref="AD153" ca="1">IF(AD$21&lt;Standard_Year,'No STDs Case Rev &amp; Cost'!AD153,
OFFSET(MSP!$C$1,
MATCH(OFFSET($C152,((MATCH($C152,EL_List,0)-1)*-10)-1,0),MSP!$C:$C,0)+MATCH($C152,EL_List,0)-1,
MATCH(OFFSET($C152,((MATCH($C152,EL_List,0)-1)*-10)-3,0),MSP!$D$5:$N$5,0)+1)
*INDEX(Learning!$E$6:$S$41,(MATCH(AD$21,Dates,0)),(MATCH($C$151,Learning!$E$4:$S$4,0)+MATCH($C$152,Learning!$E$5:$S$5,0)-1)))</f>
        <v>0</v>
      </c>
      <c r="AE153" s="778" cm="1">
        <f t="array" aca="1" ref="AE153" ca="1">IF(AE$21&lt;Standard_Year,'No STDs Case Rev &amp; Cost'!AE153,
OFFSET(MSP!$C$1,
MATCH(OFFSET($C152,((MATCH($C152,EL_List,0)-1)*-10)-1,0),MSP!$C:$C,0)+MATCH($C152,EL_List,0)-1,
MATCH(OFFSET($C152,((MATCH($C152,EL_List,0)-1)*-10)-3,0),MSP!$D$5:$N$5,0)+1)
*INDEX(Learning!$E$6:$S$41,(MATCH(AE$21,Dates,0)),(MATCH($C$151,Learning!$E$4:$S$4,0)+MATCH($C$152,Learning!$E$5:$S$5,0)-1)))</f>
        <v>0</v>
      </c>
      <c r="AF153" s="778" cm="1">
        <f t="array" aca="1" ref="AF153" ca="1">IF(AF$21&lt;Standard_Year,'No STDs Case Rev &amp; Cost'!AF153,
OFFSET(MSP!$C$1,
MATCH(OFFSET($C152,((MATCH($C152,EL_List,0)-1)*-10)-1,0),MSP!$C:$C,0)+MATCH($C152,EL_List,0)-1,
MATCH(OFFSET($C152,((MATCH($C152,EL_List,0)-1)*-10)-3,0),MSP!$D$5:$N$5,0)+1)
*INDEX(Learning!$E$6:$S$41,(MATCH(AF$21,Dates,0)),(MATCH($C$151,Learning!$E$4:$S$4,0)+MATCH($C$152,Learning!$E$5:$S$5,0)-1)))</f>
        <v>0</v>
      </c>
      <c r="AG153" s="778" cm="1">
        <f t="array" aca="1" ref="AG153" ca="1">IF(AG$21&lt;Standard_Year,'No STDs Case Rev &amp; Cost'!AG153,
OFFSET(MSP!$C$1,
MATCH(OFFSET($C152,((MATCH($C152,EL_List,0)-1)*-10)-1,0),MSP!$C:$C,0)+MATCH($C152,EL_List,0)-1,
MATCH(OFFSET($C152,((MATCH($C152,EL_List,0)-1)*-10)-3,0),MSP!$D$5:$N$5,0)+1)
*INDEX(Learning!$E$6:$S$41,(MATCH(AG$21,Dates,0)),(MATCH($C$151,Learning!$E$4:$S$4,0)+MATCH($C$152,Learning!$E$5:$S$5,0)-1)))</f>
        <v>0</v>
      </c>
      <c r="AH153" s="778" cm="1">
        <f t="array" aca="1" ref="AH153" ca="1">IF(AH$21&lt;Standard_Year,'No STDs Case Rev &amp; Cost'!AH153,
OFFSET(MSP!$C$1,
MATCH(OFFSET($C152,((MATCH($C152,EL_List,0)-1)*-10)-1,0),MSP!$C:$C,0)+MATCH($C152,EL_List,0)-1,
MATCH(OFFSET($C152,((MATCH($C152,EL_List,0)-1)*-10)-3,0),MSP!$D$5:$N$5,0)+1)
*INDEX(Learning!$E$6:$S$41,(MATCH(AH$21,Dates,0)),(MATCH($C$151,Learning!$E$4:$S$4,0)+MATCH($C$152,Learning!$E$5:$S$5,0)-1)))</f>
        <v>0</v>
      </c>
      <c r="AI153" s="778" cm="1">
        <f t="array" aca="1" ref="AI153" ca="1">IF(AI$21&lt;Standard_Year,'No STDs Case Rev &amp; Cost'!AI153,
OFFSET(MSP!$C$1,
MATCH(OFFSET($C152,((MATCH($C152,EL_List,0)-1)*-10)-1,0),MSP!$C:$C,0)+MATCH($C152,EL_List,0)-1,
MATCH(OFFSET($C152,((MATCH($C152,EL_List,0)-1)*-10)-3,0),MSP!$D$5:$N$5,0)+1)
*INDEX(Learning!$E$6:$S$41,(MATCH(AI$21,Dates,0)),(MATCH($C$151,Learning!$E$4:$S$4,0)+MATCH($C$152,Learning!$E$5:$S$5,0)-1)))</f>
        <v>0</v>
      </c>
      <c r="AJ153" s="778" cm="1">
        <f t="array" aca="1" ref="AJ153" ca="1">IF(AJ$21&lt;Standard_Year,'No STDs Case Rev &amp; Cost'!AJ153,
OFFSET(MSP!$C$1,
MATCH(OFFSET($C152,((MATCH($C152,EL_List,0)-1)*-10)-1,0),MSP!$C:$C,0)+MATCH($C152,EL_List,0)-1,
MATCH(OFFSET($C152,((MATCH($C152,EL_List,0)-1)*-10)-3,0),MSP!$D$5:$N$5,0)+1)
*INDEX(Learning!$E$6:$S$41,(MATCH(AJ$21,Dates,0)),(MATCH($C$151,Learning!$E$4:$S$4,0)+MATCH($C$152,Learning!$E$5:$S$5,0)-1)))</f>
        <v>0</v>
      </c>
      <c r="AK153" s="778" cm="1">
        <f t="array" aca="1" ref="AK153" ca="1">IF(AK$21&lt;Standard_Year,'No STDs Case Rev &amp; Cost'!AK153,
OFFSET(MSP!$C$1,
MATCH(OFFSET($C152,((MATCH($C152,EL_List,0)-1)*-10)-1,0),MSP!$C:$C,0)+MATCH($C152,EL_List,0)-1,
MATCH(OFFSET($C152,((MATCH($C152,EL_List,0)-1)*-10)-3,0),MSP!$D$5:$N$5,0)+1)
*INDEX(Learning!$E$6:$S$41,(MATCH(AK$21,Dates,0)),(MATCH($C$151,Learning!$E$4:$S$4,0)+MATCH($C$152,Learning!$E$5:$S$5,0)-1)))</f>
        <v>0</v>
      </c>
      <c r="AL153" s="778" cm="1">
        <f t="array" aca="1" ref="AL153" ca="1">IF(AL$21&lt;Standard_Year,'No STDs Case Rev &amp; Cost'!AL153,
OFFSET(MSP!$C$1,
MATCH(OFFSET($C152,((MATCH($C152,EL_List,0)-1)*-10)-1,0),MSP!$C:$C,0)+MATCH($C152,EL_List,0)-1,
MATCH(OFFSET($C152,((MATCH($C152,EL_List,0)-1)*-10)-3,0),MSP!$D$5:$N$5,0)+1)
*INDEX(Learning!$E$6:$S$41,(MATCH(AL$21,Dates,0)),(MATCH($C$151,Learning!$E$4:$S$4,0)+MATCH($C$152,Learning!$E$5:$S$5,0)-1)))</f>
        <v>0</v>
      </c>
      <c r="AM153" s="778" cm="1">
        <f t="array" aca="1" ref="AM153" ca="1">IF(AM$21&lt;Standard_Year,'No STDs Case Rev &amp; Cost'!AM153,
OFFSET(MSP!$C$1,
MATCH(OFFSET($C152,((MATCH($C152,EL_List,0)-1)*-10)-1,0),MSP!$C:$C,0)+MATCH($C152,EL_List,0)-1,
MATCH(OFFSET($C152,((MATCH($C152,EL_List,0)-1)*-10)-3,0),MSP!$D$5:$N$5,0)+1)
*INDEX(Learning!$E$6:$S$41,(MATCH(AM$21,Dates,0)),(MATCH($C$151,Learning!$E$4:$S$4,0)+MATCH($C$152,Learning!$E$5:$S$5,0)-1)))</f>
        <v>0</v>
      </c>
      <c r="AN153" s="778" cm="1">
        <f t="array" aca="1" ref="AN153" ca="1">IF(AN$21&lt;Standard_Year,'No STDs Case Rev &amp; Cost'!AN153,
OFFSET(MSP!$C$1,
MATCH(OFFSET($C152,((MATCH($C152,EL_List,0)-1)*-10)-1,0),MSP!$C:$C,0)+MATCH($C152,EL_List,0)-1,
MATCH(OFFSET($C152,((MATCH($C152,EL_List,0)-1)*-10)-3,0),MSP!$D$5:$N$5,0)+1)
*INDEX(Learning!$E$6:$S$41,(MATCH(AN$21,Dates,0)),(MATCH($C$151,Learning!$E$4:$S$4,0)+MATCH($C$152,Learning!$E$5:$S$5,0)-1)))</f>
        <v>0</v>
      </c>
      <c r="AO153" s="436"/>
      <c r="AP153" s="21"/>
    </row>
    <row r="154" spans="2:42" ht="15" customHeight="1" x14ac:dyDescent="0.35">
      <c r="B154" s="429"/>
      <c r="C154" s="780" t="s">
        <v>78</v>
      </c>
      <c r="D154" s="776"/>
      <c r="E154" s="530">
        <f ca="1">OFFSET(OFFSET(Shipments!$D$1,0,MATCH(E$7,Dates)),
MATCH(OFFSET($C152,((MATCH($C152,EL_List,0)-1)*-10)-3,0),Shipments!$C:$C,0)+
MATCH(OFFSET($C152,((MATCH($C152,EL_List,0)-1)*-10)-1,0),Shipments!$D:$D,0)+
MATCH($C152,EL_List,0)-10,
MATCH(Shipments_Scenario_X,Shipments!$F$5:$AQ$5,0))</f>
        <v>0.83976420808819696</v>
      </c>
      <c r="F154" s="530">
        <f ca="1">OFFSET(OFFSET(Shipments!$D$1,0,MATCH(F$7,Dates)),
MATCH(OFFSET($C152,((MATCH($C152,EL_List,0)-1)*-10)-3,0),Shipments!$C:$C,0)+
MATCH(OFFSET($C152,((MATCH($C152,EL_List,0)-1)*-10)-1,0),Shipments!$D:$D,0)+
MATCH($C152,EL_List,0)-10,
MATCH(Shipments_Scenario_X,Shipments!$F$5:$AQ$5,0))</f>
        <v>0.87731724999605076</v>
      </c>
      <c r="G154" s="530">
        <f ca="1">OFFSET(OFFSET(Shipments!$D$1,0,MATCH(G$7,Dates)),
MATCH(OFFSET($C152,((MATCH($C152,EL_List,0)-1)*-10)-3,0),Shipments!$C:$C,0)+
MATCH(OFFSET($C152,((MATCH($C152,EL_List,0)-1)*-10)-1,0),Shipments!$D:$D,0)+
MATCH($C152,EL_List,0)-10,
MATCH(Shipments_Scenario_X,Shipments!$F$5:$AQ$5,0))</f>
        <v>0</v>
      </c>
      <c r="H154" s="530">
        <f ca="1">OFFSET(OFFSET(Shipments!$D$1,0,MATCH(H$7,Dates)),
MATCH(OFFSET($C152,((MATCH($C152,EL_List,0)-1)*-10)-3,0),Shipments!$C:$C,0)+
MATCH(OFFSET($C152,((MATCH($C152,EL_List,0)-1)*-10)-1,0),Shipments!$D:$D,0)+
MATCH($C152,EL_List,0)-10,
MATCH(Shipments_Scenario_X,Shipments!$F$5:$AQ$5,0))</f>
        <v>0</v>
      </c>
      <c r="I154" s="530">
        <f ca="1">OFFSET(OFFSET(Shipments!$D$1,0,MATCH(I$7,Dates)),
MATCH(OFFSET($C152,((MATCH($C152,EL_List,0)-1)*-10)-3,0),Shipments!$C:$C,0)+
MATCH(OFFSET($C152,((MATCH($C152,EL_List,0)-1)*-10)-1,0),Shipments!$D:$D,0)+
MATCH($C152,EL_List,0)-10,
MATCH(Shipments_Scenario_X,Shipments!$F$5:$AQ$5,0))</f>
        <v>0</v>
      </c>
      <c r="J154" s="530">
        <f ca="1">OFFSET(OFFSET(Shipments!$D$1,0,MATCH(J$7,Dates)),
MATCH(OFFSET($C152,((MATCH($C152,EL_List,0)-1)*-10)-3,0),Shipments!$C:$C,0)+
MATCH(OFFSET($C152,((MATCH($C152,EL_List,0)-1)*-10)-1,0),Shipments!$D:$D,0)+
MATCH($C152,EL_List,0)-10,
MATCH(Shipments_Scenario_X,Shipments!$F$5:$AQ$5,0))</f>
        <v>0</v>
      </c>
      <c r="K154" s="530">
        <f ca="1">OFFSET(OFFSET(Shipments!$D$1,0,MATCH(K$7,Dates)),
MATCH(OFFSET($C152,((MATCH($C152,EL_List,0)-1)*-10)-3,0),Shipments!$C:$C,0)+
MATCH(OFFSET($C152,((MATCH($C152,EL_List,0)-1)*-10)-1,0),Shipments!$D:$D,0)+
MATCH($C152,EL_List,0)-10,
MATCH(Shipments_Scenario_X,Shipments!$F$5:$AQ$5,0))</f>
        <v>0</v>
      </c>
      <c r="L154" s="530">
        <f ca="1">OFFSET(OFFSET(Shipments!$D$1,0,MATCH(L$7,Dates)),
MATCH(OFFSET($C152,((MATCH($C152,EL_List,0)-1)*-10)-3,0),Shipments!$C:$C,0)+
MATCH(OFFSET($C152,((MATCH($C152,EL_List,0)-1)*-10)-1,0),Shipments!$D:$D,0)+
MATCH($C152,EL_List,0)-10,
MATCH(Shipments_Scenario_X,Shipments!$F$5:$AQ$5,0))</f>
        <v>0</v>
      </c>
      <c r="M154" s="530">
        <f ca="1">OFFSET(OFFSET(Shipments!$D$1,0,MATCH(M$7,Dates)),
MATCH(OFFSET($C152,((MATCH($C152,EL_List,0)-1)*-10)-3,0),Shipments!$C:$C,0)+
MATCH(OFFSET($C152,((MATCH($C152,EL_List,0)-1)*-10)-1,0),Shipments!$D:$D,0)+
MATCH($C152,EL_List,0)-10,
MATCH(Shipments_Scenario_X,Shipments!$F$5:$AQ$5,0))</f>
        <v>0</v>
      </c>
      <c r="N154" s="530">
        <f ca="1">OFFSET(OFFSET(Shipments!$D$1,0,MATCH(N$7,Dates)),
MATCH(OFFSET($C152,((MATCH($C152,EL_List,0)-1)*-10)-3,0),Shipments!$C:$C,0)+
MATCH(OFFSET($C152,((MATCH($C152,EL_List,0)-1)*-10)-1,0),Shipments!$D:$D,0)+
MATCH($C152,EL_List,0)-10,
MATCH(Shipments_Scenario_X,Shipments!$F$5:$AQ$5,0))</f>
        <v>0</v>
      </c>
      <c r="O154" s="530">
        <f ca="1">OFFSET(OFFSET(Shipments!$D$1,0,MATCH(O$7,Dates)),
MATCH(OFFSET($C152,((MATCH($C152,EL_List,0)-1)*-10)-3,0),Shipments!$C:$C,0)+
MATCH(OFFSET($C152,((MATCH($C152,EL_List,0)-1)*-10)-1,0),Shipments!$D:$D,0)+
MATCH($C152,EL_List,0)-10,
MATCH(Shipments_Scenario_X,Shipments!$F$5:$AQ$5,0))</f>
        <v>0</v>
      </c>
      <c r="P154" s="530">
        <f ca="1">OFFSET(OFFSET(Shipments!$D$1,0,MATCH(P$7,Dates)),
MATCH(OFFSET($C152,((MATCH($C152,EL_List,0)-1)*-10)-3,0),Shipments!$C:$C,0)+
MATCH(OFFSET($C152,((MATCH($C152,EL_List,0)-1)*-10)-1,0),Shipments!$D:$D,0)+
MATCH($C152,EL_List,0)-10,
MATCH(Shipments_Scenario_X,Shipments!$F$5:$AQ$5,0))</f>
        <v>0</v>
      </c>
      <c r="Q154" s="530">
        <f ca="1">OFFSET(OFFSET(Shipments!$D$1,0,MATCH(Q$7,Dates)),
MATCH(OFFSET($C152,((MATCH($C152,EL_List,0)-1)*-10)-3,0),Shipments!$C:$C,0)+
MATCH(OFFSET($C152,((MATCH($C152,EL_List,0)-1)*-10)-1,0),Shipments!$D:$D,0)+
MATCH($C152,EL_List,0)-10,
MATCH(Shipments_Scenario_X,Shipments!$F$5:$AQ$5,0))</f>
        <v>0</v>
      </c>
      <c r="R154" s="530">
        <f ca="1">OFFSET(OFFSET(Shipments!$D$1,0,MATCH(R$7,Dates)),
MATCH(OFFSET($C152,((MATCH($C152,EL_List,0)-1)*-10)-3,0),Shipments!$C:$C,0)+
MATCH(OFFSET($C152,((MATCH($C152,EL_List,0)-1)*-10)-1,0),Shipments!$D:$D,0)+
MATCH($C152,EL_List,0)-10,
MATCH(Shipments_Scenario_X,Shipments!$F$5:$AQ$5,0))</f>
        <v>0</v>
      </c>
      <c r="S154" s="530">
        <f ca="1">OFFSET(OFFSET(Shipments!$D$1,0,MATCH(S$7,Dates)),
MATCH(OFFSET($C152,((MATCH($C152,EL_List,0)-1)*-10)-3,0),Shipments!$C:$C,0)+
MATCH(OFFSET($C152,((MATCH($C152,EL_List,0)-1)*-10)-1,0),Shipments!$D:$D,0)+
MATCH($C152,EL_List,0)-10,
MATCH(Shipments_Scenario_X,Shipments!$F$5:$AQ$5,0))</f>
        <v>0</v>
      </c>
      <c r="T154" s="530">
        <f ca="1">OFFSET(OFFSET(Shipments!$D$1,0,MATCH(T$7,Dates)),
MATCH(OFFSET($C152,((MATCH($C152,EL_List,0)-1)*-10)-3,0),Shipments!$C:$C,0)+
MATCH(OFFSET($C152,((MATCH($C152,EL_List,0)-1)*-10)-1,0),Shipments!$D:$D,0)+
MATCH($C152,EL_List,0)-10,
MATCH(Shipments_Scenario_X,Shipments!$F$5:$AQ$5,0))</f>
        <v>0</v>
      </c>
      <c r="U154" s="530">
        <f ca="1">OFFSET(OFFSET(Shipments!$D$1,0,MATCH(U$7,Dates)),
MATCH(OFFSET($C152,((MATCH($C152,EL_List,0)-1)*-10)-3,0),Shipments!$C:$C,0)+
MATCH(OFFSET($C152,((MATCH($C152,EL_List,0)-1)*-10)-1,0),Shipments!$D:$D,0)+
MATCH($C152,EL_List,0)-10,
MATCH(Shipments_Scenario_X,Shipments!$F$5:$AQ$5,0))</f>
        <v>0</v>
      </c>
      <c r="V154" s="530">
        <f ca="1">OFFSET(OFFSET(Shipments!$D$1,0,MATCH(V$7,Dates)),
MATCH(OFFSET($C152,((MATCH($C152,EL_List,0)-1)*-10)-3,0),Shipments!$C:$C,0)+
MATCH(OFFSET($C152,((MATCH($C152,EL_List,0)-1)*-10)-1,0),Shipments!$D:$D,0)+
MATCH($C152,EL_List,0)-10,
MATCH(Shipments_Scenario_X,Shipments!$F$5:$AQ$5,0))</f>
        <v>0</v>
      </c>
      <c r="W154" s="530">
        <f ca="1">OFFSET(OFFSET(Shipments!$D$1,0,MATCH(W$7,Dates)),
MATCH(OFFSET($C152,((MATCH($C152,EL_List,0)-1)*-10)-3,0),Shipments!$C:$C,0)+
MATCH(OFFSET($C152,((MATCH($C152,EL_List,0)-1)*-10)-1,0),Shipments!$D:$D,0)+
MATCH($C152,EL_List,0)-10,
MATCH(Shipments_Scenario_X,Shipments!$F$5:$AQ$5,0))</f>
        <v>0</v>
      </c>
      <c r="X154" s="530">
        <f ca="1">OFFSET(OFFSET(Shipments!$D$1,0,MATCH(X$7,Dates)),
MATCH(OFFSET($C152,((MATCH($C152,EL_List,0)-1)*-10)-3,0),Shipments!$C:$C,0)+
MATCH(OFFSET($C152,((MATCH($C152,EL_List,0)-1)*-10)-1,0),Shipments!$D:$D,0)+
MATCH($C152,EL_List,0)-10,
MATCH(Shipments_Scenario_X,Shipments!$F$5:$AQ$5,0))</f>
        <v>0</v>
      </c>
      <c r="Y154" s="530">
        <f ca="1">OFFSET(OFFSET(Shipments!$D$1,0,MATCH(Y$7,Dates)),
MATCH(OFFSET($C152,((MATCH($C152,EL_List,0)-1)*-10)-3,0),Shipments!$C:$C,0)+
MATCH(OFFSET($C152,((MATCH($C152,EL_List,0)-1)*-10)-1,0),Shipments!$D:$D,0)+
MATCH($C152,EL_List,0)-10,
MATCH(Shipments_Scenario_X,Shipments!$F$5:$AQ$5,0))</f>
        <v>0</v>
      </c>
      <c r="Z154" s="530">
        <f ca="1">OFFSET(OFFSET(Shipments!$D$1,0,MATCH(Z$7,Dates)),
MATCH(OFFSET($C152,((MATCH($C152,EL_List,0)-1)*-10)-3,0),Shipments!$C:$C,0)+
MATCH(OFFSET($C152,((MATCH($C152,EL_List,0)-1)*-10)-1,0),Shipments!$D:$D,0)+
MATCH($C152,EL_List,0)-10,
MATCH(Shipments_Scenario_X,Shipments!$F$5:$AQ$5,0))</f>
        <v>0</v>
      </c>
      <c r="AA154" s="530">
        <f ca="1">OFFSET(OFFSET(Shipments!$D$1,0,MATCH(AA$7,Dates)),
MATCH(OFFSET($C152,((MATCH($C152,EL_List,0)-1)*-10)-3,0),Shipments!$C:$C,0)+
MATCH(OFFSET($C152,((MATCH($C152,EL_List,0)-1)*-10)-1,0),Shipments!$D:$D,0)+
MATCH($C152,EL_List,0)-10,
MATCH(Shipments_Scenario_X,Shipments!$F$5:$AQ$5,0))</f>
        <v>0</v>
      </c>
      <c r="AB154" s="530">
        <f ca="1">OFFSET(OFFSET(Shipments!$D$1,0,MATCH(AB$7,Dates)),
MATCH(OFFSET($C152,((MATCH($C152,EL_List,0)-1)*-10)-3,0),Shipments!$C:$C,0)+
MATCH(OFFSET($C152,((MATCH($C152,EL_List,0)-1)*-10)-1,0),Shipments!$D:$D,0)+
MATCH($C152,EL_List,0)-10,
MATCH(Shipments_Scenario_X,Shipments!$F$5:$AQ$5,0))</f>
        <v>0</v>
      </c>
      <c r="AC154" s="530">
        <f ca="1">OFFSET(OFFSET(Shipments!$D$1,0,MATCH(AC$7,Dates)),
MATCH(OFFSET($C152,((MATCH($C152,EL_List,0)-1)*-10)-3,0),Shipments!$C:$C,0)+
MATCH(OFFSET($C152,((MATCH($C152,EL_List,0)-1)*-10)-1,0),Shipments!$D:$D,0)+
MATCH($C152,EL_List,0)-10,
MATCH(Shipments_Scenario_X,Shipments!$F$5:$AQ$5,0))</f>
        <v>0</v>
      </c>
      <c r="AD154" s="530">
        <f ca="1">OFFSET(OFFSET(Shipments!$D$1,0,MATCH(AD$7,Dates)),
MATCH(OFFSET($C152,((MATCH($C152,EL_List,0)-1)*-10)-3,0),Shipments!$C:$C,0)+
MATCH(OFFSET($C152,((MATCH($C152,EL_List,0)-1)*-10)-1,0),Shipments!$D:$D,0)+
MATCH($C152,EL_List,0)-10,
MATCH(Shipments_Scenario_X,Shipments!$F$5:$AQ$5,0))</f>
        <v>0</v>
      </c>
      <c r="AE154" s="530">
        <f ca="1">OFFSET(OFFSET(Shipments!$D$1,0,MATCH(AE$7,Dates)),
MATCH(OFFSET($C152,((MATCH($C152,EL_List,0)-1)*-10)-3,0),Shipments!$C:$C,0)+
MATCH(OFFSET($C152,((MATCH($C152,EL_List,0)-1)*-10)-1,0),Shipments!$D:$D,0)+
MATCH($C152,EL_List,0)-10,
MATCH(Shipments_Scenario_X,Shipments!$F$5:$AQ$5,0))</f>
        <v>0</v>
      </c>
      <c r="AF154" s="530">
        <f ca="1">OFFSET(OFFSET(Shipments!$D$1,0,MATCH(AF$7,Dates)),
MATCH(OFFSET($C152,((MATCH($C152,EL_List,0)-1)*-10)-3,0),Shipments!$C:$C,0)+
MATCH(OFFSET($C152,((MATCH($C152,EL_List,0)-1)*-10)-1,0),Shipments!$D:$D,0)+
MATCH($C152,EL_List,0)-10,
MATCH(Shipments_Scenario_X,Shipments!$F$5:$AQ$5,0))</f>
        <v>0</v>
      </c>
      <c r="AG154" s="530">
        <f ca="1">OFFSET(OFFSET(Shipments!$D$1,0,MATCH(AG$7,Dates)),
MATCH(OFFSET($C152,((MATCH($C152,EL_List,0)-1)*-10)-3,0),Shipments!$C:$C,0)+
MATCH(OFFSET($C152,((MATCH($C152,EL_List,0)-1)*-10)-1,0),Shipments!$D:$D,0)+
MATCH($C152,EL_List,0)-10,
MATCH(Shipments_Scenario_X,Shipments!$F$5:$AQ$5,0))</f>
        <v>0</v>
      </c>
      <c r="AH154" s="530">
        <f ca="1">OFFSET(OFFSET(Shipments!$D$1,0,MATCH(AH$7,Dates)),
MATCH(OFFSET($C152,((MATCH($C152,EL_List,0)-1)*-10)-3,0),Shipments!$C:$C,0)+
MATCH(OFFSET($C152,((MATCH($C152,EL_List,0)-1)*-10)-1,0),Shipments!$D:$D,0)+
MATCH($C152,EL_List,0)-10,
MATCH(Shipments_Scenario_X,Shipments!$F$5:$AQ$5,0))</f>
        <v>0</v>
      </c>
      <c r="AI154" s="530">
        <f ca="1">OFFSET(OFFSET(Shipments!$D$1,0,MATCH(AI$7,Dates)),
MATCH(OFFSET($C152,((MATCH($C152,EL_List,0)-1)*-10)-3,0),Shipments!$C:$C,0)+
MATCH(OFFSET($C152,((MATCH($C152,EL_List,0)-1)*-10)-1,0),Shipments!$D:$D,0)+
MATCH($C152,EL_List,0)-10,
MATCH(Shipments_Scenario_X,Shipments!$F$5:$AQ$5,0))</f>
        <v>0</v>
      </c>
      <c r="AJ154" s="530">
        <f ca="1">OFFSET(OFFSET(Shipments!$D$1,0,MATCH(AJ$7,Dates)),
MATCH(OFFSET($C152,((MATCH($C152,EL_List,0)-1)*-10)-3,0),Shipments!$C:$C,0)+
MATCH(OFFSET($C152,((MATCH($C152,EL_List,0)-1)*-10)-1,0),Shipments!$D:$D,0)+
MATCH($C152,EL_List,0)-10,
MATCH(Shipments_Scenario_X,Shipments!$F$5:$AQ$5,0))</f>
        <v>0</v>
      </c>
      <c r="AK154" s="530">
        <f ca="1">OFFSET(OFFSET(Shipments!$D$1,0,MATCH(AK$7,Dates)),
MATCH(OFFSET($C152,((MATCH($C152,EL_List,0)-1)*-10)-3,0),Shipments!$C:$C,0)+
MATCH(OFFSET($C152,((MATCH($C152,EL_List,0)-1)*-10)-1,0),Shipments!$D:$D,0)+
MATCH($C152,EL_List,0)-10,
MATCH(Shipments_Scenario_X,Shipments!$F$5:$AQ$5,0))</f>
        <v>0</v>
      </c>
      <c r="AL154" s="530">
        <f ca="1">OFFSET(OFFSET(Shipments!$D$1,0,MATCH(AL$7,Dates)),
MATCH(OFFSET($C152,((MATCH($C152,EL_List,0)-1)*-10)-3,0),Shipments!$C:$C,0)+
MATCH(OFFSET($C152,((MATCH($C152,EL_List,0)-1)*-10)-1,0),Shipments!$D:$D,0)+
MATCH($C152,EL_List,0)-10,
MATCH(Shipments_Scenario_X,Shipments!$F$5:$AQ$5,0))</f>
        <v>0</v>
      </c>
      <c r="AM154" s="530">
        <f ca="1">OFFSET(OFFSET(Shipments!$D$1,0,MATCH(AM$7,Dates)),
MATCH(OFFSET($C152,((MATCH($C152,EL_List,0)-1)*-10)-3,0),Shipments!$C:$C,0)+
MATCH(OFFSET($C152,((MATCH($C152,EL_List,0)-1)*-10)-1,0),Shipments!$D:$D,0)+
MATCH($C152,EL_List,0)-10,
MATCH(Shipments_Scenario_X,Shipments!$F$5:$AQ$5,0))</f>
        <v>0</v>
      </c>
      <c r="AN154" s="530">
        <f ca="1">OFFSET(OFFSET(Shipments!$D$1,0,MATCH(AN$7,Dates)),
MATCH(OFFSET($C152,((MATCH($C152,EL_List,0)-1)*-10)-3,0),Shipments!$C:$C,0)+
MATCH(OFFSET($C152,((MATCH($C152,EL_List,0)-1)*-10)-1,0),Shipments!$D:$D,0)+
MATCH($C152,EL_List,0)-10,
MATCH(Shipments_Scenario_X,Shipments!$F$5:$AQ$5,0))</f>
        <v>0</v>
      </c>
      <c r="AO154" s="436"/>
      <c r="AP154" s="21"/>
    </row>
    <row r="155" spans="2:42" ht="15" customHeight="1" x14ac:dyDescent="0.35">
      <c r="B155" s="429"/>
      <c r="C155" s="780" t="s">
        <v>79</v>
      </c>
      <c r="D155" s="776"/>
      <c r="E155" s="531">
        <f t="shared" ref="E155:AN155" ca="1" si="35">E153*E154</f>
        <v>89.364536914860366</v>
      </c>
      <c r="F155" s="531">
        <f t="shared" ca="1" si="35"/>
        <v>92.733003580795057</v>
      </c>
      <c r="G155" s="531">
        <f t="shared" ca="1" si="35"/>
        <v>0</v>
      </c>
      <c r="H155" s="531">
        <f t="shared" ca="1" si="35"/>
        <v>0</v>
      </c>
      <c r="I155" s="531">
        <f t="shared" ca="1" si="35"/>
        <v>0</v>
      </c>
      <c r="J155" s="531">
        <f t="shared" ca="1" si="35"/>
        <v>0</v>
      </c>
      <c r="K155" s="531">
        <f t="shared" ca="1" si="35"/>
        <v>0</v>
      </c>
      <c r="L155" s="531">
        <f t="shared" ca="1" si="35"/>
        <v>0</v>
      </c>
      <c r="M155" s="531">
        <f t="shared" ca="1" si="35"/>
        <v>0</v>
      </c>
      <c r="N155" s="531">
        <f t="shared" ca="1" si="35"/>
        <v>0</v>
      </c>
      <c r="O155" s="531">
        <f t="shared" ca="1" si="35"/>
        <v>0</v>
      </c>
      <c r="P155" s="531">
        <f t="shared" ca="1" si="35"/>
        <v>0</v>
      </c>
      <c r="Q155" s="531">
        <f t="shared" ca="1" si="35"/>
        <v>0</v>
      </c>
      <c r="R155" s="531">
        <f t="shared" ca="1" si="35"/>
        <v>0</v>
      </c>
      <c r="S155" s="531">
        <f t="shared" ca="1" si="35"/>
        <v>0</v>
      </c>
      <c r="T155" s="531">
        <f t="shared" ca="1" si="35"/>
        <v>0</v>
      </c>
      <c r="U155" s="531">
        <f t="shared" ca="1" si="35"/>
        <v>0</v>
      </c>
      <c r="V155" s="531">
        <f t="shared" ca="1" si="35"/>
        <v>0</v>
      </c>
      <c r="W155" s="531">
        <f t="shared" ca="1" si="35"/>
        <v>0</v>
      </c>
      <c r="X155" s="531">
        <f t="shared" ca="1" si="35"/>
        <v>0</v>
      </c>
      <c r="Y155" s="531">
        <f t="shared" ca="1" si="35"/>
        <v>0</v>
      </c>
      <c r="Z155" s="531">
        <f t="shared" ca="1" si="35"/>
        <v>0</v>
      </c>
      <c r="AA155" s="531">
        <f t="shared" ca="1" si="35"/>
        <v>0</v>
      </c>
      <c r="AB155" s="531">
        <f t="shared" ca="1" si="35"/>
        <v>0</v>
      </c>
      <c r="AC155" s="531">
        <f t="shared" ca="1" si="35"/>
        <v>0</v>
      </c>
      <c r="AD155" s="531">
        <f t="shared" ca="1" si="35"/>
        <v>0</v>
      </c>
      <c r="AE155" s="531">
        <f t="shared" ca="1" si="35"/>
        <v>0</v>
      </c>
      <c r="AF155" s="531">
        <f t="shared" ca="1" si="35"/>
        <v>0</v>
      </c>
      <c r="AG155" s="531">
        <f t="shared" ca="1" si="35"/>
        <v>0</v>
      </c>
      <c r="AH155" s="531">
        <f t="shared" ca="1" si="35"/>
        <v>0</v>
      </c>
      <c r="AI155" s="531">
        <f t="shared" ca="1" si="35"/>
        <v>0</v>
      </c>
      <c r="AJ155" s="531">
        <f t="shared" ca="1" si="35"/>
        <v>0</v>
      </c>
      <c r="AK155" s="531">
        <f t="shared" ca="1" si="35"/>
        <v>0</v>
      </c>
      <c r="AL155" s="531">
        <f t="shared" ca="1" si="35"/>
        <v>0</v>
      </c>
      <c r="AM155" s="531">
        <f t="shared" ref="AM155" ca="1" si="36">AM153*AM154</f>
        <v>0</v>
      </c>
      <c r="AN155" s="531">
        <f t="shared" ca="1" si="35"/>
        <v>0</v>
      </c>
      <c r="AO155" s="436"/>
      <c r="AP155" s="21"/>
    </row>
    <row r="156" spans="2:42" ht="15" customHeight="1" x14ac:dyDescent="0.35">
      <c r="B156" s="429"/>
      <c r="C156" s="780"/>
      <c r="D156" s="776"/>
      <c r="E156" s="776"/>
      <c r="F156" s="776"/>
      <c r="G156" s="776"/>
      <c r="H156" s="776"/>
      <c r="I156" s="776"/>
      <c r="J156" s="776"/>
      <c r="K156" s="776"/>
      <c r="L156" s="776"/>
      <c r="M156" s="776"/>
      <c r="N156" s="776"/>
      <c r="O156" s="776"/>
      <c r="P156" s="776"/>
      <c r="Q156" s="776"/>
      <c r="R156" s="776"/>
      <c r="S156" s="776"/>
      <c r="T156" s="776"/>
      <c r="U156" s="776"/>
      <c r="V156" s="776"/>
      <c r="W156" s="776"/>
      <c r="X156" s="776"/>
      <c r="Y156" s="776"/>
      <c r="Z156" s="776"/>
      <c r="AA156" s="776"/>
      <c r="AB156" s="776"/>
      <c r="AC156" s="776"/>
      <c r="AD156" s="776"/>
      <c r="AE156" s="776"/>
      <c r="AF156" s="776"/>
      <c r="AG156" s="776"/>
      <c r="AH156" s="776"/>
      <c r="AI156" s="776"/>
      <c r="AJ156" s="776"/>
      <c r="AK156" s="776"/>
      <c r="AL156" s="776"/>
      <c r="AM156" s="776"/>
      <c r="AN156" s="776"/>
      <c r="AO156" s="436"/>
      <c r="AP156" s="21"/>
    </row>
    <row r="157" spans="2:42" ht="15" customHeight="1" x14ac:dyDescent="0.35">
      <c r="B157" s="429"/>
      <c r="C157" s="780" t="s">
        <v>212</v>
      </c>
      <c r="D157" s="776"/>
      <c r="E157" s="532" cm="1">
        <f t="array" aca="1" ref="E157" ca="1">IF(E$21&lt;Standard_Year,'No STDs Case Rev &amp; Cost'!E157,
OFFSET(E157,-3,0)*
OFFSET(MSP!$D$1,
MATCH(OFFSET($C152,((MATCH($C152,EL_List,0)-1)*-10)-1,0),MSP!$C:$C,0)+MATCH($C152,EL_List,0)-1,0)
*INDEX(Learning!$E$6:$S$41,(MATCH(E$21,Dates,0)),(MATCH($C$151,Learning!$E$4:$S$4,0)+MATCH($C$152,Learning!$E$5:$S$5,0)-1)))</f>
        <v>55.105826148861944</v>
      </c>
      <c r="F157" s="532" cm="1">
        <f t="array" aca="1" ref="F157" ca="1">IF(F$21&lt;Standard_Year,'No STDs Case Rev &amp; Cost'!F157,
OFFSET(F157,-3,0)*
OFFSET(MSP!$D$1,
MATCH(OFFSET($C152,((MATCH($C152,EL_List,0)-1)*-10)-1,0),MSP!$C:$C,0)+MATCH($C152,EL_List,0)-1,0)
*INDEX(Learning!$E$6:$S$41,(MATCH(F$21,Dates,0)),(MATCH($C$151,Learning!$E$4:$S$4,0)+MATCH($C$152,Learning!$E$5:$S$5,0)-1)))</f>
        <v>57.182960377824372</v>
      </c>
      <c r="G157" s="532" cm="1">
        <f t="array" aca="1" ref="G157" ca="1">IF(G$21&lt;Standard_Year,'No STDs Case Rev &amp; Cost'!G157,
OFFSET(G157,-3,0)*
OFFSET(MSP!$D$1,
MATCH(OFFSET($C152,((MATCH($C152,EL_List,0)-1)*-10)-1,0),MSP!$C:$C,0)+MATCH($C152,EL_List,0)-1,0)
*INDEX(Learning!$E$6:$S$41,(MATCH(G$21,Dates,0)),(MATCH($C$151,Learning!$E$4:$S$4,0)+MATCH($C$152,Learning!$E$5:$S$5,0)-1)))</f>
        <v>58.916959651754851</v>
      </c>
      <c r="H157" s="532" cm="1">
        <f t="array" aca="1" ref="H157" ca="1">IF(H$21&lt;Standard_Year,'No STDs Case Rev &amp; Cost'!H157,
OFFSET(H157,-3,0)*
OFFSET(MSP!$D$1,
MATCH(OFFSET($C152,((MATCH($C152,EL_List,0)-1)*-10)-1,0),MSP!$C:$C,0)+MATCH($C152,EL_List,0)-1,0)
*INDEX(Learning!$E$6:$S$41,(MATCH(H$21,Dates,0)),(MATCH($C$151,Learning!$E$4:$S$4,0)+MATCH($C$152,Learning!$E$5:$S$5,0)-1)))</f>
        <v>61.263031566261034</v>
      </c>
      <c r="I157" s="532" cm="1">
        <f t="array" aca="1" ref="I157" ca="1">IF(I$21&lt;Standard_Year,'No STDs Case Rev &amp; Cost'!I157,
OFFSET(I157,-3,0)*
OFFSET(MSP!$D$1,
MATCH(OFFSET($C152,((MATCH($C152,EL_List,0)-1)*-10)-1,0),MSP!$C:$C,0)+MATCH($C152,EL_List,0)-1,0)
*INDEX(Learning!$E$6:$S$41,(MATCH(I$21,Dates,0)),(MATCH($C$151,Learning!$E$4:$S$4,0)+MATCH($C$152,Learning!$E$5:$S$5,0)-1)))</f>
        <v>0</v>
      </c>
      <c r="J157" s="532" cm="1">
        <f t="array" aca="1" ref="J157" ca="1">IF(J$21&lt;Standard_Year,'No STDs Case Rev &amp; Cost'!J157,
OFFSET(J157,-3,0)*
OFFSET(MSP!$D$1,
MATCH(OFFSET($C152,((MATCH($C152,EL_List,0)-1)*-10)-1,0),MSP!$C:$C,0)+MATCH($C152,EL_List,0)-1,0)
*INDEX(Learning!$E$6:$S$41,(MATCH(J$21,Dates,0)),(MATCH($C$151,Learning!$E$4:$S$4,0)+MATCH($C$152,Learning!$E$5:$S$5,0)-1)))</f>
        <v>0</v>
      </c>
      <c r="K157" s="532" cm="1">
        <f t="array" aca="1" ref="K157" ca="1">IF(K$21&lt;Standard_Year,'No STDs Case Rev &amp; Cost'!K157,
OFFSET(K157,-3,0)*
OFFSET(MSP!$D$1,
MATCH(OFFSET($C152,((MATCH($C152,EL_List,0)-1)*-10)-1,0),MSP!$C:$C,0)+MATCH($C152,EL_List,0)-1,0)
*INDEX(Learning!$E$6:$S$41,(MATCH(K$21,Dates,0)),(MATCH($C$151,Learning!$E$4:$S$4,0)+MATCH($C$152,Learning!$E$5:$S$5,0)-1)))</f>
        <v>0</v>
      </c>
      <c r="L157" s="532" cm="1">
        <f t="array" aca="1" ref="L157" ca="1">IF(L$21&lt;Standard_Year,'No STDs Case Rev &amp; Cost'!L157,
OFFSET(L157,-3,0)*
OFFSET(MSP!$D$1,
MATCH(OFFSET($C152,((MATCH($C152,EL_List,0)-1)*-10)-1,0),MSP!$C:$C,0)+MATCH($C152,EL_List,0)-1,0)
*INDEX(Learning!$E$6:$S$41,(MATCH(L$21,Dates,0)),(MATCH($C$151,Learning!$E$4:$S$4,0)+MATCH($C$152,Learning!$E$5:$S$5,0)-1)))</f>
        <v>0</v>
      </c>
      <c r="M157" s="532" cm="1">
        <f t="array" aca="1" ref="M157" ca="1">IF(M$21&lt;Standard_Year,'No STDs Case Rev &amp; Cost'!M157,
OFFSET(M157,-3,0)*
OFFSET(MSP!$D$1,
MATCH(OFFSET($C152,((MATCH($C152,EL_List,0)-1)*-10)-1,0),MSP!$C:$C,0)+MATCH($C152,EL_List,0)-1,0)
*INDEX(Learning!$E$6:$S$41,(MATCH(M$21,Dates,0)),(MATCH($C$151,Learning!$E$4:$S$4,0)+MATCH($C$152,Learning!$E$5:$S$5,0)-1)))</f>
        <v>0</v>
      </c>
      <c r="N157" s="532" cm="1">
        <f t="array" aca="1" ref="N157" ca="1">IF(N$21&lt;Standard_Year,'No STDs Case Rev &amp; Cost'!N157,
OFFSET(N157,-3,0)*
OFFSET(MSP!$D$1,
MATCH(OFFSET($C152,((MATCH($C152,EL_List,0)-1)*-10)-1,0),MSP!$C:$C,0)+MATCH($C152,EL_List,0)-1,0)
*INDEX(Learning!$E$6:$S$41,(MATCH(N$21,Dates,0)),(MATCH($C$151,Learning!$E$4:$S$4,0)+MATCH($C$152,Learning!$E$5:$S$5,0)-1)))</f>
        <v>0</v>
      </c>
      <c r="O157" s="532" cm="1">
        <f t="array" aca="1" ref="O157" ca="1">IF(O$21&lt;Standard_Year,'No STDs Case Rev &amp; Cost'!O157,
OFFSET(O157,-3,0)*
OFFSET(MSP!$D$1,
MATCH(OFFSET($C152,((MATCH($C152,EL_List,0)-1)*-10)-1,0),MSP!$C:$C,0)+MATCH($C152,EL_List,0)-1,0)
*INDEX(Learning!$E$6:$S$41,(MATCH(O$21,Dates,0)),(MATCH($C$151,Learning!$E$4:$S$4,0)+MATCH($C$152,Learning!$E$5:$S$5,0)-1)))</f>
        <v>0</v>
      </c>
      <c r="P157" s="532" cm="1">
        <f t="array" aca="1" ref="P157" ca="1">IF(P$21&lt;Standard_Year,'No STDs Case Rev &amp; Cost'!P157,
OFFSET(P157,-3,0)*
OFFSET(MSP!$D$1,
MATCH(OFFSET($C152,((MATCH($C152,EL_List,0)-1)*-10)-1,0),MSP!$C:$C,0)+MATCH($C152,EL_List,0)-1,0)
*INDEX(Learning!$E$6:$S$41,(MATCH(P$21,Dates,0)),(MATCH($C$151,Learning!$E$4:$S$4,0)+MATCH($C$152,Learning!$E$5:$S$5,0)-1)))</f>
        <v>0</v>
      </c>
      <c r="Q157" s="532" cm="1">
        <f t="array" aca="1" ref="Q157" ca="1">IF(Q$21&lt;Standard_Year,'No STDs Case Rev &amp; Cost'!Q157,
OFFSET(Q157,-3,0)*
OFFSET(MSP!$D$1,
MATCH(OFFSET($C152,((MATCH($C152,EL_List,0)-1)*-10)-1,0),MSP!$C:$C,0)+MATCH($C152,EL_List,0)-1,0)
*INDEX(Learning!$E$6:$S$41,(MATCH(Q$21,Dates,0)),(MATCH($C$151,Learning!$E$4:$S$4,0)+MATCH($C$152,Learning!$E$5:$S$5,0)-1)))</f>
        <v>0</v>
      </c>
      <c r="R157" s="532" cm="1">
        <f t="array" aca="1" ref="R157" ca="1">IF(R$21&lt;Standard_Year,'No STDs Case Rev &amp; Cost'!R157,
OFFSET(R157,-3,0)*
OFFSET(MSP!$D$1,
MATCH(OFFSET($C152,((MATCH($C152,EL_List,0)-1)*-10)-1,0),MSP!$C:$C,0)+MATCH($C152,EL_List,0)-1,0)
*INDEX(Learning!$E$6:$S$41,(MATCH(R$21,Dates,0)),(MATCH($C$151,Learning!$E$4:$S$4,0)+MATCH($C$152,Learning!$E$5:$S$5,0)-1)))</f>
        <v>0</v>
      </c>
      <c r="S157" s="532" cm="1">
        <f t="array" aca="1" ref="S157" ca="1">IF(S$21&lt;Standard_Year,'No STDs Case Rev &amp; Cost'!S157,
OFFSET(S157,-3,0)*
OFFSET(MSP!$D$1,
MATCH(OFFSET($C152,((MATCH($C152,EL_List,0)-1)*-10)-1,0),MSP!$C:$C,0)+MATCH($C152,EL_List,0)-1,0)
*INDEX(Learning!$E$6:$S$41,(MATCH(S$21,Dates,0)),(MATCH($C$151,Learning!$E$4:$S$4,0)+MATCH($C$152,Learning!$E$5:$S$5,0)-1)))</f>
        <v>0</v>
      </c>
      <c r="T157" s="532" cm="1">
        <f t="array" aca="1" ref="T157" ca="1">IF(T$21&lt;Standard_Year,'No STDs Case Rev &amp; Cost'!T157,
OFFSET(T157,-3,0)*
OFFSET(MSP!$D$1,
MATCH(OFFSET($C152,((MATCH($C152,EL_List,0)-1)*-10)-1,0),MSP!$C:$C,0)+MATCH($C152,EL_List,0)-1,0)
*INDEX(Learning!$E$6:$S$41,(MATCH(T$21,Dates,0)),(MATCH($C$151,Learning!$E$4:$S$4,0)+MATCH($C$152,Learning!$E$5:$S$5,0)-1)))</f>
        <v>0</v>
      </c>
      <c r="U157" s="532" cm="1">
        <f t="array" aca="1" ref="U157" ca="1">IF(U$21&lt;Standard_Year,'No STDs Case Rev &amp; Cost'!U157,
OFFSET(U157,-3,0)*
OFFSET(MSP!$D$1,
MATCH(OFFSET($C152,((MATCH($C152,EL_List,0)-1)*-10)-1,0),MSP!$C:$C,0)+MATCH($C152,EL_List,0)-1,0)
*INDEX(Learning!$E$6:$S$41,(MATCH(U$21,Dates,0)),(MATCH($C$151,Learning!$E$4:$S$4,0)+MATCH($C$152,Learning!$E$5:$S$5,0)-1)))</f>
        <v>0</v>
      </c>
      <c r="V157" s="532" cm="1">
        <f t="array" aca="1" ref="V157" ca="1">IF(V$21&lt;Standard_Year,'No STDs Case Rev &amp; Cost'!V157,
OFFSET(V157,-3,0)*
OFFSET(MSP!$D$1,
MATCH(OFFSET($C152,((MATCH($C152,EL_List,0)-1)*-10)-1,0),MSP!$C:$C,0)+MATCH($C152,EL_List,0)-1,0)
*INDEX(Learning!$E$6:$S$41,(MATCH(V$21,Dates,0)),(MATCH($C$151,Learning!$E$4:$S$4,0)+MATCH($C$152,Learning!$E$5:$S$5,0)-1)))</f>
        <v>0</v>
      </c>
      <c r="W157" s="532" cm="1">
        <f t="array" aca="1" ref="W157" ca="1">IF(W$21&lt;Standard_Year,'No STDs Case Rev &amp; Cost'!W157,
OFFSET(W157,-3,0)*
OFFSET(MSP!$D$1,
MATCH(OFFSET($C152,((MATCH($C152,EL_List,0)-1)*-10)-1,0),MSP!$C:$C,0)+MATCH($C152,EL_List,0)-1,0)
*INDEX(Learning!$E$6:$S$41,(MATCH(W$21,Dates,0)),(MATCH($C$151,Learning!$E$4:$S$4,0)+MATCH($C$152,Learning!$E$5:$S$5,0)-1)))</f>
        <v>0</v>
      </c>
      <c r="X157" s="532" cm="1">
        <f t="array" aca="1" ref="X157" ca="1">IF(X$21&lt;Standard_Year,'No STDs Case Rev &amp; Cost'!X157,
OFFSET(X157,-3,0)*
OFFSET(MSP!$D$1,
MATCH(OFFSET($C152,((MATCH($C152,EL_List,0)-1)*-10)-1,0),MSP!$C:$C,0)+MATCH($C152,EL_List,0)-1,0)
*INDEX(Learning!$E$6:$S$41,(MATCH(X$21,Dates,0)),(MATCH($C$151,Learning!$E$4:$S$4,0)+MATCH($C$152,Learning!$E$5:$S$5,0)-1)))</f>
        <v>0</v>
      </c>
      <c r="Y157" s="532" cm="1">
        <f t="array" aca="1" ref="Y157" ca="1">IF(Y$21&lt;Standard_Year,'No STDs Case Rev &amp; Cost'!Y157,
OFFSET(Y157,-3,0)*
OFFSET(MSP!$D$1,
MATCH(OFFSET($C152,((MATCH($C152,EL_List,0)-1)*-10)-1,0),MSP!$C:$C,0)+MATCH($C152,EL_List,0)-1,0)
*INDEX(Learning!$E$6:$S$41,(MATCH(Y$21,Dates,0)),(MATCH($C$151,Learning!$E$4:$S$4,0)+MATCH($C$152,Learning!$E$5:$S$5,0)-1)))</f>
        <v>0</v>
      </c>
      <c r="Z157" s="532" cm="1">
        <f t="array" aca="1" ref="Z157" ca="1">IF(Z$21&lt;Standard_Year,'No STDs Case Rev &amp; Cost'!Z157,
OFFSET(Z157,-3,0)*
OFFSET(MSP!$D$1,
MATCH(OFFSET($C152,((MATCH($C152,EL_List,0)-1)*-10)-1,0),MSP!$C:$C,0)+MATCH($C152,EL_List,0)-1,0)
*INDEX(Learning!$E$6:$S$41,(MATCH(Z$21,Dates,0)),(MATCH($C$151,Learning!$E$4:$S$4,0)+MATCH($C$152,Learning!$E$5:$S$5,0)-1)))</f>
        <v>0</v>
      </c>
      <c r="AA157" s="532" cm="1">
        <f t="array" aca="1" ref="AA157" ca="1">IF(AA$21&lt;Standard_Year,'No STDs Case Rev &amp; Cost'!AA157,
OFFSET(AA157,-3,0)*
OFFSET(MSP!$D$1,
MATCH(OFFSET($C152,((MATCH($C152,EL_List,0)-1)*-10)-1,0),MSP!$C:$C,0)+MATCH($C152,EL_List,0)-1,0)
*INDEX(Learning!$E$6:$S$41,(MATCH(AA$21,Dates,0)),(MATCH($C$151,Learning!$E$4:$S$4,0)+MATCH($C$152,Learning!$E$5:$S$5,0)-1)))</f>
        <v>0</v>
      </c>
      <c r="AB157" s="532" cm="1">
        <f t="array" aca="1" ref="AB157" ca="1">IF(AB$21&lt;Standard_Year,'No STDs Case Rev &amp; Cost'!AB157,
OFFSET(AB157,-3,0)*
OFFSET(MSP!$D$1,
MATCH(OFFSET($C152,((MATCH($C152,EL_List,0)-1)*-10)-1,0),MSP!$C:$C,0)+MATCH($C152,EL_List,0)-1,0)
*INDEX(Learning!$E$6:$S$41,(MATCH(AB$21,Dates,0)),(MATCH($C$151,Learning!$E$4:$S$4,0)+MATCH($C$152,Learning!$E$5:$S$5,0)-1)))</f>
        <v>0</v>
      </c>
      <c r="AC157" s="532" cm="1">
        <f t="array" aca="1" ref="AC157" ca="1">IF(AC$21&lt;Standard_Year,'No STDs Case Rev &amp; Cost'!AC157,
OFFSET(AC157,-3,0)*
OFFSET(MSP!$D$1,
MATCH(OFFSET($C152,((MATCH($C152,EL_List,0)-1)*-10)-1,0),MSP!$C:$C,0)+MATCH($C152,EL_List,0)-1,0)
*INDEX(Learning!$E$6:$S$41,(MATCH(AC$21,Dates,0)),(MATCH($C$151,Learning!$E$4:$S$4,0)+MATCH($C$152,Learning!$E$5:$S$5,0)-1)))</f>
        <v>0</v>
      </c>
      <c r="AD157" s="532" cm="1">
        <f t="array" aca="1" ref="AD157" ca="1">IF(AD$21&lt;Standard_Year,'No STDs Case Rev &amp; Cost'!AD157,
OFFSET(AD157,-3,0)*
OFFSET(MSP!$D$1,
MATCH(OFFSET($C152,((MATCH($C152,EL_List,0)-1)*-10)-1,0),MSP!$C:$C,0)+MATCH($C152,EL_List,0)-1,0)
*INDEX(Learning!$E$6:$S$41,(MATCH(AD$21,Dates,0)),(MATCH($C$151,Learning!$E$4:$S$4,0)+MATCH($C$152,Learning!$E$5:$S$5,0)-1)))</f>
        <v>0</v>
      </c>
      <c r="AE157" s="532" cm="1">
        <f t="array" aca="1" ref="AE157" ca="1">IF(AE$21&lt;Standard_Year,'No STDs Case Rev &amp; Cost'!AE157,
OFFSET(AE157,-3,0)*
OFFSET(MSP!$D$1,
MATCH(OFFSET($C152,((MATCH($C152,EL_List,0)-1)*-10)-1,0),MSP!$C:$C,0)+MATCH($C152,EL_List,0)-1,0)
*INDEX(Learning!$E$6:$S$41,(MATCH(AE$21,Dates,0)),(MATCH($C$151,Learning!$E$4:$S$4,0)+MATCH($C$152,Learning!$E$5:$S$5,0)-1)))</f>
        <v>0</v>
      </c>
      <c r="AF157" s="532" cm="1">
        <f t="array" aca="1" ref="AF157" ca="1">IF(AF$21&lt;Standard_Year,'No STDs Case Rev &amp; Cost'!AF157,
OFFSET(AF157,-3,0)*
OFFSET(MSP!$D$1,
MATCH(OFFSET($C152,((MATCH($C152,EL_List,0)-1)*-10)-1,0),MSP!$C:$C,0)+MATCH($C152,EL_List,0)-1,0)
*INDEX(Learning!$E$6:$S$41,(MATCH(AF$21,Dates,0)),(MATCH($C$151,Learning!$E$4:$S$4,0)+MATCH($C$152,Learning!$E$5:$S$5,0)-1)))</f>
        <v>0</v>
      </c>
      <c r="AG157" s="532" cm="1">
        <f t="array" aca="1" ref="AG157" ca="1">IF(AG$21&lt;Standard_Year,'No STDs Case Rev &amp; Cost'!AG157,
OFFSET(AG157,-3,0)*
OFFSET(MSP!$D$1,
MATCH(OFFSET($C152,((MATCH($C152,EL_List,0)-1)*-10)-1,0),MSP!$C:$C,0)+MATCH($C152,EL_List,0)-1,0)
*INDEX(Learning!$E$6:$S$41,(MATCH(AG$21,Dates,0)),(MATCH($C$151,Learning!$E$4:$S$4,0)+MATCH($C$152,Learning!$E$5:$S$5,0)-1)))</f>
        <v>0</v>
      </c>
      <c r="AH157" s="532" cm="1">
        <f t="array" aca="1" ref="AH157" ca="1">IF(AH$21&lt;Standard_Year,'No STDs Case Rev &amp; Cost'!AH157,
OFFSET(AH157,-3,0)*
OFFSET(MSP!$D$1,
MATCH(OFFSET($C152,((MATCH($C152,EL_List,0)-1)*-10)-1,0),MSP!$C:$C,0)+MATCH($C152,EL_List,0)-1,0)
*INDEX(Learning!$E$6:$S$41,(MATCH(AH$21,Dates,0)),(MATCH($C$151,Learning!$E$4:$S$4,0)+MATCH($C$152,Learning!$E$5:$S$5,0)-1)))</f>
        <v>0</v>
      </c>
      <c r="AI157" s="532" cm="1">
        <f t="array" aca="1" ref="AI157" ca="1">IF(AI$21&lt;Standard_Year,'No STDs Case Rev &amp; Cost'!AI157,
OFFSET(AI157,-3,0)*
OFFSET(MSP!$D$1,
MATCH(OFFSET($C152,((MATCH($C152,EL_List,0)-1)*-10)-1,0),MSP!$C:$C,0)+MATCH($C152,EL_List,0)-1,0)
*INDEX(Learning!$E$6:$S$41,(MATCH(AI$21,Dates,0)),(MATCH($C$151,Learning!$E$4:$S$4,0)+MATCH($C$152,Learning!$E$5:$S$5,0)-1)))</f>
        <v>0</v>
      </c>
      <c r="AJ157" s="532" cm="1">
        <f t="array" aca="1" ref="AJ157" ca="1">IF(AJ$21&lt;Standard_Year,'No STDs Case Rev &amp; Cost'!AJ157,
OFFSET(AJ157,-3,0)*
OFFSET(MSP!$D$1,
MATCH(OFFSET($C152,((MATCH($C152,EL_List,0)-1)*-10)-1,0),MSP!$C:$C,0)+MATCH($C152,EL_List,0)-1,0)
*INDEX(Learning!$E$6:$S$41,(MATCH(AJ$21,Dates,0)),(MATCH($C$151,Learning!$E$4:$S$4,0)+MATCH($C$152,Learning!$E$5:$S$5,0)-1)))</f>
        <v>0</v>
      </c>
      <c r="AK157" s="532" cm="1">
        <f t="array" aca="1" ref="AK157" ca="1">IF(AK$21&lt;Standard_Year,'No STDs Case Rev &amp; Cost'!AK157,
OFFSET(AK157,-3,0)*
OFFSET(MSP!$D$1,
MATCH(OFFSET($C152,((MATCH($C152,EL_List,0)-1)*-10)-1,0),MSP!$C:$C,0)+MATCH($C152,EL_List,0)-1,0)
*INDEX(Learning!$E$6:$S$41,(MATCH(AK$21,Dates,0)),(MATCH($C$151,Learning!$E$4:$S$4,0)+MATCH($C$152,Learning!$E$5:$S$5,0)-1)))</f>
        <v>0</v>
      </c>
      <c r="AL157" s="532" cm="1">
        <f t="array" aca="1" ref="AL157" ca="1">IF(AL$21&lt;Standard_Year,'No STDs Case Rev &amp; Cost'!AL157,
OFFSET(AL157,-3,0)*
OFFSET(MSP!$D$1,
MATCH(OFFSET($C152,((MATCH($C152,EL_List,0)-1)*-10)-1,0),MSP!$C:$C,0)+MATCH($C152,EL_List,0)-1,0)
*INDEX(Learning!$E$6:$S$41,(MATCH(AL$21,Dates,0)),(MATCH($C$151,Learning!$E$4:$S$4,0)+MATCH($C$152,Learning!$E$5:$S$5,0)-1)))</f>
        <v>0</v>
      </c>
      <c r="AM157" s="532" cm="1">
        <f t="array" aca="1" ref="AM157" ca="1">IF(AM$21&lt;Standard_Year,'No STDs Case Rev &amp; Cost'!AM157,
OFFSET(AM157,-3,0)*
OFFSET(MSP!$D$1,
MATCH(OFFSET($C152,((MATCH($C152,EL_List,0)-1)*-10)-1,0),MSP!$C:$C,0)+MATCH($C152,EL_List,0)-1,0)
*INDEX(Learning!$E$6:$S$41,(MATCH(AM$21,Dates,0)),(MATCH($C$151,Learning!$E$4:$S$4,0)+MATCH($C$152,Learning!$E$5:$S$5,0)-1)))</f>
        <v>0</v>
      </c>
      <c r="AN157" s="532" cm="1">
        <f t="array" aca="1" ref="AN157" ca="1">IF(AN$21&lt;Standard_Year,'No STDs Case Rev &amp; Cost'!AN157,
OFFSET(AN157,-3,0)*
OFFSET(MSP!$D$1,
MATCH(OFFSET($C152,((MATCH($C152,EL_List,0)-1)*-10)-1,0),MSP!$C:$C,0)+MATCH($C152,EL_List,0)-1,0)
*INDEX(Learning!$E$6:$S$41,(MATCH(AN$21,Dates,0)),(MATCH($C$151,Learning!$E$4:$S$4,0)+MATCH($C$152,Learning!$E$5:$S$5,0)-1)))</f>
        <v>0</v>
      </c>
      <c r="AO157" s="436"/>
      <c r="AP157" s="21"/>
    </row>
    <row r="158" spans="2:42" ht="15" customHeight="1" x14ac:dyDescent="0.35">
      <c r="B158" s="429"/>
      <c r="C158" s="780" t="s">
        <v>213</v>
      </c>
      <c r="D158" s="776"/>
      <c r="E158" s="533" cm="1">
        <f t="array" aca="1" ref="E158" ca="1">IF(E$21&lt;Standard_Year,'No STDs Case Rev &amp; Cost'!E158,
OFFSET(E158,-4,0)*
OFFSET(MSP!$E$1,
MATCH(OFFSET($C152,((MATCH($C152,EL_List,0)-1)*-10)-1,0),MSP!$C:$C,0)+MATCH($C152,EL_List,0)-1,0)
*INDEX(Learning!$E$6:$S$41,(MATCH(E$21,Dates,0)),(MATCH($C$151,Learning!$E$4:$S$4,0)+MATCH($C$152,Learning!$E$5:$S$5,0)-1)))</f>
        <v>1.3201564183163901</v>
      </c>
      <c r="F158" s="533" cm="1">
        <f t="array" aca="1" ref="F158" ca="1">IF(F$21&lt;Standard_Year,'No STDs Case Rev &amp; Cost'!F158,
OFFSET(F158,-4,0)*
OFFSET(MSP!$E$1,
MATCH(OFFSET($C152,((MATCH($C152,EL_List,0)-1)*-10)-1,0),MSP!$C:$C,0)+MATCH($C152,EL_List,0)-1,0)
*INDEX(Learning!$E$6:$S$41,(MATCH(F$21,Dates,0)),(MATCH($C$151,Learning!$E$4:$S$4,0)+MATCH($C$152,Learning!$E$5:$S$5,0)-1)))</f>
        <v>1.3699178006548354</v>
      </c>
      <c r="G158" s="533" cm="1">
        <f t="array" aca="1" ref="G158" ca="1">IF(G$21&lt;Standard_Year,'No STDs Case Rev &amp; Cost'!G158,
OFFSET(G158,-4,0)*
OFFSET(MSP!$E$1,
MATCH(OFFSET($C152,((MATCH($C152,EL_List,0)-1)*-10)-1,0),MSP!$C:$C,0)+MATCH($C152,EL_List,0)-1,0)
*INDEX(Learning!$E$6:$S$41,(MATCH(G$21,Dates,0)),(MATCH($C$151,Learning!$E$4:$S$4,0)+MATCH($C$152,Learning!$E$5:$S$5,0)-1)))</f>
        <v>1.411458785171634</v>
      </c>
      <c r="H158" s="533" cm="1">
        <f t="array" aca="1" ref="H158" ca="1">IF(H$21&lt;Standard_Year,'No STDs Case Rev &amp; Cost'!H158,
OFFSET(H158,-4,0)*
OFFSET(MSP!$E$1,
MATCH(OFFSET($C152,((MATCH($C152,EL_List,0)-1)*-10)-1,0),MSP!$C:$C,0)+MATCH($C152,EL_List,0)-1,0)
*INDEX(Learning!$E$6:$S$41,(MATCH(H$21,Dates,0)),(MATCH($C$151,Learning!$E$4:$S$4,0)+MATCH($C$152,Learning!$E$5:$S$5,0)-1)))</f>
        <v>1.4676630400066943</v>
      </c>
      <c r="I158" s="533" cm="1">
        <f t="array" aca="1" ref="I158" ca="1">IF(I$21&lt;Standard_Year,'No STDs Case Rev &amp; Cost'!I158,
OFFSET(I158,-4,0)*
OFFSET(MSP!$E$1,
MATCH(OFFSET($C152,((MATCH($C152,EL_List,0)-1)*-10)-1,0),MSP!$C:$C,0)+MATCH($C152,EL_List,0)-1,0)
*INDEX(Learning!$E$6:$S$41,(MATCH(I$21,Dates,0)),(MATCH($C$151,Learning!$E$4:$S$4,0)+MATCH($C$152,Learning!$E$5:$S$5,0)-1)))</f>
        <v>0</v>
      </c>
      <c r="J158" s="533" cm="1">
        <f t="array" aca="1" ref="J158" ca="1">IF(J$21&lt;Standard_Year,'No STDs Case Rev &amp; Cost'!J158,
OFFSET(J158,-4,0)*
OFFSET(MSP!$E$1,
MATCH(OFFSET($C152,((MATCH($C152,EL_List,0)-1)*-10)-1,0),MSP!$C:$C,0)+MATCH($C152,EL_List,0)-1,0)
*INDEX(Learning!$E$6:$S$41,(MATCH(J$21,Dates,0)),(MATCH($C$151,Learning!$E$4:$S$4,0)+MATCH($C$152,Learning!$E$5:$S$5,0)-1)))</f>
        <v>0</v>
      </c>
      <c r="K158" s="533" cm="1">
        <f t="array" aca="1" ref="K158" ca="1">IF(K$21&lt;Standard_Year,'No STDs Case Rev &amp; Cost'!K158,
OFFSET(K158,-4,0)*
OFFSET(MSP!$E$1,
MATCH(OFFSET($C152,((MATCH($C152,EL_List,0)-1)*-10)-1,0),MSP!$C:$C,0)+MATCH($C152,EL_List,0)-1,0)
*INDEX(Learning!$E$6:$S$41,(MATCH(K$21,Dates,0)),(MATCH($C$151,Learning!$E$4:$S$4,0)+MATCH($C$152,Learning!$E$5:$S$5,0)-1)))</f>
        <v>0</v>
      </c>
      <c r="L158" s="533" cm="1">
        <f t="array" aca="1" ref="L158" ca="1">IF(L$21&lt;Standard_Year,'No STDs Case Rev &amp; Cost'!L158,
OFFSET(L158,-4,0)*
OFFSET(MSP!$E$1,
MATCH(OFFSET($C152,((MATCH($C152,EL_List,0)-1)*-10)-1,0),MSP!$C:$C,0)+MATCH($C152,EL_List,0)-1,0)
*INDEX(Learning!$E$6:$S$41,(MATCH(L$21,Dates,0)),(MATCH($C$151,Learning!$E$4:$S$4,0)+MATCH($C$152,Learning!$E$5:$S$5,0)-1)))</f>
        <v>0</v>
      </c>
      <c r="M158" s="533" cm="1">
        <f t="array" aca="1" ref="M158" ca="1">IF(M$21&lt;Standard_Year,'No STDs Case Rev &amp; Cost'!M158,
OFFSET(M158,-4,0)*
OFFSET(MSP!$E$1,
MATCH(OFFSET($C152,((MATCH($C152,EL_List,0)-1)*-10)-1,0),MSP!$C:$C,0)+MATCH($C152,EL_List,0)-1,0)
*INDEX(Learning!$E$6:$S$41,(MATCH(M$21,Dates,0)),(MATCH($C$151,Learning!$E$4:$S$4,0)+MATCH($C$152,Learning!$E$5:$S$5,0)-1)))</f>
        <v>0</v>
      </c>
      <c r="N158" s="533" cm="1">
        <f t="array" aca="1" ref="N158" ca="1">IF(N$21&lt;Standard_Year,'No STDs Case Rev &amp; Cost'!N158,
OFFSET(N158,-4,0)*
OFFSET(MSP!$E$1,
MATCH(OFFSET($C152,((MATCH($C152,EL_List,0)-1)*-10)-1,0),MSP!$C:$C,0)+MATCH($C152,EL_List,0)-1,0)
*INDEX(Learning!$E$6:$S$41,(MATCH(N$21,Dates,0)),(MATCH($C$151,Learning!$E$4:$S$4,0)+MATCH($C$152,Learning!$E$5:$S$5,0)-1)))</f>
        <v>0</v>
      </c>
      <c r="O158" s="533" cm="1">
        <f t="array" aca="1" ref="O158" ca="1">IF(O$21&lt;Standard_Year,'No STDs Case Rev &amp; Cost'!O158,
OFFSET(O158,-4,0)*
OFFSET(MSP!$E$1,
MATCH(OFFSET($C152,((MATCH($C152,EL_List,0)-1)*-10)-1,0),MSP!$C:$C,0)+MATCH($C152,EL_List,0)-1,0)
*INDEX(Learning!$E$6:$S$41,(MATCH(O$21,Dates,0)),(MATCH($C$151,Learning!$E$4:$S$4,0)+MATCH($C$152,Learning!$E$5:$S$5,0)-1)))</f>
        <v>0</v>
      </c>
      <c r="P158" s="533" cm="1">
        <f t="array" aca="1" ref="P158" ca="1">IF(P$21&lt;Standard_Year,'No STDs Case Rev &amp; Cost'!P158,
OFFSET(P158,-4,0)*
OFFSET(MSP!$E$1,
MATCH(OFFSET($C152,((MATCH($C152,EL_List,0)-1)*-10)-1,0),MSP!$C:$C,0)+MATCH($C152,EL_List,0)-1,0)
*INDEX(Learning!$E$6:$S$41,(MATCH(P$21,Dates,0)),(MATCH($C$151,Learning!$E$4:$S$4,0)+MATCH($C$152,Learning!$E$5:$S$5,0)-1)))</f>
        <v>0</v>
      </c>
      <c r="Q158" s="533" cm="1">
        <f t="array" aca="1" ref="Q158" ca="1">IF(Q$21&lt;Standard_Year,'No STDs Case Rev &amp; Cost'!Q158,
OFFSET(Q158,-4,0)*
OFFSET(MSP!$E$1,
MATCH(OFFSET($C152,((MATCH($C152,EL_List,0)-1)*-10)-1,0),MSP!$C:$C,0)+MATCH($C152,EL_List,0)-1,0)
*INDEX(Learning!$E$6:$S$41,(MATCH(Q$21,Dates,0)),(MATCH($C$151,Learning!$E$4:$S$4,0)+MATCH($C$152,Learning!$E$5:$S$5,0)-1)))</f>
        <v>0</v>
      </c>
      <c r="R158" s="533" cm="1">
        <f t="array" aca="1" ref="R158" ca="1">IF(R$21&lt;Standard_Year,'No STDs Case Rev &amp; Cost'!R158,
OFFSET(R158,-4,0)*
OFFSET(MSP!$E$1,
MATCH(OFFSET($C152,((MATCH($C152,EL_List,0)-1)*-10)-1,0),MSP!$C:$C,0)+MATCH($C152,EL_List,0)-1,0)
*INDEX(Learning!$E$6:$S$41,(MATCH(R$21,Dates,0)),(MATCH($C$151,Learning!$E$4:$S$4,0)+MATCH($C$152,Learning!$E$5:$S$5,0)-1)))</f>
        <v>0</v>
      </c>
      <c r="S158" s="533" cm="1">
        <f t="array" aca="1" ref="S158" ca="1">IF(S$21&lt;Standard_Year,'No STDs Case Rev &amp; Cost'!S158,
OFFSET(S158,-4,0)*
OFFSET(MSP!$E$1,
MATCH(OFFSET($C152,((MATCH($C152,EL_List,0)-1)*-10)-1,0),MSP!$C:$C,0)+MATCH($C152,EL_List,0)-1,0)
*INDEX(Learning!$E$6:$S$41,(MATCH(S$21,Dates,0)),(MATCH($C$151,Learning!$E$4:$S$4,0)+MATCH($C$152,Learning!$E$5:$S$5,0)-1)))</f>
        <v>0</v>
      </c>
      <c r="T158" s="533" cm="1">
        <f t="array" aca="1" ref="T158" ca="1">IF(T$21&lt;Standard_Year,'No STDs Case Rev &amp; Cost'!T158,
OFFSET(T158,-4,0)*
OFFSET(MSP!$E$1,
MATCH(OFFSET($C152,((MATCH($C152,EL_List,0)-1)*-10)-1,0),MSP!$C:$C,0)+MATCH($C152,EL_List,0)-1,0)
*INDEX(Learning!$E$6:$S$41,(MATCH(T$21,Dates,0)),(MATCH($C$151,Learning!$E$4:$S$4,0)+MATCH($C$152,Learning!$E$5:$S$5,0)-1)))</f>
        <v>0</v>
      </c>
      <c r="U158" s="533" cm="1">
        <f t="array" aca="1" ref="U158" ca="1">IF(U$21&lt;Standard_Year,'No STDs Case Rev &amp; Cost'!U158,
OFFSET(U158,-4,0)*
OFFSET(MSP!$E$1,
MATCH(OFFSET($C152,((MATCH($C152,EL_List,0)-1)*-10)-1,0),MSP!$C:$C,0)+MATCH($C152,EL_List,0)-1,0)
*INDEX(Learning!$E$6:$S$41,(MATCH(U$21,Dates,0)),(MATCH($C$151,Learning!$E$4:$S$4,0)+MATCH($C$152,Learning!$E$5:$S$5,0)-1)))</f>
        <v>0</v>
      </c>
      <c r="V158" s="533" cm="1">
        <f t="array" aca="1" ref="V158" ca="1">IF(V$21&lt;Standard_Year,'No STDs Case Rev &amp; Cost'!V158,
OFFSET(V158,-4,0)*
OFFSET(MSP!$E$1,
MATCH(OFFSET($C152,((MATCH($C152,EL_List,0)-1)*-10)-1,0),MSP!$C:$C,0)+MATCH($C152,EL_List,0)-1,0)
*INDEX(Learning!$E$6:$S$41,(MATCH(V$21,Dates,0)),(MATCH($C$151,Learning!$E$4:$S$4,0)+MATCH($C$152,Learning!$E$5:$S$5,0)-1)))</f>
        <v>0</v>
      </c>
      <c r="W158" s="533" cm="1">
        <f t="array" aca="1" ref="W158" ca="1">IF(W$21&lt;Standard_Year,'No STDs Case Rev &amp; Cost'!W158,
OFFSET(W158,-4,0)*
OFFSET(MSP!$E$1,
MATCH(OFFSET($C152,((MATCH($C152,EL_List,0)-1)*-10)-1,0),MSP!$C:$C,0)+MATCH($C152,EL_List,0)-1,0)
*INDEX(Learning!$E$6:$S$41,(MATCH(W$21,Dates,0)),(MATCH($C$151,Learning!$E$4:$S$4,0)+MATCH($C$152,Learning!$E$5:$S$5,0)-1)))</f>
        <v>0</v>
      </c>
      <c r="X158" s="533" cm="1">
        <f t="array" aca="1" ref="X158" ca="1">IF(X$21&lt;Standard_Year,'No STDs Case Rev &amp; Cost'!X158,
OFFSET(X158,-4,0)*
OFFSET(MSP!$E$1,
MATCH(OFFSET($C152,((MATCH($C152,EL_List,0)-1)*-10)-1,0),MSP!$C:$C,0)+MATCH($C152,EL_List,0)-1,0)
*INDEX(Learning!$E$6:$S$41,(MATCH(X$21,Dates,0)),(MATCH($C$151,Learning!$E$4:$S$4,0)+MATCH($C$152,Learning!$E$5:$S$5,0)-1)))</f>
        <v>0</v>
      </c>
      <c r="Y158" s="533" cm="1">
        <f t="array" aca="1" ref="Y158" ca="1">IF(Y$21&lt;Standard_Year,'No STDs Case Rev &amp; Cost'!Y158,
OFFSET(Y158,-4,0)*
OFFSET(MSP!$E$1,
MATCH(OFFSET($C152,((MATCH($C152,EL_List,0)-1)*-10)-1,0),MSP!$C:$C,0)+MATCH($C152,EL_List,0)-1,0)
*INDEX(Learning!$E$6:$S$41,(MATCH(Y$21,Dates,0)),(MATCH($C$151,Learning!$E$4:$S$4,0)+MATCH($C$152,Learning!$E$5:$S$5,0)-1)))</f>
        <v>0</v>
      </c>
      <c r="Z158" s="533" cm="1">
        <f t="array" aca="1" ref="Z158" ca="1">IF(Z$21&lt;Standard_Year,'No STDs Case Rev &amp; Cost'!Z158,
OFFSET(Z158,-4,0)*
OFFSET(MSP!$E$1,
MATCH(OFFSET($C152,((MATCH($C152,EL_List,0)-1)*-10)-1,0),MSP!$C:$C,0)+MATCH($C152,EL_List,0)-1,0)
*INDEX(Learning!$E$6:$S$41,(MATCH(Z$21,Dates,0)),(MATCH($C$151,Learning!$E$4:$S$4,0)+MATCH($C$152,Learning!$E$5:$S$5,0)-1)))</f>
        <v>0</v>
      </c>
      <c r="AA158" s="533" cm="1">
        <f t="array" aca="1" ref="AA158" ca="1">IF(AA$21&lt;Standard_Year,'No STDs Case Rev &amp; Cost'!AA158,
OFFSET(AA158,-4,0)*
OFFSET(MSP!$E$1,
MATCH(OFFSET($C152,((MATCH($C152,EL_List,0)-1)*-10)-1,0),MSP!$C:$C,0)+MATCH($C152,EL_List,0)-1,0)
*INDEX(Learning!$E$6:$S$41,(MATCH(AA$21,Dates,0)),(MATCH($C$151,Learning!$E$4:$S$4,0)+MATCH($C$152,Learning!$E$5:$S$5,0)-1)))</f>
        <v>0</v>
      </c>
      <c r="AB158" s="533" cm="1">
        <f t="array" aca="1" ref="AB158" ca="1">IF(AB$21&lt;Standard_Year,'No STDs Case Rev &amp; Cost'!AB158,
OFFSET(AB158,-4,0)*
OFFSET(MSP!$E$1,
MATCH(OFFSET($C152,((MATCH($C152,EL_List,0)-1)*-10)-1,0),MSP!$C:$C,0)+MATCH($C152,EL_List,0)-1,0)
*INDEX(Learning!$E$6:$S$41,(MATCH(AB$21,Dates,0)),(MATCH($C$151,Learning!$E$4:$S$4,0)+MATCH($C$152,Learning!$E$5:$S$5,0)-1)))</f>
        <v>0</v>
      </c>
      <c r="AC158" s="533" cm="1">
        <f t="array" aca="1" ref="AC158" ca="1">IF(AC$21&lt;Standard_Year,'No STDs Case Rev &amp; Cost'!AC158,
OFFSET(AC158,-4,0)*
OFFSET(MSP!$E$1,
MATCH(OFFSET($C152,((MATCH($C152,EL_List,0)-1)*-10)-1,0),MSP!$C:$C,0)+MATCH($C152,EL_List,0)-1,0)
*INDEX(Learning!$E$6:$S$41,(MATCH(AC$21,Dates,0)),(MATCH($C$151,Learning!$E$4:$S$4,0)+MATCH($C$152,Learning!$E$5:$S$5,0)-1)))</f>
        <v>0</v>
      </c>
      <c r="AD158" s="533" cm="1">
        <f t="array" aca="1" ref="AD158" ca="1">IF(AD$21&lt;Standard_Year,'No STDs Case Rev &amp; Cost'!AD158,
OFFSET(AD158,-4,0)*
OFFSET(MSP!$E$1,
MATCH(OFFSET($C152,((MATCH($C152,EL_List,0)-1)*-10)-1,0),MSP!$C:$C,0)+MATCH($C152,EL_List,0)-1,0)
*INDEX(Learning!$E$6:$S$41,(MATCH(AD$21,Dates,0)),(MATCH($C$151,Learning!$E$4:$S$4,0)+MATCH($C$152,Learning!$E$5:$S$5,0)-1)))</f>
        <v>0</v>
      </c>
      <c r="AE158" s="533" cm="1">
        <f t="array" aca="1" ref="AE158" ca="1">IF(AE$21&lt;Standard_Year,'No STDs Case Rev &amp; Cost'!AE158,
OFFSET(AE158,-4,0)*
OFFSET(MSP!$E$1,
MATCH(OFFSET($C152,((MATCH($C152,EL_List,0)-1)*-10)-1,0),MSP!$C:$C,0)+MATCH($C152,EL_List,0)-1,0)
*INDEX(Learning!$E$6:$S$41,(MATCH(AE$21,Dates,0)),(MATCH($C$151,Learning!$E$4:$S$4,0)+MATCH($C$152,Learning!$E$5:$S$5,0)-1)))</f>
        <v>0</v>
      </c>
      <c r="AF158" s="533" cm="1">
        <f t="array" aca="1" ref="AF158" ca="1">IF(AF$21&lt;Standard_Year,'No STDs Case Rev &amp; Cost'!AF158,
OFFSET(AF158,-4,0)*
OFFSET(MSP!$E$1,
MATCH(OFFSET($C152,((MATCH($C152,EL_List,0)-1)*-10)-1,0),MSP!$C:$C,0)+MATCH($C152,EL_List,0)-1,0)
*INDEX(Learning!$E$6:$S$41,(MATCH(AF$21,Dates,0)),(MATCH($C$151,Learning!$E$4:$S$4,0)+MATCH($C$152,Learning!$E$5:$S$5,0)-1)))</f>
        <v>0</v>
      </c>
      <c r="AG158" s="533" cm="1">
        <f t="array" aca="1" ref="AG158" ca="1">IF(AG$21&lt;Standard_Year,'No STDs Case Rev &amp; Cost'!AG158,
OFFSET(AG158,-4,0)*
OFFSET(MSP!$E$1,
MATCH(OFFSET($C152,((MATCH($C152,EL_List,0)-1)*-10)-1,0),MSP!$C:$C,0)+MATCH($C152,EL_List,0)-1,0)
*INDEX(Learning!$E$6:$S$41,(MATCH(AG$21,Dates,0)),(MATCH($C$151,Learning!$E$4:$S$4,0)+MATCH($C$152,Learning!$E$5:$S$5,0)-1)))</f>
        <v>0</v>
      </c>
      <c r="AH158" s="533" cm="1">
        <f t="array" aca="1" ref="AH158" ca="1">IF(AH$21&lt;Standard_Year,'No STDs Case Rev &amp; Cost'!AH158,
OFFSET(AH158,-4,0)*
OFFSET(MSP!$E$1,
MATCH(OFFSET($C152,((MATCH($C152,EL_List,0)-1)*-10)-1,0),MSP!$C:$C,0)+MATCH($C152,EL_List,0)-1,0)
*INDEX(Learning!$E$6:$S$41,(MATCH(AH$21,Dates,0)),(MATCH($C$151,Learning!$E$4:$S$4,0)+MATCH($C$152,Learning!$E$5:$S$5,0)-1)))</f>
        <v>0</v>
      </c>
      <c r="AI158" s="533" cm="1">
        <f t="array" aca="1" ref="AI158" ca="1">IF(AI$21&lt;Standard_Year,'No STDs Case Rev &amp; Cost'!AI158,
OFFSET(AI158,-4,0)*
OFFSET(MSP!$E$1,
MATCH(OFFSET($C152,((MATCH($C152,EL_List,0)-1)*-10)-1,0),MSP!$C:$C,0)+MATCH($C152,EL_List,0)-1,0)
*INDEX(Learning!$E$6:$S$41,(MATCH(AI$21,Dates,0)),(MATCH($C$151,Learning!$E$4:$S$4,0)+MATCH($C$152,Learning!$E$5:$S$5,0)-1)))</f>
        <v>0</v>
      </c>
      <c r="AJ158" s="533" cm="1">
        <f t="array" aca="1" ref="AJ158" ca="1">IF(AJ$21&lt;Standard_Year,'No STDs Case Rev &amp; Cost'!AJ158,
OFFSET(AJ158,-4,0)*
OFFSET(MSP!$E$1,
MATCH(OFFSET($C152,((MATCH($C152,EL_List,0)-1)*-10)-1,0),MSP!$C:$C,0)+MATCH($C152,EL_List,0)-1,0)
*INDEX(Learning!$E$6:$S$41,(MATCH(AJ$21,Dates,0)),(MATCH($C$151,Learning!$E$4:$S$4,0)+MATCH($C$152,Learning!$E$5:$S$5,0)-1)))</f>
        <v>0</v>
      </c>
      <c r="AK158" s="533" cm="1">
        <f t="array" aca="1" ref="AK158" ca="1">IF(AK$21&lt;Standard_Year,'No STDs Case Rev &amp; Cost'!AK158,
OFFSET(AK158,-4,0)*
OFFSET(MSP!$E$1,
MATCH(OFFSET($C152,((MATCH($C152,EL_List,0)-1)*-10)-1,0),MSP!$C:$C,0)+MATCH($C152,EL_List,0)-1,0)
*INDEX(Learning!$E$6:$S$41,(MATCH(AK$21,Dates,0)),(MATCH($C$151,Learning!$E$4:$S$4,0)+MATCH($C$152,Learning!$E$5:$S$5,0)-1)))</f>
        <v>0</v>
      </c>
      <c r="AL158" s="533" cm="1">
        <f t="array" aca="1" ref="AL158" ca="1">IF(AL$21&lt;Standard_Year,'No STDs Case Rev &amp; Cost'!AL158,
OFFSET(AL158,-4,0)*
OFFSET(MSP!$E$1,
MATCH(OFFSET($C152,((MATCH($C152,EL_List,0)-1)*-10)-1,0),MSP!$C:$C,0)+MATCH($C152,EL_List,0)-1,0)
*INDEX(Learning!$E$6:$S$41,(MATCH(AL$21,Dates,0)),(MATCH($C$151,Learning!$E$4:$S$4,0)+MATCH($C$152,Learning!$E$5:$S$5,0)-1)))</f>
        <v>0</v>
      </c>
      <c r="AM158" s="533" cm="1">
        <f t="array" aca="1" ref="AM158" ca="1">IF(AM$21&lt;Standard_Year,'No STDs Case Rev &amp; Cost'!AM158,
OFFSET(AM158,-4,0)*
OFFSET(MSP!$E$1,
MATCH(OFFSET($C152,((MATCH($C152,EL_List,0)-1)*-10)-1,0),MSP!$C:$C,0)+MATCH($C152,EL_List,0)-1,0)
*INDEX(Learning!$E$6:$S$41,(MATCH(AM$21,Dates,0)),(MATCH($C$151,Learning!$E$4:$S$4,0)+MATCH($C$152,Learning!$E$5:$S$5,0)-1)))</f>
        <v>0</v>
      </c>
      <c r="AN158" s="533" cm="1">
        <f t="array" aca="1" ref="AN158" ca="1">IF(AN$21&lt;Standard_Year,'No STDs Case Rev &amp; Cost'!AN158,
OFFSET(AN158,-4,0)*
OFFSET(MSP!$E$1,
MATCH(OFFSET($C152,((MATCH($C152,EL_List,0)-1)*-10)-1,0),MSP!$C:$C,0)+MATCH($C152,EL_List,0)-1,0)
*INDEX(Learning!$E$6:$S$41,(MATCH(AN$21,Dates,0)),(MATCH($C$151,Learning!$E$4:$S$4,0)+MATCH($C$152,Learning!$E$5:$S$5,0)-1)))</f>
        <v>0</v>
      </c>
      <c r="AO158" s="436"/>
      <c r="AP158" s="21"/>
    </row>
    <row r="159" spans="2:42" ht="15" customHeight="1" x14ac:dyDescent="0.35">
      <c r="B159" s="429"/>
      <c r="C159" s="780" t="s">
        <v>214</v>
      </c>
      <c r="D159" s="776"/>
      <c r="E159" s="533" cm="1">
        <f t="array" aca="1" ref="E159" ca="1">IF(E$21&lt;Standard_Year,'No STDs Case Rev &amp; Cost'!E159,
OFFSET(E159,-5,0)*
OFFSET(MSP!$F$1,
MATCH(OFFSET($C152,((MATCH($C152,EL_List,0)-1)*-10)-1,0),MSP!$C:$C,0)+MATCH($C152,EL_List,0)-1,0)
*INDEX(Learning!$E$6:$S$41,(MATCH(E$21,Dates,0)),(MATCH($C$151,Learning!$E$4:$S$4,0)+MATCH($C$152,Learning!$E$5:$S$5,0)-1)))</f>
        <v>3.1277587920201135</v>
      </c>
      <c r="F159" s="533" cm="1">
        <f t="array" aca="1" ref="F159" ca="1">IF(F$21&lt;Standard_Year,'No STDs Case Rev &amp; Cost'!F159,
OFFSET(F159,-5,0)*
OFFSET(MSP!$F$1,
MATCH(OFFSET($C152,((MATCH($C152,EL_List,0)-1)*-10)-1,0),MSP!$C:$C,0)+MATCH($C152,EL_List,0)-1,0)
*INDEX(Learning!$E$6:$S$41,(MATCH(F$21,Dates,0)),(MATCH($C$151,Learning!$E$4:$S$4,0)+MATCH($C$152,Learning!$E$5:$S$5,0)-1)))</f>
        <v>3.2456551253278274</v>
      </c>
      <c r="G159" s="533" cm="1">
        <f t="array" aca="1" ref="G159" ca="1">IF(G$21&lt;Standard_Year,'No STDs Case Rev &amp; Cost'!G159,
OFFSET(G159,-5,0)*
OFFSET(MSP!$F$1,
MATCH(OFFSET($C152,((MATCH($C152,EL_List,0)-1)*-10)-1,0),MSP!$C:$C,0)+MATCH($C152,EL_List,0)-1,0)
*INDEX(Learning!$E$6:$S$41,(MATCH(G$21,Dates,0)),(MATCH($C$151,Learning!$E$4:$S$4,0)+MATCH($C$152,Learning!$E$5:$S$5,0)-1)))</f>
        <v>3.3440754168545621</v>
      </c>
      <c r="H159" s="533" cm="1">
        <f t="array" aca="1" ref="H159" ca="1">IF(H$21&lt;Standard_Year,'No STDs Case Rev &amp; Cost'!H159,
OFFSET(H159,-5,0)*
OFFSET(MSP!$F$1,
MATCH(OFFSET($C152,((MATCH($C152,EL_List,0)-1)*-10)-1,0),MSP!$C:$C,0)+MATCH($C152,EL_List,0)-1,0)
*INDEX(Learning!$E$6:$S$41,(MATCH(H$21,Dates,0)),(MATCH($C$151,Learning!$E$4:$S$4,0)+MATCH($C$152,Learning!$E$5:$S$5,0)-1)))</f>
        <v>3.4772364194223409</v>
      </c>
      <c r="I159" s="533" cm="1">
        <f t="array" aca="1" ref="I159" ca="1">IF(I$21&lt;Standard_Year,'No STDs Case Rev &amp; Cost'!I159,
OFFSET(I159,-5,0)*
OFFSET(MSP!$F$1,
MATCH(OFFSET($C152,((MATCH($C152,EL_List,0)-1)*-10)-1,0),MSP!$C:$C,0)+MATCH($C152,EL_List,0)-1,0)
*INDEX(Learning!$E$6:$S$41,(MATCH(I$21,Dates,0)),(MATCH($C$151,Learning!$E$4:$S$4,0)+MATCH($C$152,Learning!$E$5:$S$5,0)-1)))</f>
        <v>0</v>
      </c>
      <c r="J159" s="533" cm="1">
        <f t="array" aca="1" ref="J159" ca="1">IF(J$21&lt;Standard_Year,'No STDs Case Rev &amp; Cost'!J159,
OFFSET(J159,-5,0)*
OFFSET(MSP!$F$1,
MATCH(OFFSET($C152,((MATCH($C152,EL_List,0)-1)*-10)-1,0),MSP!$C:$C,0)+MATCH($C152,EL_List,0)-1,0)
*INDEX(Learning!$E$6:$S$41,(MATCH(J$21,Dates,0)),(MATCH($C$151,Learning!$E$4:$S$4,0)+MATCH($C$152,Learning!$E$5:$S$5,0)-1)))</f>
        <v>0</v>
      </c>
      <c r="K159" s="533" cm="1">
        <f t="array" aca="1" ref="K159" ca="1">IF(K$21&lt;Standard_Year,'No STDs Case Rev &amp; Cost'!K159,
OFFSET(K159,-5,0)*
OFFSET(MSP!$F$1,
MATCH(OFFSET($C152,((MATCH($C152,EL_List,0)-1)*-10)-1,0),MSP!$C:$C,0)+MATCH($C152,EL_List,0)-1,0)
*INDEX(Learning!$E$6:$S$41,(MATCH(K$21,Dates,0)),(MATCH($C$151,Learning!$E$4:$S$4,0)+MATCH($C$152,Learning!$E$5:$S$5,0)-1)))</f>
        <v>0</v>
      </c>
      <c r="L159" s="533" cm="1">
        <f t="array" aca="1" ref="L159" ca="1">IF(L$21&lt;Standard_Year,'No STDs Case Rev &amp; Cost'!L159,
OFFSET(L159,-5,0)*
OFFSET(MSP!$F$1,
MATCH(OFFSET($C152,((MATCH($C152,EL_List,0)-1)*-10)-1,0),MSP!$C:$C,0)+MATCH($C152,EL_List,0)-1,0)
*INDEX(Learning!$E$6:$S$41,(MATCH(L$21,Dates,0)),(MATCH($C$151,Learning!$E$4:$S$4,0)+MATCH($C$152,Learning!$E$5:$S$5,0)-1)))</f>
        <v>0</v>
      </c>
      <c r="M159" s="533" cm="1">
        <f t="array" aca="1" ref="M159" ca="1">IF(M$21&lt;Standard_Year,'No STDs Case Rev &amp; Cost'!M159,
OFFSET(M159,-5,0)*
OFFSET(MSP!$F$1,
MATCH(OFFSET($C152,((MATCH($C152,EL_List,0)-1)*-10)-1,0),MSP!$C:$C,0)+MATCH($C152,EL_List,0)-1,0)
*INDEX(Learning!$E$6:$S$41,(MATCH(M$21,Dates,0)),(MATCH($C$151,Learning!$E$4:$S$4,0)+MATCH($C$152,Learning!$E$5:$S$5,0)-1)))</f>
        <v>0</v>
      </c>
      <c r="N159" s="533" cm="1">
        <f t="array" aca="1" ref="N159" ca="1">IF(N$21&lt;Standard_Year,'No STDs Case Rev &amp; Cost'!N159,
OFFSET(N159,-5,0)*
OFFSET(MSP!$F$1,
MATCH(OFFSET($C152,((MATCH($C152,EL_List,0)-1)*-10)-1,0),MSP!$C:$C,0)+MATCH($C152,EL_List,0)-1,0)
*INDEX(Learning!$E$6:$S$41,(MATCH(N$21,Dates,0)),(MATCH($C$151,Learning!$E$4:$S$4,0)+MATCH($C$152,Learning!$E$5:$S$5,0)-1)))</f>
        <v>0</v>
      </c>
      <c r="O159" s="533" cm="1">
        <f t="array" aca="1" ref="O159" ca="1">IF(O$21&lt;Standard_Year,'No STDs Case Rev &amp; Cost'!O159,
OFFSET(O159,-5,0)*
OFFSET(MSP!$F$1,
MATCH(OFFSET($C152,((MATCH($C152,EL_List,0)-1)*-10)-1,0),MSP!$C:$C,0)+MATCH($C152,EL_List,0)-1,0)
*INDEX(Learning!$E$6:$S$41,(MATCH(O$21,Dates,0)),(MATCH($C$151,Learning!$E$4:$S$4,0)+MATCH($C$152,Learning!$E$5:$S$5,0)-1)))</f>
        <v>0</v>
      </c>
      <c r="P159" s="533" cm="1">
        <f t="array" aca="1" ref="P159" ca="1">IF(P$21&lt;Standard_Year,'No STDs Case Rev &amp; Cost'!P159,
OFFSET(P159,-5,0)*
OFFSET(MSP!$F$1,
MATCH(OFFSET($C152,((MATCH($C152,EL_List,0)-1)*-10)-1,0),MSP!$C:$C,0)+MATCH($C152,EL_List,0)-1,0)
*INDEX(Learning!$E$6:$S$41,(MATCH(P$21,Dates,0)),(MATCH($C$151,Learning!$E$4:$S$4,0)+MATCH($C$152,Learning!$E$5:$S$5,0)-1)))</f>
        <v>0</v>
      </c>
      <c r="Q159" s="533" cm="1">
        <f t="array" aca="1" ref="Q159" ca="1">IF(Q$21&lt;Standard_Year,'No STDs Case Rev &amp; Cost'!Q159,
OFFSET(Q159,-5,0)*
OFFSET(MSP!$F$1,
MATCH(OFFSET($C152,((MATCH($C152,EL_List,0)-1)*-10)-1,0),MSP!$C:$C,0)+MATCH($C152,EL_List,0)-1,0)
*INDEX(Learning!$E$6:$S$41,(MATCH(Q$21,Dates,0)),(MATCH($C$151,Learning!$E$4:$S$4,0)+MATCH($C$152,Learning!$E$5:$S$5,0)-1)))</f>
        <v>0</v>
      </c>
      <c r="R159" s="533" cm="1">
        <f t="array" aca="1" ref="R159" ca="1">IF(R$21&lt;Standard_Year,'No STDs Case Rev &amp; Cost'!R159,
OFFSET(R159,-5,0)*
OFFSET(MSP!$F$1,
MATCH(OFFSET($C152,((MATCH($C152,EL_List,0)-1)*-10)-1,0),MSP!$C:$C,0)+MATCH($C152,EL_List,0)-1,0)
*INDEX(Learning!$E$6:$S$41,(MATCH(R$21,Dates,0)),(MATCH($C$151,Learning!$E$4:$S$4,0)+MATCH($C$152,Learning!$E$5:$S$5,0)-1)))</f>
        <v>0</v>
      </c>
      <c r="S159" s="533" cm="1">
        <f t="array" aca="1" ref="S159" ca="1">IF(S$21&lt;Standard_Year,'No STDs Case Rev &amp; Cost'!S159,
OFFSET(S159,-5,0)*
OFFSET(MSP!$F$1,
MATCH(OFFSET($C152,((MATCH($C152,EL_List,0)-1)*-10)-1,0),MSP!$C:$C,0)+MATCH($C152,EL_List,0)-1,0)
*INDEX(Learning!$E$6:$S$41,(MATCH(S$21,Dates,0)),(MATCH($C$151,Learning!$E$4:$S$4,0)+MATCH($C$152,Learning!$E$5:$S$5,0)-1)))</f>
        <v>0</v>
      </c>
      <c r="T159" s="533" cm="1">
        <f t="array" aca="1" ref="T159" ca="1">IF(T$21&lt;Standard_Year,'No STDs Case Rev &amp; Cost'!T159,
OFFSET(T159,-5,0)*
OFFSET(MSP!$F$1,
MATCH(OFFSET($C152,((MATCH($C152,EL_List,0)-1)*-10)-1,0),MSP!$C:$C,0)+MATCH($C152,EL_List,0)-1,0)
*INDEX(Learning!$E$6:$S$41,(MATCH(T$21,Dates,0)),(MATCH($C$151,Learning!$E$4:$S$4,0)+MATCH($C$152,Learning!$E$5:$S$5,0)-1)))</f>
        <v>0</v>
      </c>
      <c r="U159" s="533" cm="1">
        <f t="array" aca="1" ref="U159" ca="1">IF(U$21&lt;Standard_Year,'No STDs Case Rev &amp; Cost'!U159,
OFFSET(U159,-5,0)*
OFFSET(MSP!$F$1,
MATCH(OFFSET($C152,((MATCH($C152,EL_List,0)-1)*-10)-1,0),MSP!$C:$C,0)+MATCH($C152,EL_List,0)-1,0)
*INDEX(Learning!$E$6:$S$41,(MATCH(U$21,Dates,0)),(MATCH($C$151,Learning!$E$4:$S$4,0)+MATCH($C$152,Learning!$E$5:$S$5,0)-1)))</f>
        <v>0</v>
      </c>
      <c r="V159" s="533" cm="1">
        <f t="array" aca="1" ref="V159" ca="1">IF(V$21&lt;Standard_Year,'No STDs Case Rev &amp; Cost'!V159,
OFFSET(V159,-5,0)*
OFFSET(MSP!$F$1,
MATCH(OFFSET($C152,((MATCH($C152,EL_List,0)-1)*-10)-1,0),MSP!$C:$C,0)+MATCH($C152,EL_List,0)-1,0)
*INDEX(Learning!$E$6:$S$41,(MATCH(V$21,Dates,0)),(MATCH($C$151,Learning!$E$4:$S$4,0)+MATCH($C$152,Learning!$E$5:$S$5,0)-1)))</f>
        <v>0</v>
      </c>
      <c r="W159" s="533" cm="1">
        <f t="array" aca="1" ref="W159" ca="1">IF(W$21&lt;Standard_Year,'No STDs Case Rev &amp; Cost'!W159,
OFFSET(W159,-5,0)*
OFFSET(MSP!$F$1,
MATCH(OFFSET($C152,((MATCH($C152,EL_List,0)-1)*-10)-1,0),MSP!$C:$C,0)+MATCH($C152,EL_List,0)-1,0)
*INDEX(Learning!$E$6:$S$41,(MATCH(W$21,Dates,0)),(MATCH($C$151,Learning!$E$4:$S$4,0)+MATCH($C$152,Learning!$E$5:$S$5,0)-1)))</f>
        <v>0</v>
      </c>
      <c r="X159" s="533" cm="1">
        <f t="array" aca="1" ref="X159" ca="1">IF(X$21&lt;Standard_Year,'No STDs Case Rev &amp; Cost'!X159,
OFFSET(X159,-5,0)*
OFFSET(MSP!$F$1,
MATCH(OFFSET($C152,((MATCH($C152,EL_List,0)-1)*-10)-1,0),MSP!$C:$C,0)+MATCH($C152,EL_List,0)-1,0)
*INDEX(Learning!$E$6:$S$41,(MATCH(X$21,Dates,0)),(MATCH($C$151,Learning!$E$4:$S$4,0)+MATCH($C$152,Learning!$E$5:$S$5,0)-1)))</f>
        <v>0</v>
      </c>
      <c r="Y159" s="533" cm="1">
        <f t="array" aca="1" ref="Y159" ca="1">IF(Y$21&lt;Standard_Year,'No STDs Case Rev &amp; Cost'!Y159,
OFFSET(Y159,-5,0)*
OFFSET(MSP!$F$1,
MATCH(OFFSET($C152,((MATCH($C152,EL_List,0)-1)*-10)-1,0),MSP!$C:$C,0)+MATCH($C152,EL_List,0)-1,0)
*INDEX(Learning!$E$6:$S$41,(MATCH(Y$21,Dates,0)),(MATCH($C$151,Learning!$E$4:$S$4,0)+MATCH($C$152,Learning!$E$5:$S$5,0)-1)))</f>
        <v>0</v>
      </c>
      <c r="Z159" s="533" cm="1">
        <f t="array" aca="1" ref="Z159" ca="1">IF(Z$21&lt;Standard_Year,'No STDs Case Rev &amp; Cost'!Z159,
OFFSET(Z159,-5,0)*
OFFSET(MSP!$F$1,
MATCH(OFFSET($C152,((MATCH($C152,EL_List,0)-1)*-10)-1,0),MSP!$C:$C,0)+MATCH($C152,EL_List,0)-1,0)
*INDEX(Learning!$E$6:$S$41,(MATCH(Z$21,Dates,0)),(MATCH($C$151,Learning!$E$4:$S$4,0)+MATCH($C$152,Learning!$E$5:$S$5,0)-1)))</f>
        <v>0</v>
      </c>
      <c r="AA159" s="533" cm="1">
        <f t="array" aca="1" ref="AA159" ca="1">IF(AA$21&lt;Standard_Year,'No STDs Case Rev &amp; Cost'!AA159,
OFFSET(AA159,-5,0)*
OFFSET(MSP!$F$1,
MATCH(OFFSET($C152,((MATCH($C152,EL_List,0)-1)*-10)-1,0),MSP!$C:$C,0)+MATCH($C152,EL_List,0)-1,0)
*INDEX(Learning!$E$6:$S$41,(MATCH(AA$21,Dates,0)),(MATCH($C$151,Learning!$E$4:$S$4,0)+MATCH($C$152,Learning!$E$5:$S$5,0)-1)))</f>
        <v>0</v>
      </c>
      <c r="AB159" s="533" cm="1">
        <f t="array" aca="1" ref="AB159" ca="1">IF(AB$21&lt;Standard_Year,'No STDs Case Rev &amp; Cost'!AB159,
OFFSET(AB159,-5,0)*
OFFSET(MSP!$F$1,
MATCH(OFFSET($C152,((MATCH($C152,EL_List,0)-1)*-10)-1,0),MSP!$C:$C,0)+MATCH($C152,EL_List,0)-1,0)
*INDEX(Learning!$E$6:$S$41,(MATCH(AB$21,Dates,0)),(MATCH($C$151,Learning!$E$4:$S$4,0)+MATCH($C$152,Learning!$E$5:$S$5,0)-1)))</f>
        <v>0</v>
      </c>
      <c r="AC159" s="533" cm="1">
        <f t="array" aca="1" ref="AC159" ca="1">IF(AC$21&lt;Standard_Year,'No STDs Case Rev &amp; Cost'!AC159,
OFFSET(AC159,-5,0)*
OFFSET(MSP!$F$1,
MATCH(OFFSET($C152,((MATCH($C152,EL_List,0)-1)*-10)-1,0),MSP!$C:$C,0)+MATCH($C152,EL_List,0)-1,0)
*INDEX(Learning!$E$6:$S$41,(MATCH(AC$21,Dates,0)),(MATCH($C$151,Learning!$E$4:$S$4,0)+MATCH($C$152,Learning!$E$5:$S$5,0)-1)))</f>
        <v>0</v>
      </c>
      <c r="AD159" s="533" cm="1">
        <f t="array" aca="1" ref="AD159" ca="1">IF(AD$21&lt;Standard_Year,'No STDs Case Rev &amp; Cost'!AD159,
OFFSET(AD159,-5,0)*
OFFSET(MSP!$F$1,
MATCH(OFFSET($C152,((MATCH($C152,EL_List,0)-1)*-10)-1,0),MSP!$C:$C,0)+MATCH($C152,EL_List,0)-1,0)
*INDEX(Learning!$E$6:$S$41,(MATCH(AD$21,Dates,0)),(MATCH($C$151,Learning!$E$4:$S$4,0)+MATCH($C$152,Learning!$E$5:$S$5,0)-1)))</f>
        <v>0</v>
      </c>
      <c r="AE159" s="533" cm="1">
        <f t="array" aca="1" ref="AE159" ca="1">IF(AE$21&lt;Standard_Year,'No STDs Case Rev &amp; Cost'!AE159,
OFFSET(AE159,-5,0)*
OFFSET(MSP!$F$1,
MATCH(OFFSET($C152,((MATCH($C152,EL_List,0)-1)*-10)-1,0),MSP!$C:$C,0)+MATCH($C152,EL_List,0)-1,0)
*INDEX(Learning!$E$6:$S$41,(MATCH(AE$21,Dates,0)),(MATCH($C$151,Learning!$E$4:$S$4,0)+MATCH($C$152,Learning!$E$5:$S$5,0)-1)))</f>
        <v>0</v>
      </c>
      <c r="AF159" s="533" cm="1">
        <f t="array" aca="1" ref="AF159" ca="1">IF(AF$21&lt;Standard_Year,'No STDs Case Rev &amp; Cost'!AF159,
OFFSET(AF159,-5,0)*
OFFSET(MSP!$F$1,
MATCH(OFFSET($C152,((MATCH($C152,EL_List,0)-1)*-10)-1,0),MSP!$C:$C,0)+MATCH($C152,EL_List,0)-1,0)
*INDEX(Learning!$E$6:$S$41,(MATCH(AF$21,Dates,0)),(MATCH($C$151,Learning!$E$4:$S$4,0)+MATCH($C$152,Learning!$E$5:$S$5,0)-1)))</f>
        <v>0</v>
      </c>
      <c r="AG159" s="533" cm="1">
        <f t="array" aca="1" ref="AG159" ca="1">IF(AG$21&lt;Standard_Year,'No STDs Case Rev &amp; Cost'!AG159,
OFFSET(AG159,-5,0)*
OFFSET(MSP!$F$1,
MATCH(OFFSET($C152,((MATCH($C152,EL_List,0)-1)*-10)-1,0),MSP!$C:$C,0)+MATCH($C152,EL_List,0)-1,0)
*INDEX(Learning!$E$6:$S$41,(MATCH(AG$21,Dates,0)),(MATCH($C$151,Learning!$E$4:$S$4,0)+MATCH($C$152,Learning!$E$5:$S$5,0)-1)))</f>
        <v>0</v>
      </c>
      <c r="AH159" s="533" cm="1">
        <f t="array" aca="1" ref="AH159" ca="1">IF(AH$21&lt;Standard_Year,'No STDs Case Rev &amp; Cost'!AH159,
OFFSET(AH159,-5,0)*
OFFSET(MSP!$F$1,
MATCH(OFFSET($C152,((MATCH($C152,EL_List,0)-1)*-10)-1,0),MSP!$C:$C,0)+MATCH($C152,EL_List,0)-1,0)
*INDEX(Learning!$E$6:$S$41,(MATCH(AH$21,Dates,0)),(MATCH($C$151,Learning!$E$4:$S$4,0)+MATCH($C$152,Learning!$E$5:$S$5,0)-1)))</f>
        <v>0</v>
      </c>
      <c r="AI159" s="533" cm="1">
        <f t="array" aca="1" ref="AI159" ca="1">IF(AI$21&lt;Standard_Year,'No STDs Case Rev &amp; Cost'!AI159,
OFFSET(AI159,-5,0)*
OFFSET(MSP!$F$1,
MATCH(OFFSET($C152,((MATCH($C152,EL_List,0)-1)*-10)-1,0),MSP!$C:$C,0)+MATCH($C152,EL_List,0)-1,0)
*INDEX(Learning!$E$6:$S$41,(MATCH(AI$21,Dates,0)),(MATCH($C$151,Learning!$E$4:$S$4,0)+MATCH($C$152,Learning!$E$5:$S$5,0)-1)))</f>
        <v>0</v>
      </c>
      <c r="AJ159" s="533" cm="1">
        <f t="array" aca="1" ref="AJ159" ca="1">IF(AJ$21&lt;Standard_Year,'No STDs Case Rev &amp; Cost'!AJ159,
OFFSET(AJ159,-5,0)*
OFFSET(MSP!$F$1,
MATCH(OFFSET($C152,((MATCH($C152,EL_List,0)-1)*-10)-1,0),MSP!$C:$C,0)+MATCH($C152,EL_List,0)-1,0)
*INDEX(Learning!$E$6:$S$41,(MATCH(AJ$21,Dates,0)),(MATCH($C$151,Learning!$E$4:$S$4,0)+MATCH($C$152,Learning!$E$5:$S$5,0)-1)))</f>
        <v>0</v>
      </c>
      <c r="AK159" s="533" cm="1">
        <f t="array" aca="1" ref="AK159" ca="1">IF(AK$21&lt;Standard_Year,'No STDs Case Rev &amp; Cost'!AK159,
OFFSET(AK159,-5,0)*
OFFSET(MSP!$F$1,
MATCH(OFFSET($C152,((MATCH($C152,EL_List,0)-1)*-10)-1,0),MSP!$C:$C,0)+MATCH($C152,EL_List,0)-1,0)
*INDEX(Learning!$E$6:$S$41,(MATCH(AK$21,Dates,0)),(MATCH($C$151,Learning!$E$4:$S$4,0)+MATCH($C$152,Learning!$E$5:$S$5,0)-1)))</f>
        <v>0</v>
      </c>
      <c r="AL159" s="533" cm="1">
        <f t="array" aca="1" ref="AL159" ca="1">IF(AL$21&lt;Standard_Year,'No STDs Case Rev &amp; Cost'!AL159,
OFFSET(AL159,-5,0)*
OFFSET(MSP!$F$1,
MATCH(OFFSET($C152,((MATCH($C152,EL_List,0)-1)*-10)-1,0),MSP!$C:$C,0)+MATCH($C152,EL_List,0)-1,0)
*INDEX(Learning!$E$6:$S$41,(MATCH(AL$21,Dates,0)),(MATCH($C$151,Learning!$E$4:$S$4,0)+MATCH($C$152,Learning!$E$5:$S$5,0)-1)))</f>
        <v>0</v>
      </c>
      <c r="AM159" s="533" cm="1">
        <f t="array" aca="1" ref="AM159" ca="1">IF(AM$21&lt;Standard_Year,'No STDs Case Rev &amp; Cost'!AM159,
OFFSET(AM159,-5,0)*
OFFSET(MSP!$F$1,
MATCH(OFFSET($C152,((MATCH($C152,EL_List,0)-1)*-10)-1,0),MSP!$C:$C,0)+MATCH($C152,EL_List,0)-1,0)
*INDEX(Learning!$E$6:$S$41,(MATCH(AM$21,Dates,0)),(MATCH($C$151,Learning!$E$4:$S$4,0)+MATCH($C$152,Learning!$E$5:$S$5,0)-1)))</f>
        <v>0</v>
      </c>
      <c r="AN159" s="533" cm="1">
        <f t="array" aca="1" ref="AN159" ca="1">IF(AN$21&lt;Standard_Year,'No STDs Case Rev &amp; Cost'!AN159,
OFFSET(AN159,-5,0)*
OFFSET(MSP!$F$1,
MATCH(OFFSET($C152,((MATCH($C152,EL_List,0)-1)*-10)-1,0),MSP!$C:$C,0)+MATCH($C152,EL_List,0)-1,0)
*INDEX(Learning!$E$6:$S$41,(MATCH(AN$21,Dates,0)),(MATCH($C$151,Learning!$E$4:$S$4,0)+MATCH($C$152,Learning!$E$5:$S$5,0)-1)))</f>
        <v>0</v>
      </c>
      <c r="AO159" s="436"/>
      <c r="AP159" s="21"/>
    </row>
    <row r="160" spans="2:42" ht="15" customHeight="1" collapsed="1" x14ac:dyDescent="0.35">
      <c r="B160" s="429"/>
      <c r="C160" s="780" t="s">
        <v>215</v>
      </c>
      <c r="D160" s="776"/>
      <c r="E160" s="531" cm="1">
        <f t="array" aca="1" ref="E160" ca="1">IF(E$21&lt;Standard_Year,'No STDs Case Rev &amp; Cost'!E160,
OFFSET(E160,-6,0)*
OFFSET(MSP!$G$1,
MATCH(OFFSET($C152,((MATCH($C152,EL_List,0)-1)*-10)-1,0),MSP!$C:$C,0)+MATCH($C152,EL_List,0)-1,0)
*INDEX(Learning!$E$6:$S$41,(MATCH(E$21,Dates,0)),(MATCH($C$151,Learning!$E$4:$S$4,0)+MATCH($C$152,Learning!$E$5:$S$5,0)-1)))</f>
        <v>2.0769737544983751</v>
      </c>
      <c r="F160" s="531" cm="1">
        <f t="array" aca="1" ref="F160" ca="1">IF(F$21&lt;Standard_Year,'No STDs Case Rev &amp; Cost'!F160,
OFFSET(F160,-6,0)*
OFFSET(MSP!$G$1,
MATCH(OFFSET($C152,((MATCH($C152,EL_List,0)-1)*-10)-1,0),MSP!$C:$C,0)+MATCH($C152,EL_List,0)-1,0)
*INDEX(Learning!$E$6:$S$41,(MATCH(F$21,Dates,0)),(MATCH($C$151,Learning!$E$4:$S$4,0)+MATCH($C$152,Learning!$E$5:$S$5,0)-1)))</f>
        <v>2.1552622691550836</v>
      </c>
      <c r="G160" s="531" cm="1">
        <f t="array" aca="1" ref="G160" ca="1">IF(G$21&lt;Standard_Year,'No STDs Case Rev &amp; Cost'!G160,
OFFSET(G160,-6,0)*
OFFSET(MSP!$G$1,
MATCH(OFFSET($C152,((MATCH($C152,EL_List,0)-1)*-10)-1,0),MSP!$C:$C,0)+MATCH($C152,EL_List,0)-1,0)
*INDEX(Learning!$E$6:$S$41,(MATCH(G$21,Dates,0)),(MATCH($C$151,Learning!$E$4:$S$4,0)+MATCH($C$152,Learning!$E$5:$S$5,0)-1)))</f>
        <v>2.2206178083778125</v>
      </c>
      <c r="H160" s="531" cm="1">
        <f t="array" aca="1" ref="H160" ca="1">IF(H$21&lt;Standard_Year,'No STDs Case Rev &amp; Cost'!H160,
OFFSET(H160,-6,0)*
OFFSET(MSP!$G$1,
MATCH(OFFSET($C152,((MATCH($C152,EL_List,0)-1)*-10)-1,0),MSP!$C:$C,0)+MATCH($C152,EL_List,0)-1,0)
*INDEX(Learning!$E$6:$S$41,(MATCH(H$21,Dates,0)),(MATCH($C$151,Learning!$E$4:$S$4,0)+MATCH($C$152,Learning!$E$5:$S$5,0)-1)))</f>
        <v>2.3090427560309337</v>
      </c>
      <c r="I160" s="531" cm="1">
        <f t="array" aca="1" ref="I160" ca="1">IF(I$21&lt;Standard_Year,'No STDs Case Rev &amp; Cost'!I160,
OFFSET(I160,-6,0)*
OFFSET(MSP!$G$1,
MATCH(OFFSET($C152,((MATCH($C152,EL_List,0)-1)*-10)-1,0),MSP!$C:$C,0)+MATCH($C152,EL_List,0)-1,0)
*INDEX(Learning!$E$6:$S$41,(MATCH(I$21,Dates,0)),(MATCH($C$151,Learning!$E$4:$S$4,0)+MATCH($C$152,Learning!$E$5:$S$5,0)-1)))</f>
        <v>0</v>
      </c>
      <c r="J160" s="531" cm="1">
        <f t="array" aca="1" ref="J160" ca="1">IF(J$21&lt;Standard_Year,'No STDs Case Rev &amp; Cost'!J160,
OFFSET(J160,-6,0)*
OFFSET(MSP!$G$1,
MATCH(OFFSET($C152,((MATCH($C152,EL_List,0)-1)*-10)-1,0),MSP!$C:$C,0)+MATCH($C152,EL_List,0)-1,0)
*INDEX(Learning!$E$6:$S$41,(MATCH(J$21,Dates,0)),(MATCH($C$151,Learning!$E$4:$S$4,0)+MATCH($C$152,Learning!$E$5:$S$5,0)-1)))</f>
        <v>0</v>
      </c>
      <c r="K160" s="531" cm="1">
        <f t="array" aca="1" ref="K160" ca="1">IF(K$21&lt;Standard_Year,'No STDs Case Rev &amp; Cost'!K160,
OFFSET(K160,-6,0)*
OFFSET(MSP!$G$1,
MATCH(OFFSET($C152,((MATCH($C152,EL_List,0)-1)*-10)-1,0),MSP!$C:$C,0)+MATCH($C152,EL_List,0)-1,0)
*INDEX(Learning!$E$6:$S$41,(MATCH(K$21,Dates,0)),(MATCH($C$151,Learning!$E$4:$S$4,0)+MATCH($C$152,Learning!$E$5:$S$5,0)-1)))</f>
        <v>0</v>
      </c>
      <c r="L160" s="531" cm="1">
        <f t="array" aca="1" ref="L160" ca="1">IF(L$21&lt;Standard_Year,'No STDs Case Rev &amp; Cost'!L160,
OFFSET(L160,-6,0)*
OFFSET(MSP!$G$1,
MATCH(OFFSET($C152,((MATCH($C152,EL_List,0)-1)*-10)-1,0),MSP!$C:$C,0)+MATCH($C152,EL_List,0)-1,0)
*INDEX(Learning!$E$6:$S$41,(MATCH(L$21,Dates,0)),(MATCH($C$151,Learning!$E$4:$S$4,0)+MATCH($C$152,Learning!$E$5:$S$5,0)-1)))</f>
        <v>0</v>
      </c>
      <c r="M160" s="531" cm="1">
        <f t="array" aca="1" ref="M160" ca="1">IF(M$21&lt;Standard_Year,'No STDs Case Rev &amp; Cost'!M160,
OFFSET(M160,-6,0)*
OFFSET(MSP!$G$1,
MATCH(OFFSET($C152,((MATCH($C152,EL_List,0)-1)*-10)-1,0),MSP!$C:$C,0)+MATCH($C152,EL_List,0)-1,0)
*INDEX(Learning!$E$6:$S$41,(MATCH(M$21,Dates,0)),(MATCH($C$151,Learning!$E$4:$S$4,0)+MATCH($C$152,Learning!$E$5:$S$5,0)-1)))</f>
        <v>0</v>
      </c>
      <c r="N160" s="531" cm="1">
        <f t="array" aca="1" ref="N160" ca="1">IF(N$21&lt;Standard_Year,'No STDs Case Rev &amp; Cost'!N160,
OFFSET(N160,-6,0)*
OFFSET(MSP!$G$1,
MATCH(OFFSET($C152,((MATCH($C152,EL_List,0)-1)*-10)-1,0),MSP!$C:$C,0)+MATCH($C152,EL_List,0)-1,0)
*INDEX(Learning!$E$6:$S$41,(MATCH(N$21,Dates,0)),(MATCH($C$151,Learning!$E$4:$S$4,0)+MATCH($C$152,Learning!$E$5:$S$5,0)-1)))</f>
        <v>0</v>
      </c>
      <c r="O160" s="531" cm="1">
        <f t="array" aca="1" ref="O160" ca="1">IF(O$21&lt;Standard_Year,'No STDs Case Rev &amp; Cost'!O160,
OFFSET(O160,-6,0)*
OFFSET(MSP!$G$1,
MATCH(OFFSET($C152,((MATCH($C152,EL_List,0)-1)*-10)-1,0),MSP!$C:$C,0)+MATCH($C152,EL_List,0)-1,0)
*INDEX(Learning!$E$6:$S$41,(MATCH(O$21,Dates,0)),(MATCH($C$151,Learning!$E$4:$S$4,0)+MATCH($C$152,Learning!$E$5:$S$5,0)-1)))</f>
        <v>0</v>
      </c>
      <c r="P160" s="531" cm="1">
        <f t="array" aca="1" ref="P160" ca="1">IF(P$21&lt;Standard_Year,'No STDs Case Rev &amp; Cost'!P160,
OFFSET(P160,-6,0)*
OFFSET(MSP!$G$1,
MATCH(OFFSET($C152,((MATCH($C152,EL_List,0)-1)*-10)-1,0),MSP!$C:$C,0)+MATCH($C152,EL_List,0)-1,0)
*INDEX(Learning!$E$6:$S$41,(MATCH(P$21,Dates,0)),(MATCH($C$151,Learning!$E$4:$S$4,0)+MATCH($C$152,Learning!$E$5:$S$5,0)-1)))</f>
        <v>0</v>
      </c>
      <c r="Q160" s="531" cm="1">
        <f t="array" aca="1" ref="Q160" ca="1">IF(Q$21&lt;Standard_Year,'No STDs Case Rev &amp; Cost'!Q160,
OFFSET(Q160,-6,0)*
OFFSET(MSP!$G$1,
MATCH(OFFSET($C152,((MATCH($C152,EL_List,0)-1)*-10)-1,0),MSP!$C:$C,0)+MATCH($C152,EL_List,0)-1,0)
*INDEX(Learning!$E$6:$S$41,(MATCH(Q$21,Dates,0)),(MATCH($C$151,Learning!$E$4:$S$4,0)+MATCH($C$152,Learning!$E$5:$S$5,0)-1)))</f>
        <v>0</v>
      </c>
      <c r="R160" s="531" cm="1">
        <f t="array" aca="1" ref="R160" ca="1">IF(R$21&lt;Standard_Year,'No STDs Case Rev &amp; Cost'!R160,
OFFSET(R160,-6,0)*
OFFSET(MSP!$G$1,
MATCH(OFFSET($C152,((MATCH($C152,EL_List,0)-1)*-10)-1,0),MSP!$C:$C,0)+MATCH($C152,EL_List,0)-1,0)
*INDEX(Learning!$E$6:$S$41,(MATCH(R$21,Dates,0)),(MATCH($C$151,Learning!$E$4:$S$4,0)+MATCH($C$152,Learning!$E$5:$S$5,0)-1)))</f>
        <v>0</v>
      </c>
      <c r="S160" s="531" cm="1">
        <f t="array" aca="1" ref="S160" ca="1">IF(S$21&lt;Standard_Year,'No STDs Case Rev &amp; Cost'!S160,
OFFSET(S160,-6,0)*
OFFSET(MSP!$G$1,
MATCH(OFFSET($C152,((MATCH($C152,EL_List,0)-1)*-10)-1,0),MSP!$C:$C,0)+MATCH($C152,EL_List,0)-1,0)
*INDEX(Learning!$E$6:$S$41,(MATCH(S$21,Dates,0)),(MATCH($C$151,Learning!$E$4:$S$4,0)+MATCH($C$152,Learning!$E$5:$S$5,0)-1)))</f>
        <v>0</v>
      </c>
      <c r="T160" s="531" cm="1">
        <f t="array" aca="1" ref="T160" ca="1">IF(T$21&lt;Standard_Year,'No STDs Case Rev &amp; Cost'!T160,
OFFSET(T160,-6,0)*
OFFSET(MSP!$G$1,
MATCH(OFFSET($C152,((MATCH($C152,EL_List,0)-1)*-10)-1,0),MSP!$C:$C,0)+MATCH($C152,EL_List,0)-1,0)
*INDEX(Learning!$E$6:$S$41,(MATCH(T$21,Dates,0)),(MATCH($C$151,Learning!$E$4:$S$4,0)+MATCH($C$152,Learning!$E$5:$S$5,0)-1)))</f>
        <v>0</v>
      </c>
      <c r="U160" s="531" cm="1">
        <f t="array" aca="1" ref="U160" ca="1">IF(U$21&lt;Standard_Year,'No STDs Case Rev &amp; Cost'!U160,
OFFSET(U160,-6,0)*
OFFSET(MSP!$G$1,
MATCH(OFFSET($C152,((MATCH($C152,EL_List,0)-1)*-10)-1,0),MSP!$C:$C,0)+MATCH($C152,EL_List,0)-1,0)
*INDEX(Learning!$E$6:$S$41,(MATCH(U$21,Dates,0)),(MATCH($C$151,Learning!$E$4:$S$4,0)+MATCH($C$152,Learning!$E$5:$S$5,0)-1)))</f>
        <v>0</v>
      </c>
      <c r="V160" s="531" cm="1">
        <f t="array" aca="1" ref="V160" ca="1">IF(V$21&lt;Standard_Year,'No STDs Case Rev &amp; Cost'!V160,
OFFSET(V160,-6,0)*
OFFSET(MSP!$G$1,
MATCH(OFFSET($C152,((MATCH($C152,EL_List,0)-1)*-10)-1,0),MSP!$C:$C,0)+MATCH($C152,EL_List,0)-1,0)
*INDEX(Learning!$E$6:$S$41,(MATCH(V$21,Dates,0)),(MATCH($C$151,Learning!$E$4:$S$4,0)+MATCH($C$152,Learning!$E$5:$S$5,0)-1)))</f>
        <v>0</v>
      </c>
      <c r="W160" s="531" cm="1">
        <f t="array" aca="1" ref="W160" ca="1">IF(W$21&lt;Standard_Year,'No STDs Case Rev &amp; Cost'!W160,
OFFSET(W160,-6,0)*
OFFSET(MSP!$G$1,
MATCH(OFFSET($C152,((MATCH($C152,EL_List,0)-1)*-10)-1,0),MSP!$C:$C,0)+MATCH($C152,EL_List,0)-1,0)
*INDEX(Learning!$E$6:$S$41,(MATCH(W$21,Dates,0)),(MATCH($C$151,Learning!$E$4:$S$4,0)+MATCH($C$152,Learning!$E$5:$S$5,0)-1)))</f>
        <v>0</v>
      </c>
      <c r="X160" s="531" cm="1">
        <f t="array" aca="1" ref="X160" ca="1">IF(X$21&lt;Standard_Year,'No STDs Case Rev &amp; Cost'!X160,
OFFSET(X160,-6,0)*
OFFSET(MSP!$G$1,
MATCH(OFFSET($C152,((MATCH($C152,EL_List,0)-1)*-10)-1,0),MSP!$C:$C,0)+MATCH($C152,EL_List,0)-1,0)
*INDEX(Learning!$E$6:$S$41,(MATCH(X$21,Dates,0)),(MATCH($C$151,Learning!$E$4:$S$4,0)+MATCH($C$152,Learning!$E$5:$S$5,0)-1)))</f>
        <v>0</v>
      </c>
      <c r="Y160" s="531" cm="1">
        <f t="array" aca="1" ref="Y160" ca="1">IF(Y$21&lt;Standard_Year,'No STDs Case Rev &amp; Cost'!Y160,
OFFSET(Y160,-6,0)*
OFFSET(MSP!$G$1,
MATCH(OFFSET($C152,((MATCH($C152,EL_List,0)-1)*-10)-1,0),MSP!$C:$C,0)+MATCH($C152,EL_List,0)-1,0)
*INDEX(Learning!$E$6:$S$41,(MATCH(Y$21,Dates,0)),(MATCH($C$151,Learning!$E$4:$S$4,0)+MATCH($C$152,Learning!$E$5:$S$5,0)-1)))</f>
        <v>0</v>
      </c>
      <c r="Z160" s="531" cm="1">
        <f t="array" aca="1" ref="Z160" ca="1">IF(Z$21&lt;Standard_Year,'No STDs Case Rev &amp; Cost'!Z160,
OFFSET(Z160,-6,0)*
OFFSET(MSP!$G$1,
MATCH(OFFSET($C152,((MATCH($C152,EL_List,0)-1)*-10)-1,0),MSP!$C:$C,0)+MATCH($C152,EL_List,0)-1,0)
*INDEX(Learning!$E$6:$S$41,(MATCH(Z$21,Dates,0)),(MATCH($C$151,Learning!$E$4:$S$4,0)+MATCH($C$152,Learning!$E$5:$S$5,0)-1)))</f>
        <v>0</v>
      </c>
      <c r="AA160" s="531" cm="1">
        <f t="array" aca="1" ref="AA160" ca="1">IF(AA$21&lt;Standard_Year,'No STDs Case Rev &amp; Cost'!AA160,
OFFSET(AA160,-6,0)*
OFFSET(MSP!$G$1,
MATCH(OFFSET($C152,((MATCH($C152,EL_List,0)-1)*-10)-1,0),MSP!$C:$C,0)+MATCH($C152,EL_List,0)-1,0)
*INDEX(Learning!$E$6:$S$41,(MATCH(AA$21,Dates,0)),(MATCH($C$151,Learning!$E$4:$S$4,0)+MATCH($C$152,Learning!$E$5:$S$5,0)-1)))</f>
        <v>0</v>
      </c>
      <c r="AB160" s="531" cm="1">
        <f t="array" aca="1" ref="AB160" ca="1">IF(AB$21&lt;Standard_Year,'No STDs Case Rev &amp; Cost'!AB160,
OFFSET(AB160,-6,0)*
OFFSET(MSP!$G$1,
MATCH(OFFSET($C152,((MATCH($C152,EL_List,0)-1)*-10)-1,0),MSP!$C:$C,0)+MATCH($C152,EL_List,0)-1,0)
*INDEX(Learning!$E$6:$S$41,(MATCH(AB$21,Dates,0)),(MATCH($C$151,Learning!$E$4:$S$4,0)+MATCH($C$152,Learning!$E$5:$S$5,0)-1)))</f>
        <v>0</v>
      </c>
      <c r="AC160" s="531" cm="1">
        <f t="array" aca="1" ref="AC160" ca="1">IF(AC$21&lt;Standard_Year,'No STDs Case Rev &amp; Cost'!AC160,
OFFSET(AC160,-6,0)*
OFFSET(MSP!$G$1,
MATCH(OFFSET($C152,((MATCH($C152,EL_List,0)-1)*-10)-1,0),MSP!$C:$C,0)+MATCH($C152,EL_List,0)-1,0)
*INDEX(Learning!$E$6:$S$41,(MATCH(AC$21,Dates,0)),(MATCH($C$151,Learning!$E$4:$S$4,0)+MATCH($C$152,Learning!$E$5:$S$5,0)-1)))</f>
        <v>0</v>
      </c>
      <c r="AD160" s="531" cm="1">
        <f t="array" aca="1" ref="AD160" ca="1">IF(AD$21&lt;Standard_Year,'No STDs Case Rev &amp; Cost'!AD160,
OFFSET(AD160,-6,0)*
OFFSET(MSP!$G$1,
MATCH(OFFSET($C152,((MATCH($C152,EL_List,0)-1)*-10)-1,0),MSP!$C:$C,0)+MATCH($C152,EL_List,0)-1,0)
*INDEX(Learning!$E$6:$S$41,(MATCH(AD$21,Dates,0)),(MATCH($C$151,Learning!$E$4:$S$4,0)+MATCH($C$152,Learning!$E$5:$S$5,0)-1)))</f>
        <v>0</v>
      </c>
      <c r="AE160" s="531" cm="1">
        <f t="array" aca="1" ref="AE160" ca="1">IF(AE$21&lt;Standard_Year,'No STDs Case Rev &amp; Cost'!AE160,
OFFSET(AE160,-6,0)*
OFFSET(MSP!$G$1,
MATCH(OFFSET($C152,((MATCH($C152,EL_List,0)-1)*-10)-1,0),MSP!$C:$C,0)+MATCH($C152,EL_List,0)-1,0)
*INDEX(Learning!$E$6:$S$41,(MATCH(AE$21,Dates,0)),(MATCH($C$151,Learning!$E$4:$S$4,0)+MATCH($C$152,Learning!$E$5:$S$5,0)-1)))</f>
        <v>0</v>
      </c>
      <c r="AF160" s="531" cm="1">
        <f t="array" aca="1" ref="AF160" ca="1">IF(AF$21&lt;Standard_Year,'No STDs Case Rev &amp; Cost'!AF160,
OFFSET(AF160,-6,0)*
OFFSET(MSP!$G$1,
MATCH(OFFSET($C152,((MATCH($C152,EL_List,0)-1)*-10)-1,0),MSP!$C:$C,0)+MATCH($C152,EL_List,0)-1,0)
*INDEX(Learning!$E$6:$S$41,(MATCH(AF$21,Dates,0)),(MATCH($C$151,Learning!$E$4:$S$4,0)+MATCH($C$152,Learning!$E$5:$S$5,0)-1)))</f>
        <v>0</v>
      </c>
      <c r="AG160" s="531" cm="1">
        <f t="array" aca="1" ref="AG160" ca="1">IF(AG$21&lt;Standard_Year,'No STDs Case Rev &amp; Cost'!AG160,
OFFSET(AG160,-6,0)*
OFFSET(MSP!$G$1,
MATCH(OFFSET($C152,((MATCH($C152,EL_List,0)-1)*-10)-1,0),MSP!$C:$C,0)+MATCH($C152,EL_List,0)-1,0)
*INDEX(Learning!$E$6:$S$41,(MATCH(AG$21,Dates,0)),(MATCH($C$151,Learning!$E$4:$S$4,0)+MATCH($C$152,Learning!$E$5:$S$5,0)-1)))</f>
        <v>0</v>
      </c>
      <c r="AH160" s="531" cm="1">
        <f t="array" aca="1" ref="AH160" ca="1">IF(AH$21&lt;Standard_Year,'No STDs Case Rev &amp; Cost'!AH160,
OFFSET(AH160,-6,0)*
OFFSET(MSP!$G$1,
MATCH(OFFSET($C152,((MATCH($C152,EL_List,0)-1)*-10)-1,0),MSP!$C:$C,0)+MATCH($C152,EL_List,0)-1,0)
*INDEX(Learning!$E$6:$S$41,(MATCH(AH$21,Dates,0)),(MATCH($C$151,Learning!$E$4:$S$4,0)+MATCH($C$152,Learning!$E$5:$S$5,0)-1)))</f>
        <v>0</v>
      </c>
      <c r="AI160" s="531" cm="1">
        <f t="array" aca="1" ref="AI160" ca="1">IF(AI$21&lt;Standard_Year,'No STDs Case Rev &amp; Cost'!AI160,
OFFSET(AI160,-6,0)*
OFFSET(MSP!$G$1,
MATCH(OFFSET($C152,((MATCH($C152,EL_List,0)-1)*-10)-1,0),MSP!$C:$C,0)+MATCH($C152,EL_List,0)-1,0)
*INDEX(Learning!$E$6:$S$41,(MATCH(AI$21,Dates,0)),(MATCH($C$151,Learning!$E$4:$S$4,0)+MATCH($C$152,Learning!$E$5:$S$5,0)-1)))</f>
        <v>0</v>
      </c>
      <c r="AJ160" s="531" cm="1">
        <f t="array" aca="1" ref="AJ160" ca="1">IF(AJ$21&lt;Standard_Year,'No STDs Case Rev &amp; Cost'!AJ160,
OFFSET(AJ160,-6,0)*
OFFSET(MSP!$G$1,
MATCH(OFFSET($C152,((MATCH($C152,EL_List,0)-1)*-10)-1,0),MSP!$C:$C,0)+MATCH($C152,EL_List,0)-1,0)
*INDEX(Learning!$E$6:$S$41,(MATCH(AJ$21,Dates,0)),(MATCH($C$151,Learning!$E$4:$S$4,0)+MATCH($C$152,Learning!$E$5:$S$5,0)-1)))</f>
        <v>0</v>
      </c>
      <c r="AK160" s="531" cm="1">
        <f t="array" aca="1" ref="AK160" ca="1">IF(AK$21&lt;Standard_Year,'No STDs Case Rev &amp; Cost'!AK160,
OFFSET(AK160,-6,0)*
OFFSET(MSP!$G$1,
MATCH(OFFSET($C152,((MATCH($C152,EL_List,0)-1)*-10)-1,0),MSP!$C:$C,0)+MATCH($C152,EL_List,0)-1,0)
*INDEX(Learning!$E$6:$S$41,(MATCH(AK$21,Dates,0)),(MATCH($C$151,Learning!$E$4:$S$4,0)+MATCH($C$152,Learning!$E$5:$S$5,0)-1)))</f>
        <v>0</v>
      </c>
      <c r="AL160" s="531" cm="1">
        <f t="array" aca="1" ref="AL160" ca="1">IF(AL$21&lt;Standard_Year,'No STDs Case Rev &amp; Cost'!AL160,
OFFSET(AL160,-6,0)*
OFFSET(MSP!$G$1,
MATCH(OFFSET($C152,((MATCH($C152,EL_List,0)-1)*-10)-1,0),MSP!$C:$C,0)+MATCH($C152,EL_List,0)-1,0)
*INDEX(Learning!$E$6:$S$41,(MATCH(AL$21,Dates,0)),(MATCH($C$151,Learning!$E$4:$S$4,0)+MATCH($C$152,Learning!$E$5:$S$5,0)-1)))</f>
        <v>0</v>
      </c>
      <c r="AM160" s="531" cm="1">
        <f t="array" aca="1" ref="AM160" ca="1">IF(AM$21&lt;Standard_Year,'No STDs Case Rev &amp; Cost'!AM160,
OFFSET(AM160,-6,0)*
OFFSET(MSP!$G$1,
MATCH(OFFSET($C152,((MATCH($C152,EL_List,0)-1)*-10)-1,0),MSP!$C:$C,0)+MATCH($C152,EL_List,0)-1,0)
*INDEX(Learning!$E$6:$S$41,(MATCH(AM$21,Dates,0)),(MATCH($C$151,Learning!$E$4:$S$4,0)+MATCH($C$152,Learning!$E$5:$S$5,0)-1)))</f>
        <v>0</v>
      </c>
      <c r="AN160" s="531" cm="1">
        <f t="array" aca="1" ref="AN160" ca="1">IF(AN$21&lt;Standard_Year,'No STDs Case Rev &amp; Cost'!AN160,
OFFSET(AN160,-6,0)*
OFFSET(MSP!$G$1,
MATCH(OFFSET($C152,((MATCH($C152,EL_List,0)-1)*-10)-1,0),MSP!$C:$C,0)+MATCH($C152,EL_List,0)-1,0)
*INDEX(Learning!$E$6:$S$41,(MATCH(AN$21,Dates,0)),(MATCH($C$151,Learning!$E$4:$S$4,0)+MATCH($C$152,Learning!$E$5:$S$5,0)-1)))</f>
        <v>0</v>
      </c>
      <c r="AO160" s="436"/>
      <c r="AP160" s="21"/>
    </row>
    <row r="161" spans="2:42" ht="15" customHeight="1" x14ac:dyDescent="0.35">
      <c r="B161" s="429"/>
      <c r="C161" s="776"/>
      <c r="D161" s="776"/>
      <c r="E161" s="776"/>
      <c r="F161" s="776"/>
      <c r="G161" s="776"/>
      <c r="H161" s="776"/>
      <c r="I161" s="776"/>
      <c r="J161" s="776"/>
      <c r="K161" s="776"/>
      <c r="L161" s="776"/>
      <c r="M161" s="776"/>
      <c r="N161" s="776"/>
      <c r="O161" s="776"/>
      <c r="P161" s="776"/>
      <c r="Q161" s="776"/>
      <c r="R161" s="776"/>
      <c r="S161" s="776"/>
      <c r="T161" s="776"/>
      <c r="U161" s="776"/>
      <c r="V161" s="776"/>
      <c r="W161" s="776"/>
      <c r="X161" s="776"/>
      <c r="Y161" s="776"/>
      <c r="Z161" s="776"/>
      <c r="AA161" s="776"/>
      <c r="AB161" s="776"/>
      <c r="AC161" s="776"/>
      <c r="AD161" s="776"/>
      <c r="AE161" s="776"/>
      <c r="AF161" s="776"/>
      <c r="AG161" s="776"/>
      <c r="AH161" s="776"/>
      <c r="AI161" s="776"/>
      <c r="AJ161" s="776"/>
      <c r="AK161" s="776"/>
      <c r="AL161" s="776"/>
      <c r="AM161" s="776"/>
      <c r="AN161" s="776"/>
      <c r="AO161" s="436"/>
      <c r="AP161" s="21"/>
    </row>
    <row r="162" spans="2:42" ht="15" customHeight="1" x14ac:dyDescent="0.35">
      <c r="B162" s="429"/>
      <c r="C162" s="772" t="s">
        <v>86</v>
      </c>
      <c r="D162" s="776"/>
      <c r="E162" s="776"/>
      <c r="F162" s="776"/>
      <c r="G162" s="776"/>
      <c r="H162" s="776"/>
      <c r="I162" s="776"/>
      <c r="J162" s="776"/>
      <c r="K162" s="776"/>
      <c r="L162" s="776"/>
      <c r="M162" s="776"/>
      <c r="N162" s="776"/>
      <c r="O162" s="776"/>
      <c r="P162" s="776"/>
      <c r="Q162" s="776"/>
      <c r="R162" s="776"/>
      <c r="S162" s="776"/>
      <c r="T162" s="776"/>
      <c r="U162" s="776"/>
      <c r="V162" s="776"/>
      <c r="W162" s="776"/>
      <c r="X162" s="776"/>
      <c r="Y162" s="776"/>
      <c r="Z162" s="776"/>
      <c r="AA162" s="776"/>
      <c r="AB162" s="776"/>
      <c r="AC162" s="776"/>
      <c r="AD162" s="776"/>
      <c r="AE162" s="776"/>
      <c r="AF162" s="776"/>
      <c r="AG162" s="776"/>
      <c r="AH162" s="776"/>
      <c r="AI162" s="776"/>
      <c r="AJ162" s="776"/>
      <c r="AK162" s="776"/>
      <c r="AL162" s="776"/>
      <c r="AM162" s="776"/>
      <c r="AN162" s="776"/>
      <c r="AO162" s="436"/>
      <c r="AP162" s="21"/>
    </row>
    <row r="163" spans="2:42" ht="15" customHeight="1" x14ac:dyDescent="0.35">
      <c r="B163" s="429"/>
      <c r="C163" s="777" t="s">
        <v>10</v>
      </c>
      <c r="D163" s="776"/>
      <c r="E163" s="778" cm="1">
        <f t="array" aca="1" ref="E163" ca="1">IF(E$21&lt;Standard_Year,'No STDs Case Rev &amp; Cost'!E163,
OFFSET(MSP!$C$1,
MATCH(OFFSET($C162,((MATCH($C162,EL_List,0)-1)*-10)-1,0),MSP!$C:$C,0)+MATCH($C162,EL_List,0)-1,
MATCH(OFFSET($C162,((MATCH($C162,EL_List,0)-1)*-10)-3,0),MSP!$D$5:$N$5,0)+1)
*INDEX(Learning!$E$6:$S$41,(MATCH(E$21,Dates,0)),(MATCH($C$151,Learning!$E$4:$S$4,0)+MATCH($C$162,Learning!$E$5:$S$5,0)-1)))</f>
        <v>108.27109400000001</v>
      </c>
      <c r="F163" s="778" cm="1">
        <f t="array" aca="1" ref="F163" ca="1">IF(F$21&lt;Standard_Year,'No STDs Case Rev &amp; Cost'!F163,
OFFSET(MSP!$C$1,
MATCH(OFFSET($C162,((MATCH($C162,EL_List,0)-1)*-10)-1,0),MSP!$C:$C,0)+MATCH($C162,EL_List,0)-1,
MATCH(OFFSET($C162,((MATCH($C162,EL_List,0)-1)*-10)-3,0),MSP!$D$5:$N$5,0)+1)
*INDEX(Learning!$E$6:$S$41,(MATCH(F$21,Dates,0)),(MATCH($C$151,Learning!$E$4:$S$4,0)+MATCH($C$162,Learning!$E$5:$S$5,0)-1)))</f>
        <v>107.43983799999999</v>
      </c>
      <c r="G163" s="778" cm="1">
        <f t="array" aca="1" ref="G163" ca="1">IF(G$21&lt;Standard_Year,'No STDs Case Rev &amp; Cost'!G163,
OFFSET(MSP!$C$1,
MATCH(OFFSET($C162,((MATCH($C162,EL_List,0)-1)*-10)-1,0),MSP!$C:$C,0)+MATCH($C162,EL_List,0)-1,
MATCH(OFFSET($C162,((MATCH($C162,EL_List,0)-1)*-10)-3,0),MSP!$D$5:$N$5,0)+1)
*INDEX(Learning!$E$6:$S$41,(MATCH(G$21,Dates,0)),(MATCH($C$151,Learning!$E$4:$S$4,0)+MATCH($C$162,Learning!$E$5:$S$5,0)-1)))</f>
        <v>106.608582</v>
      </c>
      <c r="H163" s="778" cm="1">
        <f t="array" aca="1" ref="H163" ca="1">IF(H$21&lt;Standard_Year,'No STDs Case Rev &amp; Cost'!H163,
OFFSET(MSP!$C$1,
MATCH(OFFSET($C162,((MATCH($C162,EL_List,0)-1)*-10)-1,0),MSP!$C:$C,0)+MATCH($C162,EL_List,0)-1,
MATCH(OFFSET($C162,((MATCH($C162,EL_List,0)-1)*-10)-3,0),MSP!$D$5:$N$5,0)+1)
*INDEX(Learning!$E$6:$S$41,(MATCH(H$21,Dates,0)),(MATCH($C$151,Learning!$E$4:$S$4,0)+MATCH($C$162,Learning!$E$5:$S$5,0)-1)))</f>
        <v>105.88123299999998</v>
      </c>
      <c r="I163" s="778" cm="1">
        <f t="array" aca="1" ref="I163" ca="1">IF(I$21&lt;Standard_Year,'No STDs Case Rev &amp; Cost'!I163,
OFFSET(MSP!$C$1,
MATCH(OFFSET($C162,((MATCH($C162,EL_List,0)-1)*-10)-1,0),MSP!$C:$C,0)+MATCH($C162,EL_List,0)-1,
MATCH(OFFSET($C162,((MATCH($C162,EL_List,0)-1)*-10)-3,0),MSP!$D$5:$N$5,0)+1)
*INDEX(Learning!$E$6:$S$41,(MATCH(I$21,Dates,0)),(MATCH($C$151,Learning!$E$4:$S$4,0)+MATCH($C$162,Learning!$E$5:$S$5,0)-1)))</f>
        <v>0</v>
      </c>
      <c r="J163" s="778" cm="1">
        <f t="array" aca="1" ref="J163" ca="1">IF(J$21&lt;Standard_Year,'No STDs Case Rev &amp; Cost'!J163,
OFFSET(MSP!$C$1,
MATCH(OFFSET($C162,((MATCH($C162,EL_List,0)-1)*-10)-1,0),MSP!$C:$C,0)+MATCH($C162,EL_List,0)-1,
MATCH(OFFSET($C162,((MATCH($C162,EL_List,0)-1)*-10)-3,0),MSP!$D$5:$N$5,0)+1)
*INDEX(Learning!$E$6:$S$41,(MATCH(J$21,Dates,0)),(MATCH($C$151,Learning!$E$4:$S$4,0)+MATCH($C$162,Learning!$E$5:$S$5,0)-1)))</f>
        <v>0</v>
      </c>
      <c r="K163" s="778" cm="1">
        <f t="array" aca="1" ref="K163" ca="1">IF(K$21&lt;Standard_Year,'No STDs Case Rev &amp; Cost'!K163,
OFFSET(MSP!$C$1,
MATCH(OFFSET($C162,((MATCH($C162,EL_List,0)-1)*-10)-1,0),MSP!$C:$C,0)+MATCH($C162,EL_List,0)-1,
MATCH(OFFSET($C162,((MATCH($C162,EL_List,0)-1)*-10)-3,0),MSP!$D$5:$N$5,0)+1)
*INDEX(Learning!$E$6:$S$41,(MATCH(K$21,Dates,0)),(MATCH($C$151,Learning!$E$4:$S$4,0)+MATCH($C$162,Learning!$E$5:$S$5,0)-1)))</f>
        <v>0</v>
      </c>
      <c r="L163" s="778" cm="1">
        <f t="array" aca="1" ref="L163" ca="1">IF(L$21&lt;Standard_Year,'No STDs Case Rev &amp; Cost'!L163,
OFFSET(MSP!$C$1,
MATCH(OFFSET($C162,((MATCH($C162,EL_List,0)-1)*-10)-1,0),MSP!$C:$C,0)+MATCH($C162,EL_List,0)-1,
MATCH(OFFSET($C162,((MATCH($C162,EL_List,0)-1)*-10)-3,0),MSP!$D$5:$N$5,0)+1)
*INDEX(Learning!$E$6:$S$41,(MATCH(L$21,Dates,0)),(MATCH($C$151,Learning!$E$4:$S$4,0)+MATCH($C$162,Learning!$E$5:$S$5,0)-1)))</f>
        <v>0</v>
      </c>
      <c r="M163" s="778" cm="1">
        <f t="array" aca="1" ref="M163" ca="1">IF(M$21&lt;Standard_Year,'No STDs Case Rev &amp; Cost'!M163,
OFFSET(MSP!$C$1,
MATCH(OFFSET($C162,((MATCH($C162,EL_List,0)-1)*-10)-1,0),MSP!$C:$C,0)+MATCH($C162,EL_List,0)-1,
MATCH(OFFSET($C162,((MATCH($C162,EL_List,0)-1)*-10)-3,0),MSP!$D$5:$N$5,0)+1)
*INDEX(Learning!$E$6:$S$41,(MATCH(M$21,Dates,0)),(MATCH($C$151,Learning!$E$4:$S$4,0)+MATCH($C$162,Learning!$E$5:$S$5,0)-1)))</f>
        <v>0</v>
      </c>
      <c r="N163" s="778" cm="1">
        <f t="array" aca="1" ref="N163" ca="1">IF(N$21&lt;Standard_Year,'No STDs Case Rev &amp; Cost'!N163,
OFFSET(MSP!$C$1,
MATCH(OFFSET($C162,((MATCH($C162,EL_List,0)-1)*-10)-1,0),MSP!$C:$C,0)+MATCH($C162,EL_List,0)-1,
MATCH(OFFSET($C162,((MATCH($C162,EL_List,0)-1)*-10)-3,0),MSP!$D$5:$N$5,0)+1)
*INDEX(Learning!$E$6:$S$41,(MATCH(N$21,Dates,0)),(MATCH($C$151,Learning!$E$4:$S$4,0)+MATCH($C$162,Learning!$E$5:$S$5,0)-1)))</f>
        <v>0</v>
      </c>
      <c r="O163" s="778" cm="1">
        <f t="array" aca="1" ref="O163" ca="1">IF(O$21&lt;Standard_Year,'No STDs Case Rev &amp; Cost'!O163,
OFFSET(MSP!$C$1,
MATCH(OFFSET($C162,((MATCH($C162,EL_List,0)-1)*-10)-1,0),MSP!$C:$C,0)+MATCH($C162,EL_List,0)-1,
MATCH(OFFSET($C162,((MATCH($C162,EL_List,0)-1)*-10)-3,0),MSP!$D$5:$N$5,0)+1)
*INDEX(Learning!$E$6:$S$41,(MATCH(O$21,Dates,0)),(MATCH($C$151,Learning!$E$4:$S$4,0)+MATCH($C$162,Learning!$E$5:$S$5,0)-1)))</f>
        <v>0</v>
      </c>
      <c r="P163" s="778" cm="1">
        <f t="array" aca="1" ref="P163" ca="1">IF(P$21&lt;Standard_Year,'No STDs Case Rev &amp; Cost'!P163,
OFFSET(MSP!$C$1,
MATCH(OFFSET($C162,((MATCH($C162,EL_List,0)-1)*-10)-1,0),MSP!$C:$C,0)+MATCH($C162,EL_List,0)-1,
MATCH(OFFSET($C162,((MATCH($C162,EL_List,0)-1)*-10)-3,0),MSP!$D$5:$N$5,0)+1)
*INDEX(Learning!$E$6:$S$41,(MATCH(P$21,Dates,0)),(MATCH($C$151,Learning!$E$4:$S$4,0)+MATCH($C$162,Learning!$E$5:$S$5,0)-1)))</f>
        <v>0</v>
      </c>
      <c r="Q163" s="778" cm="1">
        <f t="array" aca="1" ref="Q163" ca="1">IF(Q$21&lt;Standard_Year,'No STDs Case Rev &amp; Cost'!Q163,
OFFSET(MSP!$C$1,
MATCH(OFFSET($C162,((MATCH($C162,EL_List,0)-1)*-10)-1,0),MSP!$C:$C,0)+MATCH($C162,EL_List,0)-1,
MATCH(OFFSET($C162,((MATCH($C162,EL_List,0)-1)*-10)-3,0),MSP!$D$5:$N$5,0)+1)
*INDEX(Learning!$E$6:$S$41,(MATCH(Q$21,Dates,0)),(MATCH($C$151,Learning!$E$4:$S$4,0)+MATCH($C$162,Learning!$E$5:$S$5,0)-1)))</f>
        <v>0</v>
      </c>
      <c r="R163" s="778" cm="1">
        <f t="array" aca="1" ref="R163" ca="1">IF(R$21&lt;Standard_Year,'No STDs Case Rev &amp; Cost'!R163,
OFFSET(MSP!$C$1,
MATCH(OFFSET($C162,((MATCH($C162,EL_List,0)-1)*-10)-1,0),MSP!$C:$C,0)+MATCH($C162,EL_List,0)-1,
MATCH(OFFSET($C162,((MATCH($C162,EL_List,0)-1)*-10)-3,0),MSP!$D$5:$N$5,0)+1)
*INDEX(Learning!$E$6:$S$41,(MATCH(R$21,Dates,0)),(MATCH($C$151,Learning!$E$4:$S$4,0)+MATCH($C$162,Learning!$E$5:$S$5,0)-1)))</f>
        <v>0</v>
      </c>
      <c r="S163" s="778" cm="1">
        <f t="array" aca="1" ref="S163" ca="1">IF(S$21&lt;Standard_Year,'No STDs Case Rev &amp; Cost'!S163,
OFFSET(MSP!$C$1,
MATCH(OFFSET($C162,((MATCH($C162,EL_List,0)-1)*-10)-1,0),MSP!$C:$C,0)+MATCH($C162,EL_List,0)-1,
MATCH(OFFSET($C162,((MATCH($C162,EL_List,0)-1)*-10)-3,0),MSP!$D$5:$N$5,0)+1)
*INDEX(Learning!$E$6:$S$41,(MATCH(S$21,Dates,0)),(MATCH($C$151,Learning!$E$4:$S$4,0)+MATCH($C$162,Learning!$E$5:$S$5,0)-1)))</f>
        <v>0</v>
      </c>
      <c r="T163" s="778" cm="1">
        <f t="array" aca="1" ref="T163" ca="1">IF(T$21&lt;Standard_Year,'No STDs Case Rev &amp; Cost'!T163,
OFFSET(MSP!$C$1,
MATCH(OFFSET($C162,((MATCH($C162,EL_List,0)-1)*-10)-1,0),MSP!$C:$C,0)+MATCH($C162,EL_List,0)-1,
MATCH(OFFSET($C162,((MATCH($C162,EL_List,0)-1)*-10)-3,0),MSP!$D$5:$N$5,0)+1)
*INDEX(Learning!$E$6:$S$41,(MATCH(T$21,Dates,0)),(MATCH($C$151,Learning!$E$4:$S$4,0)+MATCH($C$162,Learning!$E$5:$S$5,0)-1)))</f>
        <v>0</v>
      </c>
      <c r="U163" s="778" cm="1">
        <f t="array" aca="1" ref="U163" ca="1">IF(U$21&lt;Standard_Year,'No STDs Case Rev &amp; Cost'!U163,
OFFSET(MSP!$C$1,
MATCH(OFFSET($C162,((MATCH($C162,EL_List,0)-1)*-10)-1,0),MSP!$C:$C,0)+MATCH($C162,EL_List,0)-1,
MATCH(OFFSET($C162,((MATCH($C162,EL_List,0)-1)*-10)-3,0),MSP!$D$5:$N$5,0)+1)
*INDEX(Learning!$E$6:$S$41,(MATCH(U$21,Dates,0)),(MATCH($C$151,Learning!$E$4:$S$4,0)+MATCH($C$162,Learning!$E$5:$S$5,0)-1)))</f>
        <v>0</v>
      </c>
      <c r="V163" s="778" cm="1">
        <f t="array" aca="1" ref="V163" ca="1">IF(V$21&lt;Standard_Year,'No STDs Case Rev &amp; Cost'!V163,
OFFSET(MSP!$C$1,
MATCH(OFFSET($C162,((MATCH($C162,EL_List,0)-1)*-10)-1,0),MSP!$C:$C,0)+MATCH($C162,EL_List,0)-1,
MATCH(OFFSET($C162,((MATCH($C162,EL_List,0)-1)*-10)-3,0),MSP!$D$5:$N$5,0)+1)
*INDEX(Learning!$E$6:$S$41,(MATCH(V$21,Dates,0)),(MATCH($C$151,Learning!$E$4:$S$4,0)+MATCH($C$162,Learning!$E$5:$S$5,0)-1)))</f>
        <v>0</v>
      </c>
      <c r="W163" s="778" cm="1">
        <f t="array" aca="1" ref="W163" ca="1">IF(W$21&lt;Standard_Year,'No STDs Case Rev &amp; Cost'!W163,
OFFSET(MSP!$C$1,
MATCH(OFFSET($C162,((MATCH($C162,EL_List,0)-1)*-10)-1,0),MSP!$C:$C,0)+MATCH($C162,EL_List,0)-1,
MATCH(OFFSET($C162,((MATCH($C162,EL_List,0)-1)*-10)-3,0),MSP!$D$5:$N$5,0)+1)
*INDEX(Learning!$E$6:$S$41,(MATCH(W$21,Dates,0)),(MATCH($C$151,Learning!$E$4:$S$4,0)+MATCH($C$162,Learning!$E$5:$S$5,0)-1)))</f>
        <v>0</v>
      </c>
      <c r="X163" s="778" cm="1">
        <f t="array" aca="1" ref="X163" ca="1">IF(X$21&lt;Standard_Year,'No STDs Case Rev &amp; Cost'!X163,
OFFSET(MSP!$C$1,
MATCH(OFFSET($C162,((MATCH($C162,EL_List,0)-1)*-10)-1,0),MSP!$C:$C,0)+MATCH($C162,EL_List,0)-1,
MATCH(OFFSET($C162,((MATCH($C162,EL_List,0)-1)*-10)-3,0),MSP!$D$5:$N$5,0)+1)
*INDEX(Learning!$E$6:$S$41,(MATCH(X$21,Dates,0)),(MATCH($C$151,Learning!$E$4:$S$4,0)+MATCH($C$162,Learning!$E$5:$S$5,0)-1)))</f>
        <v>0</v>
      </c>
      <c r="Y163" s="778" cm="1">
        <f t="array" aca="1" ref="Y163" ca="1">IF(Y$21&lt;Standard_Year,'No STDs Case Rev &amp; Cost'!Y163,
OFFSET(MSP!$C$1,
MATCH(OFFSET($C162,((MATCH($C162,EL_List,0)-1)*-10)-1,0),MSP!$C:$C,0)+MATCH($C162,EL_List,0)-1,
MATCH(OFFSET($C162,((MATCH($C162,EL_List,0)-1)*-10)-3,0),MSP!$D$5:$N$5,0)+1)
*INDEX(Learning!$E$6:$S$41,(MATCH(Y$21,Dates,0)),(MATCH($C$151,Learning!$E$4:$S$4,0)+MATCH($C$162,Learning!$E$5:$S$5,0)-1)))</f>
        <v>0</v>
      </c>
      <c r="Z163" s="778" cm="1">
        <f t="array" aca="1" ref="Z163" ca="1">IF(Z$21&lt;Standard_Year,'No STDs Case Rev &amp; Cost'!Z163,
OFFSET(MSP!$C$1,
MATCH(OFFSET($C162,((MATCH($C162,EL_List,0)-1)*-10)-1,0),MSP!$C:$C,0)+MATCH($C162,EL_List,0)-1,
MATCH(OFFSET($C162,((MATCH($C162,EL_List,0)-1)*-10)-3,0),MSP!$D$5:$N$5,0)+1)
*INDEX(Learning!$E$6:$S$41,(MATCH(Z$21,Dates,0)),(MATCH($C$151,Learning!$E$4:$S$4,0)+MATCH($C$162,Learning!$E$5:$S$5,0)-1)))</f>
        <v>0</v>
      </c>
      <c r="AA163" s="778" cm="1">
        <f t="array" aca="1" ref="AA163" ca="1">IF(AA$21&lt;Standard_Year,'No STDs Case Rev &amp; Cost'!AA163,
OFFSET(MSP!$C$1,
MATCH(OFFSET($C162,((MATCH($C162,EL_List,0)-1)*-10)-1,0),MSP!$C:$C,0)+MATCH($C162,EL_List,0)-1,
MATCH(OFFSET($C162,((MATCH($C162,EL_List,0)-1)*-10)-3,0),MSP!$D$5:$N$5,0)+1)
*INDEX(Learning!$E$6:$S$41,(MATCH(AA$21,Dates,0)),(MATCH($C$151,Learning!$E$4:$S$4,0)+MATCH($C$162,Learning!$E$5:$S$5,0)-1)))</f>
        <v>0</v>
      </c>
      <c r="AB163" s="778" cm="1">
        <f t="array" aca="1" ref="AB163" ca="1">IF(AB$21&lt;Standard_Year,'No STDs Case Rev &amp; Cost'!AB163,
OFFSET(MSP!$C$1,
MATCH(OFFSET($C162,((MATCH($C162,EL_List,0)-1)*-10)-1,0),MSP!$C:$C,0)+MATCH($C162,EL_List,0)-1,
MATCH(OFFSET($C162,((MATCH($C162,EL_List,0)-1)*-10)-3,0),MSP!$D$5:$N$5,0)+1)
*INDEX(Learning!$E$6:$S$41,(MATCH(AB$21,Dates,0)),(MATCH($C$151,Learning!$E$4:$S$4,0)+MATCH($C$162,Learning!$E$5:$S$5,0)-1)))</f>
        <v>0</v>
      </c>
      <c r="AC163" s="778" cm="1">
        <f t="array" aca="1" ref="AC163" ca="1">IF(AC$21&lt;Standard_Year,'No STDs Case Rev &amp; Cost'!AC163,
OFFSET(MSP!$C$1,
MATCH(OFFSET($C162,((MATCH($C162,EL_List,0)-1)*-10)-1,0),MSP!$C:$C,0)+MATCH($C162,EL_List,0)-1,
MATCH(OFFSET($C162,((MATCH($C162,EL_List,0)-1)*-10)-3,0),MSP!$D$5:$N$5,0)+1)
*INDEX(Learning!$E$6:$S$41,(MATCH(AC$21,Dates,0)),(MATCH($C$151,Learning!$E$4:$S$4,0)+MATCH($C$162,Learning!$E$5:$S$5,0)-1)))</f>
        <v>0</v>
      </c>
      <c r="AD163" s="778" cm="1">
        <f t="array" aca="1" ref="AD163" ca="1">IF(AD$21&lt;Standard_Year,'No STDs Case Rev &amp; Cost'!AD163,
OFFSET(MSP!$C$1,
MATCH(OFFSET($C162,((MATCH($C162,EL_List,0)-1)*-10)-1,0),MSP!$C:$C,0)+MATCH($C162,EL_List,0)-1,
MATCH(OFFSET($C162,((MATCH($C162,EL_List,0)-1)*-10)-3,0),MSP!$D$5:$N$5,0)+1)
*INDEX(Learning!$E$6:$S$41,(MATCH(AD$21,Dates,0)),(MATCH($C$151,Learning!$E$4:$S$4,0)+MATCH($C$162,Learning!$E$5:$S$5,0)-1)))</f>
        <v>0</v>
      </c>
      <c r="AE163" s="778" cm="1">
        <f t="array" aca="1" ref="AE163" ca="1">IF(AE$21&lt;Standard_Year,'No STDs Case Rev &amp; Cost'!AE163,
OFFSET(MSP!$C$1,
MATCH(OFFSET($C162,((MATCH($C162,EL_List,0)-1)*-10)-1,0),MSP!$C:$C,0)+MATCH($C162,EL_List,0)-1,
MATCH(OFFSET($C162,((MATCH($C162,EL_List,0)-1)*-10)-3,0),MSP!$D$5:$N$5,0)+1)
*INDEX(Learning!$E$6:$S$41,(MATCH(AE$21,Dates,0)),(MATCH($C$151,Learning!$E$4:$S$4,0)+MATCH($C$162,Learning!$E$5:$S$5,0)-1)))</f>
        <v>0</v>
      </c>
      <c r="AF163" s="778" cm="1">
        <f t="array" aca="1" ref="AF163" ca="1">IF(AF$21&lt;Standard_Year,'No STDs Case Rev &amp; Cost'!AF163,
OFFSET(MSP!$C$1,
MATCH(OFFSET($C162,((MATCH($C162,EL_List,0)-1)*-10)-1,0),MSP!$C:$C,0)+MATCH($C162,EL_List,0)-1,
MATCH(OFFSET($C162,((MATCH($C162,EL_List,0)-1)*-10)-3,0),MSP!$D$5:$N$5,0)+1)
*INDEX(Learning!$E$6:$S$41,(MATCH(AF$21,Dates,0)),(MATCH($C$151,Learning!$E$4:$S$4,0)+MATCH($C$162,Learning!$E$5:$S$5,0)-1)))</f>
        <v>0</v>
      </c>
      <c r="AG163" s="778" cm="1">
        <f t="array" aca="1" ref="AG163" ca="1">IF(AG$21&lt;Standard_Year,'No STDs Case Rev &amp; Cost'!AG163,
OFFSET(MSP!$C$1,
MATCH(OFFSET($C162,((MATCH($C162,EL_List,0)-1)*-10)-1,0),MSP!$C:$C,0)+MATCH($C162,EL_List,0)-1,
MATCH(OFFSET($C162,((MATCH($C162,EL_List,0)-1)*-10)-3,0),MSP!$D$5:$N$5,0)+1)
*INDEX(Learning!$E$6:$S$41,(MATCH(AG$21,Dates,0)),(MATCH($C$151,Learning!$E$4:$S$4,0)+MATCH($C$162,Learning!$E$5:$S$5,0)-1)))</f>
        <v>0</v>
      </c>
      <c r="AH163" s="778" cm="1">
        <f t="array" aca="1" ref="AH163" ca="1">IF(AH$21&lt;Standard_Year,'No STDs Case Rev &amp; Cost'!AH163,
OFFSET(MSP!$C$1,
MATCH(OFFSET($C162,((MATCH($C162,EL_List,0)-1)*-10)-1,0),MSP!$C:$C,0)+MATCH($C162,EL_List,0)-1,
MATCH(OFFSET($C162,((MATCH($C162,EL_List,0)-1)*-10)-3,0),MSP!$D$5:$N$5,0)+1)
*INDEX(Learning!$E$6:$S$41,(MATCH(AH$21,Dates,0)),(MATCH($C$151,Learning!$E$4:$S$4,0)+MATCH($C$162,Learning!$E$5:$S$5,0)-1)))</f>
        <v>0</v>
      </c>
      <c r="AI163" s="778" cm="1">
        <f t="array" aca="1" ref="AI163" ca="1">IF(AI$21&lt;Standard_Year,'No STDs Case Rev &amp; Cost'!AI163,
OFFSET(MSP!$C$1,
MATCH(OFFSET($C162,((MATCH($C162,EL_List,0)-1)*-10)-1,0),MSP!$C:$C,0)+MATCH($C162,EL_List,0)-1,
MATCH(OFFSET($C162,((MATCH($C162,EL_List,0)-1)*-10)-3,0),MSP!$D$5:$N$5,0)+1)
*INDEX(Learning!$E$6:$S$41,(MATCH(AI$21,Dates,0)),(MATCH($C$151,Learning!$E$4:$S$4,0)+MATCH($C$162,Learning!$E$5:$S$5,0)-1)))</f>
        <v>0</v>
      </c>
      <c r="AJ163" s="778" cm="1">
        <f t="array" aca="1" ref="AJ163" ca="1">IF(AJ$21&lt;Standard_Year,'No STDs Case Rev &amp; Cost'!AJ163,
OFFSET(MSP!$C$1,
MATCH(OFFSET($C162,((MATCH($C162,EL_List,0)-1)*-10)-1,0),MSP!$C:$C,0)+MATCH($C162,EL_List,0)-1,
MATCH(OFFSET($C162,((MATCH($C162,EL_List,0)-1)*-10)-3,0),MSP!$D$5:$N$5,0)+1)
*INDEX(Learning!$E$6:$S$41,(MATCH(AJ$21,Dates,0)),(MATCH($C$151,Learning!$E$4:$S$4,0)+MATCH($C$162,Learning!$E$5:$S$5,0)-1)))</f>
        <v>0</v>
      </c>
      <c r="AK163" s="778" cm="1">
        <f t="array" aca="1" ref="AK163" ca="1">IF(AK$21&lt;Standard_Year,'No STDs Case Rev &amp; Cost'!AK163,
OFFSET(MSP!$C$1,
MATCH(OFFSET($C162,((MATCH($C162,EL_List,0)-1)*-10)-1,0),MSP!$C:$C,0)+MATCH($C162,EL_List,0)-1,
MATCH(OFFSET($C162,((MATCH($C162,EL_List,0)-1)*-10)-3,0),MSP!$D$5:$N$5,0)+1)
*INDEX(Learning!$E$6:$S$41,(MATCH(AK$21,Dates,0)),(MATCH($C$151,Learning!$E$4:$S$4,0)+MATCH($C$162,Learning!$E$5:$S$5,0)-1)))</f>
        <v>0</v>
      </c>
      <c r="AL163" s="778" cm="1">
        <f t="array" aca="1" ref="AL163" ca="1">IF(AL$21&lt;Standard_Year,'No STDs Case Rev &amp; Cost'!AL163,
OFFSET(MSP!$C$1,
MATCH(OFFSET($C162,((MATCH($C162,EL_List,0)-1)*-10)-1,0),MSP!$C:$C,0)+MATCH($C162,EL_List,0)-1,
MATCH(OFFSET($C162,((MATCH($C162,EL_List,0)-1)*-10)-3,0),MSP!$D$5:$N$5,0)+1)
*INDEX(Learning!$E$6:$S$41,(MATCH(AL$21,Dates,0)),(MATCH($C$151,Learning!$E$4:$S$4,0)+MATCH($C$162,Learning!$E$5:$S$5,0)-1)))</f>
        <v>0</v>
      </c>
      <c r="AM163" s="778" cm="1">
        <f t="array" aca="1" ref="AM163" ca="1">IF(AM$21&lt;Standard_Year,'No STDs Case Rev &amp; Cost'!AM163,
OFFSET(MSP!$C$1,
MATCH(OFFSET($C162,((MATCH($C162,EL_List,0)-1)*-10)-1,0),MSP!$C:$C,0)+MATCH($C162,EL_List,0)-1,
MATCH(OFFSET($C162,((MATCH($C162,EL_List,0)-1)*-10)-3,0),MSP!$D$5:$N$5,0)+1)
*INDEX(Learning!$E$6:$S$41,(MATCH(AM$21,Dates,0)),(MATCH($C$151,Learning!$E$4:$S$4,0)+MATCH($C$162,Learning!$E$5:$S$5,0)-1)))</f>
        <v>0</v>
      </c>
      <c r="AN163" s="778" cm="1">
        <f t="array" aca="1" ref="AN163" ca="1">IF(AN$21&lt;Standard_Year,'No STDs Case Rev &amp; Cost'!AN163,
OFFSET(MSP!$C$1,
MATCH(OFFSET($C162,((MATCH($C162,EL_List,0)-1)*-10)-1,0),MSP!$C:$C,0)+MATCH($C162,EL_List,0)-1,
MATCH(OFFSET($C162,((MATCH($C162,EL_List,0)-1)*-10)-3,0),MSP!$D$5:$N$5,0)+1)
*INDEX(Learning!$E$6:$S$41,(MATCH(AN$21,Dates,0)),(MATCH($C$151,Learning!$E$4:$S$4,0)+MATCH($C$162,Learning!$E$5:$S$5,0)-1)))</f>
        <v>0</v>
      </c>
      <c r="AO163" s="436"/>
      <c r="AP163" s="21"/>
    </row>
    <row r="164" spans="2:42" ht="15" customHeight="1" x14ac:dyDescent="0.35">
      <c r="B164" s="429"/>
      <c r="C164" s="777" t="s">
        <v>78</v>
      </c>
      <c r="D164" s="776"/>
      <c r="E164" s="530">
        <f ca="1">OFFSET(OFFSET(Shipments!$D$1,0,MATCH(E$7,Dates)),
MATCH(OFFSET($C162,((MATCH($C162,EL_List,0)-1)*-10)-3,0),Shipments!$C:$C,0)+
MATCH(OFFSET($C162,((MATCH($C162,EL_List,0)-1)*-10)-1,0),Shipments!$D:$D,0)+
MATCH($C162,EL_List,0)-10,
MATCH(Shipments_Scenario_X,Shipments!$F$5:$AQ$5,0))</f>
        <v>1.2596463121322954</v>
      </c>
      <c r="F164" s="530">
        <f ca="1">OFFSET(OFFSET(Shipments!$D$1,0,MATCH(F$7,Dates)),
MATCH(OFFSET($C162,((MATCH($C162,EL_List,0)-1)*-10)-3,0),Shipments!$C:$C,0)+
MATCH(OFFSET($C162,((MATCH($C162,EL_List,0)-1)*-10)-1,0),Shipments!$D:$D,0)+
MATCH($C162,EL_List,0)-10,
MATCH(Shipments_Scenario_X,Shipments!$F$5:$AQ$5,0))</f>
        <v>1.3159758749940762</v>
      </c>
      <c r="G164" s="530">
        <f ca="1">OFFSET(OFFSET(Shipments!$D$1,0,MATCH(G$7,Dates)),
MATCH(OFFSET($C162,((MATCH($C162,EL_List,0)-1)*-10)-3,0),Shipments!$C:$C,0)+
MATCH(OFFSET($C162,((MATCH($C162,EL_List,0)-1)*-10)-1,0),Shipments!$D:$D,0)+
MATCH($C162,EL_List,0)-10,
MATCH(Shipments_Scenario_X,Shipments!$F$5:$AQ$5,0))</f>
        <v>2.271785904083329</v>
      </c>
      <c r="H164" s="530">
        <f ca="1">OFFSET(OFFSET(Shipments!$D$1,0,MATCH(H$7,Dates)),
MATCH(OFFSET($C162,((MATCH($C162,EL_List,0)-1)*-10)-3,0),Shipments!$C:$C,0)+
MATCH(OFFSET($C162,((MATCH($C162,EL_List,0)-1)*-10)-1,0),Shipments!$D:$D,0)+
MATCH($C162,EL_List,0)-10,
MATCH(Shipments_Scenario_X,Shipments!$F$5:$AQ$5,0))</f>
        <v>2.3798195338886621</v>
      </c>
      <c r="I164" s="530">
        <f ca="1">OFFSET(OFFSET(Shipments!$D$1,0,MATCH(I$7,Dates)),
MATCH(OFFSET($C162,((MATCH($C162,EL_List,0)-1)*-10)-3,0),Shipments!$C:$C,0)+
MATCH(OFFSET($C162,((MATCH($C162,EL_List,0)-1)*-10)-1,0),Shipments!$D:$D,0)+
MATCH($C162,EL_List,0)-10,
MATCH(Shipments_Scenario_X,Shipments!$F$5:$AQ$5,0))</f>
        <v>0</v>
      </c>
      <c r="J164" s="530">
        <f ca="1">OFFSET(OFFSET(Shipments!$D$1,0,MATCH(J$7,Dates)),
MATCH(OFFSET($C162,((MATCH($C162,EL_List,0)-1)*-10)-3,0),Shipments!$C:$C,0)+
MATCH(OFFSET($C162,((MATCH($C162,EL_List,0)-1)*-10)-1,0),Shipments!$D:$D,0)+
MATCH($C162,EL_List,0)-10,
MATCH(Shipments_Scenario_X,Shipments!$F$5:$AQ$5,0))</f>
        <v>0</v>
      </c>
      <c r="K164" s="530">
        <f ca="1">OFFSET(OFFSET(Shipments!$D$1,0,MATCH(K$7,Dates)),
MATCH(OFFSET($C162,((MATCH($C162,EL_List,0)-1)*-10)-3,0),Shipments!$C:$C,0)+
MATCH(OFFSET($C162,((MATCH($C162,EL_List,0)-1)*-10)-1,0),Shipments!$D:$D,0)+
MATCH($C162,EL_List,0)-10,
MATCH(Shipments_Scenario_X,Shipments!$F$5:$AQ$5,0))</f>
        <v>0</v>
      </c>
      <c r="L164" s="530">
        <f ca="1">OFFSET(OFFSET(Shipments!$D$1,0,MATCH(L$7,Dates)),
MATCH(OFFSET($C162,((MATCH($C162,EL_List,0)-1)*-10)-3,0),Shipments!$C:$C,0)+
MATCH(OFFSET($C162,((MATCH($C162,EL_List,0)-1)*-10)-1,0),Shipments!$D:$D,0)+
MATCH($C162,EL_List,0)-10,
MATCH(Shipments_Scenario_X,Shipments!$F$5:$AQ$5,0))</f>
        <v>0</v>
      </c>
      <c r="M164" s="530">
        <f ca="1">OFFSET(OFFSET(Shipments!$D$1,0,MATCH(M$7,Dates)),
MATCH(OFFSET($C162,((MATCH($C162,EL_List,0)-1)*-10)-3,0),Shipments!$C:$C,0)+
MATCH(OFFSET($C162,((MATCH($C162,EL_List,0)-1)*-10)-1,0),Shipments!$D:$D,0)+
MATCH($C162,EL_List,0)-10,
MATCH(Shipments_Scenario_X,Shipments!$F$5:$AQ$5,0))</f>
        <v>0</v>
      </c>
      <c r="N164" s="530">
        <f ca="1">OFFSET(OFFSET(Shipments!$D$1,0,MATCH(N$7,Dates)),
MATCH(OFFSET($C162,((MATCH($C162,EL_List,0)-1)*-10)-3,0),Shipments!$C:$C,0)+
MATCH(OFFSET($C162,((MATCH($C162,EL_List,0)-1)*-10)-1,0),Shipments!$D:$D,0)+
MATCH($C162,EL_List,0)-10,
MATCH(Shipments_Scenario_X,Shipments!$F$5:$AQ$5,0))</f>
        <v>0</v>
      </c>
      <c r="O164" s="530">
        <f ca="1">OFFSET(OFFSET(Shipments!$D$1,0,MATCH(O$7,Dates)),
MATCH(OFFSET($C162,((MATCH($C162,EL_List,0)-1)*-10)-3,0),Shipments!$C:$C,0)+
MATCH(OFFSET($C162,((MATCH($C162,EL_List,0)-1)*-10)-1,0),Shipments!$D:$D,0)+
MATCH($C162,EL_List,0)-10,
MATCH(Shipments_Scenario_X,Shipments!$F$5:$AQ$5,0))</f>
        <v>0</v>
      </c>
      <c r="P164" s="530">
        <f ca="1">OFFSET(OFFSET(Shipments!$D$1,0,MATCH(P$7,Dates)),
MATCH(OFFSET($C162,((MATCH($C162,EL_List,0)-1)*-10)-3,0),Shipments!$C:$C,0)+
MATCH(OFFSET($C162,((MATCH($C162,EL_List,0)-1)*-10)-1,0),Shipments!$D:$D,0)+
MATCH($C162,EL_List,0)-10,
MATCH(Shipments_Scenario_X,Shipments!$F$5:$AQ$5,0))</f>
        <v>0</v>
      </c>
      <c r="Q164" s="530">
        <f ca="1">OFFSET(OFFSET(Shipments!$D$1,0,MATCH(Q$7,Dates)),
MATCH(OFFSET($C162,((MATCH($C162,EL_List,0)-1)*-10)-3,0),Shipments!$C:$C,0)+
MATCH(OFFSET($C162,((MATCH($C162,EL_List,0)-1)*-10)-1,0),Shipments!$D:$D,0)+
MATCH($C162,EL_List,0)-10,
MATCH(Shipments_Scenario_X,Shipments!$F$5:$AQ$5,0))</f>
        <v>0</v>
      </c>
      <c r="R164" s="530">
        <f ca="1">OFFSET(OFFSET(Shipments!$D$1,0,MATCH(R$7,Dates)),
MATCH(OFFSET($C162,((MATCH($C162,EL_List,0)-1)*-10)-3,0),Shipments!$C:$C,0)+
MATCH(OFFSET($C162,((MATCH($C162,EL_List,0)-1)*-10)-1,0),Shipments!$D:$D,0)+
MATCH($C162,EL_List,0)-10,
MATCH(Shipments_Scenario_X,Shipments!$F$5:$AQ$5,0))</f>
        <v>0</v>
      </c>
      <c r="S164" s="530">
        <f ca="1">OFFSET(OFFSET(Shipments!$D$1,0,MATCH(S$7,Dates)),
MATCH(OFFSET($C162,((MATCH($C162,EL_List,0)-1)*-10)-3,0),Shipments!$C:$C,0)+
MATCH(OFFSET($C162,((MATCH($C162,EL_List,0)-1)*-10)-1,0),Shipments!$D:$D,0)+
MATCH($C162,EL_List,0)-10,
MATCH(Shipments_Scenario_X,Shipments!$F$5:$AQ$5,0))</f>
        <v>0</v>
      </c>
      <c r="T164" s="530">
        <f ca="1">OFFSET(OFFSET(Shipments!$D$1,0,MATCH(T$7,Dates)),
MATCH(OFFSET($C162,((MATCH($C162,EL_List,0)-1)*-10)-3,0),Shipments!$C:$C,0)+
MATCH(OFFSET($C162,((MATCH($C162,EL_List,0)-1)*-10)-1,0),Shipments!$D:$D,0)+
MATCH($C162,EL_List,0)-10,
MATCH(Shipments_Scenario_X,Shipments!$F$5:$AQ$5,0))</f>
        <v>0</v>
      </c>
      <c r="U164" s="530">
        <f ca="1">OFFSET(OFFSET(Shipments!$D$1,0,MATCH(U$7,Dates)),
MATCH(OFFSET($C162,((MATCH($C162,EL_List,0)-1)*-10)-3,0),Shipments!$C:$C,0)+
MATCH(OFFSET($C162,((MATCH($C162,EL_List,0)-1)*-10)-1,0),Shipments!$D:$D,0)+
MATCH($C162,EL_List,0)-10,
MATCH(Shipments_Scenario_X,Shipments!$F$5:$AQ$5,0))</f>
        <v>0</v>
      </c>
      <c r="V164" s="530">
        <f ca="1">OFFSET(OFFSET(Shipments!$D$1,0,MATCH(V$7,Dates)),
MATCH(OFFSET($C162,((MATCH($C162,EL_List,0)-1)*-10)-3,0),Shipments!$C:$C,0)+
MATCH(OFFSET($C162,((MATCH($C162,EL_List,0)-1)*-10)-1,0),Shipments!$D:$D,0)+
MATCH($C162,EL_List,0)-10,
MATCH(Shipments_Scenario_X,Shipments!$F$5:$AQ$5,0))</f>
        <v>0</v>
      </c>
      <c r="W164" s="530">
        <f ca="1">OFFSET(OFFSET(Shipments!$D$1,0,MATCH(W$7,Dates)),
MATCH(OFFSET($C162,((MATCH($C162,EL_List,0)-1)*-10)-3,0),Shipments!$C:$C,0)+
MATCH(OFFSET($C162,((MATCH($C162,EL_List,0)-1)*-10)-1,0),Shipments!$D:$D,0)+
MATCH($C162,EL_List,0)-10,
MATCH(Shipments_Scenario_X,Shipments!$F$5:$AQ$5,0))</f>
        <v>0</v>
      </c>
      <c r="X164" s="530">
        <f ca="1">OFFSET(OFFSET(Shipments!$D$1,0,MATCH(X$7,Dates)),
MATCH(OFFSET($C162,((MATCH($C162,EL_List,0)-1)*-10)-3,0),Shipments!$C:$C,0)+
MATCH(OFFSET($C162,((MATCH($C162,EL_List,0)-1)*-10)-1,0),Shipments!$D:$D,0)+
MATCH($C162,EL_List,0)-10,
MATCH(Shipments_Scenario_X,Shipments!$F$5:$AQ$5,0))</f>
        <v>0</v>
      </c>
      <c r="Y164" s="530">
        <f ca="1">OFFSET(OFFSET(Shipments!$D$1,0,MATCH(Y$7,Dates)),
MATCH(OFFSET($C162,((MATCH($C162,EL_List,0)-1)*-10)-3,0),Shipments!$C:$C,0)+
MATCH(OFFSET($C162,((MATCH($C162,EL_List,0)-1)*-10)-1,0),Shipments!$D:$D,0)+
MATCH($C162,EL_List,0)-10,
MATCH(Shipments_Scenario_X,Shipments!$F$5:$AQ$5,0))</f>
        <v>0</v>
      </c>
      <c r="Z164" s="530">
        <f ca="1">OFFSET(OFFSET(Shipments!$D$1,0,MATCH(Z$7,Dates)),
MATCH(OFFSET($C162,((MATCH($C162,EL_List,0)-1)*-10)-3,0),Shipments!$C:$C,0)+
MATCH(OFFSET($C162,((MATCH($C162,EL_List,0)-1)*-10)-1,0),Shipments!$D:$D,0)+
MATCH($C162,EL_List,0)-10,
MATCH(Shipments_Scenario_X,Shipments!$F$5:$AQ$5,0))</f>
        <v>0</v>
      </c>
      <c r="AA164" s="530">
        <f ca="1">OFFSET(OFFSET(Shipments!$D$1,0,MATCH(AA$7,Dates)),
MATCH(OFFSET($C162,((MATCH($C162,EL_List,0)-1)*-10)-3,0),Shipments!$C:$C,0)+
MATCH(OFFSET($C162,((MATCH($C162,EL_List,0)-1)*-10)-1,0),Shipments!$D:$D,0)+
MATCH($C162,EL_List,0)-10,
MATCH(Shipments_Scenario_X,Shipments!$F$5:$AQ$5,0))</f>
        <v>0</v>
      </c>
      <c r="AB164" s="530">
        <f ca="1">OFFSET(OFFSET(Shipments!$D$1,0,MATCH(AB$7,Dates)),
MATCH(OFFSET($C162,((MATCH($C162,EL_List,0)-1)*-10)-3,0),Shipments!$C:$C,0)+
MATCH(OFFSET($C162,((MATCH($C162,EL_List,0)-1)*-10)-1,0),Shipments!$D:$D,0)+
MATCH($C162,EL_List,0)-10,
MATCH(Shipments_Scenario_X,Shipments!$F$5:$AQ$5,0))</f>
        <v>0</v>
      </c>
      <c r="AC164" s="530">
        <f ca="1">OFFSET(OFFSET(Shipments!$D$1,0,MATCH(AC$7,Dates)),
MATCH(OFFSET($C162,((MATCH($C162,EL_List,0)-1)*-10)-3,0),Shipments!$C:$C,0)+
MATCH(OFFSET($C162,((MATCH($C162,EL_List,0)-1)*-10)-1,0),Shipments!$D:$D,0)+
MATCH($C162,EL_List,0)-10,
MATCH(Shipments_Scenario_X,Shipments!$F$5:$AQ$5,0))</f>
        <v>0</v>
      </c>
      <c r="AD164" s="530">
        <f ca="1">OFFSET(OFFSET(Shipments!$D$1,0,MATCH(AD$7,Dates)),
MATCH(OFFSET($C162,((MATCH($C162,EL_List,0)-1)*-10)-3,0),Shipments!$C:$C,0)+
MATCH(OFFSET($C162,((MATCH($C162,EL_List,0)-1)*-10)-1,0),Shipments!$D:$D,0)+
MATCH($C162,EL_List,0)-10,
MATCH(Shipments_Scenario_X,Shipments!$F$5:$AQ$5,0))</f>
        <v>0</v>
      </c>
      <c r="AE164" s="530">
        <f ca="1">OFFSET(OFFSET(Shipments!$D$1,0,MATCH(AE$7,Dates)),
MATCH(OFFSET($C162,((MATCH($C162,EL_List,0)-1)*-10)-3,0),Shipments!$C:$C,0)+
MATCH(OFFSET($C162,((MATCH($C162,EL_List,0)-1)*-10)-1,0),Shipments!$D:$D,0)+
MATCH($C162,EL_List,0)-10,
MATCH(Shipments_Scenario_X,Shipments!$F$5:$AQ$5,0))</f>
        <v>0</v>
      </c>
      <c r="AF164" s="530">
        <f ca="1">OFFSET(OFFSET(Shipments!$D$1,0,MATCH(AF$7,Dates)),
MATCH(OFFSET($C162,((MATCH($C162,EL_List,0)-1)*-10)-3,0),Shipments!$C:$C,0)+
MATCH(OFFSET($C162,((MATCH($C162,EL_List,0)-1)*-10)-1,0),Shipments!$D:$D,0)+
MATCH($C162,EL_List,0)-10,
MATCH(Shipments_Scenario_X,Shipments!$F$5:$AQ$5,0))</f>
        <v>0</v>
      </c>
      <c r="AG164" s="530">
        <f ca="1">OFFSET(OFFSET(Shipments!$D$1,0,MATCH(AG$7,Dates)),
MATCH(OFFSET($C162,((MATCH($C162,EL_List,0)-1)*-10)-3,0),Shipments!$C:$C,0)+
MATCH(OFFSET($C162,((MATCH($C162,EL_List,0)-1)*-10)-1,0),Shipments!$D:$D,0)+
MATCH($C162,EL_List,0)-10,
MATCH(Shipments_Scenario_X,Shipments!$F$5:$AQ$5,0))</f>
        <v>0</v>
      </c>
      <c r="AH164" s="530">
        <f ca="1">OFFSET(OFFSET(Shipments!$D$1,0,MATCH(AH$7,Dates)),
MATCH(OFFSET($C162,((MATCH($C162,EL_List,0)-1)*-10)-3,0),Shipments!$C:$C,0)+
MATCH(OFFSET($C162,((MATCH($C162,EL_List,0)-1)*-10)-1,0),Shipments!$D:$D,0)+
MATCH($C162,EL_List,0)-10,
MATCH(Shipments_Scenario_X,Shipments!$F$5:$AQ$5,0))</f>
        <v>0</v>
      </c>
      <c r="AI164" s="530">
        <f ca="1">OFFSET(OFFSET(Shipments!$D$1,0,MATCH(AI$7,Dates)),
MATCH(OFFSET($C162,((MATCH($C162,EL_List,0)-1)*-10)-3,0),Shipments!$C:$C,0)+
MATCH(OFFSET($C162,((MATCH($C162,EL_List,0)-1)*-10)-1,0),Shipments!$D:$D,0)+
MATCH($C162,EL_List,0)-10,
MATCH(Shipments_Scenario_X,Shipments!$F$5:$AQ$5,0))</f>
        <v>0</v>
      </c>
      <c r="AJ164" s="530">
        <f ca="1">OFFSET(OFFSET(Shipments!$D$1,0,MATCH(AJ$7,Dates)),
MATCH(OFFSET($C162,((MATCH($C162,EL_List,0)-1)*-10)-3,0),Shipments!$C:$C,0)+
MATCH(OFFSET($C162,((MATCH($C162,EL_List,0)-1)*-10)-1,0),Shipments!$D:$D,0)+
MATCH($C162,EL_List,0)-10,
MATCH(Shipments_Scenario_X,Shipments!$F$5:$AQ$5,0))</f>
        <v>0</v>
      </c>
      <c r="AK164" s="530">
        <f ca="1">OFFSET(OFFSET(Shipments!$D$1,0,MATCH(AK$7,Dates)),
MATCH(OFFSET($C162,((MATCH($C162,EL_List,0)-1)*-10)-3,0),Shipments!$C:$C,0)+
MATCH(OFFSET($C162,((MATCH($C162,EL_List,0)-1)*-10)-1,0),Shipments!$D:$D,0)+
MATCH($C162,EL_List,0)-10,
MATCH(Shipments_Scenario_X,Shipments!$F$5:$AQ$5,0))</f>
        <v>0</v>
      </c>
      <c r="AL164" s="530">
        <f ca="1">OFFSET(OFFSET(Shipments!$D$1,0,MATCH(AL$7,Dates)),
MATCH(OFFSET($C162,((MATCH($C162,EL_List,0)-1)*-10)-3,0),Shipments!$C:$C,0)+
MATCH(OFFSET($C162,((MATCH($C162,EL_List,0)-1)*-10)-1,0),Shipments!$D:$D,0)+
MATCH($C162,EL_List,0)-10,
MATCH(Shipments_Scenario_X,Shipments!$F$5:$AQ$5,0))</f>
        <v>0</v>
      </c>
      <c r="AM164" s="530">
        <f ca="1">OFFSET(OFFSET(Shipments!$D$1,0,MATCH(AM$7,Dates)),
MATCH(OFFSET($C162,((MATCH($C162,EL_List,0)-1)*-10)-3,0),Shipments!$C:$C,0)+
MATCH(OFFSET($C162,((MATCH($C162,EL_List,0)-1)*-10)-1,0),Shipments!$D:$D,0)+
MATCH($C162,EL_List,0)-10,
MATCH(Shipments_Scenario_X,Shipments!$F$5:$AQ$5,0))</f>
        <v>0</v>
      </c>
      <c r="AN164" s="530">
        <f ca="1">OFFSET(OFFSET(Shipments!$D$1,0,MATCH(AN$7,Dates)),
MATCH(OFFSET($C162,((MATCH($C162,EL_List,0)-1)*-10)-3,0),Shipments!$C:$C,0)+
MATCH(OFFSET($C162,((MATCH($C162,EL_List,0)-1)*-10)-1,0),Shipments!$D:$D,0)+
MATCH($C162,EL_List,0)-10,
MATCH(Shipments_Scenario_X,Shipments!$F$5:$AQ$5,0))</f>
        <v>0</v>
      </c>
      <c r="AO164" s="436"/>
      <c r="AP164" s="21"/>
    </row>
    <row r="165" spans="2:42" ht="15" customHeight="1" x14ac:dyDescent="0.35">
      <c r="B165" s="429"/>
      <c r="C165" s="777" t="s">
        <v>79</v>
      </c>
      <c r="D165" s="776"/>
      <c r="E165" s="531">
        <f t="shared" ref="E165:AN165" ca="1" si="37">E163*E164</f>
        <v>136.38328426762911</v>
      </c>
      <c r="F165" s="531">
        <f t="shared" ca="1" si="37"/>
        <v>141.38823482127179</v>
      </c>
      <c r="G165" s="531">
        <f t="shared" ca="1" si="37"/>
        <v>242.1918738419117</v>
      </c>
      <c r="H165" s="531">
        <f t="shared" ca="1" si="37"/>
        <v>251.97822656561678</v>
      </c>
      <c r="I165" s="531">
        <f t="shared" ca="1" si="37"/>
        <v>0</v>
      </c>
      <c r="J165" s="531">
        <f t="shared" ca="1" si="37"/>
        <v>0</v>
      </c>
      <c r="K165" s="531">
        <f t="shared" ca="1" si="37"/>
        <v>0</v>
      </c>
      <c r="L165" s="531">
        <f t="shared" ca="1" si="37"/>
        <v>0</v>
      </c>
      <c r="M165" s="531">
        <f t="shared" ca="1" si="37"/>
        <v>0</v>
      </c>
      <c r="N165" s="531">
        <f t="shared" ca="1" si="37"/>
        <v>0</v>
      </c>
      <c r="O165" s="531">
        <f t="shared" ca="1" si="37"/>
        <v>0</v>
      </c>
      <c r="P165" s="531">
        <f t="shared" ca="1" si="37"/>
        <v>0</v>
      </c>
      <c r="Q165" s="531">
        <f t="shared" ca="1" si="37"/>
        <v>0</v>
      </c>
      <c r="R165" s="531">
        <f t="shared" ca="1" si="37"/>
        <v>0</v>
      </c>
      <c r="S165" s="531">
        <f t="shared" ca="1" si="37"/>
        <v>0</v>
      </c>
      <c r="T165" s="531">
        <f t="shared" ca="1" si="37"/>
        <v>0</v>
      </c>
      <c r="U165" s="531">
        <f t="shared" ca="1" si="37"/>
        <v>0</v>
      </c>
      <c r="V165" s="531">
        <f t="shared" ca="1" si="37"/>
        <v>0</v>
      </c>
      <c r="W165" s="531">
        <f t="shared" ca="1" si="37"/>
        <v>0</v>
      </c>
      <c r="X165" s="531">
        <f t="shared" ca="1" si="37"/>
        <v>0</v>
      </c>
      <c r="Y165" s="531">
        <f t="shared" ca="1" si="37"/>
        <v>0</v>
      </c>
      <c r="Z165" s="531">
        <f t="shared" ca="1" si="37"/>
        <v>0</v>
      </c>
      <c r="AA165" s="531">
        <f t="shared" ca="1" si="37"/>
        <v>0</v>
      </c>
      <c r="AB165" s="531">
        <f t="shared" ca="1" si="37"/>
        <v>0</v>
      </c>
      <c r="AC165" s="531">
        <f t="shared" ca="1" si="37"/>
        <v>0</v>
      </c>
      <c r="AD165" s="531">
        <f t="shared" ca="1" si="37"/>
        <v>0</v>
      </c>
      <c r="AE165" s="531">
        <f t="shared" ca="1" si="37"/>
        <v>0</v>
      </c>
      <c r="AF165" s="531">
        <f t="shared" ca="1" si="37"/>
        <v>0</v>
      </c>
      <c r="AG165" s="531">
        <f t="shared" ca="1" si="37"/>
        <v>0</v>
      </c>
      <c r="AH165" s="531">
        <f t="shared" ca="1" si="37"/>
        <v>0</v>
      </c>
      <c r="AI165" s="531">
        <f t="shared" ca="1" si="37"/>
        <v>0</v>
      </c>
      <c r="AJ165" s="531">
        <f t="shared" ca="1" si="37"/>
        <v>0</v>
      </c>
      <c r="AK165" s="531">
        <f t="shared" ca="1" si="37"/>
        <v>0</v>
      </c>
      <c r="AL165" s="531">
        <f t="shared" ca="1" si="37"/>
        <v>0</v>
      </c>
      <c r="AM165" s="531">
        <f t="shared" ref="AM165" ca="1" si="38">AM163*AM164</f>
        <v>0</v>
      </c>
      <c r="AN165" s="531">
        <f t="shared" ca="1" si="37"/>
        <v>0</v>
      </c>
      <c r="AO165" s="436"/>
      <c r="AP165" s="21"/>
    </row>
    <row r="166" spans="2:42" ht="15" customHeight="1" x14ac:dyDescent="0.35">
      <c r="B166" s="429"/>
      <c r="C166" s="777"/>
      <c r="D166" s="776"/>
      <c r="E166" s="776"/>
      <c r="F166" s="776"/>
      <c r="G166" s="776"/>
      <c r="H166" s="776"/>
      <c r="I166" s="776"/>
      <c r="J166" s="776"/>
      <c r="K166" s="776"/>
      <c r="L166" s="776"/>
      <c r="M166" s="776"/>
      <c r="N166" s="776"/>
      <c r="O166" s="776"/>
      <c r="P166" s="776"/>
      <c r="Q166" s="776"/>
      <c r="R166" s="776"/>
      <c r="S166" s="776"/>
      <c r="T166" s="776"/>
      <c r="U166" s="776"/>
      <c r="V166" s="776"/>
      <c r="W166" s="776"/>
      <c r="X166" s="776"/>
      <c r="Y166" s="776"/>
      <c r="Z166" s="776"/>
      <c r="AA166" s="776"/>
      <c r="AB166" s="776"/>
      <c r="AC166" s="776"/>
      <c r="AD166" s="776"/>
      <c r="AE166" s="776"/>
      <c r="AF166" s="776"/>
      <c r="AG166" s="776"/>
      <c r="AH166" s="776"/>
      <c r="AI166" s="776"/>
      <c r="AJ166" s="776"/>
      <c r="AK166" s="776"/>
      <c r="AL166" s="776"/>
      <c r="AM166" s="776"/>
      <c r="AN166" s="776"/>
      <c r="AO166" s="436"/>
      <c r="AP166" s="21"/>
    </row>
    <row r="167" spans="2:42" ht="15" customHeight="1" x14ac:dyDescent="0.35">
      <c r="B167" s="429"/>
      <c r="C167" s="780" t="s">
        <v>212</v>
      </c>
      <c r="D167" s="776"/>
      <c r="E167" s="532" cm="1">
        <f t="array" aca="1" ref="E167" ca="1">IF(E$21&lt;Standard_Year,'No STDs Case Rev &amp; Cost'!E167,
OFFSET(E167,-3,0)*
OFFSET(MSP!$D$1,
MATCH(OFFSET($C162,((MATCH($C162,EL_List,0)-1)*-10)-1,0),MSP!$C:$C,0)+MATCH($C162,EL_List,0)-1,0)
*INDEX(Learning!$E$6:$S$41,(MATCH(E$21,Dates,0)),(MATCH($C$151,Learning!$E$4:$S$4,0)+MATCH($C$162,Learning!$E$5:$S$5,0)-1)))</f>
        <v>84.676495641929719</v>
      </c>
      <c r="F167" s="532" cm="1">
        <f t="array" aca="1" ref="F167" ca="1">IF(F$21&lt;Standard_Year,'No STDs Case Rev &amp; Cost'!F167,
OFFSET(F167,-3,0)*
OFFSET(MSP!$D$1,
MATCH(OFFSET($C162,((MATCH($C162,EL_List,0)-1)*-10)-1,0),MSP!$C:$C,0)+MATCH($C162,EL_List,0)-1,0)
*INDEX(Learning!$E$6:$S$41,(MATCH(F$21,Dates,0)),(MATCH($C$151,Learning!$E$4:$S$4,0)+MATCH($C$162,Learning!$E$5:$S$5,0)-1)))</f>
        <v>87.78392684964254</v>
      </c>
      <c r="G167" s="532" cm="1">
        <f t="array" aca="1" ref="G167" ca="1">IF(G$21&lt;Standard_Year,'No STDs Case Rev &amp; Cost'!G167,
OFFSET(G167,-3,0)*
OFFSET(MSP!$D$1,
MATCH(OFFSET($C162,((MATCH($C162,EL_List,0)-1)*-10)-1,0),MSP!$C:$C,0)+MATCH($C162,EL_List,0)-1,0)
*INDEX(Learning!$E$6:$S$41,(MATCH(G$21,Dates,0)),(MATCH($C$151,Learning!$E$4:$S$4,0)+MATCH($C$162,Learning!$E$5:$S$5,0)-1)))</f>
        <v>90.445860831624273</v>
      </c>
      <c r="H167" s="532" cm="1">
        <f t="array" aca="1" ref="H167" ca="1">IF(H$21&lt;Standard_Year,'No STDs Case Rev &amp; Cost'!H167,
OFFSET(H167,-3,0)*
OFFSET(MSP!$D$1,
MATCH(OFFSET($C162,((MATCH($C162,EL_List,0)-1)*-10)-1,0),MSP!$C:$C,0)+MATCH($C162,EL_List,0)-1,0)
*INDEX(Learning!$E$6:$S$41,(MATCH(H$21,Dates,0)),(MATCH($C$151,Learning!$E$4:$S$4,0)+MATCH($C$162,Learning!$E$5:$S$5,0)-1)))</f>
        <v>94.047412831840049</v>
      </c>
      <c r="I167" s="532" cm="1">
        <f t="array" aca="1" ref="I167" ca="1">IF(I$21&lt;Standard_Year,'No STDs Case Rev &amp; Cost'!I167,
OFFSET(I167,-3,0)*
OFFSET(MSP!$D$1,
MATCH(OFFSET($C162,((MATCH($C162,EL_List,0)-1)*-10)-1,0),MSP!$C:$C,0)+MATCH($C162,EL_List,0)-1,0)
*INDEX(Learning!$E$6:$S$41,(MATCH(I$21,Dates,0)),(MATCH($C$151,Learning!$E$4:$S$4,0)+MATCH($C$162,Learning!$E$5:$S$5,0)-1)))</f>
        <v>0</v>
      </c>
      <c r="J167" s="532" cm="1">
        <f t="array" aca="1" ref="J167" ca="1">IF(J$21&lt;Standard_Year,'No STDs Case Rev &amp; Cost'!J167,
OFFSET(J167,-3,0)*
OFFSET(MSP!$D$1,
MATCH(OFFSET($C162,((MATCH($C162,EL_List,0)-1)*-10)-1,0),MSP!$C:$C,0)+MATCH($C162,EL_List,0)-1,0)
*INDEX(Learning!$E$6:$S$41,(MATCH(J$21,Dates,0)),(MATCH($C$151,Learning!$E$4:$S$4,0)+MATCH($C$162,Learning!$E$5:$S$5,0)-1)))</f>
        <v>0</v>
      </c>
      <c r="K167" s="532" cm="1">
        <f t="array" aca="1" ref="K167" ca="1">IF(K$21&lt;Standard_Year,'No STDs Case Rev &amp; Cost'!K167,
OFFSET(K167,-3,0)*
OFFSET(MSP!$D$1,
MATCH(OFFSET($C162,((MATCH($C162,EL_List,0)-1)*-10)-1,0),MSP!$C:$C,0)+MATCH($C162,EL_List,0)-1,0)
*INDEX(Learning!$E$6:$S$41,(MATCH(K$21,Dates,0)),(MATCH($C$151,Learning!$E$4:$S$4,0)+MATCH($C$162,Learning!$E$5:$S$5,0)-1)))</f>
        <v>0</v>
      </c>
      <c r="L167" s="532" cm="1">
        <f t="array" aca="1" ref="L167" ca="1">IF(L$21&lt;Standard_Year,'No STDs Case Rev &amp; Cost'!L167,
OFFSET(L167,-3,0)*
OFFSET(MSP!$D$1,
MATCH(OFFSET($C162,((MATCH($C162,EL_List,0)-1)*-10)-1,0),MSP!$C:$C,0)+MATCH($C162,EL_List,0)-1,0)
*INDEX(Learning!$E$6:$S$41,(MATCH(L$21,Dates,0)),(MATCH($C$151,Learning!$E$4:$S$4,0)+MATCH($C$162,Learning!$E$5:$S$5,0)-1)))</f>
        <v>0</v>
      </c>
      <c r="M167" s="532" cm="1">
        <f t="array" aca="1" ref="M167" ca="1">IF(M$21&lt;Standard_Year,'No STDs Case Rev &amp; Cost'!M167,
OFFSET(M167,-3,0)*
OFFSET(MSP!$D$1,
MATCH(OFFSET($C162,((MATCH($C162,EL_List,0)-1)*-10)-1,0),MSP!$C:$C,0)+MATCH($C162,EL_List,0)-1,0)
*INDEX(Learning!$E$6:$S$41,(MATCH(M$21,Dates,0)),(MATCH($C$151,Learning!$E$4:$S$4,0)+MATCH($C$162,Learning!$E$5:$S$5,0)-1)))</f>
        <v>0</v>
      </c>
      <c r="N167" s="532" cm="1">
        <f t="array" aca="1" ref="N167" ca="1">IF(N$21&lt;Standard_Year,'No STDs Case Rev &amp; Cost'!N167,
OFFSET(N167,-3,0)*
OFFSET(MSP!$D$1,
MATCH(OFFSET($C162,((MATCH($C162,EL_List,0)-1)*-10)-1,0),MSP!$C:$C,0)+MATCH($C162,EL_List,0)-1,0)
*INDEX(Learning!$E$6:$S$41,(MATCH(N$21,Dates,0)),(MATCH($C$151,Learning!$E$4:$S$4,0)+MATCH($C$162,Learning!$E$5:$S$5,0)-1)))</f>
        <v>0</v>
      </c>
      <c r="O167" s="532" cm="1">
        <f t="array" aca="1" ref="O167" ca="1">IF(O$21&lt;Standard_Year,'No STDs Case Rev &amp; Cost'!O167,
OFFSET(O167,-3,0)*
OFFSET(MSP!$D$1,
MATCH(OFFSET($C162,((MATCH($C162,EL_List,0)-1)*-10)-1,0),MSP!$C:$C,0)+MATCH($C162,EL_List,0)-1,0)
*INDEX(Learning!$E$6:$S$41,(MATCH(O$21,Dates,0)),(MATCH($C$151,Learning!$E$4:$S$4,0)+MATCH($C$162,Learning!$E$5:$S$5,0)-1)))</f>
        <v>0</v>
      </c>
      <c r="P167" s="532" cm="1">
        <f t="array" aca="1" ref="P167" ca="1">IF(P$21&lt;Standard_Year,'No STDs Case Rev &amp; Cost'!P167,
OFFSET(P167,-3,0)*
OFFSET(MSP!$D$1,
MATCH(OFFSET($C162,((MATCH($C162,EL_List,0)-1)*-10)-1,0),MSP!$C:$C,0)+MATCH($C162,EL_List,0)-1,0)
*INDEX(Learning!$E$6:$S$41,(MATCH(P$21,Dates,0)),(MATCH($C$151,Learning!$E$4:$S$4,0)+MATCH($C$162,Learning!$E$5:$S$5,0)-1)))</f>
        <v>0</v>
      </c>
      <c r="Q167" s="532" cm="1">
        <f t="array" aca="1" ref="Q167" ca="1">IF(Q$21&lt;Standard_Year,'No STDs Case Rev &amp; Cost'!Q167,
OFFSET(Q167,-3,0)*
OFFSET(MSP!$D$1,
MATCH(OFFSET($C162,((MATCH($C162,EL_List,0)-1)*-10)-1,0),MSP!$C:$C,0)+MATCH($C162,EL_List,0)-1,0)
*INDEX(Learning!$E$6:$S$41,(MATCH(Q$21,Dates,0)),(MATCH($C$151,Learning!$E$4:$S$4,0)+MATCH($C$162,Learning!$E$5:$S$5,0)-1)))</f>
        <v>0</v>
      </c>
      <c r="R167" s="532" cm="1">
        <f t="array" aca="1" ref="R167" ca="1">IF(R$21&lt;Standard_Year,'No STDs Case Rev &amp; Cost'!R167,
OFFSET(R167,-3,0)*
OFFSET(MSP!$D$1,
MATCH(OFFSET($C162,((MATCH($C162,EL_List,0)-1)*-10)-1,0),MSP!$C:$C,0)+MATCH($C162,EL_List,0)-1,0)
*INDEX(Learning!$E$6:$S$41,(MATCH(R$21,Dates,0)),(MATCH($C$151,Learning!$E$4:$S$4,0)+MATCH($C$162,Learning!$E$5:$S$5,0)-1)))</f>
        <v>0</v>
      </c>
      <c r="S167" s="532" cm="1">
        <f t="array" aca="1" ref="S167" ca="1">IF(S$21&lt;Standard_Year,'No STDs Case Rev &amp; Cost'!S167,
OFFSET(S167,-3,0)*
OFFSET(MSP!$D$1,
MATCH(OFFSET($C162,((MATCH($C162,EL_List,0)-1)*-10)-1,0),MSP!$C:$C,0)+MATCH($C162,EL_List,0)-1,0)
*INDEX(Learning!$E$6:$S$41,(MATCH(S$21,Dates,0)),(MATCH($C$151,Learning!$E$4:$S$4,0)+MATCH($C$162,Learning!$E$5:$S$5,0)-1)))</f>
        <v>0</v>
      </c>
      <c r="T167" s="532" cm="1">
        <f t="array" aca="1" ref="T167" ca="1">IF(T$21&lt;Standard_Year,'No STDs Case Rev &amp; Cost'!T167,
OFFSET(T167,-3,0)*
OFFSET(MSP!$D$1,
MATCH(OFFSET($C162,((MATCH($C162,EL_List,0)-1)*-10)-1,0),MSP!$C:$C,0)+MATCH($C162,EL_List,0)-1,0)
*INDEX(Learning!$E$6:$S$41,(MATCH(T$21,Dates,0)),(MATCH($C$151,Learning!$E$4:$S$4,0)+MATCH($C$162,Learning!$E$5:$S$5,0)-1)))</f>
        <v>0</v>
      </c>
      <c r="U167" s="532" cm="1">
        <f t="array" aca="1" ref="U167" ca="1">IF(U$21&lt;Standard_Year,'No STDs Case Rev &amp; Cost'!U167,
OFFSET(U167,-3,0)*
OFFSET(MSP!$D$1,
MATCH(OFFSET($C162,((MATCH($C162,EL_List,0)-1)*-10)-1,0),MSP!$C:$C,0)+MATCH($C162,EL_List,0)-1,0)
*INDEX(Learning!$E$6:$S$41,(MATCH(U$21,Dates,0)),(MATCH($C$151,Learning!$E$4:$S$4,0)+MATCH($C$162,Learning!$E$5:$S$5,0)-1)))</f>
        <v>0</v>
      </c>
      <c r="V167" s="532" cm="1">
        <f t="array" aca="1" ref="V167" ca="1">IF(V$21&lt;Standard_Year,'No STDs Case Rev &amp; Cost'!V167,
OFFSET(V167,-3,0)*
OFFSET(MSP!$D$1,
MATCH(OFFSET($C162,((MATCH($C162,EL_List,0)-1)*-10)-1,0),MSP!$C:$C,0)+MATCH($C162,EL_List,0)-1,0)
*INDEX(Learning!$E$6:$S$41,(MATCH(V$21,Dates,0)),(MATCH($C$151,Learning!$E$4:$S$4,0)+MATCH($C$162,Learning!$E$5:$S$5,0)-1)))</f>
        <v>0</v>
      </c>
      <c r="W167" s="532" cm="1">
        <f t="array" aca="1" ref="W167" ca="1">IF(W$21&lt;Standard_Year,'No STDs Case Rev &amp; Cost'!W167,
OFFSET(W167,-3,0)*
OFFSET(MSP!$D$1,
MATCH(OFFSET($C162,((MATCH($C162,EL_List,0)-1)*-10)-1,0),MSP!$C:$C,0)+MATCH($C162,EL_List,0)-1,0)
*INDEX(Learning!$E$6:$S$41,(MATCH(W$21,Dates,0)),(MATCH($C$151,Learning!$E$4:$S$4,0)+MATCH($C$162,Learning!$E$5:$S$5,0)-1)))</f>
        <v>0</v>
      </c>
      <c r="X167" s="532" cm="1">
        <f t="array" aca="1" ref="X167" ca="1">IF(X$21&lt;Standard_Year,'No STDs Case Rev &amp; Cost'!X167,
OFFSET(X167,-3,0)*
OFFSET(MSP!$D$1,
MATCH(OFFSET($C162,((MATCH($C162,EL_List,0)-1)*-10)-1,0),MSP!$C:$C,0)+MATCH($C162,EL_List,0)-1,0)
*INDEX(Learning!$E$6:$S$41,(MATCH(X$21,Dates,0)),(MATCH($C$151,Learning!$E$4:$S$4,0)+MATCH($C$162,Learning!$E$5:$S$5,0)-1)))</f>
        <v>0</v>
      </c>
      <c r="Y167" s="532" cm="1">
        <f t="array" aca="1" ref="Y167" ca="1">IF(Y$21&lt;Standard_Year,'No STDs Case Rev &amp; Cost'!Y167,
OFFSET(Y167,-3,0)*
OFFSET(MSP!$D$1,
MATCH(OFFSET($C162,((MATCH($C162,EL_List,0)-1)*-10)-1,0),MSP!$C:$C,0)+MATCH($C162,EL_List,0)-1,0)
*INDEX(Learning!$E$6:$S$41,(MATCH(Y$21,Dates,0)),(MATCH($C$151,Learning!$E$4:$S$4,0)+MATCH($C$162,Learning!$E$5:$S$5,0)-1)))</f>
        <v>0</v>
      </c>
      <c r="Z167" s="532" cm="1">
        <f t="array" aca="1" ref="Z167" ca="1">IF(Z$21&lt;Standard_Year,'No STDs Case Rev &amp; Cost'!Z167,
OFFSET(Z167,-3,0)*
OFFSET(MSP!$D$1,
MATCH(OFFSET($C162,((MATCH($C162,EL_List,0)-1)*-10)-1,0),MSP!$C:$C,0)+MATCH($C162,EL_List,0)-1,0)
*INDEX(Learning!$E$6:$S$41,(MATCH(Z$21,Dates,0)),(MATCH($C$151,Learning!$E$4:$S$4,0)+MATCH($C$162,Learning!$E$5:$S$5,0)-1)))</f>
        <v>0</v>
      </c>
      <c r="AA167" s="532" cm="1">
        <f t="array" aca="1" ref="AA167" ca="1">IF(AA$21&lt;Standard_Year,'No STDs Case Rev &amp; Cost'!AA167,
OFFSET(AA167,-3,0)*
OFFSET(MSP!$D$1,
MATCH(OFFSET($C162,((MATCH($C162,EL_List,0)-1)*-10)-1,0),MSP!$C:$C,0)+MATCH($C162,EL_List,0)-1,0)
*INDEX(Learning!$E$6:$S$41,(MATCH(AA$21,Dates,0)),(MATCH($C$151,Learning!$E$4:$S$4,0)+MATCH($C$162,Learning!$E$5:$S$5,0)-1)))</f>
        <v>0</v>
      </c>
      <c r="AB167" s="532" cm="1">
        <f t="array" aca="1" ref="AB167" ca="1">IF(AB$21&lt;Standard_Year,'No STDs Case Rev &amp; Cost'!AB167,
OFFSET(AB167,-3,0)*
OFFSET(MSP!$D$1,
MATCH(OFFSET($C162,((MATCH($C162,EL_List,0)-1)*-10)-1,0),MSP!$C:$C,0)+MATCH($C162,EL_List,0)-1,0)
*INDEX(Learning!$E$6:$S$41,(MATCH(AB$21,Dates,0)),(MATCH($C$151,Learning!$E$4:$S$4,0)+MATCH($C$162,Learning!$E$5:$S$5,0)-1)))</f>
        <v>0</v>
      </c>
      <c r="AC167" s="532" cm="1">
        <f t="array" aca="1" ref="AC167" ca="1">IF(AC$21&lt;Standard_Year,'No STDs Case Rev &amp; Cost'!AC167,
OFFSET(AC167,-3,0)*
OFFSET(MSP!$D$1,
MATCH(OFFSET($C162,((MATCH($C162,EL_List,0)-1)*-10)-1,0),MSP!$C:$C,0)+MATCH($C162,EL_List,0)-1,0)
*INDEX(Learning!$E$6:$S$41,(MATCH(AC$21,Dates,0)),(MATCH($C$151,Learning!$E$4:$S$4,0)+MATCH($C$162,Learning!$E$5:$S$5,0)-1)))</f>
        <v>0</v>
      </c>
      <c r="AD167" s="532" cm="1">
        <f t="array" aca="1" ref="AD167" ca="1">IF(AD$21&lt;Standard_Year,'No STDs Case Rev &amp; Cost'!AD167,
OFFSET(AD167,-3,0)*
OFFSET(MSP!$D$1,
MATCH(OFFSET($C162,((MATCH($C162,EL_List,0)-1)*-10)-1,0),MSP!$C:$C,0)+MATCH($C162,EL_List,0)-1,0)
*INDEX(Learning!$E$6:$S$41,(MATCH(AD$21,Dates,0)),(MATCH($C$151,Learning!$E$4:$S$4,0)+MATCH($C$162,Learning!$E$5:$S$5,0)-1)))</f>
        <v>0</v>
      </c>
      <c r="AE167" s="532" cm="1">
        <f t="array" aca="1" ref="AE167" ca="1">IF(AE$21&lt;Standard_Year,'No STDs Case Rev &amp; Cost'!AE167,
OFFSET(AE167,-3,0)*
OFFSET(MSP!$D$1,
MATCH(OFFSET($C162,((MATCH($C162,EL_List,0)-1)*-10)-1,0),MSP!$C:$C,0)+MATCH($C162,EL_List,0)-1,0)
*INDEX(Learning!$E$6:$S$41,(MATCH(AE$21,Dates,0)),(MATCH($C$151,Learning!$E$4:$S$4,0)+MATCH($C$162,Learning!$E$5:$S$5,0)-1)))</f>
        <v>0</v>
      </c>
      <c r="AF167" s="532" cm="1">
        <f t="array" aca="1" ref="AF167" ca="1">IF(AF$21&lt;Standard_Year,'No STDs Case Rev &amp; Cost'!AF167,
OFFSET(AF167,-3,0)*
OFFSET(MSP!$D$1,
MATCH(OFFSET($C162,((MATCH($C162,EL_List,0)-1)*-10)-1,0),MSP!$C:$C,0)+MATCH($C162,EL_List,0)-1,0)
*INDEX(Learning!$E$6:$S$41,(MATCH(AF$21,Dates,0)),(MATCH($C$151,Learning!$E$4:$S$4,0)+MATCH($C$162,Learning!$E$5:$S$5,0)-1)))</f>
        <v>0</v>
      </c>
      <c r="AG167" s="532" cm="1">
        <f t="array" aca="1" ref="AG167" ca="1">IF(AG$21&lt;Standard_Year,'No STDs Case Rev &amp; Cost'!AG167,
OFFSET(AG167,-3,0)*
OFFSET(MSP!$D$1,
MATCH(OFFSET($C162,((MATCH($C162,EL_List,0)-1)*-10)-1,0),MSP!$C:$C,0)+MATCH($C162,EL_List,0)-1,0)
*INDEX(Learning!$E$6:$S$41,(MATCH(AG$21,Dates,0)),(MATCH($C$151,Learning!$E$4:$S$4,0)+MATCH($C$162,Learning!$E$5:$S$5,0)-1)))</f>
        <v>0</v>
      </c>
      <c r="AH167" s="532" cm="1">
        <f t="array" aca="1" ref="AH167" ca="1">IF(AH$21&lt;Standard_Year,'No STDs Case Rev &amp; Cost'!AH167,
OFFSET(AH167,-3,0)*
OFFSET(MSP!$D$1,
MATCH(OFFSET($C162,((MATCH($C162,EL_List,0)-1)*-10)-1,0),MSP!$C:$C,0)+MATCH($C162,EL_List,0)-1,0)
*INDEX(Learning!$E$6:$S$41,(MATCH(AH$21,Dates,0)),(MATCH($C$151,Learning!$E$4:$S$4,0)+MATCH($C$162,Learning!$E$5:$S$5,0)-1)))</f>
        <v>0</v>
      </c>
      <c r="AI167" s="532" cm="1">
        <f t="array" aca="1" ref="AI167" ca="1">IF(AI$21&lt;Standard_Year,'No STDs Case Rev &amp; Cost'!AI167,
OFFSET(AI167,-3,0)*
OFFSET(MSP!$D$1,
MATCH(OFFSET($C162,((MATCH($C162,EL_List,0)-1)*-10)-1,0),MSP!$C:$C,0)+MATCH($C162,EL_List,0)-1,0)
*INDEX(Learning!$E$6:$S$41,(MATCH(AI$21,Dates,0)),(MATCH($C$151,Learning!$E$4:$S$4,0)+MATCH($C$162,Learning!$E$5:$S$5,0)-1)))</f>
        <v>0</v>
      </c>
      <c r="AJ167" s="532" cm="1">
        <f t="array" aca="1" ref="AJ167" ca="1">IF(AJ$21&lt;Standard_Year,'No STDs Case Rev &amp; Cost'!AJ167,
OFFSET(AJ167,-3,0)*
OFFSET(MSP!$D$1,
MATCH(OFFSET($C162,((MATCH($C162,EL_List,0)-1)*-10)-1,0),MSP!$C:$C,0)+MATCH($C162,EL_List,0)-1,0)
*INDEX(Learning!$E$6:$S$41,(MATCH(AJ$21,Dates,0)),(MATCH($C$151,Learning!$E$4:$S$4,0)+MATCH($C$162,Learning!$E$5:$S$5,0)-1)))</f>
        <v>0</v>
      </c>
      <c r="AK167" s="532" cm="1">
        <f t="array" aca="1" ref="AK167" ca="1">IF(AK$21&lt;Standard_Year,'No STDs Case Rev &amp; Cost'!AK167,
OFFSET(AK167,-3,0)*
OFFSET(MSP!$D$1,
MATCH(OFFSET($C162,((MATCH($C162,EL_List,0)-1)*-10)-1,0),MSP!$C:$C,0)+MATCH($C162,EL_List,0)-1,0)
*INDEX(Learning!$E$6:$S$41,(MATCH(AK$21,Dates,0)),(MATCH($C$151,Learning!$E$4:$S$4,0)+MATCH($C$162,Learning!$E$5:$S$5,0)-1)))</f>
        <v>0</v>
      </c>
      <c r="AL167" s="532" cm="1">
        <f t="array" aca="1" ref="AL167" ca="1">IF(AL$21&lt;Standard_Year,'No STDs Case Rev &amp; Cost'!AL167,
OFFSET(AL167,-3,0)*
OFFSET(MSP!$D$1,
MATCH(OFFSET($C162,((MATCH($C162,EL_List,0)-1)*-10)-1,0),MSP!$C:$C,0)+MATCH($C162,EL_List,0)-1,0)
*INDEX(Learning!$E$6:$S$41,(MATCH(AL$21,Dates,0)),(MATCH($C$151,Learning!$E$4:$S$4,0)+MATCH($C$162,Learning!$E$5:$S$5,0)-1)))</f>
        <v>0</v>
      </c>
      <c r="AM167" s="532" cm="1">
        <f t="array" aca="1" ref="AM167" ca="1">IF(AM$21&lt;Standard_Year,'No STDs Case Rev &amp; Cost'!AM167,
OFFSET(AM167,-3,0)*
OFFSET(MSP!$D$1,
MATCH(OFFSET($C162,((MATCH($C162,EL_List,0)-1)*-10)-1,0),MSP!$C:$C,0)+MATCH($C162,EL_List,0)-1,0)
*INDEX(Learning!$E$6:$S$41,(MATCH(AM$21,Dates,0)),(MATCH($C$151,Learning!$E$4:$S$4,0)+MATCH($C$162,Learning!$E$5:$S$5,0)-1)))</f>
        <v>0</v>
      </c>
      <c r="AN167" s="532" cm="1">
        <f t="array" aca="1" ref="AN167" ca="1">IF(AN$21&lt;Standard_Year,'No STDs Case Rev &amp; Cost'!AN167,
OFFSET(AN167,-3,0)*
OFFSET(MSP!$D$1,
MATCH(OFFSET($C162,((MATCH($C162,EL_List,0)-1)*-10)-1,0),MSP!$C:$C,0)+MATCH($C162,EL_List,0)-1,0)
*INDEX(Learning!$E$6:$S$41,(MATCH(AN$21,Dates,0)),(MATCH($C$151,Learning!$E$4:$S$4,0)+MATCH($C$162,Learning!$E$5:$S$5,0)-1)))</f>
        <v>0</v>
      </c>
      <c r="AO167" s="436"/>
      <c r="AP167" s="21"/>
    </row>
    <row r="168" spans="2:42" ht="15" customHeight="1" x14ac:dyDescent="0.35">
      <c r="B168" s="429"/>
      <c r="C168" s="780" t="s">
        <v>213</v>
      </c>
      <c r="D168" s="776"/>
      <c r="E168" s="533" cm="1">
        <f t="array" aca="1" ref="E168" ca="1">IF(E$21&lt;Standard_Year,'No STDs Case Rev &amp; Cost'!E168,
OFFSET(E168,-4,0)*
OFFSET(MSP!$E$1,
MATCH(OFFSET($C162,((MATCH($C162,EL_List,0)-1)*-10)-1,0),MSP!$C:$C,0)+MATCH($C162,EL_List,0)-1,0)
*INDEX(Learning!$E$6:$S$41,(MATCH(E$21,Dates,0)),(MATCH($C$151,Learning!$E$4:$S$4,0)+MATCH($C$162,Learning!$E$5:$S$5,0)-1)))</f>
        <v>1.7344767220580486</v>
      </c>
      <c r="F168" s="533" cm="1">
        <f t="array" aca="1" ref="F168" ca="1">IF(F$21&lt;Standard_Year,'No STDs Case Rev &amp; Cost'!F168,
OFFSET(F168,-4,0)*
OFFSET(MSP!$E$1,
MATCH(OFFSET($C162,((MATCH($C162,EL_List,0)-1)*-10)-1,0),MSP!$C:$C,0)+MATCH($C162,EL_List,0)-1,0)
*INDEX(Learning!$E$6:$S$41,(MATCH(F$21,Dates,0)),(MATCH($C$151,Learning!$E$4:$S$4,0)+MATCH($C$162,Learning!$E$5:$S$5,0)-1)))</f>
        <v>1.798127999243234</v>
      </c>
      <c r="G168" s="533" cm="1">
        <f t="array" aca="1" ref="G168" ca="1">IF(G$21&lt;Standard_Year,'No STDs Case Rev &amp; Cost'!G168,
OFFSET(G168,-4,0)*
OFFSET(MSP!$E$1,
MATCH(OFFSET($C162,((MATCH($C162,EL_List,0)-1)*-10)-1,0),MSP!$C:$C,0)+MATCH($C162,EL_List,0)-1,0)
*INDEX(Learning!$E$6:$S$41,(MATCH(G$21,Dates,0)),(MATCH($C$151,Learning!$E$4:$S$4,0)+MATCH($C$162,Learning!$E$5:$S$5,0)-1)))</f>
        <v>1.8526539038924619</v>
      </c>
      <c r="H168" s="533" cm="1">
        <f t="array" aca="1" ref="H168" ca="1">IF(H$21&lt;Standard_Year,'No STDs Case Rev &amp; Cost'!H168,
OFFSET(H168,-4,0)*
OFFSET(MSP!$E$1,
MATCH(OFFSET($C162,((MATCH($C162,EL_List,0)-1)*-10)-1,0),MSP!$C:$C,0)+MATCH($C162,EL_List,0)-1,0)
*INDEX(Learning!$E$6:$S$41,(MATCH(H$21,Dates,0)),(MATCH($C$151,Learning!$E$4:$S$4,0)+MATCH($C$162,Learning!$E$5:$S$5,0)-1)))</f>
        <v>1.9264265377302112</v>
      </c>
      <c r="I168" s="533" cm="1">
        <f t="array" aca="1" ref="I168" ca="1">IF(I$21&lt;Standard_Year,'No STDs Case Rev &amp; Cost'!I168,
OFFSET(I168,-4,0)*
OFFSET(MSP!$E$1,
MATCH(OFFSET($C162,((MATCH($C162,EL_List,0)-1)*-10)-1,0),MSP!$C:$C,0)+MATCH($C162,EL_List,0)-1,0)
*INDEX(Learning!$E$6:$S$41,(MATCH(I$21,Dates,0)),(MATCH($C$151,Learning!$E$4:$S$4,0)+MATCH($C$162,Learning!$E$5:$S$5,0)-1)))</f>
        <v>0</v>
      </c>
      <c r="J168" s="533" cm="1">
        <f t="array" aca="1" ref="J168" ca="1">IF(J$21&lt;Standard_Year,'No STDs Case Rev &amp; Cost'!J168,
OFFSET(J168,-4,0)*
OFFSET(MSP!$E$1,
MATCH(OFFSET($C162,((MATCH($C162,EL_List,0)-1)*-10)-1,0),MSP!$C:$C,0)+MATCH($C162,EL_List,0)-1,0)
*INDEX(Learning!$E$6:$S$41,(MATCH(J$21,Dates,0)),(MATCH($C$151,Learning!$E$4:$S$4,0)+MATCH($C$162,Learning!$E$5:$S$5,0)-1)))</f>
        <v>0</v>
      </c>
      <c r="K168" s="533" cm="1">
        <f t="array" aca="1" ref="K168" ca="1">IF(K$21&lt;Standard_Year,'No STDs Case Rev &amp; Cost'!K168,
OFFSET(K168,-4,0)*
OFFSET(MSP!$E$1,
MATCH(OFFSET($C162,((MATCH($C162,EL_List,0)-1)*-10)-1,0),MSP!$C:$C,0)+MATCH($C162,EL_List,0)-1,0)
*INDEX(Learning!$E$6:$S$41,(MATCH(K$21,Dates,0)),(MATCH($C$151,Learning!$E$4:$S$4,0)+MATCH($C$162,Learning!$E$5:$S$5,0)-1)))</f>
        <v>0</v>
      </c>
      <c r="L168" s="533" cm="1">
        <f t="array" aca="1" ref="L168" ca="1">IF(L$21&lt;Standard_Year,'No STDs Case Rev &amp; Cost'!L168,
OFFSET(L168,-4,0)*
OFFSET(MSP!$E$1,
MATCH(OFFSET($C162,((MATCH($C162,EL_List,0)-1)*-10)-1,0),MSP!$C:$C,0)+MATCH($C162,EL_List,0)-1,0)
*INDEX(Learning!$E$6:$S$41,(MATCH(L$21,Dates,0)),(MATCH($C$151,Learning!$E$4:$S$4,0)+MATCH($C$162,Learning!$E$5:$S$5,0)-1)))</f>
        <v>0</v>
      </c>
      <c r="M168" s="533" cm="1">
        <f t="array" aca="1" ref="M168" ca="1">IF(M$21&lt;Standard_Year,'No STDs Case Rev &amp; Cost'!M168,
OFFSET(M168,-4,0)*
OFFSET(MSP!$E$1,
MATCH(OFFSET($C162,((MATCH($C162,EL_List,0)-1)*-10)-1,0),MSP!$C:$C,0)+MATCH($C162,EL_List,0)-1,0)
*INDEX(Learning!$E$6:$S$41,(MATCH(M$21,Dates,0)),(MATCH($C$151,Learning!$E$4:$S$4,0)+MATCH($C$162,Learning!$E$5:$S$5,0)-1)))</f>
        <v>0</v>
      </c>
      <c r="N168" s="533" cm="1">
        <f t="array" aca="1" ref="N168" ca="1">IF(N$21&lt;Standard_Year,'No STDs Case Rev &amp; Cost'!N168,
OFFSET(N168,-4,0)*
OFFSET(MSP!$E$1,
MATCH(OFFSET($C162,((MATCH($C162,EL_List,0)-1)*-10)-1,0),MSP!$C:$C,0)+MATCH($C162,EL_List,0)-1,0)
*INDEX(Learning!$E$6:$S$41,(MATCH(N$21,Dates,0)),(MATCH($C$151,Learning!$E$4:$S$4,0)+MATCH($C$162,Learning!$E$5:$S$5,0)-1)))</f>
        <v>0</v>
      </c>
      <c r="O168" s="533" cm="1">
        <f t="array" aca="1" ref="O168" ca="1">IF(O$21&lt;Standard_Year,'No STDs Case Rev &amp; Cost'!O168,
OFFSET(O168,-4,0)*
OFFSET(MSP!$E$1,
MATCH(OFFSET($C162,((MATCH($C162,EL_List,0)-1)*-10)-1,0),MSP!$C:$C,0)+MATCH($C162,EL_List,0)-1,0)
*INDEX(Learning!$E$6:$S$41,(MATCH(O$21,Dates,0)),(MATCH($C$151,Learning!$E$4:$S$4,0)+MATCH($C$162,Learning!$E$5:$S$5,0)-1)))</f>
        <v>0</v>
      </c>
      <c r="P168" s="533" cm="1">
        <f t="array" aca="1" ref="P168" ca="1">IF(P$21&lt;Standard_Year,'No STDs Case Rev &amp; Cost'!P168,
OFFSET(P168,-4,0)*
OFFSET(MSP!$E$1,
MATCH(OFFSET($C162,((MATCH($C162,EL_List,0)-1)*-10)-1,0),MSP!$C:$C,0)+MATCH($C162,EL_List,0)-1,0)
*INDEX(Learning!$E$6:$S$41,(MATCH(P$21,Dates,0)),(MATCH($C$151,Learning!$E$4:$S$4,0)+MATCH($C$162,Learning!$E$5:$S$5,0)-1)))</f>
        <v>0</v>
      </c>
      <c r="Q168" s="533" cm="1">
        <f t="array" aca="1" ref="Q168" ca="1">IF(Q$21&lt;Standard_Year,'No STDs Case Rev &amp; Cost'!Q168,
OFFSET(Q168,-4,0)*
OFFSET(MSP!$E$1,
MATCH(OFFSET($C162,((MATCH($C162,EL_List,0)-1)*-10)-1,0),MSP!$C:$C,0)+MATCH($C162,EL_List,0)-1,0)
*INDEX(Learning!$E$6:$S$41,(MATCH(Q$21,Dates,0)),(MATCH($C$151,Learning!$E$4:$S$4,0)+MATCH($C$162,Learning!$E$5:$S$5,0)-1)))</f>
        <v>0</v>
      </c>
      <c r="R168" s="533" cm="1">
        <f t="array" aca="1" ref="R168" ca="1">IF(R$21&lt;Standard_Year,'No STDs Case Rev &amp; Cost'!R168,
OFFSET(R168,-4,0)*
OFFSET(MSP!$E$1,
MATCH(OFFSET($C162,((MATCH($C162,EL_List,0)-1)*-10)-1,0),MSP!$C:$C,0)+MATCH($C162,EL_List,0)-1,0)
*INDEX(Learning!$E$6:$S$41,(MATCH(R$21,Dates,0)),(MATCH($C$151,Learning!$E$4:$S$4,0)+MATCH($C$162,Learning!$E$5:$S$5,0)-1)))</f>
        <v>0</v>
      </c>
      <c r="S168" s="533" cm="1">
        <f t="array" aca="1" ref="S168" ca="1">IF(S$21&lt;Standard_Year,'No STDs Case Rev &amp; Cost'!S168,
OFFSET(S168,-4,0)*
OFFSET(MSP!$E$1,
MATCH(OFFSET($C162,((MATCH($C162,EL_List,0)-1)*-10)-1,0),MSP!$C:$C,0)+MATCH($C162,EL_List,0)-1,0)
*INDEX(Learning!$E$6:$S$41,(MATCH(S$21,Dates,0)),(MATCH($C$151,Learning!$E$4:$S$4,0)+MATCH($C$162,Learning!$E$5:$S$5,0)-1)))</f>
        <v>0</v>
      </c>
      <c r="T168" s="533" cm="1">
        <f t="array" aca="1" ref="T168" ca="1">IF(T$21&lt;Standard_Year,'No STDs Case Rev &amp; Cost'!T168,
OFFSET(T168,-4,0)*
OFFSET(MSP!$E$1,
MATCH(OFFSET($C162,((MATCH($C162,EL_List,0)-1)*-10)-1,0),MSP!$C:$C,0)+MATCH($C162,EL_List,0)-1,0)
*INDEX(Learning!$E$6:$S$41,(MATCH(T$21,Dates,0)),(MATCH($C$151,Learning!$E$4:$S$4,0)+MATCH($C$162,Learning!$E$5:$S$5,0)-1)))</f>
        <v>0</v>
      </c>
      <c r="U168" s="533" cm="1">
        <f t="array" aca="1" ref="U168" ca="1">IF(U$21&lt;Standard_Year,'No STDs Case Rev &amp; Cost'!U168,
OFFSET(U168,-4,0)*
OFFSET(MSP!$E$1,
MATCH(OFFSET($C162,((MATCH($C162,EL_List,0)-1)*-10)-1,0),MSP!$C:$C,0)+MATCH($C162,EL_List,0)-1,0)
*INDEX(Learning!$E$6:$S$41,(MATCH(U$21,Dates,0)),(MATCH($C$151,Learning!$E$4:$S$4,0)+MATCH($C$162,Learning!$E$5:$S$5,0)-1)))</f>
        <v>0</v>
      </c>
      <c r="V168" s="533" cm="1">
        <f t="array" aca="1" ref="V168" ca="1">IF(V$21&lt;Standard_Year,'No STDs Case Rev &amp; Cost'!V168,
OFFSET(V168,-4,0)*
OFFSET(MSP!$E$1,
MATCH(OFFSET($C162,((MATCH($C162,EL_List,0)-1)*-10)-1,0),MSP!$C:$C,0)+MATCH($C162,EL_List,0)-1,0)
*INDEX(Learning!$E$6:$S$41,(MATCH(V$21,Dates,0)),(MATCH($C$151,Learning!$E$4:$S$4,0)+MATCH($C$162,Learning!$E$5:$S$5,0)-1)))</f>
        <v>0</v>
      </c>
      <c r="W168" s="533" cm="1">
        <f t="array" aca="1" ref="W168" ca="1">IF(W$21&lt;Standard_Year,'No STDs Case Rev &amp; Cost'!W168,
OFFSET(W168,-4,0)*
OFFSET(MSP!$E$1,
MATCH(OFFSET($C162,((MATCH($C162,EL_List,0)-1)*-10)-1,0),MSP!$C:$C,0)+MATCH($C162,EL_List,0)-1,0)
*INDEX(Learning!$E$6:$S$41,(MATCH(W$21,Dates,0)),(MATCH($C$151,Learning!$E$4:$S$4,0)+MATCH($C$162,Learning!$E$5:$S$5,0)-1)))</f>
        <v>0</v>
      </c>
      <c r="X168" s="533" cm="1">
        <f t="array" aca="1" ref="X168" ca="1">IF(X$21&lt;Standard_Year,'No STDs Case Rev &amp; Cost'!X168,
OFFSET(X168,-4,0)*
OFFSET(MSP!$E$1,
MATCH(OFFSET($C162,((MATCH($C162,EL_List,0)-1)*-10)-1,0),MSP!$C:$C,0)+MATCH($C162,EL_List,0)-1,0)
*INDEX(Learning!$E$6:$S$41,(MATCH(X$21,Dates,0)),(MATCH($C$151,Learning!$E$4:$S$4,0)+MATCH($C$162,Learning!$E$5:$S$5,0)-1)))</f>
        <v>0</v>
      </c>
      <c r="Y168" s="533" cm="1">
        <f t="array" aca="1" ref="Y168" ca="1">IF(Y$21&lt;Standard_Year,'No STDs Case Rev &amp; Cost'!Y168,
OFFSET(Y168,-4,0)*
OFFSET(MSP!$E$1,
MATCH(OFFSET($C162,((MATCH($C162,EL_List,0)-1)*-10)-1,0),MSP!$C:$C,0)+MATCH($C162,EL_List,0)-1,0)
*INDEX(Learning!$E$6:$S$41,(MATCH(Y$21,Dates,0)),(MATCH($C$151,Learning!$E$4:$S$4,0)+MATCH($C$162,Learning!$E$5:$S$5,0)-1)))</f>
        <v>0</v>
      </c>
      <c r="Z168" s="533" cm="1">
        <f t="array" aca="1" ref="Z168" ca="1">IF(Z$21&lt;Standard_Year,'No STDs Case Rev &amp; Cost'!Z168,
OFFSET(Z168,-4,0)*
OFFSET(MSP!$E$1,
MATCH(OFFSET($C162,((MATCH($C162,EL_List,0)-1)*-10)-1,0),MSP!$C:$C,0)+MATCH($C162,EL_List,0)-1,0)
*INDEX(Learning!$E$6:$S$41,(MATCH(Z$21,Dates,0)),(MATCH($C$151,Learning!$E$4:$S$4,0)+MATCH($C$162,Learning!$E$5:$S$5,0)-1)))</f>
        <v>0</v>
      </c>
      <c r="AA168" s="533" cm="1">
        <f t="array" aca="1" ref="AA168" ca="1">IF(AA$21&lt;Standard_Year,'No STDs Case Rev &amp; Cost'!AA168,
OFFSET(AA168,-4,0)*
OFFSET(MSP!$E$1,
MATCH(OFFSET($C162,((MATCH($C162,EL_List,0)-1)*-10)-1,0),MSP!$C:$C,0)+MATCH($C162,EL_List,0)-1,0)
*INDEX(Learning!$E$6:$S$41,(MATCH(AA$21,Dates,0)),(MATCH($C$151,Learning!$E$4:$S$4,0)+MATCH($C$162,Learning!$E$5:$S$5,0)-1)))</f>
        <v>0</v>
      </c>
      <c r="AB168" s="533" cm="1">
        <f t="array" aca="1" ref="AB168" ca="1">IF(AB$21&lt;Standard_Year,'No STDs Case Rev &amp; Cost'!AB168,
OFFSET(AB168,-4,0)*
OFFSET(MSP!$E$1,
MATCH(OFFSET($C162,((MATCH($C162,EL_List,0)-1)*-10)-1,0),MSP!$C:$C,0)+MATCH($C162,EL_List,0)-1,0)
*INDEX(Learning!$E$6:$S$41,(MATCH(AB$21,Dates,0)),(MATCH($C$151,Learning!$E$4:$S$4,0)+MATCH($C$162,Learning!$E$5:$S$5,0)-1)))</f>
        <v>0</v>
      </c>
      <c r="AC168" s="533" cm="1">
        <f t="array" aca="1" ref="AC168" ca="1">IF(AC$21&lt;Standard_Year,'No STDs Case Rev &amp; Cost'!AC168,
OFFSET(AC168,-4,0)*
OFFSET(MSP!$E$1,
MATCH(OFFSET($C162,((MATCH($C162,EL_List,0)-1)*-10)-1,0),MSP!$C:$C,0)+MATCH($C162,EL_List,0)-1,0)
*INDEX(Learning!$E$6:$S$41,(MATCH(AC$21,Dates,0)),(MATCH($C$151,Learning!$E$4:$S$4,0)+MATCH($C$162,Learning!$E$5:$S$5,0)-1)))</f>
        <v>0</v>
      </c>
      <c r="AD168" s="533" cm="1">
        <f t="array" aca="1" ref="AD168" ca="1">IF(AD$21&lt;Standard_Year,'No STDs Case Rev &amp; Cost'!AD168,
OFFSET(AD168,-4,0)*
OFFSET(MSP!$E$1,
MATCH(OFFSET($C162,((MATCH($C162,EL_List,0)-1)*-10)-1,0),MSP!$C:$C,0)+MATCH($C162,EL_List,0)-1,0)
*INDEX(Learning!$E$6:$S$41,(MATCH(AD$21,Dates,0)),(MATCH($C$151,Learning!$E$4:$S$4,0)+MATCH($C$162,Learning!$E$5:$S$5,0)-1)))</f>
        <v>0</v>
      </c>
      <c r="AE168" s="533" cm="1">
        <f t="array" aca="1" ref="AE168" ca="1">IF(AE$21&lt;Standard_Year,'No STDs Case Rev &amp; Cost'!AE168,
OFFSET(AE168,-4,0)*
OFFSET(MSP!$E$1,
MATCH(OFFSET($C162,((MATCH($C162,EL_List,0)-1)*-10)-1,0),MSP!$C:$C,0)+MATCH($C162,EL_List,0)-1,0)
*INDEX(Learning!$E$6:$S$41,(MATCH(AE$21,Dates,0)),(MATCH($C$151,Learning!$E$4:$S$4,0)+MATCH($C$162,Learning!$E$5:$S$5,0)-1)))</f>
        <v>0</v>
      </c>
      <c r="AF168" s="533" cm="1">
        <f t="array" aca="1" ref="AF168" ca="1">IF(AF$21&lt;Standard_Year,'No STDs Case Rev &amp; Cost'!AF168,
OFFSET(AF168,-4,0)*
OFFSET(MSP!$E$1,
MATCH(OFFSET($C162,((MATCH($C162,EL_List,0)-1)*-10)-1,0),MSP!$C:$C,0)+MATCH($C162,EL_List,0)-1,0)
*INDEX(Learning!$E$6:$S$41,(MATCH(AF$21,Dates,0)),(MATCH($C$151,Learning!$E$4:$S$4,0)+MATCH($C$162,Learning!$E$5:$S$5,0)-1)))</f>
        <v>0</v>
      </c>
      <c r="AG168" s="533" cm="1">
        <f t="array" aca="1" ref="AG168" ca="1">IF(AG$21&lt;Standard_Year,'No STDs Case Rev &amp; Cost'!AG168,
OFFSET(AG168,-4,0)*
OFFSET(MSP!$E$1,
MATCH(OFFSET($C162,((MATCH($C162,EL_List,0)-1)*-10)-1,0),MSP!$C:$C,0)+MATCH($C162,EL_List,0)-1,0)
*INDEX(Learning!$E$6:$S$41,(MATCH(AG$21,Dates,0)),(MATCH($C$151,Learning!$E$4:$S$4,0)+MATCH($C$162,Learning!$E$5:$S$5,0)-1)))</f>
        <v>0</v>
      </c>
      <c r="AH168" s="533" cm="1">
        <f t="array" aca="1" ref="AH168" ca="1">IF(AH$21&lt;Standard_Year,'No STDs Case Rev &amp; Cost'!AH168,
OFFSET(AH168,-4,0)*
OFFSET(MSP!$E$1,
MATCH(OFFSET($C162,((MATCH($C162,EL_List,0)-1)*-10)-1,0),MSP!$C:$C,0)+MATCH($C162,EL_List,0)-1,0)
*INDEX(Learning!$E$6:$S$41,(MATCH(AH$21,Dates,0)),(MATCH($C$151,Learning!$E$4:$S$4,0)+MATCH($C$162,Learning!$E$5:$S$5,0)-1)))</f>
        <v>0</v>
      </c>
      <c r="AI168" s="533" cm="1">
        <f t="array" aca="1" ref="AI168" ca="1">IF(AI$21&lt;Standard_Year,'No STDs Case Rev &amp; Cost'!AI168,
OFFSET(AI168,-4,0)*
OFFSET(MSP!$E$1,
MATCH(OFFSET($C162,((MATCH($C162,EL_List,0)-1)*-10)-1,0),MSP!$C:$C,0)+MATCH($C162,EL_List,0)-1,0)
*INDEX(Learning!$E$6:$S$41,(MATCH(AI$21,Dates,0)),(MATCH($C$151,Learning!$E$4:$S$4,0)+MATCH($C$162,Learning!$E$5:$S$5,0)-1)))</f>
        <v>0</v>
      </c>
      <c r="AJ168" s="533" cm="1">
        <f t="array" aca="1" ref="AJ168" ca="1">IF(AJ$21&lt;Standard_Year,'No STDs Case Rev &amp; Cost'!AJ168,
OFFSET(AJ168,-4,0)*
OFFSET(MSP!$E$1,
MATCH(OFFSET($C162,((MATCH($C162,EL_List,0)-1)*-10)-1,0),MSP!$C:$C,0)+MATCH($C162,EL_List,0)-1,0)
*INDEX(Learning!$E$6:$S$41,(MATCH(AJ$21,Dates,0)),(MATCH($C$151,Learning!$E$4:$S$4,0)+MATCH($C$162,Learning!$E$5:$S$5,0)-1)))</f>
        <v>0</v>
      </c>
      <c r="AK168" s="533" cm="1">
        <f t="array" aca="1" ref="AK168" ca="1">IF(AK$21&lt;Standard_Year,'No STDs Case Rev &amp; Cost'!AK168,
OFFSET(AK168,-4,0)*
OFFSET(MSP!$E$1,
MATCH(OFFSET($C162,((MATCH($C162,EL_List,0)-1)*-10)-1,0),MSP!$C:$C,0)+MATCH($C162,EL_List,0)-1,0)
*INDEX(Learning!$E$6:$S$41,(MATCH(AK$21,Dates,0)),(MATCH($C$151,Learning!$E$4:$S$4,0)+MATCH($C$162,Learning!$E$5:$S$5,0)-1)))</f>
        <v>0</v>
      </c>
      <c r="AL168" s="533" cm="1">
        <f t="array" aca="1" ref="AL168" ca="1">IF(AL$21&lt;Standard_Year,'No STDs Case Rev &amp; Cost'!AL168,
OFFSET(AL168,-4,0)*
OFFSET(MSP!$E$1,
MATCH(OFFSET($C162,((MATCH($C162,EL_List,0)-1)*-10)-1,0),MSP!$C:$C,0)+MATCH($C162,EL_List,0)-1,0)
*INDEX(Learning!$E$6:$S$41,(MATCH(AL$21,Dates,0)),(MATCH($C$151,Learning!$E$4:$S$4,0)+MATCH($C$162,Learning!$E$5:$S$5,0)-1)))</f>
        <v>0</v>
      </c>
      <c r="AM168" s="533" cm="1">
        <f t="array" aca="1" ref="AM168" ca="1">IF(AM$21&lt;Standard_Year,'No STDs Case Rev &amp; Cost'!AM168,
OFFSET(AM168,-4,0)*
OFFSET(MSP!$E$1,
MATCH(OFFSET($C162,((MATCH($C162,EL_List,0)-1)*-10)-1,0),MSP!$C:$C,0)+MATCH($C162,EL_List,0)-1,0)
*INDEX(Learning!$E$6:$S$41,(MATCH(AM$21,Dates,0)),(MATCH($C$151,Learning!$E$4:$S$4,0)+MATCH($C$162,Learning!$E$5:$S$5,0)-1)))</f>
        <v>0</v>
      </c>
      <c r="AN168" s="533" cm="1">
        <f t="array" aca="1" ref="AN168" ca="1">IF(AN$21&lt;Standard_Year,'No STDs Case Rev &amp; Cost'!AN168,
OFFSET(AN168,-4,0)*
OFFSET(MSP!$E$1,
MATCH(OFFSET($C162,((MATCH($C162,EL_List,0)-1)*-10)-1,0),MSP!$C:$C,0)+MATCH($C162,EL_List,0)-1,0)
*INDEX(Learning!$E$6:$S$41,(MATCH(AN$21,Dates,0)),(MATCH($C$151,Learning!$E$4:$S$4,0)+MATCH($C$162,Learning!$E$5:$S$5,0)-1)))</f>
        <v>0</v>
      </c>
      <c r="AO168" s="436"/>
      <c r="AP168" s="21"/>
    </row>
    <row r="169" spans="2:42" ht="15" customHeight="1" x14ac:dyDescent="0.35">
      <c r="B169" s="429"/>
      <c r="C169" s="780" t="s">
        <v>214</v>
      </c>
      <c r="D169" s="776"/>
      <c r="E169" s="533" cm="1">
        <f t="array" aca="1" ref="E169" ca="1">IF(E$21&lt;Standard_Year,'No STDs Case Rev &amp; Cost'!E169,
OFFSET(E169,-5,0)*
OFFSET(MSP!$F$1,
MATCH(OFFSET($C162,((MATCH($C162,EL_List,0)-1)*-10)-1,0),MSP!$C:$C,0)+MATCH($C162,EL_List,0)-1,0)
*INDEX(Learning!$E$6:$S$41,(MATCH(E$21,Dates,0)),(MATCH($C$151,Learning!$E$4:$S$4,0)+MATCH($C$162,Learning!$E$5:$S$5,0)-1)))</f>
        <v>4.7734149493670186</v>
      </c>
      <c r="F169" s="533" cm="1">
        <f t="array" aca="1" ref="F169" ca="1">IF(F$21&lt;Standard_Year,'No STDs Case Rev &amp; Cost'!F169,
OFFSET(F169,-5,0)*
OFFSET(MSP!$F$1,
MATCH(OFFSET($C162,((MATCH($C162,EL_List,0)-1)*-10)-1,0),MSP!$C:$C,0)+MATCH($C162,EL_List,0)-1,0)
*INDEX(Learning!$E$6:$S$41,(MATCH(F$21,Dates,0)),(MATCH($C$151,Learning!$E$4:$S$4,0)+MATCH($C$162,Learning!$E$5:$S$5,0)-1)))</f>
        <v>4.9485882187445123</v>
      </c>
      <c r="G169" s="533" cm="1">
        <f t="array" aca="1" ref="G169" ca="1">IF(G$21&lt;Standard_Year,'No STDs Case Rev &amp; Cost'!G169,
OFFSET(G169,-5,0)*
OFFSET(MSP!$F$1,
MATCH(OFFSET($C162,((MATCH($C162,EL_List,0)-1)*-10)-1,0),MSP!$C:$C,0)+MATCH($C162,EL_List,0)-1,0)
*INDEX(Learning!$E$6:$S$41,(MATCH(G$21,Dates,0)),(MATCH($C$151,Learning!$E$4:$S$4,0)+MATCH($C$162,Learning!$E$5:$S$5,0)-1)))</f>
        <v>5.0986477525914449</v>
      </c>
      <c r="H169" s="533" cm="1">
        <f t="array" aca="1" ref="H169" ca="1">IF(H$21&lt;Standard_Year,'No STDs Case Rev &amp; Cost'!H169,
OFFSET(H169,-5,0)*
OFFSET(MSP!$F$1,
MATCH(OFFSET($C162,((MATCH($C162,EL_List,0)-1)*-10)-1,0),MSP!$C:$C,0)+MATCH($C162,EL_List,0)-1,0)
*INDEX(Learning!$E$6:$S$41,(MATCH(H$21,Dates,0)),(MATCH($C$151,Learning!$E$4:$S$4,0)+MATCH($C$162,Learning!$E$5:$S$5,0)-1)))</f>
        <v>5.301675783314999</v>
      </c>
      <c r="I169" s="533" cm="1">
        <f t="array" aca="1" ref="I169" ca="1">IF(I$21&lt;Standard_Year,'No STDs Case Rev &amp; Cost'!I169,
OFFSET(I169,-5,0)*
OFFSET(MSP!$F$1,
MATCH(OFFSET($C162,((MATCH($C162,EL_List,0)-1)*-10)-1,0),MSP!$C:$C,0)+MATCH($C162,EL_List,0)-1,0)
*INDEX(Learning!$E$6:$S$41,(MATCH(I$21,Dates,0)),(MATCH($C$151,Learning!$E$4:$S$4,0)+MATCH($C$162,Learning!$E$5:$S$5,0)-1)))</f>
        <v>0</v>
      </c>
      <c r="J169" s="533" cm="1">
        <f t="array" aca="1" ref="J169" ca="1">IF(J$21&lt;Standard_Year,'No STDs Case Rev &amp; Cost'!J169,
OFFSET(J169,-5,0)*
OFFSET(MSP!$F$1,
MATCH(OFFSET($C162,((MATCH($C162,EL_List,0)-1)*-10)-1,0),MSP!$C:$C,0)+MATCH($C162,EL_List,0)-1,0)
*INDEX(Learning!$E$6:$S$41,(MATCH(J$21,Dates,0)),(MATCH($C$151,Learning!$E$4:$S$4,0)+MATCH($C$162,Learning!$E$5:$S$5,0)-1)))</f>
        <v>0</v>
      </c>
      <c r="K169" s="533" cm="1">
        <f t="array" aca="1" ref="K169" ca="1">IF(K$21&lt;Standard_Year,'No STDs Case Rev &amp; Cost'!K169,
OFFSET(K169,-5,0)*
OFFSET(MSP!$F$1,
MATCH(OFFSET($C162,((MATCH($C162,EL_List,0)-1)*-10)-1,0),MSP!$C:$C,0)+MATCH($C162,EL_List,0)-1,0)
*INDEX(Learning!$E$6:$S$41,(MATCH(K$21,Dates,0)),(MATCH($C$151,Learning!$E$4:$S$4,0)+MATCH($C$162,Learning!$E$5:$S$5,0)-1)))</f>
        <v>0</v>
      </c>
      <c r="L169" s="533" cm="1">
        <f t="array" aca="1" ref="L169" ca="1">IF(L$21&lt;Standard_Year,'No STDs Case Rev &amp; Cost'!L169,
OFFSET(L169,-5,0)*
OFFSET(MSP!$F$1,
MATCH(OFFSET($C162,((MATCH($C162,EL_List,0)-1)*-10)-1,0),MSP!$C:$C,0)+MATCH($C162,EL_List,0)-1,0)
*INDEX(Learning!$E$6:$S$41,(MATCH(L$21,Dates,0)),(MATCH($C$151,Learning!$E$4:$S$4,0)+MATCH($C$162,Learning!$E$5:$S$5,0)-1)))</f>
        <v>0</v>
      </c>
      <c r="M169" s="533" cm="1">
        <f t="array" aca="1" ref="M169" ca="1">IF(M$21&lt;Standard_Year,'No STDs Case Rev &amp; Cost'!M169,
OFFSET(M169,-5,0)*
OFFSET(MSP!$F$1,
MATCH(OFFSET($C162,((MATCH($C162,EL_List,0)-1)*-10)-1,0),MSP!$C:$C,0)+MATCH($C162,EL_List,0)-1,0)
*INDEX(Learning!$E$6:$S$41,(MATCH(M$21,Dates,0)),(MATCH($C$151,Learning!$E$4:$S$4,0)+MATCH($C$162,Learning!$E$5:$S$5,0)-1)))</f>
        <v>0</v>
      </c>
      <c r="N169" s="533" cm="1">
        <f t="array" aca="1" ref="N169" ca="1">IF(N$21&lt;Standard_Year,'No STDs Case Rev &amp; Cost'!N169,
OFFSET(N169,-5,0)*
OFFSET(MSP!$F$1,
MATCH(OFFSET($C162,((MATCH($C162,EL_List,0)-1)*-10)-1,0),MSP!$C:$C,0)+MATCH($C162,EL_List,0)-1,0)
*INDEX(Learning!$E$6:$S$41,(MATCH(N$21,Dates,0)),(MATCH($C$151,Learning!$E$4:$S$4,0)+MATCH($C$162,Learning!$E$5:$S$5,0)-1)))</f>
        <v>0</v>
      </c>
      <c r="O169" s="533" cm="1">
        <f t="array" aca="1" ref="O169" ca="1">IF(O$21&lt;Standard_Year,'No STDs Case Rev &amp; Cost'!O169,
OFFSET(O169,-5,0)*
OFFSET(MSP!$F$1,
MATCH(OFFSET($C162,((MATCH($C162,EL_List,0)-1)*-10)-1,0),MSP!$C:$C,0)+MATCH($C162,EL_List,0)-1,0)
*INDEX(Learning!$E$6:$S$41,(MATCH(O$21,Dates,0)),(MATCH($C$151,Learning!$E$4:$S$4,0)+MATCH($C$162,Learning!$E$5:$S$5,0)-1)))</f>
        <v>0</v>
      </c>
      <c r="P169" s="533" cm="1">
        <f t="array" aca="1" ref="P169" ca="1">IF(P$21&lt;Standard_Year,'No STDs Case Rev &amp; Cost'!P169,
OFFSET(P169,-5,0)*
OFFSET(MSP!$F$1,
MATCH(OFFSET($C162,((MATCH($C162,EL_List,0)-1)*-10)-1,0),MSP!$C:$C,0)+MATCH($C162,EL_List,0)-1,0)
*INDEX(Learning!$E$6:$S$41,(MATCH(P$21,Dates,0)),(MATCH($C$151,Learning!$E$4:$S$4,0)+MATCH($C$162,Learning!$E$5:$S$5,0)-1)))</f>
        <v>0</v>
      </c>
      <c r="Q169" s="533" cm="1">
        <f t="array" aca="1" ref="Q169" ca="1">IF(Q$21&lt;Standard_Year,'No STDs Case Rev &amp; Cost'!Q169,
OFFSET(Q169,-5,0)*
OFFSET(MSP!$F$1,
MATCH(OFFSET($C162,((MATCH($C162,EL_List,0)-1)*-10)-1,0),MSP!$C:$C,0)+MATCH($C162,EL_List,0)-1,0)
*INDEX(Learning!$E$6:$S$41,(MATCH(Q$21,Dates,0)),(MATCH($C$151,Learning!$E$4:$S$4,0)+MATCH($C$162,Learning!$E$5:$S$5,0)-1)))</f>
        <v>0</v>
      </c>
      <c r="R169" s="533" cm="1">
        <f t="array" aca="1" ref="R169" ca="1">IF(R$21&lt;Standard_Year,'No STDs Case Rev &amp; Cost'!R169,
OFFSET(R169,-5,0)*
OFFSET(MSP!$F$1,
MATCH(OFFSET($C162,((MATCH($C162,EL_List,0)-1)*-10)-1,0),MSP!$C:$C,0)+MATCH($C162,EL_List,0)-1,0)
*INDEX(Learning!$E$6:$S$41,(MATCH(R$21,Dates,0)),(MATCH($C$151,Learning!$E$4:$S$4,0)+MATCH($C$162,Learning!$E$5:$S$5,0)-1)))</f>
        <v>0</v>
      </c>
      <c r="S169" s="533" cm="1">
        <f t="array" aca="1" ref="S169" ca="1">IF(S$21&lt;Standard_Year,'No STDs Case Rev &amp; Cost'!S169,
OFFSET(S169,-5,0)*
OFFSET(MSP!$F$1,
MATCH(OFFSET($C162,((MATCH($C162,EL_List,0)-1)*-10)-1,0),MSP!$C:$C,0)+MATCH($C162,EL_List,0)-1,0)
*INDEX(Learning!$E$6:$S$41,(MATCH(S$21,Dates,0)),(MATCH($C$151,Learning!$E$4:$S$4,0)+MATCH($C$162,Learning!$E$5:$S$5,0)-1)))</f>
        <v>0</v>
      </c>
      <c r="T169" s="533" cm="1">
        <f t="array" aca="1" ref="T169" ca="1">IF(T$21&lt;Standard_Year,'No STDs Case Rev &amp; Cost'!T169,
OFFSET(T169,-5,0)*
OFFSET(MSP!$F$1,
MATCH(OFFSET($C162,((MATCH($C162,EL_List,0)-1)*-10)-1,0),MSP!$C:$C,0)+MATCH($C162,EL_List,0)-1,0)
*INDEX(Learning!$E$6:$S$41,(MATCH(T$21,Dates,0)),(MATCH($C$151,Learning!$E$4:$S$4,0)+MATCH($C$162,Learning!$E$5:$S$5,0)-1)))</f>
        <v>0</v>
      </c>
      <c r="U169" s="533" cm="1">
        <f t="array" aca="1" ref="U169" ca="1">IF(U$21&lt;Standard_Year,'No STDs Case Rev &amp; Cost'!U169,
OFFSET(U169,-5,0)*
OFFSET(MSP!$F$1,
MATCH(OFFSET($C162,((MATCH($C162,EL_List,0)-1)*-10)-1,0),MSP!$C:$C,0)+MATCH($C162,EL_List,0)-1,0)
*INDEX(Learning!$E$6:$S$41,(MATCH(U$21,Dates,0)),(MATCH($C$151,Learning!$E$4:$S$4,0)+MATCH($C$162,Learning!$E$5:$S$5,0)-1)))</f>
        <v>0</v>
      </c>
      <c r="V169" s="533" cm="1">
        <f t="array" aca="1" ref="V169" ca="1">IF(V$21&lt;Standard_Year,'No STDs Case Rev &amp; Cost'!V169,
OFFSET(V169,-5,0)*
OFFSET(MSP!$F$1,
MATCH(OFFSET($C162,((MATCH($C162,EL_List,0)-1)*-10)-1,0),MSP!$C:$C,0)+MATCH($C162,EL_List,0)-1,0)
*INDEX(Learning!$E$6:$S$41,(MATCH(V$21,Dates,0)),(MATCH($C$151,Learning!$E$4:$S$4,0)+MATCH($C$162,Learning!$E$5:$S$5,0)-1)))</f>
        <v>0</v>
      </c>
      <c r="W169" s="533" cm="1">
        <f t="array" aca="1" ref="W169" ca="1">IF(W$21&lt;Standard_Year,'No STDs Case Rev &amp; Cost'!W169,
OFFSET(W169,-5,0)*
OFFSET(MSP!$F$1,
MATCH(OFFSET($C162,((MATCH($C162,EL_List,0)-1)*-10)-1,0),MSP!$C:$C,0)+MATCH($C162,EL_List,0)-1,0)
*INDEX(Learning!$E$6:$S$41,(MATCH(W$21,Dates,0)),(MATCH($C$151,Learning!$E$4:$S$4,0)+MATCH($C$162,Learning!$E$5:$S$5,0)-1)))</f>
        <v>0</v>
      </c>
      <c r="X169" s="533" cm="1">
        <f t="array" aca="1" ref="X169" ca="1">IF(X$21&lt;Standard_Year,'No STDs Case Rev &amp; Cost'!X169,
OFFSET(X169,-5,0)*
OFFSET(MSP!$F$1,
MATCH(OFFSET($C162,((MATCH($C162,EL_List,0)-1)*-10)-1,0),MSP!$C:$C,0)+MATCH($C162,EL_List,0)-1,0)
*INDEX(Learning!$E$6:$S$41,(MATCH(X$21,Dates,0)),(MATCH($C$151,Learning!$E$4:$S$4,0)+MATCH($C$162,Learning!$E$5:$S$5,0)-1)))</f>
        <v>0</v>
      </c>
      <c r="Y169" s="533" cm="1">
        <f t="array" aca="1" ref="Y169" ca="1">IF(Y$21&lt;Standard_Year,'No STDs Case Rev &amp; Cost'!Y169,
OFFSET(Y169,-5,0)*
OFFSET(MSP!$F$1,
MATCH(OFFSET($C162,((MATCH($C162,EL_List,0)-1)*-10)-1,0),MSP!$C:$C,0)+MATCH($C162,EL_List,0)-1,0)
*INDEX(Learning!$E$6:$S$41,(MATCH(Y$21,Dates,0)),(MATCH($C$151,Learning!$E$4:$S$4,0)+MATCH($C$162,Learning!$E$5:$S$5,0)-1)))</f>
        <v>0</v>
      </c>
      <c r="Z169" s="533" cm="1">
        <f t="array" aca="1" ref="Z169" ca="1">IF(Z$21&lt;Standard_Year,'No STDs Case Rev &amp; Cost'!Z169,
OFFSET(Z169,-5,0)*
OFFSET(MSP!$F$1,
MATCH(OFFSET($C162,((MATCH($C162,EL_List,0)-1)*-10)-1,0),MSP!$C:$C,0)+MATCH($C162,EL_List,0)-1,0)
*INDEX(Learning!$E$6:$S$41,(MATCH(Z$21,Dates,0)),(MATCH($C$151,Learning!$E$4:$S$4,0)+MATCH($C$162,Learning!$E$5:$S$5,0)-1)))</f>
        <v>0</v>
      </c>
      <c r="AA169" s="533" cm="1">
        <f t="array" aca="1" ref="AA169" ca="1">IF(AA$21&lt;Standard_Year,'No STDs Case Rev &amp; Cost'!AA169,
OFFSET(AA169,-5,0)*
OFFSET(MSP!$F$1,
MATCH(OFFSET($C162,((MATCH($C162,EL_List,0)-1)*-10)-1,0),MSP!$C:$C,0)+MATCH($C162,EL_List,0)-1,0)
*INDEX(Learning!$E$6:$S$41,(MATCH(AA$21,Dates,0)),(MATCH($C$151,Learning!$E$4:$S$4,0)+MATCH($C$162,Learning!$E$5:$S$5,0)-1)))</f>
        <v>0</v>
      </c>
      <c r="AB169" s="533" cm="1">
        <f t="array" aca="1" ref="AB169" ca="1">IF(AB$21&lt;Standard_Year,'No STDs Case Rev &amp; Cost'!AB169,
OFFSET(AB169,-5,0)*
OFFSET(MSP!$F$1,
MATCH(OFFSET($C162,((MATCH($C162,EL_List,0)-1)*-10)-1,0),MSP!$C:$C,0)+MATCH($C162,EL_List,0)-1,0)
*INDEX(Learning!$E$6:$S$41,(MATCH(AB$21,Dates,0)),(MATCH($C$151,Learning!$E$4:$S$4,0)+MATCH($C$162,Learning!$E$5:$S$5,0)-1)))</f>
        <v>0</v>
      </c>
      <c r="AC169" s="533" cm="1">
        <f t="array" aca="1" ref="AC169" ca="1">IF(AC$21&lt;Standard_Year,'No STDs Case Rev &amp; Cost'!AC169,
OFFSET(AC169,-5,0)*
OFFSET(MSP!$F$1,
MATCH(OFFSET($C162,((MATCH($C162,EL_List,0)-1)*-10)-1,0),MSP!$C:$C,0)+MATCH($C162,EL_List,0)-1,0)
*INDEX(Learning!$E$6:$S$41,(MATCH(AC$21,Dates,0)),(MATCH($C$151,Learning!$E$4:$S$4,0)+MATCH($C$162,Learning!$E$5:$S$5,0)-1)))</f>
        <v>0</v>
      </c>
      <c r="AD169" s="533" cm="1">
        <f t="array" aca="1" ref="AD169" ca="1">IF(AD$21&lt;Standard_Year,'No STDs Case Rev &amp; Cost'!AD169,
OFFSET(AD169,-5,0)*
OFFSET(MSP!$F$1,
MATCH(OFFSET($C162,((MATCH($C162,EL_List,0)-1)*-10)-1,0),MSP!$C:$C,0)+MATCH($C162,EL_List,0)-1,0)
*INDEX(Learning!$E$6:$S$41,(MATCH(AD$21,Dates,0)),(MATCH($C$151,Learning!$E$4:$S$4,0)+MATCH($C$162,Learning!$E$5:$S$5,0)-1)))</f>
        <v>0</v>
      </c>
      <c r="AE169" s="533" cm="1">
        <f t="array" aca="1" ref="AE169" ca="1">IF(AE$21&lt;Standard_Year,'No STDs Case Rev &amp; Cost'!AE169,
OFFSET(AE169,-5,0)*
OFFSET(MSP!$F$1,
MATCH(OFFSET($C162,((MATCH($C162,EL_List,0)-1)*-10)-1,0),MSP!$C:$C,0)+MATCH($C162,EL_List,0)-1,0)
*INDEX(Learning!$E$6:$S$41,(MATCH(AE$21,Dates,0)),(MATCH($C$151,Learning!$E$4:$S$4,0)+MATCH($C$162,Learning!$E$5:$S$5,0)-1)))</f>
        <v>0</v>
      </c>
      <c r="AF169" s="533" cm="1">
        <f t="array" aca="1" ref="AF169" ca="1">IF(AF$21&lt;Standard_Year,'No STDs Case Rev &amp; Cost'!AF169,
OFFSET(AF169,-5,0)*
OFFSET(MSP!$F$1,
MATCH(OFFSET($C162,((MATCH($C162,EL_List,0)-1)*-10)-1,0),MSP!$C:$C,0)+MATCH($C162,EL_List,0)-1,0)
*INDEX(Learning!$E$6:$S$41,(MATCH(AF$21,Dates,0)),(MATCH($C$151,Learning!$E$4:$S$4,0)+MATCH($C$162,Learning!$E$5:$S$5,0)-1)))</f>
        <v>0</v>
      </c>
      <c r="AG169" s="533" cm="1">
        <f t="array" aca="1" ref="AG169" ca="1">IF(AG$21&lt;Standard_Year,'No STDs Case Rev &amp; Cost'!AG169,
OFFSET(AG169,-5,0)*
OFFSET(MSP!$F$1,
MATCH(OFFSET($C162,((MATCH($C162,EL_List,0)-1)*-10)-1,0),MSP!$C:$C,0)+MATCH($C162,EL_List,0)-1,0)
*INDEX(Learning!$E$6:$S$41,(MATCH(AG$21,Dates,0)),(MATCH($C$151,Learning!$E$4:$S$4,0)+MATCH($C$162,Learning!$E$5:$S$5,0)-1)))</f>
        <v>0</v>
      </c>
      <c r="AH169" s="533" cm="1">
        <f t="array" aca="1" ref="AH169" ca="1">IF(AH$21&lt;Standard_Year,'No STDs Case Rev &amp; Cost'!AH169,
OFFSET(AH169,-5,0)*
OFFSET(MSP!$F$1,
MATCH(OFFSET($C162,((MATCH($C162,EL_List,0)-1)*-10)-1,0),MSP!$C:$C,0)+MATCH($C162,EL_List,0)-1,0)
*INDEX(Learning!$E$6:$S$41,(MATCH(AH$21,Dates,0)),(MATCH($C$151,Learning!$E$4:$S$4,0)+MATCH($C$162,Learning!$E$5:$S$5,0)-1)))</f>
        <v>0</v>
      </c>
      <c r="AI169" s="533" cm="1">
        <f t="array" aca="1" ref="AI169" ca="1">IF(AI$21&lt;Standard_Year,'No STDs Case Rev &amp; Cost'!AI169,
OFFSET(AI169,-5,0)*
OFFSET(MSP!$F$1,
MATCH(OFFSET($C162,((MATCH($C162,EL_List,0)-1)*-10)-1,0),MSP!$C:$C,0)+MATCH($C162,EL_List,0)-1,0)
*INDEX(Learning!$E$6:$S$41,(MATCH(AI$21,Dates,0)),(MATCH($C$151,Learning!$E$4:$S$4,0)+MATCH($C$162,Learning!$E$5:$S$5,0)-1)))</f>
        <v>0</v>
      </c>
      <c r="AJ169" s="533" cm="1">
        <f t="array" aca="1" ref="AJ169" ca="1">IF(AJ$21&lt;Standard_Year,'No STDs Case Rev &amp; Cost'!AJ169,
OFFSET(AJ169,-5,0)*
OFFSET(MSP!$F$1,
MATCH(OFFSET($C162,((MATCH($C162,EL_List,0)-1)*-10)-1,0),MSP!$C:$C,0)+MATCH($C162,EL_List,0)-1,0)
*INDEX(Learning!$E$6:$S$41,(MATCH(AJ$21,Dates,0)),(MATCH($C$151,Learning!$E$4:$S$4,0)+MATCH($C$162,Learning!$E$5:$S$5,0)-1)))</f>
        <v>0</v>
      </c>
      <c r="AK169" s="533" cm="1">
        <f t="array" aca="1" ref="AK169" ca="1">IF(AK$21&lt;Standard_Year,'No STDs Case Rev &amp; Cost'!AK169,
OFFSET(AK169,-5,0)*
OFFSET(MSP!$F$1,
MATCH(OFFSET($C162,((MATCH($C162,EL_List,0)-1)*-10)-1,0),MSP!$C:$C,0)+MATCH($C162,EL_List,0)-1,0)
*INDEX(Learning!$E$6:$S$41,(MATCH(AK$21,Dates,0)),(MATCH($C$151,Learning!$E$4:$S$4,0)+MATCH($C$162,Learning!$E$5:$S$5,0)-1)))</f>
        <v>0</v>
      </c>
      <c r="AL169" s="533" cm="1">
        <f t="array" aca="1" ref="AL169" ca="1">IF(AL$21&lt;Standard_Year,'No STDs Case Rev &amp; Cost'!AL169,
OFFSET(AL169,-5,0)*
OFFSET(MSP!$F$1,
MATCH(OFFSET($C162,((MATCH($C162,EL_List,0)-1)*-10)-1,0),MSP!$C:$C,0)+MATCH($C162,EL_List,0)-1,0)
*INDEX(Learning!$E$6:$S$41,(MATCH(AL$21,Dates,0)),(MATCH($C$151,Learning!$E$4:$S$4,0)+MATCH($C$162,Learning!$E$5:$S$5,0)-1)))</f>
        <v>0</v>
      </c>
      <c r="AM169" s="533" cm="1">
        <f t="array" aca="1" ref="AM169" ca="1">IF(AM$21&lt;Standard_Year,'No STDs Case Rev &amp; Cost'!AM169,
OFFSET(AM169,-5,0)*
OFFSET(MSP!$F$1,
MATCH(OFFSET($C162,((MATCH($C162,EL_List,0)-1)*-10)-1,0),MSP!$C:$C,0)+MATCH($C162,EL_List,0)-1,0)
*INDEX(Learning!$E$6:$S$41,(MATCH(AM$21,Dates,0)),(MATCH($C$151,Learning!$E$4:$S$4,0)+MATCH($C$162,Learning!$E$5:$S$5,0)-1)))</f>
        <v>0</v>
      </c>
      <c r="AN169" s="533" cm="1">
        <f t="array" aca="1" ref="AN169" ca="1">IF(AN$21&lt;Standard_Year,'No STDs Case Rev &amp; Cost'!AN169,
OFFSET(AN169,-5,0)*
OFFSET(MSP!$F$1,
MATCH(OFFSET($C162,((MATCH($C162,EL_List,0)-1)*-10)-1,0),MSP!$C:$C,0)+MATCH($C162,EL_List,0)-1,0)
*INDEX(Learning!$E$6:$S$41,(MATCH(AN$21,Dates,0)),(MATCH($C$151,Learning!$E$4:$S$4,0)+MATCH($C$162,Learning!$E$5:$S$5,0)-1)))</f>
        <v>0</v>
      </c>
      <c r="AO169" s="436"/>
      <c r="AP169" s="21"/>
    </row>
    <row r="170" spans="2:42" ht="15" customHeight="1" collapsed="1" x14ac:dyDescent="0.35">
      <c r="B170" s="429"/>
      <c r="C170" s="780" t="s">
        <v>215</v>
      </c>
      <c r="D170" s="776"/>
      <c r="E170" s="531" cm="1">
        <f t="array" aca="1" ref="E170" ca="1">IF(E$21&lt;Standard_Year,'No STDs Case Rev &amp; Cost'!E170,
OFFSET(E170,-6,0)*
OFFSET(MSP!$G$1,
MATCH(OFFSET($C162,((MATCH($C162,EL_List,0)-1)*-10)-1,0),MSP!$C:$C,0)+MATCH($C162,EL_List,0)-1,0)
*INDEX(Learning!$E$6:$S$41,(MATCH(E$21,Dates,0)),(MATCH($C$151,Learning!$E$4:$S$4,0)+MATCH($C$162,Learning!$E$5:$S$5,0)-1)))</f>
        <v>2.8730501125963337</v>
      </c>
      <c r="F170" s="531" cm="1">
        <f t="array" aca="1" ref="F170" ca="1">IF(F$21&lt;Standard_Year,'No STDs Case Rev &amp; Cost'!F170,
OFFSET(F170,-6,0)*
OFFSET(MSP!$G$1,
MATCH(OFFSET($C162,((MATCH($C162,EL_List,0)-1)*-10)-1,0),MSP!$C:$C,0)+MATCH($C162,EL_List,0)-1,0)
*INDEX(Learning!$E$6:$S$41,(MATCH(F$21,Dates,0)),(MATCH($C$151,Learning!$E$4:$S$4,0)+MATCH($C$162,Learning!$E$5:$S$5,0)-1)))</f>
        <v>2.9784843953157978</v>
      </c>
      <c r="G170" s="531" cm="1">
        <f t="array" aca="1" ref="G170" ca="1">IF(G$21&lt;Standard_Year,'No STDs Case Rev &amp; Cost'!G170,
OFFSET(G170,-6,0)*
OFFSET(MSP!$G$1,
MATCH(OFFSET($C162,((MATCH($C162,EL_List,0)-1)*-10)-1,0),MSP!$C:$C,0)+MATCH($C162,EL_List,0)-1,0)
*INDEX(Learning!$E$6:$S$41,(MATCH(G$21,Dates,0)),(MATCH($C$151,Learning!$E$4:$S$4,0)+MATCH($C$162,Learning!$E$5:$S$5,0)-1)))</f>
        <v>3.0688030801961581</v>
      </c>
      <c r="H170" s="531" cm="1">
        <f t="array" aca="1" ref="H170" ca="1">IF(H$21&lt;Standard_Year,'No STDs Case Rev &amp; Cost'!H170,
OFFSET(H170,-6,0)*
OFFSET(MSP!$G$1,
MATCH(OFFSET($C162,((MATCH($C162,EL_List,0)-1)*-10)-1,0),MSP!$C:$C,0)+MATCH($C162,EL_List,0)-1,0)
*INDEX(Learning!$E$6:$S$41,(MATCH(H$21,Dates,0)),(MATCH($C$151,Learning!$E$4:$S$4,0)+MATCH($C$162,Learning!$E$5:$S$5,0)-1)))</f>
        <v>3.1910027449472542</v>
      </c>
      <c r="I170" s="531" cm="1">
        <f t="array" aca="1" ref="I170" ca="1">IF(I$21&lt;Standard_Year,'No STDs Case Rev &amp; Cost'!I170,
OFFSET(I170,-6,0)*
OFFSET(MSP!$G$1,
MATCH(OFFSET($C162,((MATCH($C162,EL_List,0)-1)*-10)-1,0),MSP!$C:$C,0)+MATCH($C162,EL_List,0)-1,0)
*INDEX(Learning!$E$6:$S$41,(MATCH(I$21,Dates,0)),(MATCH($C$151,Learning!$E$4:$S$4,0)+MATCH($C$162,Learning!$E$5:$S$5,0)-1)))</f>
        <v>0</v>
      </c>
      <c r="J170" s="531" cm="1">
        <f t="array" aca="1" ref="J170" ca="1">IF(J$21&lt;Standard_Year,'No STDs Case Rev &amp; Cost'!J170,
OFFSET(J170,-6,0)*
OFFSET(MSP!$G$1,
MATCH(OFFSET($C162,((MATCH($C162,EL_List,0)-1)*-10)-1,0),MSP!$C:$C,0)+MATCH($C162,EL_List,0)-1,0)
*INDEX(Learning!$E$6:$S$41,(MATCH(J$21,Dates,0)),(MATCH($C$151,Learning!$E$4:$S$4,0)+MATCH($C$162,Learning!$E$5:$S$5,0)-1)))</f>
        <v>0</v>
      </c>
      <c r="K170" s="531" cm="1">
        <f t="array" aca="1" ref="K170" ca="1">IF(K$21&lt;Standard_Year,'No STDs Case Rev &amp; Cost'!K170,
OFFSET(K170,-6,0)*
OFFSET(MSP!$G$1,
MATCH(OFFSET($C162,((MATCH($C162,EL_List,0)-1)*-10)-1,0),MSP!$C:$C,0)+MATCH($C162,EL_List,0)-1,0)
*INDEX(Learning!$E$6:$S$41,(MATCH(K$21,Dates,0)),(MATCH($C$151,Learning!$E$4:$S$4,0)+MATCH($C$162,Learning!$E$5:$S$5,0)-1)))</f>
        <v>0</v>
      </c>
      <c r="L170" s="531" cm="1">
        <f t="array" aca="1" ref="L170" ca="1">IF(L$21&lt;Standard_Year,'No STDs Case Rev &amp; Cost'!L170,
OFFSET(L170,-6,0)*
OFFSET(MSP!$G$1,
MATCH(OFFSET($C162,((MATCH($C162,EL_List,0)-1)*-10)-1,0),MSP!$C:$C,0)+MATCH($C162,EL_List,0)-1,0)
*INDEX(Learning!$E$6:$S$41,(MATCH(L$21,Dates,0)),(MATCH($C$151,Learning!$E$4:$S$4,0)+MATCH($C$162,Learning!$E$5:$S$5,0)-1)))</f>
        <v>0</v>
      </c>
      <c r="M170" s="531" cm="1">
        <f t="array" aca="1" ref="M170" ca="1">IF(M$21&lt;Standard_Year,'No STDs Case Rev &amp; Cost'!M170,
OFFSET(M170,-6,0)*
OFFSET(MSP!$G$1,
MATCH(OFFSET($C162,((MATCH($C162,EL_List,0)-1)*-10)-1,0),MSP!$C:$C,0)+MATCH($C162,EL_List,0)-1,0)
*INDEX(Learning!$E$6:$S$41,(MATCH(M$21,Dates,0)),(MATCH($C$151,Learning!$E$4:$S$4,0)+MATCH($C$162,Learning!$E$5:$S$5,0)-1)))</f>
        <v>0</v>
      </c>
      <c r="N170" s="531" cm="1">
        <f t="array" aca="1" ref="N170" ca="1">IF(N$21&lt;Standard_Year,'No STDs Case Rev &amp; Cost'!N170,
OFFSET(N170,-6,0)*
OFFSET(MSP!$G$1,
MATCH(OFFSET($C162,((MATCH($C162,EL_List,0)-1)*-10)-1,0),MSP!$C:$C,0)+MATCH($C162,EL_List,0)-1,0)
*INDEX(Learning!$E$6:$S$41,(MATCH(N$21,Dates,0)),(MATCH($C$151,Learning!$E$4:$S$4,0)+MATCH($C$162,Learning!$E$5:$S$5,0)-1)))</f>
        <v>0</v>
      </c>
      <c r="O170" s="531" cm="1">
        <f t="array" aca="1" ref="O170" ca="1">IF(O$21&lt;Standard_Year,'No STDs Case Rev &amp; Cost'!O170,
OFFSET(O170,-6,0)*
OFFSET(MSP!$G$1,
MATCH(OFFSET($C162,((MATCH($C162,EL_List,0)-1)*-10)-1,0),MSP!$C:$C,0)+MATCH($C162,EL_List,0)-1,0)
*INDEX(Learning!$E$6:$S$41,(MATCH(O$21,Dates,0)),(MATCH($C$151,Learning!$E$4:$S$4,0)+MATCH($C$162,Learning!$E$5:$S$5,0)-1)))</f>
        <v>0</v>
      </c>
      <c r="P170" s="531" cm="1">
        <f t="array" aca="1" ref="P170" ca="1">IF(P$21&lt;Standard_Year,'No STDs Case Rev &amp; Cost'!P170,
OFFSET(P170,-6,0)*
OFFSET(MSP!$G$1,
MATCH(OFFSET($C162,((MATCH($C162,EL_List,0)-1)*-10)-1,0),MSP!$C:$C,0)+MATCH($C162,EL_List,0)-1,0)
*INDEX(Learning!$E$6:$S$41,(MATCH(P$21,Dates,0)),(MATCH($C$151,Learning!$E$4:$S$4,0)+MATCH($C$162,Learning!$E$5:$S$5,0)-1)))</f>
        <v>0</v>
      </c>
      <c r="Q170" s="531" cm="1">
        <f t="array" aca="1" ref="Q170" ca="1">IF(Q$21&lt;Standard_Year,'No STDs Case Rev &amp; Cost'!Q170,
OFFSET(Q170,-6,0)*
OFFSET(MSP!$G$1,
MATCH(OFFSET($C162,((MATCH($C162,EL_List,0)-1)*-10)-1,0),MSP!$C:$C,0)+MATCH($C162,EL_List,0)-1,0)
*INDEX(Learning!$E$6:$S$41,(MATCH(Q$21,Dates,0)),(MATCH($C$151,Learning!$E$4:$S$4,0)+MATCH($C$162,Learning!$E$5:$S$5,0)-1)))</f>
        <v>0</v>
      </c>
      <c r="R170" s="531" cm="1">
        <f t="array" aca="1" ref="R170" ca="1">IF(R$21&lt;Standard_Year,'No STDs Case Rev &amp; Cost'!R170,
OFFSET(R170,-6,0)*
OFFSET(MSP!$G$1,
MATCH(OFFSET($C162,((MATCH($C162,EL_List,0)-1)*-10)-1,0),MSP!$C:$C,0)+MATCH($C162,EL_List,0)-1,0)
*INDEX(Learning!$E$6:$S$41,(MATCH(R$21,Dates,0)),(MATCH($C$151,Learning!$E$4:$S$4,0)+MATCH($C$162,Learning!$E$5:$S$5,0)-1)))</f>
        <v>0</v>
      </c>
      <c r="S170" s="531" cm="1">
        <f t="array" aca="1" ref="S170" ca="1">IF(S$21&lt;Standard_Year,'No STDs Case Rev &amp; Cost'!S170,
OFFSET(S170,-6,0)*
OFFSET(MSP!$G$1,
MATCH(OFFSET($C162,((MATCH($C162,EL_List,0)-1)*-10)-1,0),MSP!$C:$C,0)+MATCH($C162,EL_List,0)-1,0)
*INDEX(Learning!$E$6:$S$41,(MATCH(S$21,Dates,0)),(MATCH($C$151,Learning!$E$4:$S$4,0)+MATCH($C$162,Learning!$E$5:$S$5,0)-1)))</f>
        <v>0</v>
      </c>
      <c r="T170" s="531" cm="1">
        <f t="array" aca="1" ref="T170" ca="1">IF(T$21&lt;Standard_Year,'No STDs Case Rev &amp; Cost'!T170,
OFFSET(T170,-6,0)*
OFFSET(MSP!$G$1,
MATCH(OFFSET($C162,((MATCH($C162,EL_List,0)-1)*-10)-1,0),MSP!$C:$C,0)+MATCH($C162,EL_List,0)-1,0)
*INDEX(Learning!$E$6:$S$41,(MATCH(T$21,Dates,0)),(MATCH($C$151,Learning!$E$4:$S$4,0)+MATCH($C$162,Learning!$E$5:$S$5,0)-1)))</f>
        <v>0</v>
      </c>
      <c r="U170" s="531" cm="1">
        <f t="array" aca="1" ref="U170" ca="1">IF(U$21&lt;Standard_Year,'No STDs Case Rev &amp; Cost'!U170,
OFFSET(U170,-6,0)*
OFFSET(MSP!$G$1,
MATCH(OFFSET($C162,((MATCH($C162,EL_List,0)-1)*-10)-1,0),MSP!$C:$C,0)+MATCH($C162,EL_List,0)-1,0)
*INDEX(Learning!$E$6:$S$41,(MATCH(U$21,Dates,0)),(MATCH($C$151,Learning!$E$4:$S$4,0)+MATCH($C$162,Learning!$E$5:$S$5,0)-1)))</f>
        <v>0</v>
      </c>
      <c r="V170" s="531" cm="1">
        <f t="array" aca="1" ref="V170" ca="1">IF(V$21&lt;Standard_Year,'No STDs Case Rev &amp; Cost'!V170,
OFFSET(V170,-6,0)*
OFFSET(MSP!$G$1,
MATCH(OFFSET($C162,((MATCH($C162,EL_List,0)-1)*-10)-1,0),MSP!$C:$C,0)+MATCH($C162,EL_List,0)-1,0)
*INDEX(Learning!$E$6:$S$41,(MATCH(V$21,Dates,0)),(MATCH($C$151,Learning!$E$4:$S$4,0)+MATCH($C$162,Learning!$E$5:$S$5,0)-1)))</f>
        <v>0</v>
      </c>
      <c r="W170" s="531" cm="1">
        <f t="array" aca="1" ref="W170" ca="1">IF(W$21&lt;Standard_Year,'No STDs Case Rev &amp; Cost'!W170,
OFFSET(W170,-6,0)*
OFFSET(MSP!$G$1,
MATCH(OFFSET($C162,((MATCH($C162,EL_List,0)-1)*-10)-1,0),MSP!$C:$C,0)+MATCH($C162,EL_List,0)-1,0)
*INDEX(Learning!$E$6:$S$41,(MATCH(W$21,Dates,0)),(MATCH($C$151,Learning!$E$4:$S$4,0)+MATCH($C$162,Learning!$E$5:$S$5,0)-1)))</f>
        <v>0</v>
      </c>
      <c r="X170" s="531" cm="1">
        <f t="array" aca="1" ref="X170" ca="1">IF(X$21&lt;Standard_Year,'No STDs Case Rev &amp; Cost'!X170,
OFFSET(X170,-6,0)*
OFFSET(MSP!$G$1,
MATCH(OFFSET($C162,((MATCH($C162,EL_List,0)-1)*-10)-1,0),MSP!$C:$C,0)+MATCH($C162,EL_List,0)-1,0)
*INDEX(Learning!$E$6:$S$41,(MATCH(X$21,Dates,0)),(MATCH($C$151,Learning!$E$4:$S$4,0)+MATCH($C$162,Learning!$E$5:$S$5,0)-1)))</f>
        <v>0</v>
      </c>
      <c r="Y170" s="531" cm="1">
        <f t="array" aca="1" ref="Y170" ca="1">IF(Y$21&lt;Standard_Year,'No STDs Case Rev &amp; Cost'!Y170,
OFFSET(Y170,-6,0)*
OFFSET(MSP!$G$1,
MATCH(OFFSET($C162,((MATCH($C162,EL_List,0)-1)*-10)-1,0),MSP!$C:$C,0)+MATCH($C162,EL_List,0)-1,0)
*INDEX(Learning!$E$6:$S$41,(MATCH(Y$21,Dates,0)),(MATCH($C$151,Learning!$E$4:$S$4,0)+MATCH($C$162,Learning!$E$5:$S$5,0)-1)))</f>
        <v>0</v>
      </c>
      <c r="Z170" s="531" cm="1">
        <f t="array" aca="1" ref="Z170" ca="1">IF(Z$21&lt;Standard_Year,'No STDs Case Rev &amp; Cost'!Z170,
OFFSET(Z170,-6,0)*
OFFSET(MSP!$G$1,
MATCH(OFFSET($C162,((MATCH($C162,EL_List,0)-1)*-10)-1,0),MSP!$C:$C,0)+MATCH($C162,EL_List,0)-1,0)
*INDEX(Learning!$E$6:$S$41,(MATCH(Z$21,Dates,0)),(MATCH($C$151,Learning!$E$4:$S$4,0)+MATCH($C$162,Learning!$E$5:$S$5,0)-1)))</f>
        <v>0</v>
      </c>
      <c r="AA170" s="531" cm="1">
        <f t="array" aca="1" ref="AA170" ca="1">IF(AA$21&lt;Standard_Year,'No STDs Case Rev &amp; Cost'!AA170,
OFFSET(AA170,-6,0)*
OFFSET(MSP!$G$1,
MATCH(OFFSET($C162,((MATCH($C162,EL_List,0)-1)*-10)-1,0),MSP!$C:$C,0)+MATCH($C162,EL_List,0)-1,0)
*INDEX(Learning!$E$6:$S$41,(MATCH(AA$21,Dates,0)),(MATCH($C$151,Learning!$E$4:$S$4,0)+MATCH($C$162,Learning!$E$5:$S$5,0)-1)))</f>
        <v>0</v>
      </c>
      <c r="AB170" s="531" cm="1">
        <f t="array" aca="1" ref="AB170" ca="1">IF(AB$21&lt;Standard_Year,'No STDs Case Rev &amp; Cost'!AB170,
OFFSET(AB170,-6,0)*
OFFSET(MSP!$G$1,
MATCH(OFFSET($C162,((MATCH($C162,EL_List,0)-1)*-10)-1,0),MSP!$C:$C,0)+MATCH($C162,EL_List,0)-1,0)
*INDEX(Learning!$E$6:$S$41,(MATCH(AB$21,Dates,0)),(MATCH($C$151,Learning!$E$4:$S$4,0)+MATCH($C$162,Learning!$E$5:$S$5,0)-1)))</f>
        <v>0</v>
      </c>
      <c r="AC170" s="531" cm="1">
        <f t="array" aca="1" ref="AC170" ca="1">IF(AC$21&lt;Standard_Year,'No STDs Case Rev &amp; Cost'!AC170,
OFFSET(AC170,-6,0)*
OFFSET(MSP!$G$1,
MATCH(OFFSET($C162,((MATCH($C162,EL_List,0)-1)*-10)-1,0),MSP!$C:$C,0)+MATCH($C162,EL_List,0)-1,0)
*INDEX(Learning!$E$6:$S$41,(MATCH(AC$21,Dates,0)),(MATCH($C$151,Learning!$E$4:$S$4,0)+MATCH($C$162,Learning!$E$5:$S$5,0)-1)))</f>
        <v>0</v>
      </c>
      <c r="AD170" s="531" cm="1">
        <f t="array" aca="1" ref="AD170" ca="1">IF(AD$21&lt;Standard_Year,'No STDs Case Rev &amp; Cost'!AD170,
OFFSET(AD170,-6,0)*
OFFSET(MSP!$G$1,
MATCH(OFFSET($C162,((MATCH($C162,EL_List,0)-1)*-10)-1,0),MSP!$C:$C,0)+MATCH($C162,EL_List,0)-1,0)
*INDEX(Learning!$E$6:$S$41,(MATCH(AD$21,Dates,0)),(MATCH($C$151,Learning!$E$4:$S$4,0)+MATCH($C$162,Learning!$E$5:$S$5,0)-1)))</f>
        <v>0</v>
      </c>
      <c r="AE170" s="531" cm="1">
        <f t="array" aca="1" ref="AE170" ca="1">IF(AE$21&lt;Standard_Year,'No STDs Case Rev &amp; Cost'!AE170,
OFFSET(AE170,-6,0)*
OFFSET(MSP!$G$1,
MATCH(OFFSET($C162,((MATCH($C162,EL_List,0)-1)*-10)-1,0),MSP!$C:$C,0)+MATCH($C162,EL_List,0)-1,0)
*INDEX(Learning!$E$6:$S$41,(MATCH(AE$21,Dates,0)),(MATCH($C$151,Learning!$E$4:$S$4,0)+MATCH($C$162,Learning!$E$5:$S$5,0)-1)))</f>
        <v>0</v>
      </c>
      <c r="AF170" s="531" cm="1">
        <f t="array" aca="1" ref="AF170" ca="1">IF(AF$21&lt;Standard_Year,'No STDs Case Rev &amp; Cost'!AF170,
OFFSET(AF170,-6,0)*
OFFSET(MSP!$G$1,
MATCH(OFFSET($C162,((MATCH($C162,EL_List,0)-1)*-10)-1,0),MSP!$C:$C,0)+MATCH($C162,EL_List,0)-1,0)
*INDEX(Learning!$E$6:$S$41,(MATCH(AF$21,Dates,0)),(MATCH($C$151,Learning!$E$4:$S$4,0)+MATCH($C$162,Learning!$E$5:$S$5,0)-1)))</f>
        <v>0</v>
      </c>
      <c r="AG170" s="531" cm="1">
        <f t="array" aca="1" ref="AG170" ca="1">IF(AG$21&lt;Standard_Year,'No STDs Case Rev &amp; Cost'!AG170,
OFFSET(AG170,-6,0)*
OFFSET(MSP!$G$1,
MATCH(OFFSET($C162,((MATCH($C162,EL_List,0)-1)*-10)-1,0),MSP!$C:$C,0)+MATCH($C162,EL_List,0)-1,0)
*INDEX(Learning!$E$6:$S$41,(MATCH(AG$21,Dates,0)),(MATCH($C$151,Learning!$E$4:$S$4,0)+MATCH($C$162,Learning!$E$5:$S$5,0)-1)))</f>
        <v>0</v>
      </c>
      <c r="AH170" s="531" cm="1">
        <f t="array" aca="1" ref="AH170" ca="1">IF(AH$21&lt;Standard_Year,'No STDs Case Rev &amp; Cost'!AH170,
OFFSET(AH170,-6,0)*
OFFSET(MSP!$G$1,
MATCH(OFFSET($C162,((MATCH($C162,EL_List,0)-1)*-10)-1,0),MSP!$C:$C,0)+MATCH($C162,EL_List,0)-1,0)
*INDEX(Learning!$E$6:$S$41,(MATCH(AH$21,Dates,0)),(MATCH($C$151,Learning!$E$4:$S$4,0)+MATCH($C$162,Learning!$E$5:$S$5,0)-1)))</f>
        <v>0</v>
      </c>
      <c r="AI170" s="531" cm="1">
        <f t="array" aca="1" ref="AI170" ca="1">IF(AI$21&lt;Standard_Year,'No STDs Case Rev &amp; Cost'!AI170,
OFFSET(AI170,-6,0)*
OFFSET(MSP!$G$1,
MATCH(OFFSET($C162,((MATCH($C162,EL_List,0)-1)*-10)-1,0),MSP!$C:$C,0)+MATCH($C162,EL_List,0)-1,0)
*INDEX(Learning!$E$6:$S$41,(MATCH(AI$21,Dates,0)),(MATCH($C$151,Learning!$E$4:$S$4,0)+MATCH($C$162,Learning!$E$5:$S$5,0)-1)))</f>
        <v>0</v>
      </c>
      <c r="AJ170" s="531" cm="1">
        <f t="array" aca="1" ref="AJ170" ca="1">IF(AJ$21&lt;Standard_Year,'No STDs Case Rev &amp; Cost'!AJ170,
OFFSET(AJ170,-6,0)*
OFFSET(MSP!$G$1,
MATCH(OFFSET($C162,((MATCH($C162,EL_List,0)-1)*-10)-1,0),MSP!$C:$C,0)+MATCH($C162,EL_List,0)-1,0)
*INDEX(Learning!$E$6:$S$41,(MATCH(AJ$21,Dates,0)),(MATCH($C$151,Learning!$E$4:$S$4,0)+MATCH($C$162,Learning!$E$5:$S$5,0)-1)))</f>
        <v>0</v>
      </c>
      <c r="AK170" s="531" cm="1">
        <f t="array" aca="1" ref="AK170" ca="1">IF(AK$21&lt;Standard_Year,'No STDs Case Rev &amp; Cost'!AK170,
OFFSET(AK170,-6,0)*
OFFSET(MSP!$G$1,
MATCH(OFFSET($C162,((MATCH($C162,EL_List,0)-1)*-10)-1,0),MSP!$C:$C,0)+MATCH($C162,EL_List,0)-1,0)
*INDEX(Learning!$E$6:$S$41,(MATCH(AK$21,Dates,0)),(MATCH($C$151,Learning!$E$4:$S$4,0)+MATCH($C$162,Learning!$E$5:$S$5,0)-1)))</f>
        <v>0</v>
      </c>
      <c r="AL170" s="531" cm="1">
        <f t="array" aca="1" ref="AL170" ca="1">IF(AL$21&lt;Standard_Year,'No STDs Case Rev &amp; Cost'!AL170,
OFFSET(AL170,-6,0)*
OFFSET(MSP!$G$1,
MATCH(OFFSET($C162,((MATCH($C162,EL_List,0)-1)*-10)-1,0),MSP!$C:$C,0)+MATCH($C162,EL_List,0)-1,0)
*INDEX(Learning!$E$6:$S$41,(MATCH(AL$21,Dates,0)),(MATCH($C$151,Learning!$E$4:$S$4,0)+MATCH($C$162,Learning!$E$5:$S$5,0)-1)))</f>
        <v>0</v>
      </c>
      <c r="AM170" s="531" cm="1">
        <f t="array" aca="1" ref="AM170" ca="1">IF(AM$21&lt;Standard_Year,'No STDs Case Rev &amp; Cost'!AM170,
OFFSET(AM170,-6,0)*
OFFSET(MSP!$G$1,
MATCH(OFFSET($C162,((MATCH($C162,EL_List,0)-1)*-10)-1,0),MSP!$C:$C,0)+MATCH($C162,EL_List,0)-1,0)
*INDEX(Learning!$E$6:$S$41,(MATCH(AM$21,Dates,0)),(MATCH($C$151,Learning!$E$4:$S$4,0)+MATCH($C$162,Learning!$E$5:$S$5,0)-1)))</f>
        <v>0</v>
      </c>
      <c r="AN170" s="531" cm="1">
        <f t="array" aca="1" ref="AN170" ca="1">IF(AN$21&lt;Standard_Year,'No STDs Case Rev &amp; Cost'!AN170,
OFFSET(AN170,-6,0)*
OFFSET(MSP!$G$1,
MATCH(OFFSET($C162,((MATCH($C162,EL_List,0)-1)*-10)-1,0),MSP!$C:$C,0)+MATCH($C162,EL_List,0)-1,0)
*INDEX(Learning!$E$6:$S$41,(MATCH(AN$21,Dates,0)),(MATCH($C$151,Learning!$E$4:$S$4,0)+MATCH($C$162,Learning!$E$5:$S$5,0)-1)))</f>
        <v>0</v>
      </c>
      <c r="AO170" s="436"/>
      <c r="AP170" s="21"/>
    </row>
    <row r="171" spans="2:42" ht="15" customHeight="1" x14ac:dyDescent="0.35">
      <c r="B171" s="429"/>
      <c r="C171" s="776"/>
      <c r="D171" s="776"/>
      <c r="E171" s="776"/>
      <c r="F171" s="776"/>
      <c r="G171" s="776"/>
      <c r="H171" s="776"/>
      <c r="I171" s="776"/>
      <c r="J171" s="776"/>
      <c r="K171" s="776"/>
      <c r="L171" s="776"/>
      <c r="M171" s="776"/>
      <c r="N171" s="776"/>
      <c r="O171" s="776"/>
      <c r="P171" s="776"/>
      <c r="Q171" s="776"/>
      <c r="R171" s="776"/>
      <c r="S171" s="776"/>
      <c r="T171" s="776"/>
      <c r="U171" s="776"/>
      <c r="V171" s="776"/>
      <c r="W171" s="776"/>
      <c r="X171" s="776"/>
      <c r="Y171" s="776"/>
      <c r="Z171" s="776"/>
      <c r="AA171" s="776"/>
      <c r="AB171" s="776"/>
      <c r="AC171" s="776"/>
      <c r="AD171" s="776"/>
      <c r="AE171" s="776"/>
      <c r="AF171" s="776"/>
      <c r="AG171" s="776"/>
      <c r="AH171" s="776"/>
      <c r="AI171" s="776"/>
      <c r="AJ171" s="776"/>
      <c r="AK171" s="776"/>
      <c r="AL171" s="776"/>
      <c r="AM171" s="776"/>
      <c r="AN171" s="776"/>
      <c r="AO171" s="436"/>
      <c r="AP171" s="21"/>
    </row>
    <row r="172" spans="2:42" ht="15" customHeight="1" x14ac:dyDescent="0.35">
      <c r="B172" s="429"/>
      <c r="C172" s="772" t="s">
        <v>344</v>
      </c>
      <c r="D172" s="776"/>
      <c r="E172" s="776"/>
      <c r="F172" s="776"/>
      <c r="G172" s="776"/>
      <c r="H172" s="776"/>
      <c r="I172" s="776"/>
      <c r="J172" s="776"/>
      <c r="K172" s="776"/>
      <c r="L172" s="776"/>
      <c r="M172" s="776"/>
      <c r="N172" s="776"/>
      <c r="O172" s="776"/>
      <c r="P172" s="776"/>
      <c r="Q172" s="776"/>
      <c r="R172" s="776"/>
      <c r="S172" s="776"/>
      <c r="T172" s="776"/>
      <c r="U172" s="776"/>
      <c r="V172" s="776"/>
      <c r="W172" s="776"/>
      <c r="X172" s="776"/>
      <c r="Y172" s="776"/>
      <c r="Z172" s="776"/>
      <c r="AA172" s="776"/>
      <c r="AB172" s="776"/>
      <c r="AC172" s="776"/>
      <c r="AD172" s="776"/>
      <c r="AE172" s="776"/>
      <c r="AF172" s="776"/>
      <c r="AG172" s="776"/>
      <c r="AH172" s="776"/>
      <c r="AI172" s="776"/>
      <c r="AJ172" s="776"/>
      <c r="AK172" s="776"/>
      <c r="AL172" s="776"/>
      <c r="AM172" s="776"/>
      <c r="AN172" s="776"/>
      <c r="AO172" s="436"/>
      <c r="AP172" s="21"/>
    </row>
    <row r="173" spans="2:42" ht="15" customHeight="1" x14ac:dyDescent="0.35">
      <c r="B173" s="429"/>
      <c r="C173" s="777" t="s">
        <v>10</v>
      </c>
      <c r="D173" s="776"/>
      <c r="E173" s="778" cm="1">
        <f t="array" aca="1" ref="E173" ca="1">IF(E$21&lt;Standard_Year,'No STDs Case Rev &amp; Cost'!E173,
OFFSET(MSP!$C$1,
MATCH(OFFSET($C172,((MATCH($C172,EL_List,0)-1)*-10)-1,0),MSP!$C:$C,0)+MATCH($C172,EL_List,0)-1,
MATCH(OFFSET($C172,((MATCH($C172,EL_List,0)-1)*-10)-3,0),MSP!$D$5:$N$5,0)+1)
*INDEX(Learning!$E$6:$S$41,(MATCH(E$21,Dates,0)),(MATCH($C$151,Learning!$E$4:$S$4,0)+MATCH($C$172,Learning!$E$5:$S$5,0)-1)))</f>
        <v>109.54025</v>
      </c>
      <c r="F173" s="778" cm="1">
        <f t="array" aca="1" ref="F173" ca="1">IF(F$21&lt;Standard_Year,'No STDs Case Rev &amp; Cost'!F173,
OFFSET(MSP!$C$1,
MATCH(OFFSET($C172,((MATCH($C172,EL_List,0)-1)*-10)-1,0),MSP!$C:$C,0)+MATCH($C172,EL_List,0)-1,
MATCH(OFFSET($C172,((MATCH($C172,EL_List,0)-1)*-10)-3,0),MSP!$D$5:$N$5,0)+1)
*INDEX(Learning!$E$6:$S$41,(MATCH(F$21,Dates,0)),(MATCH($C$151,Learning!$E$4:$S$4,0)+MATCH($C$172,Learning!$E$5:$S$5,0)-1)))</f>
        <v>108.69925000000001</v>
      </c>
      <c r="G173" s="778" cm="1">
        <f t="array" aca="1" ref="G173" ca="1">IF(G$21&lt;Standard_Year,'No STDs Case Rev &amp; Cost'!G173,
OFFSET(MSP!$C$1,
MATCH(OFFSET($C172,((MATCH($C172,EL_List,0)-1)*-10)-1,0),MSP!$C:$C,0)+MATCH($C172,EL_List,0)-1,
MATCH(OFFSET($C172,((MATCH($C172,EL_List,0)-1)*-10)-3,0),MSP!$D$5:$N$5,0)+1)
*INDEX(Learning!$E$6:$S$41,(MATCH(G$21,Dates,0)),(MATCH($C$151,Learning!$E$4:$S$4,0)+MATCH($C$172,Learning!$E$5:$S$5,0)-1)))</f>
        <v>107.96337499999998</v>
      </c>
      <c r="H173" s="778" cm="1">
        <f t="array" aca="1" ref="H173" ca="1">IF(H$21&lt;Standard_Year,'No STDs Case Rev &amp; Cost'!H173,
OFFSET(MSP!$C$1,
MATCH(OFFSET($C172,((MATCH($C172,EL_List,0)-1)*-10)-1,0),MSP!$C:$C,0)+MATCH($C172,EL_List,0)-1,
MATCH(OFFSET($C172,((MATCH($C172,EL_List,0)-1)*-10)-3,0),MSP!$D$5:$N$5,0)+1)
*INDEX(Learning!$E$6:$S$41,(MATCH(H$21,Dates,0)),(MATCH($C$151,Learning!$E$4:$S$4,0)+MATCH($C$172,Learning!$E$5:$S$5,0)-1)))</f>
        <v>107.12237499999999</v>
      </c>
      <c r="I173" s="778" cm="1">
        <f t="array" aca="1" ref="I173" ca="1">IF(I$21&lt;Standard_Year,'No STDs Case Rev &amp; Cost'!I173,
OFFSET(MSP!$C$1,
MATCH(OFFSET($C172,((MATCH($C172,EL_List,0)-1)*-10)-1,0),MSP!$C:$C,0)+MATCH($C172,EL_List,0)-1,
MATCH(OFFSET($C172,((MATCH($C172,EL_List,0)-1)*-10)-3,0),MSP!$D$5:$N$5,0)+1)
*INDEX(Learning!$E$6:$S$41,(MATCH(I$21,Dates,0)),(MATCH($C$151,Learning!$E$4:$S$4,0)+MATCH($C$172,Learning!$E$5:$S$5,0)-1)))</f>
        <v>106.33970521167457</v>
      </c>
      <c r="J173" s="778" cm="1">
        <f t="array" aca="1" ref="J173" ca="1">IF(J$21&lt;Standard_Year,'No STDs Case Rev &amp; Cost'!J173,
OFFSET(MSP!$C$1,
MATCH(OFFSET($C172,((MATCH($C172,EL_List,0)-1)*-10)-1,0),MSP!$C:$C,0)+MATCH($C172,EL_List,0)-1,
MATCH(OFFSET($C172,((MATCH($C172,EL_List,0)-1)*-10)-3,0),MSP!$D$5:$N$5,0)+1)
*INDEX(Learning!$E$6:$S$41,(MATCH(J$21,Dates,0)),(MATCH($C$151,Learning!$E$4:$S$4,0)+MATCH($C$172,Learning!$E$5:$S$5,0)-1)))</f>
        <v>105.60488000290684</v>
      </c>
      <c r="K173" s="778" cm="1">
        <f t="array" aca="1" ref="K173" ca="1">IF(K$21&lt;Standard_Year,'No STDs Case Rev &amp; Cost'!K173,
OFFSET(MSP!$C$1,
MATCH(OFFSET($C172,((MATCH($C172,EL_List,0)-1)*-10)-1,0),MSP!$C:$C,0)+MATCH($C172,EL_List,0)-1,
MATCH(OFFSET($C172,((MATCH($C172,EL_List,0)-1)*-10)-3,0),MSP!$D$5:$N$5,0)+1)
*INDEX(Learning!$E$6:$S$41,(MATCH(K$21,Dates,0)),(MATCH($C$151,Learning!$E$4:$S$4,0)+MATCH($C$172,Learning!$E$5:$S$5,0)-1)))</f>
        <v>104.97502982396306</v>
      </c>
      <c r="L173" s="778" cm="1">
        <f t="array" aca="1" ref="L173" ca="1">IF(L$21&lt;Standard_Year,'No STDs Case Rev &amp; Cost'!L173,
OFFSET(MSP!$C$1,
MATCH(OFFSET($C172,((MATCH($C172,EL_List,0)-1)*-10)-1,0),MSP!$C:$C,0)+MATCH($C172,EL_List,0)-1,
MATCH(OFFSET($C172,((MATCH($C172,EL_List,0)-1)*-10)-3,0),MSP!$D$5:$N$5,0)+1)
*INDEX(Learning!$E$6:$S$41,(MATCH(L$21,Dates,0)),(MATCH($C$151,Learning!$E$4:$S$4,0)+MATCH($C$172,Learning!$E$5:$S$5,0)-1)))</f>
        <v>104.34517964501927</v>
      </c>
      <c r="M173" s="778" cm="1">
        <f t="array" aca="1" ref="M173" ca="1">IF(M$21&lt;Standard_Year,'No STDs Case Rev &amp; Cost'!M173,
OFFSET(MSP!$C$1,
MATCH(OFFSET($C172,((MATCH($C172,EL_List,0)-1)*-10)-1,0),MSP!$C:$C,0)+MATCH($C172,EL_List,0)-1,
MATCH(OFFSET($C172,((MATCH($C172,EL_List,0)-1)*-10)-3,0),MSP!$D$5:$N$5,0)+1)
*INDEX(Learning!$E$6:$S$41,(MATCH(M$21,Dates,0)),(MATCH($C$151,Learning!$E$4:$S$4,0)+MATCH($C$172,Learning!$E$5:$S$5,0)-1)))</f>
        <v>103.7153294660755</v>
      </c>
      <c r="N173" s="778" cm="1">
        <f t="array" aca="1" ref="N173" ca="1">IF(N$21&lt;Standard_Year,'No STDs Case Rev &amp; Cost'!N173,
OFFSET(MSP!$C$1,
MATCH(OFFSET($C172,((MATCH($C172,EL_List,0)-1)*-10)-1,0),MSP!$C:$C,0)+MATCH($C172,EL_List,0)-1,
MATCH(OFFSET($C172,((MATCH($C172,EL_List,0)-1)*-10)-3,0),MSP!$D$5:$N$5,0)+1)
*INDEX(Learning!$E$6:$S$41,(MATCH(N$21,Dates,0)),(MATCH($C$151,Learning!$E$4:$S$4,0)+MATCH($C$172,Learning!$E$5:$S$5,0)-1)))</f>
        <v>103.08547928713172</v>
      </c>
      <c r="O173" s="778" cm="1">
        <f t="array" aca="1" ref="O173" ca="1">IF(O$21&lt;Standard_Year,'No STDs Case Rev &amp; Cost'!O173,
OFFSET(MSP!$C$1,
MATCH(OFFSET($C172,((MATCH($C172,EL_List,0)-1)*-10)-1,0),MSP!$C:$C,0)+MATCH($C172,EL_List,0)-1,
MATCH(OFFSET($C172,((MATCH($C172,EL_List,0)-1)*-10)-3,0),MSP!$D$5:$N$5,0)+1)
*INDEX(Learning!$E$6:$S$41,(MATCH(O$21,Dates,0)),(MATCH($C$151,Learning!$E$4:$S$4,0)+MATCH($C$172,Learning!$E$5:$S$5,0)-1)))</f>
        <v>102.5606041380119</v>
      </c>
      <c r="P173" s="778" cm="1">
        <f t="array" aca="1" ref="P173" ca="1">IF(P$21&lt;Standard_Year,'No STDs Case Rev &amp; Cost'!P173,
OFFSET(MSP!$C$1,
MATCH(OFFSET($C172,((MATCH($C172,EL_List,0)-1)*-10)-1,0),MSP!$C:$C,0)+MATCH($C172,EL_List,0)-1,
MATCH(OFFSET($C172,((MATCH($C172,EL_List,0)-1)*-10)-3,0),MSP!$D$5:$N$5,0)+1)
*INDEX(Learning!$E$6:$S$41,(MATCH(P$21,Dates,0)),(MATCH($C$151,Learning!$E$4:$S$4,0)+MATCH($C$172,Learning!$E$5:$S$5,0)-1)))</f>
        <v>102.03572898889209</v>
      </c>
      <c r="Q173" s="778" cm="1">
        <f t="array" aca="1" ref="Q173" ca="1">IF(Q$21&lt;Standard_Year,'No STDs Case Rev &amp; Cost'!Q173,
OFFSET(MSP!$C$1,
MATCH(OFFSET($C172,((MATCH($C172,EL_List,0)-1)*-10)-1,0),MSP!$C:$C,0)+MATCH($C172,EL_List,0)-1,
MATCH(OFFSET($C172,((MATCH($C172,EL_List,0)-1)*-10)-3,0),MSP!$D$5:$N$5,0)+1)
*INDEX(Learning!$E$6:$S$41,(MATCH(Q$21,Dates,0)),(MATCH($C$151,Learning!$E$4:$S$4,0)+MATCH($C$172,Learning!$E$5:$S$5,0)-1)))</f>
        <v>101.40587880994831</v>
      </c>
      <c r="R173" s="778" cm="1">
        <f t="array" aca="1" ref="R173" ca="1">IF(R$21&lt;Standard_Year,'No STDs Case Rev &amp; Cost'!R173,
OFFSET(MSP!$C$1,
MATCH(OFFSET($C172,((MATCH($C172,EL_List,0)-1)*-10)-1,0),MSP!$C:$C,0)+MATCH($C172,EL_List,0)-1,
MATCH(OFFSET($C172,((MATCH($C172,EL_List,0)-1)*-10)-3,0),MSP!$D$5:$N$5,0)+1)
*INDEX(Learning!$E$6:$S$41,(MATCH(R$21,Dates,0)),(MATCH($C$151,Learning!$E$4:$S$4,0)+MATCH($C$172,Learning!$E$5:$S$5,0)-1)))</f>
        <v>100.8810036608285</v>
      </c>
      <c r="S173" s="778" cm="1">
        <f t="array" aca="1" ref="S173" ca="1">IF(S$21&lt;Standard_Year,'No STDs Case Rev &amp; Cost'!S173,
OFFSET(MSP!$C$1,
MATCH(OFFSET($C172,((MATCH($C172,EL_List,0)-1)*-10)-1,0),MSP!$C:$C,0)+MATCH($C172,EL_List,0)-1,
MATCH(OFFSET($C172,((MATCH($C172,EL_List,0)-1)*-10)-3,0),MSP!$D$5:$N$5,0)+1)
*INDEX(Learning!$E$6:$S$41,(MATCH(S$21,Dates,0)),(MATCH($C$151,Learning!$E$4:$S$4,0)+MATCH($C$172,Learning!$E$5:$S$5,0)-1)))</f>
        <v>100.35612851170868</v>
      </c>
      <c r="T173" s="778" cm="1">
        <f t="array" aca="1" ref="T173" ca="1">IF(T$21&lt;Standard_Year,'No STDs Case Rev &amp; Cost'!T173,
OFFSET(MSP!$C$1,
MATCH(OFFSET($C172,((MATCH($C172,EL_List,0)-1)*-10)-1,0),MSP!$C:$C,0)+MATCH($C172,EL_List,0)-1,
MATCH(OFFSET($C172,((MATCH($C172,EL_List,0)-1)*-10)-3,0),MSP!$D$5:$N$5,0)+1)
*INDEX(Learning!$E$6:$S$41,(MATCH(T$21,Dates,0)),(MATCH($C$151,Learning!$E$4:$S$4,0)+MATCH($C$172,Learning!$E$5:$S$5,0)-1)))</f>
        <v>99.831253362588868</v>
      </c>
      <c r="U173" s="778" cm="1">
        <f t="array" aca="1" ref="U173" ca="1">IF(U$21&lt;Standard_Year,'No STDs Case Rev &amp; Cost'!U173,
OFFSET(MSP!$C$1,
MATCH(OFFSET($C172,((MATCH($C172,EL_List,0)-1)*-10)-1,0),MSP!$C:$C,0)+MATCH($C172,EL_List,0)-1,
MATCH(OFFSET($C172,((MATCH($C172,EL_List,0)-1)*-10)-3,0),MSP!$D$5:$N$5,0)+1)
*INDEX(Learning!$E$6:$S$41,(MATCH(U$21,Dates,0)),(MATCH($C$151,Learning!$E$4:$S$4,0)+MATCH($C$172,Learning!$E$5:$S$5,0)-1)))</f>
        <v>99.411353243293007</v>
      </c>
      <c r="V173" s="778" cm="1">
        <f t="array" aca="1" ref="V173" ca="1">IF(V$21&lt;Standard_Year,'No STDs Case Rev &amp; Cost'!V173,
OFFSET(MSP!$C$1,
MATCH(OFFSET($C172,((MATCH($C172,EL_List,0)-1)*-10)-1,0),MSP!$C:$C,0)+MATCH($C172,EL_List,0)-1,
MATCH(OFFSET($C172,((MATCH($C172,EL_List,0)-1)*-10)-3,0),MSP!$D$5:$N$5,0)+1)
*INDEX(Learning!$E$6:$S$41,(MATCH(V$21,Dates,0)),(MATCH($C$151,Learning!$E$4:$S$4,0)+MATCH($C$172,Learning!$E$5:$S$5,0)-1)))</f>
        <v>98.886478094173199</v>
      </c>
      <c r="W173" s="778" cm="1">
        <f t="array" aca="1" ref="W173" ca="1">IF(W$21&lt;Standard_Year,'No STDs Case Rev &amp; Cost'!W173,
OFFSET(MSP!$C$1,
MATCH(OFFSET($C172,((MATCH($C172,EL_List,0)-1)*-10)-1,0),MSP!$C:$C,0)+MATCH($C172,EL_List,0)-1,
MATCH(OFFSET($C172,((MATCH($C172,EL_List,0)-1)*-10)-3,0),MSP!$D$5:$N$5,0)+1)
*INDEX(Learning!$E$6:$S$41,(MATCH(W$21,Dates,0)),(MATCH($C$151,Learning!$E$4:$S$4,0)+MATCH($C$172,Learning!$E$5:$S$5,0)-1)))</f>
        <v>98.361602945053392</v>
      </c>
      <c r="X173" s="778" cm="1">
        <f t="array" aca="1" ref="X173" ca="1">IF(X$21&lt;Standard_Year,'No STDs Case Rev &amp; Cost'!X173,
OFFSET(MSP!$C$1,
MATCH(OFFSET($C172,((MATCH($C172,EL_List,0)-1)*-10)-1,0),MSP!$C:$C,0)+MATCH($C172,EL_List,0)-1,
MATCH(OFFSET($C172,((MATCH($C172,EL_List,0)-1)*-10)-3,0),MSP!$D$5:$N$5,0)+1)
*INDEX(Learning!$E$6:$S$41,(MATCH(X$21,Dates,0)),(MATCH($C$151,Learning!$E$4:$S$4,0)+MATCH($C$172,Learning!$E$5:$S$5,0)-1)))</f>
        <v>97.941702825757531</v>
      </c>
      <c r="Y173" s="778" cm="1">
        <f t="array" aca="1" ref="Y173" ca="1">IF(Y$21&lt;Standard_Year,'No STDs Case Rev &amp; Cost'!Y173,
OFFSET(MSP!$C$1,
MATCH(OFFSET($C172,((MATCH($C172,EL_List,0)-1)*-10)-1,0),MSP!$C:$C,0)+MATCH($C172,EL_List,0)-1,
MATCH(OFFSET($C172,((MATCH($C172,EL_List,0)-1)*-10)-3,0),MSP!$D$5:$N$5,0)+1)
*INDEX(Learning!$E$6:$S$41,(MATCH(Y$21,Dates,0)),(MATCH($C$151,Learning!$E$4:$S$4,0)+MATCH($C$172,Learning!$E$5:$S$5,0)-1)))</f>
        <v>97.521802706461685</v>
      </c>
      <c r="Z173" s="778" cm="1">
        <f t="array" aca="1" ref="Z173" ca="1">IF(Z$21&lt;Standard_Year,'No STDs Case Rev &amp; Cost'!Z173,
OFFSET(MSP!$C$1,
MATCH(OFFSET($C172,((MATCH($C172,EL_List,0)-1)*-10)-1,0),MSP!$C:$C,0)+MATCH($C172,EL_List,0)-1,
MATCH(OFFSET($C172,((MATCH($C172,EL_List,0)-1)*-10)-3,0),MSP!$D$5:$N$5,0)+1)
*INDEX(Learning!$E$6:$S$41,(MATCH(Z$21,Dates,0)),(MATCH($C$151,Learning!$E$4:$S$4,0)+MATCH($C$172,Learning!$E$5:$S$5,0)-1)))</f>
        <v>96.996927557341863</v>
      </c>
      <c r="AA173" s="778" cm="1">
        <f t="array" aca="1" ref="AA173" ca="1">IF(AA$21&lt;Standard_Year,'No STDs Case Rev &amp; Cost'!AA173,
OFFSET(MSP!$C$1,
MATCH(OFFSET($C172,((MATCH($C172,EL_List,0)-1)*-10)-1,0),MSP!$C:$C,0)+MATCH($C172,EL_List,0)-1,
MATCH(OFFSET($C172,((MATCH($C172,EL_List,0)-1)*-10)-3,0),MSP!$D$5:$N$5,0)+1)
*INDEX(Learning!$E$6:$S$41,(MATCH(AA$21,Dates,0)),(MATCH($C$151,Learning!$E$4:$S$4,0)+MATCH($C$172,Learning!$E$5:$S$5,0)-1)))</f>
        <v>96.577027438046017</v>
      </c>
      <c r="AB173" s="778" cm="1">
        <f t="array" aca="1" ref="AB173" ca="1">IF(AB$21&lt;Standard_Year,'No STDs Case Rev &amp; Cost'!AB173,
OFFSET(MSP!$C$1,
MATCH(OFFSET($C172,((MATCH($C172,EL_List,0)-1)*-10)-1,0),MSP!$C:$C,0)+MATCH($C172,EL_List,0)-1,
MATCH(OFFSET($C172,((MATCH($C172,EL_List,0)-1)*-10)-3,0),MSP!$D$5:$N$5,0)+1)
*INDEX(Learning!$E$6:$S$41,(MATCH(AB$21,Dates,0)),(MATCH($C$151,Learning!$E$4:$S$4,0)+MATCH($C$172,Learning!$E$5:$S$5,0)-1)))</f>
        <v>96.157127318750156</v>
      </c>
      <c r="AC173" s="778" cm="1">
        <f t="array" aca="1" ref="AC173" ca="1">IF(AC$21&lt;Standard_Year,'No STDs Case Rev &amp; Cost'!AC173,
OFFSET(MSP!$C$1,
MATCH(OFFSET($C172,((MATCH($C172,EL_List,0)-1)*-10)-1,0),MSP!$C:$C,0)+MATCH($C172,EL_List,0)-1,
MATCH(OFFSET($C172,((MATCH($C172,EL_List,0)-1)*-10)-3,0),MSP!$D$5:$N$5,0)+1)
*INDEX(Learning!$E$6:$S$41,(MATCH(AC$21,Dates,0)),(MATCH($C$151,Learning!$E$4:$S$4,0)+MATCH($C$172,Learning!$E$5:$S$5,0)-1)))</f>
        <v>95.73722719945431</v>
      </c>
      <c r="AD173" s="778" cm="1">
        <f t="array" aca="1" ref="AD173" ca="1">IF(AD$21&lt;Standard_Year,'No STDs Case Rev &amp; Cost'!AD173,
OFFSET(MSP!$C$1,
MATCH(OFFSET($C172,((MATCH($C172,EL_List,0)-1)*-10)-1,0),MSP!$C:$C,0)+MATCH($C172,EL_List,0)-1,
MATCH(OFFSET($C172,((MATCH($C172,EL_List,0)-1)*-10)-3,0),MSP!$D$5:$N$5,0)+1)
*INDEX(Learning!$E$6:$S$41,(MATCH(AD$21,Dates,0)),(MATCH($C$151,Learning!$E$4:$S$4,0)+MATCH($C$172,Learning!$E$5:$S$5,0)-1)))</f>
        <v>95.317327080158464</v>
      </c>
      <c r="AE173" s="778" cm="1">
        <f t="array" aca="1" ref="AE173" ca="1">IF(AE$21&lt;Standard_Year,'No STDs Case Rev &amp; Cost'!AE173,
OFFSET(MSP!$C$1,
MATCH(OFFSET($C172,((MATCH($C172,EL_List,0)-1)*-10)-1,0),MSP!$C:$C,0)+MATCH($C172,EL_List,0)-1,
MATCH(OFFSET($C172,((MATCH($C172,EL_List,0)-1)*-10)-3,0),MSP!$D$5:$N$5,0)+1)
*INDEX(Learning!$E$6:$S$41,(MATCH(AE$21,Dates,0)),(MATCH($C$151,Learning!$E$4:$S$4,0)+MATCH($C$172,Learning!$E$5:$S$5,0)-1)))</f>
        <v>94.897426960862603</v>
      </c>
      <c r="AF173" s="778" cm="1">
        <f t="array" aca="1" ref="AF173" ca="1">IF(AF$21&lt;Standard_Year,'No STDs Case Rev &amp; Cost'!AF173,
OFFSET(MSP!$C$1,
MATCH(OFFSET($C172,((MATCH($C172,EL_List,0)-1)*-10)-1,0),MSP!$C:$C,0)+MATCH($C172,EL_List,0)-1,
MATCH(OFFSET($C172,((MATCH($C172,EL_List,0)-1)*-10)-3,0),MSP!$D$5:$N$5,0)+1)
*INDEX(Learning!$E$6:$S$41,(MATCH(AF$21,Dates,0)),(MATCH($C$151,Learning!$E$4:$S$4,0)+MATCH($C$172,Learning!$E$5:$S$5,0)-1)))</f>
        <v>94.477526841566757</v>
      </c>
      <c r="AG173" s="778" cm="1">
        <f t="array" aca="1" ref="AG173" ca="1">IF(AG$21&lt;Standard_Year,'No STDs Case Rev &amp; Cost'!AG173,
OFFSET(MSP!$C$1,
MATCH(OFFSET($C172,((MATCH($C172,EL_List,0)-1)*-10)-1,0),MSP!$C:$C,0)+MATCH($C172,EL_List,0)-1,
MATCH(OFFSET($C172,((MATCH($C172,EL_List,0)-1)*-10)-3,0),MSP!$D$5:$N$5,0)+1)
*INDEX(Learning!$E$6:$S$41,(MATCH(AG$21,Dates,0)),(MATCH($C$151,Learning!$E$4:$S$4,0)+MATCH($C$172,Learning!$E$5:$S$5,0)-1)))</f>
        <v>94.057626722270896</v>
      </c>
      <c r="AH173" s="778" cm="1">
        <f t="array" aca="1" ref="AH173" ca="1">IF(AH$21&lt;Standard_Year,'No STDs Case Rev &amp; Cost'!AH173,
OFFSET(MSP!$C$1,
MATCH(OFFSET($C172,((MATCH($C172,EL_List,0)-1)*-10)-1,0),MSP!$C:$C,0)+MATCH($C172,EL_List,0)-1,
MATCH(OFFSET($C172,((MATCH($C172,EL_List,0)-1)*-10)-3,0),MSP!$D$5:$N$5,0)+1)
*INDEX(Learning!$E$6:$S$41,(MATCH(AH$21,Dates,0)),(MATCH($C$151,Learning!$E$4:$S$4,0)+MATCH($C$172,Learning!$E$5:$S$5,0)-1)))</f>
        <v>93.63772660297505</v>
      </c>
      <c r="AI173" s="778" cm="1">
        <f t="array" aca="1" ref="AI173" ca="1">IF(AI$21&lt;Standard_Year,'No STDs Case Rev &amp; Cost'!AI173,
OFFSET(MSP!$C$1,
MATCH(OFFSET($C172,((MATCH($C172,EL_List,0)-1)*-10)-1,0),MSP!$C:$C,0)+MATCH($C172,EL_List,0)-1,
MATCH(OFFSET($C172,((MATCH($C172,EL_List,0)-1)*-10)-3,0),MSP!$D$5:$N$5,0)+1)
*INDEX(Learning!$E$6:$S$41,(MATCH(AI$21,Dates,0)),(MATCH($C$151,Learning!$E$4:$S$4,0)+MATCH($C$172,Learning!$E$5:$S$5,0)-1)))</f>
        <v>93.21782648367919</v>
      </c>
      <c r="AJ173" s="778" cm="1">
        <f t="array" aca="1" ref="AJ173" ca="1">IF(AJ$21&lt;Standard_Year,'No STDs Case Rev &amp; Cost'!AJ173,
OFFSET(MSP!$C$1,
MATCH(OFFSET($C172,((MATCH($C172,EL_List,0)-1)*-10)-1,0),MSP!$C:$C,0)+MATCH($C172,EL_List,0)-1,
MATCH(OFFSET($C172,((MATCH($C172,EL_List,0)-1)*-10)-3,0),MSP!$D$5:$N$5,0)+1)
*INDEX(Learning!$E$6:$S$41,(MATCH(AJ$21,Dates,0)),(MATCH($C$151,Learning!$E$4:$S$4,0)+MATCH($C$172,Learning!$E$5:$S$5,0)-1)))</f>
        <v>92.797926364383343</v>
      </c>
      <c r="AK173" s="778" cm="1">
        <f t="array" aca="1" ref="AK173" ca="1">IF(AK$21&lt;Standard_Year,'No STDs Case Rev &amp; Cost'!AK173,
OFFSET(MSP!$C$1,
MATCH(OFFSET($C172,((MATCH($C172,EL_List,0)-1)*-10)-1,0),MSP!$C:$C,0)+MATCH($C172,EL_List,0)-1,
MATCH(OFFSET($C172,((MATCH($C172,EL_List,0)-1)*-10)-3,0),MSP!$D$5:$N$5,0)+1)
*INDEX(Learning!$E$6:$S$41,(MATCH(AK$21,Dates,0)),(MATCH($C$151,Learning!$E$4:$S$4,0)+MATCH($C$172,Learning!$E$5:$S$5,0)-1)))</f>
        <v>92.483001274911459</v>
      </c>
      <c r="AL173" s="778" cm="1">
        <f t="array" aca="1" ref="AL173" ca="1">IF(AL$21&lt;Standard_Year,'No STDs Case Rev &amp; Cost'!AL173,
OFFSET(MSP!$C$1,
MATCH(OFFSET($C172,((MATCH($C172,EL_List,0)-1)*-10)-1,0),MSP!$C:$C,0)+MATCH($C172,EL_List,0)-1,
MATCH(OFFSET($C172,((MATCH($C172,EL_List,0)-1)*-10)-3,0),MSP!$D$5:$N$5,0)+1)
*INDEX(Learning!$E$6:$S$41,(MATCH(AL$21,Dates,0)),(MATCH($C$151,Learning!$E$4:$S$4,0)+MATCH($C$172,Learning!$E$5:$S$5,0)-1)))</f>
        <v>92.063101155615598</v>
      </c>
      <c r="AM173" s="778" cm="1">
        <f t="array" aca="1" ref="AM173" ca="1">IF(AM$21&lt;Standard_Year,'No STDs Case Rev &amp; Cost'!AM173,
OFFSET(MSP!$C$1,
MATCH(OFFSET($C172,((MATCH($C172,EL_List,0)-1)*-10)-1,0),MSP!$C:$C,0)+MATCH($C172,EL_List,0)-1,
MATCH(OFFSET($C172,((MATCH($C172,EL_List,0)-1)*-10)-3,0),MSP!$D$5:$N$5,0)+1)
*INDEX(Learning!$E$6:$S$41,(MATCH(AM$21,Dates,0)),(MATCH($C$151,Learning!$E$4:$S$4,0)+MATCH($C$172,Learning!$E$5:$S$5,0)-1)))</f>
        <v>91.643201036319752</v>
      </c>
      <c r="AN173" s="778" cm="1">
        <f t="array" aca="1" ref="AN173" ca="1">IF(AN$21&lt;Standard_Year,'No STDs Case Rev &amp; Cost'!AN173,
OFFSET(MSP!$C$1,
MATCH(OFFSET($C172,((MATCH($C172,EL_List,0)-1)*-10)-1,0),MSP!$C:$C,0)+MATCH($C172,EL_List,0)-1,
MATCH(OFFSET($C172,((MATCH($C172,EL_List,0)-1)*-10)-3,0),MSP!$D$5:$N$5,0)+1)
*INDEX(Learning!$E$6:$S$41,(MATCH(AN$21,Dates,0)),(MATCH($C$151,Learning!$E$4:$S$4,0)+MATCH($C$172,Learning!$E$5:$S$5,0)-1)))</f>
        <v>91.285231699162637</v>
      </c>
      <c r="AO173" s="436"/>
      <c r="AP173" s="21"/>
    </row>
    <row r="174" spans="2:42" ht="15" customHeight="1" x14ac:dyDescent="0.35">
      <c r="B174" s="429"/>
      <c r="C174" s="777" t="s">
        <v>78</v>
      </c>
      <c r="D174" s="776"/>
      <c r="E174" s="530">
        <f ca="1">OFFSET(OFFSET(Shipments!$D$1,0,MATCH(E$7,Dates)),
MATCH(OFFSET($C172,((MATCH($C172,EL_List,0)-1)*-10)-3,0),Shipments!$C:$C,0)+
MATCH(OFFSET($C172,((MATCH($C172,EL_List,0)-1)*-10)-1,0),Shipments!$D:$D,0)+
MATCH($C172,EL_List,0)-10,
MATCH(Shipments_Scenario_X,Shipments!$F$5:$AQ$5,0))</f>
        <v>1.4275991537499348</v>
      </c>
      <c r="F174" s="530">
        <f ca="1">OFFSET(OFFSET(Shipments!$D$1,0,MATCH(F$7,Dates)),
MATCH(OFFSET($C172,((MATCH($C172,EL_List,0)-1)*-10)-3,0),Shipments!$C:$C,0)+
MATCH(OFFSET($C172,((MATCH($C172,EL_List,0)-1)*-10)-1,0),Shipments!$D:$D,0)+
MATCH($C172,EL_List,0)-10,
MATCH(Shipments_Scenario_X,Shipments!$F$5:$AQ$5,0))</f>
        <v>1.4914393249932862</v>
      </c>
      <c r="G174" s="530">
        <f ca="1">OFFSET(OFFSET(Shipments!$D$1,0,MATCH(G$7,Dates)),
MATCH(OFFSET($C172,((MATCH($C172,EL_List,0)-1)*-10)-3,0),Shipments!$C:$C,0)+
MATCH(OFFSET($C172,((MATCH($C172,EL_List,0)-1)*-10)-1,0),Shipments!$D:$D,0)+
MATCH($C172,EL_List,0)-10,
MATCH(Shipments_Scenario_X,Shipments!$F$5:$AQ$5,0))</f>
        <v>1.5486470881294851</v>
      </c>
      <c r="H174" s="530">
        <f ca="1">OFFSET(OFFSET(Shipments!$D$1,0,MATCH(H$7,Dates)),
MATCH(OFFSET($C172,((MATCH($C172,EL_List,0)-1)*-10)-3,0),Shipments!$C:$C,0)+
MATCH(OFFSET($C172,((MATCH($C172,EL_List,0)-1)*-10)-1,0),Shipments!$D:$D,0)+
MATCH($C172,EL_List,0)-10,
MATCH(Shipments_Scenario_X,Shipments!$F$5:$AQ$5,0))</f>
        <v>1.6213761987336452</v>
      </c>
      <c r="I174" s="530">
        <f ca="1">OFFSET(OFFSET(Shipments!$D$1,0,MATCH(I$7,Dates)),
MATCH(OFFSET($C172,((MATCH($C172,EL_List,0)-1)*-10)-3,0),Shipments!$C:$C,0)+
MATCH(OFFSET($C172,((MATCH($C172,EL_List,0)-1)*-10)-1,0),Shipments!$D:$D,0)+
MATCH($C172,EL_List,0)-10,
MATCH(Shipments_Scenario_X,Shipments!$F$5:$AQ$5,0))</f>
        <v>4.1879322073185552</v>
      </c>
      <c r="J174" s="530">
        <f ca="1">OFFSET(OFFSET(Shipments!$D$1,0,MATCH(J$7,Dates)),
MATCH(OFFSET($C172,((MATCH($C172,EL_List,0)-1)*-10)-3,0),Shipments!$C:$C,0)+
MATCH(OFFSET($C172,((MATCH($C172,EL_List,0)-1)*-10)-1,0),Shipments!$D:$D,0)+
MATCH($C172,EL_List,0)-10,
MATCH(Shipments_Scenario_X,Shipments!$F$5:$AQ$5,0))</f>
        <v>4.4022959814812506</v>
      </c>
      <c r="K174" s="530">
        <f ca="1">OFFSET(OFFSET(Shipments!$D$1,0,MATCH(K$7,Dates)),
MATCH(OFFSET($C172,((MATCH($C172,EL_List,0)-1)*-10)-3,0),Shipments!$C:$C,0)+
MATCH(OFFSET($C172,((MATCH($C172,EL_List,0)-1)*-10)-1,0),Shipments!$D:$D,0)+
MATCH($C172,EL_List,0)-10,
MATCH(Shipments_Scenario_X,Shipments!$F$5:$AQ$5,0))</f>
        <v>4.6348217333085167</v>
      </c>
      <c r="L174" s="530">
        <f ca="1">OFFSET(OFFSET(Shipments!$D$1,0,MATCH(L$7,Dates)),
MATCH(OFFSET($C172,((MATCH($C172,EL_List,0)-1)*-10)-3,0),Shipments!$C:$C,0)+
MATCH(OFFSET($C172,((MATCH($C172,EL_List,0)-1)*-10)-1,0),Shipments!$D:$D,0)+
MATCH($C172,EL_List,0)-10,
MATCH(Shipments_Scenario_X,Shipments!$F$5:$AQ$5,0))</f>
        <v>4.8805586517176991</v>
      </c>
      <c r="M174" s="530">
        <f ca="1">OFFSET(OFFSET(Shipments!$D$1,0,MATCH(M$7,Dates)),
MATCH(OFFSET($C172,((MATCH($C172,EL_List,0)-1)*-10)-3,0),Shipments!$C:$C,0)+
MATCH(OFFSET($C172,((MATCH($C172,EL_List,0)-1)*-10)-1,0),Shipments!$D:$D,0)+
MATCH($C172,EL_List,0)-10,
MATCH(Shipments_Scenario_X,Shipments!$F$5:$AQ$5,0))</f>
        <v>5.1376729861477415</v>
      </c>
      <c r="N174" s="530">
        <f ca="1">OFFSET(OFFSET(Shipments!$D$1,0,MATCH(N$7,Dates)),
MATCH(OFFSET($C172,((MATCH($C172,EL_List,0)-1)*-10)-3,0),Shipments!$C:$C,0)+
MATCH(OFFSET($C172,((MATCH($C172,EL_List,0)-1)*-10)-1,0),Shipments!$D:$D,0)+
MATCH($C172,EL_List,0)-10,
MATCH(Shipments_Scenario_X,Shipments!$F$5:$AQ$5,0))</f>
        <v>5.4042119656311058</v>
      </c>
      <c r="O174" s="530">
        <f ca="1">OFFSET(OFFSET(Shipments!$D$1,0,MATCH(O$7,Dates)),
MATCH(OFFSET($C172,((MATCH($C172,EL_List,0)-1)*-10)-3,0),Shipments!$C:$C,0)+
MATCH(OFFSET($C172,((MATCH($C172,EL_List,0)-1)*-10)-1,0),Shipments!$D:$D,0)+
MATCH($C172,EL_List,0)-10,
MATCH(Shipments_Scenario_X,Shipments!$F$5:$AQ$5,0))</f>
        <v>5.6800628083769258</v>
      </c>
      <c r="P174" s="530">
        <f ca="1">OFFSET(OFFSET(Shipments!$D$1,0,MATCH(P$7,Dates)),
MATCH(OFFSET($C172,((MATCH($C172,EL_List,0)-1)*-10)-3,0),Shipments!$C:$C,0)+
MATCH(OFFSET($C172,((MATCH($C172,EL_List,0)-1)*-10)-1,0),Shipments!$D:$D,0)+
MATCH($C172,EL_List,0)-10,
MATCH(Shipments_Scenario_X,Shipments!$F$5:$AQ$5,0))</f>
        <v>5.9664070094721788</v>
      </c>
      <c r="Q174" s="530">
        <f ca="1">OFFSET(OFFSET(Shipments!$D$1,0,MATCH(Q$7,Dates)),
MATCH(OFFSET($C172,((MATCH($C172,EL_List,0)-1)*-10)-3,0),Shipments!$C:$C,0)+
MATCH(OFFSET($C172,((MATCH($C172,EL_List,0)-1)*-10)-1,0),Shipments!$D:$D,0)+
MATCH($C172,EL_List,0)-10,
MATCH(Shipments_Scenario_X,Shipments!$F$5:$AQ$5,0))</f>
        <v>6.2645560938397784</v>
      </c>
      <c r="R174" s="530">
        <f ca="1">OFFSET(OFFSET(Shipments!$D$1,0,MATCH(R$7,Dates)),
MATCH(OFFSET($C172,((MATCH($C172,EL_List,0)-1)*-10)-3,0),Shipments!$C:$C,0)+
MATCH(OFFSET($C172,((MATCH($C172,EL_List,0)-1)*-10)-1,0),Shipments!$D:$D,0)+
MATCH($C172,EL_List,0)-10,
MATCH(Shipments_Scenario_X,Shipments!$F$5:$AQ$5,0))</f>
        <v>6.577064265172984</v>
      </c>
      <c r="S174" s="530">
        <f ca="1">OFFSET(OFFSET(Shipments!$D$1,0,MATCH(S$7,Dates)),
MATCH(OFFSET($C172,((MATCH($C172,EL_List,0)-1)*-10)-3,0),Shipments!$C:$C,0)+
MATCH(OFFSET($C172,((MATCH($C172,EL_List,0)-1)*-10)-1,0),Shipments!$D:$D,0)+
MATCH($C172,EL_List,0)-10,
MATCH(Shipments_Scenario_X,Shipments!$F$5:$AQ$5,0))</f>
        <v>6.9056998344995275</v>
      </c>
      <c r="T174" s="530">
        <f ca="1">OFFSET(OFFSET(Shipments!$D$1,0,MATCH(T$7,Dates)),
MATCH(OFFSET($C172,((MATCH($C172,EL_List,0)-1)*-10)-3,0),Shipments!$C:$C,0)+
MATCH(OFFSET($C172,((MATCH($C172,EL_List,0)-1)*-10)-1,0),Shipments!$D:$D,0)+
MATCH($C172,EL_List,0)-10,
MATCH(Shipments_Scenario_X,Shipments!$F$5:$AQ$5,0))</f>
        <v>7.2515818468603124</v>
      </c>
      <c r="U174" s="530">
        <f ca="1">OFFSET(OFFSET(Shipments!$D$1,0,MATCH(U$7,Dates)),
MATCH(OFFSET($C172,((MATCH($C172,EL_List,0)-1)*-10)-3,0),Shipments!$C:$C,0)+
MATCH(OFFSET($C172,((MATCH($C172,EL_List,0)-1)*-10)-1,0),Shipments!$D:$D,0)+
MATCH($C172,EL_List,0)-10,
MATCH(Shipments_Scenario_X,Shipments!$F$5:$AQ$5,0))</f>
        <v>7.6159540094035814</v>
      </c>
      <c r="V174" s="530">
        <f ca="1">OFFSET(OFFSET(Shipments!$D$1,0,MATCH(V$7,Dates)),
MATCH(OFFSET($C172,((MATCH($C172,EL_List,0)-1)*-10)-3,0),Shipments!$C:$C,0)+
MATCH(OFFSET($C172,((MATCH($C172,EL_List,0)-1)*-10)-1,0),Shipments!$D:$D,0)+
MATCH($C172,EL_List,0)-10,
MATCH(Shipments_Scenario_X,Shipments!$F$5:$AQ$5,0))</f>
        <v>7.9980868323646224</v>
      </c>
      <c r="W174" s="530">
        <f ca="1">OFFSET(OFFSET(Shipments!$D$1,0,MATCH(W$7,Dates)),
MATCH(OFFSET($C172,((MATCH($C172,EL_List,0)-1)*-10)-3,0),Shipments!$C:$C,0)+
MATCH(OFFSET($C172,((MATCH($C172,EL_List,0)-1)*-10)-1,0),Shipments!$D:$D,0)+
MATCH($C172,EL_List,0)-10,
MATCH(Shipments_Scenario_X,Shipments!$F$5:$AQ$5,0))</f>
        <v>8.3991418394194177</v>
      </c>
      <c r="X174" s="530">
        <f ca="1">OFFSET(OFFSET(Shipments!$D$1,0,MATCH(X$7,Dates)),
MATCH(OFFSET($C172,((MATCH($C172,EL_List,0)-1)*-10)-3,0),Shipments!$C:$C,0)+
MATCH(OFFSET($C172,((MATCH($C172,EL_List,0)-1)*-10)-1,0),Shipments!$D:$D,0)+
MATCH($C172,EL_List,0)-10,
MATCH(Shipments_Scenario_X,Shipments!$F$5:$AQ$5,0))</f>
        <v>8.8196036985092725</v>
      </c>
      <c r="Y174" s="530">
        <f ca="1">OFFSET(OFFSET(Shipments!$D$1,0,MATCH(Y$7,Dates)),
MATCH(OFFSET($C172,((MATCH($C172,EL_List,0)-1)*-10)-3,0),Shipments!$C:$C,0)+
MATCH(OFFSET($C172,((MATCH($C172,EL_List,0)-1)*-10)-1,0),Shipments!$D:$D,0)+
MATCH($C172,EL_List,0)-10,
MATCH(Shipments_Scenario_X,Shipments!$F$5:$AQ$5,0))</f>
        <v>9.2601890093942583</v>
      </c>
      <c r="Z174" s="530">
        <f ca="1">OFFSET(OFFSET(Shipments!$D$1,0,MATCH(Z$7,Dates)),
MATCH(OFFSET($C172,((MATCH($C172,EL_List,0)-1)*-10)-3,0),Shipments!$C:$C,0)+
MATCH(OFFSET($C172,((MATCH($C172,EL_List,0)-1)*-10)-1,0),Shipments!$D:$D,0)+
MATCH($C172,EL_List,0)-10,
MATCH(Shipments_Scenario_X,Shipments!$F$5:$AQ$5,0))</f>
        <v>9.7218583624354125</v>
      </c>
      <c r="AA174" s="530">
        <f ca="1">OFFSET(OFFSET(Shipments!$D$1,0,MATCH(AA$7,Dates)),
MATCH(OFFSET($C172,((MATCH($C172,EL_List,0)-1)*-10)-3,0),Shipments!$C:$C,0)+
MATCH(OFFSET($C172,((MATCH($C172,EL_List,0)-1)*-10)-1,0),Shipments!$D:$D,0)+
MATCH($C172,EL_List,0)-10,
MATCH(Shipments_Scenario_X,Shipments!$F$5:$AQ$5,0))</f>
        <v>10.205655075480763</v>
      </c>
      <c r="AB174" s="530">
        <f ca="1">OFFSET(OFFSET(Shipments!$D$1,0,MATCH(AB$7,Dates)),
MATCH(OFFSET($C172,((MATCH($C172,EL_List,0)-1)*-10)-3,0),Shipments!$C:$C,0)+
MATCH(OFFSET($C172,((MATCH($C172,EL_List,0)-1)*-10)-1,0),Shipments!$D:$D,0)+
MATCH($C172,EL_List,0)-10,
MATCH(Shipments_Scenario_X,Shipments!$F$5:$AQ$5,0))</f>
        <v>10.71290794882704</v>
      </c>
      <c r="AC174" s="530">
        <f ca="1">OFFSET(OFFSET(Shipments!$D$1,0,MATCH(AC$7,Dates)),
MATCH(OFFSET($C172,((MATCH($C172,EL_List,0)-1)*-10)-3,0),Shipments!$C:$C,0)+
MATCH(OFFSET($C172,((MATCH($C172,EL_List,0)-1)*-10)-1,0),Shipments!$D:$D,0)+
MATCH($C172,EL_List,0)-10,
MATCH(Shipments_Scenario_X,Shipments!$F$5:$AQ$5,0))</f>
        <v>11.244899562954018</v>
      </c>
      <c r="AD174" s="530">
        <f ca="1">OFFSET(OFFSET(Shipments!$D$1,0,MATCH(AD$7,Dates)),
MATCH(OFFSET($C172,((MATCH($C172,EL_List,0)-1)*-10)-3,0),Shipments!$C:$C,0)+
MATCH(OFFSET($C172,((MATCH($C172,EL_List,0)-1)*-10)-1,0),Shipments!$D:$D,0)+
MATCH($C172,EL_List,0)-10,
MATCH(Shipments_Scenario_X,Shipments!$F$5:$AQ$5,0))</f>
        <v>11.802919684123474</v>
      </c>
      <c r="AE174" s="530">
        <f ca="1">OFFSET(OFFSET(Shipments!$D$1,0,MATCH(AE$7,Dates)),
MATCH(OFFSET($C172,((MATCH($C172,EL_List,0)-1)*-10)-3,0),Shipments!$C:$C,0)+
MATCH(OFFSET($C172,((MATCH($C172,EL_List,0)-1)*-10)-1,0),Shipments!$D:$D,0)+
MATCH($C172,EL_List,0)-10,
MATCH(Shipments_Scenario_X,Shipments!$F$5:$AQ$5,0))</f>
        <v>12.38825837933539</v>
      </c>
      <c r="AF174" s="530">
        <f ca="1">OFFSET(OFFSET(Shipments!$D$1,0,MATCH(AF$7,Dates)),
MATCH(OFFSET($C172,((MATCH($C172,EL_List,0)-1)*-10)-3,0),Shipments!$C:$C,0)+
MATCH(OFFSET($C172,((MATCH($C172,EL_List,0)-1)*-10)-1,0),Shipments!$D:$D,0)+
MATCH($C172,EL_List,0)-10,
MATCH(Shipments_Scenario_X,Shipments!$F$5:$AQ$5,0))</f>
        <v>13.002218497295564</v>
      </c>
      <c r="AG174" s="530">
        <f ca="1">OFFSET(OFFSET(Shipments!$D$1,0,MATCH(AG$7,Dates)),
MATCH(OFFSET($C172,((MATCH($C172,EL_List,0)-1)*-10)-3,0),Shipments!$C:$C,0)+
MATCH(OFFSET($C172,((MATCH($C172,EL_List,0)-1)*-10)-1,0),Shipments!$D:$D,0)+
MATCH($C172,EL_List,0)-10,
MATCH(Shipments_Scenario_X,Shipments!$F$5:$AQ$5,0))</f>
        <v>13.646143328171391</v>
      </c>
      <c r="AH174" s="530">
        <f ca="1">OFFSET(OFFSET(Shipments!$D$1,0,MATCH(AH$7,Dates)),
MATCH(OFFSET($C172,((MATCH($C172,EL_List,0)-1)*-10)-3,0),Shipments!$C:$C,0)+
MATCH(OFFSET($C172,((MATCH($C172,EL_List,0)-1)*-10)-1,0),Shipments!$D:$D,0)+
MATCH($C172,EL_List,0)-10,
MATCH(Shipments_Scenario_X,Shipments!$F$5:$AQ$5,0))</f>
        <v>14.321441553211955</v>
      </c>
      <c r="AI174" s="530">
        <f ca="1">OFFSET(OFFSET(Shipments!$D$1,0,MATCH(AI$7,Dates)),
MATCH(OFFSET($C172,((MATCH($C172,EL_List,0)-1)*-10)-3,0),Shipments!$C:$C,0)+
MATCH(OFFSET($C172,((MATCH($C172,EL_List,0)-1)*-10)-1,0),Shipments!$D:$D,0)+
MATCH($C172,EL_List,0)-10,
MATCH(Shipments_Scenario_X,Shipments!$F$5:$AQ$5,0))</f>
        <v>15.029606088478111</v>
      </c>
      <c r="AJ174" s="530">
        <f ca="1">OFFSET(OFFSET(Shipments!$D$1,0,MATCH(AJ$7,Dates)),
MATCH(OFFSET($C172,((MATCH($C172,EL_List,0)-1)*-10)-3,0),Shipments!$C:$C,0)+
MATCH(OFFSET($C172,((MATCH($C172,EL_List,0)-1)*-10)-1,0),Shipments!$D:$D,0)+
MATCH($C172,EL_List,0)-10,
MATCH(Shipments_Scenario_X,Shipments!$F$5:$AQ$5,0))</f>
        <v>15.772224377139985</v>
      </c>
      <c r="AK174" s="530">
        <f ca="1">OFFSET(OFFSET(Shipments!$D$1,0,MATCH(AK$7,Dates)),
MATCH(OFFSET($C172,((MATCH($C172,EL_List,0)-1)*-10)-3,0),Shipments!$C:$C,0)+
MATCH(OFFSET($C172,((MATCH($C172,EL_List,0)-1)*-10)-1,0),Shipments!$D:$D,0)+
MATCH($C172,EL_List,0)-10,
MATCH(Shipments_Scenario_X,Shipments!$F$5:$AQ$5,0))</f>
        <v>16.550979300994097</v>
      </c>
      <c r="AL174" s="530">
        <f ca="1">OFFSET(OFFSET(Shipments!$D$1,0,MATCH(AL$7,Dates)),
MATCH(OFFSET($C172,((MATCH($C172,EL_List,0)-1)*-10)-3,0),Shipments!$C:$C,0)+
MATCH(OFFSET($C172,((MATCH($C172,EL_List,0)-1)*-10)-1,0),Shipments!$D:$D,0)+
MATCH($C172,EL_List,0)-10,
MATCH(Shipments_Scenario_X,Shipments!$F$5:$AQ$5,0))</f>
        <v>17.367646089951791</v>
      </c>
      <c r="AM174" s="530">
        <f ca="1">OFFSET(OFFSET(Shipments!$D$1,0,MATCH(AM$7,Dates)),
MATCH(OFFSET($C172,((MATCH($C172,EL_List,0)-1)*-10)-3,0),Shipments!$C:$C,0)+
MATCH(OFFSET($C172,((MATCH($C172,EL_List,0)-1)*-10)-1,0),Shipments!$D:$D,0)+
MATCH($C172,EL_List,0)-10,
MATCH(Shipments_Scenario_X,Shipments!$F$5:$AQ$5,0))</f>
        <v>18.224090267484502</v>
      </c>
      <c r="AN174" s="530">
        <f ca="1">OFFSET(OFFSET(Shipments!$D$1,0,MATCH(AN$7,Dates)),
MATCH(OFFSET($C172,((MATCH($C172,EL_List,0)-1)*-10)-3,0),Shipments!$C:$C,0)+
MATCH(OFFSET($C172,((MATCH($C172,EL_List,0)-1)*-10)-1,0),Shipments!$D:$D,0)+
MATCH($C172,EL_List,0)-10,
MATCH(Shipments_Scenario_X,Shipments!$F$5:$AQ$5,0))</f>
        <v>19.122260257727127</v>
      </c>
      <c r="AO174" s="436"/>
      <c r="AP174" s="21"/>
    </row>
    <row r="175" spans="2:42" ht="15" customHeight="1" x14ac:dyDescent="0.35">
      <c r="B175" s="429"/>
      <c r="C175" s="777" t="s">
        <v>79</v>
      </c>
      <c r="D175" s="776"/>
      <c r="E175" s="531">
        <f t="shared" ref="E175:AN175" ca="1" si="39">E173*E174</f>
        <v>156.37956820155631</v>
      </c>
      <c r="F175" s="531">
        <f t="shared" ca="1" si="39"/>
        <v>162.11833604727647</v>
      </c>
      <c r="G175" s="531">
        <f t="shared" ca="1" si="39"/>
        <v>167.19716631838162</v>
      </c>
      <c r="H175" s="531">
        <f t="shared" ca="1" si="39"/>
        <v>173.68566917682006</v>
      </c>
      <c r="I175" s="531">
        <f t="shared" ca="1" si="39"/>
        <v>445.34347637273277</v>
      </c>
      <c r="J175" s="531">
        <f t="shared" ca="1" si="39"/>
        <v>464.90393886160643</v>
      </c>
      <c r="K175" s="531">
        <f t="shared" ca="1" si="39"/>
        <v>486.54054968281366</v>
      </c>
      <c r="L175" s="531">
        <f t="shared" ca="1" si="39"/>
        <v>509.26276928153635</v>
      </c>
      <c r="M175" s="531">
        <f t="shared" ca="1" si="39"/>
        <v>532.85544644726895</v>
      </c>
      <c r="N175" s="531">
        <f t="shared" ca="1" si="39"/>
        <v>557.09578064633479</v>
      </c>
      <c r="O175" s="531">
        <f t="shared" ca="1" si="39"/>
        <v>582.55067316898999</v>
      </c>
      <c r="P175" s="531">
        <f t="shared" ca="1" si="39"/>
        <v>608.78668865592931</v>
      </c>
      <c r="Q175" s="531">
        <f t="shared" ca="1" si="39"/>
        <v>635.26281605003976</v>
      </c>
      <c r="R175" s="531">
        <f t="shared" ca="1" si="39"/>
        <v>663.50084421242013</v>
      </c>
      <c r="S175" s="531">
        <f t="shared" ca="1" si="39"/>
        <v>693.02930005431995</v>
      </c>
      <c r="T175" s="531">
        <f t="shared" ca="1" si="39"/>
        <v>723.93450463346198</v>
      </c>
      <c r="U175" s="531">
        <f t="shared" ca="1" si="39"/>
        <v>757.11229431349307</v>
      </c>
      <c r="V175" s="531">
        <f t="shared" ca="1" si="39"/>
        <v>790.90263834391931</v>
      </c>
      <c r="W175" s="531">
        <f t="shared" ca="1" si="39"/>
        <v>826.15305468815814</v>
      </c>
      <c r="X175" s="531">
        <f t="shared" ca="1" si="39"/>
        <v>863.80700448034713</v>
      </c>
      <c r="Y175" s="531">
        <f t="shared" ca="1" si="39"/>
        <v>903.07032559869174</v>
      </c>
      <c r="Z175" s="531">
        <f t="shared" ca="1" si="39"/>
        <v>942.99039130388587</v>
      </c>
      <c r="AA175" s="531">
        <f t="shared" ca="1" si="39"/>
        <v>985.63183024793921</v>
      </c>
      <c r="AB175" s="531">
        <f t="shared" ca="1" si="39"/>
        <v>1030.1224535894123</v>
      </c>
      <c r="AC175" s="531">
        <f t="shared" ca="1" si="39"/>
        <v>1076.5555042935732</v>
      </c>
      <c r="AD175" s="531">
        <f t="shared" ca="1" si="39"/>
        <v>1125.0227560324377</v>
      </c>
      <c r="AE175" s="531">
        <f t="shared" ca="1" si="39"/>
        <v>1175.6138447252742</v>
      </c>
      <c r="AF175" s="531">
        <f t="shared" ca="1" si="39"/>
        <v>1228.4174470781575</v>
      </c>
      <c r="AG175" s="531">
        <f t="shared" ca="1" si="39"/>
        <v>1283.5238553597521</v>
      </c>
      <c r="AH175" s="531">
        <f t="shared" ca="1" si="39"/>
        <v>1341.0272287201474</v>
      </c>
      <c r="AI175" s="531">
        <f t="shared" ca="1" si="39"/>
        <v>1401.0272124738008</v>
      </c>
      <c r="AJ175" s="531">
        <f t="shared" ca="1" si="39"/>
        <v>1463.6297163523682</v>
      </c>
      <c r="AK175" s="531">
        <f t="shared" ca="1" si="39"/>
        <v>1530.6842397948703</v>
      </c>
      <c r="AL175" s="531">
        <f t="shared" ca="1" si="39"/>
        <v>1598.9193588141634</v>
      </c>
      <c r="AM175" s="531">
        <f t="shared" ref="AM175" ca="1" si="40">AM173*AM174</f>
        <v>1670.1139680871204</v>
      </c>
      <c r="AN175" s="531">
        <f t="shared" ca="1" si="39"/>
        <v>1745.5799582383102</v>
      </c>
      <c r="AO175" s="436"/>
      <c r="AP175" s="21"/>
    </row>
    <row r="176" spans="2:42" ht="15" customHeight="1" x14ac:dyDescent="0.35">
      <c r="B176" s="429"/>
      <c r="C176" s="777"/>
      <c r="D176" s="776"/>
      <c r="E176" s="776"/>
      <c r="F176" s="776"/>
      <c r="G176" s="776"/>
      <c r="H176" s="776"/>
      <c r="I176" s="776"/>
      <c r="J176" s="776"/>
      <c r="K176" s="776"/>
      <c r="L176" s="776"/>
      <c r="M176" s="776"/>
      <c r="N176" s="776"/>
      <c r="O176" s="776"/>
      <c r="P176" s="776"/>
      <c r="Q176" s="776"/>
      <c r="R176" s="776"/>
      <c r="S176" s="776"/>
      <c r="T176" s="776"/>
      <c r="U176" s="776"/>
      <c r="V176" s="776"/>
      <c r="W176" s="776"/>
      <c r="X176" s="776"/>
      <c r="Y176" s="776"/>
      <c r="Z176" s="776"/>
      <c r="AA176" s="776"/>
      <c r="AB176" s="776"/>
      <c r="AC176" s="776"/>
      <c r="AD176" s="776"/>
      <c r="AE176" s="776"/>
      <c r="AF176" s="776"/>
      <c r="AG176" s="776"/>
      <c r="AH176" s="776"/>
      <c r="AI176" s="776"/>
      <c r="AJ176" s="776"/>
      <c r="AK176" s="776"/>
      <c r="AL176" s="776"/>
      <c r="AM176" s="776"/>
      <c r="AN176" s="776"/>
      <c r="AO176" s="436"/>
      <c r="AP176" s="21"/>
    </row>
    <row r="177" spans="2:42" ht="15" customHeight="1" x14ac:dyDescent="0.35">
      <c r="B177" s="429"/>
      <c r="C177" s="780" t="s">
        <v>212</v>
      </c>
      <c r="D177" s="776"/>
      <c r="E177" s="532" cm="1">
        <f t="array" aca="1" ref="E177" ca="1">IF(E$21&lt;Standard_Year,'No STDs Case Rev &amp; Cost'!E177,
OFFSET(E177,-3,0)*
OFFSET(MSP!$D$1,
MATCH(OFFSET($C172,((MATCH($C172,EL_List,0)-1)*-10)-1,0),MSP!$C:$C,0)+MATCH($C172,EL_List,0)-1,0)
*INDEX(Learning!$E$6:$S$41,(MATCH(E$21,Dates,0)),(MATCH($C$151,Learning!$E$4:$S$4,0)+MATCH($C$172,Learning!$E$5:$S$5,0)-1)))</f>
        <v>96.897524638818155</v>
      </c>
      <c r="F177" s="532" cm="1">
        <f t="array" aca="1" ref="F177" ca="1">IF(F$21&lt;Standard_Year,'No STDs Case Rev &amp; Cost'!F177,
OFFSET(F177,-3,0)*
OFFSET(MSP!$D$1,
MATCH(OFFSET($C172,((MATCH($C172,EL_List,0)-1)*-10)-1,0),MSP!$C:$C,0)+MATCH($C172,EL_List,0)-1,0)
*INDEX(Learning!$E$6:$S$41,(MATCH(F$21,Dates,0)),(MATCH($C$151,Learning!$E$4:$S$4,0)+MATCH($C$172,Learning!$E$5:$S$5,0)-1)))</f>
        <v>100.45343929648244</v>
      </c>
      <c r="G177" s="532" cm="1">
        <f t="array" aca="1" ref="G177" ca="1">IF(G$21&lt;Standard_Year,'No STDs Case Rev &amp; Cost'!G177,
OFFSET(G177,-3,0)*
OFFSET(MSP!$D$1,
MATCH(OFFSET($C172,((MATCH($C172,EL_List,0)-1)*-10)-1,0),MSP!$C:$C,0)+MATCH($C172,EL_List,0)-1,0)
*INDEX(Learning!$E$6:$S$41,(MATCH(G$21,Dates,0)),(MATCH($C$151,Learning!$E$4:$S$4,0)+MATCH($C$172,Learning!$E$5:$S$5,0)-1)))</f>
        <v>103.60043661199167</v>
      </c>
      <c r="H177" s="532" cm="1">
        <f t="array" aca="1" ref="H177" ca="1">IF(H$21&lt;Standard_Year,'No STDs Case Rev &amp; Cost'!H177,
OFFSET(H177,-3,0)*
OFFSET(MSP!$D$1,
MATCH(OFFSET($C172,((MATCH($C172,EL_List,0)-1)*-10)-1,0),MSP!$C:$C,0)+MATCH($C172,EL_List,0)-1,0)
*INDEX(Learning!$E$6:$S$41,(MATCH(H$21,Dates,0)),(MATCH($C$151,Learning!$E$4:$S$4,0)+MATCH($C$172,Learning!$E$5:$S$5,0)-1)))</f>
        <v>107.62090982869877</v>
      </c>
      <c r="I177" s="532" cm="1">
        <f t="array" aca="1" ref="I177" ca="1">IF(I$21&lt;Standard_Year,'No STDs Case Rev &amp; Cost'!I177,
OFFSET(I177,-3,0)*
OFFSET(MSP!$D$1,
MATCH(OFFSET($C172,((MATCH($C172,EL_List,0)-1)*-10)-1,0),MSP!$C:$C,0)+MATCH($C172,EL_List,0)-1,0)
*INDEX(Learning!$E$6:$S$41,(MATCH(I$21,Dates,0)),(MATCH($C$151,Learning!$E$4:$S$4,0)+MATCH($C$172,Learning!$E$5:$S$5,0)-1)))</f>
        <v>276.34255588371758</v>
      </c>
      <c r="J177" s="532" cm="1">
        <f t="array" aca="1" ref="J177" ca="1">IF(J$21&lt;Standard_Year,'No STDs Case Rev &amp; Cost'!J177,
OFFSET(J177,-3,0)*
OFFSET(MSP!$D$1,
MATCH(OFFSET($C172,((MATCH($C172,EL_List,0)-1)*-10)-1,0),MSP!$C:$C,0)+MATCH($C172,EL_List,0)-1,0)
*INDEX(Learning!$E$6:$S$41,(MATCH(J$21,Dates,0)),(MATCH($C$151,Learning!$E$4:$S$4,0)+MATCH($C$172,Learning!$E$5:$S$5,0)-1)))</f>
        <v>288.48012718591599</v>
      </c>
      <c r="K177" s="532" cm="1">
        <f t="array" aca="1" ref="K177" ca="1">IF(K$21&lt;Standard_Year,'No STDs Case Rev &amp; Cost'!K177,
OFFSET(K177,-3,0)*
OFFSET(MSP!$D$1,
MATCH(OFFSET($C172,((MATCH($C172,EL_List,0)-1)*-10)-1,0),MSP!$C:$C,0)+MATCH($C172,EL_List,0)-1,0)
*INDEX(Learning!$E$6:$S$41,(MATCH(K$21,Dates,0)),(MATCH($C$151,Learning!$E$4:$S$4,0)+MATCH($C$172,Learning!$E$5:$S$5,0)-1)))</f>
        <v>301.90598082969871</v>
      </c>
      <c r="L177" s="532" cm="1">
        <f t="array" aca="1" ref="L177" ca="1">IF(L$21&lt;Standard_Year,'No STDs Case Rev &amp; Cost'!L177,
OFFSET(L177,-3,0)*
OFFSET(MSP!$D$1,
MATCH(OFFSET($C172,((MATCH($C172,EL_List,0)-1)*-10)-1,0),MSP!$C:$C,0)+MATCH($C172,EL_List,0)-1,0)
*INDEX(Learning!$E$6:$S$41,(MATCH(L$21,Dates,0)),(MATCH($C$151,Learning!$E$4:$S$4,0)+MATCH($C$172,Learning!$E$5:$S$5,0)-1)))</f>
        <v>316.00547161017391</v>
      </c>
      <c r="M177" s="532" cm="1">
        <f t="array" aca="1" ref="M177" ca="1">IF(M$21&lt;Standard_Year,'No STDs Case Rev &amp; Cost'!M177,
OFFSET(M177,-3,0)*
OFFSET(MSP!$D$1,
MATCH(OFFSET($C172,((MATCH($C172,EL_List,0)-1)*-10)-1,0),MSP!$C:$C,0)+MATCH($C172,EL_List,0)-1,0)
*INDEX(Learning!$E$6:$S$41,(MATCH(M$21,Dates,0)),(MATCH($C$151,Learning!$E$4:$S$4,0)+MATCH($C$172,Learning!$E$5:$S$5,0)-1)))</f>
        <v>330.64509485383252</v>
      </c>
      <c r="N177" s="532" cm="1">
        <f t="array" aca="1" ref="N177" ca="1">IF(N$21&lt;Standard_Year,'No STDs Case Rev &amp; Cost'!N177,
OFFSET(N177,-3,0)*
OFFSET(MSP!$D$1,
MATCH(OFFSET($C172,((MATCH($C172,EL_List,0)-1)*-10)-1,0),MSP!$C:$C,0)+MATCH($C172,EL_List,0)-1,0)
*INDEX(Learning!$E$6:$S$41,(MATCH(N$21,Dates,0)),(MATCH($C$151,Learning!$E$4:$S$4,0)+MATCH($C$172,Learning!$E$5:$S$5,0)-1)))</f>
        <v>345.68659936312696</v>
      </c>
      <c r="O177" s="532" cm="1">
        <f t="array" aca="1" ref="O177" ca="1">IF(O$21&lt;Standard_Year,'No STDs Case Rev &amp; Cost'!O177,
OFFSET(O177,-3,0)*
OFFSET(MSP!$D$1,
MATCH(OFFSET($C172,((MATCH($C172,EL_List,0)-1)*-10)-1,0),MSP!$C:$C,0)+MATCH($C172,EL_List,0)-1,0)
*INDEX(Learning!$E$6:$S$41,(MATCH(O$21,Dates,0)),(MATCH($C$151,Learning!$E$4:$S$4,0)+MATCH($C$172,Learning!$E$5:$S$5,0)-1)))</f>
        <v>361.48175620869068</v>
      </c>
      <c r="P177" s="532" cm="1">
        <f t="array" aca="1" ref="P177" ca="1">IF(P$21&lt;Standard_Year,'No STDs Case Rev &amp; Cost'!P177,
OFFSET(P177,-3,0)*
OFFSET(MSP!$D$1,
MATCH(OFFSET($C172,((MATCH($C172,EL_List,0)-1)*-10)-1,0),MSP!$C:$C,0)+MATCH($C172,EL_List,0)-1,0)
*INDEX(Learning!$E$6:$S$41,(MATCH(P$21,Dates,0)),(MATCH($C$151,Learning!$E$4:$S$4,0)+MATCH($C$172,Learning!$E$5:$S$5,0)-1)))</f>
        <v>377.76161200655031</v>
      </c>
      <c r="Q177" s="532" cm="1">
        <f t="array" aca="1" ref="Q177" ca="1">IF(Q$21&lt;Standard_Year,'No STDs Case Rev &amp; Cost'!Q177,
OFFSET(Q177,-3,0)*
OFFSET(MSP!$D$1,
MATCH(OFFSET($C172,((MATCH($C172,EL_List,0)-1)*-10)-1,0),MSP!$C:$C,0)+MATCH($C172,EL_List,0)-1,0)
*INDEX(Learning!$E$6:$S$41,(MATCH(Q$21,Dates,0)),(MATCH($C$151,Learning!$E$4:$S$4,0)+MATCH($C$172,Learning!$E$5:$S$5,0)-1)))</f>
        <v>394.19046097854647</v>
      </c>
      <c r="R177" s="532" cm="1">
        <f t="array" aca="1" ref="R177" ca="1">IF(R$21&lt;Standard_Year,'No STDs Case Rev &amp; Cost'!R177,
OFFSET(R177,-3,0)*
OFFSET(MSP!$D$1,
MATCH(OFFSET($C172,((MATCH($C172,EL_List,0)-1)*-10)-1,0),MSP!$C:$C,0)+MATCH($C172,EL_List,0)-1,0)
*INDEX(Learning!$E$6:$S$41,(MATCH(R$21,Dates,0)),(MATCH($C$151,Learning!$E$4:$S$4,0)+MATCH($C$172,Learning!$E$5:$S$5,0)-1)))</f>
        <v>411.71259678946268</v>
      </c>
      <c r="S177" s="532" cm="1">
        <f t="array" aca="1" ref="S177" ca="1">IF(S$21&lt;Standard_Year,'No STDs Case Rev &amp; Cost'!S177,
OFFSET(S177,-3,0)*
OFFSET(MSP!$D$1,
MATCH(OFFSET($C172,((MATCH($C172,EL_List,0)-1)*-10)-1,0),MSP!$C:$C,0)+MATCH($C172,EL_List,0)-1,0)
*INDEX(Learning!$E$6:$S$41,(MATCH(S$21,Dates,0)),(MATCH($C$151,Learning!$E$4:$S$4,0)+MATCH($C$172,Learning!$E$5:$S$5,0)-1)))</f>
        <v>430.03546305240206</v>
      </c>
      <c r="T177" s="532" cm="1">
        <f t="array" aca="1" ref="T177" ca="1">IF(T$21&lt;Standard_Year,'No STDs Case Rev &amp; Cost'!T177,
OFFSET(T177,-3,0)*
OFFSET(MSP!$D$1,
MATCH(OFFSET($C172,((MATCH($C172,EL_List,0)-1)*-10)-1,0),MSP!$C:$C,0)+MATCH($C172,EL_List,0)-1,0)
*INDEX(Learning!$E$6:$S$41,(MATCH(T$21,Dates,0)),(MATCH($C$151,Learning!$E$4:$S$4,0)+MATCH($C$172,Learning!$E$5:$S$5,0)-1)))</f>
        <v>449.21262332669187</v>
      </c>
      <c r="U177" s="532" cm="1">
        <f t="array" aca="1" ref="U177" ca="1">IF(U$21&lt;Standard_Year,'No STDs Case Rev &amp; Cost'!U177,
OFFSET(U177,-3,0)*
OFFSET(MSP!$D$1,
MATCH(OFFSET($C172,((MATCH($C172,EL_List,0)-1)*-10)-1,0),MSP!$C:$C,0)+MATCH($C172,EL_List,0)-1,0)
*INDEX(Learning!$E$6:$S$41,(MATCH(U$21,Dates,0)),(MATCH($C$151,Learning!$E$4:$S$4,0)+MATCH($C$172,Learning!$E$5:$S$5,0)-1)))</f>
        <v>469.79995801368005</v>
      </c>
      <c r="V177" s="532" cm="1">
        <f t="array" aca="1" ref="V177" ca="1">IF(V$21&lt;Standard_Year,'No STDs Case Rev &amp; Cost'!V177,
OFFSET(V177,-3,0)*
OFFSET(MSP!$D$1,
MATCH(OFFSET($C172,((MATCH($C172,EL_List,0)-1)*-10)-1,0),MSP!$C:$C,0)+MATCH($C172,EL_List,0)-1,0)
*INDEX(Learning!$E$6:$S$41,(MATCH(V$21,Dates,0)),(MATCH($C$151,Learning!$E$4:$S$4,0)+MATCH($C$172,Learning!$E$5:$S$5,0)-1)))</f>
        <v>490.7673922054023</v>
      </c>
      <c r="W177" s="532" cm="1">
        <f t="array" aca="1" ref="W177" ca="1">IF(W$21&lt;Standard_Year,'No STDs Case Rev &amp; Cost'!W177,
OFFSET(W177,-3,0)*
OFFSET(MSP!$D$1,
MATCH(OFFSET($C172,((MATCH($C172,EL_List,0)-1)*-10)-1,0),MSP!$C:$C,0)+MATCH($C172,EL_List,0)-1,0)
*INDEX(Learning!$E$6:$S$41,(MATCH(W$21,Dates,0)),(MATCH($C$151,Learning!$E$4:$S$4,0)+MATCH($C$172,Learning!$E$5:$S$5,0)-1)))</f>
        <v>512.64082398411142</v>
      </c>
      <c r="X177" s="532" cm="1">
        <f t="array" aca="1" ref="X177" ca="1">IF(X$21&lt;Standard_Year,'No STDs Case Rev &amp; Cost'!X177,
OFFSET(X177,-3,0)*
OFFSET(MSP!$D$1,
MATCH(OFFSET($C172,((MATCH($C172,EL_List,0)-1)*-10)-1,0),MSP!$C:$C,0)+MATCH($C172,EL_List,0)-1,0)
*INDEX(Learning!$E$6:$S$41,(MATCH(X$21,Dates,0)),(MATCH($C$151,Learning!$E$4:$S$4,0)+MATCH($C$172,Learning!$E$5:$S$5,0)-1)))</f>
        <v>536.00568566220602</v>
      </c>
      <c r="Y177" s="532" cm="1">
        <f t="array" aca="1" ref="Y177" ca="1">IF(Y$21&lt;Standard_Year,'No STDs Case Rev &amp; Cost'!Y177,
OFFSET(Y177,-3,0)*
OFFSET(MSP!$D$1,
MATCH(OFFSET($C172,((MATCH($C172,EL_List,0)-1)*-10)-1,0),MSP!$C:$C,0)+MATCH($C172,EL_List,0)-1,0)
*INDEX(Learning!$E$6:$S$41,(MATCH(Y$21,Dates,0)),(MATCH($C$151,Learning!$E$4:$S$4,0)+MATCH($C$172,Learning!$E$5:$S$5,0)-1)))</f>
        <v>560.36918728728745</v>
      </c>
      <c r="Z177" s="532" cm="1">
        <f t="array" aca="1" ref="Z177" ca="1">IF(Z$21&lt;Standard_Year,'No STDs Case Rev &amp; Cost'!Z177,
OFFSET(Z177,-3,0)*
OFFSET(MSP!$D$1,
MATCH(OFFSET($C172,((MATCH($C172,EL_List,0)-1)*-10)-1,0),MSP!$C:$C,0)+MATCH($C172,EL_List,0)-1,0)
*INDEX(Learning!$E$6:$S$41,(MATCH(Z$21,Dates,0)),(MATCH($C$151,Learning!$E$4:$S$4,0)+MATCH($C$172,Learning!$E$5:$S$5,0)-1)))</f>
        <v>585.14020914634864</v>
      </c>
      <c r="AA177" s="532" cm="1">
        <f t="array" aca="1" ref="AA177" ca="1">IF(AA$21&lt;Standard_Year,'No STDs Case Rev &amp; Cost'!AA177,
OFFSET(AA177,-3,0)*
OFFSET(MSP!$D$1,
MATCH(OFFSET($C172,((MATCH($C172,EL_List,0)-1)*-10)-1,0),MSP!$C:$C,0)+MATCH($C172,EL_List,0)-1,0)
*INDEX(Learning!$E$6:$S$41,(MATCH(AA$21,Dates,0)),(MATCH($C$151,Learning!$E$4:$S$4,0)+MATCH($C$172,Learning!$E$5:$S$5,0)-1)))</f>
        <v>611.59988544010628</v>
      </c>
      <c r="AB177" s="532" cm="1">
        <f t="array" aca="1" ref="AB177" ca="1">IF(AB$21&lt;Standard_Year,'No STDs Case Rev &amp; Cost'!AB177,
OFFSET(AB177,-3,0)*
OFFSET(MSP!$D$1,
MATCH(OFFSET($C172,((MATCH($C172,EL_List,0)-1)*-10)-1,0),MSP!$C:$C,0)+MATCH($C172,EL_List,0)-1,0)
*INDEX(Learning!$E$6:$S$41,(MATCH(AB$21,Dates,0)),(MATCH($C$151,Learning!$E$4:$S$4,0)+MATCH($C$172,Learning!$E$5:$S$5,0)-1)))</f>
        <v>639.20700942265762</v>
      </c>
      <c r="AC177" s="532" cm="1">
        <f t="array" aca="1" ref="AC177" ca="1">IF(AC$21&lt;Standard_Year,'No STDs Case Rev &amp; Cost'!AC177,
OFFSET(AC177,-3,0)*
OFFSET(MSP!$D$1,
MATCH(OFFSET($C172,((MATCH($C172,EL_List,0)-1)*-10)-1,0),MSP!$C:$C,0)+MATCH($C172,EL_List,0)-1,0)
*INDEX(Learning!$E$6:$S$41,(MATCH(AC$21,Dates,0)),(MATCH($C$151,Learning!$E$4:$S$4,0)+MATCH($C$172,Learning!$E$5:$S$5,0)-1)))</f>
        <v>668.01943980465512</v>
      </c>
      <c r="AD177" s="532" cm="1">
        <f t="array" aca="1" ref="AD177" ca="1">IF(AD$21&lt;Standard_Year,'No STDs Case Rev &amp; Cost'!AD177,
OFFSET(AD177,-3,0)*
OFFSET(MSP!$D$1,
MATCH(OFFSET($C172,((MATCH($C172,EL_List,0)-1)*-10)-1,0),MSP!$C:$C,0)+MATCH($C172,EL_List,0)-1,0)
*INDEX(Learning!$E$6:$S$41,(MATCH(AD$21,Dates,0)),(MATCH($C$151,Learning!$E$4:$S$4,0)+MATCH($C$172,Learning!$E$5:$S$5,0)-1)))</f>
        <v>698.09412357742815</v>
      </c>
      <c r="AE177" s="532" cm="1">
        <f t="array" aca="1" ref="AE177" ca="1">IF(AE$21&lt;Standard_Year,'No STDs Case Rev &amp; Cost'!AE177,
OFFSET(AE177,-3,0)*
OFFSET(MSP!$D$1,
MATCH(OFFSET($C172,((MATCH($C172,EL_List,0)-1)*-10)-1,0),MSP!$C:$C,0)+MATCH($C172,EL_List,0)-1,0)
*INDEX(Learning!$E$6:$S$41,(MATCH(AE$21,Dates,0)),(MATCH($C$151,Learning!$E$4:$S$4,0)+MATCH($C$172,Learning!$E$5:$S$5,0)-1)))</f>
        <v>729.48668122346692</v>
      </c>
      <c r="AF177" s="532" cm="1">
        <f t="array" aca="1" ref="AF177" ca="1">IF(AF$21&lt;Standard_Year,'No STDs Case Rev &amp; Cost'!AF177,
OFFSET(AF177,-3,0)*
OFFSET(MSP!$D$1,
MATCH(OFFSET($C172,((MATCH($C172,EL_List,0)-1)*-10)-1,0),MSP!$C:$C,0)+MATCH($C172,EL_List,0)-1,0)
*INDEX(Learning!$E$6:$S$41,(MATCH(AF$21,Dates,0)),(MATCH($C$151,Learning!$E$4:$S$4,0)+MATCH($C$172,Learning!$E$5:$S$5,0)-1)))</f>
        <v>762.25213801855068</v>
      </c>
      <c r="AG177" s="532" cm="1">
        <f t="array" aca="1" ref="AG177" ca="1">IF(AG$21&lt;Standard_Year,'No STDs Case Rev &amp; Cost'!AG177,
OFFSET(AG177,-3,0)*
OFFSET(MSP!$D$1,
MATCH(OFFSET($C172,((MATCH($C172,EL_List,0)-1)*-10)-1,0),MSP!$C:$C,0)+MATCH($C172,EL_List,0)-1,0)
*INDEX(Learning!$E$6:$S$41,(MATCH(AG$21,Dates,0)),(MATCH($C$151,Learning!$E$4:$S$4,0)+MATCH($C$172,Learning!$E$5:$S$5,0)-1)))</f>
        <v>796.44652172018198</v>
      </c>
      <c r="AH177" s="532" cm="1">
        <f t="array" aca="1" ref="AH177" ca="1">IF(AH$21&lt;Standard_Year,'No STDs Case Rev &amp; Cost'!AH177,
OFFSET(AH177,-3,0)*
OFFSET(MSP!$D$1,
MATCH(OFFSET($C172,((MATCH($C172,EL_List,0)-1)*-10)-1,0),MSP!$C:$C,0)+MATCH($C172,EL_List,0)-1,0)
*INDEX(Learning!$E$6:$S$41,(MATCH(AH$21,Dates,0)),(MATCH($C$151,Learning!$E$4:$S$4,0)+MATCH($C$172,Learning!$E$5:$S$5,0)-1)))</f>
        <v>832.12825954594837</v>
      </c>
      <c r="AI177" s="532" cm="1">
        <f t="array" aca="1" ref="AI177" ca="1">IF(AI$21&lt;Standard_Year,'No STDs Case Rev &amp; Cost'!AI177,
OFFSET(AI177,-3,0)*
OFFSET(MSP!$D$1,
MATCH(OFFSET($C172,((MATCH($C172,EL_List,0)-1)*-10)-1,0),MSP!$C:$C,0)+MATCH($C172,EL_List,0)-1,0)
*INDEX(Learning!$E$6:$S$41,(MATCH(AI$21,Dates,0)),(MATCH($C$151,Learning!$E$4:$S$4,0)+MATCH($C$172,Learning!$E$5:$S$5,0)-1)))</f>
        <v>869.35918296378463</v>
      </c>
      <c r="AJ177" s="532" cm="1">
        <f t="array" aca="1" ref="AJ177" ca="1">IF(AJ$21&lt;Standard_Year,'No STDs Case Rev &amp; Cost'!AJ177,
OFFSET(AJ177,-3,0)*
OFFSET(MSP!$D$1,
MATCH(OFFSET($C172,((MATCH($C172,EL_List,0)-1)*-10)-1,0),MSP!$C:$C,0)+MATCH($C172,EL_List,0)-1,0)
*INDEX(Learning!$E$6:$S$41,(MATCH(AJ$21,Dates,0)),(MATCH($C$151,Learning!$E$4:$S$4,0)+MATCH($C$172,Learning!$E$5:$S$5,0)-1)))</f>
        <v>908.20501060995969</v>
      </c>
      <c r="AK177" s="532" cm="1">
        <f t="array" aca="1" ref="AK177" ca="1">IF(AK$21&lt;Standard_Year,'No STDs Case Rev &amp; Cost'!AK177,
OFFSET(AK177,-3,0)*
OFFSET(MSP!$D$1,
MATCH(OFFSET($C172,((MATCH($C172,EL_List,0)-1)*-10)-1,0),MSP!$C:$C,0)+MATCH($C172,EL_List,0)-1,0)
*INDEX(Learning!$E$6:$S$41,(MATCH(AK$21,Dates,0)),(MATCH($C$151,Learning!$E$4:$S$4,0)+MATCH($C$172,Learning!$E$5:$S$5,0)-1)))</f>
        <v>949.81338566148258</v>
      </c>
      <c r="AL177" s="532" cm="1">
        <f t="array" aca="1" ref="AL177" ca="1">IF(AL$21&lt;Standard_Year,'No STDs Case Rev &amp; Cost'!AL177,
OFFSET(AL177,-3,0)*
OFFSET(MSP!$D$1,
MATCH(OFFSET($C172,((MATCH($C172,EL_List,0)-1)*-10)-1,0),MSP!$C:$C,0)+MATCH($C172,EL_List,0)-1,0)
*INDEX(Learning!$E$6:$S$41,(MATCH(AL$21,Dates,0)),(MATCH($C$151,Learning!$E$4:$S$4,0)+MATCH($C$172,Learning!$E$5:$S$5,0)-1)))</f>
        <v>992.1543386364832</v>
      </c>
      <c r="AM177" s="532" cm="1">
        <f t="array" aca="1" ref="AM177" ca="1">IF(AM$21&lt;Standard_Year,'No STDs Case Rev &amp; Cost'!AM177,
OFFSET(AM177,-3,0)*
OFFSET(MSP!$D$1,
MATCH(OFFSET($C172,((MATCH($C172,EL_List,0)-1)*-10)-1,0),MSP!$C:$C,0)+MATCH($C172,EL_List,0)-1,0)
*INDEX(Learning!$E$6:$S$41,(MATCH(AM$21,Dates,0)),(MATCH($C$151,Learning!$E$4:$S$4,0)+MATCH($C$172,Learning!$E$5:$S$5,0)-1)))</f>
        <v>1036.3317013585661</v>
      </c>
      <c r="AN177" s="532" cm="1">
        <f t="array" aca="1" ref="AN177" ca="1">IF(AN$21&lt;Standard_Year,'No STDs Case Rev &amp; Cost'!AN177,
OFFSET(AN177,-3,0)*
OFFSET(MSP!$D$1,
MATCH(OFFSET($C172,((MATCH($C172,EL_List,0)-1)*-10)-1,0),MSP!$C:$C,0)+MATCH($C172,EL_List,0)-1,0)
*INDEX(Learning!$E$6:$S$41,(MATCH(AN$21,Dates,0)),(MATCH($C$151,Learning!$E$4:$S$4,0)+MATCH($C$172,Learning!$E$5:$S$5,0)-1)))</f>
        <v>1083.1595223710849</v>
      </c>
      <c r="AO177" s="436"/>
      <c r="AP177" s="21"/>
    </row>
    <row r="178" spans="2:42" ht="15" customHeight="1" x14ac:dyDescent="0.35">
      <c r="B178" s="429"/>
      <c r="C178" s="780" t="s">
        <v>213</v>
      </c>
      <c r="D178" s="776"/>
      <c r="E178" s="533" cm="1">
        <f t="array" aca="1" ref="E178" ca="1">IF(E$21&lt;Standard_Year,'No STDs Case Rev &amp; Cost'!E178,
OFFSET(E178,-4,0)*
OFFSET(MSP!$E$1,
MATCH(OFFSET($C172,((MATCH($C172,EL_List,0)-1)*-10)-1,0),MSP!$C:$C,0)+MATCH($C172,EL_List,0)-1,0)
*INDEX(Learning!$E$6:$S$41,(MATCH(E$21,Dates,0)),(MATCH($C$151,Learning!$E$4:$S$4,0)+MATCH($C$172,Learning!$E$5:$S$5,0)-1)))</f>
        <v>2.2030711773441261</v>
      </c>
      <c r="F178" s="533" cm="1">
        <f t="array" aca="1" ref="F178" ca="1">IF(F$21&lt;Standard_Year,'No STDs Case Rev &amp; Cost'!F178,
OFFSET(F178,-4,0)*
OFFSET(MSP!$E$1,
MATCH(OFFSET($C172,((MATCH($C172,EL_List,0)-1)*-10)-1,0),MSP!$C:$C,0)+MATCH($C172,EL_List,0)-1,0)
*INDEX(Learning!$E$6:$S$41,(MATCH(F$21,Dates,0)),(MATCH($C$151,Learning!$E$4:$S$4,0)+MATCH($C$172,Learning!$E$5:$S$5,0)-1)))</f>
        <v>2.2839187853774208</v>
      </c>
      <c r="G178" s="533" cm="1">
        <f t="array" aca="1" ref="G178" ca="1">IF(G$21&lt;Standard_Year,'No STDs Case Rev &amp; Cost'!G178,
OFFSET(G178,-4,0)*
OFFSET(MSP!$E$1,
MATCH(OFFSET($C172,((MATCH($C172,EL_List,0)-1)*-10)-1,0),MSP!$C:$C,0)+MATCH($C172,EL_List,0)-1,0)
*INDEX(Learning!$E$6:$S$41,(MATCH(G$21,Dates,0)),(MATCH($C$151,Learning!$E$4:$S$4,0)+MATCH($C$172,Learning!$E$5:$S$5,0)-1)))</f>
        <v>2.3554692104973651</v>
      </c>
      <c r="H178" s="533" cm="1">
        <f t="array" aca="1" ref="H178" ca="1">IF(H$21&lt;Standard_Year,'No STDs Case Rev &amp; Cost'!H178,
OFFSET(H178,-4,0)*
OFFSET(MSP!$E$1,
MATCH(OFFSET($C172,((MATCH($C172,EL_List,0)-1)*-10)-1,0),MSP!$C:$C,0)+MATCH($C172,EL_List,0)-1,0)
*INDEX(Learning!$E$6:$S$41,(MATCH(H$21,Dates,0)),(MATCH($C$151,Learning!$E$4:$S$4,0)+MATCH($C$172,Learning!$E$5:$S$5,0)-1)))</f>
        <v>2.446879065352038</v>
      </c>
      <c r="I178" s="533" cm="1">
        <f t="array" aca="1" ref="I178" ca="1">IF(I$21&lt;Standard_Year,'No STDs Case Rev &amp; Cost'!I178,
OFFSET(I178,-4,0)*
OFFSET(MSP!$E$1,
MATCH(OFFSET($C172,((MATCH($C172,EL_List,0)-1)*-10)-1,0),MSP!$C:$C,0)+MATCH($C172,EL_List,0)-1,0)
*INDEX(Learning!$E$6:$S$41,(MATCH(I$21,Dates,0)),(MATCH($C$151,Learning!$E$4:$S$4,0)+MATCH($C$172,Learning!$E$5:$S$5,0)-1)))</f>
        <v>6.2829501807225139</v>
      </c>
      <c r="J178" s="533" cm="1">
        <f t="array" aca="1" ref="J178" ca="1">IF(J$21&lt;Standard_Year,'No STDs Case Rev &amp; Cost'!J178,
OFFSET(J178,-4,0)*
OFFSET(MSP!$E$1,
MATCH(OFFSET($C172,((MATCH($C172,EL_List,0)-1)*-10)-1,0),MSP!$C:$C,0)+MATCH($C172,EL_List,0)-1,0)
*INDEX(Learning!$E$6:$S$41,(MATCH(J$21,Dates,0)),(MATCH($C$151,Learning!$E$4:$S$4,0)+MATCH($C$172,Learning!$E$5:$S$5,0)-1)))</f>
        <v>6.5589111363661639</v>
      </c>
      <c r="K178" s="533" cm="1">
        <f t="array" aca="1" ref="K178" ca="1">IF(K$21&lt;Standard_Year,'No STDs Case Rev &amp; Cost'!K178,
OFFSET(K178,-4,0)*
OFFSET(MSP!$E$1,
MATCH(OFFSET($C172,((MATCH($C172,EL_List,0)-1)*-10)-1,0),MSP!$C:$C,0)+MATCH($C172,EL_List,0)-1,0)
*INDEX(Learning!$E$6:$S$41,(MATCH(K$21,Dates,0)),(MATCH($C$151,Learning!$E$4:$S$4,0)+MATCH($C$172,Learning!$E$5:$S$5,0)-1)))</f>
        <v>6.8641625997457458</v>
      </c>
      <c r="L178" s="533" cm="1">
        <f t="array" aca="1" ref="L178" ca="1">IF(L$21&lt;Standard_Year,'No STDs Case Rev &amp; Cost'!L178,
OFFSET(L178,-4,0)*
OFFSET(MSP!$E$1,
MATCH(OFFSET($C172,((MATCH($C172,EL_List,0)-1)*-10)-1,0),MSP!$C:$C,0)+MATCH($C172,EL_List,0)-1,0)
*INDEX(Learning!$E$6:$S$41,(MATCH(L$21,Dates,0)),(MATCH($C$151,Learning!$E$4:$S$4,0)+MATCH($C$172,Learning!$E$5:$S$5,0)-1)))</f>
        <v>7.1847299400310352</v>
      </c>
      <c r="M178" s="533" cm="1">
        <f t="array" aca="1" ref="M178" ca="1">IF(M$21&lt;Standard_Year,'No STDs Case Rev &amp; Cost'!M178,
OFFSET(M178,-4,0)*
OFFSET(MSP!$E$1,
MATCH(OFFSET($C172,((MATCH($C172,EL_List,0)-1)*-10)-1,0),MSP!$C:$C,0)+MATCH($C172,EL_List,0)-1,0)
*INDEX(Learning!$E$6:$S$41,(MATCH(M$21,Dates,0)),(MATCH($C$151,Learning!$E$4:$S$4,0)+MATCH($C$172,Learning!$E$5:$S$5,0)-1)))</f>
        <v>7.5175777824862458</v>
      </c>
      <c r="N178" s="533" cm="1">
        <f t="array" aca="1" ref="N178" ca="1">IF(N$21&lt;Standard_Year,'No STDs Case Rev &amp; Cost'!N178,
OFFSET(N178,-4,0)*
OFFSET(MSP!$E$1,
MATCH(OFFSET($C172,((MATCH($C172,EL_List,0)-1)*-10)-1,0),MSP!$C:$C,0)+MATCH($C172,EL_List,0)-1,0)
*INDEX(Learning!$E$6:$S$41,(MATCH(N$21,Dates,0)),(MATCH($C$151,Learning!$E$4:$S$4,0)+MATCH($C$172,Learning!$E$5:$S$5,0)-1)))</f>
        <v>7.8595628349613955</v>
      </c>
      <c r="O178" s="533" cm="1">
        <f t="array" aca="1" ref="O178" ca="1">IF(O$21&lt;Standard_Year,'No STDs Case Rev &amp; Cost'!O178,
OFFSET(O178,-4,0)*
OFFSET(MSP!$E$1,
MATCH(OFFSET($C172,((MATCH($C172,EL_List,0)-1)*-10)-1,0),MSP!$C:$C,0)+MATCH($C172,EL_List,0)-1,0)
*INDEX(Learning!$E$6:$S$41,(MATCH(O$21,Dates,0)),(MATCH($C$151,Learning!$E$4:$S$4,0)+MATCH($C$172,Learning!$E$5:$S$5,0)-1)))</f>
        <v>8.2186829973989681</v>
      </c>
      <c r="P178" s="533" cm="1">
        <f t="array" aca="1" ref="P178" ca="1">IF(P$21&lt;Standard_Year,'No STDs Case Rev &amp; Cost'!P178,
OFFSET(P178,-4,0)*
OFFSET(MSP!$E$1,
MATCH(OFFSET($C172,((MATCH($C172,EL_List,0)-1)*-10)-1,0),MSP!$C:$C,0)+MATCH($C172,EL_List,0)-1,0)
*INDEX(Learning!$E$6:$S$41,(MATCH(P$21,Dates,0)),(MATCH($C$151,Learning!$E$4:$S$4,0)+MATCH($C$172,Learning!$E$5:$S$5,0)-1)))</f>
        <v>8.5888233205214757</v>
      </c>
      <c r="Q178" s="533" cm="1">
        <f t="array" aca="1" ref="Q178" ca="1">IF(Q$21&lt;Standard_Year,'No STDs Case Rev &amp; Cost'!Q178,
OFFSET(Q178,-4,0)*
OFFSET(MSP!$E$1,
MATCH(OFFSET($C172,((MATCH($C172,EL_List,0)-1)*-10)-1,0),MSP!$C:$C,0)+MATCH($C172,EL_List,0)-1,0)
*INDEX(Learning!$E$6:$S$41,(MATCH(Q$21,Dates,0)),(MATCH($C$151,Learning!$E$4:$S$4,0)+MATCH($C$172,Learning!$E$5:$S$5,0)-1)))</f>
        <v>8.9623511663777649</v>
      </c>
      <c r="R178" s="533" cm="1">
        <f t="array" aca="1" ref="R178" ca="1">IF(R$21&lt;Standard_Year,'No STDs Case Rev &amp; Cost'!R178,
OFFSET(R178,-4,0)*
OFFSET(MSP!$E$1,
MATCH(OFFSET($C172,((MATCH($C172,EL_List,0)-1)*-10)-1,0),MSP!$C:$C,0)+MATCH($C172,EL_List,0)-1,0)
*INDEX(Learning!$E$6:$S$41,(MATCH(R$21,Dates,0)),(MATCH($C$151,Learning!$E$4:$S$4,0)+MATCH($C$172,Learning!$E$5:$S$5,0)-1)))</f>
        <v>9.3607360839948903</v>
      </c>
      <c r="S178" s="533" cm="1">
        <f t="array" aca="1" ref="S178" ca="1">IF(S$21&lt;Standard_Year,'No STDs Case Rev &amp; Cost'!S178,
OFFSET(S178,-4,0)*
OFFSET(MSP!$E$1,
MATCH(OFFSET($C172,((MATCH($C172,EL_List,0)-1)*-10)-1,0),MSP!$C:$C,0)+MATCH($C172,EL_List,0)-1,0)
*INDEX(Learning!$E$6:$S$41,(MATCH(S$21,Dates,0)),(MATCH($C$151,Learning!$E$4:$S$4,0)+MATCH($C$172,Learning!$E$5:$S$5,0)-1)))</f>
        <v>9.777326484014683</v>
      </c>
      <c r="T178" s="533" cm="1">
        <f t="array" aca="1" ref="T178" ca="1">IF(T$21&lt;Standard_Year,'No STDs Case Rev &amp; Cost'!T178,
OFFSET(T178,-4,0)*
OFFSET(MSP!$E$1,
MATCH(OFFSET($C172,((MATCH($C172,EL_List,0)-1)*-10)-1,0),MSP!$C:$C,0)+MATCH($C172,EL_List,0)-1,0)
*INDEX(Learning!$E$6:$S$41,(MATCH(T$21,Dates,0)),(MATCH($C$151,Learning!$E$4:$S$4,0)+MATCH($C$172,Learning!$E$5:$S$5,0)-1)))</f>
        <v>10.213340192528667</v>
      </c>
      <c r="U178" s="533" cm="1">
        <f t="array" aca="1" ref="U178" ca="1">IF(U$21&lt;Standard_Year,'No STDs Case Rev &amp; Cost'!U178,
OFFSET(U178,-4,0)*
OFFSET(MSP!$E$1,
MATCH(OFFSET($C172,((MATCH($C172,EL_List,0)-1)*-10)-1,0),MSP!$C:$C,0)+MATCH($C172,EL_List,0)-1,0)
*INDEX(Learning!$E$6:$S$41,(MATCH(U$21,Dates,0)),(MATCH($C$151,Learning!$E$4:$S$4,0)+MATCH($C$172,Learning!$E$5:$S$5,0)-1)))</f>
        <v>10.681415758300869</v>
      </c>
      <c r="V178" s="533" cm="1">
        <f t="array" aca="1" ref="V178" ca="1">IF(V$21&lt;Standard_Year,'No STDs Case Rev &amp; Cost'!V178,
OFFSET(V178,-4,0)*
OFFSET(MSP!$E$1,
MATCH(OFFSET($C172,((MATCH($C172,EL_List,0)-1)*-10)-1,0),MSP!$C:$C,0)+MATCH($C172,EL_List,0)-1,0)
*INDEX(Learning!$E$6:$S$41,(MATCH(V$21,Dates,0)),(MATCH($C$151,Learning!$E$4:$S$4,0)+MATCH($C$172,Learning!$E$5:$S$5,0)-1)))</f>
        <v>11.158133301941172</v>
      </c>
      <c r="W178" s="533" cm="1">
        <f t="array" aca="1" ref="W178" ca="1">IF(W$21&lt;Standard_Year,'No STDs Case Rev &amp; Cost'!W178,
OFFSET(W178,-4,0)*
OFFSET(MSP!$E$1,
MATCH(OFFSET($C172,((MATCH($C172,EL_List,0)-1)*-10)-1,0),MSP!$C:$C,0)+MATCH($C172,EL_List,0)-1,0)
*INDEX(Learning!$E$6:$S$41,(MATCH(W$21,Dates,0)),(MATCH($C$151,Learning!$E$4:$S$4,0)+MATCH($C$172,Learning!$E$5:$S$5,0)-1)))</f>
        <v>11.655449691404151</v>
      </c>
      <c r="X178" s="533" cm="1">
        <f t="array" aca="1" ref="X178" ca="1">IF(X$21&lt;Standard_Year,'No STDs Case Rev &amp; Cost'!X178,
OFFSET(X178,-4,0)*
OFFSET(MSP!$E$1,
MATCH(OFFSET($C172,((MATCH($C172,EL_List,0)-1)*-10)-1,0),MSP!$C:$C,0)+MATCH($C172,EL_List,0)-1,0)
*INDEX(Learning!$E$6:$S$41,(MATCH(X$21,Dates,0)),(MATCH($C$151,Learning!$E$4:$S$4,0)+MATCH($C$172,Learning!$E$5:$S$5,0)-1)))</f>
        <v>12.186675370465734</v>
      </c>
      <c r="Y178" s="533" cm="1">
        <f t="array" aca="1" ref="Y178" ca="1">IF(Y$21&lt;Standard_Year,'No STDs Case Rev &amp; Cost'!Y178,
OFFSET(Y178,-4,0)*
OFFSET(MSP!$E$1,
MATCH(OFFSET($C172,((MATCH($C172,EL_List,0)-1)*-10)-1,0),MSP!$C:$C,0)+MATCH($C172,EL_List,0)-1,0)
*INDEX(Learning!$E$6:$S$41,(MATCH(Y$21,Dates,0)),(MATCH($C$151,Learning!$E$4:$S$4,0)+MATCH($C$172,Learning!$E$5:$S$5,0)-1)))</f>
        <v>12.74060622070637</v>
      </c>
      <c r="Z178" s="533" cm="1">
        <f t="array" aca="1" ref="Z178" ca="1">IF(Z$21&lt;Standard_Year,'No STDs Case Rev &amp; Cost'!Z178,
OFFSET(Z178,-4,0)*
OFFSET(MSP!$E$1,
MATCH(OFFSET($C172,((MATCH($C172,EL_List,0)-1)*-10)-1,0),MSP!$C:$C,0)+MATCH($C172,EL_List,0)-1,0)
*INDEX(Learning!$E$6:$S$41,(MATCH(Z$21,Dates,0)),(MATCH($C$151,Learning!$E$4:$S$4,0)+MATCH($C$172,Learning!$E$5:$S$5,0)-1)))</f>
        <v>13.303802489078297</v>
      </c>
      <c r="AA178" s="533" cm="1">
        <f t="array" aca="1" ref="AA178" ca="1">IF(AA$21&lt;Standard_Year,'No STDs Case Rev &amp; Cost'!AA178,
OFFSET(AA178,-4,0)*
OFFSET(MSP!$E$1,
MATCH(OFFSET($C172,((MATCH($C172,EL_List,0)-1)*-10)-1,0),MSP!$C:$C,0)+MATCH($C172,EL_List,0)-1,0)
*INDEX(Learning!$E$6:$S$41,(MATCH(AA$21,Dates,0)),(MATCH($C$151,Learning!$E$4:$S$4,0)+MATCH($C$172,Learning!$E$5:$S$5,0)-1)))</f>
        <v>13.905392162518524</v>
      </c>
      <c r="AB178" s="533" cm="1">
        <f t="array" aca="1" ref="AB178" ca="1">IF(AB$21&lt;Standard_Year,'No STDs Case Rev &amp; Cost'!AB178,
OFFSET(AB178,-4,0)*
OFFSET(MSP!$E$1,
MATCH(OFFSET($C172,((MATCH($C172,EL_List,0)-1)*-10)-1,0),MSP!$C:$C,0)+MATCH($C172,EL_List,0)-1,0)
*INDEX(Learning!$E$6:$S$41,(MATCH(AB$21,Dates,0)),(MATCH($C$151,Learning!$E$4:$S$4,0)+MATCH($C$172,Learning!$E$5:$S$5,0)-1)))</f>
        <v>14.53307031386481</v>
      </c>
      <c r="AC178" s="533" cm="1">
        <f t="array" aca="1" ref="AC178" ca="1">IF(AC$21&lt;Standard_Year,'No STDs Case Rev &amp; Cost'!AC178,
OFFSET(AC178,-4,0)*
OFFSET(MSP!$E$1,
MATCH(OFFSET($C172,((MATCH($C172,EL_List,0)-1)*-10)-1,0),MSP!$C:$C,0)+MATCH($C172,EL_List,0)-1,0)
*INDEX(Learning!$E$6:$S$41,(MATCH(AC$21,Dates,0)),(MATCH($C$151,Learning!$E$4:$S$4,0)+MATCH($C$172,Learning!$E$5:$S$5,0)-1)))</f>
        <v>15.188152424170688</v>
      </c>
      <c r="AD178" s="533" cm="1">
        <f t="array" aca="1" ref="AD178" ca="1">IF(AD$21&lt;Standard_Year,'No STDs Case Rev &amp; Cost'!AD178,
OFFSET(AD178,-4,0)*
OFFSET(MSP!$E$1,
MATCH(OFFSET($C172,((MATCH($C172,EL_List,0)-1)*-10)-1,0),MSP!$C:$C,0)+MATCH($C172,EL_List,0)-1,0)
*INDEX(Learning!$E$6:$S$41,(MATCH(AD$21,Dates,0)),(MATCH($C$151,Learning!$E$4:$S$4,0)+MATCH($C$172,Learning!$E$5:$S$5,0)-1)))</f>
        <v>15.871933245553944</v>
      </c>
      <c r="AE178" s="533" cm="1">
        <f t="array" aca="1" ref="AE178" ca="1">IF(AE$21&lt;Standard_Year,'No STDs Case Rev &amp; Cost'!AE178,
OFFSET(AE178,-4,0)*
OFFSET(MSP!$E$1,
MATCH(OFFSET($C172,((MATCH($C172,EL_List,0)-1)*-10)-1,0),MSP!$C:$C,0)+MATCH($C172,EL_List,0)-1,0)
*INDEX(Learning!$E$6:$S$41,(MATCH(AE$21,Dates,0)),(MATCH($C$151,Learning!$E$4:$S$4,0)+MATCH($C$172,Learning!$E$5:$S$5,0)-1)))</f>
        <v>16.585677370503408</v>
      </c>
      <c r="AF178" s="533" cm="1">
        <f t="array" aca="1" ref="AF178" ca="1">IF(AF$21&lt;Standard_Year,'No STDs Case Rev &amp; Cost'!AF178,
OFFSET(AF178,-4,0)*
OFFSET(MSP!$E$1,
MATCH(OFFSET($C172,((MATCH($C172,EL_List,0)-1)*-10)-1,0),MSP!$C:$C,0)+MATCH($C172,EL_List,0)-1,0)
*INDEX(Learning!$E$6:$S$41,(MATCH(AF$21,Dates,0)),(MATCH($C$151,Learning!$E$4:$S$4,0)+MATCH($C$172,Learning!$E$5:$S$5,0)-1)))</f>
        <v>17.33063585883248</v>
      </c>
      <c r="AG178" s="533" cm="1">
        <f t="array" aca="1" ref="AG178" ca="1">IF(AG$21&lt;Standard_Year,'No STDs Case Rev &amp; Cost'!AG178,
OFFSET(AG178,-4,0)*
OFFSET(MSP!$E$1,
MATCH(OFFSET($C172,((MATCH($C172,EL_List,0)-1)*-10)-1,0),MSP!$C:$C,0)+MATCH($C172,EL_List,0)-1,0)
*INDEX(Learning!$E$6:$S$41,(MATCH(AG$21,Dates,0)),(MATCH($C$151,Learning!$E$4:$S$4,0)+MATCH($C$172,Learning!$E$5:$S$5,0)-1)))</f>
        <v>18.108082562872745</v>
      </c>
      <c r="AH178" s="533" cm="1">
        <f t="array" aca="1" ref="AH178" ca="1">IF(AH$21&lt;Standard_Year,'No STDs Case Rev &amp; Cost'!AH178,
OFFSET(AH178,-4,0)*
OFFSET(MSP!$E$1,
MATCH(OFFSET($C172,((MATCH($C172,EL_List,0)-1)*-10)-1,0),MSP!$C:$C,0)+MATCH($C172,EL_List,0)-1,0)
*INDEX(Learning!$E$6:$S$41,(MATCH(AH$21,Dates,0)),(MATCH($C$151,Learning!$E$4:$S$4,0)+MATCH($C$172,Learning!$E$5:$S$5,0)-1)))</f>
        <v>18.919345889304555</v>
      </c>
      <c r="AI178" s="533" cm="1">
        <f t="array" aca="1" ref="AI178" ca="1">IF(AI$21&lt;Standard_Year,'No STDs Case Rev &amp; Cost'!AI178,
OFFSET(AI178,-4,0)*
OFFSET(MSP!$E$1,
MATCH(OFFSET($C172,((MATCH($C172,EL_List,0)-1)*-10)-1,0),MSP!$C:$C,0)+MATCH($C172,EL_List,0)-1,0)
*INDEX(Learning!$E$6:$S$41,(MATCH(AI$21,Dates,0)),(MATCH($C$151,Learning!$E$4:$S$4,0)+MATCH($C$172,Learning!$E$5:$S$5,0)-1)))</f>
        <v>19.765831644162347</v>
      </c>
      <c r="AJ178" s="533" cm="1">
        <f t="array" aca="1" ref="AJ178" ca="1">IF(AJ$21&lt;Standard_Year,'No STDs Case Rev &amp; Cost'!AJ178,
OFFSET(AJ178,-4,0)*
OFFSET(MSP!$E$1,
MATCH(OFFSET($C172,((MATCH($C172,EL_List,0)-1)*-10)-1,0),MSP!$C:$C,0)+MATCH($C172,EL_List,0)-1,0)
*INDEX(Learning!$E$6:$S$41,(MATCH(AJ$21,Dates,0)),(MATCH($C$151,Learning!$E$4:$S$4,0)+MATCH($C$172,Learning!$E$5:$S$5,0)-1)))</f>
        <v>20.649034012503154</v>
      </c>
      <c r="AK178" s="533" cm="1">
        <f t="array" aca="1" ref="AK178" ca="1">IF(AK$21&lt;Standard_Year,'No STDs Case Rev &amp; Cost'!AK178,
OFFSET(AK178,-4,0)*
OFFSET(MSP!$E$1,
MATCH(OFFSET($C172,((MATCH($C172,EL_List,0)-1)*-10)-1,0),MSP!$C:$C,0)+MATCH($C172,EL_List,0)-1,0)
*INDEX(Learning!$E$6:$S$41,(MATCH(AK$21,Dates,0)),(MATCH($C$151,Learning!$E$4:$S$4,0)+MATCH($C$172,Learning!$E$5:$S$5,0)-1)))</f>
        <v>21.595045916871371</v>
      </c>
      <c r="AL178" s="533" cm="1">
        <f t="array" aca="1" ref="AL178" ca="1">IF(AL$21&lt;Standard_Year,'No STDs Case Rev &amp; Cost'!AL178,
OFFSET(AL178,-4,0)*
OFFSET(MSP!$E$1,
MATCH(OFFSET($C172,((MATCH($C172,EL_List,0)-1)*-10)-1,0),MSP!$C:$C,0)+MATCH($C172,EL_List,0)-1,0)
*INDEX(Learning!$E$6:$S$41,(MATCH(AL$21,Dates,0)),(MATCH($C$151,Learning!$E$4:$S$4,0)+MATCH($C$172,Learning!$E$5:$S$5,0)-1)))</f>
        <v>22.557713781382926</v>
      </c>
      <c r="AM178" s="533" cm="1">
        <f t="array" aca="1" ref="AM178" ca="1">IF(AM$21&lt;Standard_Year,'No STDs Case Rev &amp; Cost'!AM178,
OFFSET(AM178,-4,0)*
OFFSET(MSP!$E$1,
MATCH(OFFSET($C172,((MATCH($C172,EL_List,0)-1)*-10)-1,0),MSP!$C:$C,0)+MATCH($C172,EL_List,0)-1,0)
*INDEX(Learning!$E$6:$S$41,(MATCH(AM$21,Dates,0)),(MATCH($C$151,Learning!$E$4:$S$4,0)+MATCH($C$172,Learning!$E$5:$S$5,0)-1)))</f>
        <v>23.562134429556092</v>
      </c>
      <c r="AN178" s="533" cm="1">
        <f t="array" aca="1" ref="AN178" ca="1">IF(AN$21&lt;Standard_Year,'No STDs Case Rev &amp; Cost'!AN178,
OFFSET(AN178,-4,0)*
OFFSET(MSP!$E$1,
MATCH(OFFSET($C172,((MATCH($C172,EL_List,0)-1)*-10)-1,0),MSP!$C:$C,0)+MATCH($C172,EL_List,0)-1,0)
*INDEX(Learning!$E$6:$S$41,(MATCH(AN$21,Dates,0)),(MATCH($C$151,Learning!$E$4:$S$4,0)+MATCH($C$172,Learning!$E$5:$S$5,0)-1)))</f>
        <v>24.626816145162906</v>
      </c>
      <c r="AO178" s="436"/>
      <c r="AP178" s="21"/>
    </row>
    <row r="179" spans="2:42" ht="15" customHeight="1" x14ac:dyDescent="0.35">
      <c r="B179" s="429"/>
      <c r="C179" s="780" t="s">
        <v>214</v>
      </c>
      <c r="D179" s="776"/>
      <c r="E179" s="533" cm="1">
        <f t="array" aca="1" ref="E179" ca="1">IF(E$21&lt;Standard_Year,'No STDs Case Rev &amp; Cost'!E179,
OFFSET(E179,-5,0)*
OFFSET(MSP!$F$1,
MATCH(OFFSET($C172,((MATCH($C172,EL_List,0)-1)*-10)-1,0),MSP!$C:$C,0)+MATCH($C172,EL_List,0)-1,0)
*INDEX(Learning!$E$6:$S$41,(MATCH(E$21,Dates,0)),(MATCH($C$151,Learning!$E$4:$S$4,0)+MATCH($C$172,Learning!$E$5:$S$5,0)-1)))</f>
        <v>5.4732848870544712</v>
      </c>
      <c r="F179" s="533" cm="1">
        <f t="array" aca="1" ref="F179" ca="1">IF(F$21&lt;Standard_Year,'No STDs Case Rev &amp; Cost'!F179,
OFFSET(F179,-5,0)*
OFFSET(MSP!$F$1,
MATCH(OFFSET($C172,((MATCH($C172,EL_List,0)-1)*-10)-1,0),MSP!$C:$C,0)+MATCH($C172,EL_List,0)-1,0)
*INDEX(Learning!$E$6:$S$41,(MATCH(F$21,Dates,0)),(MATCH($C$151,Learning!$E$4:$S$4,0)+MATCH($C$172,Learning!$E$5:$S$5,0)-1)))</f>
        <v>5.6741417616546768</v>
      </c>
      <c r="G179" s="533" cm="1">
        <f t="array" aca="1" ref="G179" ca="1">IF(G$21&lt;Standard_Year,'No STDs Case Rev &amp; Cost'!G179,
OFFSET(G179,-5,0)*
OFFSET(MSP!$F$1,
MATCH(OFFSET($C172,((MATCH($C172,EL_List,0)-1)*-10)-1,0),MSP!$C:$C,0)+MATCH($C172,EL_List,0)-1,0)
*INDEX(Learning!$E$6:$S$41,(MATCH(G$21,Dates,0)),(MATCH($C$151,Learning!$E$4:$S$4,0)+MATCH($C$172,Learning!$E$5:$S$5,0)-1)))</f>
        <v>5.8519008211433583</v>
      </c>
      <c r="H179" s="533" cm="1">
        <f t="array" aca="1" ref="H179" ca="1">IF(H$21&lt;Standard_Year,'No STDs Case Rev &amp; Cost'!H179,
OFFSET(H179,-5,0)*
OFFSET(MSP!$F$1,
MATCH(OFFSET($C172,((MATCH($C172,EL_List,0)-1)*-10)-1,0),MSP!$C:$C,0)+MATCH($C172,EL_List,0)-1,0)
*INDEX(Learning!$E$6:$S$41,(MATCH(H$21,Dates,0)),(MATCH($C$151,Learning!$E$4:$S$4,0)+MATCH($C$172,Learning!$E$5:$S$5,0)-1)))</f>
        <v>6.078998421188702</v>
      </c>
      <c r="I179" s="533" cm="1">
        <f t="array" aca="1" ref="I179" ca="1">IF(I$21&lt;Standard_Year,'No STDs Case Rev &amp; Cost'!I179,
OFFSET(I179,-5,0)*
OFFSET(MSP!$F$1,
MATCH(OFFSET($C172,((MATCH($C172,EL_List,0)-1)*-10)-1,0),MSP!$C:$C,0)+MATCH($C172,EL_List,0)-1,0)
*INDEX(Learning!$E$6:$S$41,(MATCH(I$21,Dates,0)),(MATCH($C$151,Learning!$E$4:$S$4,0)+MATCH($C$172,Learning!$E$5:$S$5,0)-1)))</f>
        <v>15.609289715151643</v>
      </c>
      <c r="J179" s="533" cm="1">
        <f t="array" aca="1" ref="J179" ca="1">IF(J$21&lt;Standard_Year,'No STDs Case Rev &amp; Cost'!J179,
OFFSET(J179,-5,0)*
OFFSET(MSP!$F$1,
MATCH(OFFSET($C172,((MATCH($C172,EL_List,0)-1)*-10)-1,0),MSP!$C:$C,0)+MATCH($C172,EL_List,0)-1,0)
*INDEX(Learning!$E$6:$S$41,(MATCH(J$21,Dates,0)),(MATCH($C$151,Learning!$E$4:$S$4,0)+MATCH($C$172,Learning!$E$5:$S$5,0)-1)))</f>
        <v>16.294883963523752</v>
      </c>
      <c r="K179" s="533" cm="1">
        <f t="array" aca="1" ref="K179" ca="1">IF(K$21&lt;Standard_Year,'No STDs Case Rev &amp; Cost'!K179,
OFFSET(K179,-5,0)*
OFFSET(MSP!$F$1,
MATCH(OFFSET($C172,((MATCH($C172,EL_List,0)-1)*-10)-1,0),MSP!$C:$C,0)+MATCH($C172,EL_List,0)-1,0)
*INDEX(Learning!$E$6:$S$41,(MATCH(K$21,Dates,0)),(MATCH($C$151,Learning!$E$4:$S$4,0)+MATCH($C$172,Learning!$E$5:$S$5,0)-1)))</f>
        <v>17.053247214992023</v>
      </c>
      <c r="L179" s="533" cm="1">
        <f t="array" aca="1" ref="L179" ca="1">IF(L$21&lt;Standard_Year,'No STDs Case Rev &amp; Cost'!L179,
OFFSET(L179,-5,0)*
OFFSET(MSP!$F$1,
MATCH(OFFSET($C172,((MATCH($C172,EL_List,0)-1)*-10)-1,0),MSP!$C:$C,0)+MATCH($C172,EL_List,0)-1,0)
*INDEX(Learning!$E$6:$S$41,(MATCH(L$21,Dates,0)),(MATCH($C$151,Learning!$E$4:$S$4,0)+MATCH($C$172,Learning!$E$5:$S$5,0)-1)))</f>
        <v>17.849661056228829</v>
      </c>
      <c r="M179" s="533" cm="1">
        <f t="array" aca="1" ref="M179" ca="1">IF(M$21&lt;Standard_Year,'No STDs Case Rev &amp; Cost'!M179,
OFFSET(M179,-5,0)*
OFFSET(MSP!$F$1,
MATCH(OFFSET($C172,((MATCH($C172,EL_List,0)-1)*-10)-1,0),MSP!$C:$C,0)+MATCH($C172,EL_List,0)-1,0)
*INDEX(Learning!$E$6:$S$41,(MATCH(M$21,Dates,0)),(MATCH($C$151,Learning!$E$4:$S$4,0)+MATCH($C$172,Learning!$E$5:$S$5,0)-1)))</f>
        <v>18.676584436886461</v>
      </c>
      <c r="N179" s="533" cm="1">
        <f t="array" aca="1" ref="N179" ca="1">IF(N$21&lt;Standard_Year,'No STDs Case Rev &amp; Cost'!N179,
OFFSET(N179,-5,0)*
OFFSET(MSP!$F$1,
MATCH(OFFSET($C172,((MATCH($C172,EL_List,0)-1)*-10)-1,0),MSP!$C:$C,0)+MATCH($C172,EL_List,0)-1,0)
*INDEX(Learning!$E$6:$S$41,(MATCH(N$21,Dates,0)),(MATCH($C$151,Learning!$E$4:$S$4,0)+MATCH($C$172,Learning!$E$5:$S$5,0)-1)))</f>
        <v>19.526208197825163</v>
      </c>
      <c r="O179" s="533" cm="1">
        <f t="array" aca="1" ref="O179" ca="1">IF(O$21&lt;Standard_Year,'No STDs Case Rev &amp; Cost'!O179,
OFFSET(O179,-5,0)*
OFFSET(MSP!$F$1,
MATCH(OFFSET($C172,((MATCH($C172,EL_List,0)-1)*-10)-1,0),MSP!$C:$C,0)+MATCH($C172,EL_List,0)-1,0)
*INDEX(Learning!$E$6:$S$41,(MATCH(O$21,Dates,0)),(MATCH($C$151,Learning!$E$4:$S$4,0)+MATCH($C$172,Learning!$E$5:$S$5,0)-1)))</f>
        <v>20.418402230373697</v>
      </c>
      <c r="P179" s="533" cm="1">
        <f t="array" aca="1" ref="P179" ca="1">IF(P$21&lt;Standard_Year,'No STDs Case Rev &amp; Cost'!P179,
OFFSET(P179,-5,0)*
OFFSET(MSP!$F$1,
MATCH(OFFSET($C172,((MATCH($C172,EL_List,0)-1)*-10)-1,0),MSP!$C:$C,0)+MATCH($C172,EL_List,0)-1,0)
*INDEX(Learning!$E$6:$S$41,(MATCH(P$21,Dates,0)),(MATCH($C$151,Learning!$E$4:$S$4,0)+MATCH($C$172,Learning!$E$5:$S$5,0)-1)))</f>
        <v>21.337974624343353</v>
      </c>
      <c r="Q179" s="533" cm="1">
        <f t="array" aca="1" ref="Q179" ca="1">IF(Q$21&lt;Standard_Year,'No STDs Case Rev &amp; Cost'!Q179,
OFFSET(Q179,-5,0)*
OFFSET(MSP!$F$1,
MATCH(OFFSET($C172,((MATCH($C172,EL_List,0)-1)*-10)-1,0),MSP!$C:$C,0)+MATCH($C172,EL_List,0)-1,0)
*INDEX(Learning!$E$6:$S$41,(MATCH(Q$21,Dates,0)),(MATCH($C$151,Learning!$E$4:$S$4,0)+MATCH($C$172,Learning!$E$5:$S$5,0)-1)))</f>
        <v>22.265962941127494</v>
      </c>
      <c r="R179" s="533" cm="1">
        <f t="array" aca="1" ref="R179" ca="1">IF(R$21&lt;Standard_Year,'No STDs Case Rev &amp; Cost'!R179,
OFFSET(R179,-5,0)*
OFFSET(MSP!$F$1,
MATCH(OFFSET($C172,((MATCH($C172,EL_List,0)-1)*-10)-1,0),MSP!$C:$C,0)+MATCH($C172,EL_List,0)-1,0)
*INDEX(Learning!$E$6:$S$41,(MATCH(R$21,Dates,0)),(MATCH($C$151,Learning!$E$4:$S$4,0)+MATCH($C$172,Learning!$E$5:$S$5,0)-1)))</f>
        <v>23.255705883274686</v>
      </c>
      <c r="S179" s="533" cm="1">
        <f t="array" aca="1" ref="S179" ca="1">IF(S$21&lt;Standard_Year,'No STDs Case Rev &amp; Cost'!S179,
OFFSET(S179,-5,0)*
OFFSET(MSP!$F$1,
MATCH(OFFSET($C172,((MATCH($C172,EL_List,0)-1)*-10)-1,0),MSP!$C:$C,0)+MATCH($C172,EL_List,0)-1,0)
*INDEX(Learning!$E$6:$S$41,(MATCH(S$21,Dates,0)),(MATCH($C$151,Learning!$E$4:$S$4,0)+MATCH($C$172,Learning!$E$5:$S$5,0)-1)))</f>
        <v>24.290678318104984</v>
      </c>
      <c r="T179" s="533" cm="1">
        <f t="array" aca="1" ref="T179" ca="1">IF(T$21&lt;Standard_Year,'No STDs Case Rev &amp; Cost'!T179,
OFFSET(T179,-5,0)*
OFFSET(MSP!$F$1,
MATCH(OFFSET($C172,((MATCH($C172,EL_List,0)-1)*-10)-1,0),MSP!$C:$C,0)+MATCH($C172,EL_List,0)-1,0)
*INDEX(Learning!$E$6:$S$41,(MATCH(T$21,Dates,0)),(MATCH($C$151,Learning!$E$4:$S$4,0)+MATCH($C$172,Learning!$E$5:$S$5,0)-1)))</f>
        <v>25.373905798859873</v>
      </c>
      <c r="U179" s="533" cm="1">
        <f t="array" aca="1" ref="U179" ca="1">IF(U$21&lt;Standard_Year,'No STDs Case Rev &amp; Cost'!U179,
OFFSET(U179,-5,0)*
OFFSET(MSP!$F$1,
MATCH(OFFSET($C172,((MATCH($C172,EL_List,0)-1)*-10)-1,0),MSP!$C:$C,0)+MATCH($C172,EL_List,0)-1,0)
*INDEX(Learning!$E$6:$S$41,(MATCH(U$21,Dates,0)),(MATCH($C$151,Learning!$E$4:$S$4,0)+MATCH($C$172,Learning!$E$5:$S$5,0)-1)))</f>
        <v>26.53678739183179</v>
      </c>
      <c r="V179" s="533" cm="1">
        <f t="array" aca="1" ref="V179" ca="1">IF(V$21&lt;Standard_Year,'No STDs Case Rev &amp; Cost'!V179,
OFFSET(V179,-5,0)*
OFFSET(MSP!$F$1,
MATCH(OFFSET($C172,((MATCH($C172,EL_List,0)-1)*-10)-1,0),MSP!$C:$C,0)+MATCH($C172,EL_List,0)-1,0)
*INDEX(Learning!$E$6:$S$41,(MATCH(V$21,Dates,0)),(MATCH($C$151,Learning!$E$4:$S$4,0)+MATCH($C$172,Learning!$E$5:$S$5,0)-1)))</f>
        <v>27.72113901597935</v>
      </c>
      <c r="W179" s="533" cm="1">
        <f t="array" aca="1" ref="W179" ca="1">IF(W$21&lt;Standard_Year,'No STDs Case Rev &amp; Cost'!W179,
OFFSET(W179,-5,0)*
OFFSET(MSP!$F$1,
MATCH(OFFSET($C172,((MATCH($C172,EL_List,0)-1)*-10)-1,0),MSP!$C:$C,0)+MATCH($C172,EL_List,0)-1,0)
*INDEX(Learning!$E$6:$S$41,(MATCH(W$21,Dates,0)),(MATCH($C$151,Learning!$E$4:$S$4,0)+MATCH($C$172,Learning!$E$5:$S$5,0)-1)))</f>
        <v>28.956666177572753</v>
      </c>
      <c r="X179" s="533" cm="1">
        <f t="array" aca="1" ref="X179" ca="1">IF(X$21&lt;Standard_Year,'No STDs Case Rev &amp; Cost'!X179,
OFFSET(X179,-5,0)*
OFFSET(MSP!$F$1,
MATCH(OFFSET($C172,((MATCH($C172,EL_List,0)-1)*-10)-1,0),MSP!$C:$C,0)+MATCH($C172,EL_List,0)-1,0)
*INDEX(Learning!$E$6:$S$41,(MATCH(X$21,Dates,0)),(MATCH($C$151,Learning!$E$4:$S$4,0)+MATCH($C$172,Learning!$E$5:$S$5,0)-1)))</f>
        <v>30.276437191202984</v>
      </c>
      <c r="Y179" s="533" cm="1">
        <f t="array" aca="1" ref="Y179" ca="1">IF(Y$21&lt;Standard_Year,'No STDs Case Rev &amp; Cost'!Y179,
OFFSET(Y179,-5,0)*
OFFSET(MSP!$F$1,
MATCH(OFFSET($C172,((MATCH($C172,EL_List,0)-1)*-10)-1,0),MSP!$C:$C,0)+MATCH($C172,EL_List,0)-1,0)
*INDEX(Learning!$E$6:$S$41,(MATCH(Y$21,Dates,0)),(MATCH($C$151,Learning!$E$4:$S$4,0)+MATCH($C$172,Learning!$E$5:$S$5,0)-1)))</f>
        <v>31.65261667295276</v>
      </c>
      <c r="Z179" s="533" cm="1">
        <f t="array" aca="1" ref="Z179" ca="1">IF(Z$21&lt;Standard_Year,'No STDs Case Rev &amp; Cost'!Z179,
OFFSET(Z179,-5,0)*
OFFSET(MSP!$F$1,
MATCH(OFFSET($C172,((MATCH($C172,EL_List,0)-1)*-10)-1,0),MSP!$C:$C,0)+MATCH($C172,EL_List,0)-1,0)
*INDEX(Learning!$E$6:$S$41,(MATCH(Z$21,Dates,0)),(MATCH($C$151,Learning!$E$4:$S$4,0)+MATCH($C$172,Learning!$E$5:$S$5,0)-1)))</f>
        <v>33.05181505375208</v>
      </c>
      <c r="AA179" s="533" cm="1">
        <f t="array" aca="1" ref="AA179" ca="1">IF(AA$21&lt;Standard_Year,'No STDs Case Rev &amp; Cost'!AA179,
OFFSET(AA179,-5,0)*
OFFSET(MSP!$F$1,
MATCH(OFFSET($C172,((MATCH($C172,EL_List,0)-1)*-10)-1,0),MSP!$C:$C,0)+MATCH($C172,EL_List,0)-1,0)
*INDEX(Learning!$E$6:$S$41,(MATCH(AA$21,Dates,0)),(MATCH($C$151,Learning!$E$4:$S$4,0)+MATCH($C$172,Learning!$E$5:$S$5,0)-1)))</f>
        <v>34.546397571879275</v>
      </c>
      <c r="AB179" s="533" cm="1">
        <f t="array" aca="1" ref="AB179" ca="1">IF(AB$21&lt;Standard_Year,'No STDs Case Rev &amp; Cost'!AB179,
OFFSET(AB179,-5,0)*
OFFSET(MSP!$F$1,
MATCH(OFFSET($C172,((MATCH($C172,EL_List,0)-1)*-10)-1,0),MSP!$C:$C,0)+MATCH($C172,EL_List,0)-1,0)
*INDEX(Learning!$E$6:$S$41,(MATCH(AB$21,Dates,0)),(MATCH($C$151,Learning!$E$4:$S$4,0)+MATCH($C$172,Learning!$E$5:$S$5,0)-1)))</f>
        <v>36.105794006741391</v>
      </c>
      <c r="AC179" s="533" cm="1">
        <f t="array" aca="1" ref="AC179" ca="1">IF(AC$21&lt;Standard_Year,'No STDs Case Rev &amp; Cost'!AC179,
OFFSET(AC179,-5,0)*
OFFSET(MSP!$F$1,
MATCH(OFFSET($C172,((MATCH($C172,EL_List,0)-1)*-10)-1,0),MSP!$C:$C,0)+MATCH($C172,EL_List,0)-1,0)
*INDEX(Learning!$E$6:$S$41,(MATCH(AC$21,Dates,0)),(MATCH($C$151,Learning!$E$4:$S$4,0)+MATCH($C$172,Learning!$E$5:$S$5,0)-1)))</f>
        <v>37.733272524452872</v>
      </c>
      <c r="AD179" s="533" cm="1">
        <f t="array" aca="1" ref="AD179" ca="1">IF(AD$21&lt;Standard_Year,'No STDs Case Rev &amp; Cost'!AD179,
OFFSET(AD179,-5,0)*
OFFSET(MSP!$F$1,
MATCH(OFFSET($C172,((MATCH($C172,EL_List,0)-1)*-10)-1,0),MSP!$C:$C,0)+MATCH($C172,EL_List,0)-1,0)
*INDEX(Learning!$E$6:$S$41,(MATCH(AD$21,Dates,0)),(MATCH($C$151,Learning!$E$4:$S$4,0)+MATCH($C$172,Learning!$E$5:$S$5,0)-1)))</f>
        <v>39.432049792396803</v>
      </c>
      <c r="AE179" s="533" cm="1">
        <f t="array" aca="1" ref="AE179" ca="1">IF(AE$21&lt;Standard_Year,'No STDs Case Rev &amp; Cost'!AE179,
OFFSET(AE179,-5,0)*
OFFSET(MSP!$F$1,
MATCH(OFFSET($C172,((MATCH($C172,EL_List,0)-1)*-10)-1,0),MSP!$C:$C,0)+MATCH($C172,EL_List,0)-1,0)
*INDEX(Learning!$E$6:$S$41,(MATCH(AE$21,Dates,0)),(MATCH($C$151,Learning!$E$4:$S$4,0)+MATCH($C$172,Learning!$E$5:$S$5,0)-1)))</f>
        <v>41.205267549718307</v>
      </c>
      <c r="AF179" s="533" cm="1">
        <f t="array" aca="1" ref="AF179" ca="1">IF(AF$21&lt;Standard_Year,'No STDs Case Rev &amp; Cost'!AF179,
OFFSET(AF179,-5,0)*
OFFSET(MSP!$F$1,
MATCH(OFFSET($C172,((MATCH($C172,EL_List,0)-1)*-10)-1,0),MSP!$C:$C,0)+MATCH($C172,EL_List,0)-1,0)
*INDEX(Learning!$E$6:$S$41,(MATCH(AF$21,Dates,0)),(MATCH($C$151,Learning!$E$4:$S$4,0)+MATCH($C$172,Learning!$E$5:$S$5,0)-1)))</f>
        <v>43.056033915138187</v>
      </c>
      <c r="AG179" s="533" cm="1">
        <f t="array" aca="1" ref="AG179" ca="1">IF(AG$21&lt;Standard_Year,'No STDs Case Rev &amp; Cost'!AG179,
OFFSET(AG179,-5,0)*
OFFSET(MSP!$F$1,
MATCH(OFFSET($C172,((MATCH($C172,EL_List,0)-1)*-10)-1,0),MSP!$C:$C,0)+MATCH($C172,EL_List,0)-1,0)
*INDEX(Learning!$E$6:$S$41,(MATCH(AG$21,Dates,0)),(MATCH($C$151,Learning!$E$4:$S$4,0)+MATCH($C$172,Learning!$E$5:$S$5,0)-1)))</f>
        <v>44.987513632849193</v>
      </c>
      <c r="AH179" s="533" cm="1">
        <f t="array" aca="1" ref="AH179" ca="1">IF(AH$21&lt;Standard_Year,'No STDs Case Rev &amp; Cost'!AH179,
OFFSET(AH179,-5,0)*
OFFSET(MSP!$F$1,
MATCH(OFFSET($C172,((MATCH($C172,EL_List,0)-1)*-10)-1,0),MSP!$C:$C,0)+MATCH($C172,EL_List,0)-1,0)
*INDEX(Learning!$E$6:$S$41,(MATCH(AH$21,Dates,0)),(MATCH($C$151,Learning!$E$4:$S$4,0)+MATCH($C$172,Learning!$E$5:$S$5,0)-1)))</f>
        <v>47.00300698124552</v>
      </c>
      <c r="AI179" s="533" cm="1">
        <f t="array" aca="1" ref="AI179" ca="1">IF(AI$21&lt;Standard_Year,'No STDs Case Rev &amp; Cost'!AI179,
OFFSET(AI179,-5,0)*
OFFSET(MSP!$F$1,
MATCH(OFFSET($C172,((MATCH($C172,EL_List,0)-1)*-10)-1,0),MSP!$C:$C,0)+MATCH($C172,EL_List,0)-1,0)
*INDEX(Learning!$E$6:$S$41,(MATCH(AI$21,Dates,0)),(MATCH($C$151,Learning!$E$4:$S$4,0)+MATCH($C$172,Learning!$E$5:$S$5,0)-1)))</f>
        <v>49.106006528793209</v>
      </c>
      <c r="AJ179" s="533" cm="1">
        <f t="array" aca="1" ref="AJ179" ca="1">IF(AJ$21&lt;Standard_Year,'No STDs Case Rev &amp; Cost'!AJ179,
OFFSET(AJ179,-5,0)*
OFFSET(MSP!$F$1,
MATCH(OFFSET($C172,((MATCH($C172,EL_List,0)-1)*-10)-1,0),MSP!$C:$C,0)+MATCH($C172,EL_List,0)-1,0)
*INDEX(Learning!$E$6:$S$41,(MATCH(AJ$21,Dates,0)),(MATCH($C$151,Learning!$E$4:$S$4,0)+MATCH($C$172,Learning!$E$5:$S$5,0)-1)))</f>
        <v>51.300224411793259</v>
      </c>
      <c r="AK179" s="533" cm="1">
        <f t="array" aca="1" ref="AK179" ca="1">IF(AK$21&lt;Standard_Year,'No STDs Case Rev &amp; Cost'!AK179,
OFFSET(AK179,-5,0)*
OFFSET(MSP!$F$1,
MATCH(OFFSET($C172,((MATCH($C172,EL_List,0)-1)*-10)-1,0),MSP!$C:$C,0)+MATCH($C172,EL_List,0)-1,0)
*INDEX(Learning!$E$6:$S$41,(MATCH(AK$21,Dates,0)),(MATCH($C$151,Learning!$E$4:$S$4,0)+MATCH($C$172,Learning!$E$5:$S$5,0)-1)))</f>
        <v>53.650485589189337</v>
      </c>
      <c r="AL179" s="533" cm="1">
        <f t="array" aca="1" ref="AL179" ca="1">IF(AL$21&lt;Standard_Year,'No STDs Case Rev &amp; Cost'!AL179,
OFFSET(AL179,-5,0)*
OFFSET(MSP!$F$1,
MATCH(OFFSET($C172,((MATCH($C172,EL_List,0)-1)*-10)-1,0),MSP!$C:$C,0)+MATCH($C172,EL_List,0)-1,0)
*INDEX(Learning!$E$6:$S$41,(MATCH(AL$21,Dates,0)),(MATCH($C$151,Learning!$E$4:$S$4,0)+MATCH($C$172,Learning!$E$5:$S$5,0)-1)))</f>
        <v>56.042126643853756</v>
      </c>
      <c r="AM179" s="533" cm="1">
        <f t="array" aca="1" ref="AM179" ca="1">IF(AM$21&lt;Standard_Year,'No STDs Case Rev &amp; Cost'!AM179,
OFFSET(AM179,-5,0)*
OFFSET(MSP!$F$1,
MATCH(OFFSET($C172,((MATCH($C172,EL_List,0)-1)*-10)-1,0),MSP!$C:$C,0)+MATCH($C172,EL_List,0)-1,0)
*INDEX(Learning!$E$6:$S$41,(MATCH(AM$21,Dates,0)),(MATCH($C$151,Learning!$E$4:$S$4,0)+MATCH($C$172,Learning!$E$5:$S$5,0)-1)))</f>
        <v>58.537497837679219</v>
      </c>
      <c r="AN179" s="533" cm="1">
        <f t="array" aca="1" ref="AN179" ca="1">IF(AN$21&lt;Standard_Year,'No STDs Case Rev &amp; Cost'!AN179,
OFFSET(AN179,-5,0)*
OFFSET(MSP!$F$1,
MATCH(OFFSET($C172,((MATCH($C172,EL_List,0)-1)*-10)-1,0),MSP!$C:$C,0)+MATCH($C172,EL_List,0)-1,0)
*INDEX(Learning!$E$6:$S$41,(MATCH(AN$21,Dates,0)),(MATCH($C$151,Learning!$E$4:$S$4,0)+MATCH($C$172,Learning!$E$5:$S$5,0)-1)))</f>
        <v>61.182580939614674</v>
      </c>
      <c r="AO179" s="436"/>
      <c r="AP179" s="21"/>
    </row>
    <row r="180" spans="2:42" ht="15" customHeight="1" collapsed="1" x14ac:dyDescent="0.35">
      <c r="B180" s="429"/>
      <c r="C180" s="780" t="s">
        <v>215</v>
      </c>
      <c r="D180" s="776"/>
      <c r="E180" s="531" cm="1">
        <f t="array" aca="1" ref="E180" ca="1">IF(E$21&lt;Standard_Year,'No STDs Case Rev &amp; Cost'!E180,
OFFSET(E180,-6,0)*
OFFSET(MSP!$G$1,
MATCH(OFFSET($C172,((MATCH($C172,EL_List,0)-1)*-10)-1,0),MSP!$C:$C,0)+MATCH($C172,EL_List,0)-1,0)
*INDEX(Learning!$E$6:$S$41,(MATCH(E$21,Dates,0)),(MATCH($C$151,Learning!$E$4:$S$4,0)+MATCH($C$172,Learning!$E$5:$S$5,0)-1)))</f>
        <v>3.2740973668220779</v>
      </c>
      <c r="F180" s="531" cm="1">
        <f t="array" aca="1" ref="F180" ca="1">IF(F$21&lt;Standard_Year,'No STDs Case Rev &amp; Cost'!F180,
OFFSET(F180,-6,0)*
OFFSET(MSP!$G$1,
MATCH(OFFSET($C172,((MATCH($C172,EL_List,0)-1)*-10)-1,0),MSP!$C:$C,0)+MATCH($C172,EL_List,0)-1,0)
*INDEX(Learning!$E$6:$S$41,(MATCH(F$21,Dates,0)),(MATCH($C$151,Learning!$E$4:$S$4,0)+MATCH($C$172,Learning!$E$5:$S$5,0)-1)))</f>
        <v>3.3942491546071567</v>
      </c>
      <c r="G180" s="531" cm="1">
        <f t="array" aca="1" ref="G180" ca="1">IF(G$21&lt;Standard_Year,'No STDs Case Rev &amp; Cost'!G180,
OFFSET(G180,-6,0)*
OFFSET(MSP!$G$1,
MATCH(OFFSET($C172,((MATCH($C172,EL_List,0)-1)*-10)-1,0),MSP!$C:$C,0)+MATCH($C172,EL_List,0)-1,0)
*INDEX(Learning!$E$6:$S$41,(MATCH(G$21,Dates,0)),(MATCH($C$151,Learning!$E$4:$S$4,0)+MATCH($C$172,Learning!$E$5:$S$5,0)-1)))</f>
        <v>3.5005839207687388</v>
      </c>
      <c r="H180" s="531" cm="1">
        <f t="array" aca="1" ref="H180" ca="1">IF(H$21&lt;Standard_Year,'No STDs Case Rev &amp; Cost'!H180,
OFFSET(H180,-6,0)*
OFFSET(MSP!$G$1,
MATCH(OFFSET($C172,((MATCH($C172,EL_List,0)-1)*-10)-1,0),MSP!$C:$C,0)+MATCH($C172,EL_List,0)-1,0)
*INDEX(Learning!$E$6:$S$41,(MATCH(H$21,Dates,0)),(MATCH($C$151,Learning!$E$4:$S$4,0)+MATCH($C$172,Learning!$E$5:$S$5,0)-1)))</f>
        <v>3.6364328067053564</v>
      </c>
      <c r="I180" s="531" cm="1">
        <f t="array" aca="1" ref="I180" ca="1">IF(I$21&lt;Standard_Year,'No STDs Case Rev &amp; Cost'!I180,
OFFSET(I180,-6,0)*
OFFSET(MSP!$G$1,
MATCH(OFFSET($C172,((MATCH($C172,EL_List,0)-1)*-10)-1,0),MSP!$C:$C,0)+MATCH($C172,EL_List,0)-1,0)
*INDEX(Learning!$E$6:$S$41,(MATCH(I$21,Dates,0)),(MATCH($C$151,Learning!$E$4:$S$4,0)+MATCH($C$172,Learning!$E$5:$S$5,0)-1)))</f>
        <v>9.3374153564011841</v>
      </c>
      <c r="J180" s="531" cm="1">
        <f t="array" aca="1" ref="J180" ca="1">IF(J$21&lt;Standard_Year,'No STDs Case Rev &amp; Cost'!J180,
OFFSET(J180,-6,0)*
OFFSET(MSP!$G$1,
MATCH(OFFSET($C172,((MATCH($C172,EL_List,0)-1)*-10)-1,0),MSP!$C:$C,0)+MATCH($C172,EL_List,0)-1,0)
*INDEX(Learning!$E$6:$S$41,(MATCH(J$21,Dates,0)),(MATCH($C$151,Learning!$E$4:$S$4,0)+MATCH($C$172,Learning!$E$5:$S$5,0)-1)))</f>
        <v>9.7475351235290937</v>
      </c>
      <c r="K180" s="531" cm="1">
        <f t="array" aca="1" ref="K180" ca="1">IF(K$21&lt;Standard_Year,'No STDs Case Rev &amp; Cost'!K180,
OFFSET(K180,-6,0)*
OFFSET(MSP!$G$1,
MATCH(OFFSET($C172,((MATCH($C172,EL_List,0)-1)*-10)-1,0),MSP!$C:$C,0)+MATCH($C172,EL_List,0)-1,0)
*INDEX(Learning!$E$6:$S$41,(MATCH(K$21,Dates,0)),(MATCH($C$151,Learning!$E$4:$S$4,0)+MATCH($C$172,Learning!$E$5:$S$5,0)-1)))</f>
        <v>10.201185020430977</v>
      </c>
      <c r="L180" s="531" cm="1">
        <f t="array" aca="1" ref="L180" ca="1">IF(L$21&lt;Standard_Year,'No STDs Case Rev &amp; Cost'!L180,
OFFSET(L180,-6,0)*
OFFSET(MSP!$G$1,
MATCH(OFFSET($C172,((MATCH($C172,EL_List,0)-1)*-10)-1,0),MSP!$C:$C,0)+MATCH($C172,EL_List,0)-1,0)
*INDEX(Learning!$E$6:$S$41,(MATCH(L$21,Dates,0)),(MATCH($C$151,Learning!$E$4:$S$4,0)+MATCH($C$172,Learning!$E$5:$S$5,0)-1)))</f>
        <v>10.677596629602185</v>
      </c>
      <c r="M180" s="531" cm="1">
        <f t="array" aca="1" ref="M180" ca="1">IF(M$21&lt;Standard_Year,'No STDs Case Rev &amp; Cost'!M180,
OFFSET(M180,-6,0)*
OFFSET(MSP!$G$1,
MATCH(OFFSET($C172,((MATCH($C172,EL_List,0)-1)*-10)-1,0),MSP!$C:$C,0)+MATCH($C172,EL_List,0)-1,0)
*INDEX(Learning!$E$6:$S$41,(MATCH(M$21,Dates,0)),(MATCH($C$151,Learning!$E$4:$S$4,0)+MATCH($C$172,Learning!$E$5:$S$5,0)-1)))</f>
        <v>11.172258924557529</v>
      </c>
      <c r="N180" s="531" cm="1">
        <f t="array" aca="1" ref="N180" ca="1">IF(N$21&lt;Standard_Year,'No STDs Case Rev &amp; Cost'!N180,
OFFSET(N180,-6,0)*
OFFSET(MSP!$G$1,
MATCH(OFFSET($C172,((MATCH($C172,EL_List,0)-1)*-10)-1,0),MSP!$C:$C,0)+MATCH($C172,EL_List,0)-1,0)
*INDEX(Learning!$E$6:$S$41,(MATCH(N$21,Dates,0)),(MATCH($C$151,Learning!$E$4:$S$4,0)+MATCH($C$172,Learning!$E$5:$S$5,0)-1)))</f>
        <v>11.680500497193064</v>
      </c>
      <c r="O180" s="531" cm="1">
        <f t="array" aca="1" ref="O180" ca="1">IF(O$21&lt;Standard_Year,'No STDs Case Rev &amp; Cost'!O180,
OFFSET(O180,-6,0)*
OFFSET(MSP!$G$1,
MATCH(OFFSET($C172,((MATCH($C172,EL_List,0)-1)*-10)-1,0),MSP!$C:$C,0)+MATCH($C172,EL_List,0)-1,0)
*INDEX(Learning!$E$6:$S$41,(MATCH(O$21,Dates,0)),(MATCH($C$151,Learning!$E$4:$S$4,0)+MATCH($C$172,Learning!$E$5:$S$5,0)-1)))</f>
        <v>12.214207437895285</v>
      </c>
      <c r="P180" s="531" cm="1">
        <f t="array" aca="1" ref="P180" ca="1">IF(P$21&lt;Standard_Year,'No STDs Case Rev &amp; Cost'!P180,
OFFSET(P180,-6,0)*
OFFSET(MSP!$G$1,
MATCH(OFFSET($C172,((MATCH($C172,EL_List,0)-1)*-10)-1,0),MSP!$C:$C,0)+MATCH($C172,EL_List,0)-1,0)
*INDEX(Learning!$E$6:$S$41,(MATCH(P$21,Dates,0)),(MATCH($C$151,Learning!$E$4:$S$4,0)+MATCH($C$172,Learning!$E$5:$S$5,0)-1)))</f>
        <v>12.764292006089322</v>
      </c>
      <c r="Q180" s="531" cm="1">
        <f t="array" aca="1" ref="Q180" ca="1">IF(Q$21&lt;Standard_Year,'No STDs Case Rev &amp; Cost'!Q180,
OFFSET(Q180,-6,0)*
OFFSET(MSP!$G$1,
MATCH(OFFSET($C172,((MATCH($C172,EL_List,0)-1)*-10)-1,0),MSP!$C:$C,0)+MATCH($C172,EL_List,0)-1,0)
*INDEX(Learning!$E$6:$S$41,(MATCH(Q$21,Dates,0)),(MATCH($C$151,Learning!$E$4:$S$4,0)+MATCH($C$172,Learning!$E$5:$S$5,0)-1)))</f>
        <v>13.31941094601714</v>
      </c>
      <c r="R180" s="531" cm="1">
        <f t="array" aca="1" ref="R180" ca="1">IF(R$21&lt;Standard_Year,'No STDs Case Rev &amp; Cost'!R180,
OFFSET(R180,-6,0)*
OFFSET(MSP!$G$1,
MATCH(OFFSET($C172,((MATCH($C172,EL_List,0)-1)*-10)-1,0),MSP!$C:$C,0)+MATCH($C172,EL_List,0)-1,0)
*INDEX(Learning!$E$6:$S$41,(MATCH(R$21,Dates,0)),(MATCH($C$151,Learning!$E$4:$S$4,0)+MATCH($C$172,Learning!$E$5:$S$5,0)-1)))</f>
        <v>13.91147125853246</v>
      </c>
      <c r="S180" s="531" cm="1">
        <f t="array" aca="1" ref="S180" ca="1">IF(S$21&lt;Standard_Year,'No STDs Case Rev &amp; Cost'!S180,
OFFSET(S180,-6,0)*
OFFSET(MSP!$G$1,
MATCH(OFFSET($C172,((MATCH($C172,EL_List,0)-1)*-10)-1,0),MSP!$C:$C,0)+MATCH($C172,EL_List,0)-1,0)
*INDEX(Learning!$E$6:$S$41,(MATCH(S$21,Dates,0)),(MATCH($C$151,Learning!$E$4:$S$4,0)+MATCH($C$172,Learning!$E$5:$S$5,0)-1)))</f>
        <v>14.530587674640474</v>
      </c>
      <c r="T180" s="531" cm="1">
        <f t="array" aca="1" ref="T180" ca="1">IF(T$21&lt;Standard_Year,'No STDs Case Rev &amp; Cost'!T180,
OFFSET(T180,-6,0)*
OFFSET(MSP!$G$1,
MATCH(OFFSET($C172,((MATCH($C172,EL_List,0)-1)*-10)-1,0),MSP!$C:$C,0)+MATCH($C172,EL_List,0)-1,0)
*INDEX(Learning!$E$6:$S$41,(MATCH(T$21,Dates,0)),(MATCH($C$151,Learning!$E$4:$S$4,0)+MATCH($C$172,Learning!$E$5:$S$5,0)-1)))</f>
        <v>15.178570068320978</v>
      </c>
      <c r="U180" s="531" cm="1">
        <f t="array" aca="1" ref="U180" ca="1">IF(U$21&lt;Standard_Year,'No STDs Case Rev &amp; Cost'!U180,
OFFSET(U180,-6,0)*
OFFSET(MSP!$G$1,
MATCH(OFFSET($C172,((MATCH($C172,EL_List,0)-1)*-10)-1,0),MSP!$C:$C,0)+MATCH($C172,EL_List,0)-1,0)
*INDEX(Learning!$E$6:$S$41,(MATCH(U$21,Dates,0)),(MATCH($C$151,Learning!$E$4:$S$4,0)+MATCH($C$172,Learning!$E$5:$S$5,0)-1)))</f>
        <v>15.874201236813692</v>
      </c>
      <c r="V180" s="531" cm="1">
        <f t="array" aca="1" ref="V180" ca="1">IF(V$21&lt;Standard_Year,'No STDs Case Rev &amp; Cost'!V180,
OFFSET(V180,-6,0)*
OFFSET(MSP!$G$1,
MATCH(OFFSET($C172,((MATCH($C172,EL_List,0)-1)*-10)-1,0),MSP!$C:$C,0)+MATCH($C172,EL_List,0)-1,0)
*INDEX(Learning!$E$6:$S$41,(MATCH(V$21,Dates,0)),(MATCH($C$151,Learning!$E$4:$S$4,0)+MATCH($C$172,Learning!$E$5:$S$5,0)-1)))</f>
        <v>16.582675693019063</v>
      </c>
      <c r="W180" s="531" cm="1">
        <f t="array" aca="1" ref="W180" ca="1">IF(W$21&lt;Standard_Year,'No STDs Case Rev &amp; Cost'!W180,
OFFSET(W180,-6,0)*
OFFSET(MSP!$G$1,
MATCH(OFFSET($C172,((MATCH($C172,EL_List,0)-1)*-10)-1,0),MSP!$C:$C,0)+MATCH($C172,EL_List,0)-1,0)
*INDEX(Learning!$E$6:$S$41,(MATCH(W$21,Dates,0)),(MATCH($C$151,Learning!$E$4:$S$4,0)+MATCH($C$172,Learning!$E$5:$S$5,0)-1)))</f>
        <v>17.321763153271313</v>
      </c>
      <c r="X180" s="531" cm="1">
        <f t="array" aca="1" ref="X180" ca="1">IF(X$21&lt;Standard_Year,'No STDs Case Rev &amp; Cost'!X180,
OFFSET(X180,-6,0)*
OFFSET(MSP!$G$1,
MATCH(OFFSET($C172,((MATCH($C172,EL_List,0)-1)*-10)-1,0),MSP!$C:$C,0)+MATCH($C172,EL_List,0)-1,0)
*INDEX(Learning!$E$6:$S$41,(MATCH(X$21,Dates,0)),(MATCH($C$151,Learning!$E$4:$S$4,0)+MATCH($C$172,Learning!$E$5:$S$5,0)-1)))</f>
        <v>18.111244952538716</v>
      </c>
      <c r="Y180" s="531" cm="1">
        <f t="array" aca="1" ref="Y180" ca="1">IF(Y$21&lt;Standard_Year,'No STDs Case Rev &amp; Cost'!Y180,
OFFSET(Y180,-6,0)*
OFFSET(MSP!$G$1,
MATCH(OFFSET($C172,((MATCH($C172,EL_List,0)-1)*-10)-1,0),MSP!$C:$C,0)+MATCH($C172,EL_List,0)-1,0)
*INDEX(Learning!$E$6:$S$41,(MATCH(Y$21,Dates,0)),(MATCH($C$151,Learning!$E$4:$S$4,0)+MATCH($C$172,Learning!$E$5:$S$5,0)-1)))</f>
        <v>18.934470074280249</v>
      </c>
      <c r="Z180" s="531" cm="1">
        <f t="array" aca="1" ref="Z180" ca="1">IF(Z$21&lt;Standard_Year,'No STDs Case Rev &amp; Cost'!Z180,
OFFSET(Z180,-6,0)*
OFFSET(MSP!$G$1,
MATCH(OFFSET($C172,((MATCH($C172,EL_List,0)-1)*-10)-1,0),MSP!$C:$C,0)+MATCH($C172,EL_List,0)-1,0)
*INDEX(Learning!$E$6:$S$41,(MATCH(Z$21,Dates,0)),(MATCH($C$151,Learning!$E$4:$S$4,0)+MATCH($C$172,Learning!$E$5:$S$5,0)-1)))</f>
        <v>19.771465010369198</v>
      </c>
      <c r="AA180" s="531" cm="1">
        <f t="array" aca="1" ref="AA180" ca="1">IF(AA$21&lt;Standard_Year,'No STDs Case Rev &amp; Cost'!AA180,
OFFSET(AA180,-6,0)*
OFFSET(MSP!$G$1,
MATCH(OFFSET($C172,((MATCH($C172,EL_List,0)-1)*-10)-1,0),MSP!$C:$C,0)+MATCH($C172,EL_List,0)-1,0)
*INDEX(Learning!$E$6:$S$41,(MATCH(AA$21,Dates,0)),(MATCH($C$151,Learning!$E$4:$S$4,0)+MATCH($C$172,Learning!$E$5:$S$5,0)-1)))</f>
        <v>20.665518360062823</v>
      </c>
      <c r="AB180" s="531" cm="1">
        <f t="array" aca="1" ref="AB180" ca="1">IF(AB$21&lt;Standard_Year,'No STDs Case Rev &amp; Cost'!AB180,
OFFSET(AB180,-6,0)*
OFFSET(MSP!$G$1,
MATCH(OFFSET($C172,((MATCH($C172,EL_List,0)-1)*-10)-1,0),MSP!$C:$C,0)+MATCH($C172,EL_List,0)-1,0)
*INDEX(Learning!$E$6:$S$41,(MATCH(AB$21,Dates,0)),(MATCH($C$151,Learning!$E$4:$S$4,0)+MATCH($C$172,Learning!$E$5:$S$5,0)-1)))</f>
        <v>21.598343138339889</v>
      </c>
      <c r="AC180" s="531" cm="1">
        <f t="array" aca="1" ref="AC180" ca="1">IF(AC$21&lt;Standard_Year,'No STDs Case Rev &amp; Cost'!AC180,
OFFSET(AC180,-6,0)*
OFFSET(MSP!$G$1,
MATCH(OFFSET($C172,((MATCH($C172,EL_List,0)-1)*-10)-1,0),MSP!$C:$C,0)+MATCH($C172,EL_List,0)-1,0)
*INDEX(Learning!$E$6:$S$41,(MATCH(AC$21,Dates,0)),(MATCH($C$151,Learning!$E$4:$S$4,0)+MATCH($C$172,Learning!$E$5:$S$5,0)-1)))</f>
        <v>22.57189434924101</v>
      </c>
      <c r="AD180" s="531" cm="1">
        <f t="array" aca="1" ref="AD180" ca="1">IF(AD$21&lt;Standard_Year,'No STDs Case Rev &amp; Cost'!AD180,
OFFSET(AD180,-6,0)*
OFFSET(MSP!$G$1,
MATCH(OFFSET($C172,((MATCH($C172,EL_List,0)-1)*-10)-1,0),MSP!$C:$C,0)+MATCH($C172,EL_List,0)-1,0)
*INDEX(Learning!$E$6:$S$41,(MATCH(AD$21,Dates,0)),(MATCH($C$151,Learning!$E$4:$S$4,0)+MATCH($C$172,Learning!$E$5:$S$5,0)-1)))</f>
        <v>23.588096190469422</v>
      </c>
      <c r="AE180" s="531" cm="1">
        <f t="array" aca="1" ref="AE180" ca="1">IF(AE$21&lt;Standard_Year,'No STDs Case Rev &amp; Cost'!AE180,
OFFSET(AE180,-6,0)*
OFFSET(MSP!$G$1,
MATCH(OFFSET($C172,((MATCH($C172,EL_List,0)-1)*-10)-1,0),MSP!$C:$C,0)+MATCH($C172,EL_List,0)-1,0)
*INDEX(Learning!$E$6:$S$41,(MATCH(AE$21,Dates,0)),(MATCH($C$151,Learning!$E$4:$S$4,0)+MATCH($C$172,Learning!$E$5:$S$5,0)-1)))</f>
        <v>24.648828037952864</v>
      </c>
      <c r="AF180" s="531" cm="1">
        <f t="array" aca="1" ref="AF180" ca="1">IF(AF$21&lt;Standard_Year,'No STDs Case Rev &amp; Cost'!AF180,
OFFSET(AF180,-6,0)*
OFFSET(MSP!$G$1,
MATCH(OFFSET($C172,((MATCH($C172,EL_List,0)-1)*-10)-1,0),MSP!$C:$C,0)+MATCH($C172,EL_List,0)-1,0)
*INDEX(Learning!$E$6:$S$41,(MATCH(AF$21,Dates,0)),(MATCH($C$151,Learning!$E$4:$S$4,0)+MATCH($C$172,Learning!$E$5:$S$5,0)-1)))</f>
        <v>25.755949156014225</v>
      </c>
      <c r="AG180" s="531" cm="1">
        <f t="array" aca="1" ref="AG180" ca="1">IF(AG$21&lt;Standard_Year,'No STDs Case Rev &amp; Cost'!AG180,
OFFSET(AG180,-6,0)*
OFFSET(MSP!$G$1,
MATCH(OFFSET($C172,((MATCH($C172,EL_List,0)-1)*-10)-1,0),MSP!$C:$C,0)+MATCH($C172,EL_List,0)-1,0)
*INDEX(Learning!$E$6:$S$41,(MATCH(AG$21,Dates,0)),(MATCH($C$151,Learning!$E$4:$S$4,0)+MATCH($C$172,Learning!$E$5:$S$5,0)-1)))</f>
        <v>26.911352682109708</v>
      </c>
      <c r="AH180" s="531" cm="1">
        <f t="array" aca="1" ref="AH180" ca="1">IF(AH$21&lt;Standard_Year,'No STDs Case Rev &amp; Cost'!AH180,
OFFSET(AH180,-6,0)*
OFFSET(MSP!$G$1,
MATCH(OFFSET($C172,((MATCH($C172,EL_List,0)-1)*-10)-1,0),MSP!$C:$C,0)+MATCH($C172,EL_List,0)-1,0)
*INDEX(Learning!$E$6:$S$41,(MATCH(AH$21,Dates,0)),(MATCH($C$151,Learning!$E$4:$S$4,0)+MATCH($C$172,Learning!$E$5:$S$5,0)-1)))</f>
        <v>28.117012829718639</v>
      </c>
      <c r="AI180" s="531" cm="1">
        <f t="array" aca="1" ref="AI180" ca="1">IF(AI$21&lt;Standard_Year,'No STDs Case Rev &amp; Cost'!AI180,
OFFSET(AI180,-6,0)*
OFFSET(MSP!$G$1,
MATCH(OFFSET($C172,((MATCH($C172,EL_List,0)-1)*-10)-1,0),MSP!$C:$C,0)+MATCH($C172,EL_List,0)-1,0)
*INDEX(Learning!$E$6:$S$41,(MATCH(AI$21,Dates,0)),(MATCH($C$151,Learning!$E$4:$S$4,0)+MATCH($C$172,Learning!$E$5:$S$5,0)-1)))</f>
        <v>29.375018839480614</v>
      </c>
      <c r="AJ180" s="531" cm="1">
        <f t="array" aca="1" ref="AJ180" ca="1">IF(AJ$21&lt;Standard_Year,'No STDs Case Rev &amp; Cost'!AJ180,
OFFSET(AJ180,-6,0)*
OFFSET(MSP!$G$1,
MATCH(OFFSET($C172,((MATCH($C172,EL_List,0)-1)*-10)-1,0),MSP!$C:$C,0)+MATCH($C172,EL_List,0)-1,0)
*INDEX(Learning!$E$6:$S$41,(MATCH(AJ$21,Dates,0)),(MATCH($C$151,Learning!$E$4:$S$4,0)+MATCH($C$172,Learning!$E$5:$S$5,0)-1)))</f>
        <v>30.687591296645472</v>
      </c>
      <c r="AK180" s="531" cm="1">
        <f t="array" aca="1" ref="AK180" ca="1">IF(AK$21&lt;Standard_Year,'No STDs Case Rev &amp; Cost'!AK180,
OFFSET(AK180,-6,0)*
OFFSET(MSP!$G$1,
MATCH(OFFSET($C172,((MATCH($C172,EL_List,0)-1)*-10)-1,0),MSP!$C:$C,0)+MATCH($C172,EL_List,0)-1,0)
*INDEX(Learning!$E$6:$S$41,(MATCH(AK$21,Dates,0)),(MATCH($C$151,Learning!$E$4:$S$4,0)+MATCH($C$172,Learning!$E$5:$S$5,0)-1)))</f>
        <v>32.093508235202243</v>
      </c>
      <c r="AL180" s="531" cm="1">
        <f t="array" aca="1" ref="AL180" ca="1">IF(AL$21&lt;Standard_Year,'No STDs Case Rev &amp; Cost'!AL180,
OFFSET(AL180,-6,0)*
OFFSET(MSP!$G$1,
MATCH(OFFSET($C172,((MATCH($C172,EL_List,0)-1)*-10)-1,0),MSP!$C:$C,0)+MATCH($C172,EL_List,0)-1,0)
*INDEX(Learning!$E$6:$S$41,(MATCH(AL$21,Dates,0)),(MATCH($C$151,Learning!$E$4:$S$4,0)+MATCH($C$172,Learning!$E$5:$S$5,0)-1)))</f>
        <v>33.524178452639887</v>
      </c>
      <c r="AM180" s="531" cm="1">
        <f t="array" aca="1" ref="AM180" ca="1">IF(AM$21&lt;Standard_Year,'No STDs Case Rev &amp; Cost'!AM180,
OFFSET(AM180,-6,0)*
OFFSET(MSP!$G$1,
MATCH(OFFSET($C172,((MATCH($C172,EL_List,0)-1)*-10)-1,0),MSP!$C:$C,0)+MATCH($C172,EL_List,0)-1,0)
*INDEX(Learning!$E$6:$S$41,(MATCH(AM$21,Dates,0)),(MATCH($C$151,Learning!$E$4:$S$4,0)+MATCH($C$172,Learning!$E$5:$S$5,0)-1)))</f>
        <v>35.016899628961554</v>
      </c>
      <c r="AN180" s="531" cm="1">
        <f t="array" aca="1" ref="AN180" ca="1">IF(AN$21&lt;Standard_Year,'No STDs Case Rev &amp; Cost'!AN180,
OFFSET(AN180,-6,0)*
OFFSET(MSP!$G$1,
MATCH(OFFSET($C172,((MATCH($C172,EL_List,0)-1)*-10)-1,0),MSP!$C:$C,0)+MATCH($C172,EL_List,0)-1,0)
*INDEX(Learning!$E$6:$S$41,(MATCH(AN$21,Dates,0)),(MATCH($C$151,Learning!$E$4:$S$4,0)+MATCH($C$172,Learning!$E$5:$S$5,0)-1)))</f>
        <v>36.599177876446149</v>
      </c>
      <c r="AO180" s="436"/>
      <c r="AP180" s="21"/>
    </row>
    <row r="181" spans="2:42" ht="15" customHeight="1" x14ac:dyDescent="0.35">
      <c r="B181" s="429"/>
      <c r="C181" s="776"/>
      <c r="D181" s="776"/>
      <c r="E181" s="776"/>
      <c r="F181" s="776"/>
      <c r="G181" s="776"/>
      <c r="H181" s="776"/>
      <c r="I181" s="776"/>
      <c r="J181" s="776"/>
      <c r="K181" s="776"/>
      <c r="L181" s="776"/>
      <c r="M181" s="776"/>
      <c r="N181" s="776"/>
      <c r="O181" s="776"/>
      <c r="P181" s="776"/>
      <c r="Q181" s="776"/>
      <c r="R181" s="776"/>
      <c r="S181" s="776"/>
      <c r="T181" s="776"/>
      <c r="U181" s="776"/>
      <c r="V181" s="776"/>
      <c r="W181" s="776"/>
      <c r="X181" s="776"/>
      <c r="Y181" s="776"/>
      <c r="Z181" s="776"/>
      <c r="AA181" s="776"/>
      <c r="AB181" s="776"/>
      <c r="AC181" s="776"/>
      <c r="AD181" s="776"/>
      <c r="AE181" s="776"/>
      <c r="AF181" s="776"/>
      <c r="AG181" s="776"/>
      <c r="AH181" s="776"/>
      <c r="AI181" s="776"/>
      <c r="AJ181" s="776"/>
      <c r="AK181" s="776"/>
      <c r="AL181" s="776"/>
      <c r="AM181" s="776"/>
      <c r="AN181" s="776"/>
      <c r="AO181" s="436"/>
      <c r="AP181" s="21"/>
    </row>
    <row r="182" spans="2:42" ht="15" customHeight="1" x14ac:dyDescent="0.35">
      <c r="B182" s="429"/>
      <c r="C182" s="772" t="s">
        <v>343</v>
      </c>
      <c r="D182" s="776"/>
      <c r="E182" s="776"/>
      <c r="F182" s="776"/>
      <c r="G182" s="776"/>
      <c r="H182" s="776"/>
      <c r="I182" s="776"/>
      <c r="J182" s="776"/>
      <c r="K182" s="776"/>
      <c r="L182" s="776"/>
      <c r="M182" s="776"/>
      <c r="N182" s="776"/>
      <c r="O182" s="776"/>
      <c r="P182" s="776"/>
      <c r="Q182" s="776"/>
      <c r="R182" s="776"/>
      <c r="S182" s="776"/>
      <c r="T182" s="776"/>
      <c r="U182" s="776"/>
      <c r="V182" s="776"/>
      <c r="W182" s="776"/>
      <c r="X182" s="776"/>
      <c r="Y182" s="776"/>
      <c r="Z182" s="776"/>
      <c r="AA182" s="776"/>
      <c r="AB182" s="776"/>
      <c r="AC182" s="776"/>
      <c r="AD182" s="776"/>
      <c r="AE182" s="776"/>
      <c r="AF182" s="776"/>
      <c r="AG182" s="776"/>
      <c r="AH182" s="776"/>
      <c r="AI182" s="776"/>
      <c r="AJ182" s="776"/>
      <c r="AK182" s="776"/>
      <c r="AL182" s="776"/>
      <c r="AM182" s="776"/>
      <c r="AN182" s="776"/>
      <c r="AO182" s="436"/>
      <c r="AP182" s="21"/>
    </row>
    <row r="183" spans="2:42" ht="15" customHeight="1" x14ac:dyDescent="0.35">
      <c r="B183" s="429"/>
      <c r="C183" s="777" t="s">
        <v>10</v>
      </c>
      <c r="D183" s="776"/>
      <c r="E183" s="778" cm="1">
        <f t="array" aca="1" ref="E183" ca="1">IF(E$21&lt;Standard_Year,'No STDs Case Rev &amp; Cost'!E183,
OFFSET(MSP!$C$1,
MATCH(OFFSET($C182,((MATCH($C182,EL_List,0)-1)*-10)-1,0),MSP!$C:$C,0)+MATCH($C182,EL_List,0)-1,
MATCH(OFFSET($C182,((MATCH($C182,EL_List,0)-1)*-10)-3,0),MSP!$D$5:$N$5,0)+1)
*INDEX(Learning!$E$6:$S$41,(MATCH(E$21,Dates,0)),(MATCH($C$151,Learning!$E$4:$S$4,0)+MATCH($C$182,Learning!$E$5:$S$5,0)-1)))</f>
        <v>112.08964</v>
      </c>
      <c r="F183" s="778" cm="1">
        <f t="array" aca="1" ref="F183" ca="1">IF(F$21&lt;Standard_Year,'No STDs Case Rev &amp; Cost'!F183,
OFFSET(MSP!$C$1,
MATCH(OFFSET($C182,((MATCH($C182,EL_List,0)-1)*-10)-1,0),MSP!$C:$C,0)+MATCH($C182,EL_List,0)-1,
MATCH(OFFSET($C182,((MATCH($C182,EL_List,0)-1)*-10)-3,0),MSP!$D$5:$N$5,0)+1)
*INDEX(Learning!$E$6:$S$41,(MATCH(F$21,Dates,0)),(MATCH($C$151,Learning!$E$4:$S$4,0)+MATCH($C$182,Learning!$E$5:$S$5,0)-1)))</f>
        <v>111.227412</v>
      </c>
      <c r="G183" s="778" cm="1">
        <f t="array" aca="1" ref="G183" ca="1">IF(G$21&lt;Standard_Year,'No STDs Case Rev &amp; Cost'!G183,
OFFSET(MSP!$C$1,
MATCH(OFFSET($C182,((MATCH($C182,EL_List,0)-1)*-10)-1,0),MSP!$C:$C,0)+MATCH($C182,EL_List,0)-1,
MATCH(OFFSET($C182,((MATCH($C182,EL_List,0)-1)*-10)-3,0),MSP!$D$5:$N$5,0)+1)
*INDEX(Learning!$E$6:$S$41,(MATCH(G$21,Dates,0)),(MATCH($C$151,Learning!$E$4:$S$4,0)+MATCH($C$182,Learning!$E$5:$S$5,0)-1)))</f>
        <v>110.47296249999998</v>
      </c>
      <c r="H183" s="778" cm="1">
        <f t="array" aca="1" ref="H183" ca="1">IF(H$21&lt;Standard_Year,'No STDs Case Rev &amp; Cost'!H183,
OFFSET(MSP!$C$1,
MATCH(OFFSET($C182,((MATCH($C182,EL_List,0)-1)*-10)-1,0),MSP!$C:$C,0)+MATCH($C182,EL_List,0)-1,
MATCH(OFFSET($C182,((MATCH($C182,EL_List,0)-1)*-10)-3,0),MSP!$D$5:$N$5,0)+1)
*INDEX(Learning!$E$6:$S$41,(MATCH(H$21,Dates,0)),(MATCH($C$151,Learning!$E$4:$S$4,0)+MATCH($C$182,Learning!$E$5:$S$5,0)-1)))</f>
        <v>109.82629149999998</v>
      </c>
      <c r="I183" s="778" cm="1">
        <f t="array" aca="1" ref="I183" ca="1">IF(I$21&lt;Standard_Year,'No STDs Case Rev &amp; Cost'!I183,
OFFSET(MSP!$C$1,
MATCH(OFFSET($C182,((MATCH($C182,EL_List,0)-1)*-10)-1,0),MSP!$C:$C,0)+MATCH($C182,EL_List,0)-1,
MATCH(OFFSET($C182,((MATCH($C182,EL_List,0)-1)*-10)-3,0),MSP!$D$5:$N$5,0)+1)
*INDEX(Learning!$E$6:$S$41,(MATCH(I$21,Dates,0)),(MATCH($C$151,Learning!$E$4:$S$4,0)+MATCH($C$182,Learning!$E$5:$S$5,0)-1)))</f>
        <v>109.07184199999999</v>
      </c>
      <c r="J183" s="778" cm="1">
        <f t="array" aca="1" ref="J183" ca="1">IF(J$21&lt;Standard_Year,'No STDs Case Rev &amp; Cost'!J183,
OFFSET(MSP!$C$1,
MATCH(OFFSET($C182,((MATCH($C182,EL_List,0)-1)*-10)-1,0),MSP!$C:$C,0)+MATCH($C182,EL_List,0)-1,
MATCH(OFFSET($C182,((MATCH($C182,EL_List,0)-1)*-10)-3,0),MSP!$D$5:$N$5,0)+1)
*INDEX(Learning!$E$6:$S$41,(MATCH(J$21,Dates,0)),(MATCH($C$151,Learning!$E$4:$S$4,0)+MATCH($C$182,Learning!$E$5:$S$5,0)-1)))</f>
        <v>108.42517099999999</v>
      </c>
      <c r="K183" s="778" cm="1">
        <f t="array" aca="1" ref="K183" ca="1">IF(K$21&lt;Standard_Year,'No STDs Case Rev &amp; Cost'!K183,
OFFSET(MSP!$C$1,
MATCH(OFFSET($C182,((MATCH($C182,EL_List,0)-1)*-10)-1,0),MSP!$C:$C,0)+MATCH($C182,EL_List,0)-1,
MATCH(OFFSET($C182,((MATCH($C182,EL_List,0)-1)*-10)-3,0),MSP!$D$5:$N$5,0)+1)
*INDEX(Learning!$E$6:$S$41,(MATCH(K$21,Dates,0)),(MATCH($C$151,Learning!$E$4:$S$4,0)+MATCH($C$182,Learning!$E$5:$S$5,0)-1)))</f>
        <v>107.77849999999999</v>
      </c>
      <c r="L183" s="778" cm="1">
        <f t="array" aca="1" ref="L183" ca="1">IF(L$21&lt;Standard_Year,'No STDs Case Rev &amp; Cost'!L183,
OFFSET(MSP!$C$1,
MATCH(OFFSET($C182,((MATCH($C182,EL_List,0)-1)*-10)-1,0),MSP!$C:$C,0)+MATCH($C182,EL_List,0)-1,
MATCH(OFFSET($C182,((MATCH($C182,EL_List,0)-1)*-10)-3,0),MSP!$D$5:$N$5,0)+1)
*INDEX(Learning!$E$6:$S$41,(MATCH(L$21,Dates,0)),(MATCH($C$151,Learning!$E$4:$S$4,0)+MATCH($C$182,Learning!$E$5:$S$5,0)-1)))</f>
        <v>107.131829</v>
      </c>
      <c r="M183" s="778" cm="1">
        <f t="array" aca="1" ref="M183" ca="1">IF(M$21&lt;Standard_Year,'No STDs Case Rev &amp; Cost'!M183,
OFFSET(MSP!$C$1,
MATCH(OFFSET($C182,((MATCH($C182,EL_List,0)-1)*-10)-1,0),MSP!$C:$C,0)+MATCH($C182,EL_List,0)-1,
MATCH(OFFSET($C182,((MATCH($C182,EL_List,0)-1)*-10)-3,0),MSP!$D$5:$N$5,0)+1)
*INDEX(Learning!$E$6:$S$41,(MATCH(M$21,Dates,0)),(MATCH($C$151,Learning!$E$4:$S$4,0)+MATCH($C$182,Learning!$E$5:$S$5,0)-1)))</f>
        <v>106.59293649999999</v>
      </c>
      <c r="N183" s="778" cm="1">
        <f t="array" aca="1" ref="N183" ca="1">IF(N$21&lt;Standard_Year,'No STDs Case Rev &amp; Cost'!N183,
OFFSET(MSP!$C$1,
MATCH(OFFSET($C182,((MATCH($C182,EL_List,0)-1)*-10)-1,0),MSP!$C:$C,0)+MATCH($C182,EL_List,0)-1,
MATCH(OFFSET($C182,((MATCH($C182,EL_List,0)-1)*-10)-3,0),MSP!$D$5:$N$5,0)+1)
*INDEX(Learning!$E$6:$S$41,(MATCH(N$21,Dates,0)),(MATCH($C$151,Learning!$E$4:$S$4,0)+MATCH($C$182,Learning!$E$5:$S$5,0)-1)))</f>
        <v>105.9462655</v>
      </c>
      <c r="O183" s="778" cm="1">
        <f t="array" aca="1" ref="O183" ca="1">IF(O$21&lt;Standard_Year,'No STDs Case Rev &amp; Cost'!O183,
OFFSET(MSP!$C$1,
MATCH(OFFSET($C182,((MATCH($C182,EL_List,0)-1)*-10)-1,0),MSP!$C:$C,0)+MATCH($C182,EL_List,0)-1,
MATCH(OFFSET($C182,((MATCH($C182,EL_List,0)-1)*-10)-3,0),MSP!$D$5:$N$5,0)+1)
*INDEX(Learning!$E$6:$S$41,(MATCH(O$21,Dates,0)),(MATCH($C$151,Learning!$E$4:$S$4,0)+MATCH($C$182,Learning!$E$5:$S$5,0)-1)))</f>
        <v>105.40737299999999</v>
      </c>
      <c r="P183" s="778" cm="1">
        <f t="array" aca="1" ref="P183" ca="1">IF(P$21&lt;Standard_Year,'No STDs Case Rev &amp; Cost'!P183,
OFFSET(MSP!$C$1,
MATCH(OFFSET($C182,((MATCH($C182,EL_List,0)-1)*-10)-1,0),MSP!$C:$C,0)+MATCH($C182,EL_List,0)-1,
MATCH(OFFSET($C182,((MATCH($C182,EL_List,0)-1)*-10)-3,0),MSP!$D$5:$N$5,0)+1)
*INDEX(Learning!$E$6:$S$41,(MATCH(P$21,Dates,0)),(MATCH($C$151,Learning!$E$4:$S$4,0)+MATCH($C$182,Learning!$E$5:$S$5,0)-1)))</f>
        <v>104.86848049999999</v>
      </c>
      <c r="Q183" s="778" cm="1">
        <f t="array" aca="1" ref="Q183" ca="1">IF(Q$21&lt;Standard_Year,'No STDs Case Rev &amp; Cost'!Q183,
OFFSET(MSP!$C$1,
MATCH(OFFSET($C182,((MATCH($C182,EL_List,0)-1)*-10)-1,0),MSP!$C:$C,0)+MATCH($C182,EL_List,0)-1,
MATCH(OFFSET($C182,((MATCH($C182,EL_List,0)-1)*-10)-3,0),MSP!$D$5:$N$5,0)+1)
*INDEX(Learning!$E$6:$S$41,(MATCH(Q$21,Dates,0)),(MATCH($C$151,Learning!$E$4:$S$4,0)+MATCH($C$182,Learning!$E$5:$S$5,0)-1)))</f>
        <v>104.32958799999999</v>
      </c>
      <c r="R183" s="778" cm="1">
        <f t="array" aca="1" ref="R183" ca="1">IF(R$21&lt;Standard_Year,'No STDs Case Rev &amp; Cost'!R183,
OFFSET(MSP!$C$1,
MATCH(OFFSET($C182,((MATCH($C182,EL_List,0)-1)*-10)-1,0),MSP!$C:$C,0)+MATCH($C182,EL_List,0)-1,
MATCH(OFFSET($C182,((MATCH($C182,EL_List,0)-1)*-10)-3,0),MSP!$D$5:$N$5,0)+1)
*INDEX(Learning!$E$6:$S$41,(MATCH(R$21,Dates,0)),(MATCH($C$151,Learning!$E$4:$S$4,0)+MATCH($C$182,Learning!$E$5:$S$5,0)-1)))</f>
        <v>103.79069549999998</v>
      </c>
      <c r="S183" s="778" cm="1">
        <f t="array" aca="1" ref="S183" ca="1">IF(S$21&lt;Standard_Year,'No STDs Case Rev &amp; Cost'!S183,
OFFSET(MSP!$C$1,
MATCH(OFFSET($C182,((MATCH($C182,EL_List,0)-1)*-10)-1,0),MSP!$C:$C,0)+MATCH($C182,EL_List,0)-1,
MATCH(OFFSET($C182,((MATCH($C182,EL_List,0)-1)*-10)-3,0),MSP!$D$5:$N$5,0)+1)
*INDEX(Learning!$E$6:$S$41,(MATCH(S$21,Dates,0)),(MATCH($C$151,Learning!$E$4:$S$4,0)+MATCH($C$182,Learning!$E$5:$S$5,0)-1)))</f>
        <v>103.251803</v>
      </c>
      <c r="T183" s="778" cm="1">
        <f t="array" aca="1" ref="T183" ca="1">IF(T$21&lt;Standard_Year,'No STDs Case Rev &amp; Cost'!T183,
OFFSET(MSP!$C$1,
MATCH(OFFSET($C182,((MATCH($C182,EL_List,0)-1)*-10)-1,0),MSP!$C:$C,0)+MATCH($C182,EL_List,0)-1,
MATCH(OFFSET($C182,((MATCH($C182,EL_List,0)-1)*-10)-3,0),MSP!$D$5:$N$5,0)+1)
*INDEX(Learning!$E$6:$S$41,(MATCH(T$21,Dates,0)),(MATCH($C$151,Learning!$E$4:$S$4,0)+MATCH($C$182,Learning!$E$5:$S$5,0)-1)))</f>
        <v>102.82068899999999</v>
      </c>
      <c r="U183" s="778" cm="1">
        <f t="array" aca="1" ref="U183" ca="1">IF(U$21&lt;Standard_Year,'No STDs Case Rev &amp; Cost'!U183,
OFFSET(MSP!$C$1,
MATCH(OFFSET($C182,((MATCH($C182,EL_List,0)-1)*-10)-1,0),MSP!$C:$C,0)+MATCH($C182,EL_List,0)-1,
MATCH(OFFSET($C182,((MATCH($C182,EL_List,0)-1)*-10)-3,0),MSP!$D$5:$N$5,0)+1)
*INDEX(Learning!$E$6:$S$41,(MATCH(U$21,Dates,0)),(MATCH($C$151,Learning!$E$4:$S$4,0)+MATCH($C$182,Learning!$E$5:$S$5,0)-1)))</f>
        <v>102.28179649999998</v>
      </c>
      <c r="V183" s="778" cm="1">
        <f t="array" aca="1" ref="V183" ca="1">IF(V$21&lt;Standard_Year,'No STDs Case Rev &amp; Cost'!V183,
OFFSET(MSP!$C$1,
MATCH(OFFSET($C182,((MATCH($C182,EL_List,0)-1)*-10)-1,0),MSP!$C:$C,0)+MATCH($C182,EL_List,0)-1,
MATCH(OFFSET($C182,((MATCH($C182,EL_List,0)-1)*-10)-3,0),MSP!$D$5:$N$5,0)+1)
*INDEX(Learning!$E$6:$S$41,(MATCH(V$21,Dates,0)),(MATCH($C$151,Learning!$E$4:$S$4,0)+MATCH($C$182,Learning!$E$5:$S$5,0)-1)))</f>
        <v>101.85068249999999</v>
      </c>
      <c r="W183" s="778" cm="1">
        <f t="array" aca="1" ref="W183" ca="1">IF(W$21&lt;Standard_Year,'No STDs Case Rev &amp; Cost'!W183,
OFFSET(MSP!$C$1,
MATCH(OFFSET($C182,((MATCH($C182,EL_List,0)-1)*-10)-1,0),MSP!$C:$C,0)+MATCH($C182,EL_List,0)-1,
MATCH(OFFSET($C182,((MATCH($C182,EL_List,0)-1)*-10)-3,0),MSP!$D$5:$N$5,0)+1)
*INDEX(Learning!$E$6:$S$41,(MATCH(W$21,Dates,0)),(MATCH($C$151,Learning!$E$4:$S$4,0)+MATCH($C$182,Learning!$E$5:$S$5,0)-1)))</f>
        <v>101.31178999999999</v>
      </c>
      <c r="X183" s="778" cm="1">
        <f t="array" aca="1" ref="X183" ca="1">IF(X$21&lt;Standard_Year,'No STDs Case Rev &amp; Cost'!X183,
OFFSET(MSP!$C$1,
MATCH(OFFSET($C182,((MATCH($C182,EL_List,0)-1)*-10)-1,0),MSP!$C:$C,0)+MATCH($C182,EL_List,0)-1,
MATCH(OFFSET($C182,((MATCH($C182,EL_List,0)-1)*-10)-3,0),MSP!$D$5:$N$5,0)+1)
*INDEX(Learning!$E$6:$S$41,(MATCH(X$21,Dates,0)),(MATCH($C$151,Learning!$E$4:$S$4,0)+MATCH($C$182,Learning!$E$5:$S$5,0)-1)))</f>
        <v>100.88067599999999</v>
      </c>
      <c r="Y183" s="778" cm="1">
        <f t="array" aca="1" ref="Y183" ca="1">IF(Y$21&lt;Standard_Year,'No STDs Case Rev &amp; Cost'!Y183,
OFFSET(MSP!$C$1,
MATCH(OFFSET($C182,((MATCH($C182,EL_List,0)-1)*-10)-1,0),MSP!$C:$C,0)+MATCH($C182,EL_List,0)-1,
MATCH(OFFSET($C182,((MATCH($C182,EL_List,0)-1)*-10)-3,0),MSP!$D$5:$N$5,0)+1)
*INDEX(Learning!$E$6:$S$41,(MATCH(Y$21,Dates,0)),(MATCH($C$151,Learning!$E$4:$S$4,0)+MATCH($C$182,Learning!$E$5:$S$5,0)-1)))</f>
        <v>100.449562</v>
      </c>
      <c r="Z183" s="778" cm="1">
        <f t="array" aca="1" ref="Z183" ca="1">IF(Z$21&lt;Standard_Year,'No STDs Case Rev &amp; Cost'!Z183,
OFFSET(MSP!$C$1,
MATCH(OFFSET($C182,((MATCH($C182,EL_List,0)-1)*-10)-1,0),MSP!$C:$C,0)+MATCH($C182,EL_List,0)-1,
MATCH(OFFSET($C182,((MATCH($C182,EL_List,0)-1)*-10)-3,0),MSP!$D$5:$N$5,0)+1)
*INDEX(Learning!$E$6:$S$41,(MATCH(Z$21,Dates,0)),(MATCH($C$151,Learning!$E$4:$S$4,0)+MATCH($C$182,Learning!$E$5:$S$5,0)-1)))</f>
        <v>100.01844800000001</v>
      </c>
      <c r="AA183" s="778" cm="1">
        <f t="array" aca="1" ref="AA183" ca="1">IF(AA$21&lt;Standard_Year,'No STDs Case Rev &amp; Cost'!AA183,
OFFSET(MSP!$C$1,
MATCH(OFFSET($C182,((MATCH($C182,EL_List,0)-1)*-10)-1,0),MSP!$C:$C,0)+MATCH($C182,EL_List,0)-1,
MATCH(OFFSET($C182,((MATCH($C182,EL_List,0)-1)*-10)-3,0),MSP!$D$5:$N$5,0)+1)
*INDEX(Learning!$E$6:$S$41,(MATCH(AA$21,Dates,0)),(MATCH($C$151,Learning!$E$4:$S$4,0)+MATCH($C$182,Learning!$E$5:$S$5,0)-1)))</f>
        <v>99.587333999999998</v>
      </c>
      <c r="AB183" s="778" cm="1">
        <f t="array" aca="1" ref="AB183" ca="1">IF(AB$21&lt;Standard_Year,'No STDs Case Rev &amp; Cost'!AB183,
OFFSET(MSP!$C$1,
MATCH(OFFSET($C182,((MATCH($C182,EL_List,0)-1)*-10)-1,0),MSP!$C:$C,0)+MATCH($C182,EL_List,0)-1,
MATCH(OFFSET($C182,((MATCH($C182,EL_List,0)-1)*-10)-3,0),MSP!$D$5:$N$5,0)+1)
*INDEX(Learning!$E$6:$S$41,(MATCH(AB$21,Dates,0)),(MATCH($C$151,Learning!$E$4:$S$4,0)+MATCH($C$182,Learning!$E$5:$S$5,0)-1)))</f>
        <v>99.156220000000005</v>
      </c>
      <c r="AC183" s="778" cm="1">
        <f t="array" aca="1" ref="AC183" ca="1">IF(AC$21&lt;Standard_Year,'No STDs Case Rev &amp; Cost'!AC183,
OFFSET(MSP!$C$1,
MATCH(OFFSET($C182,((MATCH($C182,EL_List,0)-1)*-10)-1,0),MSP!$C:$C,0)+MATCH($C182,EL_List,0)-1,
MATCH(OFFSET($C182,((MATCH($C182,EL_List,0)-1)*-10)-3,0),MSP!$D$5:$N$5,0)+1)
*INDEX(Learning!$E$6:$S$41,(MATCH(AC$21,Dates,0)),(MATCH($C$151,Learning!$E$4:$S$4,0)+MATCH($C$182,Learning!$E$5:$S$5,0)-1)))</f>
        <v>98.725105999999997</v>
      </c>
      <c r="AD183" s="778" cm="1">
        <f t="array" aca="1" ref="AD183" ca="1">IF(AD$21&lt;Standard_Year,'No STDs Case Rev &amp; Cost'!AD183,
OFFSET(MSP!$C$1,
MATCH(OFFSET($C182,((MATCH($C182,EL_List,0)-1)*-10)-1,0),MSP!$C:$C,0)+MATCH($C182,EL_List,0)-1,
MATCH(OFFSET($C182,((MATCH($C182,EL_List,0)-1)*-10)-3,0),MSP!$D$5:$N$5,0)+1)
*INDEX(Learning!$E$6:$S$41,(MATCH(AD$21,Dates,0)),(MATCH($C$151,Learning!$E$4:$S$4,0)+MATCH($C$182,Learning!$E$5:$S$5,0)-1)))</f>
        <v>98.293992000000003</v>
      </c>
      <c r="AE183" s="778" cm="1">
        <f t="array" aca="1" ref="AE183" ca="1">IF(AE$21&lt;Standard_Year,'No STDs Case Rev &amp; Cost'!AE183,
OFFSET(MSP!$C$1,
MATCH(OFFSET($C182,((MATCH($C182,EL_List,0)-1)*-10)-1,0),MSP!$C:$C,0)+MATCH($C182,EL_List,0)-1,
MATCH(OFFSET($C182,((MATCH($C182,EL_List,0)-1)*-10)-3,0),MSP!$D$5:$N$5,0)+1)
*INDEX(Learning!$E$6:$S$41,(MATCH(AE$21,Dates,0)),(MATCH($C$151,Learning!$E$4:$S$4,0)+MATCH($C$182,Learning!$E$5:$S$5,0)-1)))</f>
        <v>97.862877999999995</v>
      </c>
      <c r="AF183" s="778" cm="1">
        <f t="array" aca="1" ref="AF183" ca="1">IF(AF$21&lt;Standard_Year,'No STDs Case Rev &amp; Cost'!AF183,
OFFSET(MSP!$C$1,
MATCH(OFFSET($C182,((MATCH($C182,EL_List,0)-1)*-10)-1,0),MSP!$C:$C,0)+MATCH($C182,EL_List,0)-1,
MATCH(OFFSET($C182,((MATCH($C182,EL_List,0)-1)*-10)-3,0),MSP!$D$5:$N$5,0)+1)
*INDEX(Learning!$E$6:$S$41,(MATCH(AF$21,Dates,0)),(MATCH($C$151,Learning!$E$4:$S$4,0)+MATCH($C$182,Learning!$E$5:$S$5,0)-1)))</f>
        <v>97.431764000000001</v>
      </c>
      <c r="AG183" s="778" cm="1">
        <f t="array" aca="1" ref="AG183" ca="1">IF(AG$21&lt;Standard_Year,'No STDs Case Rev &amp; Cost'!AG183,
OFFSET(MSP!$C$1,
MATCH(OFFSET($C182,((MATCH($C182,EL_List,0)-1)*-10)-1,0),MSP!$C:$C,0)+MATCH($C182,EL_List,0)-1,
MATCH(OFFSET($C182,((MATCH($C182,EL_List,0)-1)*-10)-3,0),MSP!$D$5:$N$5,0)+1)
*INDEX(Learning!$E$6:$S$41,(MATCH(AG$21,Dates,0)),(MATCH($C$151,Learning!$E$4:$S$4,0)+MATCH($C$182,Learning!$E$5:$S$5,0)-1)))</f>
        <v>97.108428500000002</v>
      </c>
      <c r="AH183" s="778" cm="1">
        <f t="array" aca="1" ref="AH183" ca="1">IF(AH$21&lt;Standard_Year,'No STDs Case Rev &amp; Cost'!AH183,
OFFSET(MSP!$C$1,
MATCH(OFFSET($C182,((MATCH($C182,EL_List,0)-1)*-10)-1,0),MSP!$C:$C,0)+MATCH($C182,EL_List,0)-1,
MATCH(OFFSET($C182,((MATCH($C182,EL_List,0)-1)*-10)-3,0),MSP!$D$5:$N$5,0)+1)
*INDEX(Learning!$E$6:$S$41,(MATCH(AH$21,Dates,0)),(MATCH($C$151,Learning!$E$4:$S$4,0)+MATCH($C$182,Learning!$E$5:$S$5,0)-1)))</f>
        <v>96.677314499999994</v>
      </c>
      <c r="AI183" s="778" cm="1">
        <f t="array" aca="1" ref="AI183" ca="1">IF(AI$21&lt;Standard_Year,'No STDs Case Rev &amp; Cost'!AI183,
OFFSET(MSP!$C$1,
MATCH(OFFSET($C182,((MATCH($C182,EL_List,0)-1)*-10)-1,0),MSP!$C:$C,0)+MATCH($C182,EL_List,0)-1,
MATCH(OFFSET($C182,((MATCH($C182,EL_List,0)-1)*-10)-3,0),MSP!$D$5:$N$5,0)+1)
*INDEX(Learning!$E$6:$S$41,(MATCH(AI$21,Dates,0)),(MATCH($C$151,Learning!$E$4:$S$4,0)+MATCH($C$182,Learning!$E$5:$S$5,0)-1)))</f>
        <v>96.2462005</v>
      </c>
      <c r="AJ183" s="778" cm="1">
        <f t="array" aca="1" ref="AJ183" ca="1">IF(AJ$21&lt;Standard_Year,'No STDs Case Rev &amp; Cost'!AJ183,
OFFSET(MSP!$C$1,
MATCH(OFFSET($C182,((MATCH($C182,EL_List,0)-1)*-10)-1,0),MSP!$C:$C,0)+MATCH($C182,EL_List,0)-1,
MATCH(OFFSET($C182,((MATCH($C182,EL_List,0)-1)*-10)-3,0),MSP!$D$5:$N$5,0)+1)
*INDEX(Learning!$E$6:$S$41,(MATCH(AJ$21,Dates,0)),(MATCH($C$151,Learning!$E$4:$S$4,0)+MATCH($C$182,Learning!$E$5:$S$5,0)-1)))</f>
        <v>95.922865000000002</v>
      </c>
      <c r="AK183" s="778" cm="1">
        <f t="array" aca="1" ref="AK183" ca="1">IF(AK$21&lt;Standard_Year,'No STDs Case Rev &amp; Cost'!AK183,
OFFSET(MSP!$C$1,
MATCH(OFFSET($C182,((MATCH($C182,EL_List,0)-1)*-10)-1,0),MSP!$C:$C,0)+MATCH($C182,EL_List,0)-1,
MATCH(OFFSET($C182,((MATCH($C182,EL_List,0)-1)*-10)-3,0),MSP!$D$5:$N$5,0)+1)
*INDEX(Learning!$E$6:$S$41,(MATCH(AK$21,Dates,0)),(MATCH($C$151,Learning!$E$4:$S$4,0)+MATCH($C$182,Learning!$E$5:$S$5,0)-1)))</f>
        <v>95.491750999999994</v>
      </c>
      <c r="AL183" s="778" cm="1">
        <f t="array" aca="1" ref="AL183" ca="1">IF(AL$21&lt;Standard_Year,'No STDs Case Rev &amp; Cost'!AL183,
OFFSET(MSP!$C$1,
MATCH(OFFSET($C182,((MATCH($C182,EL_List,0)-1)*-10)-1,0),MSP!$C:$C,0)+MATCH($C182,EL_List,0)-1,
MATCH(OFFSET($C182,((MATCH($C182,EL_List,0)-1)*-10)-3,0),MSP!$D$5:$N$5,0)+1)
*INDEX(Learning!$E$6:$S$41,(MATCH(AL$21,Dates,0)),(MATCH($C$151,Learning!$E$4:$S$4,0)+MATCH($C$182,Learning!$E$5:$S$5,0)-1)))</f>
        <v>95.168415499999995</v>
      </c>
      <c r="AM183" s="778" cm="1">
        <f t="array" aca="1" ref="AM183" ca="1">IF(AM$21&lt;Standard_Year,'No STDs Case Rev &amp; Cost'!AM183,
OFFSET(MSP!$C$1,
MATCH(OFFSET($C182,((MATCH($C182,EL_List,0)-1)*-10)-1,0),MSP!$C:$C,0)+MATCH($C182,EL_List,0)-1,
MATCH(OFFSET($C182,((MATCH($C182,EL_List,0)-1)*-10)-3,0),MSP!$D$5:$N$5,0)+1)
*INDEX(Learning!$E$6:$S$41,(MATCH(AM$21,Dates,0)),(MATCH($C$151,Learning!$E$4:$S$4,0)+MATCH($C$182,Learning!$E$5:$S$5,0)-1)))</f>
        <v>94.737301500000001</v>
      </c>
      <c r="AN183" s="778" cm="1">
        <f t="array" aca="1" ref="AN183" ca="1">IF(AN$21&lt;Standard_Year,'No STDs Case Rev &amp; Cost'!AN183,
OFFSET(MSP!$C$1,
MATCH(OFFSET($C182,((MATCH($C182,EL_List,0)-1)*-10)-1,0),MSP!$C:$C,0)+MATCH($C182,EL_List,0)-1,
MATCH(OFFSET($C182,((MATCH($C182,EL_List,0)-1)*-10)-3,0),MSP!$D$5:$N$5,0)+1)
*INDEX(Learning!$E$6:$S$41,(MATCH(AN$21,Dates,0)),(MATCH($C$151,Learning!$E$4:$S$4,0)+MATCH($C$182,Learning!$E$5:$S$5,0)-1)))</f>
        <v>94.375328618973683</v>
      </c>
      <c r="AO183" s="436"/>
      <c r="AP183" s="21"/>
    </row>
    <row r="184" spans="2:42" ht="15" customHeight="1" x14ac:dyDescent="0.35">
      <c r="B184" s="429"/>
      <c r="C184" s="777" t="s">
        <v>78</v>
      </c>
      <c r="D184" s="776"/>
      <c r="E184" s="530">
        <f ca="1">OFFSET(OFFSET(Shipments!$D$1,0,MATCH(E$7,Dates)),
MATCH(OFFSET($C182,((MATCH($C182,EL_List,0)-1)*-10)-3,0),Shipments!$C:$C,0)+
MATCH(OFFSET($C182,((MATCH($C182,EL_List,0)-1)*-10)-1,0),Shipments!$D:$D,0)+
MATCH($C182,EL_List,0)-10,
MATCH(Shipments_Scenario_X,Shipments!$F$5:$AQ$5,0))</f>
        <v>0.11627504419682727</v>
      </c>
      <c r="F184" s="530">
        <f ca="1">OFFSET(OFFSET(Shipments!$D$1,0,MATCH(F$7,Dates)),
MATCH(OFFSET($C182,((MATCH($C182,EL_List,0)-1)*-10)-3,0),Shipments!$C:$C,0)+
MATCH(OFFSET($C182,((MATCH($C182,EL_List,0)-1)*-10)-1,0),Shipments!$D:$D,0)+
MATCH($C182,EL_List,0)-10,
MATCH(Shipments_Scenario_X,Shipments!$F$5:$AQ$5,0))</f>
        <v>0.12147469615329934</v>
      </c>
      <c r="G184" s="530">
        <f ca="1">OFFSET(OFFSET(Shipments!$D$1,0,MATCH(G$7,Dates)),
MATCH(OFFSET($C182,((MATCH($C182,EL_List,0)-1)*-10)-3,0),Shipments!$C:$C,0)+
MATCH(OFFSET($C182,((MATCH($C182,EL_List,0)-1)*-10)-1,0),Shipments!$D:$D,0)+
MATCH($C182,EL_List,0)-10,
MATCH(Shipments_Scenario_X,Shipments!$F$5:$AQ$5,0))</f>
        <v>0.12613415197434721</v>
      </c>
      <c r="H184" s="530">
        <f ca="1">OFFSET(OFFSET(Shipments!$D$1,0,MATCH(H$7,Dates)),
MATCH(OFFSET($C182,((MATCH($C182,EL_List,0)-1)*-10)-3,0),Shipments!$C:$C,0)+
MATCH(OFFSET($C182,((MATCH($C182,EL_List,0)-1)*-10)-1,0),Shipments!$D:$D,0)+
MATCH($C182,EL_List,0)-10,
MATCH(Shipments_Scenario_X,Shipments!$F$5:$AQ$5,0))</f>
        <v>0.13205778994210687</v>
      </c>
      <c r="I184" s="530">
        <f ca="1">OFFSET(OFFSET(Shipments!$D$1,0,MATCH(I$7,Dates)),
MATCH(OFFSET($C182,((MATCH($C182,EL_List,0)-1)*-10)-3,0),Shipments!$C:$C,0)+
MATCH(OFFSET($C182,((MATCH($C182,EL_List,0)-1)*-10)-1,0),Shipments!$D:$D,0)+
MATCH($C182,EL_List,0)-10,
MATCH(Shipments_Scenario_X,Shipments!$F$5:$AQ$5,0))</f>
        <v>0.13841402922599122</v>
      </c>
      <c r="J184" s="530">
        <f ca="1">OFFSET(OFFSET(Shipments!$D$1,0,MATCH(J$7,Dates)),
MATCH(OFFSET($C182,((MATCH($C182,EL_List,0)-1)*-10)-3,0),Shipments!$C:$C,0)+
MATCH(OFFSET($C182,((MATCH($C182,EL_List,0)-1)*-10)-1,0),Shipments!$D:$D,0)+
MATCH($C182,EL_List,0)-10,
MATCH(Shipments_Scenario_X,Shipments!$F$5:$AQ$5,0))</f>
        <v>0.14544841820086474</v>
      </c>
      <c r="K184" s="530">
        <f ca="1">OFFSET(OFFSET(Shipments!$D$1,0,MATCH(K$7,Dates)),
MATCH(OFFSET($C182,((MATCH($C182,EL_List,0)-1)*-10)-3,0),Shipments!$C:$C,0)+
MATCH(OFFSET($C182,((MATCH($C182,EL_List,0)-1)*-10)-1,0),Shipments!$D:$D,0)+
MATCH($C182,EL_List,0)-10,
MATCH(Shipments_Scenario_X,Shipments!$F$5:$AQ$5,0))</f>
        <v>0.15307821532375465</v>
      </c>
      <c r="L184" s="530">
        <f ca="1">OFFSET(OFFSET(Shipments!$D$1,0,MATCH(L$7,Dates)),
MATCH(OFFSET($C182,((MATCH($C182,EL_List,0)-1)*-10)-3,0),Shipments!$C:$C,0)+
MATCH(OFFSET($C182,((MATCH($C182,EL_List,0)-1)*-10)-1,0),Shipments!$D:$D,0)+
MATCH($C182,EL_List,0)-10,
MATCH(Shipments_Scenario_X,Shipments!$F$5:$AQ$5,0))</f>
        <v>0.16117923645197757</v>
      </c>
      <c r="M184" s="530">
        <f ca="1">OFFSET(OFFSET(Shipments!$D$1,0,MATCH(M$7,Dates)),
MATCH(OFFSET($C182,((MATCH($C182,EL_List,0)-1)*-10)-3,0),Shipments!$C:$C,0)+
MATCH(OFFSET($C182,((MATCH($C182,EL_List,0)-1)*-10)-1,0),Shipments!$D:$D,0)+
MATCH($C182,EL_List,0)-10,
MATCH(Shipments_Scenario_X,Shipments!$F$5:$AQ$5,0))</f>
        <v>0.16965457145046642</v>
      </c>
      <c r="N184" s="530">
        <f ca="1">OFFSET(OFFSET(Shipments!$D$1,0,MATCH(N$7,Dates)),
MATCH(OFFSET($C182,((MATCH($C182,EL_List,0)-1)*-10)-3,0),Shipments!$C:$C,0)+
MATCH(OFFSET($C182,((MATCH($C182,EL_List,0)-1)*-10)-1,0),Shipments!$D:$D,0)+
MATCH($C182,EL_List,0)-10,
MATCH(Shipments_Scenario_X,Shipments!$F$5:$AQ$5,0))</f>
        <v>0.1784396531944345</v>
      </c>
      <c r="O184" s="530">
        <f ca="1">OFFSET(OFFSET(Shipments!$D$1,0,MATCH(O$7,Dates)),
MATCH(OFFSET($C182,((MATCH($C182,EL_List,0)-1)*-10)-3,0),Shipments!$C:$C,0)+
MATCH(OFFSET($C182,((MATCH($C182,EL_List,0)-1)*-10)-1,0),Shipments!$D:$D,0)+
MATCH($C182,EL_List,0)-10,
MATCH(Shipments_Scenario_X,Shipments!$F$5:$AQ$5,0))</f>
        <v>0.18753068786387572</v>
      </c>
      <c r="P184" s="530">
        <f ca="1">OFFSET(OFFSET(Shipments!$D$1,0,MATCH(P$7,Dates)),
MATCH(OFFSET($C182,((MATCH($C182,EL_List,0)-1)*-10)-3,0),Shipments!$C:$C,0)+
MATCH(OFFSET($C182,((MATCH($C182,EL_List,0)-1)*-10)-1,0),Shipments!$D:$D,0)+
MATCH($C182,EL_List,0)-10,
MATCH(Shipments_Scenario_X,Shipments!$F$5:$AQ$5,0))</f>
        <v>0.19696661120530962</v>
      </c>
      <c r="Q184" s="530">
        <f ca="1">OFFSET(OFFSET(Shipments!$D$1,0,MATCH(Q$7,Dates)),
MATCH(OFFSET($C182,((MATCH($C182,EL_List,0)-1)*-10)-3,0),Shipments!$C:$C,0)+
MATCH(OFFSET($C182,((MATCH($C182,EL_List,0)-1)*-10)-1,0),Shipments!$D:$D,0)+
MATCH($C182,EL_List,0)-10,
MATCH(Shipments_Scenario_X,Shipments!$F$5:$AQ$5,0))</f>
        <v>0.20680691251880573</v>
      </c>
      <c r="R184" s="530">
        <f ca="1">OFFSET(OFFSET(Shipments!$D$1,0,MATCH(R$7,Dates)),
MATCH(OFFSET($C182,((MATCH($C182,EL_List,0)-1)*-10)-3,0),Shipments!$C:$C,0)+
MATCH(OFFSET($C182,((MATCH($C182,EL_List,0)-1)*-10)-1,0),Shipments!$D:$D,0)+
MATCH($C182,EL_List,0)-10,
MATCH(Shipments_Scenario_X,Shipments!$F$5:$AQ$5,0))</f>
        <v>0.21712103363684362</v>
      </c>
      <c r="S184" s="530">
        <f ca="1">OFFSET(OFFSET(Shipments!$D$1,0,MATCH(S$7,Dates)),
MATCH(OFFSET($C182,((MATCH($C182,EL_List,0)-1)*-10)-3,0),Shipments!$C:$C,0)+
MATCH(OFFSET($C182,((MATCH($C182,EL_List,0)-1)*-10)-1,0),Shipments!$D:$D,0)+
MATCH($C182,EL_List,0)-10,
MATCH(Shipments_Scenario_X,Shipments!$F$5:$AQ$5,0))</f>
        <v>0.22796733482307996</v>
      </c>
      <c r="T184" s="530">
        <f ca="1">OFFSET(OFFSET(Shipments!$D$1,0,MATCH(T$7,Dates)),
MATCH(OFFSET($C182,((MATCH($C182,EL_List,0)-1)*-10)-3,0),Shipments!$C:$C,0)+
MATCH(OFFSET($C182,((MATCH($C182,EL_List,0)-1)*-10)-1,0),Shipments!$D:$D,0)+
MATCH($C182,EL_List,0)-10,
MATCH(Shipments_Scenario_X,Shipments!$F$5:$AQ$5,0))</f>
        <v>0.23938274089407202</v>
      </c>
      <c r="U184" s="530">
        <f ca="1">OFFSET(OFFSET(Shipments!$D$1,0,MATCH(U$7,Dates)),
MATCH(OFFSET($C182,((MATCH($C182,EL_List,0)-1)*-10)-3,0),Shipments!$C:$C,0)+
MATCH(OFFSET($C182,((MATCH($C182,EL_List,0)-1)*-10)-1,0),Shipments!$D:$D,0)+
MATCH($C182,EL_List,0)-10,
MATCH(Shipments_Scenario_X,Shipments!$F$5:$AQ$5,0))</f>
        <v>0.25140829037634038</v>
      </c>
      <c r="V184" s="530">
        <f ca="1">OFFSET(OFFSET(Shipments!$D$1,0,MATCH(V$7,Dates)),
MATCH(OFFSET($C182,((MATCH($C182,EL_List,0)-1)*-10)-3,0),Shipments!$C:$C,0)+
MATCH(OFFSET($C182,((MATCH($C182,EL_List,0)-1)*-10)-1,0),Shipments!$D:$D,0)+
MATCH($C182,EL_List,0)-10,
MATCH(Shipments_Scenario_X,Shipments!$F$5:$AQ$5,0))</f>
        <v>0.26401988446893943</v>
      </c>
      <c r="W184" s="530">
        <f ca="1">OFFSET(OFFSET(Shipments!$D$1,0,MATCH(W$7,Dates)),
MATCH(OFFSET($C182,((MATCH($C182,EL_List,0)-1)*-10)-3,0),Shipments!$C:$C,0)+
MATCH(OFFSET($C182,((MATCH($C182,EL_List,0)-1)*-10)-1,0),Shipments!$D:$D,0)+
MATCH($C182,EL_List,0)-10,
MATCH(Shipments_Scenario_X,Shipments!$F$5:$AQ$5,0))</f>
        <v>0.27725584798942626</v>
      </c>
      <c r="X184" s="530">
        <f ca="1">OFFSET(OFFSET(Shipments!$D$1,0,MATCH(X$7,Dates)),
MATCH(OFFSET($C182,((MATCH($C182,EL_List,0)-1)*-10)-3,0),Shipments!$C:$C,0)+
MATCH(OFFSET($C182,((MATCH($C182,EL_List,0)-1)*-10)-1,0),Shipments!$D:$D,0)+
MATCH($C182,EL_List,0)-10,
MATCH(Shipments_Scenario_X,Shipments!$F$5:$AQ$5,0))</f>
        <v>0.29113216157481026</v>
      </c>
      <c r="Y184" s="530">
        <f ca="1">OFFSET(OFFSET(Shipments!$D$1,0,MATCH(Y$7,Dates)),
MATCH(OFFSET($C182,((MATCH($C182,EL_List,0)-1)*-10)-3,0),Shipments!$C:$C,0)+
MATCH(OFFSET($C182,((MATCH($C182,EL_List,0)-1)*-10)-1,0),Shipments!$D:$D,0)+
MATCH($C182,EL_List,0)-10,
MATCH(Shipments_Scenario_X,Shipments!$F$5:$AQ$5,0))</f>
        <v>0.30567246131827785</v>
      </c>
      <c r="Z184" s="530">
        <f ca="1">OFFSET(OFFSET(Shipments!$D$1,0,MATCH(Z$7,Dates)),
MATCH(OFFSET($C182,((MATCH($C182,EL_List,0)-1)*-10)-3,0),Shipments!$C:$C,0)+
MATCH(OFFSET($C182,((MATCH($C182,EL_List,0)-1)*-10)-1,0),Shipments!$D:$D,0)+
MATCH($C182,EL_List,0)-10,
MATCH(Shipments_Scenario_X,Shipments!$F$5:$AQ$5,0))</f>
        <v>0.32090843638218347</v>
      </c>
      <c r="AA184" s="530">
        <f ca="1">OFFSET(OFFSET(Shipments!$D$1,0,MATCH(AA$7,Dates)),
MATCH(OFFSET($C182,((MATCH($C182,EL_List,0)-1)*-10)-3,0),Shipments!$C:$C,0)+
MATCH(OFFSET($C182,((MATCH($C182,EL_List,0)-1)*-10)-1,0),Shipments!$D:$D,0)+
MATCH($C182,EL_List,0)-10,
MATCH(Shipments_Scenario_X,Shipments!$F$5:$AQ$5,0))</f>
        <v>0.33687664055059746</v>
      </c>
      <c r="AB184" s="530">
        <f ca="1">OFFSET(OFFSET(Shipments!$D$1,0,MATCH(AB$7,Dates)),
MATCH(OFFSET($C182,((MATCH($C182,EL_List,0)-1)*-10)-3,0),Shipments!$C:$C,0)+
MATCH(OFFSET($C182,((MATCH($C182,EL_List,0)-1)*-10)-1,0),Shipments!$D:$D,0)+
MATCH($C182,EL_List,0)-10,
MATCH(Shipments_Scenario_X,Shipments!$F$5:$AQ$5,0))</f>
        <v>0.35361897685058569</v>
      </c>
      <c r="AC184" s="530">
        <f ca="1">OFFSET(OFFSET(Shipments!$D$1,0,MATCH(AC$7,Dates)),
MATCH(OFFSET($C182,((MATCH($C182,EL_List,0)-1)*-10)-3,0),Shipments!$C:$C,0)+
MATCH(OFFSET($C182,((MATCH($C182,EL_List,0)-1)*-10)-1,0),Shipments!$D:$D,0)+
MATCH($C182,EL_List,0)-10,
MATCH(Shipments_Scenario_X,Shipments!$F$5:$AQ$5,0))</f>
        <v>0.37117777221438153</v>
      </c>
      <c r="AD184" s="530">
        <f ca="1">OFFSET(OFFSET(Shipments!$D$1,0,MATCH(AD$7,Dates)),
MATCH(OFFSET($C182,((MATCH($C182,EL_List,0)-1)*-10)-3,0),Shipments!$C:$C,0)+
MATCH(OFFSET($C182,((MATCH($C182,EL_List,0)-1)*-10)-1,0),Shipments!$D:$D,0)+
MATCH($C182,EL_List,0)-10,
MATCH(Shipments_Scenario_X,Shipments!$F$5:$AQ$5,0))</f>
        <v>0.3895955900826687</v>
      </c>
      <c r="AE184" s="530">
        <f ca="1">OFFSET(OFFSET(Shipments!$D$1,0,MATCH(AE$7,Dates)),
MATCH(OFFSET($C182,((MATCH($C182,EL_List,0)-1)*-10)-3,0),Shipments!$C:$C,0)+
MATCH(OFFSET($C182,((MATCH($C182,EL_List,0)-1)*-10)-1,0),Shipments!$D:$D,0)+
MATCH($C182,EL_List,0)-10,
MATCH(Shipments_Scenario_X,Shipments!$F$5:$AQ$5,0))</f>
        <v>0.40891500314529688</v>
      </c>
      <c r="AF184" s="530">
        <f ca="1">OFFSET(OFFSET(Shipments!$D$1,0,MATCH(AF$7,Dates)),
MATCH(OFFSET($C182,((MATCH($C182,EL_List,0)-1)*-10)-3,0),Shipments!$C:$C,0)+
MATCH(OFFSET($C182,((MATCH($C182,EL_List,0)-1)*-10)-1,0),Shipments!$D:$D,0)+
MATCH($C182,EL_List,0)-10,
MATCH(Shipments_Scenario_X,Shipments!$F$5:$AQ$5,0))</f>
        <v>0.42917900532137598</v>
      </c>
      <c r="AG184" s="530">
        <f ca="1">OFFSET(OFFSET(Shipments!$D$1,0,MATCH(AG$7,Dates)),
MATCH(OFFSET($C182,((MATCH($C182,EL_List,0)-1)*-10)-3,0),Shipments!$C:$C,0)+
MATCH(OFFSET($C182,((MATCH($C182,EL_List,0)-1)*-10)-1,0),Shipments!$D:$D,0)+
MATCH($C182,EL_List,0)-10,
MATCH(Shipments_Scenario_X,Shipments!$F$5:$AQ$5,0))</f>
        <v>0.45043192474672522</v>
      </c>
      <c r="AH184" s="530">
        <f ca="1">OFFSET(OFFSET(Shipments!$D$1,0,MATCH(AH$7,Dates)),
MATCH(OFFSET($C182,((MATCH($C182,EL_List,0)-1)*-10)-3,0),Shipments!$C:$C,0)+
MATCH(OFFSET($C182,((MATCH($C182,EL_List,0)-1)*-10)-1,0),Shipments!$D:$D,0)+
MATCH($C182,EL_List,0)-10,
MATCH(Shipments_Scenario_X,Shipments!$F$5:$AQ$5,0))</f>
        <v>0.47272024727991302</v>
      </c>
      <c r="AI184" s="530">
        <f ca="1">OFFSET(OFFSET(Shipments!$D$1,0,MATCH(AI$7,Dates)),
MATCH(OFFSET($C182,((MATCH($C182,EL_List,0)-1)*-10)-3,0),Shipments!$C:$C,0)+
MATCH(OFFSET($C182,((MATCH($C182,EL_List,0)-1)*-10)-1,0),Shipments!$D:$D,0)+
MATCH($C182,EL_List,0)-10,
MATCH(Shipments_Scenario_X,Shipments!$F$5:$AQ$5,0))</f>
        <v>0.49609323844450592</v>
      </c>
      <c r="AJ184" s="530">
        <f ca="1">OFFSET(OFFSET(Shipments!$D$1,0,MATCH(AJ$7,Dates)),
MATCH(OFFSET($C182,((MATCH($C182,EL_List,0)-1)*-10)-3,0),Shipments!$C:$C,0)+
MATCH(OFFSET($C182,((MATCH($C182,EL_List,0)-1)*-10)-1,0),Shipments!$D:$D,0)+
MATCH($C182,EL_List,0)-10,
MATCH(Shipments_Scenario_X,Shipments!$F$5:$AQ$5,0))</f>
        <v>0.5206032830931292</v>
      </c>
      <c r="AK184" s="530">
        <f ca="1">OFFSET(OFFSET(Shipments!$D$1,0,MATCH(AK$7,Dates)),
MATCH(OFFSET($C182,((MATCH($C182,EL_List,0)-1)*-10)-3,0),Shipments!$C:$C,0)+
MATCH(OFFSET($C182,((MATCH($C182,EL_List,0)-1)*-10)-1,0),Shipments!$D:$D,0)+
MATCH($C182,EL_List,0)-10,
MATCH(Shipments_Scenario_X,Shipments!$F$5:$AQ$5,0))</f>
        <v>0.54630591542798279</v>
      </c>
      <c r="AL184" s="530">
        <f ca="1">OFFSET(OFFSET(Shipments!$D$1,0,MATCH(AL$7,Dates)),
MATCH(OFFSET($C182,((MATCH($C182,EL_List,0)-1)*-10)-3,0),Shipments!$C:$C,0)+
MATCH(OFFSET($C182,((MATCH($C182,EL_List,0)-1)*-10)-1,0),Shipments!$D:$D,0)+
MATCH($C182,EL_List,0)-10,
MATCH(Shipments_Scenario_X,Shipments!$F$5:$AQ$5,0))</f>
        <v>0.57325971692529598</v>
      </c>
      <c r="AM184" s="530">
        <f ca="1">OFFSET(OFFSET(Shipments!$D$1,0,MATCH(AM$7,Dates)),
MATCH(OFFSET($C182,((MATCH($C182,EL_List,0)-1)*-10)-3,0),Shipments!$C:$C,0)+
MATCH(OFFSET($C182,((MATCH($C182,EL_List,0)-1)*-10)-1,0),Shipments!$D:$D,0)+
MATCH($C182,EL_List,0)-10,
MATCH(Shipments_Scenario_X,Shipments!$F$5:$AQ$5,0))</f>
        <v>0.60152624845703628</v>
      </c>
      <c r="AN184" s="530">
        <f ca="1">OFFSET(OFFSET(Shipments!$D$1,0,MATCH(AN$7,Dates)),
MATCH(OFFSET($C182,((MATCH($C182,EL_List,0)-1)*-10)-3,0),Shipments!$C:$C,0)+
MATCH(OFFSET($C182,((MATCH($C182,EL_List,0)-1)*-10)-1,0),Shipments!$D:$D,0)+
MATCH($C182,EL_List,0)-10,
MATCH(Shipments_Scenario_X,Shipments!$F$5:$AQ$5,0))</f>
        <v>0.63116980621258956</v>
      </c>
      <c r="AO184" s="436"/>
      <c r="AP184" s="21"/>
    </row>
    <row r="185" spans="2:42" ht="15" customHeight="1" x14ac:dyDescent="0.35">
      <c r="B185" s="429"/>
      <c r="C185" s="777" t="s">
        <v>79</v>
      </c>
      <c r="D185" s="776"/>
      <c r="E185" s="531">
        <f t="shared" ref="E185:AN185" ca="1" si="41">E183*E184</f>
        <v>13.033227845006458</v>
      </c>
      <c r="F185" s="531">
        <f t="shared" ca="1" si="41"/>
        <v>13.51131607661784</v>
      </c>
      <c r="G185" s="531">
        <f t="shared" ca="1" si="41"/>
        <v>13.934413441031358</v>
      </c>
      <c r="H185" s="531">
        <f t="shared" ca="1" si="41"/>
        <v>14.503417333027596</v>
      </c>
      <c r="I185" s="531">
        <f t="shared" ca="1" si="41"/>
        <v>15.097073126320694</v>
      </c>
      <c r="J185" s="531">
        <f t="shared" ca="1" si="41"/>
        <v>15.770269615108271</v>
      </c>
      <c r="K185" s="531">
        <f t="shared" ca="1" si="41"/>
        <v>16.498540430271291</v>
      </c>
      <c r="L185" s="531">
        <f t="shared" ca="1" si="41"/>
        <v>17.267426397923828</v>
      </c>
      <c r="M185" s="531">
        <f t="shared" ca="1" si="41"/>
        <v>18.08397896155428</v>
      </c>
      <c r="N185" s="531">
        <f t="shared" ca="1" si="41"/>
        <v>18.905014873065479</v>
      </c>
      <c r="O185" s="531">
        <f t="shared" ca="1" si="41"/>
        <v>19.76711716461412</v>
      </c>
      <c r="P185" s="531">
        <f t="shared" ca="1" si="41"/>
        <v>20.655589226335092</v>
      </c>
      <c r="Q185" s="531">
        <f t="shared" ca="1" si="41"/>
        <v>21.57607997863904</v>
      </c>
      <c r="R185" s="531">
        <f t="shared" ca="1" si="41"/>
        <v>22.53514308884689</v>
      </c>
      <c r="S185" s="531">
        <f t="shared" ca="1" si="41"/>
        <v>23.53803834558769</v>
      </c>
      <c r="T185" s="531">
        <f t="shared" ca="1" si="41"/>
        <v>24.61349835343696</v>
      </c>
      <c r="U185" s="531">
        <f t="shared" ca="1" si="41"/>
        <v>25.71449159468575</v>
      </c>
      <c r="V185" s="531">
        <f t="shared" ca="1" si="41"/>
        <v>26.890605426732627</v>
      </c>
      <c r="W185" s="531">
        <f t="shared" ca="1" si="41"/>
        <v>28.089286247776673</v>
      </c>
      <c r="X185" s="531">
        <f t="shared" ca="1" si="41"/>
        <v>29.36960926500808</v>
      </c>
      <c r="Y185" s="531">
        <f t="shared" ca="1" si="41"/>
        <v>30.704664854882953</v>
      </c>
      <c r="Z185" s="531">
        <f t="shared" ca="1" si="41"/>
        <v>32.096763757052727</v>
      </c>
      <c r="AA185" s="531">
        <f t="shared" ca="1" si="41"/>
        <v>33.548646519310296</v>
      </c>
      <c r="AB185" s="531">
        <f t="shared" ca="1" si="41"/>
        <v>35.063521064771585</v>
      </c>
      <c r="AC185" s="531">
        <f t="shared" ca="1" si="41"/>
        <v>36.644564906708673</v>
      </c>
      <c r="AD185" s="531">
        <f t="shared" ca="1" si="41"/>
        <v>38.294905814821121</v>
      </c>
      <c r="AE185" s="531">
        <f t="shared" ca="1" si="41"/>
        <v>40.017599065177805</v>
      </c>
      <c r="AF185" s="531">
        <f t="shared" ca="1" si="41"/>
        <v>41.815667560227048</v>
      </c>
      <c r="AG185" s="531">
        <f t="shared" ca="1" si="41"/>
        <v>43.740736358384751</v>
      </c>
      <c r="AH185" s="531">
        <f t="shared" ca="1" si="41"/>
        <v>45.701324016797919</v>
      </c>
      <c r="AI185" s="531">
        <f t="shared" ca="1" si="41"/>
        <v>47.747089294024228</v>
      </c>
      <c r="AJ185" s="531">
        <f t="shared" ca="1" si="41"/>
        <v>49.937758442699014</v>
      </c>
      <c r="AK185" s="531">
        <f t="shared" ca="1" si="41"/>
        <v>52.167708445875988</v>
      </c>
      <c r="AL185" s="531">
        <f t="shared" ca="1" si="41"/>
        <v>54.556218929758948</v>
      </c>
      <c r="AM185" s="531">
        <f t="shared" ref="AM185" ca="1" si="42">AM183*AM184</f>
        <v>56.986973560238155</v>
      </c>
      <c r="AN185" s="531">
        <f t="shared" ca="1" si="41"/>
        <v>59.566857875687077</v>
      </c>
      <c r="AO185" s="436"/>
      <c r="AP185" s="21"/>
    </row>
    <row r="186" spans="2:42" ht="15" customHeight="1" x14ac:dyDescent="0.35">
      <c r="B186" s="429"/>
      <c r="C186" s="777"/>
      <c r="D186" s="776"/>
      <c r="E186" s="776"/>
      <c r="F186" s="776"/>
      <c r="G186" s="776"/>
      <c r="H186" s="776"/>
      <c r="I186" s="776"/>
      <c r="J186" s="776"/>
      <c r="K186" s="776"/>
      <c r="L186" s="776"/>
      <c r="M186" s="776"/>
      <c r="N186" s="776"/>
      <c r="O186" s="776"/>
      <c r="P186" s="776"/>
      <c r="Q186" s="776"/>
      <c r="R186" s="776"/>
      <c r="S186" s="776"/>
      <c r="T186" s="776"/>
      <c r="U186" s="776"/>
      <c r="V186" s="776"/>
      <c r="W186" s="776"/>
      <c r="X186" s="776"/>
      <c r="Y186" s="776"/>
      <c r="Z186" s="776"/>
      <c r="AA186" s="776"/>
      <c r="AB186" s="776"/>
      <c r="AC186" s="776"/>
      <c r="AD186" s="776"/>
      <c r="AE186" s="776"/>
      <c r="AF186" s="776"/>
      <c r="AG186" s="776"/>
      <c r="AH186" s="776"/>
      <c r="AI186" s="776"/>
      <c r="AJ186" s="776"/>
      <c r="AK186" s="776"/>
      <c r="AL186" s="776"/>
      <c r="AM186" s="776"/>
      <c r="AN186" s="776"/>
      <c r="AO186" s="436"/>
      <c r="AP186" s="21"/>
    </row>
    <row r="187" spans="2:42" ht="15" customHeight="1" x14ac:dyDescent="0.35">
      <c r="B187" s="429"/>
      <c r="C187" s="780" t="s">
        <v>212</v>
      </c>
      <c r="D187" s="776"/>
      <c r="E187" s="532" cm="1">
        <f t="array" aca="1" ref="E187" ca="1">IF(E$21&lt;Standard_Year,'No STDs Case Rev &amp; Cost'!E187,
OFFSET(E187,-3,0)*
OFFSET(MSP!$D$1,
MATCH(OFFSET($C182,((MATCH($C182,EL_List,0)-1)*-10)-1,0),MSP!$C:$C,0)+MATCH($C182,EL_List,0)-1,0)
*INDEX(Learning!$E$6:$S$41,(MATCH(E$21,Dates,0)),(MATCH($C$151,Learning!$E$4:$S$4,0)+MATCH($C$182,Learning!$E$5:$S$5,0)-1)))</f>
        <v>7.9641218544891617</v>
      </c>
      <c r="F187" s="532" cm="1">
        <f t="array" aca="1" ref="F187" ca="1">IF(F$21&lt;Standard_Year,'No STDs Case Rev &amp; Cost'!F187,
OFFSET(F187,-3,0)*
OFFSET(MSP!$D$1,
MATCH(OFFSET($C182,((MATCH($C182,EL_List,0)-1)*-10)-1,0),MSP!$C:$C,0)+MATCH($C182,EL_List,0)-1,0)
*INDEX(Learning!$E$6:$S$41,(MATCH(F$21,Dates,0)),(MATCH($C$151,Learning!$E$4:$S$4,0)+MATCH($C$182,Learning!$E$5:$S$5,0)-1)))</f>
        <v>8.2562638302936513</v>
      </c>
      <c r="G187" s="532" cm="1">
        <f t="array" aca="1" ref="G187" ca="1">IF(G$21&lt;Standard_Year,'No STDs Case Rev &amp; Cost'!G187,
OFFSET(G187,-3,0)*
OFFSET(MSP!$D$1,
MATCH(OFFSET($C182,((MATCH($C182,EL_List,0)-1)*-10)-1,0),MSP!$C:$C,0)+MATCH($C182,EL_List,0)-1,0)
*INDEX(Learning!$E$6:$S$41,(MATCH(G$21,Dates,0)),(MATCH($C$151,Learning!$E$4:$S$4,0)+MATCH($C$182,Learning!$E$5:$S$5,0)-1)))</f>
        <v>8.5148029279427035</v>
      </c>
      <c r="H187" s="532" cm="1">
        <f t="array" aca="1" ref="H187" ca="1">IF(H$21&lt;Standard_Year,'No STDs Case Rev &amp; Cost'!H187,
OFFSET(H187,-3,0)*
OFFSET(MSP!$D$1,
MATCH(OFFSET($C182,((MATCH($C182,EL_List,0)-1)*-10)-1,0),MSP!$C:$C,0)+MATCH($C182,EL_List,0)-1,0)
*INDEX(Learning!$E$6:$S$41,(MATCH(H$21,Dates,0)),(MATCH($C$151,Learning!$E$4:$S$4,0)+MATCH($C$182,Learning!$E$5:$S$5,0)-1)))</f>
        <v>8.8625000897991093</v>
      </c>
      <c r="I187" s="532" cm="1">
        <f t="array" aca="1" ref="I187" ca="1">IF(I$21&lt;Standard_Year,'No STDs Case Rev &amp; Cost'!I187,
OFFSET(I187,-3,0)*
OFFSET(MSP!$D$1,
MATCH(OFFSET($C182,((MATCH($C182,EL_List,0)-1)*-10)-1,0),MSP!$C:$C,0)+MATCH($C182,EL_List,0)-1,0)
*INDEX(Learning!$E$6:$S$41,(MATCH(I$21,Dates,0)),(MATCH($C$151,Learning!$E$4:$S$4,0)+MATCH($C$182,Learning!$E$5:$S$5,0)-1)))</f>
        <v>9.2252611136709621</v>
      </c>
      <c r="J187" s="532" cm="1">
        <f t="array" aca="1" ref="J187" ca="1">IF(J$21&lt;Standard_Year,'No STDs Case Rev &amp; Cost'!J187,
OFFSET(J187,-3,0)*
OFFSET(MSP!$D$1,
MATCH(OFFSET($C182,((MATCH($C182,EL_List,0)-1)*-10)-1,0),MSP!$C:$C,0)+MATCH($C182,EL_List,0)-1,0)
*INDEX(Learning!$E$6:$S$41,(MATCH(J$21,Dates,0)),(MATCH($C$151,Learning!$E$4:$S$4,0)+MATCH($C$182,Learning!$E$5:$S$5,0)-1)))</f>
        <v>9.6366265046913195</v>
      </c>
      <c r="K187" s="532" cm="1">
        <f t="array" aca="1" ref="K187" ca="1">IF(K$21&lt;Standard_Year,'No STDs Case Rev &amp; Cost'!K187,
OFFSET(K187,-3,0)*
OFFSET(MSP!$D$1,
MATCH(OFFSET($C182,((MATCH($C182,EL_List,0)-1)*-10)-1,0),MSP!$C:$C,0)+MATCH($C182,EL_List,0)-1,0)
*INDEX(Learning!$E$6:$S$41,(MATCH(K$21,Dates,0)),(MATCH($C$151,Learning!$E$4:$S$4,0)+MATCH($C$182,Learning!$E$5:$S$5,0)-1)))</f>
        <v>10.081645772673246</v>
      </c>
      <c r="L187" s="532" cm="1">
        <f t="array" aca="1" ref="L187" ca="1">IF(L$21&lt;Standard_Year,'No STDs Case Rev &amp; Cost'!L187,
OFFSET(L187,-3,0)*
OFFSET(MSP!$D$1,
MATCH(OFFSET($C182,((MATCH($C182,EL_List,0)-1)*-10)-1,0),MSP!$C:$C,0)+MATCH($C182,EL_List,0)-1,0)
*INDEX(Learning!$E$6:$S$41,(MATCH(L$21,Dates,0)),(MATCH($C$151,Learning!$E$4:$S$4,0)+MATCH($C$182,Learning!$E$5:$S$5,0)-1)))</f>
        <v>10.55148345305553</v>
      </c>
      <c r="M187" s="532" cm="1">
        <f t="array" aca="1" ref="M187" ca="1">IF(M$21&lt;Standard_Year,'No STDs Case Rev &amp; Cost'!M187,
OFFSET(M187,-3,0)*
OFFSET(MSP!$D$1,
MATCH(OFFSET($C182,((MATCH($C182,EL_List,0)-1)*-10)-1,0),MSP!$C:$C,0)+MATCH($C182,EL_List,0)-1,0)
*INDEX(Learning!$E$6:$S$41,(MATCH(M$21,Dates,0)),(MATCH($C$151,Learning!$E$4:$S$4,0)+MATCH($C$182,Learning!$E$5:$S$5,0)-1)))</f>
        <v>11.050448421264846</v>
      </c>
      <c r="N187" s="532" cm="1">
        <f t="array" aca="1" ref="N187" ca="1">IF(N$21&lt;Standard_Year,'No STDs Case Rev &amp; Cost'!N187,
OFFSET(N187,-3,0)*
OFFSET(MSP!$D$1,
MATCH(OFFSET($C182,((MATCH($C182,EL_List,0)-1)*-10)-1,0),MSP!$C:$C,0)+MATCH($C182,EL_List,0)-1,0)
*INDEX(Learning!$E$6:$S$41,(MATCH(N$21,Dates,0)),(MATCH($C$151,Learning!$E$4:$S$4,0)+MATCH($C$182,Learning!$E$5:$S$5,0)-1)))</f>
        <v>11.552152996980682</v>
      </c>
      <c r="O187" s="532" cm="1">
        <f t="array" aca="1" ref="O187" ca="1">IF(O$21&lt;Standard_Year,'No STDs Case Rev &amp; Cost'!O187,
OFFSET(O187,-3,0)*
OFFSET(MSP!$D$1,
MATCH(OFFSET($C182,((MATCH($C182,EL_List,0)-1)*-10)-1,0),MSP!$C:$C,0)+MATCH($C182,EL_List,0)-1,0)
*INDEX(Learning!$E$6:$S$41,(MATCH(O$21,Dates,0)),(MATCH($C$151,Learning!$E$4:$S$4,0)+MATCH($C$182,Learning!$E$5:$S$5,0)-1)))</f>
        <v>12.078951713505715</v>
      </c>
      <c r="P187" s="532" cm="1">
        <f t="array" aca="1" ref="P187" ca="1">IF(P$21&lt;Standard_Year,'No STDs Case Rev &amp; Cost'!P187,
OFFSET(P187,-3,0)*
OFFSET(MSP!$D$1,
MATCH(OFFSET($C182,((MATCH($C182,EL_List,0)-1)*-10)-1,0),MSP!$C:$C,0)+MATCH($C182,EL_List,0)-1,0)
*INDEX(Learning!$E$6:$S$41,(MATCH(P$21,Dates,0)),(MATCH($C$151,Learning!$E$4:$S$4,0)+MATCH($C$182,Learning!$E$5:$S$5,0)-1)))</f>
        <v>12.621864017963439</v>
      </c>
      <c r="Q187" s="532" cm="1">
        <f t="array" aca="1" ref="Q187" ca="1">IF(Q$21&lt;Standard_Year,'No STDs Case Rev &amp; Cost'!Q187,
OFFSET(Q187,-3,0)*
OFFSET(MSP!$D$1,
MATCH(OFFSET($C182,((MATCH($C182,EL_List,0)-1)*-10)-1,0),MSP!$C:$C,0)+MATCH($C182,EL_List,0)-1,0)
*INDEX(Learning!$E$6:$S$41,(MATCH(Q$21,Dates,0)),(MATCH($C$151,Learning!$E$4:$S$4,0)+MATCH($C$182,Learning!$E$5:$S$5,0)-1)))</f>
        <v>13.184341755977343</v>
      </c>
      <c r="R187" s="532" cm="1">
        <f t="array" aca="1" ref="R187" ca="1">IF(R$21&lt;Standard_Year,'No STDs Case Rev &amp; Cost'!R187,
OFFSET(R187,-3,0)*
OFFSET(MSP!$D$1,
MATCH(OFFSET($C182,((MATCH($C182,EL_List,0)-1)*-10)-1,0),MSP!$C:$C,0)+MATCH($C182,EL_List,0)-1,0)
*INDEX(Learning!$E$6:$S$41,(MATCH(R$21,Dates,0)),(MATCH($C$151,Learning!$E$4:$S$4,0)+MATCH($C$182,Learning!$E$5:$S$5,0)-1)))</f>
        <v>13.770389630431341</v>
      </c>
      <c r="S187" s="532" cm="1">
        <f t="array" aca="1" ref="S187" ca="1">IF(S$21&lt;Standard_Year,'No STDs Case Rev &amp; Cost'!S187,
OFFSET(S187,-3,0)*
OFFSET(MSP!$D$1,
MATCH(OFFSET($C182,((MATCH($C182,EL_List,0)-1)*-10)-1,0),MSP!$C:$C,0)+MATCH($C182,EL_List,0)-1,0)
*INDEX(Learning!$E$6:$S$41,(MATCH(S$21,Dates,0)),(MATCH($C$151,Learning!$E$4:$S$4,0)+MATCH($C$182,Learning!$E$5:$S$5,0)-1)))</f>
        <v>14.383221702958416</v>
      </c>
      <c r="T187" s="532" cm="1">
        <f t="array" aca="1" ref="T187" ca="1">IF(T$21&lt;Standard_Year,'No STDs Case Rev &amp; Cost'!T187,
OFFSET(T187,-3,0)*
OFFSET(MSP!$D$1,
MATCH(OFFSET($C182,((MATCH($C182,EL_List,0)-1)*-10)-1,0),MSP!$C:$C,0)+MATCH($C182,EL_List,0)-1,0)
*INDEX(Learning!$E$6:$S$41,(MATCH(T$21,Dates,0)),(MATCH($C$151,Learning!$E$4:$S$4,0)+MATCH($C$182,Learning!$E$5:$S$5,0)-1)))</f>
        <v>15.040395401906913</v>
      </c>
      <c r="U187" s="532" cm="1">
        <f t="array" aca="1" ref="U187" ca="1">IF(U$21&lt;Standard_Year,'No STDs Case Rev &amp; Cost'!U187,
OFFSET(U187,-3,0)*
OFFSET(MSP!$D$1,
MATCH(OFFSET($C182,((MATCH($C182,EL_List,0)-1)*-10)-1,0),MSP!$C:$C,0)+MATCH($C182,EL_List,0)-1,0)
*INDEX(Learning!$E$6:$S$41,(MATCH(U$21,Dates,0)),(MATCH($C$151,Learning!$E$4:$S$4,0)+MATCH($C$182,Learning!$E$5:$S$5,0)-1)))</f>
        <v>15.713171512211311</v>
      </c>
      <c r="V187" s="532" cm="1">
        <f t="array" aca="1" ref="V187" ca="1">IF(V$21&lt;Standard_Year,'No STDs Case Rev &amp; Cost'!V187,
OFFSET(V187,-3,0)*
OFFSET(MSP!$D$1,
MATCH(OFFSET($C182,((MATCH($C182,EL_List,0)-1)*-10)-1,0),MSP!$C:$C,0)+MATCH($C182,EL_List,0)-1,0)
*INDEX(Learning!$E$6:$S$41,(MATCH(V$21,Dates,0)),(MATCH($C$151,Learning!$E$4:$S$4,0)+MATCH($C$182,Learning!$E$5:$S$5,0)-1)))</f>
        <v>16.431851027720604</v>
      </c>
      <c r="W187" s="532" cm="1">
        <f t="array" aca="1" ref="W187" ca="1">IF(W$21&lt;Standard_Year,'No STDs Case Rev &amp; Cost'!W187,
OFFSET(W187,-3,0)*
OFFSET(MSP!$D$1,
MATCH(OFFSET($C182,((MATCH($C182,EL_List,0)-1)*-10)-1,0),MSP!$C:$C,0)+MATCH($C182,EL_List,0)-1,0)
*INDEX(Learning!$E$6:$S$41,(MATCH(W$21,Dates,0)),(MATCH($C$151,Learning!$E$4:$S$4,0)+MATCH($C$182,Learning!$E$5:$S$5,0)-1)))</f>
        <v>17.164320392713066</v>
      </c>
      <c r="X187" s="532" cm="1">
        <f t="array" aca="1" ref="X187" ca="1">IF(X$21&lt;Standard_Year,'No STDs Case Rev &amp; Cost'!X187,
OFFSET(X187,-3,0)*
OFFSET(MSP!$D$1,
MATCH(OFFSET($C182,((MATCH($C182,EL_List,0)-1)*-10)-1,0),MSP!$C:$C,0)+MATCH($C182,EL_List,0)-1,0)
*INDEX(Learning!$E$6:$S$41,(MATCH(X$21,Dates,0)),(MATCH($C$151,Learning!$E$4:$S$4,0)+MATCH($C$182,Learning!$E$5:$S$5,0)-1)))</f>
        <v>17.946678273937774</v>
      </c>
      <c r="Y187" s="532" cm="1">
        <f t="array" aca="1" ref="Y187" ca="1">IF(Y$21&lt;Standard_Year,'No STDs Case Rev &amp; Cost'!Y187,
OFFSET(Y187,-3,0)*
OFFSET(MSP!$D$1,
MATCH(OFFSET($C182,((MATCH($C182,EL_List,0)-1)*-10)-1,0),MSP!$C:$C,0)+MATCH($C182,EL_List,0)-1,0)
*INDEX(Learning!$E$6:$S$41,(MATCH(Y$21,Dates,0)),(MATCH($C$151,Learning!$E$4:$S$4,0)+MATCH($C$182,Learning!$E$5:$S$5,0)-1)))</f>
        <v>18.762481199101408</v>
      </c>
      <c r="Z187" s="532" cm="1">
        <f t="array" aca="1" ref="Z187" ca="1">IF(Z$21&lt;Standard_Year,'No STDs Case Rev &amp; Cost'!Z187,
OFFSET(Z187,-3,0)*
OFFSET(MSP!$D$1,
MATCH(OFFSET($C182,((MATCH($C182,EL_List,0)-1)*-10)-1,0),MSP!$C:$C,0)+MATCH($C182,EL_List,0)-1,0)
*INDEX(Learning!$E$6:$S$41,(MATCH(Z$21,Dates,0)),(MATCH($C$151,Learning!$E$4:$S$4,0)+MATCH($C$182,Learning!$E$5:$S$5,0)-1)))</f>
        <v>19.613141175450124</v>
      </c>
      <c r="AA187" s="532" cm="1">
        <f t="array" aca="1" ref="AA187" ca="1">IF(AA$21&lt;Standard_Year,'No STDs Case Rev &amp; Cost'!AA187,
OFFSET(AA187,-3,0)*
OFFSET(MSP!$D$1,
MATCH(OFFSET($C182,((MATCH($C182,EL_List,0)-1)*-10)-1,0),MSP!$C:$C,0)+MATCH($C182,EL_List,0)-1,0)
*INDEX(Learning!$E$6:$S$41,(MATCH(AA$21,Dates,0)),(MATCH($C$151,Learning!$E$4:$S$4,0)+MATCH($C$182,Learning!$E$5:$S$5,0)-1)))</f>
        <v>20.500332850034546</v>
      </c>
      <c r="AB187" s="532" cm="1">
        <f t="array" aca="1" ref="AB187" ca="1">IF(AB$21&lt;Standard_Year,'No STDs Case Rev &amp; Cost'!AB187,
OFFSET(AB187,-3,0)*
OFFSET(MSP!$D$1,
MATCH(OFFSET($C182,((MATCH($C182,EL_List,0)-1)*-10)-1,0),MSP!$C:$C,0)+MATCH($C182,EL_List,0)-1,0)
*INDEX(Learning!$E$6:$S$41,(MATCH(AB$21,Dates,0)),(MATCH($C$151,Learning!$E$4:$S$4,0)+MATCH($C$182,Learning!$E$5:$S$5,0)-1)))</f>
        <v>21.426016465620229</v>
      </c>
      <c r="AC187" s="532" cm="1">
        <f t="array" aca="1" ref="AC187" ca="1">IF(AC$21&lt;Standard_Year,'No STDs Case Rev &amp; Cost'!AC187,
OFFSET(AC187,-3,0)*
OFFSET(MSP!$D$1,
MATCH(OFFSET($C182,((MATCH($C182,EL_List,0)-1)*-10)-1,0),MSP!$C:$C,0)+MATCH($C182,EL_List,0)-1,0)
*INDEX(Learning!$E$6:$S$41,(MATCH(AC$21,Dates,0)),(MATCH($C$151,Learning!$E$4:$S$4,0)+MATCH($C$182,Learning!$E$5:$S$5,0)-1)))</f>
        <v>22.392133682645714</v>
      </c>
      <c r="AD187" s="532" cm="1">
        <f t="array" aca="1" ref="AD187" ca="1">IF(AD$21&lt;Standard_Year,'No STDs Case Rev &amp; Cost'!AD187,
OFFSET(AD187,-3,0)*
OFFSET(MSP!$D$1,
MATCH(OFFSET($C182,((MATCH($C182,EL_List,0)-1)*-10)-1,0),MSP!$C:$C,0)+MATCH($C182,EL_List,0)-1,0)
*INDEX(Learning!$E$6:$S$41,(MATCH(AD$21,Dates,0)),(MATCH($C$151,Learning!$E$4:$S$4,0)+MATCH($C$182,Learning!$E$5:$S$5,0)-1)))</f>
        <v>23.400595765098423</v>
      </c>
      <c r="AE187" s="532" cm="1">
        <f t="array" aca="1" ref="AE187" ca="1">IF(AE$21&lt;Standard_Year,'No STDs Case Rev &amp; Cost'!AE187,
OFFSET(AE187,-3,0)*
OFFSET(MSP!$D$1,
MATCH(OFFSET($C182,((MATCH($C182,EL_List,0)-1)*-10)-1,0),MSP!$C:$C,0)+MATCH($C182,EL_List,0)-1,0)
*INDEX(Learning!$E$6:$S$41,(MATCH(AE$21,Dates,0)),(MATCH($C$151,Learning!$E$4:$S$4,0)+MATCH($C$182,Learning!$E$5:$S$5,0)-1)))</f>
        <v>24.453269678798414</v>
      </c>
      <c r="AF187" s="532" cm="1">
        <f t="array" aca="1" ref="AF187" ca="1">IF(AF$21&lt;Standard_Year,'No STDs Case Rev &amp; Cost'!AF187,
OFFSET(AF187,-3,0)*
OFFSET(MSP!$D$1,
MATCH(OFFSET($C182,((MATCH($C182,EL_List,0)-1)*-10)-1,0),MSP!$C:$C,0)+MATCH($C182,EL_List,0)-1,0)
*INDEX(Learning!$E$6:$S$41,(MATCH(AF$21,Dates,0)),(MATCH($C$151,Learning!$E$4:$S$4,0)+MATCH($C$182,Learning!$E$5:$S$5,0)-1)))</f>
        <v>25.552002607247655</v>
      </c>
      <c r="AG187" s="532" cm="1">
        <f t="array" aca="1" ref="AG187" ca="1">IF(AG$21&lt;Standard_Year,'No STDs Case Rev &amp; Cost'!AG187,
OFFSET(AG187,-3,0)*
OFFSET(MSP!$D$1,
MATCH(OFFSET($C182,((MATCH($C182,EL_List,0)-1)*-10)-1,0),MSP!$C:$C,0)+MATCH($C182,EL_List,0)-1,0)
*INDEX(Learning!$E$6:$S$41,(MATCH(AG$21,Dates,0)),(MATCH($C$151,Learning!$E$4:$S$4,0)+MATCH($C$182,Learning!$E$5:$S$5,0)-1)))</f>
        <v>26.728340707764861</v>
      </c>
      <c r="AH187" s="532" cm="1">
        <f t="array" aca="1" ref="AH187" ca="1">IF(AH$21&lt;Standard_Year,'No STDs Case Rev &amp; Cost'!AH187,
OFFSET(AH187,-3,0)*
OFFSET(MSP!$D$1,
MATCH(OFFSET($C182,((MATCH($C182,EL_List,0)-1)*-10)-1,0),MSP!$C:$C,0)+MATCH($C182,EL_List,0)-1,0)
*INDEX(Learning!$E$6:$S$41,(MATCH(AH$21,Dates,0)),(MATCH($C$151,Learning!$E$4:$S$4,0)+MATCH($C$182,Learning!$E$5:$S$5,0)-1)))</f>
        <v>27.926383065628851</v>
      </c>
      <c r="AI187" s="532" cm="1">
        <f t="array" aca="1" ref="AI187" ca="1">IF(AI$21&lt;Standard_Year,'No STDs Case Rev &amp; Cost'!AI187,
OFFSET(AI187,-3,0)*
OFFSET(MSP!$D$1,
MATCH(OFFSET($C182,((MATCH($C182,EL_List,0)-1)*-10)-1,0),MSP!$C:$C,0)+MATCH($C182,EL_List,0)-1,0)
*INDEX(Learning!$E$6:$S$41,(MATCH(AI$21,Dates,0)),(MATCH($C$151,Learning!$E$4:$S$4,0)+MATCH($C$182,Learning!$E$5:$S$5,0)-1)))</f>
        <v>29.176474305287137</v>
      </c>
      <c r="AJ187" s="532" cm="1">
        <f t="array" aca="1" ref="AJ187" ca="1">IF(AJ$21&lt;Standard_Year,'No STDs Case Rev &amp; Cost'!AJ187,
OFFSET(AJ187,-3,0)*
OFFSET(MSP!$D$1,
MATCH(OFFSET($C182,((MATCH($C182,EL_List,0)-1)*-10)-1,0),MSP!$C:$C,0)+MATCH($C182,EL_List,0)-1,0)
*INDEX(Learning!$E$6:$S$41,(MATCH(AJ$21,Dates,0)),(MATCH($C$151,Learning!$E$4:$S$4,0)+MATCH($C$182,Learning!$E$5:$S$5,0)-1)))</f>
        <v>30.515110923199146</v>
      </c>
      <c r="AK187" s="532" cm="1">
        <f t="array" aca="1" ref="AK187" ca="1">IF(AK$21&lt;Standard_Year,'No STDs Case Rev &amp; Cost'!AK187,
OFFSET(AK187,-3,0)*
OFFSET(MSP!$D$1,
MATCH(OFFSET($C182,((MATCH($C182,EL_List,0)-1)*-10)-1,0),MSP!$C:$C,0)+MATCH($C182,EL_List,0)-1,0)
*INDEX(Learning!$E$6:$S$41,(MATCH(AK$21,Dates,0)),(MATCH($C$151,Learning!$E$4:$S$4,0)+MATCH($C$182,Learning!$E$5:$S$5,0)-1)))</f>
        <v>31.877750613529148</v>
      </c>
      <c r="AL187" s="532" cm="1">
        <f t="array" aca="1" ref="AL187" ca="1">IF(AL$21&lt;Standard_Year,'No STDs Case Rev &amp; Cost'!AL187,
OFFSET(AL187,-3,0)*
OFFSET(MSP!$D$1,
MATCH(OFFSET($C182,((MATCH($C182,EL_List,0)-1)*-10)-1,0),MSP!$C:$C,0)+MATCH($C182,EL_List,0)-1,0)
*INDEX(Learning!$E$6:$S$41,(MATCH(AL$21,Dates,0)),(MATCH($C$151,Learning!$E$4:$S$4,0)+MATCH($C$182,Learning!$E$5:$S$5,0)-1)))</f>
        <v>33.337280729213958</v>
      </c>
      <c r="AM187" s="532" cm="1">
        <f t="array" aca="1" ref="AM187" ca="1">IF(AM$21&lt;Standard_Year,'No STDs Case Rev &amp; Cost'!AM187,
OFFSET(AM187,-3,0)*
OFFSET(MSP!$D$1,
MATCH(OFFSET($C182,((MATCH($C182,EL_List,0)-1)*-10)-1,0),MSP!$C:$C,0)+MATCH($C182,EL_List,0)-1,0)
*INDEX(Learning!$E$6:$S$41,(MATCH(AM$21,Dates,0)),(MATCH($C$151,Learning!$E$4:$S$4,0)+MATCH($C$182,Learning!$E$5:$S$5,0)-1)))</f>
        <v>34.822624675143459</v>
      </c>
      <c r="AN187" s="532" cm="1">
        <f t="array" aca="1" ref="AN187" ca="1">IF(AN$21&lt;Standard_Year,'No STDs Case Rev &amp; Cost'!AN187,
OFFSET(AN187,-3,0)*
OFFSET(MSP!$D$1,
MATCH(OFFSET($C182,((MATCH($C182,EL_List,0)-1)*-10)-1,0),MSP!$C:$C,0)+MATCH($C182,EL_List,0)-1,0)
*INDEX(Learning!$E$6:$S$41,(MATCH(AN$21,Dates,0)),(MATCH($C$151,Learning!$E$4:$S$4,0)+MATCH($C$182,Learning!$E$5:$S$5,0)-1)))</f>
        <v>36.399096237143567</v>
      </c>
      <c r="AO187" s="436"/>
      <c r="AP187" s="21"/>
    </row>
    <row r="188" spans="2:42" ht="15" customHeight="1" x14ac:dyDescent="0.35">
      <c r="B188" s="429"/>
      <c r="C188" s="780" t="s">
        <v>213</v>
      </c>
      <c r="D188" s="776"/>
      <c r="E188" s="533" cm="1">
        <f t="array" aca="1" ref="E188" ca="1">IF(E$21&lt;Standard_Year,'No STDs Case Rev &amp; Cost'!E188,
OFFSET(E188,-4,0)*
OFFSET(MSP!$E$1,
MATCH(OFFSET($C182,((MATCH($C182,EL_List,0)-1)*-10)-1,0),MSP!$C:$C,0)+MATCH($C182,EL_List,0)-1,0)
*INDEX(Learning!$E$6:$S$41,(MATCH(E$21,Dates,0)),(MATCH($C$151,Learning!$E$4:$S$4,0)+MATCH($C$182,Learning!$E$5:$S$5,0)-1)))</f>
        <v>0.28677981428761085</v>
      </c>
      <c r="F188" s="533" cm="1">
        <f t="array" aca="1" ref="F188" ca="1">IF(F$21&lt;Standard_Year,'No STDs Case Rev &amp; Cost'!F188,
OFFSET(F188,-4,0)*
OFFSET(MSP!$E$1,
MATCH(OFFSET($C182,((MATCH($C182,EL_List,0)-1)*-10)-1,0),MSP!$C:$C,0)+MATCH($C182,EL_List,0)-1,0)
*INDEX(Learning!$E$6:$S$41,(MATCH(F$21,Dates,0)),(MATCH($C$151,Learning!$E$4:$S$4,0)+MATCH($C$182,Learning!$E$5:$S$5,0)-1)))</f>
        <v>0.29729954553953825</v>
      </c>
      <c r="G188" s="533" cm="1">
        <f t="array" aca="1" ref="G188" ca="1">IF(G$21&lt;Standard_Year,'No STDs Case Rev &amp; Cost'!G188,
OFFSET(G188,-4,0)*
OFFSET(MSP!$E$1,
MATCH(OFFSET($C182,((MATCH($C182,EL_List,0)-1)*-10)-1,0),MSP!$C:$C,0)+MATCH($C182,EL_List,0)-1,0)
*INDEX(Learning!$E$6:$S$41,(MATCH(G$21,Dates,0)),(MATCH($C$151,Learning!$E$4:$S$4,0)+MATCH($C$182,Learning!$E$5:$S$5,0)-1)))</f>
        <v>0.3066092718049756</v>
      </c>
      <c r="H188" s="533" cm="1">
        <f t="array" aca="1" ref="H188" ca="1">IF(H$21&lt;Standard_Year,'No STDs Case Rev &amp; Cost'!H188,
OFFSET(H188,-4,0)*
OFFSET(MSP!$E$1,
MATCH(OFFSET($C182,((MATCH($C182,EL_List,0)-1)*-10)-1,0),MSP!$C:$C,0)+MATCH($C182,EL_List,0)-1,0)
*INDEX(Learning!$E$6:$S$41,(MATCH(H$21,Dates,0)),(MATCH($C$151,Learning!$E$4:$S$4,0)+MATCH($C$182,Learning!$E$5:$S$5,0)-1)))</f>
        <v>0.31912948801052049</v>
      </c>
      <c r="I188" s="533" cm="1">
        <f t="array" aca="1" ref="I188" ca="1">IF(I$21&lt;Standard_Year,'No STDs Case Rev &amp; Cost'!I188,
OFFSET(I188,-4,0)*
OFFSET(MSP!$E$1,
MATCH(OFFSET($C182,((MATCH($C182,EL_List,0)-1)*-10)-1,0),MSP!$C:$C,0)+MATCH($C182,EL_List,0)-1,0)
*INDEX(Learning!$E$6:$S$41,(MATCH(I$21,Dates,0)),(MATCH($C$151,Learning!$E$4:$S$4,0)+MATCH($C$182,Learning!$E$5:$S$5,0)-1)))</f>
        <v>0.33219213835132527</v>
      </c>
      <c r="J188" s="533" cm="1">
        <f t="array" aca="1" ref="J188" ca="1">IF(J$21&lt;Standard_Year,'No STDs Case Rev &amp; Cost'!J188,
OFFSET(J188,-4,0)*
OFFSET(MSP!$E$1,
MATCH(OFFSET($C182,((MATCH($C182,EL_List,0)-1)*-10)-1,0),MSP!$C:$C,0)+MATCH($C182,EL_List,0)-1,0)
*INDEX(Learning!$E$6:$S$41,(MATCH(J$21,Dates,0)),(MATCH($C$151,Learning!$E$4:$S$4,0)+MATCH($C$182,Learning!$E$5:$S$5,0)-1)))</f>
        <v>0.34700498182567152</v>
      </c>
      <c r="K188" s="533" cm="1">
        <f t="array" aca="1" ref="K188" ca="1">IF(K$21&lt;Standard_Year,'No STDs Case Rev &amp; Cost'!K188,
OFFSET(K188,-4,0)*
OFFSET(MSP!$E$1,
MATCH(OFFSET($C182,((MATCH($C182,EL_List,0)-1)*-10)-1,0),MSP!$C:$C,0)+MATCH($C182,EL_List,0)-1,0)
*INDEX(Learning!$E$6:$S$41,(MATCH(K$21,Dates,0)),(MATCH($C$151,Learning!$E$4:$S$4,0)+MATCH($C$182,Learning!$E$5:$S$5,0)-1)))</f>
        <v>0.36302966670091968</v>
      </c>
      <c r="L188" s="533" cm="1">
        <f t="array" aca="1" ref="L188" ca="1">IF(L$21&lt;Standard_Year,'No STDs Case Rev &amp; Cost'!L188,
OFFSET(L188,-4,0)*
OFFSET(MSP!$E$1,
MATCH(OFFSET($C182,((MATCH($C182,EL_List,0)-1)*-10)-1,0),MSP!$C:$C,0)+MATCH($C182,EL_List,0)-1,0)
*INDEX(Learning!$E$6:$S$41,(MATCH(L$21,Dates,0)),(MATCH($C$151,Learning!$E$4:$S$4,0)+MATCH($C$182,Learning!$E$5:$S$5,0)-1)))</f>
        <v>0.37994803701056074</v>
      </c>
      <c r="M188" s="533" cm="1">
        <f t="array" aca="1" ref="M188" ca="1">IF(M$21&lt;Standard_Year,'No STDs Case Rev &amp; Cost'!M188,
OFFSET(M188,-4,0)*
OFFSET(MSP!$E$1,
MATCH(OFFSET($C182,((MATCH($C182,EL_List,0)-1)*-10)-1,0),MSP!$C:$C,0)+MATCH($C182,EL_List,0)-1,0)
*INDEX(Learning!$E$6:$S$41,(MATCH(M$21,Dates,0)),(MATCH($C$151,Learning!$E$4:$S$4,0)+MATCH($C$182,Learning!$E$5:$S$5,0)-1)))</f>
        <v>0.39791525091480728</v>
      </c>
      <c r="N188" s="533" cm="1">
        <f t="array" aca="1" ref="N188" ca="1">IF(N$21&lt;Standard_Year,'No STDs Case Rev &amp; Cost'!N188,
OFFSET(N188,-4,0)*
OFFSET(MSP!$E$1,
MATCH(OFFSET($C182,((MATCH($C182,EL_List,0)-1)*-10)-1,0),MSP!$C:$C,0)+MATCH($C182,EL_List,0)-1,0)
*INDEX(Learning!$E$6:$S$41,(MATCH(N$21,Dates,0)),(MATCH($C$151,Learning!$E$4:$S$4,0)+MATCH($C$182,Learning!$E$5:$S$5,0)-1)))</f>
        <v>0.41598111525990539</v>
      </c>
      <c r="O188" s="533" cm="1">
        <f t="array" aca="1" ref="O188" ca="1">IF(O$21&lt;Standard_Year,'No STDs Case Rev &amp; Cost'!O188,
OFFSET(O188,-4,0)*
OFFSET(MSP!$E$1,
MATCH(OFFSET($C182,((MATCH($C182,EL_List,0)-1)*-10)-1,0),MSP!$C:$C,0)+MATCH($C182,EL_List,0)-1,0)
*INDEX(Learning!$E$6:$S$41,(MATCH(O$21,Dates,0)),(MATCH($C$151,Learning!$E$4:$S$4,0)+MATCH($C$182,Learning!$E$5:$S$5,0)-1)))</f>
        <v>0.43495059373502987</v>
      </c>
      <c r="P188" s="533" cm="1">
        <f t="array" aca="1" ref="P188" ca="1">IF(P$21&lt;Standard_Year,'No STDs Case Rev &amp; Cost'!P188,
OFFSET(P188,-4,0)*
OFFSET(MSP!$E$1,
MATCH(OFFSET($C182,((MATCH($C182,EL_List,0)-1)*-10)-1,0),MSP!$C:$C,0)+MATCH($C182,EL_List,0)-1,0)
*INDEX(Learning!$E$6:$S$41,(MATCH(P$21,Dates,0)),(MATCH($C$151,Learning!$E$4:$S$4,0)+MATCH($C$182,Learning!$E$5:$S$5,0)-1)))</f>
        <v>0.45450030589307311</v>
      </c>
      <c r="Q188" s="533" cm="1">
        <f t="array" aca="1" ref="Q188" ca="1">IF(Q$21&lt;Standard_Year,'No STDs Case Rev &amp; Cost'!Q188,
OFFSET(Q188,-4,0)*
OFFSET(MSP!$E$1,
MATCH(OFFSET($C182,((MATCH($C182,EL_List,0)-1)*-10)-1,0),MSP!$C:$C,0)+MATCH($C182,EL_List,0)-1,0)
*INDEX(Learning!$E$6:$S$41,(MATCH(Q$21,Dates,0)),(MATCH($C$151,Learning!$E$4:$S$4,0)+MATCH($C$182,Learning!$E$5:$S$5,0)-1)))</f>
        <v>0.47475454913492132</v>
      </c>
      <c r="R188" s="533" cm="1">
        <f t="array" aca="1" ref="R188" ca="1">IF(R$21&lt;Standard_Year,'No STDs Case Rev &amp; Cost'!R188,
OFFSET(R188,-4,0)*
OFFSET(MSP!$E$1,
MATCH(OFFSET($C182,((MATCH($C182,EL_List,0)-1)*-10)-1,0),MSP!$C:$C,0)+MATCH($C182,EL_List,0)-1,0)
*INDEX(Learning!$E$6:$S$41,(MATCH(R$21,Dates,0)),(MATCH($C$151,Learning!$E$4:$S$4,0)+MATCH($C$182,Learning!$E$5:$S$5,0)-1)))</f>
        <v>0.49585752868122651</v>
      </c>
      <c r="S188" s="533" cm="1">
        <f t="array" aca="1" ref="S188" ca="1">IF(S$21&lt;Standard_Year,'No STDs Case Rev &amp; Cost'!S188,
OFFSET(S188,-4,0)*
OFFSET(MSP!$E$1,
MATCH(OFFSET($C182,((MATCH($C182,EL_List,0)-1)*-10)-1,0),MSP!$C:$C,0)+MATCH($C182,EL_List,0)-1,0)
*INDEX(Learning!$E$6:$S$41,(MATCH(S$21,Dates,0)),(MATCH($C$151,Learning!$E$4:$S$4,0)+MATCH($C$182,Learning!$E$5:$S$5,0)-1)))</f>
        <v>0.51792497957661199</v>
      </c>
      <c r="T188" s="533" cm="1">
        <f t="array" aca="1" ref="T188" ca="1">IF(T$21&lt;Standard_Year,'No STDs Case Rev &amp; Cost'!T188,
OFFSET(T188,-4,0)*
OFFSET(MSP!$E$1,
MATCH(OFFSET($C182,((MATCH($C182,EL_List,0)-1)*-10)-1,0),MSP!$C:$C,0)+MATCH($C182,EL_List,0)-1,0)
*INDEX(Learning!$E$6:$S$41,(MATCH(T$21,Dates,0)),(MATCH($C$151,Learning!$E$4:$S$4,0)+MATCH($C$182,Learning!$E$5:$S$5,0)-1)))</f>
        <v>0.54158912670827863</v>
      </c>
      <c r="U188" s="533" cm="1">
        <f t="array" aca="1" ref="U188" ca="1">IF(U$21&lt;Standard_Year,'No STDs Case Rev &amp; Cost'!U188,
OFFSET(U188,-4,0)*
OFFSET(MSP!$E$1,
MATCH(OFFSET($C182,((MATCH($C182,EL_List,0)-1)*-10)-1,0),MSP!$C:$C,0)+MATCH($C182,EL_List,0)-1,0)
*INDEX(Learning!$E$6:$S$41,(MATCH(U$21,Dates,0)),(MATCH($C$151,Learning!$E$4:$S$4,0)+MATCH($C$182,Learning!$E$5:$S$5,0)-1)))</f>
        <v>0.56581510058152873</v>
      </c>
      <c r="V188" s="533" cm="1">
        <f t="array" aca="1" ref="V188" ca="1">IF(V$21&lt;Standard_Year,'No STDs Case Rev &amp; Cost'!V188,
OFFSET(V188,-4,0)*
OFFSET(MSP!$E$1,
MATCH(OFFSET($C182,((MATCH($C182,EL_List,0)-1)*-10)-1,0),MSP!$C:$C,0)+MATCH($C182,EL_List,0)-1,0)
*INDEX(Learning!$E$6:$S$41,(MATCH(V$21,Dates,0)),(MATCH($C$151,Learning!$E$4:$S$4,0)+MATCH($C$182,Learning!$E$5:$S$5,0)-1)))</f>
        <v>0.59169400873433309</v>
      </c>
      <c r="W188" s="533" cm="1">
        <f t="array" aca="1" ref="W188" ca="1">IF(W$21&lt;Standard_Year,'No STDs Case Rev &amp; Cost'!W188,
OFFSET(W188,-4,0)*
OFFSET(MSP!$E$1,
MATCH(OFFSET($C182,((MATCH($C182,EL_List,0)-1)*-10)-1,0),MSP!$C:$C,0)+MATCH($C182,EL_List,0)-1,0)
*INDEX(Learning!$E$6:$S$41,(MATCH(W$21,Dates,0)),(MATCH($C$151,Learning!$E$4:$S$4,0)+MATCH($C$182,Learning!$E$5:$S$5,0)-1)))</f>
        <v>0.61806947514504562</v>
      </c>
      <c r="X188" s="533" cm="1">
        <f t="array" aca="1" ref="X188" ca="1">IF(X$21&lt;Standard_Year,'No STDs Case Rev &amp; Cost'!X188,
OFFSET(X188,-4,0)*
OFFSET(MSP!$E$1,
MATCH(OFFSET($C182,((MATCH($C182,EL_List,0)-1)*-10)-1,0),MSP!$C:$C,0)+MATCH($C182,EL_List,0)-1,0)
*INDEX(Learning!$E$6:$S$41,(MATCH(X$21,Dates,0)),(MATCH($C$151,Learning!$E$4:$S$4,0)+MATCH($C$182,Learning!$E$5:$S$5,0)-1)))</f>
        <v>0.64624137557341532</v>
      </c>
      <c r="Y188" s="533" cm="1">
        <f t="array" aca="1" ref="Y188" ca="1">IF(Y$21&lt;Standard_Year,'No STDs Case Rev &amp; Cost'!Y188,
OFFSET(Y188,-4,0)*
OFFSET(MSP!$E$1,
MATCH(OFFSET($C182,((MATCH($C182,EL_List,0)-1)*-10)-1,0),MSP!$C:$C,0)+MATCH($C182,EL_List,0)-1,0)
*INDEX(Learning!$E$6:$S$41,(MATCH(Y$21,Dates,0)),(MATCH($C$151,Learning!$E$4:$S$4,0)+MATCH($C$182,Learning!$E$5:$S$5,0)-1)))</f>
        <v>0.67561759754091844</v>
      </c>
      <c r="Z188" s="533" cm="1">
        <f t="array" aca="1" ref="Z188" ca="1">IF(Z$21&lt;Standard_Year,'No STDs Case Rev &amp; Cost'!Z188,
OFFSET(Z188,-4,0)*
OFFSET(MSP!$E$1,
MATCH(OFFSET($C182,((MATCH($C182,EL_List,0)-1)*-10)-1,0),MSP!$C:$C,0)+MATCH($C182,EL_List,0)-1,0)
*INDEX(Learning!$E$6:$S$41,(MATCH(Z$21,Dates,0)),(MATCH($C$151,Learning!$E$4:$S$4,0)+MATCH($C$182,Learning!$E$5:$S$5,0)-1)))</f>
        <v>0.70624898597223429</v>
      </c>
      <c r="AA188" s="533" cm="1">
        <f t="array" aca="1" ref="AA188" ca="1">IF(AA$21&lt;Standard_Year,'No STDs Case Rev &amp; Cost'!AA188,
OFFSET(AA188,-4,0)*
OFFSET(MSP!$E$1,
MATCH(OFFSET($C182,((MATCH($C182,EL_List,0)-1)*-10)-1,0),MSP!$C:$C,0)+MATCH($C182,EL_List,0)-1,0)
*INDEX(Learning!$E$6:$S$41,(MATCH(AA$21,Dates,0)),(MATCH($C$151,Learning!$E$4:$S$4,0)+MATCH($C$182,Learning!$E$5:$S$5,0)-1)))</f>
        <v>0.73819584318053033</v>
      </c>
      <c r="AB188" s="533" cm="1">
        <f t="array" aca="1" ref="AB188" ca="1">IF(AB$21&lt;Standard_Year,'No STDs Case Rev &amp; Cost'!AB188,
OFFSET(AB188,-4,0)*
OFFSET(MSP!$E$1,
MATCH(OFFSET($C182,((MATCH($C182,EL_List,0)-1)*-10)-1,0),MSP!$C:$C,0)+MATCH($C182,EL_List,0)-1,0)
*INDEX(Learning!$E$6:$S$41,(MATCH(AB$21,Dates,0)),(MATCH($C$151,Learning!$E$4:$S$4,0)+MATCH($C$182,Learning!$E$5:$S$5,0)-1)))</f>
        <v>0.77152875548612365</v>
      </c>
      <c r="AC188" s="533" cm="1">
        <f t="array" aca="1" ref="AC188" ca="1">IF(AC$21&lt;Standard_Year,'No STDs Case Rev &amp; Cost'!AC188,
OFFSET(AC188,-4,0)*
OFFSET(MSP!$E$1,
MATCH(OFFSET($C182,((MATCH($C182,EL_List,0)-1)*-10)-1,0),MSP!$C:$C,0)+MATCH($C182,EL_List,0)-1,0)
*INDEX(Learning!$E$6:$S$41,(MATCH(AC$21,Dates,0)),(MATCH($C$151,Learning!$E$4:$S$4,0)+MATCH($C$182,Learning!$E$5:$S$5,0)-1)))</f>
        <v>0.80631764007890006</v>
      </c>
      <c r="AD188" s="533" cm="1">
        <f t="array" aca="1" ref="AD188" ca="1">IF(AD$21&lt;Standard_Year,'No STDs Case Rev &amp; Cost'!AD188,
OFFSET(AD188,-4,0)*
OFFSET(MSP!$E$1,
MATCH(OFFSET($C182,((MATCH($C182,EL_List,0)-1)*-10)-1,0),MSP!$C:$C,0)+MATCH($C182,EL_List,0)-1,0)
*INDEX(Learning!$E$6:$S$41,(MATCH(AD$21,Dates,0)),(MATCH($C$151,Learning!$E$4:$S$4,0)+MATCH($C$182,Learning!$E$5:$S$5,0)-1)))</f>
        <v>0.84263131960388948</v>
      </c>
      <c r="AE188" s="533" cm="1">
        <f t="array" aca="1" ref="AE188" ca="1">IF(AE$21&lt;Standard_Year,'No STDs Case Rev &amp; Cost'!AE188,
OFFSET(AE188,-4,0)*
OFFSET(MSP!$E$1,
MATCH(OFFSET($C182,((MATCH($C182,EL_List,0)-1)*-10)-1,0),MSP!$C:$C,0)+MATCH($C182,EL_List,0)-1,0)
*INDEX(Learning!$E$6:$S$41,(MATCH(AE$21,Dates,0)),(MATCH($C$151,Learning!$E$4:$S$4,0)+MATCH($C$182,Learning!$E$5:$S$5,0)-1)))</f>
        <v>0.88053702157480196</v>
      </c>
      <c r="AF188" s="533" cm="1">
        <f t="array" aca="1" ref="AF188" ca="1">IF(AF$21&lt;Standard_Year,'No STDs Case Rev &amp; Cost'!AF188,
OFFSET(AF188,-4,0)*
OFFSET(MSP!$E$1,
MATCH(OFFSET($C182,((MATCH($C182,EL_List,0)-1)*-10)-1,0),MSP!$C:$C,0)+MATCH($C182,EL_List,0)-1,0)
*INDEX(Learning!$E$6:$S$41,(MATCH(AF$21,Dates,0)),(MATCH($C$151,Learning!$E$4:$S$4,0)+MATCH($C$182,Learning!$E$5:$S$5,0)-1)))</f>
        <v>0.92010126116447433</v>
      </c>
      <c r="AG188" s="533" cm="1">
        <f t="array" aca="1" ref="AG188" ca="1">IF(AG$21&lt;Standard_Year,'No STDs Case Rev &amp; Cost'!AG188,
OFFSET(AG188,-4,0)*
OFFSET(MSP!$E$1,
MATCH(OFFSET($C182,((MATCH($C182,EL_List,0)-1)*-10)-1,0),MSP!$C:$C,0)+MATCH($C182,EL_List,0)-1,0)
*INDEX(Learning!$E$6:$S$41,(MATCH(AG$21,Dates,0)),(MATCH($C$151,Learning!$E$4:$S$4,0)+MATCH($C$182,Learning!$E$5:$S$5,0)-1)))</f>
        <v>0.96245998296323887</v>
      </c>
      <c r="AH188" s="533" cm="1">
        <f t="array" aca="1" ref="AH188" ca="1">IF(AH$21&lt;Standard_Year,'No STDs Case Rev &amp; Cost'!AH188,
OFFSET(AH188,-4,0)*
OFFSET(MSP!$E$1,
MATCH(OFFSET($C182,((MATCH($C182,EL_List,0)-1)*-10)-1,0),MSP!$C:$C,0)+MATCH($C182,EL_List,0)-1,0)
*INDEX(Learning!$E$6:$S$41,(MATCH(AH$21,Dates,0)),(MATCH($C$151,Learning!$E$4:$S$4,0)+MATCH($C$182,Learning!$E$5:$S$5,0)-1)))</f>
        <v>1.0056002526846597</v>
      </c>
      <c r="AI188" s="533" cm="1">
        <f t="array" aca="1" ref="AI188" ca="1">IF(AI$21&lt;Standard_Year,'No STDs Case Rev &amp; Cost'!AI188,
OFFSET(AI188,-4,0)*
OFFSET(MSP!$E$1,
MATCH(OFFSET($C182,((MATCH($C182,EL_List,0)-1)*-10)-1,0),MSP!$C:$C,0)+MATCH($C182,EL_List,0)-1,0)
*INDEX(Learning!$E$6:$S$41,(MATCH(AI$21,Dates,0)),(MATCH($C$151,Learning!$E$4:$S$4,0)+MATCH($C$182,Learning!$E$5:$S$5,0)-1)))</f>
        <v>1.0506147489595625</v>
      </c>
      <c r="AJ188" s="533" cm="1">
        <f t="array" aca="1" ref="AJ188" ca="1">IF(AJ$21&lt;Standard_Year,'No STDs Case Rev &amp; Cost'!AJ188,
OFFSET(AJ188,-4,0)*
OFFSET(MSP!$E$1,
MATCH(OFFSET($C182,((MATCH($C182,EL_List,0)-1)*-10)-1,0),MSP!$C:$C,0)+MATCH($C182,EL_List,0)-1,0)
*INDEX(Learning!$E$6:$S$41,(MATCH(AJ$21,Dates,0)),(MATCH($C$151,Learning!$E$4:$S$4,0)+MATCH($C$182,Learning!$E$5:$S$5,0)-1)))</f>
        <v>1.0988176729852679</v>
      </c>
      <c r="AK188" s="533" cm="1">
        <f t="array" aca="1" ref="AK188" ca="1">IF(AK$21&lt;Standard_Year,'No STDs Case Rev &amp; Cost'!AK188,
OFFSET(AK188,-4,0)*
OFFSET(MSP!$E$1,
MATCH(OFFSET($C182,((MATCH($C182,EL_List,0)-1)*-10)-1,0),MSP!$C:$C,0)+MATCH($C182,EL_List,0)-1,0)
*INDEX(Learning!$E$6:$S$41,(MATCH(AK$21,Dates,0)),(MATCH($C$151,Learning!$E$4:$S$4,0)+MATCH($C$182,Learning!$E$5:$S$5,0)-1)))</f>
        <v>1.1478849228934915</v>
      </c>
      <c r="AL188" s="533" cm="1">
        <f t="array" aca="1" ref="AL188" ca="1">IF(AL$21&lt;Standard_Year,'No STDs Case Rev &amp; Cost'!AL188,
OFFSET(AL188,-4,0)*
OFFSET(MSP!$E$1,
MATCH(OFFSET($C182,((MATCH($C182,EL_List,0)-1)*-10)-1,0),MSP!$C:$C,0)+MATCH($C182,EL_List,0)-1,0)
*INDEX(Learning!$E$6:$S$41,(MATCH(AL$21,Dates,0)),(MATCH($C$151,Learning!$E$4:$S$4,0)+MATCH($C$182,Learning!$E$5:$S$5,0)-1)))</f>
        <v>1.2004410970920734</v>
      </c>
      <c r="AM188" s="533" cm="1">
        <f t="array" aca="1" ref="AM188" ca="1">IF(AM$21&lt;Standard_Year,'No STDs Case Rev &amp; Cost'!AM188,
OFFSET(AM188,-4,0)*
OFFSET(MSP!$E$1,
MATCH(OFFSET($C182,((MATCH($C182,EL_List,0)-1)*-10)-1,0),MSP!$C:$C,0)+MATCH($C182,EL_List,0)-1,0)
*INDEX(Learning!$E$6:$S$41,(MATCH(AM$21,Dates,0)),(MATCH($C$151,Learning!$E$4:$S$4,0)+MATCH($C$182,Learning!$E$5:$S$5,0)-1)))</f>
        <v>1.2539268006950115</v>
      </c>
      <c r="AN188" s="533" cm="1">
        <f t="array" aca="1" ref="AN188" ca="1">IF(AN$21&lt;Standard_Year,'No STDs Case Rev &amp; Cost'!AN188,
OFFSET(AN188,-4,0)*
OFFSET(MSP!$E$1,
MATCH(OFFSET($C182,((MATCH($C182,EL_List,0)-1)*-10)-1,0),MSP!$C:$C,0)+MATCH($C182,EL_List,0)-1,0)
*INDEX(Learning!$E$6:$S$41,(MATCH(AN$21,Dates,0)),(MATCH($C$151,Learning!$E$4:$S$4,0)+MATCH($C$182,Learning!$E$5:$S$5,0)-1)))</f>
        <v>1.3106939157693813</v>
      </c>
      <c r="AO188" s="436"/>
      <c r="AP188" s="21"/>
    </row>
    <row r="189" spans="2:42" ht="15" customHeight="1" x14ac:dyDescent="0.35">
      <c r="B189" s="429"/>
      <c r="C189" s="780" t="s">
        <v>214</v>
      </c>
      <c r="D189" s="776"/>
      <c r="E189" s="533" cm="1">
        <f t="array" aca="1" ref="E189" ca="1">IF(E$21&lt;Standard_Year,'No STDs Case Rev &amp; Cost'!E189,
OFFSET(E189,-5,0)*
OFFSET(MSP!$F$1,
MATCH(OFFSET($C182,((MATCH($C182,EL_List,0)-1)*-10)-1,0),MSP!$C:$C,0)+MATCH($C182,EL_List,0)-1,0)
*INDEX(Learning!$E$6:$S$41,(MATCH(E$21,Dates,0)),(MATCH($C$151,Learning!$E$4:$S$4,0)+MATCH($C$182,Learning!$E$5:$S$5,0)-1)))</f>
        <v>0.45616297457522603</v>
      </c>
      <c r="F189" s="533" cm="1">
        <f t="array" aca="1" ref="F189" ca="1">IF(F$21&lt;Standard_Year,'No STDs Case Rev &amp; Cost'!F189,
OFFSET(F189,-5,0)*
OFFSET(MSP!$F$1,
MATCH(OFFSET($C182,((MATCH($C182,EL_List,0)-1)*-10)-1,0),MSP!$C:$C,0)+MATCH($C182,EL_List,0)-1,0)
*INDEX(Learning!$E$6:$S$41,(MATCH(F$21,Dates,0)),(MATCH($C$151,Learning!$E$4:$S$4,0)+MATCH($C$182,Learning!$E$5:$S$5,0)-1)))</f>
        <v>0.47289606268162448</v>
      </c>
      <c r="G189" s="533" cm="1">
        <f t="array" aca="1" ref="G189" ca="1">IF(G$21&lt;Standard_Year,'No STDs Case Rev &amp; Cost'!G189,
OFFSET(G189,-5,0)*
OFFSET(MSP!$F$1,
MATCH(OFFSET($C182,((MATCH($C182,EL_List,0)-1)*-10)-1,0),MSP!$C:$C,0)+MATCH($C182,EL_List,0)-1,0)
*INDEX(Learning!$E$6:$S$41,(MATCH(G$21,Dates,0)),(MATCH($C$151,Learning!$E$4:$S$4,0)+MATCH($C$182,Learning!$E$5:$S$5,0)-1)))</f>
        <v>0.4877044704360976</v>
      </c>
      <c r="H189" s="533" cm="1">
        <f t="array" aca="1" ref="H189" ca="1">IF(H$21&lt;Standard_Year,'No STDs Case Rev &amp; Cost'!H189,
OFFSET(H189,-5,0)*
OFFSET(MSP!$F$1,
MATCH(OFFSET($C182,((MATCH($C182,EL_List,0)-1)*-10)-1,0),MSP!$C:$C,0)+MATCH($C182,EL_List,0)-1,0)
*INDEX(Learning!$E$6:$S$41,(MATCH(H$21,Dates,0)),(MATCH($C$151,Learning!$E$4:$S$4,0)+MATCH($C$182,Learning!$E$5:$S$5,0)-1)))</f>
        <v>0.50761960665596584</v>
      </c>
      <c r="I189" s="533" cm="1">
        <f t="array" aca="1" ref="I189" ca="1">IF(I$21&lt;Standard_Year,'No STDs Case Rev &amp; Cost'!I189,
OFFSET(I189,-5,0)*
OFFSET(MSP!$F$1,
MATCH(OFFSET($C182,((MATCH($C182,EL_List,0)-1)*-10)-1,0),MSP!$C:$C,0)+MATCH($C182,EL_List,0)-1,0)
*INDEX(Learning!$E$6:$S$41,(MATCH(I$21,Dates,0)),(MATCH($C$151,Learning!$E$4:$S$4,0)+MATCH($C$182,Learning!$E$5:$S$5,0)-1)))</f>
        <v>0.52839755942122446</v>
      </c>
      <c r="J189" s="533" cm="1">
        <f t="array" aca="1" ref="J189" ca="1">IF(J$21&lt;Standard_Year,'No STDs Case Rev &amp; Cost'!J189,
OFFSET(J189,-5,0)*
OFFSET(MSP!$F$1,
MATCH(OFFSET($C182,((MATCH($C182,EL_List,0)-1)*-10)-1,0),MSP!$C:$C,0)+MATCH($C182,EL_List,0)-1,0)
*INDEX(Learning!$E$6:$S$41,(MATCH(J$21,Dates,0)),(MATCH($C$151,Learning!$E$4:$S$4,0)+MATCH($C$182,Learning!$E$5:$S$5,0)-1)))</f>
        <v>0.55195943652878954</v>
      </c>
      <c r="K189" s="533" cm="1">
        <f t="array" aca="1" ref="K189" ca="1">IF(K$21&lt;Standard_Year,'No STDs Case Rev &amp; Cost'!K189,
OFFSET(K189,-5,0)*
OFFSET(MSP!$F$1,
MATCH(OFFSET($C182,((MATCH($C182,EL_List,0)-1)*-10)-1,0),MSP!$C:$C,0)+MATCH($C182,EL_List,0)-1,0)
*INDEX(Learning!$E$6:$S$41,(MATCH(K$21,Dates,0)),(MATCH($C$151,Learning!$E$4:$S$4,0)+MATCH($C$182,Learning!$E$5:$S$5,0)-1)))</f>
        <v>0.57744891505949525</v>
      </c>
      <c r="L189" s="533" cm="1">
        <f t="array" aca="1" ref="L189" ca="1">IF(L$21&lt;Standard_Year,'No STDs Case Rev &amp; Cost'!L189,
OFFSET(L189,-5,0)*
OFFSET(MSP!$F$1,
MATCH(OFFSET($C182,((MATCH($C182,EL_List,0)-1)*-10)-1,0),MSP!$C:$C,0)+MATCH($C182,EL_List,0)-1,0)
*INDEX(Learning!$E$6:$S$41,(MATCH(L$21,Dates,0)),(MATCH($C$151,Learning!$E$4:$S$4,0)+MATCH($C$182,Learning!$E$5:$S$5,0)-1)))</f>
        <v>0.60435992392733395</v>
      </c>
      <c r="M189" s="533" cm="1">
        <f t="array" aca="1" ref="M189" ca="1">IF(M$21&lt;Standard_Year,'No STDs Case Rev &amp; Cost'!M189,
OFFSET(M189,-5,0)*
OFFSET(MSP!$F$1,
MATCH(OFFSET($C182,((MATCH($C182,EL_List,0)-1)*-10)-1,0),MSP!$C:$C,0)+MATCH($C182,EL_List,0)-1,0)
*INDEX(Learning!$E$6:$S$41,(MATCH(M$21,Dates,0)),(MATCH($C$151,Learning!$E$4:$S$4,0)+MATCH($C$182,Learning!$E$5:$S$5,0)-1)))</f>
        <v>0.6329392636543999</v>
      </c>
      <c r="N189" s="533" cm="1">
        <f t="array" aca="1" ref="N189" ca="1">IF(N$21&lt;Standard_Year,'No STDs Case Rev &amp; Cost'!N189,
OFFSET(N189,-5,0)*
OFFSET(MSP!$F$1,
MATCH(OFFSET($C182,((MATCH($C182,EL_List,0)-1)*-10)-1,0),MSP!$C:$C,0)+MATCH($C182,EL_List,0)-1,0)
*INDEX(Learning!$E$6:$S$41,(MATCH(N$21,Dates,0)),(MATCH($C$151,Learning!$E$4:$S$4,0)+MATCH($C$182,Learning!$E$5:$S$5,0)-1)))</f>
        <v>0.66167552055729184</v>
      </c>
      <c r="O189" s="533" cm="1">
        <f t="array" aca="1" ref="O189" ca="1">IF(O$21&lt;Standard_Year,'No STDs Case Rev &amp; Cost'!O189,
OFFSET(O189,-5,0)*
OFFSET(MSP!$F$1,
MATCH(OFFSET($C182,((MATCH($C182,EL_List,0)-1)*-10)-1,0),MSP!$C:$C,0)+MATCH($C182,EL_List,0)-1,0)
*INDEX(Learning!$E$6:$S$41,(MATCH(O$21,Dates,0)),(MATCH($C$151,Learning!$E$4:$S$4,0)+MATCH($C$182,Learning!$E$5:$S$5,0)-1)))</f>
        <v>0.6918491007614942</v>
      </c>
      <c r="P189" s="533" cm="1">
        <f t="array" aca="1" ref="P189" ca="1">IF(P$21&lt;Standard_Year,'No STDs Case Rev &amp; Cost'!P189,
OFFSET(P189,-5,0)*
OFFSET(MSP!$F$1,
MATCH(OFFSET($C182,((MATCH($C182,EL_List,0)-1)*-10)-1,0),MSP!$C:$C,0)+MATCH($C182,EL_List,0)-1,0)
*INDEX(Learning!$E$6:$S$41,(MATCH(P$21,Dates,0)),(MATCH($C$151,Learning!$E$4:$S$4,0)+MATCH($C$182,Learning!$E$5:$S$5,0)-1)))</f>
        <v>0.72294562292172826</v>
      </c>
      <c r="Q189" s="533" cm="1">
        <f t="array" aca="1" ref="Q189" ca="1">IF(Q$21&lt;Standard_Year,'No STDs Case Rev &amp; Cost'!Q189,
OFFSET(Q189,-5,0)*
OFFSET(MSP!$F$1,
MATCH(OFFSET($C182,((MATCH($C182,EL_List,0)-1)*-10)-1,0),MSP!$C:$C,0)+MATCH($C182,EL_List,0)-1,0)
*INDEX(Learning!$E$6:$S$41,(MATCH(Q$21,Dates,0)),(MATCH($C$151,Learning!$E$4:$S$4,0)+MATCH($C$182,Learning!$E$5:$S$5,0)-1)))</f>
        <v>0.75516279925236662</v>
      </c>
      <c r="R189" s="533" cm="1">
        <f t="array" aca="1" ref="R189" ca="1">IF(R$21&lt;Standard_Year,'No STDs Case Rev &amp; Cost'!R189,
OFFSET(R189,-5,0)*
OFFSET(MSP!$F$1,
MATCH(OFFSET($C182,((MATCH($C182,EL_List,0)-1)*-10)-1,0),MSP!$C:$C,0)+MATCH($C182,EL_List,0)-1,0)
*INDEX(Learning!$E$6:$S$41,(MATCH(R$21,Dates,0)),(MATCH($C$151,Learning!$E$4:$S$4,0)+MATCH($C$182,Learning!$E$5:$S$5,0)-1)))</f>
        <v>0.78873000810964122</v>
      </c>
      <c r="S189" s="533" cm="1">
        <f t="array" aca="1" ref="S189" ca="1">IF(S$21&lt;Standard_Year,'No STDs Case Rev &amp; Cost'!S189,
OFFSET(S189,-5,0)*
OFFSET(MSP!$F$1,
MATCH(OFFSET($C182,((MATCH($C182,EL_List,0)-1)*-10)-1,0),MSP!$C:$C,0)+MATCH($C182,EL_List,0)-1,0)
*INDEX(Learning!$E$6:$S$41,(MATCH(S$21,Dates,0)),(MATCH($C$151,Learning!$E$4:$S$4,0)+MATCH($C$182,Learning!$E$5:$S$5,0)-1)))</f>
        <v>0.8238313420955693</v>
      </c>
      <c r="T189" s="533" cm="1">
        <f t="array" aca="1" ref="T189" ca="1">IF(T$21&lt;Standard_Year,'No STDs Case Rev &amp; Cost'!T189,
OFFSET(T189,-5,0)*
OFFSET(MSP!$F$1,
MATCH(OFFSET($C182,((MATCH($C182,EL_List,0)-1)*-10)-1,0),MSP!$C:$C,0)+MATCH($C182,EL_List,0)-1,0)
*INDEX(Learning!$E$6:$S$41,(MATCH(T$21,Dates,0)),(MATCH($C$151,Learning!$E$4:$S$4,0)+MATCH($C$182,Learning!$E$5:$S$5,0)-1)))</f>
        <v>0.86147244237029363</v>
      </c>
      <c r="U189" s="533" cm="1">
        <f t="array" aca="1" ref="U189" ca="1">IF(U$21&lt;Standard_Year,'No STDs Case Rev &amp; Cost'!U189,
OFFSET(U189,-5,0)*
OFFSET(MSP!$F$1,
MATCH(OFFSET($C182,((MATCH($C182,EL_List,0)-1)*-10)-1,0),MSP!$C:$C,0)+MATCH($C182,EL_List,0)-1,0)
*INDEX(Learning!$E$6:$S$41,(MATCH(U$21,Dates,0)),(MATCH($C$151,Learning!$E$4:$S$4,0)+MATCH($C$182,Learning!$E$5:$S$5,0)-1)))</f>
        <v>0.9000072058140014</v>
      </c>
      <c r="V189" s="533" cm="1">
        <f t="array" aca="1" ref="V189" ca="1">IF(V$21&lt;Standard_Year,'No STDs Case Rev &amp; Cost'!V189,
OFFSET(V189,-5,0)*
OFFSET(MSP!$F$1,
MATCH(OFFSET($C182,((MATCH($C182,EL_List,0)-1)*-10)-1,0),MSP!$C:$C,0)+MATCH($C182,EL_List,0)-1,0)
*INDEX(Learning!$E$6:$S$41,(MATCH(V$21,Dates,0)),(MATCH($C$151,Learning!$E$4:$S$4,0)+MATCH($C$182,Learning!$E$5:$S$5,0)-1)))</f>
        <v>0.94117118993564208</v>
      </c>
      <c r="W189" s="533" cm="1">
        <f t="array" aca="1" ref="W189" ca="1">IF(W$21&lt;Standard_Year,'No STDs Case Rev &amp; Cost'!W189,
OFFSET(W189,-5,0)*
OFFSET(MSP!$F$1,
MATCH(OFFSET($C182,((MATCH($C182,EL_List,0)-1)*-10)-1,0),MSP!$C:$C,0)+MATCH($C182,EL_List,0)-1,0)
*INDEX(Learning!$E$6:$S$41,(MATCH(W$21,Dates,0)),(MATCH($C$151,Learning!$E$4:$S$4,0)+MATCH($C$182,Learning!$E$5:$S$5,0)-1)))</f>
        <v>0.98312501867218349</v>
      </c>
      <c r="X189" s="533" cm="1">
        <f t="array" aca="1" ref="X189" ca="1">IF(X$21&lt;Standard_Year,'No STDs Case Rev &amp; Cost'!X189,
OFFSET(X189,-5,0)*
OFFSET(MSP!$F$1,
MATCH(OFFSET($C182,((MATCH($C182,EL_List,0)-1)*-10)-1,0),MSP!$C:$C,0)+MATCH($C182,EL_List,0)-1,0)
*INDEX(Learning!$E$6:$S$41,(MATCH(X$21,Dates,0)),(MATCH($C$151,Learning!$E$4:$S$4,0)+MATCH($C$182,Learning!$E$5:$S$5,0)-1)))</f>
        <v>1.027936324275283</v>
      </c>
      <c r="Y189" s="533" cm="1">
        <f t="array" aca="1" ref="Y189" ca="1">IF(Y$21&lt;Standard_Year,'No STDs Case Rev &amp; Cost'!Y189,
OFFSET(Y189,-5,0)*
OFFSET(MSP!$F$1,
MATCH(OFFSET($C182,((MATCH($C182,EL_List,0)-1)*-10)-1,0),MSP!$C:$C,0)+MATCH($C182,EL_List,0)-1,0)
*INDEX(Learning!$E$6:$S$41,(MATCH(Y$21,Dates,0)),(MATCH($C$151,Learning!$E$4:$S$4,0)+MATCH($C$182,Learning!$E$5:$S$5,0)-1)))</f>
        <v>1.0746632699209033</v>
      </c>
      <c r="Z189" s="533" cm="1">
        <f t="array" aca="1" ref="Z189" ca="1">IF(Z$21&lt;Standard_Year,'No STDs Case Rev &amp; Cost'!Z189,
OFFSET(Z189,-5,0)*
OFFSET(MSP!$F$1,
MATCH(OFFSET($C182,((MATCH($C182,EL_List,0)-1)*-10)-1,0),MSP!$C:$C,0)+MATCH($C182,EL_List,0)-1,0)
*INDEX(Learning!$E$6:$S$41,(MATCH(Z$21,Dates,0)),(MATCH($C$151,Learning!$E$4:$S$4,0)+MATCH($C$182,Learning!$E$5:$S$5,0)-1)))</f>
        <v>1.1233867314968455</v>
      </c>
      <c r="AA189" s="533" cm="1">
        <f t="array" aca="1" ref="AA189" ca="1">IF(AA$21&lt;Standard_Year,'No STDs Case Rev &amp; Cost'!AA189,
OFFSET(AA189,-5,0)*
OFFSET(MSP!$F$1,
MATCH(OFFSET($C182,((MATCH($C182,EL_List,0)-1)*-10)-1,0),MSP!$C:$C,0)+MATCH($C182,EL_List,0)-1,0)
*INDEX(Learning!$E$6:$S$41,(MATCH(AA$21,Dates,0)),(MATCH($C$151,Learning!$E$4:$S$4,0)+MATCH($C$182,Learning!$E$5:$S$5,0)-1)))</f>
        <v>1.1742026281758604</v>
      </c>
      <c r="AB189" s="533" cm="1">
        <f t="array" aca="1" ref="AB189" ca="1">IF(AB$21&lt;Standard_Year,'No STDs Case Rev &amp; Cost'!AB189,
OFFSET(AB189,-5,0)*
OFFSET(MSP!$F$1,
MATCH(OFFSET($C182,((MATCH($C182,EL_List,0)-1)*-10)-1,0),MSP!$C:$C,0)+MATCH($C182,EL_List,0)-1,0)
*INDEX(Learning!$E$6:$S$41,(MATCH(AB$21,Dates,0)),(MATCH($C$151,Learning!$E$4:$S$4,0)+MATCH($C$182,Learning!$E$5:$S$5,0)-1)))</f>
        <v>1.2272232372670053</v>
      </c>
      <c r="AC189" s="533" cm="1">
        <f t="array" aca="1" ref="AC189" ca="1">IF(AC$21&lt;Standard_Year,'No STDs Case Rev &amp; Cost'!AC189,
OFFSET(AC189,-5,0)*
OFFSET(MSP!$F$1,
MATCH(OFFSET($C182,((MATCH($C182,EL_List,0)-1)*-10)-1,0),MSP!$C:$C,0)+MATCH($C182,EL_List,0)-1,0)
*INDEX(Learning!$E$6:$S$41,(MATCH(AC$21,Dates,0)),(MATCH($C$151,Learning!$E$4:$S$4,0)+MATCH($C$182,Learning!$E$5:$S$5,0)-1)))</f>
        <v>1.2825597717348036</v>
      </c>
      <c r="AD189" s="533" cm="1">
        <f t="array" aca="1" ref="AD189" ca="1">IF(AD$21&lt;Standard_Year,'No STDs Case Rev &amp; Cost'!AD189,
OFFSET(AD189,-5,0)*
OFFSET(MSP!$F$1,
MATCH(OFFSET($C182,((MATCH($C182,EL_List,0)-1)*-10)-1,0),MSP!$C:$C,0)+MATCH($C182,EL_List,0)-1,0)
*INDEX(Learning!$E$6:$S$41,(MATCH(AD$21,Dates,0)),(MATCH($C$151,Learning!$E$4:$S$4,0)+MATCH($C$182,Learning!$E$5:$S$5,0)-1)))</f>
        <v>1.3403217035187391</v>
      </c>
      <c r="AE189" s="533" cm="1">
        <f t="array" aca="1" ref="AE189" ca="1">IF(AE$21&lt;Standard_Year,'No STDs Case Rev &amp; Cost'!AE189,
OFFSET(AE189,-5,0)*
OFFSET(MSP!$F$1,
MATCH(OFFSET($C182,((MATCH($C182,EL_List,0)-1)*-10)-1,0),MSP!$C:$C,0)+MATCH($C182,EL_List,0)-1,0)
*INDEX(Learning!$E$6:$S$41,(MATCH(AE$21,Dates,0)),(MATCH($C$151,Learning!$E$4:$S$4,0)+MATCH($C$182,Learning!$E$5:$S$5,0)-1)))</f>
        <v>1.4006159672812233</v>
      </c>
      <c r="AF189" s="533" cm="1">
        <f t="array" aca="1" ref="AF189" ca="1">IF(AF$21&lt;Standard_Year,'No STDs Case Rev &amp; Cost'!AF189,
OFFSET(AF189,-5,0)*
OFFSET(MSP!$F$1,
MATCH(OFFSET($C182,((MATCH($C182,EL_List,0)-1)*-10)-1,0),MSP!$C:$C,0)+MATCH($C182,EL_List,0)-1,0)
*INDEX(Learning!$E$6:$S$41,(MATCH(AF$21,Dates,0)),(MATCH($C$151,Learning!$E$4:$S$4,0)+MATCH($C$182,Learning!$E$5:$S$5,0)-1)))</f>
        <v>1.4635483646079468</v>
      </c>
      <c r="AG189" s="533" cm="1">
        <f t="array" aca="1" ref="AG189" ca="1">IF(AG$21&lt;Standard_Year,'No STDs Case Rev &amp; Cost'!AG189,
OFFSET(AG189,-5,0)*
OFFSET(MSP!$F$1,
MATCH(OFFSET($C182,((MATCH($C182,EL_List,0)-1)*-10)-1,0),MSP!$C:$C,0)+MATCH($C182,EL_List,0)-1,0)
*INDEX(Learning!$E$6:$S$41,(MATCH(AG$21,Dates,0)),(MATCH($C$151,Learning!$E$4:$S$4,0)+MATCH($C$182,Learning!$E$5:$S$5,0)-1)))</f>
        <v>1.5309257725434664</v>
      </c>
      <c r="AH189" s="533" cm="1">
        <f t="array" aca="1" ref="AH189" ca="1">IF(AH$21&lt;Standard_Year,'No STDs Case Rev &amp; Cost'!AH189,
OFFSET(AH189,-5,0)*
OFFSET(MSP!$F$1,
MATCH(OFFSET($C182,((MATCH($C182,EL_List,0)-1)*-10)-1,0),MSP!$C:$C,0)+MATCH($C182,EL_List,0)-1,0)
*INDEX(Learning!$E$6:$S$41,(MATCH(AH$21,Dates,0)),(MATCH($C$151,Learning!$E$4:$S$4,0)+MATCH($C$182,Learning!$E$5:$S$5,0)-1)))</f>
        <v>1.5995463405879273</v>
      </c>
      <c r="AI189" s="533" cm="1">
        <f t="array" aca="1" ref="AI189" ca="1">IF(AI$21&lt;Standard_Year,'No STDs Case Rev &amp; Cost'!AI189,
OFFSET(AI189,-5,0)*
OFFSET(MSP!$F$1,
MATCH(OFFSET($C182,((MATCH($C182,EL_List,0)-1)*-10)-1,0),MSP!$C:$C,0)+MATCH($C182,EL_List,0)-1,0)
*INDEX(Learning!$E$6:$S$41,(MATCH(AI$21,Dates,0)),(MATCH($C$151,Learning!$E$4:$S$4,0)+MATCH($C$182,Learning!$E$5:$S$5,0)-1)))</f>
        <v>1.671148125290848</v>
      </c>
      <c r="AJ189" s="533" cm="1">
        <f t="array" aca="1" ref="AJ189" ca="1">IF(AJ$21&lt;Standard_Year,'No STDs Case Rev &amp; Cost'!AJ189,
OFFSET(AJ189,-5,0)*
OFFSET(MSP!$F$1,
MATCH(OFFSET($C182,((MATCH($C182,EL_List,0)-1)*-10)-1,0),MSP!$C:$C,0)+MATCH($C182,EL_List,0)-1,0)
*INDEX(Learning!$E$6:$S$41,(MATCH(AJ$21,Dates,0)),(MATCH($C$151,Learning!$E$4:$S$4,0)+MATCH($C$182,Learning!$E$5:$S$5,0)-1)))</f>
        <v>1.7478215454944657</v>
      </c>
      <c r="AK189" s="533" cm="1">
        <f t="array" aca="1" ref="AK189" ca="1">IF(AK$21&lt;Standard_Year,'No STDs Case Rev &amp; Cost'!AK189,
OFFSET(AK189,-5,0)*
OFFSET(MSP!$F$1,
MATCH(OFFSET($C182,((MATCH($C182,EL_List,0)-1)*-10)-1,0),MSP!$C:$C,0)+MATCH($C182,EL_List,0)-1,0)
*INDEX(Learning!$E$6:$S$41,(MATCH(AK$21,Dates,0)),(MATCH($C$151,Learning!$E$4:$S$4,0)+MATCH($C$182,Learning!$E$5:$S$5,0)-1)))</f>
        <v>1.8258697956056598</v>
      </c>
      <c r="AL189" s="533" cm="1">
        <f t="array" aca="1" ref="AL189" ca="1">IF(AL$21&lt;Standard_Year,'No STDs Case Rev &amp; Cost'!AL189,
OFFSET(AL189,-5,0)*
OFFSET(MSP!$F$1,
MATCH(OFFSET($C182,((MATCH($C182,EL_List,0)-1)*-10)-1,0),MSP!$C:$C,0)+MATCH($C182,EL_List,0)-1,0)
*INDEX(Learning!$E$6:$S$41,(MATCH(AL$21,Dates,0)),(MATCH($C$151,Learning!$E$4:$S$4,0)+MATCH($C$182,Learning!$E$5:$S$5,0)-1)))</f>
        <v>1.9094676625415632</v>
      </c>
      <c r="AM189" s="533" cm="1">
        <f t="array" aca="1" ref="AM189" ca="1">IF(AM$21&lt;Standard_Year,'No STDs Case Rev &amp; Cost'!AM189,
OFFSET(AM189,-5,0)*
OFFSET(MSP!$F$1,
MATCH(OFFSET($C182,((MATCH($C182,EL_List,0)-1)*-10)-1,0),MSP!$C:$C,0)+MATCH($C182,EL_List,0)-1,0)
*INDEX(Learning!$E$6:$S$41,(MATCH(AM$21,Dates,0)),(MATCH($C$151,Learning!$E$4:$S$4,0)+MATCH($C$182,Learning!$E$5:$S$5,0)-1)))</f>
        <v>1.9945440746083356</v>
      </c>
      <c r="AN189" s="533" cm="1">
        <f t="array" aca="1" ref="AN189" ca="1">IF(AN$21&lt;Standard_Year,'No STDs Case Rev &amp; Cost'!AN189,
OFFSET(AN189,-5,0)*
OFFSET(MSP!$F$1,
MATCH(OFFSET($C182,((MATCH($C182,EL_List,0)-1)*-10)-1,0),MSP!$C:$C,0)+MATCH($C182,EL_List,0)-1,0)
*INDEX(Learning!$E$6:$S$41,(MATCH(AN$21,Dates,0)),(MATCH($C$151,Learning!$E$4:$S$4,0)+MATCH($C$182,Learning!$E$5:$S$5,0)-1)))</f>
        <v>2.0848400256490476</v>
      </c>
      <c r="AO189" s="436"/>
      <c r="AP189" s="21"/>
    </row>
    <row r="190" spans="2:42" ht="15" customHeight="1" collapsed="1" x14ac:dyDescent="0.35">
      <c r="B190" s="429"/>
      <c r="C190" s="780" t="s">
        <v>215</v>
      </c>
      <c r="D190" s="776"/>
      <c r="E190" s="531" cm="1">
        <f t="array" aca="1" ref="E190" ca="1">IF(E$21&lt;Standard_Year,'No STDs Case Rev &amp; Cost'!E190,
OFFSET(E190,-6,0)*
OFFSET(MSP!$G$1,
MATCH(OFFSET($C182,((MATCH($C182,EL_List,0)-1)*-10)-1,0),MSP!$C:$C,0)+MATCH($C182,EL_List,0)-1,0)
*INDEX(Learning!$E$6:$S$41,(MATCH(E$21,Dates,0)),(MATCH($C$151,Learning!$E$4:$S$4,0)+MATCH($C$182,Learning!$E$5:$S$5,0)-1)))</f>
        <v>0.28136835320417947</v>
      </c>
      <c r="F190" s="531" cm="1">
        <f t="array" aca="1" ref="F190" ca="1">IF(F$21&lt;Standard_Year,'No STDs Case Rev &amp; Cost'!F190,
OFFSET(F190,-6,0)*
OFFSET(MSP!$G$1,
MATCH(OFFSET($C182,((MATCH($C182,EL_List,0)-1)*-10)-1,0),MSP!$C:$C,0)+MATCH($C182,EL_List,0)-1,0)
*INDEX(Learning!$E$6:$S$41,(MATCH(F$21,Dates,0)),(MATCH($C$151,Learning!$E$4:$S$4,0)+MATCH($C$182,Learning!$E$5:$S$5,0)-1)))</f>
        <v>0.29168957984231675</v>
      </c>
      <c r="G190" s="531" cm="1">
        <f t="array" aca="1" ref="G190" ca="1">IF(G$21&lt;Standard_Year,'No STDs Case Rev &amp; Cost'!G190,
OFFSET(G190,-6,0)*
OFFSET(MSP!$G$1,
MATCH(OFFSET($C182,((MATCH($C182,EL_List,0)-1)*-10)-1,0),MSP!$C:$C,0)+MATCH($C182,EL_List,0)-1,0)
*INDEX(Learning!$E$6:$S$41,(MATCH(G$21,Dates,0)),(MATCH($C$151,Learning!$E$4:$S$4,0)+MATCH($C$182,Learning!$E$5:$S$5,0)-1)))</f>
        <v>0.30082363397578077</v>
      </c>
      <c r="H190" s="531" cm="1">
        <f t="array" aca="1" ref="H190" ca="1">IF(H$21&lt;Standard_Year,'No STDs Case Rev &amp; Cost'!H190,
OFFSET(H190,-6,0)*
OFFSET(MSP!$G$1,
MATCH(OFFSET($C182,((MATCH($C182,EL_List,0)-1)*-10)-1,0),MSP!$C:$C,0)+MATCH($C182,EL_List,0)-1,0)
*INDEX(Learning!$E$6:$S$41,(MATCH(H$21,Dates,0)),(MATCH($C$151,Learning!$E$4:$S$4,0)+MATCH($C$182,Learning!$E$5:$S$5,0)-1)))</f>
        <v>0.31310759693274626</v>
      </c>
      <c r="I190" s="531" cm="1">
        <f t="array" aca="1" ref="I190" ca="1">IF(I$21&lt;Standard_Year,'No STDs Case Rev &amp; Cost'!I190,
OFFSET(I190,-6,0)*
OFFSET(MSP!$G$1,
MATCH(OFFSET($C182,((MATCH($C182,EL_List,0)-1)*-10)-1,0),MSP!$C:$C,0)+MATCH($C182,EL_List,0)-1,0)
*INDEX(Learning!$E$6:$S$41,(MATCH(I$21,Dates,0)),(MATCH($C$151,Learning!$E$4:$S$4,0)+MATCH($C$182,Learning!$E$5:$S$5,0)-1)))</f>
        <v>0.32592375843283067</v>
      </c>
      <c r="J190" s="531" cm="1">
        <f t="array" aca="1" ref="J190" ca="1">IF(J$21&lt;Standard_Year,'No STDs Case Rev &amp; Cost'!J190,
OFFSET(J190,-6,0)*
OFFSET(MSP!$G$1,
MATCH(OFFSET($C182,((MATCH($C182,EL_List,0)-1)*-10)-1,0),MSP!$C:$C,0)+MATCH($C182,EL_List,0)-1,0)
*INDEX(Learning!$E$6:$S$41,(MATCH(J$21,Dates,0)),(MATCH($C$151,Learning!$E$4:$S$4,0)+MATCH($C$182,Learning!$E$5:$S$5,0)-1)))</f>
        <v>0.34045708737371688</v>
      </c>
      <c r="K190" s="531" cm="1">
        <f t="array" aca="1" ref="K190" ca="1">IF(K$21&lt;Standard_Year,'No STDs Case Rev &amp; Cost'!K190,
OFFSET(K190,-6,0)*
OFFSET(MSP!$G$1,
MATCH(OFFSET($C182,((MATCH($C182,EL_List,0)-1)*-10)-1,0),MSP!$C:$C,0)+MATCH($C182,EL_List,0)-1,0)
*INDEX(Learning!$E$6:$S$41,(MATCH(K$21,Dates,0)),(MATCH($C$151,Learning!$E$4:$S$4,0)+MATCH($C$182,Learning!$E$5:$S$5,0)-1)))</f>
        <v>0.35617939058102205</v>
      </c>
      <c r="L190" s="531" cm="1">
        <f t="array" aca="1" ref="L190" ca="1">IF(L$21&lt;Standard_Year,'No STDs Case Rev &amp; Cost'!L190,
OFFSET(L190,-6,0)*
OFFSET(MSP!$G$1,
MATCH(OFFSET($C182,((MATCH($C182,EL_List,0)-1)*-10)-1,0),MSP!$C:$C,0)+MATCH($C182,EL_List,0)-1,0)
*INDEX(Learning!$E$6:$S$41,(MATCH(L$21,Dates,0)),(MATCH($C$151,Learning!$E$4:$S$4,0)+MATCH($C$182,Learning!$E$5:$S$5,0)-1)))</f>
        <v>0.37277851560921565</v>
      </c>
      <c r="M190" s="531" cm="1">
        <f t="array" aca="1" ref="M190" ca="1">IF(M$21&lt;Standard_Year,'No STDs Case Rev &amp; Cost'!M190,
OFFSET(M190,-6,0)*
OFFSET(MSP!$G$1,
MATCH(OFFSET($C182,((MATCH($C182,EL_List,0)-1)*-10)-1,0),MSP!$C:$C,0)+MATCH($C182,EL_List,0)-1,0)
*INDEX(Learning!$E$6:$S$41,(MATCH(M$21,Dates,0)),(MATCH($C$151,Learning!$E$4:$S$4,0)+MATCH($C$182,Learning!$E$5:$S$5,0)-1)))</f>
        <v>0.3904066928240702</v>
      </c>
      <c r="N190" s="531" cm="1">
        <f t="array" aca="1" ref="N190" ca="1">IF(N$21&lt;Standard_Year,'No STDs Case Rev &amp; Cost'!N190,
OFFSET(N190,-6,0)*
OFFSET(MSP!$G$1,
MATCH(OFFSET($C182,((MATCH($C182,EL_List,0)-1)*-10)-1,0),MSP!$C:$C,0)+MATCH($C182,EL_List,0)-1,0)
*INDEX(Learning!$E$6:$S$41,(MATCH(N$21,Dates,0)),(MATCH($C$151,Learning!$E$4:$S$4,0)+MATCH($C$182,Learning!$E$5:$S$5,0)-1)))</f>
        <v>0.40813165897141712</v>
      </c>
      <c r="O190" s="531" cm="1">
        <f t="array" aca="1" ref="O190" ca="1">IF(O$21&lt;Standard_Year,'No STDs Case Rev &amp; Cost'!O190,
OFFSET(O190,-6,0)*
OFFSET(MSP!$G$1,
MATCH(OFFSET($C182,((MATCH($C182,EL_List,0)-1)*-10)-1,0),MSP!$C:$C,0)+MATCH($C182,EL_List,0)-1,0)
*INDEX(Learning!$E$6:$S$41,(MATCH(O$21,Dates,0)),(MATCH($C$151,Learning!$E$4:$S$4,0)+MATCH($C$182,Learning!$E$5:$S$5,0)-1)))</f>
        <v>0.42674318828336177</v>
      </c>
      <c r="P190" s="531" cm="1">
        <f t="array" aca="1" ref="P190" ca="1">IF(P$21&lt;Standard_Year,'No STDs Case Rev &amp; Cost'!P190,
OFFSET(P190,-6,0)*
OFFSET(MSP!$G$1,
MATCH(OFFSET($C182,((MATCH($C182,EL_List,0)-1)*-10)-1,0),MSP!$C:$C,0)+MATCH($C182,EL_List,0)-1,0)
*INDEX(Learning!$E$6:$S$41,(MATCH(P$21,Dates,0)),(MATCH($C$151,Learning!$E$4:$S$4,0)+MATCH($C$182,Learning!$E$5:$S$5,0)-1)))</f>
        <v>0.44592400241837532</v>
      </c>
      <c r="Q190" s="531" cm="1">
        <f t="array" aca="1" ref="Q190" ca="1">IF(Q$21&lt;Standard_Year,'No STDs Case Rev &amp; Cost'!Q190,
OFFSET(Q190,-6,0)*
OFFSET(MSP!$G$1,
MATCH(OFFSET($C182,((MATCH($C182,EL_List,0)-1)*-10)-1,0),MSP!$C:$C,0)+MATCH($C182,EL_List,0)-1,0)
*INDEX(Learning!$E$6:$S$41,(MATCH(Q$21,Dates,0)),(MATCH($C$151,Learning!$E$4:$S$4,0)+MATCH($C$182,Learning!$E$5:$S$5,0)-1)))</f>
        <v>0.46579605331746787</v>
      </c>
      <c r="R190" s="531" cm="1">
        <f t="array" aca="1" ref="R190" ca="1">IF(R$21&lt;Standard_Year,'No STDs Case Rev &amp; Cost'!R190,
OFFSET(R190,-6,0)*
OFFSET(MSP!$G$1,
MATCH(OFFSET($C182,((MATCH($C182,EL_List,0)-1)*-10)-1,0),MSP!$C:$C,0)+MATCH($C182,EL_List,0)-1,0)
*INDEX(Learning!$E$6:$S$41,(MATCH(R$21,Dates,0)),(MATCH($C$151,Learning!$E$4:$S$4,0)+MATCH($C$182,Learning!$E$5:$S$5,0)-1)))</f>
        <v>0.48650082508599424</v>
      </c>
      <c r="S190" s="531" cm="1">
        <f t="array" aca="1" ref="S190" ca="1">IF(S$21&lt;Standard_Year,'No STDs Case Rev &amp; Cost'!S190,
OFFSET(S190,-6,0)*
OFFSET(MSP!$G$1,
MATCH(OFFSET($C182,((MATCH($C182,EL_List,0)-1)*-10)-1,0),MSP!$C:$C,0)+MATCH($C182,EL_List,0)-1,0)
*INDEX(Learning!$E$6:$S$41,(MATCH(S$21,Dates,0)),(MATCH($C$151,Learning!$E$4:$S$4,0)+MATCH($C$182,Learning!$E$5:$S$5,0)-1)))</f>
        <v>0.50815186887815478</v>
      </c>
      <c r="T190" s="531" cm="1">
        <f t="array" aca="1" ref="T190" ca="1">IF(T$21&lt;Standard_Year,'No STDs Case Rev &amp; Cost'!T190,
OFFSET(T190,-6,0)*
OFFSET(MSP!$G$1,
MATCH(OFFSET($C182,((MATCH($C182,EL_List,0)-1)*-10)-1,0),MSP!$C:$C,0)+MATCH($C182,EL_List,0)-1,0)
*INDEX(Learning!$E$6:$S$41,(MATCH(T$21,Dates,0)),(MATCH($C$151,Learning!$E$4:$S$4,0)+MATCH($C$182,Learning!$E$5:$S$5,0)-1)))</f>
        <v>0.53136947966069326</v>
      </c>
      <c r="U190" s="531" cm="1">
        <f t="array" aca="1" ref="U190" ca="1">IF(U$21&lt;Standard_Year,'No STDs Case Rev &amp; Cost'!U190,
OFFSET(U190,-6,0)*
OFFSET(MSP!$G$1,
MATCH(OFFSET($C182,((MATCH($C182,EL_List,0)-1)*-10)-1,0),MSP!$C:$C,0)+MATCH($C182,EL_List,0)-1,0)
*INDEX(Learning!$E$6:$S$41,(MATCH(U$21,Dates,0)),(MATCH($C$151,Learning!$E$4:$S$4,0)+MATCH($C$182,Learning!$E$5:$S$5,0)-1)))</f>
        <v>0.55513831565919813</v>
      </c>
      <c r="V190" s="531" cm="1">
        <f t="array" aca="1" ref="V190" ca="1">IF(V$21&lt;Standard_Year,'No STDs Case Rev &amp; Cost'!V190,
OFFSET(V190,-6,0)*
OFFSET(MSP!$G$1,
MATCH(OFFSET($C182,((MATCH($C182,EL_List,0)-1)*-10)-1,0),MSP!$C:$C,0)+MATCH($C182,EL_List,0)-1,0)
*INDEX(Learning!$E$6:$S$41,(MATCH(V$21,Dates,0)),(MATCH($C$151,Learning!$E$4:$S$4,0)+MATCH($C$182,Learning!$E$5:$S$5,0)-1)))</f>
        <v>0.58052889549399123</v>
      </c>
      <c r="W190" s="531" cm="1">
        <f t="array" aca="1" ref="W190" ca="1">IF(W$21&lt;Standard_Year,'No STDs Case Rev &amp; Cost'!W190,
OFFSET(W190,-6,0)*
OFFSET(MSP!$G$1,
MATCH(OFFSET($C182,((MATCH($C182,EL_List,0)-1)*-10)-1,0),MSP!$C:$C,0)+MATCH($C182,EL_List,0)-1,0)
*INDEX(Learning!$E$6:$S$41,(MATCH(W$21,Dates,0)),(MATCH($C$151,Learning!$E$4:$S$4,0)+MATCH($C$182,Learning!$E$5:$S$5,0)-1)))</f>
        <v>0.60640666366051788</v>
      </c>
      <c r="X190" s="531" cm="1">
        <f t="array" aca="1" ref="X190" ca="1">IF(X$21&lt;Standard_Year,'No STDs Case Rev &amp; Cost'!X190,
OFFSET(X190,-6,0)*
OFFSET(MSP!$G$1,
MATCH(OFFSET($C182,((MATCH($C182,EL_List,0)-1)*-10)-1,0),MSP!$C:$C,0)+MATCH($C182,EL_List,0)-1,0)
*INDEX(Learning!$E$6:$S$41,(MATCH(X$21,Dates,0)),(MATCH($C$151,Learning!$E$4:$S$4,0)+MATCH($C$182,Learning!$E$5:$S$5,0)-1)))</f>
        <v>0.63404696759841239</v>
      </c>
      <c r="Y190" s="531" cm="1">
        <f t="array" aca="1" ref="Y190" ca="1">IF(Y$21&lt;Standard_Year,'No STDs Case Rev &amp; Cost'!Y190,
OFFSET(Y190,-6,0)*
OFFSET(MSP!$G$1,
MATCH(OFFSET($C182,((MATCH($C182,EL_List,0)-1)*-10)-1,0),MSP!$C:$C,0)+MATCH($C182,EL_List,0)-1,0)
*INDEX(Learning!$E$6:$S$41,(MATCH(Y$21,Dates,0)),(MATCH($C$151,Learning!$E$4:$S$4,0)+MATCH($C$182,Learning!$E$5:$S$5,0)-1)))</f>
        <v>0.66286886783880838</v>
      </c>
      <c r="Z190" s="531" cm="1">
        <f t="array" aca="1" ref="Z190" ca="1">IF(Z$21&lt;Standard_Year,'No STDs Case Rev &amp; Cost'!Z190,
OFFSET(Z190,-6,0)*
OFFSET(MSP!$G$1,
MATCH(OFFSET($C182,((MATCH($C182,EL_List,0)-1)*-10)-1,0),MSP!$C:$C,0)+MATCH($C182,EL_List,0)-1,0)
*INDEX(Learning!$E$6:$S$41,(MATCH(Z$21,Dates,0)),(MATCH($C$151,Learning!$E$4:$S$4,0)+MATCH($C$182,Learning!$E$5:$S$5,0)-1)))</f>
        <v>0.69292224987577833</v>
      </c>
      <c r="AA190" s="531" cm="1">
        <f t="array" aca="1" ref="AA190" ca="1">IF(AA$21&lt;Standard_Year,'No STDs Case Rev &amp; Cost'!AA190,
OFFSET(AA190,-6,0)*
OFFSET(MSP!$G$1,
MATCH(OFFSET($C182,((MATCH($C182,EL_List,0)-1)*-10)-1,0),MSP!$C:$C,0)+MATCH($C182,EL_List,0)-1,0)
*INDEX(Learning!$E$6:$S$41,(MATCH(AA$21,Dates,0)),(MATCH($C$151,Learning!$E$4:$S$4,0)+MATCH($C$182,Learning!$E$5:$S$5,0)-1)))</f>
        <v>0.72426627813340327</v>
      </c>
      <c r="AB190" s="531" cm="1">
        <f t="array" aca="1" ref="AB190" ca="1">IF(AB$21&lt;Standard_Year,'No STDs Case Rev &amp; Cost'!AB190,
OFFSET(AB190,-6,0)*
OFFSET(MSP!$G$1,
MATCH(OFFSET($C182,((MATCH($C182,EL_List,0)-1)*-10)-1,0),MSP!$C:$C,0)+MATCH($C182,EL_List,0)-1,0)
*INDEX(Learning!$E$6:$S$41,(MATCH(AB$21,Dates,0)),(MATCH($C$151,Learning!$E$4:$S$4,0)+MATCH($C$182,Learning!$E$5:$S$5,0)-1)))</f>
        <v>0.75697020698635287</v>
      </c>
      <c r="AC190" s="531" cm="1">
        <f t="array" aca="1" ref="AC190" ca="1">IF(AC$21&lt;Standard_Year,'No STDs Case Rev &amp; Cost'!AC190,
OFFSET(AC190,-6,0)*
OFFSET(MSP!$G$1,
MATCH(OFFSET($C182,((MATCH($C182,EL_List,0)-1)*-10)-1,0),MSP!$C:$C,0)+MATCH($C182,EL_List,0)-1,0)
*INDEX(Learning!$E$6:$S$41,(MATCH(AC$21,Dates,0)),(MATCH($C$151,Learning!$E$4:$S$4,0)+MATCH($C$182,Learning!$E$5:$S$5,0)-1)))</f>
        <v>0.79110263430518402</v>
      </c>
      <c r="AD190" s="531" cm="1">
        <f t="array" aca="1" ref="AD190" ca="1">IF(AD$21&lt;Standard_Year,'No STDs Case Rev &amp; Cost'!AD190,
OFFSET(AD190,-6,0)*
OFFSET(MSP!$G$1,
MATCH(OFFSET($C182,((MATCH($C182,EL_List,0)-1)*-10)-1,0),MSP!$C:$C,0)+MATCH($C182,EL_List,0)-1,0)
*INDEX(Learning!$E$6:$S$41,(MATCH(AD$21,Dates,0)),(MATCH($C$151,Learning!$E$4:$S$4,0)+MATCH($C$182,Learning!$E$5:$S$5,0)-1)))</f>
        <v>0.82673108406937668</v>
      </c>
      <c r="AE190" s="531" cm="1">
        <f t="array" aca="1" ref="AE190" ca="1">IF(AE$21&lt;Standard_Year,'No STDs Case Rev &amp; Cost'!AE190,
OFFSET(AE190,-6,0)*
OFFSET(MSP!$G$1,
MATCH(OFFSET($C182,((MATCH($C182,EL_List,0)-1)*-10)-1,0),MSP!$C:$C,0)+MATCH($C182,EL_List,0)-1,0)
*INDEX(Learning!$E$6:$S$41,(MATCH(AE$21,Dates,0)),(MATCH($C$151,Learning!$E$4:$S$4,0)+MATCH($C$182,Learning!$E$5:$S$5,0)-1)))</f>
        <v>0.86392151522680694</v>
      </c>
      <c r="AF190" s="531" cm="1">
        <f t="array" aca="1" ref="AF190" ca="1">IF(AF$21&lt;Standard_Year,'No STDs Case Rev &amp; Cost'!AF190,
OFFSET(AF190,-6,0)*
OFFSET(MSP!$G$1,
MATCH(OFFSET($C182,((MATCH($C182,EL_List,0)-1)*-10)-1,0),MSP!$C:$C,0)+MATCH($C182,EL_List,0)-1,0)
*INDEX(Learning!$E$6:$S$41,(MATCH(AF$21,Dates,0)),(MATCH($C$151,Learning!$E$4:$S$4,0)+MATCH($C$182,Learning!$E$5:$S$5,0)-1)))</f>
        <v>0.90273918782616691</v>
      </c>
      <c r="AG190" s="531" cm="1">
        <f t="array" aca="1" ref="AG190" ca="1">IF(AG$21&lt;Standard_Year,'No STDs Case Rev &amp; Cost'!AG190,
OFFSET(AG190,-6,0)*
OFFSET(MSP!$G$1,
MATCH(OFFSET($C182,((MATCH($C182,EL_List,0)-1)*-10)-1,0),MSP!$C:$C,0)+MATCH($C182,EL_List,0)-1,0)
*INDEX(Learning!$E$6:$S$41,(MATCH(AG$21,Dates,0)),(MATCH($C$151,Learning!$E$4:$S$4,0)+MATCH($C$182,Learning!$E$5:$S$5,0)-1)))</f>
        <v>0.94429861147653371</v>
      </c>
      <c r="AH190" s="531" cm="1">
        <f t="array" aca="1" ref="AH190" ca="1">IF(AH$21&lt;Standard_Year,'No STDs Case Rev &amp; Cost'!AH190,
OFFSET(AH190,-6,0)*
OFFSET(MSP!$G$1,
MATCH(OFFSET($C182,((MATCH($C182,EL_List,0)-1)*-10)-1,0),MSP!$C:$C,0)+MATCH($C182,EL_List,0)-1,0)
*INDEX(Learning!$E$6:$S$41,(MATCH(AH$21,Dates,0)),(MATCH($C$151,Learning!$E$4:$S$4,0)+MATCH($C$182,Learning!$E$5:$S$5,0)-1)))</f>
        <v>0.98662483544195834</v>
      </c>
      <c r="AI190" s="531" cm="1">
        <f t="array" aca="1" ref="AI190" ca="1">IF(AI$21&lt;Standard_Year,'No STDs Case Rev &amp; Cost'!AI190,
OFFSET(AI190,-6,0)*
OFFSET(MSP!$G$1,
MATCH(OFFSET($C182,((MATCH($C182,EL_List,0)-1)*-10)-1,0),MSP!$C:$C,0)+MATCH($C182,EL_List,0)-1,0)
*INDEX(Learning!$E$6:$S$41,(MATCH(AI$21,Dates,0)),(MATCH($C$151,Learning!$E$4:$S$4,0)+MATCH($C$182,Learning!$E$5:$S$5,0)-1)))</f>
        <v>1.0307899197895014</v>
      </c>
      <c r="AJ190" s="531" cm="1">
        <f t="array" aca="1" ref="AJ190" ca="1">IF(AJ$21&lt;Standard_Year,'No STDs Case Rev &amp; Cost'!AJ190,
OFFSET(AJ190,-6,0)*
OFFSET(MSP!$G$1,
MATCH(OFFSET($C182,((MATCH($C182,EL_List,0)-1)*-10)-1,0),MSP!$C:$C,0)+MATCH($C182,EL_List,0)-1,0)
*INDEX(Learning!$E$6:$S$41,(MATCH(AJ$21,Dates,0)),(MATCH($C$151,Learning!$E$4:$S$4,0)+MATCH($C$182,Learning!$E$5:$S$5,0)-1)))</f>
        <v>1.0780832670790594</v>
      </c>
      <c r="AK190" s="531" cm="1">
        <f t="array" aca="1" ref="AK190" ca="1">IF(AK$21&lt;Standard_Year,'No STDs Case Rev &amp; Cost'!AK190,
OFFSET(AK190,-6,0)*
OFFSET(MSP!$G$1,
MATCH(OFFSET($C182,((MATCH($C182,EL_List,0)-1)*-10)-1,0),MSP!$C:$C,0)+MATCH($C182,EL_List,0)-1,0)
*INDEX(Learning!$E$6:$S$41,(MATCH(AK$21,Dates,0)),(MATCH($C$151,Learning!$E$4:$S$4,0)+MATCH($C$182,Learning!$E$5:$S$5,0)-1)))</f>
        <v>1.1262246306447978</v>
      </c>
      <c r="AL190" s="531" cm="1">
        <f t="array" aca="1" ref="AL190" ca="1">IF(AL$21&lt;Standard_Year,'No STDs Case Rev &amp; Cost'!AL190,
OFFSET(AL190,-6,0)*
OFFSET(MSP!$G$1,
MATCH(OFFSET($C182,((MATCH($C182,EL_List,0)-1)*-10)-1,0),MSP!$C:$C,0)+MATCH($C182,EL_List,0)-1,0)
*INDEX(Learning!$E$6:$S$41,(MATCH(AL$21,Dates,0)),(MATCH($C$151,Learning!$E$4:$S$4,0)+MATCH($C$182,Learning!$E$5:$S$5,0)-1)))</f>
        <v>1.1777890833999574</v>
      </c>
      <c r="AM190" s="531" cm="1">
        <f t="array" aca="1" ref="AM190" ca="1">IF(AM$21&lt;Standard_Year,'No STDs Case Rev &amp; Cost'!AM190,
OFFSET(AM190,-6,0)*
OFFSET(MSP!$G$1,
MATCH(OFFSET($C182,((MATCH($C182,EL_List,0)-1)*-10)-1,0),MSP!$C:$C,0)+MATCH($C182,EL_List,0)-1,0)
*INDEX(Learning!$E$6:$S$41,(MATCH(AM$21,Dates,0)),(MATCH($C$151,Learning!$E$4:$S$4,0)+MATCH($C$182,Learning!$E$5:$S$5,0)-1)))</f>
        <v>1.2302655255795063</v>
      </c>
      <c r="AN190" s="531" cm="1">
        <f t="array" aca="1" ref="AN190" ca="1">IF(AN$21&lt;Standard_Year,'No STDs Case Rev &amp; Cost'!AN190,
OFFSET(AN190,-6,0)*
OFFSET(MSP!$G$1,
MATCH(OFFSET($C182,((MATCH($C182,EL_List,0)-1)*-10)-1,0),MSP!$C:$C,0)+MATCH($C182,EL_List,0)-1,0)
*INDEX(Learning!$E$6:$S$41,(MATCH(AN$21,Dates,0)),(MATCH($C$151,Learning!$E$4:$S$4,0)+MATCH($C$182,Learning!$E$5:$S$5,0)-1)))</f>
        <v>1.2859614598428879</v>
      </c>
      <c r="AO190" s="436"/>
      <c r="AP190" s="21"/>
    </row>
    <row r="191" spans="2:42" ht="15" customHeight="1" x14ac:dyDescent="0.35">
      <c r="B191" s="429"/>
      <c r="C191" s="776"/>
      <c r="D191" s="776"/>
      <c r="E191" s="776"/>
      <c r="F191" s="776"/>
      <c r="G191" s="776"/>
      <c r="H191" s="776"/>
      <c r="I191" s="776"/>
      <c r="J191" s="776"/>
      <c r="K191" s="776"/>
      <c r="L191" s="776"/>
      <c r="M191" s="776"/>
      <c r="N191" s="776"/>
      <c r="O191" s="776"/>
      <c r="P191" s="776"/>
      <c r="Q191" s="776"/>
      <c r="R191" s="776"/>
      <c r="S191" s="776"/>
      <c r="T191" s="776"/>
      <c r="U191" s="776"/>
      <c r="V191" s="776"/>
      <c r="W191" s="776"/>
      <c r="X191" s="776"/>
      <c r="Y191" s="776"/>
      <c r="Z191" s="776"/>
      <c r="AA191" s="776"/>
      <c r="AB191" s="776"/>
      <c r="AC191" s="776"/>
      <c r="AD191" s="776"/>
      <c r="AE191" s="776"/>
      <c r="AF191" s="776"/>
      <c r="AG191" s="776"/>
      <c r="AH191" s="776"/>
      <c r="AI191" s="776"/>
      <c r="AJ191" s="776"/>
      <c r="AK191" s="776"/>
      <c r="AL191" s="776"/>
      <c r="AM191" s="776"/>
      <c r="AN191" s="776"/>
      <c r="AO191" s="436"/>
      <c r="AP191" s="21"/>
    </row>
    <row r="192" spans="2:42" ht="15" customHeight="1" x14ac:dyDescent="0.35">
      <c r="B192" s="429"/>
      <c r="C192" s="772" t="s">
        <v>342</v>
      </c>
      <c r="D192" s="776"/>
      <c r="E192" s="776"/>
      <c r="F192" s="776"/>
      <c r="G192" s="776"/>
      <c r="H192" s="776"/>
      <c r="I192" s="776"/>
      <c r="J192" s="776"/>
      <c r="K192" s="776"/>
      <c r="L192" s="776"/>
      <c r="M192" s="776"/>
      <c r="N192" s="776"/>
      <c r="O192" s="776"/>
      <c r="P192" s="776"/>
      <c r="Q192" s="776"/>
      <c r="R192" s="776"/>
      <c r="S192" s="776"/>
      <c r="T192" s="776"/>
      <c r="U192" s="776"/>
      <c r="V192" s="776"/>
      <c r="W192" s="776"/>
      <c r="X192" s="776"/>
      <c r="Y192" s="776"/>
      <c r="Z192" s="776"/>
      <c r="AA192" s="776"/>
      <c r="AB192" s="776"/>
      <c r="AC192" s="776"/>
      <c r="AD192" s="776"/>
      <c r="AE192" s="776"/>
      <c r="AF192" s="776"/>
      <c r="AG192" s="776"/>
      <c r="AH192" s="776"/>
      <c r="AI192" s="776"/>
      <c r="AJ192" s="776"/>
      <c r="AK192" s="776"/>
      <c r="AL192" s="776"/>
      <c r="AM192" s="776"/>
      <c r="AN192" s="776"/>
      <c r="AO192" s="436"/>
      <c r="AP192" s="21"/>
    </row>
    <row r="193" spans="2:42" ht="15" customHeight="1" x14ac:dyDescent="0.35">
      <c r="B193" s="429"/>
      <c r="C193" s="777" t="s">
        <v>10</v>
      </c>
      <c r="D193" s="776"/>
      <c r="E193" s="778" cm="1">
        <f t="array" aca="1" ref="E193" ca="1">IF(E$21&lt;Standard_Year,'No STDs Case Rev &amp; Cost'!E193,
OFFSET(MSP!$C$1,
MATCH(OFFSET($C192,((MATCH($C192,EL_List,0)-1)*-10)-1,0),MSP!$C:$C,0)+MATCH($C192,EL_List,0)-1,
MATCH(OFFSET($C192,((MATCH($C192,EL_List,0)-1)*-10)-3,0),MSP!$D$5:$N$5,0)+1)
*INDEX(Learning!$E$6:$S$41,(MATCH(E$21,Dates,0)),(MATCH($C$151,Learning!$E$4:$S$4,0)+MATCH($C$192,Learning!$E$5:$S$5,0)-1)))</f>
        <v>112.51188</v>
      </c>
      <c r="F193" s="778" cm="1">
        <f t="array" aca="1" ref="F193" ca="1">IF(F$21&lt;Standard_Year,'No STDs Case Rev &amp; Cost'!F193,
OFFSET(MSP!$C$1,
MATCH(OFFSET($C192,((MATCH($C192,EL_List,0)-1)*-10)-1,0),MSP!$C:$C,0)+MATCH($C192,EL_List,0)-1,
MATCH(OFFSET($C192,((MATCH($C192,EL_List,0)-1)*-10)-3,0),MSP!$D$5:$N$5,0)+1)
*INDEX(Learning!$E$6:$S$41,(MATCH(F$21,Dates,0)),(MATCH($C$151,Learning!$E$4:$S$4,0)+MATCH($C$192,Learning!$E$5:$S$5,0)-1)))</f>
        <v>111.646404</v>
      </c>
      <c r="G193" s="778" cm="1">
        <f t="array" aca="1" ref="G193" ca="1">IF(G$21&lt;Standard_Year,'No STDs Case Rev &amp; Cost'!G193,
OFFSET(MSP!$C$1,
MATCH(OFFSET($C192,((MATCH($C192,EL_List,0)-1)*-10)-1,0),MSP!$C:$C,0)+MATCH($C192,EL_List,0)-1,
MATCH(OFFSET($C192,((MATCH($C192,EL_List,0)-1)*-10)-3,0),MSP!$D$5:$N$5,0)+1)
*INDEX(Learning!$E$6:$S$41,(MATCH(G$21,Dates,0)),(MATCH($C$151,Learning!$E$4:$S$4,0)+MATCH($C$192,Learning!$E$5:$S$5,0)-1)))</f>
        <v>110.8891125</v>
      </c>
      <c r="H193" s="778" cm="1">
        <f t="array" aca="1" ref="H193" ca="1">IF(H$21&lt;Standard_Year,'No STDs Case Rev &amp; Cost'!H193,
OFFSET(MSP!$C$1,
MATCH(OFFSET($C192,((MATCH($C192,EL_List,0)-1)*-10)-1,0),MSP!$C:$C,0)+MATCH($C192,EL_List,0)-1,
MATCH(OFFSET($C192,((MATCH($C192,EL_List,0)-1)*-10)-3,0),MSP!$D$5:$N$5,0)+1)
*INDEX(Learning!$E$6:$S$41,(MATCH(H$21,Dates,0)),(MATCH($C$151,Learning!$E$4:$S$4,0)+MATCH($C$192,Learning!$E$5:$S$5,0)-1)))</f>
        <v>110.131821</v>
      </c>
      <c r="I193" s="778" cm="1">
        <f t="array" aca="1" ref="I193" ca="1">IF(I$21&lt;Standard_Year,'No STDs Case Rev &amp; Cost'!I193,
OFFSET(MSP!$C$1,
MATCH(OFFSET($C192,((MATCH($C192,EL_List,0)-1)*-10)-1,0),MSP!$C:$C,0)+MATCH($C192,EL_List,0)-1,
MATCH(OFFSET($C192,((MATCH($C192,EL_List,0)-1)*-10)-3,0),MSP!$D$5:$N$5,0)+1)
*INDEX(Learning!$E$6:$S$41,(MATCH(I$21,Dates,0)),(MATCH($C$151,Learning!$E$4:$S$4,0)+MATCH($C$192,Learning!$E$5:$S$5,0)-1)))</f>
        <v>109.482714</v>
      </c>
      <c r="J193" s="778" cm="1">
        <f t="array" aca="1" ref="J193" ca="1">IF(J$21&lt;Standard_Year,'No STDs Case Rev &amp; Cost'!J193,
OFFSET(MSP!$C$1,
MATCH(OFFSET($C192,((MATCH($C192,EL_List,0)-1)*-10)-1,0),MSP!$C:$C,0)+MATCH($C192,EL_List,0)-1,
MATCH(OFFSET($C192,((MATCH($C192,EL_List,0)-1)*-10)-3,0),MSP!$D$5:$N$5,0)+1)
*INDEX(Learning!$E$6:$S$41,(MATCH(J$21,Dates,0)),(MATCH($C$151,Learning!$E$4:$S$4,0)+MATCH($C$192,Learning!$E$5:$S$5,0)-1)))</f>
        <v>108.833607</v>
      </c>
      <c r="K193" s="778" cm="1">
        <f t="array" aca="1" ref="K193" ca="1">IF(K$21&lt;Standard_Year,'No STDs Case Rev &amp; Cost'!K193,
OFFSET(MSP!$C$1,
MATCH(OFFSET($C192,((MATCH($C192,EL_List,0)-1)*-10)-1,0),MSP!$C:$C,0)+MATCH($C192,EL_List,0)-1,
MATCH(OFFSET($C192,((MATCH($C192,EL_List,0)-1)*-10)-3,0),MSP!$D$5:$N$5,0)+1)
*INDEX(Learning!$E$6:$S$41,(MATCH(K$21,Dates,0)),(MATCH($C$151,Learning!$E$4:$S$4,0)+MATCH($C$192,Learning!$E$5:$S$5,0)-1)))</f>
        <v>108.1845</v>
      </c>
      <c r="L193" s="778" cm="1">
        <f t="array" aca="1" ref="L193" ca="1">IF(L$21&lt;Standard_Year,'No STDs Case Rev &amp; Cost'!L193,
OFFSET(MSP!$C$1,
MATCH(OFFSET($C192,((MATCH($C192,EL_List,0)-1)*-10)-1,0),MSP!$C:$C,0)+MATCH($C192,EL_List,0)-1,
MATCH(OFFSET($C192,((MATCH($C192,EL_List,0)-1)*-10)-3,0),MSP!$D$5:$N$5,0)+1)
*INDEX(Learning!$E$6:$S$41,(MATCH(L$21,Dates,0)),(MATCH($C$151,Learning!$E$4:$S$4,0)+MATCH($C$192,Learning!$E$5:$S$5,0)-1)))</f>
        <v>107.535393</v>
      </c>
      <c r="M193" s="778" cm="1">
        <f t="array" aca="1" ref="M193" ca="1">IF(M$21&lt;Standard_Year,'No STDs Case Rev &amp; Cost'!M193,
OFFSET(MSP!$C$1,
MATCH(OFFSET($C192,((MATCH($C192,EL_List,0)-1)*-10)-1,0),MSP!$C:$C,0)+MATCH($C192,EL_List,0)-1,
MATCH(OFFSET($C192,((MATCH($C192,EL_List,0)-1)*-10)-3,0),MSP!$D$5:$N$5,0)+1)
*INDEX(Learning!$E$6:$S$41,(MATCH(M$21,Dates,0)),(MATCH($C$151,Learning!$E$4:$S$4,0)+MATCH($C$192,Learning!$E$5:$S$5,0)-1)))</f>
        <v>106.99447050000001</v>
      </c>
      <c r="N193" s="778" cm="1">
        <f t="array" aca="1" ref="N193" ca="1">IF(N$21&lt;Standard_Year,'No STDs Case Rev &amp; Cost'!N193,
OFFSET(MSP!$C$1,
MATCH(OFFSET($C192,((MATCH($C192,EL_List,0)-1)*-10)-1,0),MSP!$C:$C,0)+MATCH($C192,EL_List,0)-1,
MATCH(OFFSET($C192,((MATCH($C192,EL_List,0)-1)*-10)-3,0),MSP!$D$5:$N$5,0)+1)
*INDEX(Learning!$E$6:$S$41,(MATCH(N$21,Dates,0)),(MATCH($C$151,Learning!$E$4:$S$4,0)+MATCH($C$192,Learning!$E$5:$S$5,0)-1)))</f>
        <v>106.3453635</v>
      </c>
      <c r="O193" s="778" cm="1">
        <f t="array" aca="1" ref="O193" ca="1">IF(O$21&lt;Standard_Year,'No STDs Case Rev &amp; Cost'!O193,
OFFSET(MSP!$C$1,
MATCH(OFFSET($C192,((MATCH($C192,EL_List,0)-1)*-10)-1,0),MSP!$C:$C,0)+MATCH($C192,EL_List,0)-1,
MATCH(OFFSET($C192,((MATCH($C192,EL_List,0)-1)*-10)-3,0),MSP!$D$5:$N$5,0)+1)
*INDEX(Learning!$E$6:$S$41,(MATCH(O$21,Dates,0)),(MATCH($C$151,Learning!$E$4:$S$4,0)+MATCH($C$192,Learning!$E$5:$S$5,0)-1)))</f>
        <v>105.804441</v>
      </c>
      <c r="P193" s="778" cm="1">
        <f t="array" aca="1" ref="P193" ca="1">IF(P$21&lt;Standard_Year,'No STDs Case Rev &amp; Cost'!P193,
OFFSET(MSP!$C$1,
MATCH(OFFSET($C192,((MATCH($C192,EL_List,0)-1)*-10)-1,0),MSP!$C:$C,0)+MATCH($C192,EL_List,0)-1,
MATCH(OFFSET($C192,((MATCH($C192,EL_List,0)-1)*-10)-3,0),MSP!$D$5:$N$5,0)+1)
*INDEX(Learning!$E$6:$S$41,(MATCH(P$21,Dates,0)),(MATCH($C$151,Learning!$E$4:$S$4,0)+MATCH($C$192,Learning!$E$5:$S$5,0)-1)))</f>
        <v>105.2635185</v>
      </c>
      <c r="Q193" s="778" cm="1">
        <f t="array" aca="1" ref="Q193" ca="1">IF(Q$21&lt;Standard_Year,'No STDs Case Rev &amp; Cost'!Q193,
OFFSET(MSP!$C$1,
MATCH(OFFSET($C192,((MATCH($C192,EL_List,0)-1)*-10)-1,0),MSP!$C:$C,0)+MATCH($C192,EL_List,0)-1,
MATCH(OFFSET($C192,((MATCH($C192,EL_List,0)-1)*-10)-3,0),MSP!$D$5:$N$5,0)+1)
*INDEX(Learning!$E$6:$S$41,(MATCH(Q$21,Dates,0)),(MATCH($C$151,Learning!$E$4:$S$4,0)+MATCH($C$192,Learning!$E$5:$S$5,0)-1)))</f>
        <v>104.722596</v>
      </c>
      <c r="R193" s="778" cm="1">
        <f t="array" aca="1" ref="R193" ca="1">IF(R$21&lt;Standard_Year,'No STDs Case Rev &amp; Cost'!R193,
OFFSET(MSP!$C$1,
MATCH(OFFSET($C192,((MATCH($C192,EL_List,0)-1)*-10)-1,0),MSP!$C:$C,0)+MATCH($C192,EL_List,0)-1,
MATCH(OFFSET($C192,((MATCH($C192,EL_List,0)-1)*-10)-3,0),MSP!$D$5:$N$5,0)+1)
*INDEX(Learning!$E$6:$S$41,(MATCH(R$21,Dates,0)),(MATCH($C$151,Learning!$E$4:$S$4,0)+MATCH($C$192,Learning!$E$5:$S$5,0)-1)))</f>
        <v>104.1816735</v>
      </c>
      <c r="S193" s="778" cm="1">
        <f t="array" aca="1" ref="S193" ca="1">IF(S$21&lt;Standard_Year,'No STDs Case Rev &amp; Cost'!S193,
OFFSET(MSP!$C$1,
MATCH(OFFSET($C192,((MATCH($C192,EL_List,0)-1)*-10)-1,0),MSP!$C:$C,0)+MATCH($C192,EL_List,0)-1,
MATCH(OFFSET($C192,((MATCH($C192,EL_List,0)-1)*-10)-3,0),MSP!$D$5:$N$5,0)+1)
*INDEX(Learning!$E$6:$S$41,(MATCH(S$21,Dates,0)),(MATCH($C$151,Learning!$E$4:$S$4,0)+MATCH($C$192,Learning!$E$5:$S$5,0)-1)))</f>
        <v>103.7489355</v>
      </c>
      <c r="T193" s="778" cm="1">
        <f t="array" aca="1" ref="T193" ca="1">IF(T$21&lt;Standard_Year,'No STDs Case Rev &amp; Cost'!T193,
OFFSET(MSP!$C$1,
MATCH(OFFSET($C192,((MATCH($C192,EL_List,0)-1)*-10)-1,0),MSP!$C:$C,0)+MATCH($C192,EL_List,0)-1,
MATCH(OFFSET($C192,((MATCH($C192,EL_List,0)-1)*-10)-3,0),MSP!$D$5:$N$5,0)+1)
*INDEX(Learning!$E$6:$S$41,(MATCH(T$21,Dates,0)),(MATCH($C$151,Learning!$E$4:$S$4,0)+MATCH($C$192,Learning!$E$5:$S$5,0)-1)))</f>
        <v>103.20801299999999</v>
      </c>
      <c r="U193" s="778" cm="1">
        <f t="array" aca="1" ref="U193" ca="1">IF(U$21&lt;Standard_Year,'No STDs Case Rev &amp; Cost'!U193,
OFFSET(MSP!$C$1,
MATCH(OFFSET($C192,((MATCH($C192,EL_List,0)-1)*-10)-1,0),MSP!$C:$C,0)+MATCH($C192,EL_List,0)-1,
MATCH(OFFSET($C192,((MATCH($C192,EL_List,0)-1)*-10)-3,0),MSP!$D$5:$N$5,0)+1)
*INDEX(Learning!$E$6:$S$41,(MATCH(U$21,Dates,0)),(MATCH($C$151,Learning!$E$4:$S$4,0)+MATCH($C$192,Learning!$E$5:$S$5,0)-1)))</f>
        <v>102.77527499999999</v>
      </c>
      <c r="V193" s="778" cm="1">
        <f t="array" aca="1" ref="V193" ca="1">IF(V$21&lt;Standard_Year,'No STDs Case Rev &amp; Cost'!V193,
OFFSET(MSP!$C$1,
MATCH(OFFSET($C192,((MATCH($C192,EL_List,0)-1)*-10)-1,0),MSP!$C:$C,0)+MATCH($C192,EL_List,0)-1,
MATCH(OFFSET($C192,((MATCH($C192,EL_List,0)-1)*-10)-3,0),MSP!$D$5:$N$5,0)+1)
*INDEX(Learning!$E$6:$S$41,(MATCH(V$21,Dates,0)),(MATCH($C$151,Learning!$E$4:$S$4,0)+MATCH($C$192,Learning!$E$5:$S$5,0)-1)))</f>
        <v>102.2343525</v>
      </c>
      <c r="W193" s="778" cm="1">
        <f t="array" aca="1" ref="W193" ca="1">IF(W$21&lt;Standard_Year,'No STDs Case Rev &amp; Cost'!W193,
OFFSET(MSP!$C$1,
MATCH(OFFSET($C192,((MATCH($C192,EL_List,0)-1)*-10)-1,0),MSP!$C:$C,0)+MATCH($C192,EL_List,0)-1,
MATCH(OFFSET($C192,((MATCH($C192,EL_List,0)-1)*-10)-3,0),MSP!$D$5:$N$5,0)+1)
*INDEX(Learning!$E$6:$S$41,(MATCH(W$21,Dates,0)),(MATCH($C$151,Learning!$E$4:$S$4,0)+MATCH($C$192,Learning!$E$5:$S$5,0)-1)))</f>
        <v>101.8016145</v>
      </c>
      <c r="X193" s="778" cm="1">
        <f t="array" aca="1" ref="X193" ca="1">IF(X$21&lt;Standard_Year,'No STDs Case Rev &amp; Cost'!X193,
OFFSET(MSP!$C$1,
MATCH(OFFSET($C192,((MATCH($C192,EL_List,0)-1)*-10)-1,0),MSP!$C:$C,0)+MATCH($C192,EL_List,0)-1,
MATCH(OFFSET($C192,((MATCH($C192,EL_List,0)-1)*-10)-3,0),MSP!$D$5:$N$5,0)+1)
*INDEX(Learning!$E$6:$S$41,(MATCH(X$21,Dates,0)),(MATCH($C$151,Learning!$E$4:$S$4,0)+MATCH($C$192,Learning!$E$5:$S$5,0)-1)))</f>
        <v>101.3688765</v>
      </c>
      <c r="Y193" s="778" cm="1">
        <f t="array" aca="1" ref="Y193" ca="1">IF(Y$21&lt;Standard_Year,'No STDs Case Rev &amp; Cost'!Y193,
OFFSET(MSP!$C$1,
MATCH(OFFSET($C192,((MATCH($C192,EL_List,0)-1)*-10)-1,0),MSP!$C:$C,0)+MATCH($C192,EL_List,0)-1,
MATCH(OFFSET($C192,((MATCH($C192,EL_List,0)-1)*-10)-3,0),MSP!$D$5:$N$5,0)+1)
*INDEX(Learning!$E$6:$S$41,(MATCH(Y$21,Dates,0)),(MATCH($C$151,Learning!$E$4:$S$4,0)+MATCH($C$192,Learning!$E$5:$S$5,0)-1)))</f>
        <v>100.82795400000001</v>
      </c>
      <c r="Z193" s="778" cm="1">
        <f t="array" aca="1" ref="Z193" ca="1">IF(Z$21&lt;Standard_Year,'No STDs Case Rev &amp; Cost'!Z193,
OFFSET(MSP!$C$1,
MATCH(OFFSET($C192,((MATCH($C192,EL_List,0)-1)*-10)-1,0),MSP!$C:$C,0)+MATCH($C192,EL_List,0)-1,
MATCH(OFFSET($C192,((MATCH($C192,EL_List,0)-1)*-10)-3,0),MSP!$D$5:$N$5,0)+1)
*INDEX(Learning!$E$6:$S$41,(MATCH(Z$21,Dates,0)),(MATCH($C$151,Learning!$E$4:$S$4,0)+MATCH($C$192,Learning!$E$5:$S$5,0)-1)))</f>
        <v>100.395216</v>
      </c>
      <c r="AA193" s="778" cm="1">
        <f t="array" aca="1" ref="AA193" ca="1">IF(AA$21&lt;Standard_Year,'No STDs Case Rev &amp; Cost'!AA193,
OFFSET(MSP!$C$1,
MATCH(OFFSET($C192,((MATCH($C192,EL_List,0)-1)*-10)-1,0),MSP!$C:$C,0)+MATCH($C192,EL_List,0)-1,
MATCH(OFFSET($C192,((MATCH($C192,EL_List,0)-1)*-10)-3,0),MSP!$D$5:$N$5,0)+1)
*INDEX(Learning!$E$6:$S$41,(MATCH(AA$21,Dates,0)),(MATCH($C$151,Learning!$E$4:$S$4,0)+MATCH($C$192,Learning!$E$5:$S$5,0)-1)))</f>
        <v>99.962478000000004</v>
      </c>
      <c r="AB193" s="778" cm="1">
        <f t="array" aca="1" ref="AB193" ca="1">IF(AB$21&lt;Standard_Year,'No STDs Case Rev &amp; Cost'!AB193,
OFFSET(MSP!$C$1,
MATCH(OFFSET($C192,((MATCH($C192,EL_List,0)-1)*-10)-1,0),MSP!$C:$C,0)+MATCH($C192,EL_List,0)-1,
MATCH(OFFSET($C192,((MATCH($C192,EL_List,0)-1)*-10)-3,0),MSP!$D$5:$N$5,0)+1)
*INDEX(Learning!$E$6:$S$41,(MATCH(AB$21,Dates,0)),(MATCH($C$151,Learning!$E$4:$S$4,0)+MATCH($C$192,Learning!$E$5:$S$5,0)-1)))</f>
        <v>99.529740000000004</v>
      </c>
      <c r="AC193" s="778" cm="1">
        <f t="array" aca="1" ref="AC193" ca="1">IF(AC$21&lt;Standard_Year,'No STDs Case Rev &amp; Cost'!AC193,
OFFSET(MSP!$C$1,
MATCH(OFFSET($C192,((MATCH($C192,EL_List,0)-1)*-10)-1,0),MSP!$C:$C,0)+MATCH($C192,EL_List,0)-1,
MATCH(OFFSET($C192,((MATCH($C192,EL_List,0)-1)*-10)-3,0),MSP!$D$5:$N$5,0)+1)
*INDEX(Learning!$E$6:$S$41,(MATCH(AC$21,Dates,0)),(MATCH($C$151,Learning!$E$4:$S$4,0)+MATCH($C$192,Learning!$E$5:$S$5,0)-1)))</f>
        <v>99.097002000000003</v>
      </c>
      <c r="AD193" s="778" cm="1">
        <f t="array" aca="1" ref="AD193" ca="1">IF(AD$21&lt;Standard_Year,'No STDs Case Rev &amp; Cost'!AD193,
OFFSET(MSP!$C$1,
MATCH(OFFSET($C192,((MATCH($C192,EL_List,0)-1)*-10)-1,0),MSP!$C:$C,0)+MATCH($C192,EL_List,0)-1,
MATCH(OFFSET($C192,((MATCH($C192,EL_List,0)-1)*-10)-3,0),MSP!$D$5:$N$5,0)+1)
*INDEX(Learning!$E$6:$S$41,(MATCH(AD$21,Dates,0)),(MATCH($C$151,Learning!$E$4:$S$4,0)+MATCH($C$192,Learning!$E$5:$S$5,0)-1)))</f>
        <v>98.77244850000001</v>
      </c>
      <c r="AE193" s="778" cm="1">
        <f t="array" aca="1" ref="AE193" ca="1">IF(AE$21&lt;Standard_Year,'No STDs Case Rev &amp; Cost'!AE193,
OFFSET(MSP!$C$1,
MATCH(OFFSET($C192,((MATCH($C192,EL_List,0)-1)*-10)-1,0),MSP!$C:$C,0)+MATCH($C192,EL_List,0)-1,
MATCH(OFFSET($C192,((MATCH($C192,EL_List,0)-1)*-10)-3,0),MSP!$D$5:$N$5,0)+1)
*INDEX(Learning!$E$6:$S$41,(MATCH(AE$21,Dates,0)),(MATCH($C$151,Learning!$E$4:$S$4,0)+MATCH($C$192,Learning!$E$5:$S$5,0)-1)))</f>
        <v>98.33971050000001</v>
      </c>
      <c r="AF193" s="778" cm="1">
        <f t="array" aca="1" ref="AF193" ca="1">IF(AF$21&lt;Standard_Year,'No STDs Case Rev &amp; Cost'!AF193,
OFFSET(MSP!$C$1,
MATCH(OFFSET($C192,((MATCH($C192,EL_List,0)-1)*-10)-1,0),MSP!$C:$C,0)+MATCH($C192,EL_List,0)-1,
MATCH(OFFSET($C192,((MATCH($C192,EL_List,0)-1)*-10)-3,0),MSP!$D$5:$N$5,0)+1)
*INDEX(Learning!$E$6:$S$41,(MATCH(AF$21,Dates,0)),(MATCH($C$151,Learning!$E$4:$S$4,0)+MATCH($C$192,Learning!$E$5:$S$5,0)-1)))</f>
        <v>97.906972500000009</v>
      </c>
      <c r="AG193" s="778" cm="1">
        <f t="array" aca="1" ref="AG193" ca="1">IF(AG$21&lt;Standard_Year,'No STDs Case Rev &amp; Cost'!AG193,
OFFSET(MSP!$C$1,
MATCH(OFFSET($C192,((MATCH($C192,EL_List,0)-1)*-10)-1,0),MSP!$C:$C,0)+MATCH($C192,EL_List,0)-1,
MATCH(OFFSET($C192,((MATCH($C192,EL_List,0)-1)*-10)-3,0),MSP!$D$5:$N$5,0)+1)
*INDEX(Learning!$E$6:$S$41,(MATCH(AG$21,Dates,0)),(MATCH($C$151,Learning!$E$4:$S$4,0)+MATCH($C$192,Learning!$E$5:$S$5,0)-1)))</f>
        <v>97.474234500000009</v>
      </c>
      <c r="AH193" s="778" cm="1">
        <f t="array" aca="1" ref="AH193" ca="1">IF(AH$21&lt;Standard_Year,'No STDs Case Rev &amp; Cost'!AH193,
OFFSET(MSP!$C$1,
MATCH(OFFSET($C192,((MATCH($C192,EL_List,0)-1)*-10)-1,0),MSP!$C:$C,0)+MATCH($C192,EL_List,0)-1,
MATCH(OFFSET($C192,((MATCH($C192,EL_List,0)-1)*-10)-3,0),MSP!$D$5:$N$5,0)+1)
*INDEX(Learning!$E$6:$S$41,(MATCH(AH$21,Dates,0)),(MATCH($C$151,Learning!$E$4:$S$4,0)+MATCH($C$192,Learning!$E$5:$S$5,0)-1)))</f>
        <v>97.149681000000001</v>
      </c>
      <c r="AI193" s="778" cm="1">
        <f t="array" aca="1" ref="AI193" ca="1">IF(AI$21&lt;Standard_Year,'No STDs Case Rev &amp; Cost'!AI193,
OFFSET(MSP!$C$1,
MATCH(OFFSET($C192,((MATCH($C192,EL_List,0)-1)*-10)-1,0),MSP!$C:$C,0)+MATCH($C192,EL_List,0)-1,
MATCH(OFFSET($C192,((MATCH($C192,EL_List,0)-1)*-10)-3,0),MSP!$D$5:$N$5,0)+1)
*INDEX(Learning!$E$6:$S$41,(MATCH(AI$21,Dates,0)),(MATCH($C$151,Learning!$E$4:$S$4,0)+MATCH($C$192,Learning!$E$5:$S$5,0)-1)))</f>
        <v>96.716943000000001</v>
      </c>
      <c r="AJ193" s="778" cm="1">
        <f t="array" aca="1" ref="AJ193" ca="1">IF(AJ$21&lt;Standard_Year,'No STDs Case Rev &amp; Cost'!AJ193,
OFFSET(MSP!$C$1,
MATCH(OFFSET($C192,((MATCH($C192,EL_List,0)-1)*-10)-1,0),MSP!$C:$C,0)+MATCH($C192,EL_List,0)-1,
MATCH(OFFSET($C192,((MATCH($C192,EL_List,0)-1)*-10)-3,0),MSP!$D$5:$N$5,0)+1)
*INDEX(Learning!$E$6:$S$41,(MATCH(AJ$21,Dates,0)),(MATCH($C$151,Learning!$E$4:$S$4,0)+MATCH($C$192,Learning!$E$5:$S$5,0)-1)))</f>
        <v>96.284205</v>
      </c>
      <c r="AK193" s="778" cm="1">
        <f t="array" aca="1" ref="AK193" ca="1">IF(AK$21&lt;Standard_Year,'No STDs Case Rev &amp; Cost'!AK193,
OFFSET(MSP!$C$1,
MATCH(OFFSET($C192,((MATCH($C192,EL_List,0)-1)*-10)-1,0),MSP!$C:$C,0)+MATCH($C192,EL_List,0)-1,
MATCH(OFFSET($C192,((MATCH($C192,EL_List,0)-1)*-10)-3,0),MSP!$D$5:$N$5,0)+1)
*INDEX(Learning!$E$6:$S$41,(MATCH(AK$21,Dates,0)),(MATCH($C$151,Learning!$E$4:$S$4,0)+MATCH($C$192,Learning!$E$5:$S$5,0)-1)))</f>
        <v>95.959651500000007</v>
      </c>
      <c r="AL193" s="778" cm="1">
        <f t="array" aca="1" ref="AL193" ca="1">IF(AL$21&lt;Standard_Year,'No STDs Case Rev &amp; Cost'!AL193,
OFFSET(MSP!$C$1,
MATCH(OFFSET($C192,((MATCH($C192,EL_List,0)-1)*-10)-1,0),MSP!$C:$C,0)+MATCH($C192,EL_List,0)-1,
MATCH(OFFSET($C192,((MATCH($C192,EL_List,0)-1)*-10)-3,0),MSP!$D$5:$N$5,0)+1)
*INDEX(Learning!$E$6:$S$41,(MATCH(AL$21,Dates,0)),(MATCH($C$151,Learning!$E$4:$S$4,0)+MATCH($C$192,Learning!$E$5:$S$5,0)-1)))</f>
        <v>95.526913500000006</v>
      </c>
      <c r="AM193" s="778" cm="1">
        <f t="array" aca="1" ref="AM193" ca="1">IF(AM$21&lt;Standard_Year,'No STDs Case Rev &amp; Cost'!AM193,
OFFSET(MSP!$C$1,
MATCH(OFFSET($C192,((MATCH($C192,EL_List,0)-1)*-10)-1,0),MSP!$C:$C,0)+MATCH($C192,EL_List,0)-1,
MATCH(OFFSET($C192,((MATCH($C192,EL_List,0)-1)*-10)-3,0),MSP!$D$5:$N$5,0)+1)
*INDEX(Learning!$E$6:$S$41,(MATCH(AM$21,Dates,0)),(MATCH($C$151,Learning!$E$4:$S$4,0)+MATCH($C$192,Learning!$E$5:$S$5,0)-1)))</f>
        <v>95.202359999999999</v>
      </c>
      <c r="AN193" s="778" cm="1">
        <f t="array" aca="1" ref="AN193" ca="1">IF(AN$21&lt;Standard_Year,'No STDs Case Rev &amp; Cost'!AN193,
OFFSET(MSP!$C$1,
MATCH(OFFSET($C192,((MATCH($C192,EL_List,0)-1)*-10)-1,0),MSP!$C:$C,0)+MATCH($C192,EL_List,0)-1,
MATCH(OFFSET($C192,((MATCH($C192,EL_List,0)-1)*-10)-3,0),MSP!$D$5:$N$5,0)+1)
*INDEX(Learning!$E$6:$S$41,(MATCH(AN$21,Dates,0)),(MATCH($C$151,Learning!$E$4:$S$4,0)+MATCH($C$192,Learning!$E$5:$S$5,0)-1)))</f>
        <v>94.831298498543305</v>
      </c>
      <c r="AO193" s="436"/>
      <c r="AP193" s="21"/>
    </row>
    <row r="194" spans="2:42" ht="15" customHeight="1" x14ac:dyDescent="0.35">
      <c r="B194" s="429"/>
      <c r="C194" s="777" t="s">
        <v>78</v>
      </c>
      <c r="D194" s="776"/>
      <c r="E194" s="530">
        <f ca="1">OFFSET(OFFSET(Shipments!$D$1,0,MATCH(E$7,Dates)),
MATCH(OFFSET($C192,((MATCH($C192,EL_List,0)-1)*-10)-3,0),Shipments!$C:$C,0)+
MATCH(OFFSET($C192,((MATCH($C192,EL_List,0)-1)*-10)-1,0),Shipments!$D:$D,0)+
MATCH($C192,EL_List,0)-10,
MATCH(Shipments_Scenario_X,Shipments!$F$5:$AQ$5,0))</f>
        <v>0.14211394290723334</v>
      </c>
      <c r="F194" s="530">
        <f ca="1">OFFSET(OFFSET(Shipments!$D$1,0,MATCH(F$7,Dates)),
MATCH(OFFSET($C192,((MATCH($C192,EL_List,0)-1)*-10)-3,0),Shipments!$C:$C,0)+
MATCH(OFFSET($C192,((MATCH($C192,EL_List,0)-1)*-10)-1,0),Shipments!$D:$D,0)+
MATCH($C192,EL_List,0)-10,
MATCH(Shipments_Scenario_X,Shipments!$F$5:$AQ$5,0))</f>
        <v>0.14846907307625476</v>
      </c>
      <c r="G194" s="530">
        <f ca="1">OFFSET(OFFSET(Shipments!$D$1,0,MATCH(G$7,Dates)),
MATCH(OFFSET($C192,((MATCH($C192,EL_List,0)-1)*-10)-3,0),Shipments!$C:$C,0)+
MATCH(OFFSET($C192,((MATCH($C192,EL_List,0)-1)*-10)-1,0),Shipments!$D:$D,0)+
MATCH($C192,EL_List,0)-10,
MATCH(Shipments_Scenario_X,Shipments!$F$5:$AQ$5,0))</f>
        <v>0.15416396352420217</v>
      </c>
      <c r="H194" s="530">
        <f ca="1">OFFSET(OFFSET(Shipments!$D$1,0,MATCH(H$7,Dates)),
MATCH(OFFSET($C192,((MATCH($C192,EL_List,0)-1)*-10)-3,0),Shipments!$C:$C,0)+
MATCH(OFFSET($C192,((MATCH($C192,EL_List,0)-1)*-10)-1,0),Shipments!$D:$D,0)+
MATCH($C192,EL_List,0)-10,
MATCH(Shipments_Scenario_X,Shipments!$F$5:$AQ$5,0))</f>
        <v>0.16140396548479727</v>
      </c>
      <c r="I194" s="530">
        <f ca="1">OFFSET(OFFSET(Shipments!$D$1,0,MATCH(I$7,Dates)),
MATCH(OFFSET($C192,((MATCH($C192,EL_List,0)-1)*-10)-3,0),Shipments!$C:$C,0)+
MATCH(OFFSET($C192,((MATCH($C192,EL_List,0)-1)*-10)-1,0),Shipments!$D:$D,0)+
MATCH($C192,EL_List,0)-10,
MATCH(Shipments_Scenario_X,Shipments!$F$5:$AQ$5,0))</f>
        <v>0.16917270238732263</v>
      </c>
      <c r="J194" s="530">
        <f ca="1">OFFSET(OFFSET(Shipments!$D$1,0,MATCH(J$7,Dates)),
MATCH(OFFSET($C192,((MATCH($C192,EL_List,0)-1)*-10)-3,0),Shipments!$C:$C,0)+
MATCH(OFFSET($C192,((MATCH($C192,EL_List,0)-1)*-10)-1,0),Shipments!$D:$D,0)+
MATCH($C192,EL_List,0)-10,
MATCH(Shipments_Scenario_X,Shipments!$F$5:$AQ$5,0))</f>
        <v>0.17777028891216803</v>
      </c>
      <c r="K194" s="530">
        <f ca="1">OFFSET(OFFSET(Shipments!$D$1,0,MATCH(K$7,Dates)),
MATCH(OFFSET($C192,((MATCH($C192,EL_List,0)-1)*-10)-3,0),Shipments!$C:$C,0)+
MATCH(OFFSET($C192,((MATCH($C192,EL_List,0)-1)*-10)-1,0),Shipments!$D:$D,0)+
MATCH($C192,EL_List,0)-10,
MATCH(Shipments_Scenario_X,Shipments!$F$5:$AQ$5,0))</f>
        <v>0.18709559650681129</v>
      </c>
      <c r="L194" s="530">
        <f ca="1">OFFSET(OFFSET(Shipments!$D$1,0,MATCH(L$7,Dates)),
MATCH(OFFSET($C192,((MATCH($C192,EL_List,0)-1)*-10)-3,0),Shipments!$C:$C,0)+
MATCH(OFFSET($C192,((MATCH($C192,EL_List,0)-1)*-10)-1,0),Shipments!$D:$D,0)+
MATCH($C192,EL_List,0)-10,
MATCH(Shipments_Scenario_X,Shipments!$F$5:$AQ$5,0))</f>
        <v>0.19699684455241703</v>
      </c>
      <c r="M194" s="530">
        <f ca="1">OFFSET(OFFSET(Shipments!$D$1,0,MATCH(M$7,Dates)),
MATCH(OFFSET($C192,((MATCH($C192,EL_List,0)-1)*-10)-3,0),Shipments!$C:$C,0)+
MATCH(OFFSET($C192,((MATCH($C192,EL_List,0)-1)*-10)-1,0),Shipments!$D:$D,0)+
MATCH($C192,EL_List,0)-10,
MATCH(Shipments_Scenario_X,Shipments!$F$5:$AQ$5,0))</f>
        <v>0.20735558732834788</v>
      </c>
      <c r="N194" s="530">
        <f ca="1">OFFSET(OFFSET(Shipments!$D$1,0,MATCH(N$7,Dates)),
MATCH(OFFSET($C192,((MATCH($C192,EL_List,0)-1)*-10)-3,0),Shipments!$C:$C,0)+
MATCH(OFFSET($C192,((MATCH($C192,EL_List,0)-1)*-10)-1,0),Shipments!$D:$D,0)+
MATCH($C192,EL_List,0)-10,
MATCH(Shipments_Scenario_X,Shipments!$F$5:$AQ$5,0))</f>
        <v>0.21809290945986445</v>
      </c>
      <c r="O194" s="530">
        <f ca="1">OFFSET(OFFSET(Shipments!$D$1,0,MATCH(O$7,Dates)),
MATCH(OFFSET($C192,((MATCH($C192,EL_List,0)-1)*-10)-3,0),Shipments!$C:$C,0)+
MATCH(OFFSET($C192,((MATCH($C192,EL_List,0)-1)*-10)-1,0),Shipments!$D:$D,0)+
MATCH($C192,EL_List,0)-10,
MATCH(Shipments_Scenario_X,Shipments!$F$5:$AQ$5,0))</f>
        <v>0.22920417405584809</v>
      </c>
      <c r="P194" s="530">
        <f ca="1">OFFSET(OFFSET(Shipments!$D$1,0,MATCH(P$7,Dates)),
MATCH(OFFSET($C192,((MATCH($C192,EL_List,0)-1)*-10)-3,0),Shipments!$C:$C,0)+
MATCH(OFFSET($C192,((MATCH($C192,EL_List,0)-1)*-10)-1,0),Shipments!$D:$D,0)+
MATCH($C192,EL_List,0)-10,
MATCH(Shipments_Scenario_X,Shipments!$F$5:$AQ$5,0))</f>
        <v>0.24073696925093402</v>
      </c>
      <c r="Q194" s="530">
        <f ca="1">OFFSET(OFFSET(Shipments!$D$1,0,MATCH(Q$7,Dates)),
MATCH(OFFSET($C192,((MATCH($C192,EL_List,0)-1)*-10)-3,0),Shipments!$C:$C,0)+
MATCH(OFFSET($C192,((MATCH($C192,EL_List,0)-1)*-10)-1,0),Shipments!$D:$D,0)+
MATCH($C192,EL_List,0)-10,
MATCH(Shipments_Scenario_X,Shipments!$F$5:$AQ$5,0))</f>
        <v>0.2527640041896515</v>
      </c>
      <c r="R194" s="530">
        <f ca="1">OFFSET(OFFSET(Shipments!$D$1,0,MATCH(R$7,Dates)),
MATCH(OFFSET($C192,((MATCH($C192,EL_List,0)-1)*-10)-3,0),Shipments!$C:$C,0)+
MATCH(OFFSET($C192,((MATCH($C192,EL_List,0)-1)*-10)-1,0),Shipments!$D:$D,0)+
MATCH($C192,EL_List,0)-10,
MATCH(Shipments_Scenario_X,Shipments!$F$5:$AQ$5,0))</f>
        <v>0.26537015222280891</v>
      </c>
      <c r="S194" s="530">
        <f ca="1">OFFSET(OFFSET(Shipments!$D$1,0,MATCH(S$7,Dates)),
MATCH(OFFSET($C192,((MATCH($C192,EL_List,0)-1)*-10)-3,0),Shipments!$C:$C,0)+
MATCH(OFFSET($C192,((MATCH($C192,EL_List,0)-1)*-10)-1,0),Shipments!$D:$D,0)+
MATCH($C192,EL_List,0)-10,
MATCH(Shipments_Scenario_X,Shipments!$F$5:$AQ$5,0))</f>
        <v>0.27862674256154218</v>
      </c>
      <c r="T194" s="530">
        <f ca="1">OFFSET(OFFSET(Shipments!$D$1,0,MATCH(T$7,Dates)),
MATCH(OFFSET($C192,((MATCH($C192,EL_List,0)-1)*-10)-3,0),Shipments!$C:$C,0)+
MATCH(OFFSET($C192,((MATCH($C192,EL_List,0)-1)*-10)-1,0),Shipments!$D:$D,0)+
MATCH($C192,EL_List,0)-10,
MATCH(Shipments_Scenario_X,Shipments!$F$5:$AQ$5,0))</f>
        <v>0.29257890553719917</v>
      </c>
      <c r="U194" s="530">
        <f ca="1">OFFSET(OFFSET(Shipments!$D$1,0,MATCH(U$7,Dates)),
MATCH(OFFSET($C192,((MATCH($C192,EL_List,0)-1)*-10)-3,0),Shipments!$C:$C,0)+
MATCH(OFFSET($C192,((MATCH($C192,EL_List,0)-1)*-10)-1,0),Shipments!$D:$D,0)+
MATCH($C192,EL_List,0)-10,
MATCH(Shipments_Scenario_X,Shipments!$F$5:$AQ$5,0))</f>
        <v>0.30727679934886049</v>
      </c>
      <c r="V194" s="530">
        <f ca="1">OFFSET(OFFSET(Shipments!$D$1,0,MATCH(V$7,Dates)),
MATCH(OFFSET($C192,((MATCH($C192,EL_List,0)-1)*-10)-3,0),Shipments!$C:$C,0)+
MATCH(OFFSET($C192,((MATCH($C192,EL_List,0)-1)*-10)-1,0),Shipments!$D:$D,0)+
MATCH($C192,EL_List,0)-10,
MATCH(Shipments_Scenario_X,Shipments!$F$5:$AQ$5,0))</f>
        <v>0.32269096990648161</v>
      </c>
      <c r="W194" s="530">
        <f ca="1">OFFSET(OFFSET(Shipments!$D$1,0,MATCH(W$7,Dates)),
MATCH(OFFSET($C192,((MATCH($C192,EL_List,0)-1)*-10)-3,0),Shipments!$C:$C,0)+
MATCH(OFFSET($C192,((MATCH($C192,EL_List,0)-1)*-10)-1,0),Shipments!$D:$D,0)+
MATCH($C192,EL_List,0)-10,
MATCH(Shipments_Scenario_X,Shipments!$F$5:$AQ$5,0))</f>
        <v>0.33886825865374326</v>
      </c>
      <c r="X194" s="530">
        <f ca="1">OFFSET(OFFSET(Shipments!$D$1,0,MATCH(X$7,Dates)),
MATCH(OFFSET($C192,((MATCH($C192,EL_List,0)-1)*-10)-3,0),Shipments!$C:$C,0)+
MATCH(OFFSET($C192,((MATCH($C192,EL_List,0)-1)*-10)-1,0),Shipments!$D:$D,0)+
MATCH($C192,EL_List,0)-10,
MATCH(Shipments_Scenario_X,Shipments!$F$5:$AQ$5,0))</f>
        <v>0.35582819748032368</v>
      </c>
      <c r="Y194" s="530">
        <f ca="1">OFFSET(OFFSET(Shipments!$D$1,0,MATCH(Y$7,Dates)),
MATCH(OFFSET($C192,((MATCH($C192,EL_List,0)-1)*-10)-3,0),Shipments!$C:$C,0)+
MATCH(OFFSET($C192,((MATCH($C192,EL_List,0)-1)*-10)-1,0),Shipments!$D:$D,0)+
MATCH($C192,EL_List,0)-10,
MATCH(Shipments_Scenario_X,Shipments!$F$5:$AQ$5,0))</f>
        <v>0.37359967494456187</v>
      </c>
      <c r="Z194" s="530">
        <f ca="1">OFFSET(OFFSET(Shipments!$D$1,0,MATCH(Z$7,Dates)),
MATCH(OFFSET($C192,((MATCH($C192,EL_List,0)-1)*-10)-3,0),Shipments!$C:$C,0)+
MATCH(OFFSET($C192,((MATCH($C192,EL_List,0)-1)*-10)-1,0),Shipments!$D:$D,0)+
MATCH($C192,EL_List,0)-10,
MATCH(Shipments_Scenario_X,Shipments!$F$5:$AQ$5,0))</f>
        <v>0.39222142224489093</v>
      </c>
      <c r="AA194" s="530">
        <f ca="1">OFFSET(OFFSET(Shipments!$D$1,0,MATCH(AA$7,Dates)),
MATCH(OFFSET($C192,((MATCH($C192,EL_List,0)-1)*-10)-3,0),Shipments!$C:$C,0)+
MATCH(OFFSET($C192,((MATCH($C192,EL_List,0)-1)*-10)-1,0),Shipments!$D:$D,0)+
MATCH($C192,EL_List,0)-10,
MATCH(Shipments_Scenario_X,Shipments!$F$5:$AQ$5,0))</f>
        <v>0.41173811622850809</v>
      </c>
      <c r="AB194" s="530">
        <f ca="1">OFFSET(OFFSET(Shipments!$D$1,0,MATCH(AB$7,Dates)),
MATCH(OFFSET($C192,((MATCH($C192,EL_List,0)-1)*-10)-3,0),Shipments!$C:$C,0)+
MATCH(OFFSET($C192,((MATCH($C192,EL_List,0)-1)*-10)-1,0),Shipments!$D:$D,0)+
MATCH($C192,EL_List,0)-10,
MATCH(Shipments_Scenario_X,Shipments!$F$5:$AQ$5,0))</f>
        <v>0.43220097170627148</v>
      </c>
      <c r="AC194" s="530">
        <f ca="1">OFFSET(OFFSET(Shipments!$D$1,0,MATCH(AC$7,Dates)),
MATCH(OFFSET($C192,((MATCH($C192,EL_List,0)-1)*-10)-3,0),Shipments!$C:$C,0)+
MATCH(OFFSET($C192,((MATCH($C192,EL_List,0)-1)*-10)-1,0),Shipments!$D:$D,0)+
MATCH($C192,EL_List,0)-10,
MATCH(Shipments_Scenario_X,Shipments!$F$5:$AQ$5,0))</f>
        <v>0.45366172159535523</v>
      </c>
      <c r="AD194" s="530">
        <f ca="1">OFFSET(OFFSET(Shipments!$D$1,0,MATCH(AD$7,Dates)),
MATCH(OFFSET($C192,((MATCH($C192,EL_List,0)-1)*-10)-3,0),Shipments!$C:$C,0)+
MATCH(OFFSET($C192,((MATCH($C192,EL_List,0)-1)*-10)-1,0),Shipments!$D:$D,0)+
MATCH($C192,EL_List,0)-10,
MATCH(Shipments_Scenario_X,Shipments!$F$5:$AQ$5,0))</f>
        <v>0.47617238787881738</v>
      </c>
      <c r="AE194" s="530">
        <f ca="1">OFFSET(OFFSET(Shipments!$D$1,0,MATCH(AE$7,Dates)),
MATCH(OFFSET($C192,((MATCH($C192,EL_List,0)-1)*-10)-3,0),Shipments!$C:$C,0)+
MATCH(OFFSET($C192,((MATCH($C192,EL_List,0)-1)*-10)-1,0),Shipments!$D:$D,0)+
MATCH($C192,EL_List,0)-10,
MATCH(Shipments_Scenario_X,Shipments!$F$5:$AQ$5,0))</f>
        <v>0.49978500384425179</v>
      </c>
      <c r="AF194" s="530">
        <f ca="1">OFFSET(OFFSET(Shipments!$D$1,0,MATCH(AF$7,Dates)),
MATCH(OFFSET($C192,((MATCH($C192,EL_List,0)-1)*-10)-3,0),Shipments!$C:$C,0)+
MATCH(OFFSET($C192,((MATCH($C192,EL_List,0)-1)*-10)-1,0),Shipments!$D:$D,0)+
MATCH($C192,EL_List,0)-10,
MATCH(Shipments_Scenario_X,Shipments!$F$5:$AQ$5,0))</f>
        <v>0.52455211761501519</v>
      </c>
      <c r="AG194" s="530">
        <f ca="1">OFFSET(OFFSET(Shipments!$D$1,0,MATCH(AG$7,Dates)),
MATCH(OFFSET($C192,((MATCH($C192,EL_List,0)-1)*-10)-3,0),Shipments!$C:$C,0)+
MATCH(OFFSET($C192,((MATCH($C192,EL_List,0)-1)*-10)-1,0),Shipments!$D:$D,0)+
MATCH($C192,EL_List,0)-10,
MATCH(Shipments_Scenario_X,Shipments!$F$5:$AQ$5,0))</f>
        <v>0.55052790802377549</v>
      </c>
      <c r="AH194" s="530">
        <f ca="1">OFFSET(OFFSET(Shipments!$D$1,0,MATCH(AH$7,Dates)),
MATCH(OFFSET($C192,((MATCH($C192,EL_List,0)-1)*-10)-3,0),Shipments!$C:$C,0)+
MATCH(OFFSET($C192,((MATCH($C192,EL_List,0)-1)*-10)-1,0),Shipments!$D:$D,0)+
MATCH($C192,EL_List,0)-10,
MATCH(Shipments_Scenario_X,Shipments!$F$5:$AQ$5,0))</f>
        <v>0.57776919111989378</v>
      </c>
      <c r="AI194" s="530">
        <f ca="1">OFFSET(OFFSET(Shipments!$D$1,0,MATCH(AI$7,Dates)),
MATCH(OFFSET($C192,((MATCH($C192,EL_List,0)-1)*-10)-3,0),Shipments!$C:$C,0)+
MATCH(OFFSET($C192,((MATCH($C192,EL_List,0)-1)*-10)-1,0),Shipments!$D:$D,0)+
MATCH($C192,EL_List,0)-10,
MATCH(Shipments_Scenario_X,Shipments!$F$5:$AQ$5,0))</f>
        <v>0.60633618032106285</v>
      </c>
      <c r="AJ194" s="530">
        <f ca="1">OFFSET(OFFSET(Shipments!$D$1,0,MATCH(AJ$7,Dates)),
MATCH(OFFSET($C192,((MATCH($C192,EL_List,0)-1)*-10)-3,0),Shipments!$C:$C,0)+
MATCH(OFFSET($C192,((MATCH($C192,EL_List,0)-1)*-10)-1,0),Shipments!$D:$D,0)+
MATCH($C192,EL_List,0)-10,
MATCH(Shipments_Scenario_X,Shipments!$F$5:$AQ$5,0))</f>
        <v>0.63629290155826923</v>
      </c>
      <c r="AK194" s="530">
        <f ca="1">OFFSET(OFFSET(Shipments!$D$1,0,MATCH(AK$7,Dates)),
MATCH(OFFSET($C192,((MATCH($C192,EL_List,0)-1)*-10)-3,0),Shipments!$C:$C,0)+
MATCH(OFFSET($C192,((MATCH($C192,EL_List,0)-1)*-10)-1,0),Shipments!$D:$D,0)+
MATCH($C192,EL_List,0)-10,
MATCH(Shipments_Scenario_X,Shipments!$F$5:$AQ$5,0))</f>
        <v>0.66770722996753462</v>
      </c>
      <c r="AL194" s="530">
        <f ca="1">OFFSET(OFFSET(Shipments!$D$1,0,MATCH(AL$7,Dates)),
MATCH(OFFSET($C192,((MATCH($C192,EL_List,0)-1)*-10)-3,0),Shipments!$C:$C,0)+
MATCH(OFFSET($C192,((MATCH($C192,EL_List,0)-1)*-10)-1,0),Shipments!$D:$D,0)+
MATCH($C192,EL_List,0)-10,
MATCH(Shipments_Scenario_X,Shipments!$F$5:$AQ$5,0))</f>
        <v>0.70065076513091751</v>
      </c>
      <c r="AM194" s="530">
        <f ca="1">OFFSET(OFFSET(Shipments!$D$1,0,MATCH(AM$7,Dates)),
MATCH(OFFSET($C192,((MATCH($C192,EL_List,0)-1)*-10)-3,0),Shipments!$C:$C,0)+
MATCH(OFFSET($C192,((MATCH($C192,EL_List,0)-1)*-10)-1,0),Shipments!$D:$D,0)+
MATCH($C192,EL_List,0)-10,
MATCH(Shipments_Scenario_X,Shipments!$F$5:$AQ$5,0))</f>
        <v>0.73519874811415564</v>
      </c>
      <c r="AN194" s="530">
        <f ca="1">OFFSET(OFFSET(Shipments!$D$1,0,MATCH(AN$7,Dates)),
MATCH(OFFSET($C192,((MATCH($C192,EL_List,0)-1)*-10)-3,0),Shipments!$C:$C,0)+
MATCH(OFFSET($C192,((MATCH($C192,EL_List,0)-1)*-10)-1,0),Shipments!$D:$D,0)+
MATCH($C192,EL_List,0)-10,
MATCH(Shipments_Scenario_X,Shipments!$F$5:$AQ$5,0))</f>
        <v>0.77142976314872069</v>
      </c>
      <c r="AO194" s="436"/>
      <c r="AP194" s="21"/>
    </row>
    <row r="195" spans="2:42" ht="15" customHeight="1" x14ac:dyDescent="0.35">
      <c r="B195" s="429"/>
      <c r="C195" s="777" t="s">
        <v>79</v>
      </c>
      <c r="D195" s="776"/>
      <c r="E195" s="531">
        <f t="shared" ref="E195:AN195" ca="1" si="43">E193*E194</f>
        <v>15.989506890705488</v>
      </c>
      <c r="F195" s="531">
        <f t="shared" ca="1" si="43"/>
        <v>16.576038114177063</v>
      </c>
      <c r="G195" s="531">
        <f t="shared" ca="1" si="43"/>
        <v>17.095105094681148</v>
      </c>
      <c r="H195" s="531">
        <f t="shared" ca="1" si="43"/>
        <v>17.775712635461872</v>
      </c>
      <c r="I195" s="531">
        <f t="shared" ca="1" si="43"/>
        <v>18.521486592078361</v>
      </c>
      <c r="J195" s="531">
        <f t="shared" ca="1" si="43"/>
        <v>19.347381759743353</v>
      </c>
      <c r="K195" s="531">
        <f t="shared" ca="1" si="43"/>
        <v>20.240843560291125</v>
      </c>
      <c r="L195" s="531">
        <f t="shared" ca="1" si="43"/>
        <v>21.184133098704073</v>
      </c>
      <c r="M195" s="531">
        <f t="shared" ca="1" si="43"/>
        <v>22.185901271413094</v>
      </c>
      <c r="N195" s="531">
        <f t="shared" ca="1" si="43"/>
        <v>23.193169733281874</v>
      </c>
      <c r="O195" s="531">
        <f t="shared" ca="1" si="43"/>
        <v>24.250819510845709</v>
      </c>
      <c r="P195" s="531">
        <f t="shared" ca="1" si="43"/>
        <v>25.340820416379625</v>
      </c>
      <c r="Q195" s="531">
        <f t="shared" ca="1" si="43"/>
        <v>26.470102694095182</v>
      </c>
      <c r="R195" s="531">
        <f t="shared" ca="1" si="43"/>
        <v>27.646706555521977</v>
      </c>
      <c r="S195" s="531">
        <f t="shared" ca="1" si="43"/>
        <v>28.907227942592545</v>
      </c>
      <c r="T195" s="531">
        <f t="shared" ca="1" si="43"/>
        <v>30.196487486209023</v>
      </c>
      <c r="U195" s="531">
        <f t="shared" ca="1" si="43"/>
        <v>31.580457554198954</v>
      </c>
      <c r="V195" s="531">
        <f t="shared" ca="1" si="43"/>
        <v>32.990102365986132</v>
      </c>
      <c r="W195" s="531">
        <f t="shared" ca="1" si="43"/>
        <v>34.497335833754661</v>
      </c>
      <c r="X195" s="531">
        <f t="shared" ca="1" si="43"/>
        <v>36.069904605600541</v>
      </c>
      <c r="Y195" s="531">
        <f t="shared" ca="1" si="43"/>
        <v>37.669290839725235</v>
      </c>
      <c r="Z195" s="531">
        <f t="shared" ca="1" si="43"/>
        <v>39.377154406103031</v>
      </c>
      <c r="AA195" s="531">
        <f t="shared" ca="1" si="43"/>
        <v>41.158362385253682</v>
      </c>
      <c r="AB195" s="531">
        <f t="shared" ca="1" si="43"/>
        <v>43.016850341672558</v>
      </c>
      <c r="AC195" s="531">
        <f t="shared" ca="1" si="43"/>
        <v>44.956516532258362</v>
      </c>
      <c r="AD195" s="531">
        <f t="shared" ca="1" si="43"/>
        <v>47.032712658882517</v>
      </c>
      <c r="AE195" s="531">
        <f t="shared" ca="1" si="43"/>
        <v>49.148712590285115</v>
      </c>
      <c r="AF195" s="531">
        <f t="shared" ca="1" si="43"/>
        <v>51.357309754150066</v>
      </c>
      <c r="AG195" s="531">
        <f t="shared" ca="1" si="43"/>
        <v>53.662286405503927</v>
      </c>
      <c r="AH195" s="531">
        <f t="shared" ca="1" si="43"/>
        <v>56.130092608925715</v>
      </c>
      <c r="AI195" s="531">
        <f t="shared" ca="1" si="43"/>
        <v>58.64298179094996</v>
      </c>
      <c r="AJ195" s="531">
        <f t="shared" ca="1" si="43"/>
        <v>61.264956173681213</v>
      </c>
      <c r="AK195" s="531">
        <f t="shared" ca="1" si="43"/>
        <v>64.072953091714979</v>
      </c>
      <c r="AL195" s="531">
        <f t="shared" ca="1" si="43"/>
        <v>66.931005034369974</v>
      </c>
      <c r="AM195" s="531">
        <f t="shared" ref="AM195" ca="1" si="44">AM193*AM194</f>
        <v>69.992655889513159</v>
      </c>
      <c r="AN195" s="531">
        <f t="shared" ca="1" si="43"/>
        <v>73.155686139816893</v>
      </c>
      <c r="AO195" s="436"/>
      <c r="AP195" s="21"/>
    </row>
    <row r="196" spans="2:42" ht="15" customHeight="1" x14ac:dyDescent="0.35">
      <c r="B196" s="429"/>
      <c r="C196" s="777"/>
      <c r="D196" s="776"/>
      <c r="E196" s="776"/>
      <c r="F196" s="776"/>
      <c r="G196" s="776"/>
      <c r="H196" s="776"/>
      <c r="I196" s="776"/>
      <c r="J196" s="776"/>
      <c r="K196" s="776"/>
      <c r="L196" s="776"/>
      <c r="M196" s="776"/>
      <c r="N196" s="776"/>
      <c r="O196" s="776"/>
      <c r="P196" s="776"/>
      <c r="Q196" s="776"/>
      <c r="R196" s="776"/>
      <c r="S196" s="776"/>
      <c r="T196" s="776"/>
      <c r="U196" s="776"/>
      <c r="V196" s="776"/>
      <c r="W196" s="776"/>
      <c r="X196" s="776"/>
      <c r="Y196" s="776"/>
      <c r="Z196" s="776"/>
      <c r="AA196" s="776"/>
      <c r="AB196" s="776"/>
      <c r="AC196" s="776"/>
      <c r="AD196" s="776"/>
      <c r="AE196" s="776"/>
      <c r="AF196" s="776"/>
      <c r="AG196" s="776"/>
      <c r="AH196" s="776"/>
      <c r="AI196" s="776"/>
      <c r="AJ196" s="776"/>
      <c r="AK196" s="776"/>
      <c r="AL196" s="776"/>
      <c r="AM196" s="776"/>
      <c r="AN196" s="776"/>
      <c r="AO196" s="436"/>
      <c r="AP196" s="21"/>
    </row>
    <row r="197" spans="2:42" ht="15" customHeight="1" x14ac:dyDescent="0.35">
      <c r="B197" s="429"/>
      <c r="C197" s="780" t="s">
        <v>212</v>
      </c>
      <c r="D197" s="776"/>
      <c r="E197" s="532" cm="1">
        <f t="array" aca="1" ref="E197" ca="1">IF(E$21&lt;Standard_Year,'No STDs Case Rev &amp; Cost'!E197,
OFFSET(E197,-3,0)*
OFFSET(MSP!$D$1,
MATCH(OFFSET($C192,((MATCH($C192,EL_List,0)-1)*-10)-1,0),MSP!$C:$C,0)+MATCH($C192,EL_List,0)-1,0)
*INDEX(Learning!$E$6:$S$41,(MATCH(E$21,Dates,0)),(MATCH($C$151,Learning!$E$4:$S$4,0)+MATCH($C$192,Learning!$E$5:$S$5,0)-1)))</f>
        <v>9.792029078664152</v>
      </c>
      <c r="F197" s="532" cm="1">
        <f t="array" aca="1" ref="F197" ca="1">IF(F$21&lt;Standard_Year,'No STDs Case Rev &amp; Cost'!F197,
OFFSET(F197,-3,0)*
OFFSET(MSP!$D$1,
MATCH(OFFSET($C192,((MATCH($C192,EL_List,0)-1)*-10)-1,0),MSP!$C:$C,0)+MATCH($C192,EL_List,0)-1,0)
*INDEX(Learning!$E$6:$S$41,(MATCH(F$21,Dates,0)),(MATCH($C$151,Learning!$E$4:$S$4,0)+MATCH($C$192,Learning!$E$5:$S$5,0)-1)))</f>
        <v>10.151222819599129</v>
      </c>
      <c r="G197" s="532" cm="1">
        <f t="array" aca="1" ref="G197" ca="1">IF(G$21&lt;Standard_Year,'No STDs Case Rev &amp; Cost'!G197,
OFFSET(G197,-3,0)*
OFFSET(MSP!$D$1,
MATCH(OFFSET($C192,((MATCH($C192,EL_List,0)-1)*-10)-1,0),MSP!$C:$C,0)+MATCH($C192,EL_List,0)-1,0)
*INDEX(Learning!$E$6:$S$41,(MATCH(G$21,Dates,0)),(MATCH($C$151,Learning!$E$4:$S$4,0)+MATCH($C$192,Learning!$E$5:$S$5,0)-1)))</f>
        <v>10.469101225832215</v>
      </c>
      <c r="H197" s="532" cm="1">
        <f t="array" aca="1" ref="H197" ca="1">IF(H$21&lt;Standard_Year,'No STDs Case Rev &amp; Cost'!H197,
OFFSET(H197,-3,0)*
OFFSET(MSP!$D$1,
MATCH(OFFSET($C192,((MATCH($C192,EL_List,0)-1)*-10)-1,0),MSP!$C:$C,0)+MATCH($C192,EL_List,0)-1,0)
*INDEX(Learning!$E$6:$S$41,(MATCH(H$21,Dates,0)),(MATCH($C$151,Learning!$E$4:$S$4,0)+MATCH($C$192,Learning!$E$5:$S$5,0)-1)))</f>
        <v>10.885907627432816</v>
      </c>
      <c r="I197" s="532" cm="1">
        <f t="array" aca="1" ref="I197" ca="1">IF(I$21&lt;Standard_Year,'No STDs Case Rev &amp; Cost'!I197,
OFFSET(I197,-3,0)*
OFFSET(MSP!$D$1,
MATCH(OFFSET($C192,((MATCH($C192,EL_List,0)-1)*-10)-1,0),MSP!$C:$C,0)+MATCH($C192,EL_List,0)-1,0)
*INDEX(Learning!$E$6:$S$41,(MATCH(I$21,Dates,0)),(MATCH($C$151,Learning!$E$4:$S$4,0)+MATCH($C$192,Learning!$E$5:$S$5,0)-1)))</f>
        <v>11.342622166487425</v>
      </c>
      <c r="J197" s="532" cm="1">
        <f t="array" aca="1" ref="J197" ca="1">IF(J$21&lt;Standard_Year,'No STDs Case Rev &amp; Cost'!J197,
OFFSET(J197,-3,0)*
OFFSET(MSP!$D$1,
MATCH(OFFSET($C192,((MATCH($C192,EL_List,0)-1)*-10)-1,0),MSP!$C:$C,0)+MATCH($C192,EL_List,0)-1,0)
*INDEX(Learning!$E$6:$S$41,(MATCH(J$21,Dates,0)),(MATCH($C$151,Learning!$E$4:$S$4,0)+MATCH($C$192,Learning!$E$5:$S$5,0)-1)))</f>
        <v>11.848403211080162</v>
      </c>
      <c r="K197" s="532" cm="1">
        <f t="array" aca="1" ref="K197" ca="1">IF(K$21&lt;Standard_Year,'No STDs Case Rev &amp; Cost'!K197,
OFFSET(K197,-3,0)*
OFFSET(MSP!$D$1,
MATCH(OFFSET($C192,((MATCH($C192,EL_List,0)-1)*-10)-1,0),MSP!$C:$C,0)+MATCH($C192,EL_List,0)-1,0)
*INDEX(Learning!$E$6:$S$41,(MATCH(K$21,Dates,0)),(MATCH($C$151,Learning!$E$4:$S$4,0)+MATCH($C$192,Learning!$E$5:$S$5,0)-1)))</f>
        <v>12.395562294311491</v>
      </c>
      <c r="L197" s="532" cm="1">
        <f t="array" aca="1" ref="L197" ca="1">IF(L$21&lt;Standard_Year,'No STDs Case Rev &amp; Cost'!L197,
OFFSET(L197,-3,0)*
OFFSET(MSP!$D$1,
MATCH(OFFSET($C192,((MATCH($C192,EL_List,0)-1)*-10)-1,0),MSP!$C:$C,0)+MATCH($C192,EL_List,0)-1,0)
*INDEX(Learning!$E$6:$S$41,(MATCH(L$21,Dates,0)),(MATCH($C$151,Learning!$E$4:$S$4,0)+MATCH($C$192,Learning!$E$5:$S$5,0)-1)))</f>
        <v>12.973236055789931</v>
      </c>
      <c r="M197" s="532" cm="1">
        <f t="array" aca="1" ref="M197" ca="1">IF(M$21&lt;Standard_Year,'No STDs Case Rev &amp; Cost'!M197,
OFFSET(M197,-3,0)*
OFFSET(MSP!$D$1,
MATCH(OFFSET($C192,((MATCH($C192,EL_List,0)-1)*-10)-1,0),MSP!$C:$C,0)+MATCH($C192,EL_List,0)-1,0)
*INDEX(Learning!$E$6:$S$41,(MATCH(M$21,Dates,0)),(MATCH($C$151,Learning!$E$4:$S$4,0)+MATCH($C$192,Learning!$E$5:$S$5,0)-1)))</f>
        <v>13.586722334278544</v>
      </c>
      <c r="N197" s="532" cm="1">
        <f t="array" aca="1" ref="N197" ca="1">IF(N$21&lt;Standard_Year,'No STDs Case Rev &amp; Cost'!N197,
OFFSET(N197,-3,0)*
OFFSET(MSP!$D$1,
MATCH(OFFSET($C192,((MATCH($C192,EL_List,0)-1)*-10)-1,0),MSP!$C:$C,0)+MATCH($C192,EL_List,0)-1,0)
*INDEX(Learning!$E$6:$S$41,(MATCH(N$21,Dates,0)),(MATCH($C$151,Learning!$E$4:$S$4,0)+MATCH($C$192,Learning!$E$5:$S$5,0)-1)))</f>
        <v>14.203577008788475</v>
      </c>
      <c r="O197" s="532" cm="1">
        <f t="array" aca="1" ref="O197" ca="1">IF(O$21&lt;Standard_Year,'No STDs Case Rev &amp; Cost'!O197,
OFFSET(O197,-3,0)*
OFFSET(MSP!$D$1,
MATCH(OFFSET($C192,((MATCH($C192,EL_List,0)-1)*-10)-1,0),MSP!$C:$C,0)+MATCH($C192,EL_List,0)-1,0)
*INDEX(Learning!$E$6:$S$41,(MATCH(O$21,Dates,0)),(MATCH($C$151,Learning!$E$4:$S$4,0)+MATCH($C$192,Learning!$E$5:$S$5,0)-1)))</f>
        <v>14.851285374514742</v>
      </c>
      <c r="P197" s="532" cm="1">
        <f t="array" aca="1" ref="P197" ca="1">IF(P$21&lt;Standard_Year,'No STDs Case Rev &amp; Cost'!P197,
OFFSET(P197,-3,0)*
OFFSET(MSP!$D$1,
MATCH(OFFSET($C192,((MATCH($C192,EL_List,0)-1)*-10)-1,0),MSP!$C:$C,0)+MATCH($C192,EL_List,0)-1,0)
*INDEX(Learning!$E$6:$S$41,(MATCH(P$21,Dates,0)),(MATCH($C$151,Learning!$E$4:$S$4,0)+MATCH($C$192,Learning!$E$5:$S$5,0)-1)))</f>
        <v>15.518805682408829</v>
      </c>
      <c r="Q197" s="532" cm="1">
        <f t="array" aca="1" ref="Q197" ca="1">IF(Q$21&lt;Standard_Year,'No STDs Case Rev &amp; Cost'!Q197,
OFFSET(Q197,-3,0)*
OFFSET(MSP!$D$1,
MATCH(OFFSET($C192,((MATCH($C192,EL_List,0)-1)*-10)-1,0),MSP!$C:$C,0)+MATCH($C192,EL_List,0)-1,0)
*INDEX(Learning!$E$6:$S$41,(MATCH(Q$21,Dates,0)),(MATCH($C$151,Learning!$E$4:$S$4,0)+MATCH($C$192,Learning!$E$5:$S$5,0)-1)))</f>
        <v>16.210382037889726</v>
      </c>
      <c r="R197" s="532" cm="1">
        <f t="array" aca="1" ref="R197" ca="1">IF(R$21&lt;Standard_Year,'No STDs Case Rev &amp; Cost'!R197,
OFFSET(R197,-3,0)*
OFFSET(MSP!$D$1,
MATCH(OFFSET($C192,((MATCH($C192,EL_List,0)-1)*-10)-1,0),MSP!$C:$C,0)+MATCH($C192,EL_List,0)-1,0)
*INDEX(Learning!$E$6:$S$41,(MATCH(R$21,Dates,0)),(MATCH($C$151,Learning!$E$4:$S$4,0)+MATCH($C$192,Learning!$E$5:$S$5,0)-1)))</f>
        <v>16.930938294184095</v>
      </c>
      <c r="S197" s="532" cm="1">
        <f t="array" aca="1" ref="S197" ca="1">IF(S$21&lt;Standard_Year,'No STDs Case Rev &amp; Cost'!S197,
OFFSET(S197,-3,0)*
OFFSET(MSP!$D$1,
MATCH(OFFSET($C192,((MATCH($C192,EL_List,0)-1)*-10)-1,0),MSP!$C:$C,0)+MATCH($C192,EL_List,0)-1,0)
*INDEX(Learning!$E$6:$S$41,(MATCH(S$21,Dates,0)),(MATCH($C$151,Learning!$E$4:$S$4,0)+MATCH($C$192,Learning!$E$5:$S$5,0)-1)))</f>
        <v>17.702885932147083</v>
      </c>
      <c r="T197" s="532" cm="1">
        <f t="array" aca="1" ref="T197" ca="1">IF(T$21&lt;Standard_Year,'No STDs Case Rev &amp; Cost'!T197,
OFFSET(T197,-3,0)*
OFFSET(MSP!$D$1,
MATCH(OFFSET($C192,((MATCH($C192,EL_List,0)-1)*-10)-1,0),MSP!$C:$C,0)+MATCH($C192,EL_List,0)-1,0)
*INDEX(Learning!$E$6:$S$41,(MATCH(T$21,Dates,0)),(MATCH($C$151,Learning!$E$4:$S$4,0)+MATCH($C$192,Learning!$E$5:$S$5,0)-1)))</f>
        <v>18.492432916136707</v>
      </c>
      <c r="U197" s="532" cm="1">
        <f t="array" aca="1" ref="U197" ca="1">IF(U$21&lt;Standard_Year,'No STDs Case Rev &amp; Cost'!U197,
OFFSET(U197,-3,0)*
OFFSET(MSP!$D$1,
MATCH(OFFSET($C192,((MATCH($C192,EL_List,0)-1)*-10)-1,0),MSP!$C:$C,0)+MATCH($C192,EL_List,0)-1,0)
*INDEX(Learning!$E$6:$S$41,(MATCH(U$21,Dates,0)),(MATCH($C$151,Learning!$E$4:$S$4,0)+MATCH($C$192,Learning!$E$5:$S$5,0)-1)))</f>
        <v>19.339980951381985</v>
      </c>
      <c r="V197" s="532" cm="1">
        <f t="array" aca="1" ref="V197" ca="1">IF(V$21&lt;Standard_Year,'No STDs Case Rev &amp; Cost'!V197,
OFFSET(V197,-3,0)*
OFFSET(MSP!$D$1,
MATCH(OFFSET($C192,((MATCH($C192,EL_List,0)-1)*-10)-1,0),MSP!$C:$C,0)+MATCH($C192,EL_List,0)-1,0)
*INDEX(Learning!$E$6:$S$41,(MATCH(V$21,Dates,0)),(MATCH($C$151,Learning!$E$4:$S$4,0)+MATCH($C$192,Learning!$E$5:$S$5,0)-1)))</f>
        <v>20.20325228813795</v>
      </c>
      <c r="W197" s="532" cm="1">
        <f t="array" aca="1" ref="W197" ca="1">IF(W$21&lt;Standard_Year,'No STDs Case Rev &amp; Cost'!W197,
OFFSET(W197,-3,0)*
OFFSET(MSP!$D$1,
MATCH(OFFSET($C192,((MATCH($C192,EL_List,0)-1)*-10)-1,0),MSP!$C:$C,0)+MATCH($C192,EL_List,0)-1,0)
*INDEX(Learning!$E$6:$S$41,(MATCH(W$21,Dates,0)),(MATCH($C$151,Learning!$E$4:$S$4,0)+MATCH($C$192,Learning!$E$5:$S$5,0)-1)))</f>
        <v>21.126287253856898</v>
      </c>
      <c r="X197" s="532" cm="1">
        <f t="array" aca="1" ref="X197" ca="1">IF(X$21&lt;Standard_Year,'No STDs Case Rev &amp; Cost'!X197,
OFFSET(X197,-3,0)*
OFFSET(MSP!$D$1,
MATCH(OFFSET($C192,((MATCH($C192,EL_List,0)-1)*-10)-1,0),MSP!$C:$C,0)+MATCH($C192,EL_List,0)-1,0)
*INDEX(Learning!$E$6:$S$41,(MATCH(X$21,Dates,0)),(MATCH($C$151,Learning!$E$4:$S$4,0)+MATCH($C$192,Learning!$E$5:$S$5,0)-1)))</f>
        <v>22.089333784770567</v>
      </c>
      <c r="Y197" s="532" cm="1">
        <f t="array" aca="1" ref="Y197" ca="1">IF(Y$21&lt;Standard_Year,'No STDs Case Rev &amp; Cost'!Y197,
OFFSET(Y197,-3,0)*
OFFSET(MSP!$D$1,
MATCH(OFFSET($C192,((MATCH($C192,EL_List,0)-1)*-10)-1,0),MSP!$C:$C,0)+MATCH($C192,EL_List,0)-1,0)
*INDEX(Learning!$E$6:$S$41,(MATCH(Y$21,Dates,0)),(MATCH($C$151,Learning!$E$4:$S$4,0)+MATCH($C$192,Learning!$E$5:$S$5,0)-1)))</f>
        <v>23.06880342192791</v>
      </c>
      <c r="Z197" s="532" cm="1">
        <f t="array" aca="1" ref="Z197" ca="1">IF(Z$21&lt;Standard_Year,'No STDs Case Rev &amp; Cost'!Z197,
OFFSET(Z197,-3,0)*
OFFSET(MSP!$D$1,
MATCH(OFFSET($C192,((MATCH($C192,EL_List,0)-1)*-10)-1,0),MSP!$C:$C,0)+MATCH($C192,EL_List,0)-1,0)
*INDEX(Learning!$E$6:$S$41,(MATCH(Z$21,Dates,0)),(MATCH($C$151,Learning!$E$4:$S$4,0)+MATCH($C$192,Learning!$E$5:$S$5,0)-1)))</f>
        <v>24.114704950891479</v>
      </c>
      <c r="AA197" s="532" cm="1">
        <f t="array" aca="1" ref="AA197" ca="1">IF(AA$21&lt;Standard_Year,'No STDs Case Rev &amp; Cost'!AA197,
OFFSET(AA197,-3,0)*
OFFSET(MSP!$D$1,
MATCH(OFFSET($C192,((MATCH($C192,EL_List,0)-1)*-10)-1,0),MSP!$C:$C,0)+MATCH($C192,EL_List,0)-1,0)
*INDEX(Learning!$E$6:$S$41,(MATCH(AA$21,Dates,0)),(MATCH($C$151,Learning!$E$4:$S$4,0)+MATCH($C$192,Learning!$E$5:$S$5,0)-1)))</f>
        <v>25.205522850793724</v>
      </c>
      <c r="AB197" s="532" cm="1">
        <f t="array" aca="1" ref="AB197" ca="1">IF(AB$21&lt;Standard_Year,'No STDs Case Rev &amp; Cost'!AB197,
OFFSET(AB197,-3,0)*
OFFSET(MSP!$D$1,
MATCH(OFFSET($C192,((MATCH($C192,EL_List,0)-1)*-10)-1,0),MSP!$C:$C,0)+MATCH($C192,EL_List,0)-1,0)
*INDEX(Learning!$E$6:$S$41,(MATCH(AB$21,Dates,0)),(MATCH($C$151,Learning!$E$4:$S$4,0)+MATCH($C$192,Learning!$E$5:$S$5,0)-1)))</f>
        <v>26.343667274883448</v>
      </c>
      <c r="AC197" s="532" cm="1">
        <f t="array" aca="1" ref="AC197" ca="1">IF(AC$21&lt;Standard_Year,'No STDs Case Rev &amp; Cost'!AC197,
OFFSET(AC197,-3,0)*
OFFSET(MSP!$D$1,
MATCH(OFFSET($C192,((MATCH($C192,EL_List,0)-1)*-10)-1,0),MSP!$C:$C,0)+MATCH($C192,EL_List,0)-1,0)
*INDEX(Learning!$E$6:$S$41,(MATCH(AC$21,Dates,0)),(MATCH($C$151,Learning!$E$4:$S$4,0)+MATCH($C$192,Learning!$E$5:$S$5,0)-1)))</f>
        <v>27.531525529108816</v>
      </c>
      <c r="AD197" s="532" cm="1">
        <f t="array" aca="1" ref="AD197" ca="1">IF(AD$21&lt;Standard_Year,'No STDs Case Rev &amp; Cost'!AD197,
OFFSET(AD197,-3,0)*
OFFSET(MSP!$D$1,
MATCH(OFFSET($C192,((MATCH($C192,EL_List,0)-1)*-10)-1,0),MSP!$C:$C,0)+MATCH($C192,EL_List,0)-1,0)
*INDEX(Learning!$E$6:$S$41,(MATCH(AD$21,Dates,0)),(MATCH($C$151,Learning!$E$4:$S$4,0)+MATCH($C$192,Learning!$E$5:$S$5,0)-1)))</f>
        <v>28.802995186295764</v>
      </c>
      <c r="AE197" s="532" cm="1">
        <f t="array" aca="1" ref="AE197" ca="1">IF(AE$21&lt;Standard_Year,'No STDs Case Rev &amp; Cost'!AE197,
OFFSET(AE197,-3,0)*
OFFSET(MSP!$D$1,
MATCH(OFFSET($C192,((MATCH($C192,EL_List,0)-1)*-10)-1,0),MSP!$C:$C,0)+MATCH($C192,EL_List,0)-1,0)
*INDEX(Learning!$E$6:$S$41,(MATCH(AE$21,Dates,0)),(MATCH($C$151,Learning!$E$4:$S$4,0)+MATCH($C$192,Learning!$E$5:$S$5,0)-1)))</f>
        <v>30.09884083059076</v>
      </c>
      <c r="AF197" s="532" cm="1">
        <f t="array" aca="1" ref="AF197" ca="1">IF(AF$21&lt;Standard_Year,'No STDs Case Rev &amp; Cost'!AF197,
OFFSET(AF197,-3,0)*
OFFSET(MSP!$D$1,
MATCH(OFFSET($C192,((MATCH($C192,EL_List,0)-1)*-10)-1,0),MSP!$C:$C,0)+MATCH($C192,EL_List,0)-1,0)
*INDEX(Learning!$E$6:$S$41,(MATCH(AF$21,Dates,0)),(MATCH($C$151,Learning!$E$4:$S$4,0)+MATCH($C$192,Learning!$E$5:$S$5,0)-1)))</f>
        <v>31.451393338898068</v>
      </c>
      <c r="AG197" s="532" cm="1">
        <f t="array" aca="1" ref="AG197" ca="1">IF(AG$21&lt;Standard_Year,'No STDs Case Rev &amp; Cost'!AG197,
OFFSET(AG197,-3,0)*
OFFSET(MSP!$D$1,
MATCH(OFFSET($C192,((MATCH($C192,EL_List,0)-1)*-10)-1,0),MSP!$C:$C,0)+MATCH($C192,EL_List,0)-1,0)
*INDEX(Learning!$E$6:$S$41,(MATCH(AG$21,Dates,0)),(MATCH($C$151,Learning!$E$4:$S$4,0)+MATCH($C$192,Learning!$E$5:$S$5,0)-1)))</f>
        <v>32.862968977219907</v>
      </c>
      <c r="AH197" s="532" cm="1">
        <f t="array" aca="1" ref="AH197" ca="1">IF(AH$21&lt;Standard_Year,'No STDs Case Rev &amp; Cost'!AH197,
OFFSET(AH197,-3,0)*
OFFSET(MSP!$D$1,
MATCH(OFFSET($C192,((MATCH($C192,EL_List,0)-1)*-10)-1,0),MSP!$C:$C,0)+MATCH($C192,EL_List,0)-1,0)
*INDEX(Learning!$E$6:$S$41,(MATCH(AH$21,Dates,0)),(MATCH($C$151,Learning!$E$4:$S$4,0)+MATCH($C$192,Learning!$E$5:$S$5,0)-1)))</f>
        <v>34.37426199392079</v>
      </c>
      <c r="AI197" s="532" cm="1">
        <f t="array" aca="1" ref="AI197" ca="1">IF(AI$21&lt;Standard_Year,'No STDs Case Rev &amp; Cost'!AI197,
OFFSET(AI197,-3,0)*
OFFSET(MSP!$D$1,
MATCH(OFFSET($C192,((MATCH($C192,EL_List,0)-1)*-10)-1,0),MSP!$C:$C,0)+MATCH($C192,EL_List,0)-1,0)
*INDEX(Learning!$E$6:$S$41,(MATCH(AI$21,Dates,0)),(MATCH($C$151,Learning!$E$4:$S$4,0)+MATCH($C$192,Learning!$E$5:$S$5,0)-1)))</f>
        <v>35.913163981958043</v>
      </c>
      <c r="AJ197" s="532" cm="1">
        <f t="array" aca="1" ref="AJ197" ca="1">IF(AJ$21&lt;Standard_Year,'No STDs Case Rev &amp; Cost'!AJ197,
OFFSET(AJ197,-3,0)*
OFFSET(MSP!$D$1,
MATCH(OFFSET($C192,((MATCH($C192,EL_List,0)-1)*-10)-1,0),MSP!$C:$C,0)+MATCH($C192,EL_List,0)-1,0)
*INDEX(Learning!$E$6:$S$41,(MATCH(AJ$21,Dates,0)),(MATCH($C$151,Learning!$E$4:$S$4,0)+MATCH($C$192,Learning!$E$5:$S$5,0)-1)))</f>
        <v>37.518870122535851</v>
      </c>
      <c r="AK197" s="532" cm="1">
        <f t="array" aca="1" ref="AK197" ca="1">IF(AK$21&lt;Standard_Year,'No STDs Case Rev &amp; Cost'!AK197,
OFFSET(AK197,-3,0)*
OFFSET(MSP!$D$1,
MATCH(OFFSET($C192,((MATCH($C192,EL_List,0)-1)*-10)-1,0),MSP!$C:$C,0)+MATCH($C192,EL_List,0)-1,0)
*INDEX(Learning!$E$6:$S$41,(MATCH(AK$21,Dates,0)),(MATCH($C$151,Learning!$E$4:$S$4,0)+MATCH($C$192,Learning!$E$5:$S$5,0)-1)))</f>
        <v>39.238497104289053</v>
      </c>
      <c r="AL197" s="532" cm="1">
        <f t="array" aca="1" ref="AL197" ca="1">IF(AL$21&lt;Standard_Year,'No STDs Case Rev &amp; Cost'!AL197,
OFFSET(AL197,-3,0)*
OFFSET(MSP!$D$1,
MATCH(OFFSET($C192,((MATCH($C192,EL_List,0)-1)*-10)-1,0),MSP!$C:$C,0)+MATCH($C192,EL_List,0)-1,0)
*INDEX(Learning!$E$6:$S$41,(MATCH(AL$21,Dates,0)),(MATCH($C$151,Learning!$E$4:$S$4,0)+MATCH($C$192,Learning!$E$5:$S$5,0)-1)))</f>
        <v>40.988777955481424</v>
      </c>
      <c r="AM197" s="532" cm="1">
        <f t="array" aca="1" ref="AM197" ca="1">IF(AM$21&lt;Standard_Year,'No STDs Case Rev &amp; Cost'!AM197,
OFFSET(AM197,-3,0)*
OFFSET(MSP!$D$1,
MATCH(OFFSET($C192,((MATCH($C192,EL_List,0)-1)*-10)-1,0),MSP!$C:$C,0)+MATCH($C192,EL_List,0)-1,0)
*INDEX(Learning!$E$6:$S$41,(MATCH(AM$21,Dates,0)),(MATCH($C$151,Learning!$E$4:$S$4,0)+MATCH($C$192,Learning!$E$5:$S$5,0)-1)))</f>
        <v>42.863743481760785</v>
      </c>
      <c r="AN197" s="532" cm="1">
        <f t="array" aca="1" ref="AN197" ca="1">IF(AN$21&lt;Standard_Year,'No STDs Case Rev &amp; Cost'!AN197,
OFFSET(AN197,-3,0)*
OFFSET(MSP!$D$1,
MATCH(OFFSET($C192,((MATCH($C192,EL_List,0)-1)*-10)-1,0),MSP!$C:$C,0)+MATCH($C192,EL_List,0)-1,0)
*INDEX(Learning!$E$6:$S$41,(MATCH(AN$21,Dates,0)),(MATCH($C$151,Learning!$E$4:$S$4,0)+MATCH($C$192,Learning!$E$5:$S$5,0)-1)))</f>
        <v>44.800794098729618</v>
      </c>
      <c r="AO197" s="436"/>
      <c r="AP197" s="21"/>
    </row>
    <row r="198" spans="2:42" ht="15" customHeight="1" x14ac:dyDescent="0.35">
      <c r="B198" s="429"/>
      <c r="C198" s="780" t="s">
        <v>213</v>
      </c>
      <c r="D198" s="776"/>
      <c r="E198" s="533" cm="1">
        <f t="array" aca="1" ref="E198" ca="1">IF(E$21&lt;Standard_Year,'No STDs Case Rev &amp; Cost'!E198,
OFFSET(E198,-4,0)*
OFFSET(MSP!$E$1,
MATCH(OFFSET($C192,((MATCH($C192,EL_List,0)-1)*-10)-1,0),MSP!$C:$C,0)+MATCH($C192,EL_List,0)-1,0)
*INDEX(Learning!$E$6:$S$41,(MATCH(E$21,Dates,0)),(MATCH($C$151,Learning!$E$4:$S$4,0)+MATCH($C$192,Learning!$E$5:$S$5,0)-1)))</f>
        <v>0.34215113882582865</v>
      </c>
      <c r="F198" s="533" cm="1">
        <f t="array" aca="1" ref="F198" ca="1">IF(F$21&lt;Standard_Year,'No STDs Case Rev &amp; Cost'!F198,
OFFSET(F198,-4,0)*
OFFSET(MSP!$E$1,
MATCH(OFFSET($C192,((MATCH($C192,EL_List,0)-1)*-10)-1,0),MSP!$C:$C,0)+MATCH($C192,EL_List,0)-1,0)
*INDEX(Learning!$E$6:$S$41,(MATCH(F$21,Dates,0)),(MATCH($C$151,Learning!$E$4:$S$4,0)+MATCH($C$192,Learning!$E$5:$S$5,0)-1)))</f>
        <v>0.35470201531248002</v>
      </c>
      <c r="G198" s="533" cm="1">
        <f t="array" aca="1" ref="G198" ca="1">IF(G$21&lt;Standard_Year,'No STDs Case Rev &amp; Cost'!G198,
OFFSET(G198,-4,0)*
OFFSET(MSP!$E$1,
MATCH(OFFSET($C192,((MATCH($C192,EL_List,0)-1)*-10)-1,0),MSP!$C:$C,0)+MATCH($C192,EL_List,0)-1,0)
*INDEX(Learning!$E$6:$S$41,(MATCH(G$21,Dates,0)),(MATCH($C$151,Learning!$E$4:$S$4,0)+MATCH($C$192,Learning!$E$5:$S$5,0)-1)))</f>
        <v>0.36580925956462101</v>
      </c>
      <c r="H198" s="533" cm="1">
        <f t="array" aca="1" ref="H198" ca="1">IF(H$21&lt;Standard_Year,'No STDs Case Rev &amp; Cost'!H198,
OFFSET(H198,-4,0)*
OFFSET(MSP!$E$1,
MATCH(OFFSET($C192,((MATCH($C192,EL_List,0)-1)*-10)-1,0),MSP!$C:$C,0)+MATCH($C192,EL_List,0)-1,0)
*INDEX(Learning!$E$6:$S$41,(MATCH(H$21,Dates,0)),(MATCH($C$151,Learning!$E$4:$S$4,0)+MATCH($C$192,Learning!$E$5:$S$5,0)-1)))</f>
        <v>0.38037322621871067</v>
      </c>
      <c r="I198" s="533" cm="1">
        <f t="array" aca="1" ref="I198" ca="1">IF(I$21&lt;Standard_Year,'No STDs Case Rev &amp; Cost'!I198,
OFFSET(I198,-4,0)*
OFFSET(MSP!$E$1,
MATCH(OFFSET($C192,((MATCH($C192,EL_List,0)-1)*-10)-1,0),MSP!$C:$C,0)+MATCH($C192,EL_List,0)-1,0)
*INDEX(Learning!$E$6:$S$41,(MATCH(I$21,Dates,0)),(MATCH($C$151,Learning!$E$4:$S$4,0)+MATCH($C$192,Learning!$E$5:$S$5,0)-1)))</f>
        <v>0.39633165510004786</v>
      </c>
      <c r="J198" s="533" cm="1">
        <f t="array" aca="1" ref="J198" ca="1">IF(J$21&lt;Standard_Year,'No STDs Case Rev &amp; Cost'!J198,
OFFSET(J198,-4,0)*
OFFSET(MSP!$E$1,
MATCH(OFFSET($C192,((MATCH($C192,EL_List,0)-1)*-10)-1,0),MSP!$C:$C,0)+MATCH($C192,EL_List,0)-1,0)
*INDEX(Learning!$E$6:$S$41,(MATCH(J$21,Dates,0)),(MATCH($C$151,Learning!$E$4:$S$4,0)+MATCH($C$192,Learning!$E$5:$S$5,0)-1)))</f>
        <v>0.41400455609060854</v>
      </c>
      <c r="K198" s="533" cm="1">
        <f t="array" aca="1" ref="K198" ca="1">IF(K$21&lt;Standard_Year,'No STDs Case Rev &amp; Cost'!K198,
OFFSET(K198,-4,0)*
OFFSET(MSP!$E$1,
MATCH(OFFSET($C192,((MATCH($C192,EL_List,0)-1)*-10)-1,0),MSP!$C:$C,0)+MATCH($C192,EL_List,0)-1,0)
*INDEX(Learning!$E$6:$S$41,(MATCH(K$21,Dates,0)),(MATCH($C$151,Learning!$E$4:$S$4,0)+MATCH($C$192,Learning!$E$5:$S$5,0)-1)))</f>
        <v>0.43312328030420488</v>
      </c>
      <c r="L198" s="533" cm="1">
        <f t="array" aca="1" ref="L198" ca="1">IF(L$21&lt;Standard_Year,'No STDs Case Rev &amp; Cost'!L198,
OFFSET(L198,-4,0)*
OFFSET(MSP!$E$1,
MATCH(OFFSET($C192,((MATCH($C192,EL_List,0)-1)*-10)-1,0),MSP!$C:$C,0)+MATCH($C192,EL_List,0)-1,0)
*INDEX(Learning!$E$6:$S$41,(MATCH(L$21,Dates,0)),(MATCH($C$151,Learning!$E$4:$S$4,0)+MATCH($C$192,Learning!$E$5:$S$5,0)-1)))</f>
        <v>0.45330824235566686</v>
      </c>
      <c r="M198" s="533" cm="1">
        <f t="array" aca="1" ref="M198" ca="1">IF(M$21&lt;Standard_Year,'No STDs Case Rev &amp; Cost'!M198,
OFFSET(M198,-4,0)*
OFFSET(MSP!$E$1,
MATCH(OFFSET($C192,((MATCH($C192,EL_List,0)-1)*-10)-1,0),MSP!$C:$C,0)+MATCH($C192,EL_List,0)-1,0)
*INDEX(Learning!$E$6:$S$41,(MATCH(M$21,Dates,0)),(MATCH($C$151,Learning!$E$4:$S$4,0)+MATCH($C$192,Learning!$E$5:$S$5,0)-1)))</f>
        <v>0.47474455827677259</v>
      </c>
      <c r="N198" s="533" cm="1">
        <f t="array" aca="1" ref="N198" ca="1">IF(N$21&lt;Standard_Year,'No STDs Case Rev &amp; Cost'!N198,
OFFSET(N198,-4,0)*
OFFSET(MSP!$E$1,
MATCH(OFFSET($C192,((MATCH($C192,EL_List,0)-1)*-10)-1,0),MSP!$C:$C,0)+MATCH($C192,EL_List,0)-1,0)
*INDEX(Learning!$E$6:$S$41,(MATCH(N$21,Dates,0)),(MATCH($C$151,Learning!$E$4:$S$4,0)+MATCH($C$192,Learning!$E$5:$S$5,0)-1)))</f>
        <v>0.49629857202388067</v>
      </c>
      <c r="O198" s="533" cm="1">
        <f t="array" aca="1" ref="O198" ca="1">IF(O$21&lt;Standard_Year,'No STDs Case Rev &amp; Cost'!O198,
OFFSET(O198,-4,0)*
OFFSET(MSP!$E$1,
MATCH(OFFSET($C192,((MATCH($C192,EL_List,0)-1)*-10)-1,0),MSP!$C:$C,0)+MATCH($C192,EL_List,0)-1,0)
*INDEX(Learning!$E$6:$S$41,(MATCH(O$21,Dates,0)),(MATCH($C$151,Learning!$E$4:$S$4,0)+MATCH($C$192,Learning!$E$5:$S$5,0)-1)))</f>
        <v>0.51893066933281662</v>
      </c>
      <c r="P198" s="533" cm="1">
        <f t="array" aca="1" ref="P198" ca="1">IF(P$21&lt;Standard_Year,'No STDs Case Rev &amp; Cost'!P198,
OFFSET(P198,-4,0)*
OFFSET(MSP!$E$1,
MATCH(OFFSET($C192,((MATCH($C192,EL_List,0)-1)*-10)-1,0),MSP!$C:$C,0)+MATCH($C192,EL_List,0)-1,0)
*INDEX(Learning!$E$6:$S$41,(MATCH(P$21,Dates,0)),(MATCH($C$151,Learning!$E$4:$S$4,0)+MATCH($C$192,Learning!$E$5:$S$5,0)-1)))</f>
        <v>0.54225503159732169</v>
      </c>
      <c r="Q198" s="533" cm="1">
        <f t="array" aca="1" ref="Q198" ca="1">IF(Q$21&lt;Standard_Year,'No STDs Case Rev &amp; Cost'!Q198,
OFFSET(Q198,-4,0)*
OFFSET(MSP!$E$1,
MATCH(OFFSET($C192,((MATCH($C192,EL_List,0)-1)*-10)-1,0),MSP!$C:$C,0)+MATCH($C192,EL_List,0)-1,0)
*INDEX(Learning!$E$6:$S$41,(MATCH(Q$21,Dates,0)),(MATCH($C$151,Learning!$E$4:$S$4,0)+MATCH($C$192,Learning!$E$5:$S$5,0)-1)))</f>
        <v>0.56641995550756463</v>
      </c>
      <c r="R198" s="533" cm="1">
        <f t="array" aca="1" ref="R198" ca="1">IF(R$21&lt;Standard_Year,'No STDs Case Rev &amp; Cost'!R198,
OFFSET(R198,-4,0)*
OFFSET(MSP!$E$1,
MATCH(OFFSET($C192,((MATCH($C192,EL_List,0)-1)*-10)-1,0),MSP!$C:$C,0)+MATCH($C192,EL_List,0)-1,0)
*INDEX(Learning!$E$6:$S$41,(MATCH(R$21,Dates,0)),(MATCH($C$151,Learning!$E$4:$S$4,0)+MATCH($C$192,Learning!$E$5:$S$5,0)-1)))</f>
        <v>0.59159748936685186</v>
      </c>
      <c r="S198" s="533" cm="1">
        <f t="array" aca="1" ref="S198" ca="1">IF(S$21&lt;Standard_Year,'No STDs Case Rev &amp; Cost'!S198,
OFFSET(S198,-4,0)*
OFFSET(MSP!$E$1,
MATCH(OFFSET($C192,((MATCH($C192,EL_List,0)-1)*-10)-1,0),MSP!$C:$C,0)+MATCH($C192,EL_List,0)-1,0)
*INDEX(Learning!$E$6:$S$41,(MATCH(S$21,Dates,0)),(MATCH($C$151,Learning!$E$4:$S$4,0)+MATCH($C$192,Learning!$E$5:$S$5,0)-1)))</f>
        <v>0.61857073069621471</v>
      </c>
      <c r="T198" s="533" cm="1">
        <f t="array" aca="1" ref="T198" ca="1">IF(T$21&lt;Standard_Year,'No STDs Case Rev &amp; Cost'!T198,
OFFSET(T198,-4,0)*
OFFSET(MSP!$E$1,
MATCH(OFFSET($C192,((MATCH($C192,EL_List,0)-1)*-10)-1,0),MSP!$C:$C,0)+MATCH($C192,EL_List,0)-1,0)
*INDEX(Learning!$E$6:$S$41,(MATCH(T$21,Dates,0)),(MATCH($C$151,Learning!$E$4:$S$4,0)+MATCH($C$192,Learning!$E$5:$S$5,0)-1)))</f>
        <v>0.6461589248854217</v>
      </c>
      <c r="U198" s="533" cm="1">
        <f t="array" aca="1" ref="U198" ca="1">IF(U$21&lt;Standard_Year,'No STDs Case Rev &amp; Cost'!U198,
OFFSET(U198,-4,0)*
OFFSET(MSP!$E$1,
MATCH(OFFSET($C192,((MATCH($C192,EL_List,0)-1)*-10)-1,0),MSP!$C:$C,0)+MATCH($C192,EL_List,0)-1,0)
*INDEX(Learning!$E$6:$S$41,(MATCH(U$21,Dates,0)),(MATCH($C$151,Learning!$E$4:$S$4,0)+MATCH($C$192,Learning!$E$5:$S$5,0)-1)))</f>
        <v>0.67577378030906643</v>
      </c>
      <c r="V198" s="533" cm="1">
        <f t="array" aca="1" ref="V198" ca="1">IF(V$21&lt;Standard_Year,'No STDs Case Rev &amp; Cost'!V198,
OFFSET(V198,-4,0)*
OFFSET(MSP!$E$1,
MATCH(OFFSET($C192,((MATCH($C192,EL_List,0)-1)*-10)-1,0),MSP!$C:$C,0)+MATCH($C192,EL_List,0)-1,0)
*INDEX(Learning!$E$6:$S$41,(MATCH(V$21,Dates,0)),(MATCH($C$151,Learning!$E$4:$S$4,0)+MATCH($C$192,Learning!$E$5:$S$5,0)-1)))</f>
        <v>0.70593803621699969</v>
      </c>
      <c r="W198" s="533" cm="1">
        <f t="array" aca="1" ref="W198" ca="1">IF(W$21&lt;Standard_Year,'No STDs Case Rev &amp; Cost'!W198,
OFFSET(W198,-4,0)*
OFFSET(MSP!$E$1,
MATCH(OFFSET($C192,((MATCH($C192,EL_List,0)-1)*-10)-1,0),MSP!$C:$C,0)+MATCH($C192,EL_List,0)-1,0)
*INDEX(Learning!$E$6:$S$41,(MATCH(W$21,Dates,0)),(MATCH($C$151,Learning!$E$4:$S$4,0)+MATCH($C$192,Learning!$E$5:$S$5,0)-1)))</f>
        <v>0.73819054100019454</v>
      </c>
      <c r="X198" s="533" cm="1">
        <f t="array" aca="1" ref="X198" ca="1">IF(X$21&lt;Standard_Year,'No STDs Case Rev &amp; Cost'!X198,
OFFSET(X198,-4,0)*
OFFSET(MSP!$E$1,
MATCH(OFFSET($C192,((MATCH($C192,EL_List,0)-1)*-10)-1,0),MSP!$C:$C,0)+MATCH($C192,EL_List,0)-1,0)
*INDEX(Learning!$E$6:$S$41,(MATCH(X$21,Dates,0)),(MATCH($C$151,Learning!$E$4:$S$4,0)+MATCH($C$192,Learning!$E$5:$S$5,0)-1)))</f>
        <v>0.77184112196224841</v>
      </c>
      <c r="Y198" s="533" cm="1">
        <f t="array" aca="1" ref="Y198" ca="1">IF(Y$21&lt;Standard_Year,'No STDs Case Rev &amp; Cost'!Y198,
OFFSET(Y198,-4,0)*
OFFSET(MSP!$E$1,
MATCH(OFFSET($C192,((MATCH($C192,EL_List,0)-1)*-10)-1,0),MSP!$C:$C,0)+MATCH($C192,EL_List,0)-1,0)
*INDEX(Learning!$E$6:$S$41,(MATCH(Y$21,Dates,0)),(MATCH($C$151,Learning!$E$4:$S$4,0)+MATCH($C$192,Learning!$E$5:$S$5,0)-1)))</f>
        <v>0.8060655558468367</v>
      </c>
      <c r="Z198" s="533" cm="1">
        <f t="array" aca="1" ref="Z198" ca="1">IF(Z$21&lt;Standard_Year,'No STDs Case Rev &amp; Cost'!Z198,
OFFSET(Z198,-4,0)*
OFFSET(MSP!$E$1,
MATCH(OFFSET($C192,((MATCH($C192,EL_List,0)-1)*-10)-1,0),MSP!$C:$C,0)+MATCH($C192,EL_List,0)-1,0)
*INDEX(Learning!$E$6:$S$41,(MATCH(Z$21,Dates,0)),(MATCH($C$151,Learning!$E$4:$S$4,0)+MATCH($C$192,Learning!$E$5:$S$5,0)-1)))</f>
        <v>0.84261123972499163</v>
      </c>
      <c r="AA198" s="533" cm="1">
        <f t="array" aca="1" ref="AA198" ca="1">IF(AA$21&lt;Standard_Year,'No STDs Case Rev &amp; Cost'!AA198,
OFFSET(AA198,-4,0)*
OFFSET(MSP!$E$1,
MATCH(OFFSET($C192,((MATCH($C192,EL_List,0)-1)*-10)-1,0),MSP!$C:$C,0)+MATCH($C192,EL_List,0)-1,0)
*INDEX(Learning!$E$6:$S$41,(MATCH(AA$21,Dates,0)),(MATCH($C$151,Learning!$E$4:$S$4,0)+MATCH($C$192,Learning!$E$5:$S$5,0)-1)))</f>
        <v>0.88072638253194779</v>
      </c>
      <c r="AB198" s="533" cm="1">
        <f t="array" aca="1" ref="AB198" ca="1">IF(AB$21&lt;Standard_Year,'No STDs Case Rev &amp; Cost'!AB198,
OFFSET(AB198,-4,0)*
OFFSET(MSP!$E$1,
MATCH(OFFSET($C192,((MATCH($C192,EL_List,0)-1)*-10)-1,0),MSP!$C:$C,0)+MATCH($C192,EL_List,0)-1,0)
*INDEX(Learning!$E$6:$S$41,(MATCH(AB$21,Dates,0)),(MATCH($C$151,Learning!$E$4:$S$4,0)+MATCH($C$192,Learning!$E$5:$S$5,0)-1)))</f>
        <v>0.92049519936471935</v>
      </c>
      <c r="AC198" s="533" cm="1">
        <f t="array" aca="1" ref="AC198" ca="1">IF(AC$21&lt;Standard_Year,'No STDs Case Rev &amp; Cost'!AC198,
OFFSET(AC198,-4,0)*
OFFSET(MSP!$E$1,
MATCH(OFFSET($C192,((MATCH($C192,EL_List,0)-1)*-10)-1,0),MSP!$C:$C,0)+MATCH($C192,EL_List,0)-1,0)
*INDEX(Learning!$E$6:$S$41,(MATCH(AC$21,Dates,0)),(MATCH($C$151,Learning!$E$4:$S$4,0)+MATCH($C$192,Learning!$E$5:$S$5,0)-1)))</f>
        <v>0.96200110699447039</v>
      </c>
      <c r="AD198" s="533" cm="1">
        <f t="array" aca="1" ref="AD198" ca="1">IF(AD$21&lt;Standard_Year,'No STDs Case Rev &amp; Cost'!AD198,
OFFSET(AD198,-4,0)*
OFFSET(MSP!$E$1,
MATCH(OFFSET($C192,((MATCH($C192,EL_List,0)-1)*-10)-1,0),MSP!$C:$C,0)+MATCH($C192,EL_List,0)-1,0)
*INDEX(Learning!$E$6:$S$41,(MATCH(AD$21,Dates,0)),(MATCH($C$151,Learning!$E$4:$S$4,0)+MATCH($C$192,Learning!$E$5:$S$5,0)-1)))</f>
        <v>1.0064285476907908</v>
      </c>
      <c r="AE198" s="533" cm="1">
        <f t="array" aca="1" ref="AE198" ca="1">IF(AE$21&lt;Standard_Year,'No STDs Case Rev &amp; Cost'!AE198,
OFFSET(AE198,-4,0)*
OFFSET(MSP!$E$1,
MATCH(OFFSET($C192,((MATCH($C192,EL_List,0)-1)*-10)-1,0),MSP!$C:$C,0)+MATCH($C192,EL_List,0)-1,0)
*INDEX(Learning!$E$6:$S$41,(MATCH(AE$21,Dates,0)),(MATCH($C$151,Learning!$E$4:$S$4,0)+MATCH($C$192,Learning!$E$5:$S$5,0)-1)))</f>
        <v>1.0517077292961736</v>
      </c>
      <c r="AF198" s="533" cm="1">
        <f t="array" aca="1" ref="AF198" ca="1">IF(AF$21&lt;Standard_Year,'No STDs Case Rev &amp; Cost'!AF198,
OFFSET(AF198,-4,0)*
OFFSET(MSP!$E$1,
MATCH(OFFSET($C192,((MATCH($C192,EL_List,0)-1)*-10)-1,0),MSP!$C:$C,0)+MATCH($C192,EL_List,0)-1,0)
*INDEX(Learning!$E$6:$S$41,(MATCH(AF$21,Dates,0)),(MATCH($C$151,Learning!$E$4:$S$4,0)+MATCH($C$192,Learning!$E$5:$S$5,0)-1)))</f>
        <v>1.0989683509019064</v>
      </c>
      <c r="AG198" s="533" cm="1">
        <f t="array" aca="1" ref="AG198" ca="1">IF(AG$21&lt;Standard_Year,'No STDs Case Rev &amp; Cost'!AG198,
OFFSET(AG198,-4,0)*
OFFSET(MSP!$E$1,
MATCH(OFFSET($C192,((MATCH($C192,EL_List,0)-1)*-10)-1,0),MSP!$C:$C,0)+MATCH($C192,EL_List,0)-1,0)
*INDEX(Learning!$E$6:$S$41,(MATCH(AG$21,Dates,0)),(MATCH($C$151,Learning!$E$4:$S$4,0)+MATCH($C$192,Learning!$E$5:$S$5,0)-1)))</f>
        <v>1.1482913470154452</v>
      </c>
      <c r="AH198" s="533" cm="1">
        <f t="array" aca="1" ref="AH198" ca="1">IF(AH$21&lt;Standard_Year,'No STDs Case Rev &amp; Cost'!AH198,
OFFSET(AH198,-4,0)*
OFFSET(MSP!$E$1,
MATCH(OFFSET($C192,((MATCH($C192,EL_List,0)-1)*-10)-1,0),MSP!$C:$C,0)+MATCH($C192,EL_List,0)-1,0)
*INDEX(Learning!$E$6:$S$41,(MATCH(AH$21,Dates,0)),(MATCH($C$151,Learning!$E$4:$S$4,0)+MATCH($C$192,Learning!$E$5:$S$5,0)-1)))</f>
        <v>1.2010986479956292</v>
      </c>
      <c r="AI198" s="533" cm="1">
        <f t="array" aca="1" ref="AI198" ca="1">IF(AI$21&lt;Standard_Year,'No STDs Case Rev &amp; Cost'!AI198,
OFFSET(AI198,-4,0)*
OFFSET(MSP!$E$1,
MATCH(OFFSET($C192,((MATCH($C192,EL_List,0)-1)*-10)-1,0),MSP!$C:$C,0)+MATCH($C192,EL_List,0)-1,0)
*INDEX(Learning!$E$6:$S$41,(MATCH(AI$21,Dates,0)),(MATCH($C$151,Learning!$E$4:$S$4,0)+MATCH($C$192,Learning!$E$5:$S$5,0)-1)))</f>
        <v>1.2548706561788512</v>
      </c>
      <c r="AJ198" s="533" cm="1">
        <f t="array" aca="1" ref="AJ198" ca="1">IF(AJ$21&lt;Standard_Year,'No STDs Case Rev &amp; Cost'!AJ198,
OFFSET(AJ198,-4,0)*
OFFSET(MSP!$E$1,
MATCH(OFFSET($C192,((MATCH($C192,EL_List,0)-1)*-10)-1,0),MSP!$C:$C,0)+MATCH($C192,EL_List,0)-1,0)
*INDEX(Learning!$E$6:$S$41,(MATCH(AJ$21,Dates,0)),(MATCH($C$151,Learning!$E$4:$S$4,0)+MATCH($C$192,Learning!$E$5:$S$5,0)-1)))</f>
        <v>1.3109769218164193</v>
      </c>
      <c r="AK198" s="533" cm="1">
        <f t="array" aca="1" ref="AK198" ca="1">IF(AK$21&lt;Standard_Year,'No STDs Case Rev &amp; Cost'!AK198,
OFFSET(AK198,-4,0)*
OFFSET(MSP!$E$1,
MATCH(OFFSET($C192,((MATCH($C192,EL_List,0)-1)*-10)-1,0),MSP!$C:$C,0)+MATCH($C192,EL_List,0)-1,0)
*INDEX(Learning!$E$6:$S$41,(MATCH(AK$21,Dates,0)),(MATCH($C$151,Learning!$E$4:$S$4,0)+MATCH($C$192,Learning!$E$5:$S$5,0)-1)))</f>
        <v>1.3710637869018678</v>
      </c>
      <c r="AL198" s="533" cm="1">
        <f t="array" aca="1" ref="AL198" ca="1">IF(AL$21&lt;Standard_Year,'No STDs Case Rev &amp; Cost'!AL198,
OFFSET(AL198,-4,0)*
OFFSET(MSP!$E$1,
MATCH(OFFSET($C192,((MATCH($C192,EL_List,0)-1)*-10)-1,0),MSP!$C:$C,0)+MATCH($C192,EL_List,0)-1,0)
*INDEX(Learning!$E$6:$S$41,(MATCH(AL$21,Dates,0)),(MATCH($C$151,Learning!$E$4:$S$4,0)+MATCH($C$192,Learning!$E$5:$S$5,0)-1)))</f>
        <v>1.4322217534162205</v>
      </c>
      <c r="AM198" s="533" cm="1">
        <f t="array" aca="1" ref="AM198" ca="1">IF(AM$21&lt;Standard_Year,'No STDs Case Rev &amp; Cost'!AM198,
OFFSET(AM198,-4,0)*
OFFSET(MSP!$E$1,
MATCH(OFFSET($C192,((MATCH($C192,EL_List,0)-1)*-10)-1,0),MSP!$C:$C,0)+MATCH($C192,EL_List,0)-1,0)
*INDEX(Learning!$E$6:$S$41,(MATCH(AM$21,Dates,0)),(MATCH($C$151,Learning!$E$4:$S$4,0)+MATCH($C$192,Learning!$E$5:$S$5,0)-1)))</f>
        <v>1.4977364271290943</v>
      </c>
      <c r="AN198" s="533" cm="1">
        <f t="array" aca="1" ref="AN198" ca="1">IF(AN$21&lt;Standard_Year,'No STDs Case Rev &amp; Cost'!AN198,
OFFSET(AN198,-4,0)*
OFFSET(MSP!$E$1,
MATCH(OFFSET($C192,((MATCH($C192,EL_List,0)-1)*-10)-1,0),MSP!$C:$C,0)+MATCH($C192,EL_List,0)-1,0)
*INDEX(Learning!$E$6:$S$41,(MATCH(AN$21,Dates,0)),(MATCH($C$151,Learning!$E$4:$S$4,0)+MATCH($C$192,Learning!$E$5:$S$5,0)-1)))</f>
        <v>1.5654204657726534</v>
      </c>
      <c r="AO198" s="436"/>
      <c r="AP198" s="21"/>
    </row>
    <row r="199" spans="2:42" ht="15" customHeight="1" x14ac:dyDescent="0.35">
      <c r="B199" s="429"/>
      <c r="C199" s="780" t="s">
        <v>214</v>
      </c>
      <c r="D199" s="776"/>
      <c r="E199" s="533" cm="1">
        <f t="array" aca="1" ref="E199" ca="1">IF(E$21&lt;Standard_Year,'No STDs Case Rev &amp; Cost'!E199,
OFFSET(E199,-5,0)*
OFFSET(MSP!$F$1,
MATCH(OFFSET($C192,((MATCH($C192,EL_List,0)-1)*-10)-1,0),MSP!$C:$C,0)+MATCH($C192,EL_List,0)-1,0)
*INDEX(Learning!$E$6:$S$41,(MATCH(E$21,Dates,0)),(MATCH($C$151,Learning!$E$4:$S$4,0)+MATCH($C$192,Learning!$E$5:$S$5,0)-1)))</f>
        <v>0.55963274117469208</v>
      </c>
      <c r="F199" s="533" cm="1">
        <f t="array" aca="1" ref="F199" ca="1">IF(F$21&lt;Standard_Year,'No STDs Case Rev &amp; Cost'!F199,
OFFSET(F199,-5,0)*
OFFSET(MSP!$F$1,
MATCH(OFFSET($C192,((MATCH($C192,EL_List,0)-1)*-10)-1,0),MSP!$C:$C,0)+MATCH($C192,EL_List,0)-1,0)
*INDEX(Learning!$E$6:$S$41,(MATCH(F$21,Dates,0)),(MATCH($C$151,Learning!$E$4:$S$4,0)+MATCH($C$192,Learning!$E$5:$S$5,0)-1)))</f>
        <v>0.58016133399619718</v>
      </c>
      <c r="G199" s="533" cm="1">
        <f t="array" aca="1" ref="G199" ca="1">IF(G$21&lt;Standard_Year,'No STDs Case Rev &amp; Cost'!G199,
OFFSET(G199,-5,0)*
OFFSET(MSP!$F$1,
MATCH(OFFSET($C192,((MATCH($C192,EL_List,0)-1)*-10)-1,0),MSP!$C:$C,0)+MATCH($C192,EL_List,0)-1,0)
*INDEX(Learning!$E$6:$S$41,(MATCH(G$21,Dates,0)),(MATCH($C$151,Learning!$E$4:$S$4,0)+MATCH($C$192,Learning!$E$5:$S$5,0)-1)))</f>
        <v>0.59832867831384029</v>
      </c>
      <c r="H199" s="533" cm="1">
        <f t="array" aca="1" ref="H199" ca="1">IF(H$21&lt;Standard_Year,'No STDs Case Rev &amp; Cost'!H199,
OFFSET(H199,-5,0)*
OFFSET(MSP!$F$1,
MATCH(OFFSET($C192,((MATCH($C192,EL_List,0)-1)*-10)-1,0),MSP!$C:$C,0)+MATCH($C192,EL_List,0)-1,0)
*INDEX(Learning!$E$6:$S$41,(MATCH(H$21,Dates,0)),(MATCH($C$151,Learning!$E$4:$S$4,0)+MATCH($C$192,Learning!$E$5:$S$5,0)-1)))</f>
        <v>0.6221499422411656</v>
      </c>
      <c r="I199" s="533" cm="1">
        <f t="array" aca="1" ref="I199" ca="1">IF(I$21&lt;Standard_Year,'No STDs Case Rev &amp; Cost'!I199,
OFFSET(I199,-5,0)*
OFFSET(MSP!$F$1,
MATCH(OFFSET($C192,((MATCH($C192,EL_List,0)-1)*-10)-1,0),MSP!$C:$C,0)+MATCH($C192,EL_List,0)-1,0)
*INDEX(Learning!$E$6:$S$41,(MATCH(I$21,Dates,0)),(MATCH($C$151,Learning!$E$4:$S$4,0)+MATCH($C$192,Learning!$E$5:$S$5,0)-1)))</f>
        <v>0.64825203072274262</v>
      </c>
      <c r="J199" s="533" cm="1">
        <f t="array" aca="1" ref="J199" ca="1">IF(J$21&lt;Standard_Year,'No STDs Case Rev &amp; Cost'!J199,
OFFSET(J199,-5,0)*
OFFSET(MSP!$F$1,
MATCH(OFFSET($C192,((MATCH($C192,EL_List,0)-1)*-10)-1,0),MSP!$C:$C,0)+MATCH($C192,EL_List,0)-1,0)
*INDEX(Learning!$E$6:$S$41,(MATCH(J$21,Dates,0)),(MATCH($C$151,Learning!$E$4:$S$4,0)+MATCH($C$192,Learning!$E$5:$S$5,0)-1)))</f>
        <v>0.67715836159101739</v>
      </c>
      <c r="K199" s="533" cm="1">
        <f t="array" aca="1" ref="K199" ca="1">IF(K$21&lt;Standard_Year,'No STDs Case Rev &amp; Cost'!K199,
OFFSET(K199,-5,0)*
OFFSET(MSP!$F$1,
MATCH(OFFSET($C192,((MATCH($C192,EL_List,0)-1)*-10)-1,0),MSP!$C:$C,0)+MATCH($C192,EL_List,0)-1,0)
*INDEX(Learning!$E$6:$S$41,(MATCH(K$21,Dates,0)),(MATCH($C$151,Learning!$E$4:$S$4,0)+MATCH($C$192,Learning!$E$5:$S$5,0)-1)))</f>
        <v>0.70842952461018938</v>
      </c>
      <c r="L199" s="533" cm="1">
        <f t="array" aca="1" ref="L199" ca="1">IF(L$21&lt;Standard_Year,'No STDs Case Rev &amp; Cost'!L199,
OFFSET(L199,-5,0)*
OFFSET(MSP!$F$1,
MATCH(OFFSET($C192,((MATCH($C192,EL_List,0)-1)*-10)-1,0),MSP!$C:$C,0)+MATCH($C192,EL_List,0)-1,0)
*INDEX(Learning!$E$6:$S$41,(MATCH(L$21,Dates,0)),(MATCH($C$151,Learning!$E$4:$S$4,0)+MATCH($C$192,Learning!$E$5:$S$5,0)-1)))</f>
        <v>0.74144465845464269</v>
      </c>
      <c r="M199" s="533" cm="1">
        <f t="array" aca="1" ref="M199" ca="1">IF(M$21&lt;Standard_Year,'No STDs Case Rev &amp; Cost'!M199,
OFFSET(M199,-5,0)*
OFFSET(MSP!$F$1,
MATCH(OFFSET($C192,((MATCH($C192,EL_List,0)-1)*-10)-1,0),MSP!$C:$C,0)+MATCH($C192,EL_List,0)-1,0)
*INDEX(Learning!$E$6:$S$41,(MATCH(M$21,Dates,0)),(MATCH($C$151,Learning!$E$4:$S$4,0)+MATCH($C$192,Learning!$E$5:$S$5,0)-1)))</f>
        <v>0.77650654449945822</v>
      </c>
      <c r="N199" s="533" cm="1">
        <f t="array" aca="1" ref="N199" ca="1">IF(N$21&lt;Standard_Year,'No STDs Case Rev &amp; Cost'!N199,
OFFSET(N199,-5,0)*
OFFSET(MSP!$F$1,
MATCH(OFFSET($C192,((MATCH($C192,EL_List,0)-1)*-10)-1,0),MSP!$C:$C,0)+MATCH($C192,EL_List,0)-1,0)
*INDEX(Learning!$E$6:$S$41,(MATCH(N$21,Dates,0)),(MATCH($C$151,Learning!$E$4:$S$4,0)+MATCH($C$192,Learning!$E$5:$S$5,0)-1)))</f>
        <v>0.81176094066486559</v>
      </c>
      <c r="O199" s="533" cm="1">
        <f t="array" aca="1" ref="O199" ca="1">IF(O$21&lt;Standard_Year,'No STDs Case Rev &amp; Cost'!O199,
OFFSET(O199,-5,0)*
OFFSET(MSP!$F$1,
MATCH(OFFSET($C192,((MATCH($C192,EL_List,0)-1)*-10)-1,0),MSP!$C:$C,0)+MATCH($C192,EL_List,0)-1,0)
*INDEX(Learning!$E$6:$S$41,(MATCH(O$21,Dates,0)),(MATCH($C$151,Learning!$E$4:$S$4,0)+MATCH($C$192,Learning!$E$5:$S$5,0)-1)))</f>
        <v>0.84877868287959979</v>
      </c>
      <c r="P199" s="533" cm="1">
        <f t="array" aca="1" ref="P199" ca="1">IF(P$21&lt;Standard_Year,'No STDs Case Rev &amp; Cost'!P199,
OFFSET(P199,-5,0)*
OFFSET(MSP!$F$1,
MATCH(OFFSET($C192,((MATCH($C192,EL_List,0)-1)*-10)-1,0),MSP!$C:$C,0)+MATCH($C192,EL_List,0)-1,0)
*INDEX(Learning!$E$6:$S$41,(MATCH(P$21,Dates,0)),(MATCH($C$151,Learning!$E$4:$S$4,0)+MATCH($C$192,Learning!$E$5:$S$5,0)-1)))</f>
        <v>0.88692871457328692</v>
      </c>
      <c r="Q199" s="533" cm="1">
        <f t="array" aca="1" ref="Q199" ca="1">IF(Q$21&lt;Standard_Year,'No STDs Case Rev &amp; Cost'!Q199,
OFFSET(Q199,-5,0)*
OFFSET(MSP!$F$1,
MATCH(OFFSET($C192,((MATCH($C192,EL_List,0)-1)*-10)-1,0),MSP!$C:$C,0)+MATCH($C192,EL_List,0)-1,0)
*INDEX(Learning!$E$6:$S$41,(MATCH(Q$21,Dates,0)),(MATCH($C$151,Learning!$E$4:$S$4,0)+MATCH($C$192,Learning!$E$5:$S$5,0)-1)))</f>
        <v>0.9264535942933313</v>
      </c>
      <c r="R199" s="533" cm="1">
        <f t="array" aca="1" ref="R199" ca="1">IF(R$21&lt;Standard_Year,'No STDs Case Rev &amp; Cost'!R199,
OFFSET(R199,-5,0)*
OFFSET(MSP!$F$1,
MATCH(OFFSET($C192,((MATCH($C192,EL_List,0)-1)*-10)-1,0),MSP!$C:$C,0)+MATCH($C192,EL_List,0)-1,0)
*INDEX(Learning!$E$6:$S$41,(MATCH(R$21,Dates,0)),(MATCH($C$151,Learning!$E$4:$S$4,0)+MATCH($C$192,Learning!$E$5:$S$5,0)-1)))</f>
        <v>0.96763472944326911</v>
      </c>
      <c r="S199" s="533" cm="1">
        <f t="array" aca="1" ref="S199" ca="1">IF(S$21&lt;Standard_Year,'No STDs Case Rev &amp; Cost'!S199,
OFFSET(S199,-5,0)*
OFFSET(MSP!$F$1,
MATCH(OFFSET($C192,((MATCH($C192,EL_List,0)-1)*-10)-1,0),MSP!$C:$C,0)+MATCH($C192,EL_List,0)-1,0)
*INDEX(Learning!$E$6:$S$41,(MATCH(S$21,Dates,0)),(MATCH($C$151,Learning!$E$4:$S$4,0)+MATCH($C$192,Learning!$E$5:$S$5,0)-1)))</f>
        <v>1.011752977990739</v>
      </c>
      <c r="T199" s="533" cm="1">
        <f t="array" aca="1" ref="T199" ca="1">IF(T$21&lt;Standard_Year,'No STDs Case Rev &amp; Cost'!T199,
OFFSET(T199,-5,0)*
OFFSET(MSP!$F$1,
MATCH(OFFSET($C192,((MATCH($C192,EL_List,0)-1)*-10)-1,0),MSP!$C:$C,0)+MATCH($C192,EL_List,0)-1,0)
*INDEX(Learning!$E$6:$S$41,(MATCH(T$21,Dates,0)),(MATCH($C$151,Learning!$E$4:$S$4,0)+MATCH($C$192,Learning!$E$5:$S$5,0)-1)))</f>
        <v>1.0568770620173158</v>
      </c>
      <c r="U199" s="533" cm="1">
        <f t="array" aca="1" ref="U199" ca="1">IF(U$21&lt;Standard_Year,'No STDs Case Rev &amp; Cost'!U199,
OFFSET(U199,-5,0)*
OFFSET(MSP!$F$1,
MATCH(OFFSET($C192,((MATCH($C192,EL_List,0)-1)*-10)-1,0),MSP!$C:$C,0)+MATCH($C192,EL_List,0)-1,0)
*INDEX(Learning!$E$6:$S$41,(MATCH(U$21,Dates,0)),(MATCH($C$151,Learning!$E$4:$S$4,0)+MATCH($C$192,Learning!$E$5:$S$5,0)-1)))</f>
        <v>1.1053160143969634</v>
      </c>
      <c r="V199" s="533" cm="1">
        <f t="array" aca="1" ref="V199" ca="1">IF(V$21&lt;Standard_Year,'No STDs Case Rev &amp; Cost'!V199,
OFFSET(V199,-5,0)*
OFFSET(MSP!$F$1,
MATCH(OFFSET($C192,((MATCH($C192,EL_List,0)-1)*-10)-1,0),MSP!$C:$C,0)+MATCH($C192,EL_List,0)-1,0)
*INDEX(Learning!$E$6:$S$41,(MATCH(V$21,Dates,0)),(MATCH($C$151,Learning!$E$4:$S$4,0)+MATCH($C$192,Learning!$E$5:$S$5,0)-1)))</f>
        <v>1.1546535828095146</v>
      </c>
      <c r="W199" s="533" cm="1">
        <f t="array" aca="1" ref="W199" ca="1">IF(W$21&lt;Standard_Year,'No STDs Case Rev &amp; Cost'!W199,
OFFSET(W199,-5,0)*
OFFSET(MSP!$F$1,
MATCH(OFFSET($C192,((MATCH($C192,EL_List,0)-1)*-10)-1,0),MSP!$C:$C,0)+MATCH($C192,EL_List,0)-1,0)
*INDEX(Learning!$E$6:$S$41,(MATCH(W$21,Dates,0)),(MATCH($C$151,Learning!$E$4:$S$4,0)+MATCH($C$192,Learning!$E$5:$S$5,0)-1)))</f>
        <v>1.2074067541814131</v>
      </c>
      <c r="X199" s="533" cm="1">
        <f t="array" aca="1" ref="X199" ca="1">IF(X$21&lt;Standard_Year,'No STDs Case Rev &amp; Cost'!X199,
OFFSET(X199,-5,0)*
OFFSET(MSP!$F$1,
MATCH(OFFSET($C192,((MATCH($C192,EL_List,0)-1)*-10)-1,0),MSP!$C:$C,0)+MATCH($C192,EL_List,0)-1,0)
*INDEX(Learning!$E$6:$S$41,(MATCH(X$21,Dates,0)),(MATCH($C$151,Learning!$E$4:$S$4,0)+MATCH($C$192,Learning!$E$5:$S$5,0)-1)))</f>
        <v>1.2624466611960192</v>
      </c>
      <c r="Y199" s="533" cm="1">
        <f t="array" aca="1" ref="Y199" ca="1">IF(Y$21&lt;Standard_Year,'No STDs Case Rev &amp; Cost'!Y199,
OFFSET(Y199,-5,0)*
OFFSET(MSP!$F$1,
MATCH(OFFSET($C192,((MATCH($C192,EL_List,0)-1)*-10)-1,0),MSP!$C:$C,0)+MATCH($C192,EL_List,0)-1,0)
*INDEX(Learning!$E$6:$S$41,(MATCH(Y$21,Dates,0)),(MATCH($C$151,Learning!$E$4:$S$4,0)+MATCH($C$192,Learning!$E$5:$S$5,0)-1)))</f>
        <v>1.3184251793903834</v>
      </c>
      <c r="Z199" s="533" cm="1">
        <f t="array" aca="1" ref="Z199" ca="1">IF(Z$21&lt;Standard_Year,'No STDs Case Rev &amp; Cost'!Z199,
OFFSET(Z199,-5,0)*
OFFSET(MSP!$F$1,
MATCH(OFFSET($C192,((MATCH($C192,EL_List,0)-1)*-10)-1,0),MSP!$C:$C,0)+MATCH($C192,EL_List,0)-1,0)
*INDEX(Learning!$E$6:$S$41,(MATCH(Z$21,Dates,0)),(MATCH($C$151,Learning!$E$4:$S$4,0)+MATCH($C$192,Learning!$E$5:$S$5,0)-1)))</f>
        <v>1.378200404213606</v>
      </c>
      <c r="AA199" s="533" cm="1">
        <f t="array" aca="1" ref="AA199" ca="1">IF(AA$21&lt;Standard_Year,'No STDs Case Rev &amp; Cost'!AA199,
OFFSET(AA199,-5,0)*
OFFSET(MSP!$F$1,
MATCH(OFFSET($C192,((MATCH($C192,EL_List,0)-1)*-10)-1,0),MSP!$C:$C,0)+MATCH($C192,EL_List,0)-1,0)
*INDEX(Learning!$E$6:$S$41,(MATCH(AA$21,Dates,0)),(MATCH($C$151,Learning!$E$4:$S$4,0)+MATCH($C$192,Learning!$E$5:$S$5,0)-1)))</f>
        <v>1.440542683483879</v>
      </c>
      <c r="AB199" s="533" cm="1">
        <f t="array" aca="1" ref="AB199" ca="1">IF(AB$21&lt;Standard_Year,'No STDs Case Rev &amp; Cost'!AB199,
OFFSET(AB199,-5,0)*
OFFSET(MSP!$F$1,
MATCH(OFFSET($C192,((MATCH($C192,EL_List,0)-1)*-10)-1,0),MSP!$C:$C,0)+MATCH($C192,EL_List,0)-1,0)
*INDEX(Learning!$E$6:$S$41,(MATCH(AB$21,Dates,0)),(MATCH($C$151,Learning!$E$4:$S$4,0)+MATCH($C$192,Learning!$E$5:$S$5,0)-1)))</f>
        <v>1.5055897619585394</v>
      </c>
      <c r="AC199" s="533" cm="1">
        <f t="array" aca="1" ref="AC199" ca="1">IF(AC$21&lt;Standard_Year,'No STDs Case Rev &amp; Cost'!AC199,
OFFSET(AC199,-5,0)*
OFFSET(MSP!$F$1,
MATCH(OFFSET($C192,((MATCH($C192,EL_List,0)-1)*-10)-1,0),MSP!$C:$C,0)+MATCH($C192,EL_List,0)-1,0)
*INDEX(Learning!$E$6:$S$41,(MATCH(AC$21,Dates,0)),(MATCH($C$151,Learning!$E$4:$S$4,0)+MATCH($C$192,Learning!$E$5:$S$5,0)-1)))</f>
        <v>1.5734780786290425</v>
      </c>
      <c r="AD199" s="533" cm="1">
        <f t="array" aca="1" ref="AD199" ca="1">IF(AD$21&lt;Standard_Year,'No STDs Case Rev &amp; Cost'!AD199,
OFFSET(AD199,-5,0)*
OFFSET(MSP!$F$1,
MATCH(OFFSET($C192,((MATCH($C192,EL_List,0)-1)*-10)-1,0),MSP!$C:$C,0)+MATCH($C192,EL_List,0)-1,0)
*INDEX(Learning!$E$6:$S$41,(MATCH(AD$21,Dates,0)),(MATCH($C$151,Learning!$E$4:$S$4,0)+MATCH($C$192,Learning!$E$5:$S$5,0)-1)))</f>
        <v>1.6461449430608881</v>
      </c>
      <c r="AE199" s="533" cm="1">
        <f t="array" aca="1" ref="AE199" ca="1">IF(AE$21&lt;Standard_Year,'No STDs Case Rev &amp; Cost'!AE199,
OFFSET(AE199,-5,0)*
OFFSET(MSP!$F$1,
MATCH(OFFSET($C192,((MATCH($C192,EL_List,0)-1)*-10)-1,0),MSP!$C:$C,0)+MATCH($C192,EL_List,0)-1,0)
*INDEX(Learning!$E$6:$S$41,(MATCH(AE$21,Dates,0)),(MATCH($C$151,Learning!$E$4:$S$4,0)+MATCH($C$192,Learning!$E$5:$S$5,0)-1)))</f>
        <v>1.7202049406599789</v>
      </c>
      <c r="AF199" s="533" cm="1">
        <f t="array" aca="1" ref="AF199" ca="1">IF(AF$21&lt;Standard_Year,'No STDs Case Rev &amp; Cost'!AF199,
OFFSET(AF199,-5,0)*
OFFSET(MSP!$F$1,
MATCH(OFFSET($C192,((MATCH($C192,EL_List,0)-1)*-10)-1,0),MSP!$C:$C,0)+MATCH($C192,EL_List,0)-1,0)
*INDEX(Learning!$E$6:$S$41,(MATCH(AF$21,Dates,0)),(MATCH($C$151,Learning!$E$4:$S$4,0)+MATCH($C$192,Learning!$E$5:$S$5,0)-1)))</f>
        <v>1.797505841395252</v>
      </c>
      <c r="AG199" s="533" cm="1">
        <f t="array" aca="1" ref="AG199" ca="1">IF(AG$21&lt;Standard_Year,'No STDs Case Rev &amp; Cost'!AG199,
OFFSET(AG199,-5,0)*
OFFSET(MSP!$F$1,
MATCH(OFFSET($C192,((MATCH($C192,EL_List,0)-1)*-10)-1,0),MSP!$C:$C,0)+MATCH($C192,EL_List,0)-1,0)
*INDEX(Learning!$E$6:$S$41,(MATCH(AG$21,Dates,0)),(MATCH($C$151,Learning!$E$4:$S$4,0)+MATCH($C$192,Learning!$E$5:$S$5,0)-1)))</f>
        <v>1.8781800241926374</v>
      </c>
      <c r="AH199" s="533" cm="1">
        <f t="array" aca="1" ref="AH199" ca="1">IF(AH$21&lt;Standard_Year,'No STDs Case Rev &amp; Cost'!AH199,
OFFSET(AH199,-5,0)*
OFFSET(MSP!$F$1,
MATCH(OFFSET($C192,((MATCH($C192,EL_List,0)-1)*-10)-1,0),MSP!$C:$C,0)+MATCH($C192,EL_List,0)-1,0)
*INDEX(Learning!$E$6:$S$41,(MATCH(AH$21,Dates,0)),(MATCH($C$151,Learning!$E$4:$S$4,0)+MATCH($C$192,Learning!$E$5:$S$5,0)-1)))</f>
        <v>1.9645532413124001</v>
      </c>
      <c r="AI199" s="533" cm="1">
        <f t="array" aca="1" ref="AI199" ca="1">IF(AI$21&lt;Standard_Year,'No STDs Case Rev &amp; Cost'!AI199,
OFFSET(AI199,-5,0)*
OFFSET(MSP!$F$1,
MATCH(OFFSET($C192,((MATCH($C192,EL_List,0)-1)*-10)-1,0),MSP!$C:$C,0)+MATCH($C192,EL_List,0)-1,0)
*INDEX(Learning!$E$6:$S$41,(MATCH(AI$21,Dates,0)),(MATCH($C$151,Learning!$E$4:$S$4,0)+MATCH($C$192,Learning!$E$5:$S$5,0)-1)))</f>
        <v>2.0525043626832487</v>
      </c>
      <c r="AJ199" s="533" cm="1">
        <f t="array" aca="1" ref="AJ199" ca="1">IF(AJ$21&lt;Standard_Year,'No STDs Case Rev &amp; Cost'!AJ199,
OFFSET(AJ199,-5,0)*
OFFSET(MSP!$F$1,
MATCH(OFFSET($C192,((MATCH($C192,EL_List,0)-1)*-10)-1,0),MSP!$C:$C,0)+MATCH($C192,EL_List,0)-1,0)
*INDEX(Learning!$E$6:$S$41,(MATCH(AJ$21,Dates,0)),(MATCH($C$151,Learning!$E$4:$S$4,0)+MATCH($C$192,Learning!$E$5:$S$5,0)-1)))</f>
        <v>2.1442734660788427</v>
      </c>
      <c r="AK199" s="533" cm="1">
        <f t="array" aca="1" ref="AK199" ca="1">IF(AK$21&lt;Standard_Year,'No STDs Case Rev &amp; Cost'!AK199,
OFFSET(AK199,-5,0)*
OFFSET(MSP!$F$1,
MATCH(OFFSET($C192,((MATCH($C192,EL_List,0)-1)*-10)-1,0),MSP!$C:$C,0)+MATCH($C192,EL_List,0)-1,0)
*INDEX(Learning!$E$6:$S$41,(MATCH(AK$21,Dates,0)),(MATCH($C$151,Learning!$E$4:$S$4,0)+MATCH($C$192,Learning!$E$5:$S$5,0)-1)))</f>
        <v>2.2425533582100243</v>
      </c>
      <c r="AL199" s="533" cm="1">
        <f t="array" aca="1" ref="AL199" ca="1">IF(AL$21&lt;Standard_Year,'No STDs Case Rev &amp; Cost'!AL199,
OFFSET(AL199,-5,0)*
OFFSET(MSP!$F$1,
MATCH(OFFSET($C192,((MATCH($C192,EL_List,0)-1)*-10)-1,0),MSP!$C:$C,0)+MATCH($C192,EL_List,0)-1,0)
*INDEX(Learning!$E$6:$S$41,(MATCH(AL$21,Dates,0)),(MATCH($C$151,Learning!$E$4:$S$4,0)+MATCH($C$192,Learning!$E$5:$S$5,0)-1)))</f>
        <v>2.3425851762029493</v>
      </c>
      <c r="AM199" s="533" cm="1">
        <f t="array" aca="1" ref="AM199" ca="1">IF(AM$21&lt;Standard_Year,'No STDs Case Rev &amp; Cost'!AM199,
OFFSET(AM199,-5,0)*
OFFSET(MSP!$F$1,
MATCH(OFFSET($C192,((MATCH($C192,EL_List,0)-1)*-10)-1,0),MSP!$C:$C,0)+MATCH($C192,EL_List,0)-1,0)
*INDEX(Learning!$E$6:$S$41,(MATCH(AM$21,Dates,0)),(MATCH($C$151,Learning!$E$4:$S$4,0)+MATCH($C$192,Learning!$E$5:$S$5,0)-1)))</f>
        <v>2.4497429561329609</v>
      </c>
      <c r="AN199" s="533" cm="1">
        <f t="array" aca="1" ref="AN199" ca="1">IF(AN$21&lt;Standard_Year,'No STDs Case Rev &amp; Cost'!AN199,
OFFSET(AN199,-5,0)*
OFFSET(MSP!$F$1,
MATCH(OFFSET($C192,((MATCH($C192,EL_List,0)-1)*-10)-1,0),MSP!$C:$C,0)+MATCH($C192,EL_List,0)-1,0)
*INDEX(Learning!$E$6:$S$41,(MATCH(AN$21,Dates,0)),(MATCH($C$151,Learning!$E$4:$S$4,0)+MATCH($C$192,Learning!$E$5:$S$5,0)-1)))</f>
        <v>2.5604490148935914</v>
      </c>
      <c r="AO199" s="436"/>
      <c r="AP199" s="21"/>
    </row>
    <row r="200" spans="2:42" ht="15" customHeight="1" collapsed="1" x14ac:dyDescent="0.35">
      <c r="B200" s="429"/>
      <c r="C200" s="780" t="s">
        <v>215</v>
      </c>
      <c r="D200" s="776"/>
      <c r="E200" s="531" cm="1">
        <f t="array" aca="1" ref="E200" ca="1">IF(E$21&lt;Standard_Year,'No STDs Case Rev &amp; Cost'!E200,
OFFSET(E200,-6,0)*
OFFSET(MSP!$G$1,
MATCH(OFFSET($C192,((MATCH($C192,EL_List,0)-1)*-10)-1,0),MSP!$C:$C,0)+MATCH($C192,EL_List,0)-1,0)
*INDEX(Learning!$E$6:$S$41,(MATCH(E$21,Dates,0)),(MATCH($C$151,Learning!$E$4:$S$4,0)+MATCH($C$192,Learning!$E$5:$S$5,0)-1)))</f>
        <v>0.33343317285635471</v>
      </c>
      <c r="F200" s="531" cm="1">
        <f t="array" aca="1" ref="F200" ca="1">IF(F$21&lt;Standard_Year,'No STDs Case Rev &amp; Cost'!F200,
OFFSET(F200,-6,0)*
OFFSET(MSP!$G$1,
MATCH(OFFSET($C192,((MATCH($C192,EL_List,0)-1)*-10)-1,0),MSP!$C:$C,0)+MATCH($C192,EL_List,0)-1,0)
*INDEX(Learning!$E$6:$S$41,(MATCH(F$21,Dates,0)),(MATCH($C$151,Learning!$E$4:$S$4,0)+MATCH($C$192,Learning!$E$5:$S$5,0)-1)))</f>
        <v>0.34566425466258155</v>
      </c>
      <c r="G200" s="531" cm="1">
        <f t="array" aca="1" ref="G200" ca="1">IF(G$21&lt;Standard_Year,'No STDs Case Rev &amp; Cost'!G200,
OFFSET(G200,-6,0)*
OFFSET(MSP!$G$1,
MATCH(OFFSET($C192,((MATCH($C192,EL_List,0)-1)*-10)-1,0),MSP!$C:$C,0)+MATCH($C192,EL_List,0)-1,0)
*INDEX(Learning!$E$6:$S$41,(MATCH(G$21,Dates,0)),(MATCH($C$151,Learning!$E$4:$S$4,0)+MATCH($C$192,Learning!$E$5:$S$5,0)-1)))</f>
        <v>0.3564884877935639</v>
      </c>
      <c r="H200" s="531" cm="1">
        <f t="array" aca="1" ref="H200" ca="1">IF(H$21&lt;Standard_Year,'No STDs Case Rev &amp; Cost'!H200,
OFFSET(H200,-6,0)*
OFFSET(MSP!$G$1,
MATCH(OFFSET($C192,((MATCH($C192,EL_List,0)-1)*-10)-1,0),MSP!$C:$C,0)+MATCH($C192,EL_List,0)-1,0)
*INDEX(Learning!$E$6:$S$41,(MATCH(H$21,Dates,0)),(MATCH($C$151,Learning!$E$4:$S$4,0)+MATCH($C$192,Learning!$E$5:$S$5,0)-1)))</f>
        <v>0.37068136649480726</v>
      </c>
      <c r="I200" s="531" cm="1">
        <f t="array" aca="1" ref="I200" ca="1">IF(I$21&lt;Standard_Year,'No STDs Case Rev &amp; Cost'!I200,
OFFSET(I200,-6,0)*
OFFSET(MSP!$G$1,
MATCH(OFFSET($C192,((MATCH($C192,EL_List,0)-1)*-10)-1,0),MSP!$C:$C,0)+MATCH($C192,EL_List,0)-1,0)
*INDEX(Learning!$E$6:$S$41,(MATCH(I$21,Dates,0)),(MATCH($C$151,Learning!$E$4:$S$4,0)+MATCH($C$192,Learning!$E$5:$S$5,0)-1)))</f>
        <v>0.38623317670934365</v>
      </c>
      <c r="J200" s="531" cm="1">
        <f t="array" aca="1" ref="J200" ca="1">IF(J$21&lt;Standard_Year,'No STDs Case Rev &amp; Cost'!J200,
OFFSET(J200,-6,0)*
OFFSET(MSP!$G$1,
MATCH(OFFSET($C192,((MATCH($C192,EL_List,0)-1)*-10)-1,0),MSP!$C:$C,0)+MATCH($C192,EL_List,0)-1,0)
*INDEX(Learning!$E$6:$S$41,(MATCH(J$21,Dates,0)),(MATCH($C$151,Learning!$E$4:$S$4,0)+MATCH($C$192,Learning!$E$5:$S$5,0)-1)))</f>
        <v>0.40345577450948872</v>
      </c>
      <c r="K200" s="531" cm="1">
        <f t="array" aca="1" ref="K200" ca="1">IF(K$21&lt;Standard_Year,'No STDs Case Rev &amp; Cost'!K200,
OFFSET(K200,-6,0)*
OFFSET(MSP!$G$1,
MATCH(OFFSET($C192,((MATCH($C192,EL_List,0)-1)*-10)-1,0),MSP!$C:$C,0)+MATCH($C192,EL_List,0)-1,0)
*INDEX(Learning!$E$6:$S$41,(MATCH(K$21,Dates,0)),(MATCH($C$151,Learning!$E$4:$S$4,0)+MATCH($C$192,Learning!$E$5:$S$5,0)-1)))</f>
        <v>0.42208735614730442</v>
      </c>
      <c r="L200" s="531" cm="1">
        <f t="array" aca="1" ref="L200" ca="1">IF(L$21&lt;Standard_Year,'No STDs Case Rev &amp; Cost'!L200,
OFFSET(L200,-6,0)*
OFFSET(MSP!$G$1,
MATCH(OFFSET($C192,((MATCH($C192,EL_List,0)-1)*-10)-1,0),MSP!$C:$C,0)+MATCH($C192,EL_List,0)-1,0)
*INDEX(Learning!$E$6:$S$41,(MATCH(L$21,Dates,0)),(MATCH($C$151,Learning!$E$4:$S$4,0)+MATCH($C$192,Learning!$E$5:$S$5,0)-1)))</f>
        <v>0.44175800802325843</v>
      </c>
      <c r="M200" s="531" cm="1">
        <f t="array" aca="1" ref="M200" ca="1">IF(M$21&lt;Standard_Year,'No STDs Case Rev &amp; Cost'!M200,
OFFSET(M200,-6,0)*
OFFSET(MSP!$G$1,
MATCH(OFFSET($C192,((MATCH($C192,EL_List,0)-1)*-10)-1,0),MSP!$C:$C,0)+MATCH($C192,EL_List,0)-1,0)
*INDEX(Learning!$E$6:$S$41,(MATCH(M$21,Dates,0)),(MATCH($C$151,Learning!$E$4:$S$4,0)+MATCH($C$192,Learning!$E$5:$S$5,0)-1)))</f>
        <v>0.46264812943701156</v>
      </c>
      <c r="N200" s="531" cm="1">
        <f t="array" aca="1" ref="N200" ca="1">IF(N$21&lt;Standard_Year,'No STDs Case Rev &amp; Cost'!N200,
OFFSET(N200,-6,0)*
OFFSET(MSP!$G$1,
MATCH(OFFSET($C192,((MATCH($C192,EL_List,0)-1)*-10)-1,0),MSP!$C:$C,0)+MATCH($C192,EL_List,0)-1,0)
*INDEX(Learning!$E$6:$S$41,(MATCH(N$21,Dates,0)),(MATCH($C$151,Learning!$E$4:$S$4,0)+MATCH($C$192,Learning!$E$5:$S$5,0)-1)))</f>
        <v>0.48365294975165662</v>
      </c>
      <c r="O200" s="531" cm="1">
        <f t="array" aca="1" ref="O200" ca="1">IF(O$21&lt;Standard_Year,'No STDs Case Rev &amp; Cost'!O200,
OFFSET(O200,-6,0)*
OFFSET(MSP!$G$1,
MATCH(OFFSET($C192,((MATCH($C192,EL_List,0)-1)*-10)-1,0),MSP!$C:$C,0)+MATCH($C192,EL_List,0)-1,0)
*INDEX(Learning!$E$6:$S$41,(MATCH(O$21,Dates,0)),(MATCH($C$151,Learning!$E$4:$S$4,0)+MATCH($C$192,Learning!$E$5:$S$5,0)-1)))</f>
        <v>0.50570838420091557</v>
      </c>
      <c r="P200" s="531" cm="1">
        <f t="array" aca="1" ref="P200" ca="1">IF(P$21&lt;Standard_Year,'No STDs Case Rev &amp; Cost'!P200,
OFFSET(P200,-6,0)*
OFFSET(MSP!$G$1,
MATCH(OFFSET($C192,((MATCH($C192,EL_List,0)-1)*-10)-1,0),MSP!$C:$C,0)+MATCH($C192,EL_List,0)-1,0)
*INDEX(Learning!$E$6:$S$41,(MATCH(P$21,Dates,0)),(MATCH($C$151,Learning!$E$4:$S$4,0)+MATCH($C$192,Learning!$E$5:$S$5,0)-1)))</f>
        <v>0.52843844478581936</v>
      </c>
      <c r="Q200" s="531" cm="1">
        <f t="array" aca="1" ref="Q200" ca="1">IF(Q$21&lt;Standard_Year,'No STDs Case Rev &amp; Cost'!Q200,
OFFSET(Q200,-6,0)*
OFFSET(MSP!$G$1,
MATCH(OFFSET($C192,((MATCH($C192,EL_List,0)-1)*-10)-1,0),MSP!$C:$C,0)+MATCH($C192,EL_List,0)-1,0)
*INDEX(Learning!$E$6:$S$41,(MATCH(Q$21,Dates,0)),(MATCH($C$151,Learning!$E$4:$S$4,0)+MATCH($C$192,Learning!$E$5:$S$5,0)-1)))</f>
        <v>0.55198764961639657</v>
      </c>
      <c r="R200" s="531" cm="1">
        <f t="array" aca="1" ref="R200" ca="1">IF(R$21&lt;Standard_Year,'No STDs Case Rev &amp; Cost'!R200,
OFFSET(R200,-6,0)*
OFFSET(MSP!$G$1,
MATCH(OFFSET($C192,((MATCH($C192,EL_List,0)-1)*-10)-1,0),MSP!$C:$C,0)+MATCH($C192,EL_List,0)-1,0)
*INDEX(Learning!$E$6:$S$41,(MATCH(R$21,Dates,0)),(MATCH($C$151,Learning!$E$4:$S$4,0)+MATCH($C$192,Learning!$E$5:$S$5,0)-1)))</f>
        <v>0.57652366322783721</v>
      </c>
      <c r="S200" s="531" cm="1">
        <f t="array" aca="1" ref="S200" ca="1">IF(S$21&lt;Standard_Year,'No STDs Case Rev &amp; Cost'!S200,
OFFSET(S200,-6,0)*
OFFSET(MSP!$G$1,
MATCH(OFFSET($C192,((MATCH($C192,EL_List,0)-1)*-10)-1,0),MSP!$C:$C,0)+MATCH($C192,EL_List,0)-1,0)
*INDEX(Learning!$E$6:$S$41,(MATCH(S$21,Dates,0)),(MATCH($C$151,Learning!$E$4:$S$4,0)+MATCH($C$192,Learning!$E$5:$S$5,0)-1)))</f>
        <v>0.60280962991943976</v>
      </c>
      <c r="T200" s="531" cm="1">
        <f t="array" aca="1" ref="T200" ca="1">IF(T$21&lt;Standard_Year,'No STDs Case Rev &amp; Cost'!T200,
OFFSET(T200,-6,0)*
OFFSET(MSP!$G$1,
MATCH(OFFSET($C192,((MATCH($C192,EL_List,0)-1)*-10)-1,0),MSP!$C:$C,0)+MATCH($C192,EL_List,0)-1,0)
*INDEX(Learning!$E$6:$S$41,(MATCH(T$21,Dates,0)),(MATCH($C$151,Learning!$E$4:$S$4,0)+MATCH($C$192,Learning!$E$5:$S$5,0)-1)))</f>
        <v>0.62969488055298262</v>
      </c>
      <c r="U200" s="531" cm="1">
        <f t="array" aca="1" ref="U200" ca="1">IF(U$21&lt;Standard_Year,'No STDs Case Rev &amp; Cost'!U200,
OFFSET(U200,-6,0)*
OFFSET(MSP!$G$1,
MATCH(OFFSET($C192,((MATCH($C192,EL_List,0)-1)*-10)-1,0),MSP!$C:$C,0)+MATCH($C192,EL_List,0)-1,0)
*INDEX(Learning!$E$6:$S$41,(MATCH(U$21,Dates,0)),(MATCH($C$151,Learning!$E$4:$S$4,0)+MATCH($C$192,Learning!$E$5:$S$5,0)-1)))</f>
        <v>0.65855515335954118</v>
      </c>
      <c r="V200" s="531" cm="1">
        <f t="array" aca="1" ref="V200" ca="1">IF(V$21&lt;Standard_Year,'No STDs Case Rev &amp; Cost'!V200,
OFFSET(V200,-6,0)*
OFFSET(MSP!$G$1,
MATCH(OFFSET($C192,((MATCH($C192,EL_List,0)-1)*-10)-1,0),MSP!$C:$C,0)+MATCH($C192,EL_List,0)-1,0)
*INDEX(Learning!$E$6:$S$41,(MATCH(V$21,Dates,0)),(MATCH($C$151,Learning!$E$4:$S$4,0)+MATCH($C$192,Learning!$E$5:$S$5,0)-1)))</f>
        <v>0.68795082799838292</v>
      </c>
      <c r="W200" s="531" cm="1">
        <f t="array" aca="1" ref="W200" ca="1">IF(W$21&lt;Standard_Year,'No STDs Case Rev &amp; Cost'!W200,
OFFSET(W200,-6,0)*
OFFSET(MSP!$G$1,
MATCH(OFFSET($C192,((MATCH($C192,EL_List,0)-1)*-10)-1,0),MSP!$C:$C,0)+MATCH($C192,EL_List,0)-1,0)
*INDEX(Learning!$E$6:$S$41,(MATCH(W$21,Dates,0)),(MATCH($C$151,Learning!$E$4:$S$4,0)+MATCH($C$192,Learning!$E$5:$S$5,0)-1)))</f>
        <v>0.71938154320608461</v>
      </c>
      <c r="X200" s="531" cm="1">
        <f t="array" aca="1" ref="X200" ca="1">IF(X$21&lt;Standard_Year,'No STDs Case Rev &amp; Cost'!X200,
OFFSET(X200,-6,0)*
OFFSET(MSP!$G$1,
MATCH(OFFSET($C192,((MATCH($C192,EL_List,0)-1)*-10)-1,0),MSP!$C:$C,0)+MATCH($C192,EL_List,0)-1,0)
*INDEX(Learning!$E$6:$S$41,(MATCH(X$21,Dates,0)),(MATCH($C$151,Learning!$E$4:$S$4,0)+MATCH($C$192,Learning!$E$5:$S$5,0)-1)))</f>
        <v>0.75217471179567952</v>
      </c>
      <c r="Y200" s="531" cm="1">
        <f t="array" aca="1" ref="Y200" ca="1">IF(Y$21&lt;Standard_Year,'No STDs Case Rev &amp; Cost'!Y200,
OFFSET(Y200,-6,0)*
OFFSET(MSP!$G$1,
MATCH(OFFSET($C192,((MATCH($C192,EL_List,0)-1)*-10)-1,0),MSP!$C:$C,0)+MATCH($C192,EL_List,0)-1,0)
*INDEX(Learning!$E$6:$S$41,(MATCH(Y$21,Dates,0)),(MATCH($C$151,Learning!$E$4:$S$4,0)+MATCH($C$192,Learning!$E$5:$S$5,0)-1)))</f>
        <v>0.78552711161089628</v>
      </c>
      <c r="Z200" s="531" cm="1">
        <f t="array" aca="1" ref="Z200" ca="1">IF(Z$21&lt;Standard_Year,'No STDs Case Rev &amp; Cost'!Z200,
OFFSET(Z200,-6,0)*
OFFSET(MSP!$G$1,
MATCH(OFFSET($C192,((MATCH($C192,EL_List,0)-1)*-10)-1,0),MSP!$C:$C,0)+MATCH($C192,EL_List,0)-1,0)
*INDEX(Learning!$E$6:$S$41,(MATCH(Z$21,Dates,0)),(MATCH($C$151,Learning!$E$4:$S$4,0)+MATCH($C$192,Learning!$E$5:$S$5,0)-1)))</f>
        <v>0.82114161627546078</v>
      </c>
      <c r="AA200" s="531" cm="1">
        <f t="array" aca="1" ref="AA200" ca="1">IF(AA$21&lt;Standard_Year,'No STDs Case Rev &amp; Cost'!AA200,
OFFSET(AA200,-6,0)*
OFFSET(MSP!$G$1,
MATCH(OFFSET($C192,((MATCH($C192,EL_List,0)-1)*-10)-1,0),MSP!$C:$C,0)+MATCH($C192,EL_List,0)-1,0)
*INDEX(Learning!$E$6:$S$41,(MATCH(AA$21,Dates,0)),(MATCH($C$151,Learning!$E$4:$S$4,0)+MATCH($C$192,Learning!$E$5:$S$5,0)-1)))</f>
        <v>0.8582855902619565</v>
      </c>
      <c r="AB200" s="531" cm="1">
        <f t="array" aca="1" ref="AB200" ca="1">IF(AB$21&lt;Standard_Year,'No STDs Case Rev &amp; Cost'!AB200,
OFFSET(AB200,-6,0)*
OFFSET(MSP!$G$1,
MATCH(OFFSET($C192,((MATCH($C192,EL_List,0)-1)*-10)-1,0),MSP!$C:$C,0)+MATCH($C192,EL_List,0)-1,0)
*INDEX(Learning!$E$6:$S$41,(MATCH(AB$21,Dates,0)),(MATCH($C$151,Learning!$E$4:$S$4,0)+MATCH($C$192,Learning!$E$5:$S$5,0)-1)))</f>
        <v>0.89704110287781336</v>
      </c>
      <c r="AC200" s="531" cm="1">
        <f t="array" aca="1" ref="AC200" ca="1">IF(AC$21&lt;Standard_Year,'No STDs Case Rev &amp; Cost'!AC200,
OFFSET(AC200,-6,0)*
OFFSET(MSP!$G$1,
MATCH(OFFSET($C192,((MATCH($C192,EL_List,0)-1)*-10)-1,0),MSP!$C:$C,0)+MATCH($C192,EL_List,0)-1,0)
*INDEX(Learning!$E$6:$S$41,(MATCH(AC$21,Dates,0)),(MATCH($C$151,Learning!$E$4:$S$4,0)+MATCH($C$192,Learning!$E$5:$S$5,0)-1)))</f>
        <v>0.93748944544584911</v>
      </c>
      <c r="AD200" s="531" cm="1">
        <f t="array" aca="1" ref="AD200" ca="1">IF(AD$21&lt;Standard_Year,'No STDs Case Rev &amp; Cost'!AD200,
OFFSET(AD200,-6,0)*
OFFSET(MSP!$G$1,
MATCH(OFFSET($C192,((MATCH($C192,EL_List,0)-1)*-10)-1,0),MSP!$C:$C,0)+MATCH($C192,EL_List,0)-1,0)
*INDEX(Learning!$E$6:$S$41,(MATCH(AD$21,Dates,0)),(MATCH($C$151,Learning!$E$4:$S$4,0)+MATCH($C$192,Learning!$E$5:$S$5,0)-1)))</f>
        <v>0.98078488080256887</v>
      </c>
      <c r="AE200" s="531" cm="1">
        <f t="array" aca="1" ref="AE200" ca="1">IF(AE$21&lt;Standard_Year,'No STDs Case Rev &amp; Cost'!AE200,
OFFSET(AE200,-6,0)*
OFFSET(MSP!$G$1,
MATCH(OFFSET($C192,((MATCH($C192,EL_List,0)-1)*-10)-1,0),MSP!$C:$C,0)+MATCH($C192,EL_List,0)-1,0)
*INDEX(Learning!$E$6:$S$41,(MATCH(AE$21,Dates,0)),(MATCH($C$151,Learning!$E$4:$S$4,0)+MATCH($C$192,Learning!$E$5:$S$5,0)-1)))</f>
        <v>1.0249103548221286</v>
      </c>
      <c r="AF200" s="531" cm="1">
        <f t="array" aca="1" ref="AF200" ca="1">IF(AF$21&lt;Standard_Year,'No STDs Case Rev &amp; Cost'!AF200,
OFFSET(AF200,-6,0)*
OFFSET(MSP!$G$1,
MATCH(OFFSET($C192,((MATCH($C192,EL_List,0)-1)*-10)-1,0),MSP!$C:$C,0)+MATCH($C192,EL_List,0)-1,0)
*INDEX(Learning!$E$6:$S$41,(MATCH(AF$21,Dates,0)),(MATCH($C$151,Learning!$E$4:$S$4,0)+MATCH($C$192,Learning!$E$5:$S$5,0)-1)))</f>
        <v>1.0709667820117068</v>
      </c>
      <c r="AG200" s="531" cm="1">
        <f t="array" aca="1" ref="AG200" ca="1">IF(AG$21&lt;Standard_Year,'No STDs Case Rev &amp; Cost'!AG200,
OFFSET(AG200,-6,0)*
OFFSET(MSP!$G$1,
MATCH(OFFSET($C192,((MATCH($C192,EL_List,0)-1)*-10)-1,0),MSP!$C:$C,0)+MATCH($C192,EL_List,0)-1,0)
*INDEX(Learning!$E$6:$S$41,(MATCH(AG$21,Dates,0)),(MATCH($C$151,Learning!$E$4:$S$4,0)+MATCH($C$192,Learning!$E$5:$S$5,0)-1)))</f>
        <v>1.1190330346781656</v>
      </c>
      <c r="AH200" s="531" cm="1">
        <f t="array" aca="1" ref="AH200" ca="1">IF(AH$21&lt;Standard_Year,'No STDs Case Rev &amp; Cost'!AH200,
OFFSET(AH200,-6,0)*
OFFSET(MSP!$G$1,
MATCH(OFFSET($C192,((MATCH($C192,EL_List,0)-1)*-10)-1,0),MSP!$C:$C,0)+MATCH($C192,EL_List,0)-1,0)
*INDEX(Learning!$E$6:$S$41,(MATCH(AH$21,Dates,0)),(MATCH($C$151,Learning!$E$4:$S$4,0)+MATCH($C$192,Learning!$E$5:$S$5,0)-1)))</f>
        <v>1.1704948125820129</v>
      </c>
      <c r="AI200" s="531" cm="1">
        <f t="array" aca="1" ref="AI200" ca="1">IF(AI$21&lt;Standard_Year,'No STDs Case Rev &amp; Cost'!AI200,
OFFSET(AI200,-6,0)*
OFFSET(MSP!$G$1,
MATCH(OFFSET($C192,((MATCH($C192,EL_List,0)-1)*-10)-1,0),MSP!$C:$C,0)+MATCH($C192,EL_List,0)-1,0)
*INDEX(Learning!$E$6:$S$41,(MATCH(AI$21,Dates,0)),(MATCH($C$151,Learning!$E$4:$S$4,0)+MATCH($C$192,Learning!$E$5:$S$5,0)-1)))</f>
        <v>1.2228967170763789</v>
      </c>
      <c r="AJ200" s="531" cm="1">
        <f t="array" aca="1" ref="AJ200" ca="1">IF(AJ$21&lt;Standard_Year,'No STDs Case Rev &amp; Cost'!AJ200,
OFFSET(AJ200,-6,0)*
OFFSET(MSP!$G$1,
MATCH(OFFSET($C192,((MATCH($C192,EL_List,0)-1)*-10)-1,0),MSP!$C:$C,0)+MATCH($C192,EL_List,0)-1,0)
*INDEX(Learning!$E$6:$S$41,(MATCH(AJ$21,Dates,0)),(MATCH($C$151,Learning!$E$4:$S$4,0)+MATCH($C$192,Learning!$E$5:$S$5,0)-1)))</f>
        <v>1.2775734024524839</v>
      </c>
      <c r="AK200" s="531" cm="1">
        <f t="array" aca="1" ref="AK200" ca="1">IF(AK$21&lt;Standard_Year,'No STDs Case Rev &amp; Cost'!AK200,
OFFSET(AK200,-6,0)*
OFFSET(MSP!$G$1,
MATCH(OFFSET($C192,((MATCH($C192,EL_List,0)-1)*-10)-1,0),MSP!$C:$C,0)+MATCH($C192,EL_List,0)-1,0)
*INDEX(Learning!$E$6:$S$41,(MATCH(AK$21,Dates,0)),(MATCH($C$151,Learning!$E$4:$S$4,0)+MATCH($C$192,Learning!$E$5:$S$5,0)-1)))</f>
        <v>1.336129262126625</v>
      </c>
      <c r="AL200" s="531" cm="1">
        <f t="array" aca="1" ref="AL200" ca="1">IF(AL$21&lt;Standard_Year,'No STDs Case Rev &amp; Cost'!AL200,
OFFSET(AL200,-6,0)*
OFFSET(MSP!$G$1,
MATCH(OFFSET($C192,((MATCH($C192,EL_List,0)-1)*-10)-1,0),MSP!$C:$C,0)+MATCH($C192,EL_List,0)-1,0)
*INDEX(Learning!$E$6:$S$41,(MATCH(AL$21,Dates,0)),(MATCH($C$151,Learning!$E$4:$S$4,0)+MATCH($C$192,Learning!$E$5:$S$5,0)-1)))</f>
        <v>1.3957289317062835</v>
      </c>
      <c r="AM200" s="531" cm="1">
        <f t="array" aca="1" ref="AM200" ca="1">IF(AM$21&lt;Standard_Year,'No STDs Case Rev &amp; Cost'!AM200,
OFFSET(AM200,-6,0)*
OFFSET(MSP!$G$1,
MATCH(OFFSET($C192,((MATCH($C192,EL_List,0)-1)*-10)-1,0),MSP!$C:$C,0)+MATCH($C192,EL_List,0)-1,0)
*INDEX(Learning!$E$6:$S$41,(MATCH(AM$21,Dates,0)),(MATCH($C$151,Learning!$E$4:$S$4,0)+MATCH($C$192,Learning!$E$5:$S$5,0)-1)))</f>
        <v>1.4595743001586514</v>
      </c>
      <c r="AN200" s="531" cm="1">
        <f t="array" aca="1" ref="AN200" ca="1">IF(AN$21&lt;Standard_Year,'No STDs Case Rev &amp; Cost'!AN200,
OFFSET(AN200,-6,0)*
OFFSET(MSP!$G$1,
MATCH(OFFSET($C192,((MATCH($C192,EL_List,0)-1)*-10)-1,0),MSP!$C:$C,0)+MATCH($C192,EL_List,0)-1,0)
*INDEX(Learning!$E$6:$S$41,(MATCH(AN$21,Dates,0)),(MATCH($C$151,Learning!$E$4:$S$4,0)+MATCH($C$192,Learning!$E$5:$S$5,0)-1)))</f>
        <v>1.5255337584088906</v>
      </c>
      <c r="AO200" s="436"/>
      <c r="AP200" s="21"/>
    </row>
    <row r="201" spans="2:42" ht="15" customHeight="1" x14ac:dyDescent="0.35">
      <c r="B201" s="429"/>
      <c r="C201" s="776"/>
      <c r="D201" s="776"/>
      <c r="E201" s="776"/>
      <c r="F201" s="776"/>
      <c r="G201" s="776"/>
      <c r="H201" s="776"/>
      <c r="I201" s="776"/>
      <c r="J201" s="776"/>
      <c r="K201" s="776"/>
      <c r="L201" s="776"/>
      <c r="M201" s="776"/>
      <c r="N201" s="776"/>
      <c r="O201" s="776"/>
      <c r="P201" s="776"/>
      <c r="Q201" s="776"/>
      <c r="R201" s="776"/>
      <c r="S201" s="776"/>
      <c r="T201" s="776"/>
      <c r="U201" s="776"/>
      <c r="V201" s="776"/>
      <c r="W201" s="776"/>
      <c r="X201" s="776"/>
      <c r="Y201" s="776"/>
      <c r="Z201" s="776"/>
      <c r="AA201" s="776"/>
      <c r="AB201" s="776"/>
      <c r="AC201" s="776"/>
      <c r="AD201" s="776"/>
      <c r="AE201" s="776"/>
      <c r="AF201" s="776"/>
      <c r="AG201" s="776"/>
      <c r="AH201" s="776"/>
      <c r="AI201" s="776"/>
      <c r="AJ201" s="776"/>
      <c r="AK201" s="776"/>
      <c r="AL201" s="776"/>
      <c r="AM201" s="776"/>
      <c r="AN201" s="776"/>
      <c r="AO201" s="436"/>
      <c r="AP201" s="21"/>
    </row>
    <row r="202" spans="2:42" ht="15" customHeight="1" x14ac:dyDescent="0.35">
      <c r="B202" s="429"/>
      <c r="C202" s="776"/>
      <c r="D202" s="776"/>
      <c r="E202" s="776"/>
      <c r="F202" s="776"/>
      <c r="G202" s="776"/>
      <c r="H202" s="776"/>
      <c r="I202" s="776"/>
      <c r="J202" s="776"/>
      <c r="K202" s="776"/>
      <c r="L202" s="776"/>
      <c r="M202" s="776"/>
      <c r="N202" s="776"/>
      <c r="O202" s="776"/>
      <c r="P202" s="776"/>
      <c r="Q202" s="776"/>
      <c r="R202" s="776"/>
      <c r="S202" s="776"/>
      <c r="T202" s="776"/>
      <c r="U202" s="776"/>
      <c r="V202" s="776"/>
      <c r="W202" s="776"/>
      <c r="X202" s="776"/>
      <c r="Y202" s="776"/>
      <c r="Z202" s="776"/>
      <c r="AA202" s="776"/>
      <c r="AB202" s="776"/>
      <c r="AC202" s="776"/>
      <c r="AD202" s="776"/>
      <c r="AE202" s="776"/>
      <c r="AF202" s="776"/>
      <c r="AG202" s="776"/>
      <c r="AH202" s="776"/>
      <c r="AI202" s="776"/>
      <c r="AJ202" s="776"/>
      <c r="AK202" s="776"/>
      <c r="AL202" s="776"/>
      <c r="AM202" s="776"/>
      <c r="AN202" s="776"/>
      <c r="AO202" s="436"/>
      <c r="AP202" s="21"/>
    </row>
    <row r="203" spans="2:42" ht="15" customHeight="1" collapsed="1" x14ac:dyDescent="0.35">
      <c r="B203" s="429"/>
      <c r="C203" s="772" t="s">
        <v>57</v>
      </c>
      <c r="D203" s="779"/>
      <c r="E203" s="772">
        <f>Reference_Year - 1</f>
        <v>2022</v>
      </c>
      <c r="F203" s="772">
        <f ca="1">OFFSET(F203,0,-1)+1</f>
        <v>2023</v>
      </c>
      <c r="G203" s="772">
        <f t="shared" ref="G203:AN203" ca="1" si="45">OFFSET(G203,0,-1)+1</f>
        <v>2024</v>
      </c>
      <c r="H203" s="772">
        <f t="shared" ca="1" si="45"/>
        <v>2025</v>
      </c>
      <c r="I203" s="772">
        <f t="shared" ca="1" si="45"/>
        <v>2026</v>
      </c>
      <c r="J203" s="772">
        <f t="shared" ca="1" si="45"/>
        <v>2027</v>
      </c>
      <c r="K203" s="772">
        <f t="shared" ca="1" si="45"/>
        <v>2028</v>
      </c>
      <c r="L203" s="772">
        <f t="shared" ca="1" si="45"/>
        <v>2029</v>
      </c>
      <c r="M203" s="772">
        <f t="shared" ca="1" si="45"/>
        <v>2030</v>
      </c>
      <c r="N203" s="772">
        <f t="shared" ca="1" si="45"/>
        <v>2031</v>
      </c>
      <c r="O203" s="772">
        <f t="shared" ca="1" si="45"/>
        <v>2032</v>
      </c>
      <c r="P203" s="772">
        <f t="shared" ca="1" si="45"/>
        <v>2033</v>
      </c>
      <c r="Q203" s="772">
        <f t="shared" ca="1" si="45"/>
        <v>2034</v>
      </c>
      <c r="R203" s="772">
        <f t="shared" ca="1" si="45"/>
        <v>2035</v>
      </c>
      <c r="S203" s="772">
        <f t="shared" ca="1" si="45"/>
        <v>2036</v>
      </c>
      <c r="T203" s="772">
        <f t="shared" ca="1" si="45"/>
        <v>2037</v>
      </c>
      <c r="U203" s="772">
        <f t="shared" ca="1" si="45"/>
        <v>2038</v>
      </c>
      <c r="V203" s="772">
        <f t="shared" ca="1" si="45"/>
        <v>2039</v>
      </c>
      <c r="W203" s="772">
        <f t="shared" ca="1" si="45"/>
        <v>2040</v>
      </c>
      <c r="X203" s="772">
        <f t="shared" ca="1" si="45"/>
        <v>2041</v>
      </c>
      <c r="Y203" s="772">
        <f t="shared" ca="1" si="45"/>
        <v>2042</v>
      </c>
      <c r="Z203" s="772">
        <f t="shared" ca="1" si="45"/>
        <v>2043</v>
      </c>
      <c r="AA203" s="772">
        <f t="shared" ca="1" si="45"/>
        <v>2044</v>
      </c>
      <c r="AB203" s="772">
        <f t="shared" ca="1" si="45"/>
        <v>2045</v>
      </c>
      <c r="AC203" s="772">
        <f t="shared" ca="1" si="45"/>
        <v>2046</v>
      </c>
      <c r="AD203" s="772">
        <f t="shared" ca="1" si="45"/>
        <v>2047</v>
      </c>
      <c r="AE203" s="772">
        <f t="shared" ca="1" si="45"/>
        <v>2048</v>
      </c>
      <c r="AF203" s="772">
        <f t="shared" ca="1" si="45"/>
        <v>2049</v>
      </c>
      <c r="AG203" s="772">
        <f t="shared" ca="1" si="45"/>
        <v>2050</v>
      </c>
      <c r="AH203" s="772">
        <f t="shared" ca="1" si="45"/>
        <v>2051</v>
      </c>
      <c r="AI203" s="772">
        <f t="shared" ca="1" si="45"/>
        <v>2052</v>
      </c>
      <c r="AJ203" s="772">
        <f t="shared" ca="1" si="45"/>
        <v>2053</v>
      </c>
      <c r="AK203" s="772">
        <f t="shared" ca="1" si="45"/>
        <v>2054</v>
      </c>
      <c r="AL203" s="772">
        <f t="shared" ca="1" si="45"/>
        <v>2055</v>
      </c>
      <c r="AM203" s="772">
        <f t="shared" ca="1" si="45"/>
        <v>2056</v>
      </c>
      <c r="AN203" s="772">
        <f t="shared" ca="1" si="45"/>
        <v>2057</v>
      </c>
      <c r="AO203" s="436"/>
      <c r="AP203" s="21"/>
    </row>
    <row r="204" spans="2:42" ht="15" customHeight="1" x14ac:dyDescent="0.35">
      <c r="B204" s="429"/>
      <c r="C204" s="777" t="s">
        <v>141</v>
      </c>
      <c r="D204" s="777"/>
      <c r="E204" s="534">
        <f ca="1">IF(OFFSET(NAMES!$G$1,MATCH($C151,NAMES!$D:$D,0)-1,0)=TRUE,
(SUMIF($C152:$C201,"Unit Sales (MM)",E152:E201)),
0)</f>
        <v>3.7853986610744879</v>
      </c>
      <c r="F204" s="534">
        <f ca="1">IF(OFFSET(NAMES!$G$1,MATCH($C151,NAMES!$D:$D,0)-1,0)=TRUE,
(SUMIF($C152:$C201,"Unit Sales (MM)",F152:F201)),
0)</f>
        <v>3.9546762192129674</v>
      </c>
      <c r="G204" s="534">
        <f ca="1">IF(OFFSET(NAMES!$G$1,MATCH($C151,NAMES!$D:$D,0)-1,0)=TRUE,
(SUMIF($C152:$C201,"Unit Sales (MM)",G152:G201)),
0)</f>
        <v>4.100731107711364</v>
      </c>
      <c r="H204" s="534">
        <f ca="1">IF(OFFSET(NAMES!$G$1,MATCH($C151,NAMES!$D:$D,0)-1,0)=TRUE,
(SUMIF($C152:$C201,"Unit Sales (MM)",H152:H201)),
0)</f>
        <v>4.2946574880492108</v>
      </c>
      <c r="I204" s="534">
        <f ca="1">IF(OFFSET(NAMES!$G$1,MATCH($C151,NAMES!$D:$D,0)-1,0)=TRUE,
(SUMIF($C152:$C201,"Unit Sales (MM)",I152:I201)),
0)</f>
        <v>4.4955189389318697</v>
      </c>
      <c r="J204" s="534">
        <f ca="1">IF(OFFSET(NAMES!$G$1,MATCH($C151,NAMES!$D:$D,0)-1,0)=TRUE,
(SUMIF($C152:$C201,"Unit Sales (MM)",J152:J201)),
0)</f>
        <v>4.7255146885942834</v>
      </c>
      <c r="K204" s="534">
        <f ca="1">IF(OFFSET(NAMES!$G$1,MATCH($C151,NAMES!$D:$D,0)-1,0)=TRUE,
(SUMIF($C152:$C201,"Unit Sales (MM)",K152:K201)),
0)</f>
        <v>4.9749955451390822</v>
      </c>
      <c r="L204" s="534">
        <f ca="1">IF(OFFSET(NAMES!$G$1,MATCH($C151,NAMES!$D:$D,0)-1,0)=TRUE,
(SUMIF($C152:$C201,"Unit Sales (MM)",L152:L201)),
0)</f>
        <v>5.2387347327220937</v>
      </c>
      <c r="M204" s="534">
        <f ca="1">IF(OFFSET(NAMES!$G$1,MATCH($C151,NAMES!$D:$D,0)-1,0)=TRUE,
(SUMIF($C152:$C201,"Unit Sales (MM)",M152:M201)),
0)</f>
        <v>5.514683144926555</v>
      </c>
      <c r="N204" s="534">
        <f ca="1">IF(OFFSET(NAMES!$G$1,MATCH($C151,NAMES!$D:$D,0)-1,0)=TRUE,
(SUMIF($C152:$C201,"Unit Sales (MM)",N152:N201)),
0)</f>
        <v>5.8007445282854047</v>
      </c>
      <c r="O204" s="534">
        <f ca="1">IF(OFFSET(NAMES!$G$1,MATCH($C151,NAMES!$D:$D,0)-1,0)=TRUE,
(SUMIF($C152:$C201,"Unit Sales (MM)",O152:O201)),
0)</f>
        <v>6.0967976702966498</v>
      </c>
      <c r="P204" s="534">
        <f ca="1">IF(OFFSET(NAMES!$G$1,MATCH($C151,NAMES!$D:$D,0)-1,0)=TRUE,
(SUMIF($C152:$C201,"Unit Sales (MM)",P152:P201)),
0)</f>
        <v>6.4041105899284219</v>
      </c>
      <c r="Q204" s="534">
        <f ca="1">IF(OFFSET(NAMES!$G$1,MATCH($C151,NAMES!$D:$D,0)-1,0)=TRUE,
(SUMIF($C152:$C201,"Unit Sales (MM)",Q152:Q201)),
0)</f>
        <v>6.7241270105482354</v>
      </c>
      <c r="R204" s="534">
        <f ca="1">IF(OFFSET(NAMES!$G$1,MATCH($C151,NAMES!$D:$D,0)-1,0)=TRUE,
(SUMIF($C152:$C201,"Unit Sales (MM)",R152:R201)),
0)</f>
        <v>7.0595554510326366</v>
      </c>
      <c r="S204" s="534">
        <f ca="1">IF(OFFSET(NAMES!$G$1,MATCH($C151,NAMES!$D:$D,0)-1,0)=TRUE,
(SUMIF($C152:$C201,"Unit Sales (MM)",S152:S201)),
0)</f>
        <v>7.4122939118841495</v>
      </c>
      <c r="T204" s="534">
        <f ca="1">IF(OFFSET(NAMES!$G$1,MATCH($C151,NAMES!$D:$D,0)-1,0)=TRUE,
(SUMIF($C152:$C201,"Unit Sales (MM)",T152:T201)),
0)</f>
        <v>7.7835434932915835</v>
      </c>
      <c r="U204" s="534">
        <f ca="1">IF(OFFSET(NAMES!$G$1,MATCH($C151,NAMES!$D:$D,0)-1,0)=TRUE,
(SUMIF($C152:$C201,"Unit Sales (MM)",U152:U201)),
0)</f>
        <v>8.1746390991287825</v>
      </c>
      <c r="V204" s="534">
        <f ca="1">IF(OFFSET(NAMES!$G$1,MATCH($C151,NAMES!$D:$D,0)-1,0)=TRUE,
(SUMIF($C152:$C201,"Unit Sales (MM)",V152:V201)),
0)</f>
        <v>8.5847976867400444</v>
      </c>
      <c r="W204" s="534">
        <f ca="1">IF(OFFSET(NAMES!$G$1,MATCH($C151,NAMES!$D:$D,0)-1,0)=TRUE,
(SUMIF($C152:$C201,"Unit Sales (MM)",W152:W201)),
0)</f>
        <v>9.0152659460625877</v>
      </c>
      <c r="X204" s="534">
        <f ca="1">IF(OFFSET(NAMES!$G$1,MATCH($C151,NAMES!$D:$D,0)-1,0)=TRUE,
(SUMIF($C152:$C201,"Unit Sales (MM)",X152:X201)),
0)</f>
        <v>9.4665640575644066</v>
      </c>
      <c r="Y204" s="534">
        <f ca="1">IF(OFFSET(NAMES!$G$1,MATCH($C151,NAMES!$D:$D,0)-1,0)=TRUE,
(SUMIF($C152:$C201,"Unit Sales (MM)",Y152:Y201)),
0)</f>
        <v>9.9394611456570967</v>
      </c>
      <c r="Z204" s="534">
        <f ca="1">IF(OFFSET(NAMES!$G$1,MATCH($C151,NAMES!$D:$D,0)-1,0)=TRUE,
(SUMIF($C152:$C201,"Unit Sales (MM)",Z152:Z201)),
0)</f>
        <v>10.434988221062486</v>
      </c>
      <c r="AA204" s="534">
        <f ca="1">IF(OFFSET(NAMES!$G$1,MATCH($C151,NAMES!$D:$D,0)-1,0)=TRUE,
(SUMIF($C152:$C201,"Unit Sales (MM)",AA152:AA201)),
0)</f>
        <v>10.954269832259868</v>
      </c>
      <c r="AB204" s="534">
        <f ca="1">IF(OFFSET(NAMES!$G$1,MATCH($C151,NAMES!$D:$D,0)-1,0)=TRUE,
(SUMIF($C152:$C201,"Unit Sales (MM)",AB152:AB201)),
0)</f>
        <v>11.498727897383896</v>
      </c>
      <c r="AC204" s="534">
        <f ca="1">IF(OFFSET(NAMES!$G$1,MATCH($C151,NAMES!$D:$D,0)-1,0)=TRUE,
(SUMIF($C152:$C201,"Unit Sales (MM)",AC152:AC201)),
0)</f>
        <v>12.069739056763753</v>
      </c>
      <c r="AD204" s="534">
        <f ca="1">IF(OFFSET(NAMES!$G$1,MATCH($C151,NAMES!$D:$D,0)-1,0)=TRUE,
(SUMIF($C152:$C201,"Unit Sales (MM)",AD152:AD201)),
0)</f>
        <v>12.66868766208496</v>
      </c>
      <c r="AE204" s="534">
        <f ca="1">IF(OFFSET(NAMES!$G$1,MATCH($C151,NAMES!$D:$D,0)-1,0)=TRUE,
(SUMIF($C152:$C201,"Unit Sales (MM)",AE152:AE201)),
0)</f>
        <v>13.29695838632494</v>
      </c>
      <c r="AF204" s="534">
        <f ca="1">IF(OFFSET(NAMES!$G$1,MATCH($C151,NAMES!$D:$D,0)-1,0)=TRUE,
(SUMIF($C152:$C201,"Unit Sales (MM)",AF152:AF201)),
0)</f>
        <v>13.955949620231955</v>
      </c>
      <c r="AG204" s="534">
        <f ca="1">IF(OFFSET(NAMES!$G$1,MATCH($C151,NAMES!$D:$D,0)-1,0)=TRUE,
(SUMIF($C152:$C201,"Unit Sales (MM)",AG152:AG201)),
0)</f>
        <v>14.647103160941892</v>
      </c>
      <c r="AH204" s="534">
        <f ca="1">IF(OFFSET(NAMES!$G$1,MATCH($C151,NAMES!$D:$D,0)-1,0)=TRUE,
(SUMIF($C152:$C201,"Unit Sales (MM)",AH152:AH201)),
0)</f>
        <v>15.371930991611761</v>
      </c>
      <c r="AI204" s="534">
        <f ca="1">IF(OFFSET(NAMES!$G$1,MATCH($C151,NAMES!$D:$D,0)-1,0)=TRUE,
(SUMIF($C152:$C201,"Unit Sales (MM)",AI152:AI201)),
0)</f>
        <v>16.132035507243678</v>
      </c>
      <c r="AJ204" s="534">
        <f ca="1">IF(OFFSET(NAMES!$G$1,MATCH($C151,NAMES!$D:$D,0)-1,0)=TRUE,
(SUMIF($C152:$C201,"Unit Sales (MM)",AJ152:AJ201)),
0)</f>
        <v>16.929120561791386</v>
      </c>
      <c r="AK204" s="534">
        <f ca="1">IF(OFFSET(NAMES!$G$1,MATCH($C151,NAMES!$D:$D,0)-1,0)=TRUE,
(SUMIF($C152:$C201,"Unit Sales (MM)",AK152:AK201)),
0)</f>
        <v>17.764992446389613</v>
      </c>
      <c r="AL204" s="534">
        <f ca="1">IF(OFFSET(NAMES!$G$1,MATCH($C151,NAMES!$D:$D,0)-1,0)=TRUE,
(SUMIF($C152:$C201,"Unit Sales (MM)",AL152:AL201)),
0)</f>
        <v>18.641556572008003</v>
      </c>
      <c r="AM204" s="534">
        <f ca="1">IF(OFFSET(NAMES!$G$1,MATCH($C151,NAMES!$D:$D,0)-1,0)=TRUE,
(SUMIF($C152:$C201,"Unit Sales (MM)",AM152:AM201)),
0)</f>
        <v>19.560815264055694</v>
      </c>
      <c r="AN204" s="534">
        <f ca="1">IF(OFFSET(NAMES!$G$1,MATCH($C151,NAMES!$D:$D,0)-1,0)=TRUE,
(SUMIF($C152:$C201,"Unit Sales (MM)",AN152:AN201)),
0)</f>
        <v>20.524859827088438</v>
      </c>
      <c r="AO204" s="436"/>
      <c r="AP204" s="21"/>
    </row>
    <row r="205" spans="2:42" ht="15" customHeight="1" x14ac:dyDescent="0.35">
      <c r="B205" s="429"/>
      <c r="C205" s="777" t="s">
        <v>142</v>
      </c>
      <c r="D205" s="777"/>
      <c r="E205" s="535">
        <f ca="1">IF(OFFSET(NAMES!$G$1,MATCH($C151,NAMES!$D:$D,0)-1,0)=TRUE,
(SUMIF($C152:$C201,"Revenues (MM)",E152:E201)),
0)</f>
        <v>411.15012411975778</v>
      </c>
      <c r="F205" s="535">
        <f ca="1">IF(OFFSET(NAMES!$G$1,MATCH($C151,NAMES!$D:$D,0)-1,0)=TRUE,
(SUMIF($C152:$C201,"Revenues (MM)",F152:F201)),
0)</f>
        <v>426.32692864013819</v>
      </c>
      <c r="G205" s="535">
        <f ca="1">IF(OFFSET(NAMES!$G$1,MATCH($C151,NAMES!$D:$D,0)-1,0)=TRUE,
(SUMIF($C152:$C201,"Revenues (MM)",G152:G201)),
0)</f>
        <v>440.4185586960059</v>
      </c>
      <c r="H205" s="535">
        <f ca="1">IF(OFFSET(NAMES!$G$1,MATCH($C151,NAMES!$D:$D,0)-1,0)=TRUE,
(SUMIF($C152:$C201,"Revenues (MM)",H152:H201)),
0)</f>
        <v>457.94302571092624</v>
      </c>
      <c r="I205" s="535">
        <f ca="1">IF(OFFSET(NAMES!$G$1,MATCH($C151,NAMES!$D:$D,0)-1,0)=TRUE,
(SUMIF($C152:$C201,"Revenues (MM)",I152:I201)),
0)</f>
        <v>478.96203609113184</v>
      </c>
      <c r="J205" s="535">
        <f ca="1">IF(OFFSET(NAMES!$G$1,MATCH($C151,NAMES!$D:$D,0)-1,0)=TRUE,
(SUMIF($C152:$C201,"Revenues (MM)",J152:J201)),
0)</f>
        <v>500.02159023645805</v>
      </c>
      <c r="K205" s="535">
        <f ca="1">IF(OFFSET(NAMES!$G$1,MATCH($C151,NAMES!$D:$D,0)-1,0)=TRUE,
(SUMIF($C152:$C201,"Revenues (MM)",K152:K201)),
0)</f>
        <v>523.27993367337604</v>
      </c>
      <c r="L205" s="535">
        <f ca="1">IF(OFFSET(NAMES!$G$1,MATCH($C151,NAMES!$D:$D,0)-1,0)=TRUE,
(SUMIF($C152:$C201,"Revenues (MM)",L152:L201)),
0)</f>
        <v>547.71432877816414</v>
      </c>
      <c r="M205" s="535">
        <f ca="1">IF(OFFSET(NAMES!$G$1,MATCH($C151,NAMES!$D:$D,0)-1,0)=TRUE,
(SUMIF($C152:$C201,"Revenues (MM)",M152:M201)),
0)</f>
        <v>573.1253266802363</v>
      </c>
      <c r="N205" s="535">
        <f ca="1">IF(OFFSET(NAMES!$G$1,MATCH($C151,NAMES!$D:$D,0)-1,0)=TRUE,
(SUMIF($C152:$C201,"Revenues (MM)",N152:N201)),
0)</f>
        <v>599.19396525268212</v>
      </c>
      <c r="O205" s="535">
        <f ca="1">IF(OFFSET(NAMES!$G$1,MATCH($C151,NAMES!$D:$D,0)-1,0)=TRUE,
(SUMIF($C152:$C201,"Revenues (MM)",O152:O201)),
0)</f>
        <v>626.56860984444984</v>
      </c>
      <c r="P205" s="535">
        <f ca="1">IF(OFFSET(NAMES!$G$1,MATCH($C151,NAMES!$D:$D,0)-1,0)=TRUE,
(SUMIF($C152:$C201,"Revenues (MM)",P152:P201)),
0)</f>
        <v>654.78309829864406</v>
      </c>
      <c r="Q205" s="535">
        <f ca="1">IF(OFFSET(NAMES!$G$1,MATCH($C151,NAMES!$D:$D,0)-1,0)=TRUE,
(SUMIF($C152:$C201,"Revenues (MM)",Q152:Q201)),
0)</f>
        <v>683.30899872277405</v>
      </c>
      <c r="R205" s="535">
        <f ca="1">IF(OFFSET(NAMES!$G$1,MATCH($C151,NAMES!$D:$D,0)-1,0)=TRUE,
(SUMIF($C152:$C201,"Revenues (MM)",R152:R201)),
0)</f>
        <v>713.682693856789</v>
      </c>
      <c r="S205" s="535">
        <f ca="1">IF(OFFSET(NAMES!$G$1,MATCH($C151,NAMES!$D:$D,0)-1,0)=TRUE,
(SUMIF($C152:$C201,"Revenues (MM)",S152:S201)),
0)</f>
        <v>745.47456634250011</v>
      </c>
      <c r="T205" s="535">
        <f ca="1">IF(OFFSET(NAMES!$G$1,MATCH($C151,NAMES!$D:$D,0)-1,0)=TRUE,
(SUMIF($C152:$C201,"Revenues (MM)",T152:T201)),
0)</f>
        <v>778.74449047310793</v>
      </c>
      <c r="U205" s="535">
        <f ca="1">IF(OFFSET(NAMES!$G$1,MATCH($C151,NAMES!$D:$D,0)-1,0)=TRUE,
(SUMIF($C152:$C201,"Revenues (MM)",U152:U201)),
0)</f>
        <v>814.40724346237778</v>
      </c>
      <c r="V205" s="535">
        <f ca="1">IF(OFFSET(NAMES!$G$1,MATCH($C151,NAMES!$D:$D,0)-1,0)=TRUE,
(SUMIF($C152:$C201,"Revenues (MM)",V152:V201)),
0)</f>
        <v>850.78334613663799</v>
      </c>
      <c r="W205" s="535">
        <f ca="1">IF(OFFSET(NAMES!$G$1,MATCH($C151,NAMES!$D:$D,0)-1,0)=TRUE,
(SUMIF($C152:$C201,"Revenues (MM)",W152:W201)),
0)</f>
        <v>888.73967676968948</v>
      </c>
      <c r="X205" s="535">
        <f ca="1">IF(OFFSET(NAMES!$G$1,MATCH($C151,NAMES!$D:$D,0)-1,0)=TRUE,
(SUMIF($C152:$C201,"Revenues (MM)",X152:X201)),
0)</f>
        <v>929.24651835095574</v>
      </c>
      <c r="Y205" s="535">
        <f ca="1">IF(OFFSET(NAMES!$G$1,MATCH($C151,NAMES!$D:$D,0)-1,0)=TRUE,
(SUMIF($C152:$C201,"Revenues (MM)",Y152:Y201)),
0)</f>
        <v>971.44428129329992</v>
      </c>
      <c r="Z205" s="535">
        <f ca="1">IF(OFFSET(NAMES!$G$1,MATCH($C151,NAMES!$D:$D,0)-1,0)=TRUE,
(SUMIF($C152:$C201,"Revenues (MM)",Z152:Z201)),
0)</f>
        <v>1014.4643094670416</v>
      </c>
      <c r="AA205" s="535">
        <f ca="1">IF(OFFSET(NAMES!$G$1,MATCH($C151,NAMES!$D:$D,0)-1,0)=TRUE,
(SUMIF($C152:$C201,"Revenues (MM)",AA152:AA201)),
0)</f>
        <v>1060.3388391525032</v>
      </c>
      <c r="AB205" s="535">
        <f ca="1">IF(OFFSET(NAMES!$G$1,MATCH($C151,NAMES!$D:$D,0)-1,0)=TRUE,
(SUMIF($C152:$C201,"Revenues (MM)",AB152:AB201)),
0)</f>
        <v>1108.2028249958564</v>
      </c>
      <c r="AC205" s="535">
        <f ca="1">IF(OFFSET(NAMES!$G$1,MATCH($C151,NAMES!$D:$D,0)-1,0)=TRUE,
(SUMIF($C152:$C201,"Revenues (MM)",AC152:AC201)),
0)</f>
        <v>1158.1565857325402</v>
      </c>
      <c r="AD205" s="535">
        <f ca="1">IF(OFFSET(NAMES!$G$1,MATCH($C151,NAMES!$D:$D,0)-1,0)=TRUE,
(SUMIF($C152:$C201,"Revenues (MM)",AD152:AD201)),
0)</f>
        <v>1210.3503745061412</v>
      </c>
      <c r="AE205" s="535">
        <f ca="1">IF(OFFSET(NAMES!$G$1,MATCH($C151,NAMES!$D:$D,0)-1,0)=TRUE,
(SUMIF($C152:$C201,"Revenues (MM)",AE152:AE201)),
0)</f>
        <v>1264.7801563807373</v>
      </c>
      <c r="AF205" s="535">
        <f ca="1">IF(OFFSET(NAMES!$G$1,MATCH($C151,NAMES!$D:$D,0)-1,0)=TRUE,
(SUMIF($C152:$C201,"Revenues (MM)",AF152:AF201)),
0)</f>
        <v>1321.5904243925345</v>
      </c>
      <c r="AG205" s="535">
        <f ca="1">IF(OFFSET(NAMES!$G$1,MATCH($C151,NAMES!$D:$D,0)-1,0)=TRUE,
(SUMIF($C152:$C201,"Revenues (MM)",AG152:AG201)),
0)</f>
        <v>1380.9268781236408</v>
      </c>
      <c r="AH205" s="535">
        <f ca="1">IF(OFFSET(NAMES!$G$1,MATCH($C151,NAMES!$D:$D,0)-1,0)=TRUE,
(SUMIF($C152:$C201,"Revenues (MM)",AH152:AH201)),
0)</f>
        <v>1442.8586453458711</v>
      </c>
      <c r="AI205" s="535">
        <f ca="1">IF(OFFSET(NAMES!$G$1,MATCH($C151,NAMES!$D:$D,0)-1,0)=TRUE,
(SUMIF($C152:$C201,"Revenues (MM)",AI152:AI201)),
0)</f>
        <v>1507.4172835587749</v>
      </c>
      <c r="AJ205" s="535">
        <f ca="1">IF(OFFSET(NAMES!$G$1,MATCH($C151,NAMES!$D:$D,0)-1,0)=TRUE,
(SUMIF($C152:$C201,"Revenues (MM)",AJ152:AJ201)),
0)</f>
        <v>1574.8324309687484</v>
      </c>
      <c r="AK205" s="535">
        <f ca="1">IF(OFFSET(NAMES!$G$1,MATCH($C151,NAMES!$D:$D,0)-1,0)=TRUE,
(SUMIF($C152:$C201,"Revenues (MM)",AK152:AK201)),
0)</f>
        <v>1646.9249013324613</v>
      </c>
      <c r="AL205" s="535">
        <f ca="1">IF(OFFSET(NAMES!$G$1,MATCH($C151,NAMES!$D:$D,0)-1,0)=TRUE,
(SUMIF($C152:$C201,"Revenues (MM)",AL152:AL201)),
0)</f>
        <v>1720.4065827782922</v>
      </c>
      <c r="AM205" s="535">
        <f ca="1">IF(OFFSET(NAMES!$G$1,MATCH($C151,NAMES!$D:$D,0)-1,0)=TRUE,
(SUMIF($C152:$C201,"Revenues (MM)",AM152:AM201)),
0)</f>
        <v>1797.0935975368716</v>
      </c>
      <c r="AN205" s="535">
        <f ca="1">IF(OFFSET(NAMES!$G$1,MATCH($C151,NAMES!$D:$D,0)-1,0)=TRUE,
(SUMIF($C152:$C201,"Revenues (MM)",AN152:AN201)),
0)</f>
        <v>1878.3025022538141</v>
      </c>
      <c r="AO205" s="436"/>
      <c r="AP205" s="21"/>
    </row>
    <row r="206" spans="2:42" ht="15" customHeight="1" x14ac:dyDescent="0.35">
      <c r="B206" s="429"/>
      <c r="C206" s="777"/>
      <c r="D206" s="776"/>
      <c r="E206" s="468"/>
      <c r="F206" s="468"/>
      <c r="G206" s="468"/>
      <c r="H206" s="468"/>
      <c r="I206" s="468"/>
      <c r="J206" s="468"/>
      <c r="K206" s="468"/>
      <c r="L206" s="468"/>
      <c r="M206" s="468"/>
      <c r="N206" s="468"/>
      <c r="O206" s="468"/>
      <c r="P206" s="468"/>
      <c r="Q206" s="468"/>
      <c r="R206" s="468"/>
      <c r="S206" s="468"/>
      <c r="T206" s="468"/>
      <c r="U206" s="468"/>
      <c r="V206" s="468"/>
      <c r="W206" s="468"/>
      <c r="X206" s="468"/>
      <c r="Y206" s="468"/>
      <c r="Z206" s="468"/>
      <c r="AA206" s="468"/>
      <c r="AB206" s="468"/>
      <c r="AC206" s="468"/>
      <c r="AD206" s="468"/>
      <c r="AE206" s="468"/>
      <c r="AF206" s="468"/>
      <c r="AG206" s="468"/>
      <c r="AH206" s="468"/>
      <c r="AI206" s="468"/>
      <c r="AJ206" s="468"/>
      <c r="AK206" s="468"/>
      <c r="AL206" s="468"/>
      <c r="AM206" s="468"/>
      <c r="AN206" s="468"/>
      <c r="AO206" s="436"/>
      <c r="AP206" s="21"/>
    </row>
    <row r="207" spans="2:42" ht="15" customHeight="1" x14ac:dyDescent="0.35">
      <c r="B207" s="429"/>
      <c r="C207" s="777" t="s">
        <v>216</v>
      </c>
      <c r="D207" s="776"/>
      <c r="E207" s="536">
        <f ca="1">IF(OFFSET(NAMES!$G$1,MATCH($C151,NAMES!$D:$D,0)-1,0)=TRUE,
(SUMIF($C152:$C202,"Materials (MM)",E152:E202)),
0)</f>
        <v>254.43599736276312</v>
      </c>
      <c r="F207" s="536">
        <f ca="1">IF(OFFSET(NAMES!$G$1,MATCH($C151,NAMES!$D:$D,0)-1,0)=TRUE,
(SUMIF($C152:$C202,"Materials (MM)",F152:F202)),
0)</f>
        <v>263.82781317384217</v>
      </c>
      <c r="G207" s="536">
        <f ca="1">IF(OFFSET(NAMES!$G$1,MATCH($C151,NAMES!$D:$D,0)-1,0)=TRUE,
(SUMIF($C152:$C202,"Materials (MM)",G152:G202)),
0)</f>
        <v>271.94716124914572</v>
      </c>
      <c r="H207" s="536">
        <f ca="1">IF(OFFSET(NAMES!$G$1,MATCH($C151,NAMES!$D:$D,0)-1,0)=TRUE,
(SUMIF($C152:$C202,"Materials (MM)",H152:H202)),
0)</f>
        <v>282.67976194403172</v>
      </c>
      <c r="I207" s="536">
        <f ca="1">IF(OFFSET(NAMES!$G$1,MATCH($C151,NAMES!$D:$D,0)-1,0)=TRUE,
(SUMIF($C152:$C202,"Materials (MM)",I152:I202)),
0)</f>
        <v>296.91043916387599</v>
      </c>
      <c r="J207" s="536">
        <f ca="1">IF(OFFSET(NAMES!$G$1,MATCH($C151,NAMES!$D:$D,0)-1,0)=TRUE,
(SUMIF($C152:$C202,"Materials (MM)",J152:J202)),
0)</f>
        <v>309.96515690168746</v>
      </c>
      <c r="K207" s="536">
        <f ca="1">IF(OFFSET(NAMES!$G$1,MATCH($C151,NAMES!$D:$D,0)-1,0)=TRUE,
(SUMIF($C152:$C202,"Materials (MM)",K152:K202)),
0)</f>
        <v>324.38318889668346</v>
      </c>
      <c r="L207" s="536">
        <f ca="1">IF(OFFSET(NAMES!$G$1,MATCH($C151,NAMES!$D:$D,0)-1,0)=TRUE,
(SUMIF($C152:$C202,"Materials (MM)",L152:L202)),
0)</f>
        <v>339.53019111901938</v>
      </c>
      <c r="M207" s="536">
        <f ca="1">IF(OFFSET(NAMES!$G$1,MATCH($C151,NAMES!$D:$D,0)-1,0)=TRUE,
(SUMIF($C152:$C202,"Materials (MM)",M152:M202)),
0)</f>
        <v>355.28226560937588</v>
      </c>
      <c r="N207" s="536">
        <f ca="1">IF(OFFSET(NAMES!$G$1,MATCH($C151,NAMES!$D:$D,0)-1,0)=TRUE,
(SUMIF($C152:$C202,"Materials (MM)",N152:N202)),
0)</f>
        <v>371.44232936889614</v>
      </c>
      <c r="O207" s="536">
        <f ca="1">IF(OFFSET(NAMES!$G$1,MATCH($C151,NAMES!$D:$D,0)-1,0)=TRUE,
(SUMIF($C152:$C202,"Materials (MM)",O152:O202)),
0)</f>
        <v>388.41199329671116</v>
      </c>
      <c r="P207" s="536">
        <f ca="1">IF(OFFSET(NAMES!$G$1,MATCH($C151,NAMES!$D:$D,0)-1,0)=TRUE,
(SUMIF($C152:$C202,"Materials (MM)",P152:P202)),
0)</f>
        <v>405.90228170692257</v>
      </c>
      <c r="Q207" s="536">
        <f ca="1">IF(OFFSET(NAMES!$G$1,MATCH($C151,NAMES!$D:$D,0)-1,0)=TRUE,
(SUMIF($C152:$C202,"Materials (MM)",Q152:Q202)),
0)</f>
        <v>423.58518477241353</v>
      </c>
      <c r="R207" s="536">
        <f ca="1">IF(OFFSET(NAMES!$G$1,MATCH($C151,NAMES!$D:$D,0)-1,0)=TRUE,
(SUMIF($C152:$C202,"Materials (MM)",R152:R202)),
0)</f>
        <v>442.41392471407812</v>
      </c>
      <c r="S207" s="536">
        <f ca="1">IF(OFFSET(NAMES!$G$1,MATCH($C151,NAMES!$D:$D,0)-1,0)=TRUE,
(SUMIF($C152:$C202,"Materials (MM)",S152:S202)),
0)</f>
        <v>462.12157068750753</v>
      </c>
      <c r="T207" s="536">
        <f ca="1">IF(OFFSET(NAMES!$G$1,MATCH($C151,NAMES!$D:$D,0)-1,0)=TRUE,
(SUMIF($C152:$C202,"Materials (MM)",T152:T202)),
0)</f>
        <v>482.74545164473545</v>
      </c>
      <c r="U207" s="536">
        <f ca="1">IF(OFFSET(NAMES!$G$1,MATCH($C151,NAMES!$D:$D,0)-1,0)=TRUE,
(SUMIF($C152:$C202,"Materials (MM)",U152:U202)),
0)</f>
        <v>504.85311047727333</v>
      </c>
      <c r="V207" s="536">
        <f ca="1">IF(OFFSET(NAMES!$G$1,MATCH($C151,NAMES!$D:$D,0)-1,0)=TRUE,
(SUMIF($C152:$C202,"Materials (MM)",V152:V202)),
0)</f>
        <v>527.4024955212609</v>
      </c>
      <c r="W207" s="536">
        <f ca="1">IF(OFFSET(NAMES!$G$1,MATCH($C151,NAMES!$D:$D,0)-1,0)=TRUE,
(SUMIF($C152:$C202,"Materials (MM)",W152:W202)),
0)</f>
        <v>550.93143163068135</v>
      </c>
      <c r="X207" s="536">
        <f ca="1">IF(OFFSET(NAMES!$G$1,MATCH($C151,NAMES!$D:$D,0)-1,0)=TRUE,
(SUMIF($C152:$C202,"Materials (MM)",X152:X202)),
0)</f>
        <v>576.04169772091439</v>
      </c>
      <c r="Y207" s="536">
        <f ca="1">IF(OFFSET(NAMES!$G$1,MATCH($C151,NAMES!$D:$D,0)-1,0)=TRUE,
(SUMIF($C152:$C202,"Materials (MM)",Y152:Y202)),
0)</f>
        <v>602.20047190831679</v>
      </c>
      <c r="Z207" s="536">
        <f ca="1">IF(OFFSET(NAMES!$G$1,MATCH($C151,NAMES!$D:$D,0)-1,0)=TRUE,
(SUMIF($C152:$C202,"Materials (MM)",Z152:Z202)),
0)</f>
        <v>628.86805527269019</v>
      </c>
      <c r="AA207" s="536">
        <f ca="1">IF(OFFSET(NAMES!$G$1,MATCH($C151,NAMES!$D:$D,0)-1,0)=TRUE,
(SUMIF($C152:$C202,"Materials (MM)",AA152:AA202)),
0)</f>
        <v>657.30574114093451</v>
      </c>
      <c r="AB207" s="536">
        <f ca="1">IF(OFFSET(NAMES!$G$1,MATCH($C151,NAMES!$D:$D,0)-1,0)=TRUE,
(SUMIF($C152:$C202,"Materials (MM)",AB152:AB202)),
0)</f>
        <v>686.97669316316137</v>
      </c>
      <c r="AC207" s="536">
        <f ca="1">IF(OFFSET(NAMES!$G$1,MATCH($C151,NAMES!$D:$D,0)-1,0)=TRUE,
(SUMIF($C152:$C202,"Materials (MM)",AC152:AC202)),
0)</f>
        <v>717.94309901640963</v>
      </c>
      <c r="AD207" s="536">
        <f ca="1">IF(OFFSET(NAMES!$G$1,MATCH($C151,NAMES!$D:$D,0)-1,0)=TRUE,
(SUMIF($C152:$C202,"Materials (MM)",AD152:AD202)),
0)</f>
        <v>750.29771452882233</v>
      </c>
      <c r="AE207" s="536">
        <f ca="1">IF(OFFSET(NAMES!$G$1,MATCH($C151,NAMES!$D:$D,0)-1,0)=TRUE,
(SUMIF($C152:$C202,"Materials (MM)",AE152:AE202)),
0)</f>
        <v>784.03879173285611</v>
      </c>
      <c r="AF207" s="536">
        <f ca="1">IF(OFFSET(NAMES!$G$1,MATCH($C151,NAMES!$D:$D,0)-1,0)=TRUE,
(SUMIF($C152:$C202,"Materials (MM)",AF152:AF202)),
0)</f>
        <v>819.25553396469638</v>
      </c>
      <c r="AG207" s="536">
        <f ca="1">IF(OFFSET(NAMES!$G$1,MATCH($C151,NAMES!$D:$D,0)-1,0)=TRUE,
(SUMIF($C152:$C202,"Materials (MM)",AG152:AG202)),
0)</f>
        <v>856.0378314051668</v>
      </c>
      <c r="AH207" s="536">
        <f ca="1">IF(OFFSET(NAMES!$G$1,MATCH($C151,NAMES!$D:$D,0)-1,0)=TRUE,
(SUMIF($C152:$C202,"Materials (MM)",AH152:AH202)),
0)</f>
        <v>894.42890460549802</v>
      </c>
      <c r="AI207" s="536">
        <f ca="1">IF(OFFSET(NAMES!$G$1,MATCH($C151,NAMES!$D:$D,0)-1,0)=TRUE,
(SUMIF($C152:$C202,"Materials (MM)",AI152:AI202)),
0)</f>
        <v>934.44882125102981</v>
      </c>
      <c r="AJ207" s="536">
        <f ca="1">IF(OFFSET(NAMES!$G$1,MATCH($C151,NAMES!$D:$D,0)-1,0)=TRUE,
(SUMIF($C152:$C202,"Materials (MM)",AJ152:AJ202)),
0)</f>
        <v>976.23899165569469</v>
      </c>
      <c r="AK207" s="536">
        <f ca="1">IF(OFFSET(NAMES!$G$1,MATCH($C151,NAMES!$D:$D,0)-1,0)=TRUE,
(SUMIF($C152:$C202,"Materials (MM)",AK152:AK202)),
0)</f>
        <v>1020.9296333793009</v>
      </c>
      <c r="AL207" s="536">
        <f ca="1">IF(OFFSET(NAMES!$G$1,MATCH($C151,NAMES!$D:$D,0)-1,0)=TRUE,
(SUMIF($C152:$C202,"Materials (MM)",AL152:AL202)),
0)</f>
        <v>1066.4803973211788</v>
      </c>
      <c r="AM207" s="536">
        <f ca="1">IF(OFFSET(NAMES!$G$1,MATCH($C151,NAMES!$D:$D,0)-1,0)=TRUE,
(SUMIF($C152:$C202,"Materials (MM)",AM152:AM202)),
0)</f>
        <v>1114.0180695154704</v>
      </c>
      <c r="AN207" s="536">
        <f ca="1">IF(OFFSET(NAMES!$G$1,MATCH($C151,NAMES!$D:$D,0)-1,0)=TRUE,
(SUMIF($C152:$C202,"Materials (MM)",AN152:AN202)),
0)</f>
        <v>1164.359412706958</v>
      </c>
      <c r="AO207" s="436"/>
      <c r="AP207" s="21"/>
    </row>
    <row r="208" spans="2:42" ht="15" customHeight="1" x14ac:dyDescent="0.35">
      <c r="B208" s="429"/>
      <c r="C208" s="777" t="s">
        <v>217</v>
      </c>
      <c r="D208" s="776"/>
      <c r="E208" s="537">
        <f ca="1">IF(OFFSET(NAMES!$G$1,MATCH($C151,NAMES!$D:$D,0)-1,0)=TRUE,
(SUMIF($C152:$C202,"Labor (MM)",E152:E202)),
0)</f>
        <v>5.886635270832004</v>
      </c>
      <c r="F208" s="537">
        <f ca="1">IF(OFFSET(NAMES!$G$1,MATCH($C151,NAMES!$D:$D,0)-1,0)=TRUE,
(SUMIF($C152:$C202,"Labor (MM)",F152:F202)),
0)</f>
        <v>6.103966146127509</v>
      </c>
      <c r="G208" s="537">
        <f ca="1">IF(OFFSET(NAMES!$G$1,MATCH($C151,NAMES!$D:$D,0)-1,0)=TRUE,
(SUMIF($C152:$C202,"Labor (MM)",G152:G202)),
0)</f>
        <v>6.2920004309310578</v>
      </c>
      <c r="H208" s="537">
        <f ca="1">IF(OFFSET(NAMES!$G$1,MATCH($C151,NAMES!$D:$D,0)-1,0)=TRUE,
(SUMIF($C152:$C202,"Labor (MM)",H152:H202)),
0)</f>
        <v>6.5404713573181752</v>
      </c>
      <c r="I208" s="537">
        <f ca="1">IF(OFFSET(NAMES!$G$1,MATCH($C151,NAMES!$D:$D,0)-1,0)=TRUE,
(SUMIF($C152:$C202,"Labor (MM)",I152:I202)),
0)</f>
        <v>7.011473974173887</v>
      </c>
      <c r="J208" s="537">
        <f ca="1">IF(OFFSET(NAMES!$G$1,MATCH($C151,NAMES!$D:$D,0)-1,0)=TRUE,
(SUMIF($C152:$C202,"Labor (MM)",J152:J202)),
0)</f>
        <v>7.3199206742824439</v>
      </c>
      <c r="K208" s="537">
        <f ca="1">IF(OFFSET(NAMES!$G$1,MATCH($C151,NAMES!$D:$D,0)-1,0)=TRUE,
(SUMIF($C152:$C202,"Labor (MM)",K152:K202)),
0)</f>
        <v>7.6603155467508701</v>
      </c>
      <c r="L208" s="537">
        <f ca="1">IF(OFFSET(NAMES!$G$1,MATCH($C151,NAMES!$D:$D,0)-1,0)=TRUE,
(SUMIF($C152:$C202,"Labor (MM)",L152:L202)),
0)</f>
        <v>8.0179862193972617</v>
      </c>
      <c r="M208" s="537">
        <f ca="1">IF(OFFSET(NAMES!$G$1,MATCH($C151,NAMES!$D:$D,0)-1,0)=TRUE,
(SUMIF($C152:$C202,"Labor (MM)",M152:M202)),
0)</f>
        <v>8.3902375916778258</v>
      </c>
      <c r="N208" s="537">
        <f ca="1">IF(OFFSET(NAMES!$G$1,MATCH($C151,NAMES!$D:$D,0)-1,0)=TRUE,
(SUMIF($C152:$C202,"Labor (MM)",N152:N202)),
0)</f>
        <v>8.7718425222451817</v>
      </c>
      <c r="O208" s="537">
        <f ca="1">IF(OFFSET(NAMES!$G$1,MATCH($C151,NAMES!$D:$D,0)-1,0)=TRUE,
(SUMIF($C152:$C202,"Labor (MM)",O152:O202)),
0)</f>
        <v>9.1725642604668138</v>
      </c>
      <c r="P208" s="537">
        <f ca="1">IF(OFFSET(NAMES!$G$1,MATCH($C151,NAMES!$D:$D,0)-1,0)=TRUE,
(SUMIF($C152:$C202,"Labor (MM)",P152:P202)),
0)</f>
        <v>9.5855786580118707</v>
      </c>
      <c r="Q208" s="537">
        <f ca="1">IF(OFFSET(NAMES!$G$1,MATCH($C151,NAMES!$D:$D,0)-1,0)=TRUE,
(SUMIF($C152:$C202,"Labor (MM)",Q152:Q202)),
0)</f>
        <v>10.003525671020251</v>
      </c>
      <c r="R208" s="537">
        <f ca="1">IF(OFFSET(NAMES!$G$1,MATCH($C151,NAMES!$D:$D,0)-1,0)=TRUE,
(SUMIF($C152:$C202,"Labor (MM)",R152:R202)),
0)</f>
        <v>10.448191102042967</v>
      </c>
      <c r="S208" s="537">
        <f ca="1">IF(OFFSET(NAMES!$G$1,MATCH($C151,NAMES!$D:$D,0)-1,0)=TRUE,
(SUMIF($C152:$C202,"Labor (MM)",S152:S202)),
0)</f>
        <v>10.91382219428751</v>
      </c>
      <c r="T208" s="537">
        <f ca="1">IF(OFFSET(NAMES!$G$1,MATCH($C151,NAMES!$D:$D,0)-1,0)=TRUE,
(SUMIF($C152:$C202,"Labor (MM)",T152:T202)),
0)</f>
        <v>11.401088244122368</v>
      </c>
      <c r="U208" s="537">
        <f ca="1">IF(OFFSET(NAMES!$G$1,MATCH($C151,NAMES!$D:$D,0)-1,0)=TRUE,
(SUMIF($C152:$C202,"Labor (MM)",U152:U202)),
0)</f>
        <v>11.923004639191465</v>
      </c>
      <c r="V208" s="537">
        <f ca="1">IF(OFFSET(NAMES!$G$1,MATCH($C151,NAMES!$D:$D,0)-1,0)=TRUE,
(SUMIF($C152:$C202,"Labor (MM)",V152:V202)),
0)</f>
        <v>12.455765346892504</v>
      </c>
      <c r="W208" s="537">
        <f ca="1">IF(OFFSET(NAMES!$G$1,MATCH($C151,NAMES!$D:$D,0)-1,0)=TRUE,
(SUMIF($C152:$C202,"Labor (MM)",W152:W202)),
0)</f>
        <v>13.011709707549391</v>
      </c>
      <c r="X208" s="537">
        <f ca="1">IF(OFFSET(NAMES!$G$1,MATCH($C151,NAMES!$D:$D,0)-1,0)=TRUE,
(SUMIF($C152:$C202,"Labor (MM)",X152:X202)),
0)</f>
        <v>13.604757868001398</v>
      </c>
      <c r="Y208" s="537">
        <f ca="1">IF(OFFSET(NAMES!$G$1,MATCH($C151,NAMES!$D:$D,0)-1,0)=TRUE,
(SUMIF($C152:$C202,"Labor (MM)",Y152:Y202)),
0)</f>
        <v>14.222289374094126</v>
      </c>
      <c r="Z208" s="537">
        <f ca="1">IF(OFFSET(NAMES!$G$1,MATCH($C151,NAMES!$D:$D,0)-1,0)=TRUE,
(SUMIF($C152:$C202,"Labor (MM)",Z152:Z202)),
0)</f>
        <v>14.852662714775523</v>
      </c>
      <c r="AA208" s="537">
        <f ca="1">IF(OFFSET(NAMES!$G$1,MATCH($C151,NAMES!$D:$D,0)-1,0)=TRUE,
(SUMIF($C152:$C202,"Labor (MM)",AA152:AA202)),
0)</f>
        <v>15.524314388231003</v>
      </c>
      <c r="AB208" s="537">
        <f ca="1">IF(OFFSET(NAMES!$G$1,MATCH($C151,NAMES!$D:$D,0)-1,0)=TRUE,
(SUMIF($C152:$C202,"Labor (MM)",AB152:AB202)),
0)</f>
        <v>16.225094268715655</v>
      </c>
      <c r="AC208" s="537">
        <f ca="1">IF(OFFSET(NAMES!$G$1,MATCH($C151,NAMES!$D:$D,0)-1,0)=TRUE,
(SUMIF($C152:$C202,"Labor (MM)",AC152:AC202)),
0)</f>
        <v>16.956471171244058</v>
      </c>
      <c r="AD208" s="537">
        <f ca="1">IF(OFFSET(NAMES!$G$1,MATCH($C151,NAMES!$D:$D,0)-1,0)=TRUE,
(SUMIF($C152:$C202,"Labor (MM)",AD152:AD202)),
0)</f>
        <v>17.720993112848625</v>
      </c>
      <c r="AE208" s="537">
        <f ca="1">IF(OFFSET(NAMES!$G$1,MATCH($C151,NAMES!$D:$D,0)-1,0)=TRUE,
(SUMIF($C152:$C202,"Labor (MM)",AE152:AE202)),
0)</f>
        <v>18.517922121374383</v>
      </c>
      <c r="AF208" s="537">
        <f ca="1">IF(OFFSET(NAMES!$G$1,MATCH($C151,NAMES!$D:$D,0)-1,0)=TRUE,
(SUMIF($C152:$C202,"Labor (MM)",AF152:AF202)),
0)</f>
        <v>19.349705470898861</v>
      </c>
      <c r="AG208" s="537">
        <f ca="1">IF(OFFSET(NAMES!$G$1,MATCH($C151,NAMES!$D:$D,0)-1,0)=TRUE,
(SUMIF($C152:$C202,"Labor (MM)",AG152:AG202)),
0)</f>
        <v>20.218833892851428</v>
      </c>
      <c r="AH208" s="537">
        <f ca="1">IF(OFFSET(NAMES!$G$1,MATCH($C151,NAMES!$D:$D,0)-1,0)=TRUE,
(SUMIF($C152:$C202,"Labor (MM)",AH152:AH202)),
0)</f>
        <v>21.126044789984842</v>
      </c>
      <c r="AI208" s="537">
        <f ca="1">IF(OFFSET(NAMES!$G$1,MATCH($C151,NAMES!$D:$D,0)-1,0)=TRUE,
(SUMIF($C152:$C202,"Labor (MM)",AI152:AI202)),
0)</f>
        <v>22.071317049300763</v>
      </c>
      <c r="AJ208" s="537">
        <f ca="1">IF(OFFSET(NAMES!$G$1,MATCH($C151,NAMES!$D:$D,0)-1,0)=TRUE,
(SUMIF($C152:$C202,"Labor (MM)",AJ152:AJ202)),
0)</f>
        <v>23.058828607304839</v>
      </c>
      <c r="AK208" s="537">
        <f ca="1">IF(OFFSET(NAMES!$G$1,MATCH($C151,NAMES!$D:$D,0)-1,0)=TRUE,
(SUMIF($C152:$C202,"Labor (MM)",AK152:AK202)),
0)</f>
        <v>24.113994626666731</v>
      </c>
      <c r="AL208" s="537">
        <f ca="1">IF(OFFSET(NAMES!$G$1,MATCH($C151,NAMES!$D:$D,0)-1,0)=TRUE,
(SUMIF($C152:$C202,"Labor (MM)",AL152:AL202)),
0)</f>
        <v>25.190376631891223</v>
      </c>
      <c r="AM208" s="537">
        <f ca="1">IF(OFFSET(NAMES!$G$1,MATCH($C151,NAMES!$D:$D,0)-1,0)=TRUE,
(SUMIF($C152:$C202,"Labor (MM)",AM152:AM202)),
0)</f>
        <v>26.313797657380199</v>
      </c>
      <c r="AN208" s="537">
        <f ca="1">IF(OFFSET(NAMES!$G$1,MATCH($C151,NAMES!$D:$D,0)-1,0)=TRUE,
(SUMIF($C152:$C202,"Labor (MM)",AN152:AN202)),
0)</f>
        <v>27.50293052670494</v>
      </c>
      <c r="AO208" s="436"/>
      <c r="AP208" s="21"/>
    </row>
    <row r="209" spans="2:42" ht="15" customHeight="1" x14ac:dyDescent="0.35">
      <c r="B209" s="429"/>
      <c r="C209" s="777" t="s">
        <v>218</v>
      </c>
      <c r="D209" s="776"/>
      <c r="E209" s="537">
        <f ca="1">IF(OFFSET(NAMES!$G$1,MATCH($C151,NAMES!$D:$D,0)-1,0)=TRUE,
(SUMIF($C152:$C202,"Depreciation (MM)",E152:E202)),
0)</f>
        <v>14.390254344191522</v>
      </c>
      <c r="F209" s="537">
        <f ca="1">IF(OFFSET(NAMES!$G$1,MATCH($C151,NAMES!$D:$D,0)-1,0)=TRUE,
(SUMIF($C152:$C202,"Depreciation (MM)",F152:F202)),
0)</f>
        <v>14.921442502404838</v>
      </c>
      <c r="G209" s="537">
        <f ca="1">IF(OFFSET(NAMES!$G$1,MATCH($C151,NAMES!$D:$D,0)-1,0)=TRUE,
(SUMIF($C152:$C202,"Depreciation (MM)",G152:G202)),
0)</f>
        <v>15.380657139339304</v>
      </c>
      <c r="H209" s="537">
        <f ca="1">IF(OFFSET(NAMES!$G$1,MATCH($C151,NAMES!$D:$D,0)-1,0)=TRUE,
(SUMIF($C152:$C202,"Depreciation (MM)",H152:H202)),
0)</f>
        <v>15.987680172823174</v>
      </c>
      <c r="I209" s="537">
        <f ca="1">IF(OFFSET(NAMES!$G$1,MATCH($C151,NAMES!$D:$D,0)-1,0)=TRUE,
(SUMIF($C152:$C202,"Depreciation (MM)",I152:I202)),
0)</f>
        <v>16.78593930529561</v>
      </c>
      <c r="J209" s="537">
        <f ca="1">IF(OFFSET(NAMES!$G$1,MATCH($C151,NAMES!$D:$D,0)-1,0)=TRUE,
(SUMIF($C152:$C202,"Depreciation (MM)",J152:J202)),
0)</f>
        <v>17.524001761643561</v>
      </c>
      <c r="K209" s="537">
        <f ca="1">IF(OFFSET(NAMES!$G$1,MATCH($C151,NAMES!$D:$D,0)-1,0)=TRUE,
(SUMIF($C152:$C202,"Depreciation (MM)",K152:K202)),
0)</f>
        <v>18.339125654661707</v>
      </c>
      <c r="L209" s="537">
        <f ca="1">IF(OFFSET(NAMES!$G$1,MATCH($C151,NAMES!$D:$D,0)-1,0)=TRUE,
(SUMIF($C152:$C202,"Depreciation (MM)",L152:L202)),
0)</f>
        <v>19.195465638610806</v>
      </c>
      <c r="M209" s="537">
        <f ca="1">IF(OFFSET(NAMES!$G$1,MATCH($C151,NAMES!$D:$D,0)-1,0)=TRUE,
(SUMIF($C152:$C202,"Depreciation (MM)",M152:M202)),
0)</f>
        <v>20.08603024504032</v>
      </c>
      <c r="N209" s="537">
        <f ca="1">IF(OFFSET(NAMES!$G$1,MATCH($C151,NAMES!$D:$D,0)-1,0)=TRUE,
(SUMIF($C152:$C202,"Depreciation (MM)",N152:N202)),
0)</f>
        <v>20.99964465904732</v>
      </c>
      <c r="O209" s="537">
        <f ca="1">IF(OFFSET(NAMES!$G$1,MATCH($C151,NAMES!$D:$D,0)-1,0)=TRUE,
(SUMIF($C152:$C202,"Depreciation (MM)",O152:O202)),
0)</f>
        <v>21.959030014014793</v>
      </c>
      <c r="P209" s="537">
        <f ca="1">IF(OFFSET(NAMES!$G$1,MATCH($C151,NAMES!$D:$D,0)-1,0)=TRUE,
(SUMIF($C152:$C202,"Depreciation (MM)",P152:P202)),
0)</f>
        <v>22.947848961838368</v>
      </c>
      <c r="Q209" s="537">
        <f ca="1">IF(OFFSET(NAMES!$G$1,MATCH($C151,NAMES!$D:$D,0)-1,0)=TRUE,
(SUMIF($C152:$C202,"Depreciation (MM)",Q152:Q202)),
0)</f>
        <v>23.947579334673193</v>
      </c>
      <c r="R209" s="537">
        <f ca="1">IF(OFFSET(NAMES!$G$1,MATCH($C151,NAMES!$D:$D,0)-1,0)=TRUE,
(SUMIF($C152:$C202,"Depreciation (MM)",R152:R202)),
0)</f>
        <v>25.012070620827597</v>
      </c>
      <c r="S209" s="537">
        <f ca="1">IF(OFFSET(NAMES!$G$1,MATCH($C151,NAMES!$D:$D,0)-1,0)=TRUE,
(SUMIF($C152:$C202,"Depreciation (MM)",S152:S202)),
0)</f>
        <v>26.126262638191292</v>
      </c>
      <c r="T209" s="537">
        <f ca="1">IF(OFFSET(NAMES!$G$1,MATCH($C151,NAMES!$D:$D,0)-1,0)=TRUE,
(SUMIF($C152:$C202,"Depreciation (MM)",T152:T202)),
0)</f>
        <v>27.29225530324748</v>
      </c>
      <c r="U209" s="537">
        <f ca="1">IF(OFFSET(NAMES!$G$1,MATCH($C151,NAMES!$D:$D,0)-1,0)=TRUE,
(SUMIF($C152:$C202,"Depreciation (MM)",U152:U202)),
0)</f>
        <v>28.542110612042755</v>
      </c>
      <c r="V209" s="537">
        <f ca="1">IF(OFFSET(NAMES!$G$1,MATCH($C151,NAMES!$D:$D,0)-1,0)=TRUE,
(SUMIF($C152:$C202,"Depreciation (MM)",V152:V202)),
0)</f>
        <v>29.816963788724507</v>
      </c>
      <c r="W209" s="537">
        <f ca="1">IF(OFFSET(NAMES!$G$1,MATCH($C151,NAMES!$D:$D,0)-1,0)=TRUE,
(SUMIF($C152:$C202,"Depreciation (MM)",W152:W202)),
0)</f>
        <v>31.147197950426349</v>
      </c>
      <c r="X209" s="537">
        <f ca="1">IF(OFFSET(NAMES!$G$1,MATCH($C151,NAMES!$D:$D,0)-1,0)=TRUE,
(SUMIF($C152:$C202,"Depreciation (MM)",X152:X202)),
0)</f>
        <v>32.566820176674284</v>
      </c>
      <c r="Y209" s="537">
        <f ca="1">IF(OFFSET(NAMES!$G$1,MATCH($C151,NAMES!$D:$D,0)-1,0)=TRUE,
(SUMIF($C152:$C202,"Depreciation (MM)",Y152:Y202)),
0)</f>
        <v>34.045705122264046</v>
      </c>
      <c r="Z209" s="537">
        <f ca="1">IF(OFFSET(NAMES!$G$1,MATCH($C151,NAMES!$D:$D,0)-1,0)=TRUE,
(SUMIF($C152:$C202,"Depreciation (MM)",Z152:Z202)),
0)</f>
        <v>35.553402189462531</v>
      </c>
      <c r="AA209" s="537">
        <f ca="1">IF(OFFSET(NAMES!$G$1,MATCH($C151,NAMES!$D:$D,0)-1,0)=TRUE,
(SUMIF($C152:$C202,"Depreciation (MM)",AA152:AA202)),
0)</f>
        <v>37.161142883539014</v>
      </c>
      <c r="AB209" s="537">
        <f ca="1">IF(OFFSET(NAMES!$G$1,MATCH($C151,NAMES!$D:$D,0)-1,0)=TRUE,
(SUMIF($C152:$C202,"Depreciation (MM)",AB152:AB202)),
0)</f>
        <v>38.838607005966935</v>
      </c>
      <c r="AC209" s="537">
        <f ca="1">IF(OFFSET(NAMES!$G$1,MATCH($C151,NAMES!$D:$D,0)-1,0)=TRUE,
(SUMIF($C152:$C202,"Depreciation (MM)",AC152:AC202)),
0)</f>
        <v>40.589310374816719</v>
      </c>
      <c r="AD209" s="537">
        <f ca="1">IF(OFFSET(NAMES!$G$1,MATCH($C151,NAMES!$D:$D,0)-1,0)=TRUE,
(SUMIF($C152:$C202,"Depreciation (MM)",AD152:AD202)),
0)</f>
        <v>42.418516438976432</v>
      </c>
      <c r="AE209" s="537">
        <f ca="1">IF(OFFSET(NAMES!$G$1,MATCH($C151,NAMES!$D:$D,0)-1,0)=TRUE,
(SUMIF($C152:$C202,"Depreciation (MM)",AE152:AE202)),
0)</f>
        <v>44.326088457659509</v>
      </c>
      <c r="AF209" s="537">
        <f ca="1">IF(OFFSET(NAMES!$G$1,MATCH($C151,NAMES!$D:$D,0)-1,0)=TRUE,
(SUMIF($C152:$C202,"Depreciation (MM)",AF152:AF202)),
0)</f>
        <v>46.317088121141381</v>
      </c>
      <c r="AG209" s="537">
        <f ca="1">IF(OFFSET(NAMES!$G$1,MATCH($C151,NAMES!$D:$D,0)-1,0)=TRUE,
(SUMIF($C152:$C202,"Depreciation (MM)",AG152:AG202)),
0)</f>
        <v>48.3966194295853</v>
      </c>
      <c r="AH209" s="537">
        <f ca="1">IF(OFFSET(NAMES!$G$1,MATCH($C151,NAMES!$D:$D,0)-1,0)=TRUE,
(SUMIF($C152:$C202,"Depreciation (MM)",AH152:AH202)),
0)</f>
        <v>50.567106563145849</v>
      </c>
      <c r="AI209" s="537">
        <f ca="1">IF(OFFSET(NAMES!$G$1,MATCH($C151,NAMES!$D:$D,0)-1,0)=TRUE,
(SUMIF($C152:$C202,"Depreciation (MM)",AI152:AI202)),
0)</f>
        <v>52.829659016767309</v>
      </c>
      <c r="AJ209" s="537">
        <f ca="1">IF(OFFSET(NAMES!$G$1,MATCH($C151,NAMES!$D:$D,0)-1,0)=TRUE,
(SUMIF($C152:$C202,"Depreciation (MM)",AJ152:AJ202)),
0)</f>
        <v>55.19231942336657</v>
      </c>
      <c r="AK209" s="537">
        <f ca="1">IF(OFFSET(NAMES!$G$1,MATCH($C151,NAMES!$D:$D,0)-1,0)=TRUE,
(SUMIF($C152:$C202,"Depreciation (MM)",AK152:AK202)),
0)</f>
        <v>57.718908743005024</v>
      </c>
      <c r="AL209" s="537">
        <f ca="1">IF(OFFSET(NAMES!$G$1,MATCH($C151,NAMES!$D:$D,0)-1,0)=TRUE,
(SUMIF($C152:$C202,"Depreciation (MM)",AL152:AL202)),
0)</f>
        <v>60.294179482598274</v>
      </c>
      <c r="AM209" s="537">
        <f ca="1">IF(OFFSET(NAMES!$G$1,MATCH($C151,NAMES!$D:$D,0)-1,0)=TRUE,
(SUMIF($C152:$C202,"Depreciation (MM)",AM152:AM202)),
0)</f>
        <v>62.981784868420512</v>
      </c>
      <c r="AN209" s="537">
        <f ca="1">IF(OFFSET(NAMES!$G$1,MATCH($C151,NAMES!$D:$D,0)-1,0)=TRUE,
(SUMIF($C152:$C202,"Depreciation (MM)",AN152:AN202)),
0)</f>
        <v>65.827869980157317</v>
      </c>
      <c r="AO209" s="436"/>
      <c r="AP209" s="21"/>
    </row>
    <row r="210" spans="2:42" ht="15" customHeight="1" x14ac:dyDescent="0.35">
      <c r="B210" s="429"/>
      <c r="C210" s="777" t="s">
        <v>219</v>
      </c>
      <c r="D210" s="776"/>
      <c r="E210" s="535">
        <f ca="1">IF(OFFSET(NAMES!$G$1,MATCH($C151,NAMES!$D:$D,0)-1,0)=TRUE,
(SUMIF($C152:$C202,"Overhead (MM)",E152:E202)),
0)</f>
        <v>8.8389227599773204</v>
      </c>
      <c r="F210" s="535">
        <f ca="1">IF(OFFSET(NAMES!$G$1,MATCH($C151,NAMES!$D:$D,0)-1,0)=TRUE,
(SUMIF($C152:$C202,"Overhead (MM)",F152:F202)),
0)</f>
        <v>9.1653496535829362</v>
      </c>
      <c r="G210" s="535">
        <f ca="1">IF(OFFSET(NAMES!$G$1,MATCH($C151,NAMES!$D:$D,0)-1,0)=TRUE,
(SUMIF($C152:$C202,"Overhead (MM)",G152:G202)),
0)</f>
        <v>9.4473169311120557</v>
      </c>
      <c r="H210" s="535">
        <f ca="1">IF(OFFSET(NAMES!$G$1,MATCH($C151,NAMES!$D:$D,0)-1,0)=TRUE,
(SUMIF($C152:$C202,"Overhead (MM)",H152:H202)),
0)</f>
        <v>9.8202672711110974</v>
      </c>
      <c r="I210" s="535">
        <f ca="1">IF(OFFSET(NAMES!$G$1,MATCH($C151,NAMES!$D:$D,0)-1,0)=TRUE,
(SUMIF($C152:$C202,"Overhead (MM)",I152:I202)),
0)</f>
        <v>10.049572291543358</v>
      </c>
      <c r="J210" s="535">
        <f ca="1">IF(OFFSET(NAMES!$G$1,MATCH($C151,NAMES!$D:$D,0)-1,0)=TRUE,
(SUMIF($C152:$C202,"Overhead (MM)",J152:J202)),
0)</f>
        <v>10.491447985412298</v>
      </c>
      <c r="K210" s="535">
        <f ca="1">IF(OFFSET(NAMES!$G$1,MATCH($C151,NAMES!$D:$D,0)-1,0)=TRUE,
(SUMIF($C152:$C202,"Overhead (MM)",K152:K202)),
0)</f>
        <v>10.979451767159304</v>
      </c>
      <c r="L210" s="535">
        <f ca="1">IF(OFFSET(NAMES!$G$1,MATCH($C151,NAMES!$D:$D,0)-1,0)=TRUE,
(SUMIF($C152:$C202,"Overhead (MM)",L152:L202)),
0)</f>
        <v>11.49213315323466</v>
      </c>
      <c r="M210" s="535">
        <f ca="1">IF(OFFSET(NAMES!$G$1,MATCH($C151,NAMES!$D:$D,0)-1,0)=TRUE,
(SUMIF($C152:$C202,"Overhead (MM)",M152:M202)),
0)</f>
        <v>12.025313746818611</v>
      </c>
      <c r="N210" s="535">
        <f ca="1">IF(OFFSET(NAMES!$G$1,MATCH($C151,NAMES!$D:$D,0)-1,0)=TRUE,
(SUMIF($C152:$C202,"Overhead (MM)",N152:N202)),
0)</f>
        <v>12.572285105916137</v>
      </c>
      <c r="O210" s="535">
        <f ca="1">IF(OFFSET(NAMES!$G$1,MATCH($C151,NAMES!$D:$D,0)-1,0)=TRUE,
(SUMIF($C152:$C202,"Overhead (MM)",O152:O202)),
0)</f>
        <v>13.146659010379562</v>
      </c>
      <c r="P210" s="535">
        <f ca="1">IF(OFFSET(NAMES!$G$1,MATCH($C151,NAMES!$D:$D,0)-1,0)=TRUE,
(SUMIF($C152:$C202,"Overhead (MM)",P152:P202)),
0)</f>
        <v>13.738654453293517</v>
      </c>
      <c r="Q210" s="535">
        <f ca="1">IF(OFFSET(NAMES!$G$1,MATCH($C151,NAMES!$D:$D,0)-1,0)=TRUE,
(SUMIF($C152:$C202,"Overhead (MM)",Q152:Q202)),
0)</f>
        <v>14.337194648951005</v>
      </c>
      <c r="R210" s="535">
        <f ca="1">IF(OFFSET(NAMES!$G$1,MATCH($C151,NAMES!$D:$D,0)-1,0)=TRUE,
(SUMIF($C152:$C202,"Overhead (MM)",R152:R202)),
0)</f>
        <v>14.974495746846291</v>
      </c>
      <c r="S210" s="535">
        <f ca="1">IF(OFFSET(NAMES!$G$1,MATCH($C151,NAMES!$D:$D,0)-1,0)=TRUE,
(SUMIF($C152:$C202,"Overhead (MM)",S152:S202)),
0)</f>
        <v>15.641549173438069</v>
      </c>
      <c r="T210" s="535">
        <f ca="1">IF(OFFSET(NAMES!$G$1,MATCH($C151,NAMES!$D:$D,0)-1,0)=TRUE,
(SUMIF($C152:$C202,"Overhead (MM)",T152:T202)),
0)</f>
        <v>16.339634428534655</v>
      </c>
      <c r="U210" s="535">
        <f ca="1">IF(OFFSET(NAMES!$G$1,MATCH($C151,NAMES!$D:$D,0)-1,0)=TRUE,
(SUMIF($C152:$C202,"Overhead (MM)",U152:U202)),
0)</f>
        <v>17.087894705832429</v>
      </c>
      <c r="V210" s="535">
        <f ca="1">IF(OFFSET(NAMES!$G$1,MATCH($C151,NAMES!$D:$D,0)-1,0)=TRUE,
(SUMIF($C152:$C202,"Overhead (MM)",V152:V202)),
0)</f>
        <v>17.851155416511435</v>
      </c>
      <c r="W210" s="535">
        <f ca="1">IF(OFFSET(NAMES!$G$1,MATCH($C151,NAMES!$D:$D,0)-1,0)=TRUE,
(SUMIF($C152:$C202,"Overhead (MM)",W152:W202)),
0)</f>
        <v>18.647551360137914</v>
      </c>
      <c r="X210" s="535">
        <f ca="1">IF(OFFSET(NAMES!$G$1,MATCH($C151,NAMES!$D:$D,0)-1,0)=TRUE,
(SUMIF($C152:$C202,"Overhead (MM)",X152:X202)),
0)</f>
        <v>19.497466631932806</v>
      </c>
      <c r="Y210" s="535">
        <f ca="1">IF(OFFSET(NAMES!$G$1,MATCH($C151,NAMES!$D:$D,0)-1,0)=TRUE,
(SUMIF($C152:$C202,"Overhead (MM)",Y152:Y202)),
0)</f>
        <v>20.382866053729956</v>
      </c>
      <c r="Z210" s="535">
        <f ca="1">IF(OFFSET(NAMES!$G$1,MATCH($C151,NAMES!$D:$D,0)-1,0)=TRUE,
(SUMIF($C152:$C202,"Overhead (MM)",Z152:Z202)),
0)</f>
        <v>21.285528876520438</v>
      </c>
      <c r="AA210" s="535">
        <f ca="1">IF(OFFSET(NAMES!$G$1,MATCH($C151,NAMES!$D:$D,0)-1,0)=TRUE,
(SUMIF($C152:$C202,"Overhead (MM)",AA152:AA202)),
0)</f>
        <v>22.248070228458182</v>
      </c>
      <c r="AB210" s="535">
        <f ca="1">IF(OFFSET(NAMES!$G$1,MATCH($C151,NAMES!$D:$D,0)-1,0)=TRUE,
(SUMIF($C152:$C202,"Overhead (MM)",AB152:AB202)),
0)</f>
        <v>23.252354448204056</v>
      </c>
      <c r="AC210" s="535">
        <f ca="1">IF(OFFSET(NAMES!$G$1,MATCH($C151,NAMES!$D:$D,0)-1,0)=TRUE,
(SUMIF($C152:$C202,"Overhead (MM)",AC152:AC202)),
0)</f>
        <v>24.300486428992041</v>
      </c>
      <c r="AD210" s="535">
        <f ca="1">IF(OFFSET(NAMES!$G$1,MATCH($C151,NAMES!$D:$D,0)-1,0)=TRUE,
(SUMIF($C152:$C202,"Overhead (MM)",AD152:AD202)),
0)</f>
        <v>25.395612155341368</v>
      </c>
      <c r="AE210" s="535">
        <f ca="1">IF(OFFSET(NAMES!$G$1,MATCH($C151,NAMES!$D:$D,0)-1,0)=TRUE,
(SUMIF($C152:$C202,"Overhead (MM)",AE152:AE202)),
0)</f>
        <v>26.5376599080018</v>
      </c>
      <c r="AF210" s="535">
        <f ca="1">IF(OFFSET(NAMES!$G$1,MATCH($C151,NAMES!$D:$D,0)-1,0)=TRUE,
(SUMIF($C152:$C202,"Overhead (MM)",AF152:AF202)),
0)</f>
        <v>27.729655125852098</v>
      </c>
      <c r="AG210" s="535">
        <f ca="1">IF(OFFSET(NAMES!$G$1,MATCH($C151,NAMES!$D:$D,0)-1,0)=TRUE,
(SUMIF($C152:$C202,"Overhead (MM)",AG152:AG202)),
0)</f>
        <v>28.974684328264406</v>
      </c>
      <c r="AH210" s="535">
        <f ca="1">IF(OFFSET(NAMES!$G$1,MATCH($C151,NAMES!$D:$D,0)-1,0)=TRUE,
(SUMIF($C152:$C202,"Overhead (MM)",AH152:AH202)),
0)</f>
        <v>30.274132477742612</v>
      </c>
      <c r="AI210" s="535">
        <f ca="1">IF(OFFSET(NAMES!$G$1,MATCH($C151,NAMES!$D:$D,0)-1,0)=TRUE,
(SUMIF($C152:$C202,"Overhead (MM)",AI152:AI202)),
0)</f>
        <v>31.628705476346493</v>
      </c>
      <c r="AJ210" s="535">
        <f ca="1">IF(OFFSET(NAMES!$G$1,MATCH($C151,NAMES!$D:$D,0)-1,0)=TRUE,
(SUMIF($C152:$C202,"Overhead (MM)",AJ152:AJ202)),
0)</f>
        <v>33.043247966177013</v>
      </c>
      <c r="AK210" s="535">
        <f ca="1">IF(OFFSET(NAMES!$G$1,MATCH($C151,NAMES!$D:$D,0)-1,0)=TRUE,
(SUMIF($C152:$C202,"Overhead (MM)",AK152:AK202)),
0)</f>
        <v>34.555862127973668</v>
      </c>
      <c r="AL210" s="535">
        <f ca="1">IF(OFFSET(NAMES!$G$1,MATCH($C151,NAMES!$D:$D,0)-1,0)=TRUE,
(SUMIF($C152:$C202,"Overhead (MM)",AL152:AL202)),
0)</f>
        <v>36.097696467746125</v>
      </c>
      <c r="AM210" s="535">
        <f ca="1">IF(OFFSET(NAMES!$G$1,MATCH($C151,NAMES!$D:$D,0)-1,0)=TRUE,
(SUMIF($C152:$C202,"Overhead (MM)",AM152:AM202)),
0)</f>
        <v>37.706739454699708</v>
      </c>
      <c r="AN210" s="535">
        <f ca="1">IF(OFFSET(NAMES!$G$1,MATCH($C151,NAMES!$D:$D,0)-1,0)=TRUE,
(SUMIF($C152:$C202,"Overhead (MM)",AN152:AN202)),
0)</f>
        <v>39.410673094697927</v>
      </c>
      <c r="AO210" s="436"/>
      <c r="AP210" s="21"/>
    </row>
    <row r="211" spans="2:42" ht="15" customHeight="1" thickBot="1" x14ac:dyDescent="0.4">
      <c r="B211" s="465"/>
      <c r="C211" s="466"/>
      <c r="D211" s="466"/>
      <c r="E211" s="466"/>
      <c r="F211" s="466"/>
      <c r="G211" s="466"/>
      <c r="H211" s="466"/>
      <c r="I211" s="466"/>
      <c r="J211" s="466"/>
      <c r="K211" s="466"/>
      <c r="L211" s="466"/>
      <c r="M211" s="466"/>
      <c r="N211" s="466"/>
      <c r="O211" s="466"/>
      <c r="P211" s="466"/>
      <c r="Q211" s="466"/>
      <c r="R211" s="466"/>
      <c r="S211" s="466"/>
      <c r="T211" s="466"/>
      <c r="U211" s="466"/>
      <c r="V211" s="466"/>
      <c r="W211" s="466"/>
      <c r="X211" s="466"/>
      <c r="Y211" s="466"/>
      <c r="Z211" s="466"/>
      <c r="AA211" s="466"/>
      <c r="AB211" s="466"/>
      <c r="AC211" s="466"/>
      <c r="AD211" s="466"/>
      <c r="AE211" s="466"/>
      <c r="AF211" s="466"/>
      <c r="AG211" s="466"/>
      <c r="AH211" s="466"/>
      <c r="AI211" s="466"/>
      <c r="AJ211" s="466"/>
      <c r="AK211" s="466"/>
      <c r="AL211" s="466"/>
      <c r="AM211" s="466"/>
      <c r="AN211" s="466"/>
      <c r="AO211" s="467"/>
      <c r="AP211" s="21"/>
    </row>
    <row r="212" spans="2:42" ht="15" customHeight="1" x14ac:dyDescent="0.35">
      <c r="C212" s="469"/>
      <c r="D212" s="470"/>
      <c r="E212" s="469"/>
      <c r="F212" s="469"/>
      <c r="G212" s="469"/>
      <c r="H212" s="469"/>
      <c r="I212" s="469"/>
      <c r="J212" s="469"/>
      <c r="K212" s="469"/>
      <c r="L212" s="469"/>
      <c r="M212" s="469"/>
      <c r="N212" s="451"/>
      <c r="O212" s="451"/>
      <c r="P212" s="451"/>
      <c r="Q212" s="451"/>
      <c r="R212" s="451"/>
      <c r="S212" s="451"/>
      <c r="T212" s="451"/>
      <c r="U212" s="451"/>
      <c r="V212" s="451"/>
      <c r="W212" s="451"/>
      <c r="X212" s="451"/>
      <c r="Y212" s="451"/>
      <c r="Z212" s="451"/>
      <c r="AA212" s="451"/>
      <c r="AB212" s="451"/>
      <c r="AC212" s="451"/>
      <c r="AD212" s="451"/>
      <c r="AE212" s="451"/>
      <c r="AF212" s="451"/>
      <c r="AG212" s="451"/>
      <c r="AH212" s="451"/>
      <c r="AI212" s="451"/>
      <c r="AJ212" s="451"/>
      <c r="AK212" s="451"/>
      <c r="AL212" s="451"/>
      <c r="AM212" s="451"/>
    </row>
    <row r="213" spans="2:42" ht="15" customHeight="1" x14ac:dyDescent="0.35"/>
    <row r="214" spans="2:42" ht="15" customHeight="1" x14ac:dyDescent="0.35"/>
    <row r="215" spans="2:42" ht="15" customHeight="1" x14ac:dyDescent="0.35"/>
    <row r="216" spans="2:42" ht="15" customHeight="1" x14ac:dyDescent="0.35"/>
    <row r="217" spans="2:42" ht="15" customHeight="1" x14ac:dyDescent="0.35"/>
    <row r="218" spans="2:42" ht="15" customHeight="1" x14ac:dyDescent="0.35"/>
    <row r="219" spans="2:42" ht="15" customHeight="1" x14ac:dyDescent="0.35"/>
    <row r="220" spans="2:42" ht="15" customHeight="1" x14ac:dyDescent="0.35"/>
    <row r="221" spans="2:42" ht="15" customHeight="1" x14ac:dyDescent="0.35"/>
    <row r="222" spans="2:42" ht="15" customHeight="1" x14ac:dyDescent="0.35"/>
    <row r="223" spans="2:42" ht="15" customHeight="1" x14ac:dyDescent="0.35"/>
    <row r="224" spans="2:42" ht="15" customHeight="1" x14ac:dyDescent="0.35"/>
    <row r="225" ht="15" customHeight="1" x14ac:dyDescent="0.35"/>
    <row r="226" ht="15" customHeight="1" x14ac:dyDescent="0.35"/>
    <row r="227" ht="15" customHeight="1" x14ac:dyDescent="0.35"/>
    <row r="228" ht="15" customHeight="1" x14ac:dyDescent="0.35"/>
    <row r="229" ht="15" customHeight="1" x14ac:dyDescent="0.35"/>
    <row r="230" ht="15" customHeight="1" x14ac:dyDescent="0.35"/>
    <row r="231" ht="15" customHeight="1" x14ac:dyDescent="0.35"/>
    <row r="232" ht="15" customHeight="1" x14ac:dyDescent="0.35"/>
    <row r="233" ht="15" customHeight="1" x14ac:dyDescent="0.35"/>
    <row r="234" ht="15" customHeight="1" x14ac:dyDescent="0.35"/>
    <row r="235" ht="15" customHeight="1" x14ac:dyDescent="0.35"/>
    <row r="236" ht="15" customHeight="1" x14ac:dyDescent="0.35"/>
    <row r="237" ht="15" customHeight="1" x14ac:dyDescent="0.35"/>
    <row r="238" ht="15" customHeight="1" x14ac:dyDescent="0.35"/>
    <row r="239" ht="15" customHeight="1" x14ac:dyDescent="0.35"/>
    <row r="240" ht="15" customHeight="1" x14ac:dyDescent="0.35"/>
    <row r="241" ht="15" customHeight="1" x14ac:dyDescent="0.35"/>
    <row r="242" ht="15" customHeight="1" x14ac:dyDescent="0.35"/>
    <row r="243" ht="15" customHeight="1" x14ac:dyDescent="0.35"/>
    <row r="244" ht="15" customHeight="1" x14ac:dyDescent="0.35"/>
    <row r="245" ht="15" customHeight="1" x14ac:dyDescent="0.35"/>
    <row r="246" ht="15" customHeight="1" x14ac:dyDescent="0.35"/>
    <row r="247" ht="15" customHeight="1" x14ac:dyDescent="0.35"/>
    <row r="248" ht="15" customHeight="1" x14ac:dyDescent="0.35"/>
    <row r="249" ht="15" customHeight="1" x14ac:dyDescent="0.35"/>
    <row r="250" ht="15" customHeight="1" x14ac:dyDescent="0.35"/>
    <row r="251" ht="15" customHeight="1" x14ac:dyDescent="0.35"/>
    <row r="252" ht="15" customHeight="1" x14ac:dyDescent="0.35"/>
    <row r="253" ht="15" customHeight="1" x14ac:dyDescent="0.35"/>
    <row r="254" ht="15" customHeight="1" x14ac:dyDescent="0.35"/>
    <row r="255" ht="15" customHeight="1" x14ac:dyDescent="0.35"/>
    <row r="256" ht="15" customHeight="1" x14ac:dyDescent="0.35"/>
    <row r="257" ht="15" customHeight="1" x14ac:dyDescent="0.35"/>
    <row r="258" ht="15" customHeight="1" x14ac:dyDescent="0.35"/>
    <row r="259" ht="15" customHeight="1" x14ac:dyDescent="0.35"/>
    <row r="260" ht="15" customHeight="1" x14ac:dyDescent="0.35"/>
    <row r="261" ht="15" customHeight="1" x14ac:dyDescent="0.35"/>
    <row r="262" ht="15" customHeight="1" x14ac:dyDescent="0.35"/>
    <row r="263" ht="15" customHeight="1" x14ac:dyDescent="0.35"/>
    <row r="264" ht="15" customHeight="1" x14ac:dyDescent="0.35"/>
    <row r="265" ht="15" customHeight="1" x14ac:dyDescent="0.35"/>
    <row r="266" ht="15" customHeight="1" x14ac:dyDescent="0.35"/>
    <row r="267" ht="15" customHeight="1" x14ac:dyDescent="0.35"/>
    <row r="268" ht="15" customHeight="1" x14ac:dyDescent="0.35"/>
    <row r="269" ht="15" customHeight="1" x14ac:dyDescent="0.35"/>
    <row r="270" ht="15" customHeight="1" x14ac:dyDescent="0.35"/>
    <row r="271" ht="15" customHeight="1" x14ac:dyDescent="0.35"/>
    <row r="272" ht="15" customHeight="1" x14ac:dyDescent="0.35"/>
    <row r="273" ht="15" customHeight="1" x14ac:dyDescent="0.35"/>
    <row r="274" ht="15" customHeight="1" x14ac:dyDescent="0.35"/>
    <row r="275" ht="15" customHeight="1" x14ac:dyDescent="0.35"/>
    <row r="276" ht="15" customHeight="1" x14ac:dyDescent="0.35"/>
    <row r="277" ht="15" customHeight="1" x14ac:dyDescent="0.35"/>
    <row r="278" ht="15" customHeight="1" x14ac:dyDescent="0.35"/>
    <row r="279" ht="15" customHeight="1" x14ac:dyDescent="0.35"/>
    <row r="280" ht="15" customHeight="1" x14ac:dyDescent="0.35"/>
    <row r="281" ht="15" customHeight="1" x14ac:dyDescent="0.35"/>
    <row r="282" ht="15" customHeight="1" x14ac:dyDescent="0.35"/>
    <row r="283" ht="15" customHeight="1" x14ac:dyDescent="0.35"/>
    <row r="284" ht="15" customHeight="1" x14ac:dyDescent="0.35"/>
    <row r="285" ht="15" customHeight="1" x14ac:dyDescent="0.35"/>
    <row r="286" ht="15" customHeight="1" x14ac:dyDescent="0.35"/>
    <row r="287" ht="15" customHeight="1" x14ac:dyDescent="0.35"/>
    <row r="288" ht="15" customHeight="1" x14ac:dyDescent="0.35"/>
    <row r="289" ht="15" customHeight="1" x14ac:dyDescent="0.35"/>
    <row r="290" ht="15" customHeight="1" x14ac:dyDescent="0.35"/>
    <row r="291" ht="15" customHeight="1" x14ac:dyDescent="0.35"/>
    <row r="292" ht="15" customHeight="1" x14ac:dyDescent="0.35"/>
    <row r="293" ht="15" customHeight="1" x14ac:dyDescent="0.35"/>
    <row r="294" ht="15" customHeight="1" x14ac:dyDescent="0.35"/>
    <row r="295" ht="15" customHeight="1" x14ac:dyDescent="0.35"/>
    <row r="296" ht="15" customHeight="1" x14ac:dyDescent="0.35"/>
    <row r="297" ht="15" customHeight="1" x14ac:dyDescent="0.35"/>
    <row r="298" ht="15" customHeight="1" x14ac:dyDescent="0.35"/>
    <row r="299" ht="15" customHeight="1" x14ac:dyDescent="0.35"/>
    <row r="300" ht="15" customHeight="1" x14ac:dyDescent="0.35"/>
    <row r="301" ht="15" customHeight="1" x14ac:dyDescent="0.35"/>
    <row r="302" ht="15" customHeight="1" x14ac:dyDescent="0.35"/>
    <row r="303" ht="15" customHeight="1" x14ac:dyDescent="0.35"/>
    <row r="304" ht="15" customHeight="1" x14ac:dyDescent="0.35"/>
    <row r="305" ht="15" customHeight="1" x14ac:dyDescent="0.35"/>
    <row r="306" ht="15" customHeight="1" x14ac:dyDescent="0.35"/>
    <row r="307" ht="15" customHeight="1" x14ac:dyDescent="0.35"/>
    <row r="308" ht="15" customHeight="1" x14ac:dyDescent="0.35"/>
    <row r="309" ht="15" customHeight="1" x14ac:dyDescent="0.35"/>
    <row r="310" ht="15" customHeight="1" x14ac:dyDescent="0.35"/>
    <row r="311" ht="15" customHeight="1" x14ac:dyDescent="0.35"/>
    <row r="312" ht="15" customHeight="1" x14ac:dyDescent="0.35"/>
    <row r="313" ht="15" customHeight="1" x14ac:dyDescent="0.35"/>
    <row r="314" ht="15" customHeight="1" x14ac:dyDescent="0.35"/>
    <row r="315" ht="15" customHeight="1" x14ac:dyDescent="0.35"/>
    <row r="316" ht="15" customHeight="1" x14ac:dyDescent="0.35"/>
    <row r="317" ht="15" customHeight="1" x14ac:dyDescent="0.35"/>
    <row r="318" ht="15" customHeight="1" x14ac:dyDescent="0.35"/>
    <row r="319" ht="15" customHeight="1" x14ac:dyDescent="0.35"/>
    <row r="320" ht="15" customHeight="1" x14ac:dyDescent="0.35"/>
    <row r="321" ht="15" customHeight="1" x14ac:dyDescent="0.35"/>
    <row r="322" ht="15" customHeight="1" x14ac:dyDescent="0.35"/>
    <row r="323" ht="15" customHeight="1" x14ac:dyDescent="0.35"/>
    <row r="324" ht="15" customHeight="1" x14ac:dyDescent="0.35"/>
    <row r="325" ht="15" customHeight="1" x14ac:dyDescent="0.35"/>
    <row r="326" ht="15" customHeight="1" x14ac:dyDescent="0.35"/>
    <row r="327" ht="15" customHeight="1" x14ac:dyDescent="0.35"/>
    <row r="328" ht="15" customHeight="1" x14ac:dyDescent="0.35"/>
    <row r="329" ht="15" customHeight="1" x14ac:dyDescent="0.35"/>
    <row r="330" ht="15" customHeight="1" x14ac:dyDescent="0.35"/>
    <row r="331" ht="15" customHeight="1" x14ac:dyDescent="0.35"/>
    <row r="332" ht="15" customHeight="1" x14ac:dyDescent="0.35"/>
    <row r="333" ht="15" customHeight="1" x14ac:dyDescent="0.35"/>
    <row r="334" ht="15" customHeight="1" x14ac:dyDescent="0.35"/>
    <row r="335" ht="15" customHeight="1" x14ac:dyDescent="0.35"/>
    <row r="336" ht="15" customHeight="1" x14ac:dyDescent="0.35"/>
    <row r="337" ht="15" customHeight="1" x14ac:dyDescent="0.35"/>
    <row r="338" ht="15" customHeight="1" x14ac:dyDescent="0.35"/>
    <row r="339" ht="15" customHeight="1" x14ac:dyDescent="0.35"/>
    <row r="340" ht="15" customHeight="1" x14ac:dyDescent="0.35"/>
    <row r="341" ht="15" customHeight="1" x14ac:dyDescent="0.35"/>
    <row r="342" ht="15" customHeight="1" x14ac:dyDescent="0.35"/>
    <row r="343" ht="15" customHeight="1" x14ac:dyDescent="0.35"/>
    <row r="344" ht="15" customHeight="1" x14ac:dyDescent="0.35"/>
    <row r="345" ht="15" customHeight="1" x14ac:dyDescent="0.35"/>
    <row r="346" ht="15" customHeight="1" x14ac:dyDescent="0.35"/>
    <row r="347" ht="15" customHeight="1" x14ac:dyDescent="0.35"/>
    <row r="348" ht="15" customHeight="1" x14ac:dyDescent="0.35"/>
    <row r="349" ht="15" customHeight="1" x14ac:dyDescent="0.35"/>
    <row r="350" ht="15" customHeight="1" x14ac:dyDescent="0.35"/>
    <row r="351" ht="15" customHeight="1" x14ac:dyDescent="0.35"/>
    <row r="352" ht="15" customHeight="1" x14ac:dyDescent="0.35"/>
    <row r="353" ht="15" customHeight="1" x14ac:dyDescent="0.35"/>
    <row r="354" ht="15" customHeight="1" x14ac:dyDescent="0.35"/>
    <row r="355" ht="15" customHeight="1" x14ac:dyDescent="0.35"/>
    <row r="356" ht="15" customHeight="1" x14ac:dyDescent="0.35"/>
    <row r="357" ht="15" customHeight="1" x14ac:dyDescent="0.35"/>
    <row r="358" ht="15" customHeight="1" x14ac:dyDescent="0.35"/>
    <row r="359" ht="15" customHeight="1" x14ac:dyDescent="0.35"/>
    <row r="360" ht="15" customHeight="1" x14ac:dyDescent="0.35"/>
    <row r="361" ht="15" customHeight="1" x14ac:dyDescent="0.35"/>
    <row r="362" ht="15" customHeight="1" x14ac:dyDescent="0.35"/>
    <row r="363" ht="15" customHeight="1" x14ac:dyDescent="0.35"/>
    <row r="364" ht="15" customHeight="1" x14ac:dyDescent="0.35"/>
    <row r="365" ht="15" customHeight="1" x14ac:dyDescent="0.35"/>
    <row r="366" ht="15" customHeight="1" x14ac:dyDescent="0.35"/>
    <row r="367" ht="15" customHeight="1" x14ac:dyDescent="0.35"/>
    <row r="368" ht="15" customHeight="1" x14ac:dyDescent="0.35"/>
    <row r="369" ht="15" customHeight="1" x14ac:dyDescent="0.35"/>
    <row r="370" ht="15" customHeight="1" x14ac:dyDescent="0.35"/>
    <row r="371" ht="15" customHeight="1" x14ac:dyDescent="0.35"/>
    <row r="372" ht="15" customHeight="1" x14ac:dyDescent="0.35"/>
    <row r="373" ht="15" customHeight="1" x14ac:dyDescent="0.35"/>
    <row r="374" ht="15" customHeight="1" x14ac:dyDescent="0.35"/>
    <row r="375" ht="15" customHeight="1" x14ac:dyDescent="0.35"/>
    <row r="376" ht="15" customHeight="1" x14ac:dyDescent="0.35"/>
    <row r="377" ht="15" customHeight="1" x14ac:dyDescent="0.35"/>
    <row r="378" ht="15" customHeight="1" x14ac:dyDescent="0.35"/>
    <row r="379" ht="15" customHeight="1" x14ac:dyDescent="0.35"/>
    <row r="380" ht="15" customHeight="1" x14ac:dyDescent="0.35"/>
    <row r="381" ht="15" customHeight="1" x14ac:dyDescent="0.35"/>
    <row r="382" ht="15" customHeight="1" x14ac:dyDescent="0.35"/>
    <row r="383" ht="15" customHeight="1" x14ac:dyDescent="0.35"/>
    <row r="384" ht="15" customHeight="1" x14ac:dyDescent="0.35"/>
    <row r="385" ht="15" customHeight="1" x14ac:dyDescent="0.35"/>
    <row r="386" ht="15" customHeight="1" x14ac:dyDescent="0.35"/>
    <row r="387" ht="15" customHeight="1" x14ac:dyDescent="0.35"/>
    <row r="388" ht="15" customHeight="1" x14ac:dyDescent="0.35"/>
    <row r="389" ht="15" customHeight="1" x14ac:dyDescent="0.35"/>
    <row r="390" ht="15" customHeight="1" x14ac:dyDescent="0.35"/>
    <row r="391" ht="15" customHeight="1" x14ac:dyDescent="0.35"/>
    <row r="392" ht="15" customHeight="1" x14ac:dyDescent="0.35"/>
    <row r="393" ht="15" customHeight="1" x14ac:dyDescent="0.35"/>
    <row r="394" ht="15" customHeight="1" x14ac:dyDescent="0.35"/>
    <row r="395" ht="15" customHeight="1" x14ac:dyDescent="0.35"/>
    <row r="396" ht="15" customHeight="1" x14ac:dyDescent="0.35"/>
    <row r="397" ht="15" customHeight="1" x14ac:dyDescent="0.35"/>
    <row r="398" ht="15" customHeight="1" x14ac:dyDescent="0.35"/>
    <row r="399" ht="15" customHeight="1" x14ac:dyDescent="0.35"/>
    <row r="400" ht="15" customHeight="1" x14ac:dyDescent="0.35"/>
    <row r="401" ht="15" customHeight="1" x14ac:dyDescent="0.35"/>
    <row r="402" ht="15" customHeight="1" x14ac:dyDescent="0.35"/>
    <row r="403" ht="15" customHeight="1" x14ac:dyDescent="0.35"/>
    <row r="404" ht="15" customHeight="1" x14ac:dyDescent="0.35"/>
    <row r="405" ht="15" customHeight="1" x14ac:dyDescent="0.35"/>
    <row r="406" ht="15" customHeight="1" x14ac:dyDescent="0.35"/>
    <row r="407" ht="15" customHeight="1" x14ac:dyDescent="0.35"/>
    <row r="408" ht="15" customHeight="1" x14ac:dyDescent="0.35"/>
    <row r="409" ht="15" customHeight="1" x14ac:dyDescent="0.35"/>
    <row r="410" ht="15" customHeight="1" x14ac:dyDescent="0.35"/>
    <row r="411" ht="15" customHeight="1" x14ac:dyDescent="0.35"/>
    <row r="412" ht="15" customHeight="1" x14ac:dyDescent="0.35"/>
    <row r="413" ht="15" customHeight="1" x14ac:dyDescent="0.35"/>
    <row r="414" ht="15" customHeight="1" x14ac:dyDescent="0.35"/>
    <row r="415" ht="15" customHeight="1" x14ac:dyDescent="0.35"/>
    <row r="416" ht="15" customHeight="1" x14ac:dyDescent="0.35"/>
    <row r="417" ht="15" customHeight="1" x14ac:dyDescent="0.35"/>
    <row r="418" ht="15" customHeight="1" x14ac:dyDescent="0.35"/>
    <row r="419" ht="15" customHeight="1" x14ac:dyDescent="0.35"/>
    <row r="420" ht="15" customHeight="1" x14ac:dyDescent="0.35"/>
    <row r="421" ht="15" customHeight="1" x14ac:dyDescent="0.35"/>
    <row r="422" ht="15" customHeight="1" x14ac:dyDescent="0.35"/>
    <row r="423" ht="15" customHeight="1" x14ac:dyDescent="0.35"/>
    <row r="424" ht="15" customHeight="1" x14ac:dyDescent="0.35"/>
    <row r="425" ht="15" customHeight="1" x14ac:dyDescent="0.35"/>
    <row r="426" ht="15" customHeight="1" x14ac:dyDescent="0.35"/>
    <row r="427" ht="15" customHeight="1" x14ac:dyDescent="0.35"/>
    <row r="428" ht="15" customHeight="1" x14ac:dyDescent="0.35"/>
    <row r="429" ht="15" customHeight="1" x14ac:dyDescent="0.35"/>
    <row r="430" ht="15" customHeight="1" x14ac:dyDescent="0.35"/>
    <row r="431" ht="15" customHeight="1" x14ac:dyDescent="0.35"/>
    <row r="432" ht="15" customHeight="1" x14ac:dyDescent="0.35"/>
    <row r="433" ht="15" customHeight="1" x14ac:dyDescent="0.35"/>
    <row r="434" ht="15" customHeight="1" x14ac:dyDescent="0.35"/>
    <row r="435" ht="15" customHeight="1" x14ac:dyDescent="0.35"/>
    <row r="436" ht="15" customHeight="1" x14ac:dyDescent="0.35"/>
    <row r="437" ht="15" customHeight="1" x14ac:dyDescent="0.35"/>
    <row r="438" ht="15" customHeight="1" x14ac:dyDescent="0.35"/>
    <row r="439" ht="15" customHeight="1" x14ac:dyDescent="0.35"/>
    <row r="440" ht="15" customHeight="1" x14ac:dyDescent="0.35"/>
    <row r="441" ht="15" customHeight="1" x14ac:dyDescent="0.35"/>
    <row r="442" ht="15" customHeight="1" x14ac:dyDescent="0.35"/>
    <row r="443" ht="15" customHeight="1" x14ac:dyDescent="0.35"/>
    <row r="444" ht="15" customHeight="1" x14ac:dyDescent="0.35"/>
    <row r="445" ht="15" customHeight="1" x14ac:dyDescent="0.35"/>
    <row r="446" ht="15" customHeight="1" x14ac:dyDescent="0.35"/>
    <row r="447" ht="15" customHeight="1" x14ac:dyDescent="0.35"/>
    <row r="448" ht="15" customHeight="1" x14ac:dyDescent="0.35"/>
    <row r="449" ht="15" customHeight="1" x14ac:dyDescent="0.35"/>
    <row r="450" ht="15" customHeight="1" x14ac:dyDescent="0.35"/>
    <row r="451" ht="15" customHeight="1" x14ac:dyDescent="0.35"/>
    <row r="452" ht="15" customHeight="1" x14ac:dyDescent="0.35"/>
    <row r="453" ht="15" customHeight="1" x14ac:dyDescent="0.35"/>
    <row r="454" ht="15" customHeight="1" x14ac:dyDescent="0.35"/>
    <row r="455" ht="15" customHeight="1" x14ac:dyDescent="0.35"/>
    <row r="456" ht="15" customHeight="1" x14ac:dyDescent="0.35"/>
    <row r="457" ht="15" customHeight="1" x14ac:dyDescent="0.35"/>
    <row r="458" ht="15" customHeight="1" x14ac:dyDescent="0.35"/>
    <row r="459" ht="15" customHeight="1" x14ac:dyDescent="0.35"/>
    <row r="460" ht="15" customHeight="1" x14ac:dyDescent="0.35"/>
    <row r="461" ht="15" customHeight="1" x14ac:dyDescent="0.35"/>
    <row r="462" ht="15" customHeight="1" x14ac:dyDescent="0.35"/>
    <row r="463" ht="15" customHeight="1" x14ac:dyDescent="0.35"/>
    <row r="464" ht="15" customHeight="1" x14ac:dyDescent="0.35"/>
    <row r="465" ht="15" customHeight="1" x14ac:dyDescent="0.35"/>
    <row r="466" ht="15" customHeight="1" x14ac:dyDescent="0.35"/>
    <row r="467" ht="15" customHeight="1" x14ac:dyDescent="0.35"/>
    <row r="468" ht="15" customHeight="1" x14ac:dyDescent="0.35"/>
    <row r="469" ht="15" customHeight="1" x14ac:dyDescent="0.35"/>
    <row r="470" ht="15" customHeight="1" x14ac:dyDescent="0.35"/>
    <row r="471" ht="15" customHeight="1" x14ac:dyDescent="0.35"/>
    <row r="472" ht="15" customHeight="1" x14ac:dyDescent="0.35"/>
    <row r="473" ht="15" customHeight="1" x14ac:dyDescent="0.35"/>
    <row r="474" ht="15" customHeight="1" x14ac:dyDescent="0.35"/>
    <row r="475" ht="15" customHeight="1" x14ac:dyDescent="0.35"/>
    <row r="476" ht="15" customHeight="1" x14ac:dyDescent="0.35"/>
    <row r="477" ht="15" customHeight="1" x14ac:dyDescent="0.35"/>
    <row r="478" ht="15" customHeight="1" x14ac:dyDescent="0.35"/>
    <row r="479" ht="15" customHeight="1" x14ac:dyDescent="0.35"/>
    <row r="480" ht="15" customHeight="1" x14ac:dyDescent="0.35"/>
    <row r="481" ht="15" customHeight="1" x14ac:dyDescent="0.35"/>
    <row r="482" ht="15" customHeight="1" x14ac:dyDescent="0.35"/>
    <row r="483" ht="15" customHeight="1" x14ac:dyDescent="0.35"/>
    <row r="484" ht="15" customHeight="1" x14ac:dyDescent="0.35"/>
    <row r="485" ht="15" customHeight="1" x14ac:dyDescent="0.35"/>
    <row r="486" ht="15" customHeight="1" x14ac:dyDescent="0.35"/>
    <row r="487" ht="15" customHeight="1" x14ac:dyDescent="0.35"/>
    <row r="488" ht="15" customHeight="1" x14ac:dyDescent="0.35"/>
    <row r="489" ht="15" customHeight="1" x14ac:dyDescent="0.35"/>
    <row r="490" ht="15" customHeight="1" x14ac:dyDescent="0.35"/>
    <row r="491" ht="15" customHeight="1" x14ac:dyDescent="0.35"/>
    <row r="492" ht="15" customHeight="1" x14ac:dyDescent="0.35"/>
    <row r="493" ht="15" customHeight="1" x14ac:dyDescent="0.35"/>
    <row r="494" ht="15" customHeight="1" x14ac:dyDescent="0.35"/>
    <row r="495" ht="15" customHeight="1" x14ac:dyDescent="0.35"/>
    <row r="496" ht="15" customHeight="1" x14ac:dyDescent="0.35"/>
    <row r="497" ht="15" customHeight="1" x14ac:dyDescent="0.35"/>
    <row r="498" ht="15" customHeight="1" x14ac:dyDescent="0.35"/>
    <row r="499" ht="15" customHeight="1" x14ac:dyDescent="0.35"/>
    <row r="500" ht="15" customHeight="1" x14ac:dyDescent="0.35"/>
    <row r="501" ht="15" customHeight="1" x14ac:dyDescent="0.35"/>
    <row r="502" ht="15" customHeight="1" x14ac:dyDescent="0.35"/>
    <row r="503" ht="15" customHeight="1" x14ac:dyDescent="0.35"/>
    <row r="504" ht="15" customHeight="1" x14ac:dyDescent="0.35"/>
    <row r="505" ht="15" customHeight="1" x14ac:dyDescent="0.35"/>
    <row r="506" ht="15" customHeight="1" x14ac:dyDescent="0.35"/>
    <row r="507" ht="15" customHeight="1" x14ac:dyDescent="0.35"/>
    <row r="508" ht="15" customHeight="1" x14ac:dyDescent="0.35"/>
    <row r="509" ht="15" customHeight="1" x14ac:dyDescent="0.35"/>
    <row r="510" ht="15" customHeight="1" x14ac:dyDescent="0.35"/>
    <row r="511" ht="15" customHeight="1" x14ac:dyDescent="0.35"/>
    <row r="512" ht="15" customHeight="1" x14ac:dyDescent="0.35"/>
    <row r="513" ht="15" customHeight="1" x14ac:dyDescent="0.35"/>
    <row r="514" ht="15" customHeight="1" x14ac:dyDescent="0.35"/>
    <row r="515" ht="15" customHeight="1" x14ac:dyDescent="0.35"/>
    <row r="516" ht="15" customHeight="1" x14ac:dyDescent="0.35"/>
    <row r="517" ht="15" customHeight="1" x14ac:dyDescent="0.35"/>
    <row r="518" ht="15" customHeight="1" x14ac:dyDescent="0.35"/>
    <row r="519" ht="15" customHeight="1" x14ac:dyDescent="0.35"/>
    <row r="520" ht="15" customHeight="1" x14ac:dyDescent="0.35"/>
    <row r="521" ht="15" customHeight="1" x14ac:dyDescent="0.35"/>
    <row r="522" ht="15" customHeight="1" x14ac:dyDescent="0.35"/>
    <row r="523" ht="15" customHeight="1" x14ac:dyDescent="0.35"/>
    <row r="524" ht="15" customHeight="1" x14ac:dyDescent="0.35"/>
    <row r="525" ht="15" customHeight="1" x14ac:dyDescent="0.35"/>
    <row r="526" ht="15" customHeight="1" x14ac:dyDescent="0.35"/>
    <row r="527" ht="15" customHeight="1" x14ac:dyDescent="0.35"/>
    <row r="528" ht="15" customHeight="1" x14ac:dyDescent="0.35"/>
    <row r="529" ht="15" customHeight="1" x14ac:dyDescent="0.35"/>
    <row r="530" ht="15" customHeight="1" x14ac:dyDescent="0.35"/>
    <row r="531" ht="15" customHeight="1" x14ac:dyDescent="0.35"/>
    <row r="532" ht="15" customHeight="1" x14ac:dyDescent="0.35"/>
    <row r="533" ht="15" customHeight="1" x14ac:dyDescent="0.35"/>
    <row r="534" ht="15" customHeight="1" x14ac:dyDescent="0.35"/>
    <row r="535" ht="15" customHeight="1" x14ac:dyDescent="0.35"/>
    <row r="536" ht="15" customHeight="1" x14ac:dyDescent="0.35"/>
    <row r="537" ht="15" customHeight="1" x14ac:dyDescent="0.35"/>
    <row r="538" ht="15" customHeight="1" x14ac:dyDescent="0.35"/>
    <row r="539" ht="15" customHeight="1" x14ac:dyDescent="0.35"/>
    <row r="540" ht="15" customHeight="1" x14ac:dyDescent="0.35"/>
    <row r="541" ht="15" customHeight="1" x14ac:dyDescent="0.35"/>
    <row r="542" ht="15" customHeight="1" x14ac:dyDescent="0.35"/>
    <row r="543" ht="15" customHeight="1" x14ac:dyDescent="0.35"/>
    <row r="544" ht="15" customHeight="1" x14ac:dyDescent="0.35"/>
    <row r="545" ht="15" customHeight="1" x14ac:dyDescent="0.35"/>
    <row r="546" ht="15" customHeight="1" x14ac:dyDescent="0.35"/>
    <row r="547" ht="15" customHeight="1" x14ac:dyDescent="0.35"/>
    <row r="548" ht="15" customHeight="1" x14ac:dyDescent="0.35"/>
    <row r="549" ht="15" customHeight="1" x14ac:dyDescent="0.35"/>
    <row r="550" ht="15" customHeight="1" x14ac:dyDescent="0.35"/>
    <row r="551" ht="15" customHeight="1" x14ac:dyDescent="0.35"/>
    <row r="552" ht="15" customHeight="1" x14ac:dyDescent="0.35"/>
    <row r="553" ht="15" customHeight="1" x14ac:dyDescent="0.35"/>
    <row r="554" ht="15" customHeight="1" x14ac:dyDescent="0.35"/>
    <row r="555" ht="15" customHeight="1" x14ac:dyDescent="0.35"/>
    <row r="556" ht="15" customHeight="1" x14ac:dyDescent="0.35"/>
    <row r="557" ht="15" customHeight="1" x14ac:dyDescent="0.35"/>
    <row r="558" ht="15" customHeight="1" x14ac:dyDescent="0.35"/>
    <row r="559" ht="15" customHeight="1" x14ac:dyDescent="0.35"/>
    <row r="560" ht="15" customHeight="1" x14ac:dyDescent="0.35"/>
    <row r="561" ht="15" customHeight="1" x14ac:dyDescent="0.35"/>
    <row r="562" ht="15" customHeight="1" x14ac:dyDescent="0.35"/>
    <row r="563" ht="15" customHeight="1" x14ac:dyDescent="0.35"/>
    <row r="564" ht="15" customHeight="1" x14ac:dyDescent="0.35"/>
    <row r="565" ht="15" customHeight="1" x14ac:dyDescent="0.35"/>
    <row r="566" ht="15" customHeight="1" x14ac:dyDescent="0.35"/>
    <row r="567" ht="15" customHeight="1" x14ac:dyDescent="0.35"/>
    <row r="568" ht="15" customHeight="1" x14ac:dyDescent="0.35"/>
    <row r="569" ht="15" customHeight="1" x14ac:dyDescent="0.35"/>
    <row r="570" ht="15" customHeight="1" x14ac:dyDescent="0.35"/>
    <row r="571" ht="15" customHeight="1" x14ac:dyDescent="0.35"/>
    <row r="572" ht="15" customHeight="1" x14ac:dyDescent="0.35"/>
    <row r="573" ht="15" customHeight="1" x14ac:dyDescent="0.35"/>
    <row r="574" ht="15" customHeight="1" x14ac:dyDescent="0.35"/>
    <row r="575" ht="15" customHeight="1" x14ac:dyDescent="0.35"/>
    <row r="576" ht="15" customHeight="1" x14ac:dyDescent="0.35"/>
    <row r="577" ht="15" customHeight="1" x14ac:dyDescent="0.35"/>
    <row r="578" ht="15" customHeight="1" x14ac:dyDescent="0.35"/>
    <row r="579" ht="15" customHeight="1" x14ac:dyDescent="0.35"/>
    <row r="580" ht="15" customHeight="1" x14ac:dyDescent="0.35"/>
    <row r="581" ht="15" customHeight="1" x14ac:dyDescent="0.35"/>
    <row r="582" ht="15" customHeight="1" x14ac:dyDescent="0.35"/>
    <row r="583" ht="15" customHeight="1" x14ac:dyDescent="0.35"/>
    <row r="584" ht="15" customHeight="1" x14ac:dyDescent="0.35"/>
    <row r="585" ht="15" customHeight="1" x14ac:dyDescent="0.35"/>
    <row r="586" ht="15" customHeight="1" x14ac:dyDescent="0.35"/>
    <row r="587" ht="15" customHeight="1" x14ac:dyDescent="0.35"/>
    <row r="588" ht="15" customHeight="1" x14ac:dyDescent="0.35"/>
    <row r="589" ht="15" customHeight="1" x14ac:dyDescent="0.35"/>
    <row r="590" ht="15" customHeight="1" x14ac:dyDescent="0.35"/>
    <row r="591" ht="15" customHeight="1" x14ac:dyDescent="0.35"/>
    <row r="592" ht="15" customHeight="1" x14ac:dyDescent="0.35"/>
    <row r="593" ht="15" customHeight="1" x14ac:dyDescent="0.35"/>
    <row r="594" ht="15" customHeight="1" x14ac:dyDescent="0.35"/>
    <row r="595" ht="15" customHeight="1" x14ac:dyDescent="0.35"/>
    <row r="596" ht="15" customHeight="1" x14ac:dyDescent="0.35"/>
    <row r="597" ht="15" customHeight="1" x14ac:dyDescent="0.35"/>
    <row r="598" ht="15" customHeight="1" x14ac:dyDescent="0.35"/>
    <row r="599" ht="15" customHeight="1" x14ac:dyDescent="0.35"/>
    <row r="600" ht="15" customHeight="1" x14ac:dyDescent="0.35"/>
    <row r="601" ht="15" customHeight="1" x14ac:dyDescent="0.35"/>
    <row r="602" ht="15" customHeight="1" x14ac:dyDescent="0.35"/>
    <row r="603" ht="15" customHeight="1" x14ac:dyDescent="0.35"/>
    <row r="604" ht="15" customHeight="1" x14ac:dyDescent="0.35"/>
    <row r="605" ht="15" customHeight="1" x14ac:dyDescent="0.35"/>
    <row r="606" ht="15" customHeight="1" x14ac:dyDescent="0.35"/>
    <row r="607" ht="15" customHeight="1" x14ac:dyDescent="0.35"/>
    <row r="608" ht="15" customHeight="1" x14ac:dyDescent="0.35"/>
    <row r="609" ht="15" customHeight="1" x14ac:dyDescent="0.35"/>
    <row r="610" ht="15" customHeight="1" x14ac:dyDescent="0.35"/>
    <row r="611" ht="15" customHeight="1" x14ac:dyDescent="0.35"/>
    <row r="612" ht="15" customHeight="1" x14ac:dyDescent="0.35"/>
    <row r="613" ht="15" customHeight="1" x14ac:dyDescent="0.35"/>
    <row r="614" ht="15" customHeight="1" x14ac:dyDescent="0.35"/>
    <row r="615" ht="15" customHeight="1" x14ac:dyDescent="0.35"/>
    <row r="616" ht="15" customHeight="1" x14ac:dyDescent="0.35"/>
    <row r="617" ht="15" customHeight="1" x14ac:dyDescent="0.35"/>
    <row r="618" ht="15" customHeight="1" x14ac:dyDescent="0.35"/>
    <row r="619" ht="15" customHeight="1" x14ac:dyDescent="0.35"/>
    <row r="620" ht="15" customHeight="1" x14ac:dyDescent="0.35"/>
    <row r="621" ht="15" customHeight="1" x14ac:dyDescent="0.35"/>
    <row r="622" ht="15" customHeight="1" x14ac:dyDescent="0.35"/>
    <row r="623" ht="15" customHeight="1" x14ac:dyDescent="0.35"/>
    <row r="624" ht="15" customHeight="1" x14ac:dyDescent="0.35"/>
    <row r="625" ht="15" customHeight="1" x14ac:dyDescent="0.35"/>
    <row r="626" ht="15" customHeight="1" x14ac:dyDescent="0.35"/>
    <row r="627" ht="15" customHeight="1" x14ac:dyDescent="0.35"/>
    <row r="628" ht="15" customHeight="1" x14ac:dyDescent="0.35"/>
    <row r="629" ht="15" customHeight="1" x14ac:dyDescent="0.35"/>
    <row r="630" ht="15" customHeight="1" x14ac:dyDescent="0.35"/>
    <row r="631" ht="15" customHeight="1" x14ac:dyDescent="0.35"/>
    <row r="632" ht="15" customHeight="1" x14ac:dyDescent="0.35"/>
    <row r="633" ht="15" customHeight="1" x14ac:dyDescent="0.35"/>
    <row r="634" ht="15" customHeight="1" x14ac:dyDescent="0.35"/>
    <row r="635" ht="15" customHeight="1" x14ac:dyDescent="0.35"/>
    <row r="636" ht="15" customHeight="1" x14ac:dyDescent="0.35"/>
    <row r="637" ht="15" customHeight="1" x14ac:dyDescent="0.35"/>
    <row r="638" ht="15" customHeight="1" x14ac:dyDescent="0.35"/>
    <row r="639" ht="15" customHeight="1" x14ac:dyDescent="0.35"/>
    <row r="640" ht="15" customHeight="1" x14ac:dyDescent="0.35"/>
    <row r="641" ht="15" customHeight="1" x14ac:dyDescent="0.35"/>
    <row r="642" ht="15" customHeight="1" x14ac:dyDescent="0.35"/>
    <row r="643" ht="15" customHeight="1" x14ac:dyDescent="0.35"/>
    <row r="644" ht="15" customHeight="1" x14ac:dyDescent="0.35"/>
    <row r="645" ht="15" customHeight="1" x14ac:dyDescent="0.35"/>
    <row r="646" ht="15" customHeight="1" x14ac:dyDescent="0.35"/>
    <row r="647" ht="15" customHeight="1" x14ac:dyDescent="0.35"/>
    <row r="648" ht="15" customHeight="1" x14ac:dyDescent="0.35"/>
    <row r="649" ht="15" customHeight="1" x14ac:dyDescent="0.35"/>
    <row r="650" ht="15" customHeight="1" x14ac:dyDescent="0.35"/>
    <row r="651" ht="15" customHeight="1" x14ac:dyDescent="0.35"/>
    <row r="652" ht="15" customHeight="1" x14ac:dyDescent="0.35"/>
    <row r="653" ht="15" customHeight="1" x14ac:dyDescent="0.35"/>
    <row r="654" ht="15" customHeight="1" x14ac:dyDescent="0.35"/>
    <row r="655" ht="15" customHeight="1" x14ac:dyDescent="0.35"/>
    <row r="656" ht="15" customHeight="1" x14ac:dyDescent="0.35"/>
    <row r="657" ht="15" customHeight="1" x14ac:dyDescent="0.35"/>
    <row r="658" ht="15" customHeight="1" x14ac:dyDescent="0.35"/>
    <row r="659" ht="15" customHeight="1" x14ac:dyDescent="0.35"/>
    <row r="660" ht="15" customHeight="1" x14ac:dyDescent="0.35"/>
    <row r="661" ht="15" customHeight="1" x14ac:dyDescent="0.35"/>
    <row r="662" ht="15" customHeight="1" x14ac:dyDescent="0.35"/>
    <row r="663" ht="15" customHeight="1" x14ac:dyDescent="0.35"/>
    <row r="664" ht="15" customHeight="1" x14ac:dyDescent="0.35"/>
    <row r="665" ht="15" customHeight="1" x14ac:dyDescent="0.35"/>
    <row r="666" ht="15" customHeight="1" x14ac:dyDescent="0.35"/>
    <row r="667" ht="15" customHeight="1" x14ac:dyDescent="0.35"/>
    <row r="668" ht="15" customHeight="1" x14ac:dyDescent="0.35"/>
    <row r="669" ht="15" customHeight="1" x14ac:dyDescent="0.35"/>
    <row r="670" ht="15" customHeight="1" x14ac:dyDescent="0.35"/>
    <row r="671" ht="15" customHeight="1" x14ac:dyDescent="0.35"/>
    <row r="672" ht="15" customHeight="1" x14ac:dyDescent="0.35"/>
    <row r="673" ht="15" customHeight="1" x14ac:dyDescent="0.35"/>
    <row r="674" ht="15" customHeight="1" x14ac:dyDescent="0.35"/>
    <row r="675" ht="15" customHeight="1" x14ac:dyDescent="0.35"/>
    <row r="676" ht="15" customHeight="1" x14ac:dyDescent="0.35"/>
    <row r="677" ht="15" customHeight="1" x14ac:dyDescent="0.35"/>
    <row r="678" ht="15" customHeight="1" x14ac:dyDescent="0.35"/>
    <row r="679" ht="15" customHeight="1" x14ac:dyDescent="0.35"/>
    <row r="680" ht="15" customHeight="1" x14ac:dyDescent="0.35"/>
    <row r="681" ht="15" customHeight="1" x14ac:dyDescent="0.35"/>
    <row r="682" ht="15" customHeight="1" x14ac:dyDescent="0.35"/>
    <row r="683" ht="15" customHeight="1" x14ac:dyDescent="0.35"/>
    <row r="684" ht="15" customHeight="1" x14ac:dyDescent="0.35"/>
    <row r="685" ht="15" customHeight="1" x14ac:dyDescent="0.35"/>
    <row r="686" ht="15" customHeight="1" x14ac:dyDescent="0.35"/>
    <row r="687" ht="15" customHeight="1" x14ac:dyDescent="0.35"/>
    <row r="688" ht="15" customHeight="1" x14ac:dyDescent="0.35"/>
    <row r="689" ht="15" customHeight="1" x14ac:dyDescent="0.35"/>
    <row r="690" ht="15" customHeight="1" x14ac:dyDescent="0.35"/>
    <row r="691" ht="15" customHeight="1" x14ac:dyDescent="0.35"/>
    <row r="692" ht="15" customHeight="1" x14ac:dyDescent="0.35"/>
    <row r="693" ht="15" customHeight="1" x14ac:dyDescent="0.35"/>
    <row r="694" ht="15" customHeight="1" x14ac:dyDescent="0.35"/>
    <row r="695" ht="15" customHeight="1" x14ac:dyDescent="0.35"/>
    <row r="696" ht="15" customHeight="1" x14ac:dyDescent="0.35"/>
    <row r="697" ht="15" customHeight="1" x14ac:dyDescent="0.35"/>
    <row r="698" ht="15" customHeight="1" x14ac:dyDescent="0.35"/>
    <row r="699" ht="15" customHeight="1" x14ac:dyDescent="0.35"/>
    <row r="700" ht="15" customHeight="1" x14ac:dyDescent="0.35"/>
    <row r="701" ht="15" customHeight="1" x14ac:dyDescent="0.35"/>
    <row r="702" ht="15" customHeight="1" x14ac:dyDescent="0.35"/>
    <row r="703" ht="15" customHeight="1" x14ac:dyDescent="0.35"/>
    <row r="704" ht="15" customHeight="1" x14ac:dyDescent="0.35"/>
    <row r="705" ht="15" customHeight="1" x14ac:dyDescent="0.35"/>
    <row r="706" ht="15" customHeight="1" x14ac:dyDescent="0.35"/>
    <row r="707" ht="15" customHeight="1" x14ac:dyDescent="0.35"/>
    <row r="708" ht="15" customHeight="1" x14ac:dyDescent="0.35"/>
    <row r="709" ht="15" customHeight="1" x14ac:dyDescent="0.35"/>
    <row r="710" ht="15" customHeight="1" x14ac:dyDescent="0.35"/>
    <row r="711" ht="15" customHeight="1" x14ac:dyDescent="0.35"/>
    <row r="712" ht="15" customHeight="1" x14ac:dyDescent="0.35"/>
    <row r="713" ht="15" customHeight="1" x14ac:dyDescent="0.35"/>
    <row r="714" ht="15" customHeight="1" x14ac:dyDescent="0.35"/>
    <row r="715" ht="15" customHeight="1" x14ac:dyDescent="0.35"/>
    <row r="716" ht="15" customHeight="1" x14ac:dyDescent="0.35"/>
    <row r="717" ht="15" customHeight="1" x14ac:dyDescent="0.35"/>
    <row r="718" ht="15" customHeight="1" x14ac:dyDescent="0.35"/>
    <row r="719" ht="15" customHeight="1" x14ac:dyDescent="0.35"/>
    <row r="720" ht="15" customHeight="1" x14ac:dyDescent="0.35"/>
    <row r="721" ht="15" customHeight="1" x14ac:dyDescent="0.35"/>
    <row r="722" ht="15" customHeight="1" x14ac:dyDescent="0.35"/>
    <row r="723" ht="15" customHeight="1" x14ac:dyDescent="0.35"/>
    <row r="724" ht="15" customHeight="1" x14ac:dyDescent="0.35"/>
    <row r="725" ht="15" customHeight="1" x14ac:dyDescent="0.35"/>
    <row r="726" ht="15" customHeight="1" x14ac:dyDescent="0.35"/>
    <row r="727" ht="15" customHeight="1" x14ac:dyDescent="0.35"/>
    <row r="728" ht="15" customHeight="1" x14ac:dyDescent="0.35"/>
    <row r="729" ht="15" customHeight="1" x14ac:dyDescent="0.35"/>
    <row r="730" ht="15" customHeight="1" x14ac:dyDescent="0.35"/>
    <row r="731" ht="15" customHeight="1" x14ac:dyDescent="0.35"/>
    <row r="732" ht="15" customHeight="1" x14ac:dyDescent="0.35"/>
    <row r="733" ht="15" customHeight="1" x14ac:dyDescent="0.35"/>
    <row r="734" ht="15" customHeight="1" x14ac:dyDescent="0.35"/>
    <row r="735" ht="15" customHeight="1" x14ac:dyDescent="0.35"/>
    <row r="736" ht="15" customHeight="1" x14ac:dyDescent="0.35"/>
    <row r="737" ht="15" customHeight="1" x14ac:dyDescent="0.35"/>
    <row r="738" ht="15" customHeight="1" x14ac:dyDescent="0.35"/>
    <row r="739" ht="15" customHeight="1" x14ac:dyDescent="0.35"/>
    <row r="740" ht="15" customHeight="1" x14ac:dyDescent="0.35"/>
    <row r="741" ht="15" customHeight="1" x14ac:dyDescent="0.35"/>
    <row r="742" ht="15" customHeight="1" x14ac:dyDescent="0.35"/>
    <row r="743" ht="15" customHeight="1" x14ac:dyDescent="0.35"/>
    <row r="744" ht="15" customHeight="1" x14ac:dyDescent="0.35"/>
    <row r="745" ht="15" customHeight="1" x14ac:dyDescent="0.35"/>
    <row r="746" ht="15" customHeight="1" x14ac:dyDescent="0.35"/>
    <row r="747" ht="15" customHeight="1" x14ac:dyDescent="0.35"/>
    <row r="748" ht="15" customHeight="1" x14ac:dyDescent="0.35"/>
    <row r="749" ht="15" customHeight="1" x14ac:dyDescent="0.35"/>
    <row r="750" ht="15" customHeight="1" x14ac:dyDescent="0.35"/>
    <row r="751" ht="15" customHeight="1" x14ac:dyDescent="0.35"/>
    <row r="752" ht="15" customHeight="1" x14ac:dyDescent="0.35"/>
    <row r="753" ht="15" customHeight="1" x14ac:dyDescent="0.35"/>
    <row r="754" ht="15" customHeight="1" x14ac:dyDescent="0.35"/>
    <row r="755" ht="15" customHeight="1" x14ac:dyDescent="0.35"/>
    <row r="756" ht="15" customHeight="1" x14ac:dyDescent="0.35"/>
    <row r="757" ht="15" customHeight="1" x14ac:dyDescent="0.35"/>
    <row r="758" ht="15" customHeight="1" x14ac:dyDescent="0.35"/>
    <row r="759" ht="15" customHeight="1" x14ac:dyDescent="0.35"/>
    <row r="760" ht="15" customHeight="1" x14ac:dyDescent="0.35"/>
    <row r="761" ht="15" customHeight="1" x14ac:dyDescent="0.35"/>
    <row r="762" ht="15" customHeight="1" x14ac:dyDescent="0.35"/>
    <row r="763" ht="15" customHeight="1" x14ac:dyDescent="0.35"/>
    <row r="764" ht="15" customHeight="1" x14ac:dyDescent="0.35"/>
    <row r="765" ht="15" customHeight="1" x14ac:dyDescent="0.35"/>
    <row r="766" ht="15" customHeight="1" x14ac:dyDescent="0.35"/>
    <row r="767" ht="15" customHeight="1" x14ac:dyDescent="0.35"/>
    <row r="768" ht="15" customHeight="1" x14ac:dyDescent="0.35"/>
    <row r="769" ht="15" customHeight="1" x14ac:dyDescent="0.35"/>
    <row r="770" ht="15" customHeight="1" x14ac:dyDescent="0.35"/>
    <row r="771" ht="15" customHeight="1" x14ac:dyDescent="0.35"/>
    <row r="772" ht="15" customHeight="1" x14ac:dyDescent="0.35"/>
    <row r="773" ht="15" customHeight="1" x14ac:dyDescent="0.35"/>
    <row r="774" ht="15" customHeight="1" x14ac:dyDescent="0.35"/>
    <row r="775" ht="15" customHeight="1" x14ac:dyDescent="0.35"/>
    <row r="776" ht="15" customHeight="1" x14ac:dyDescent="0.35"/>
    <row r="777" ht="15" customHeight="1" x14ac:dyDescent="0.35"/>
    <row r="778" ht="15" customHeight="1" x14ac:dyDescent="0.35"/>
    <row r="779" ht="15" customHeight="1" x14ac:dyDescent="0.35"/>
    <row r="780" ht="15" customHeight="1" x14ac:dyDescent="0.35"/>
    <row r="781" ht="15" customHeight="1" x14ac:dyDescent="0.35"/>
    <row r="782" ht="15" customHeight="1" x14ac:dyDescent="0.35"/>
    <row r="783" ht="15" customHeight="1" x14ac:dyDescent="0.35"/>
    <row r="784" ht="15" customHeight="1" x14ac:dyDescent="0.35"/>
    <row r="785" ht="15" customHeight="1" x14ac:dyDescent="0.35"/>
    <row r="786" ht="15" customHeight="1" x14ac:dyDescent="0.35"/>
    <row r="787" ht="15" customHeight="1" x14ac:dyDescent="0.35"/>
    <row r="788" ht="15" customHeight="1" x14ac:dyDescent="0.35"/>
    <row r="789" ht="15" customHeight="1" x14ac:dyDescent="0.35"/>
    <row r="790" ht="15" customHeight="1" x14ac:dyDescent="0.35"/>
    <row r="791" ht="15" customHeight="1" x14ac:dyDescent="0.35"/>
    <row r="792" ht="15" customHeight="1" x14ac:dyDescent="0.35"/>
    <row r="793" ht="15" customHeight="1" x14ac:dyDescent="0.35"/>
    <row r="794" ht="15" customHeight="1" x14ac:dyDescent="0.35"/>
    <row r="795" ht="15" customHeight="1" x14ac:dyDescent="0.35"/>
    <row r="796" ht="15" customHeight="1" x14ac:dyDescent="0.35"/>
    <row r="797" ht="15" customHeight="1" x14ac:dyDescent="0.35"/>
    <row r="798" ht="15" customHeight="1" x14ac:dyDescent="0.35"/>
    <row r="799" ht="15" customHeight="1" x14ac:dyDescent="0.35"/>
    <row r="800" ht="15" customHeight="1" x14ac:dyDescent="0.35"/>
    <row r="801" ht="15" customHeight="1" x14ac:dyDescent="0.35"/>
    <row r="802" ht="15" customHeight="1" x14ac:dyDescent="0.35"/>
    <row r="803" ht="15" customHeight="1" x14ac:dyDescent="0.35"/>
    <row r="804" ht="15" customHeight="1" x14ac:dyDescent="0.35"/>
    <row r="805" ht="15" customHeight="1" x14ac:dyDescent="0.35"/>
    <row r="806" ht="15" customHeight="1" x14ac:dyDescent="0.35"/>
    <row r="807" ht="15" customHeight="1" x14ac:dyDescent="0.35"/>
    <row r="808" ht="15" customHeight="1" x14ac:dyDescent="0.35"/>
    <row r="809" ht="15" customHeight="1" x14ac:dyDescent="0.35"/>
    <row r="810" ht="15" customHeight="1" x14ac:dyDescent="0.35"/>
    <row r="811" ht="15" customHeight="1" x14ac:dyDescent="0.35"/>
    <row r="812" ht="15" customHeight="1" x14ac:dyDescent="0.35"/>
    <row r="813" ht="15" customHeight="1" x14ac:dyDescent="0.35"/>
    <row r="814" ht="15" customHeight="1" x14ac:dyDescent="0.35"/>
    <row r="815" ht="15" customHeight="1" x14ac:dyDescent="0.35"/>
    <row r="816" ht="15" customHeight="1" x14ac:dyDescent="0.35"/>
    <row r="817" ht="15" customHeight="1" x14ac:dyDescent="0.35"/>
    <row r="818" ht="15" customHeight="1" x14ac:dyDescent="0.35"/>
    <row r="819" ht="15" customHeight="1" x14ac:dyDescent="0.35"/>
    <row r="820" ht="15" customHeight="1" x14ac:dyDescent="0.35"/>
    <row r="821" ht="15" customHeight="1" x14ac:dyDescent="0.35"/>
    <row r="822" ht="15" customHeight="1" x14ac:dyDescent="0.35"/>
    <row r="823" ht="15" customHeight="1" x14ac:dyDescent="0.35"/>
    <row r="824" ht="15" customHeight="1" x14ac:dyDescent="0.35"/>
    <row r="825" ht="15" customHeight="1" x14ac:dyDescent="0.35"/>
    <row r="826" ht="15" customHeight="1" x14ac:dyDescent="0.35"/>
    <row r="827" ht="15" customHeight="1" x14ac:dyDescent="0.35"/>
    <row r="828" ht="15" customHeight="1" x14ac:dyDescent="0.35"/>
    <row r="829" ht="15" customHeight="1" x14ac:dyDescent="0.35"/>
    <row r="830" ht="15" customHeight="1" x14ac:dyDescent="0.35"/>
    <row r="831" ht="15" customHeight="1" x14ac:dyDescent="0.35"/>
    <row r="832" ht="15" customHeight="1" x14ac:dyDescent="0.35"/>
    <row r="833" ht="15" customHeight="1" x14ac:dyDescent="0.35"/>
    <row r="834" ht="15" customHeight="1" x14ac:dyDescent="0.35"/>
    <row r="835" ht="15" customHeight="1" x14ac:dyDescent="0.35"/>
    <row r="836" ht="15" customHeight="1" x14ac:dyDescent="0.35"/>
    <row r="837" ht="15" customHeight="1" x14ac:dyDescent="0.35"/>
    <row r="838" ht="15" customHeight="1" x14ac:dyDescent="0.35"/>
    <row r="839" ht="15" customHeight="1" x14ac:dyDescent="0.35"/>
    <row r="840" ht="15" customHeight="1" x14ac:dyDescent="0.35"/>
    <row r="841" ht="15" customHeight="1" x14ac:dyDescent="0.35"/>
    <row r="842" ht="15" customHeight="1" x14ac:dyDescent="0.35"/>
    <row r="843" ht="15" customHeight="1" x14ac:dyDescent="0.35"/>
    <row r="844" ht="15" customHeight="1" x14ac:dyDescent="0.35"/>
    <row r="845" ht="15" customHeight="1" x14ac:dyDescent="0.35"/>
    <row r="846" ht="15" customHeight="1" x14ac:dyDescent="0.35"/>
    <row r="847" ht="15" customHeight="1" x14ac:dyDescent="0.35"/>
    <row r="848" ht="15" customHeight="1" x14ac:dyDescent="0.35"/>
    <row r="849" ht="15" customHeight="1" x14ac:dyDescent="0.35"/>
    <row r="850" ht="15" customHeight="1" x14ac:dyDescent="0.35"/>
    <row r="851" ht="15" customHeight="1" x14ac:dyDescent="0.35"/>
    <row r="852" ht="15" customHeight="1" x14ac:dyDescent="0.35"/>
    <row r="853" ht="15" customHeight="1" x14ac:dyDescent="0.35"/>
    <row r="854" ht="15" customHeight="1" x14ac:dyDescent="0.35"/>
    <row r="855" ht="15" customHeight="1" x14ac:dyDescent="0.35"/>
    <row r="856" ht="15" customHeight="1" x14ac:dyDescent="0.35"/>
    <row r="857" ht="15" customHeight="1" x14ac:dyDescent="0.35"/>
    <row r="858" ht="15" customHeight="1" x14ac:dyDescent="0.35"/>
    <row r="859" ht="15" customHeight="1" x14ac:dyDescent="0.35"/>
    <row r="860" ht="15" customHeight="1" x14ac:dyDescent="0.35"/>
    <row r="861" ht="15" customHeight="1" x14ac:dyDescent="0.35"/>
    <row r="862" ht="15" customHeight="1" x14ac:dyDescent="0.35"/>
    <row r="863" ht="15" customHeight="1" x14ac:dyDescent="0.35"/>
    <row r="864" ht="15" customHeight="1" x14ac:dyDescent="0.35"/>
    <row r="865" ht="15" customHeight="1" x14ac:dyDescent="0.35"/>
    <row r="866" ht="15" customHeight="1" x14ac:dyDescent="0.35"/>
    <row r="867" ht="15" customHeight="1" x14ac:dyDescent="0.35"/>
    <row r="868" ht="15" customHeight="1" x14ac:dyDescent="0.35"/>
    <row r="869" ht="15" customHeight="1" x14ac:dyDescent="0.35"/>
    <row r="870" ht="15" customHeight="1" x14ac:dyDescent="0.35"/>
    <row r="871" ht="15" customHeight="1" x14ac:dyDescent="0.35"/>
    <row r="872" ht="15" customHeight="1" x14ac:dyDescent="0.35"/>
    <row r="873" ht="15" customHeight="1" x14ac:dyDescent="0.35"/>
    <row r="874" ht="15" customHeight="1" x14ac:dyDescent="0.35"/>
    <row r="875" ht="15" customHeight="1" x14ac:dyDescent="0.35"/>
    <row r="876" ht="15" customHeight="1" x14ac:dyDescent="0.35"/>
    <row r="877" ht="15" customHeight="1" x14ac:dyDescent="0.35"/>
    <row r="878" ht="15" customHeight="1" x14ac:dyDescent="0.35"/>
    <row r="879" ht="15" customHeight="1" x14ac:dyDescent="0.35"/>
    <row r="880" ht="15" customHeight="1" x14ac:dyDescent="0.35"/>
    <row r="881" ht="15" customHeight="1" x14ac:dyDescent="0.35"/>
    <row r="882" ht="15" customHeight="1" x14ac:dyDescent="0.35"/>
    <row r="883" ht="15" customHeight="1" x14ac:dyDescent="0.35"/>
    <row r="884" ht="15" customHeight="1" x14ac:dyDescent="0.35"/>
    <row r="885" ht="15" customHeight="1" x14ac:dyDescent="0.35"/>
    <row r="886" ht="15" customHeight="1" x14ac:dyDescent="0.35"/>
    <row r="887" ht="15" customHeight="1" x14ac:dyDescent="0.35"/>
    <row r="888" ht="15" customHeight="1" x14ac:dyDescent="0.35"/>
    <row r="889" ht="15" customHeight="1" x14ac:dyDescent="0.35"/>
    <row r="890" ht="15" customHeight="1" x14ac:dyDescent="0.35"/>
    <row r="891" ht="15" customHeight="1" x14ac:dyDescent="0.35"/>
    <row r="892" ht="15" customHeight="1" x14ac:dyDescent="0.35"/>
    <row r="893" ht="15" customHeight="1" x14ac:dyDescent="0.35"/>
    <row r="894" ht="15" customHeight="1" x14ac:dyDescent="0.35"/>
    <row r="895" ht="15" customHeight="1" x14ac:dyDescent="0.35"/>
    <row r="896" ht="15" customHeight="1" x14ac:dyDescent="0.35"/>
    <row r="897" ht="15" customHeight="1" x14ac:dyDescent="0.35"/>
    <row r="898" ht="15" customHeight="1" x14ac:dyDescent="0.35"/>
    <row r="899" ht="15" customHeight="1" x14ac:dyDescent="0.35"/>
    <row r="900" ht="15" customHeight="1" x14ac:dyDescent="0.35"/>
    <row r="901" ht="15" customHeight="1" x14ac:dyDescent="0.35"/>
    <row r="902" ht="15" customHeight="1" x14ac:dyDescent="0.35"/>
    <row r="903" ht="15" customHeight="1" x14ac:dyDescent="0.35"/>
    <row r="904" ht="15" customHeight="1" x14ac:dyDescent="0.35"/>
    <row r="905" ht="15" customHeight="1" x14ac:dyDescent="0.35"/>
    <row r="906" ht="15" customHeight="1" x14ac:dyDescent="0.35"/>
    <row r="907" ht="15" customHeight="1" x14ac:dyDescent="0.35"/>
    <row r="908" ht="15" customHeight="1" x14ac:dyDescent="0.35"/>
    <row r="909" ht="15" customHeight="1" x14ac:dyDescent="0.35"/>
    <row r="910" ht="15" customHeight="1" x14ac:dyDescent="0.35"/>
    <row r="911" ht="15" customHeight="1" x14ac:dyDescent="0.35"/>
    <row r="912" ht="15" customHeight="1" x14ac:dyDescent="0.35"/>
    <row r="913" ht="15" customHeight="1" x14ac:dyDescent="0.35"/>
    <row r="914" ht="15" customHeight="1" x14ac:dyDescent="0.35"/>
    <row r="915" ht="15" customHeight="1" x14ac:dyDescent="0.35"/>
    <row r="916" ht="15" customHeight="1" x14ac:dyDescent="0.35"/>
    <row r="917" ht="15" customHeight="1" x14ac:dyDescent="0.35"/>
    <row r="918" ht="15" customHeight="1" x14ac:dyDescent="0.35"/>
    <row r="919" ht="15" customHeight="1" x14ac:dyDescent="0.35"/>
    <row r="920" ht="15" customHeight="1" x14ac:dyDescent="0.35"/>
    <row r="921" ht="15" customHeight="1" x14ac:dyDescent="0.35"/>
    <row r="922" ht="15" customHeight="1" x14ac:dyDescent="0.35"/>
    <row r="923" ht="15" customHeight="1" x14ac:dyDescent="0.35"/>
    <row r="924" ht="15" customHeight="1" x14ac:dyDescent="0.35"/>
    <row r="925" ht="15" customHeight="1" x14ac:dyDescent="0.35"/>
    <row r="926" ht="15" customHeight="1" x14ac:dyDescent="0.35"/>
    <row r="927" ht="15" customHeight="1" x14ac:dyDescent="0.35"/>
    <row r="928" ht="15" customHeight="1" x14ac:dyDescent="0.35"/>
    <row r="929" ht="15" customHeight="1" x14ac:dyDescent="0.35"/>
    <row r="930" ht="15" customHeight="1" x14ac:dyDescent="0.35"/>
    <row r="931" ht="15" customHeight="1" x14ac:dyDescent="0.35"/>
    <row r="932" ht="15" customHeight="1" x14ac:dyDescent="0.35"/>
    <row r="933" ht="15" customHeight="1" x14ac:dyDescent="0.35"/>
    <row r="934" ht="15" customHeight="1" x14ac:dyDescent="0.35"/>
    <row r="935" ht="15" customHeight="1" x14ac:dyDescent="0.35"/>
    <row r="936" ht="15" customHeight="1" x14ac:dyDescent="0.35"/>
    <row r="937" ht="15" customHeight="1" x14ac:dyDescent="0.35"/>
    <row r="938" ht="15" customHeight="1" x14ac:dyDescent="0.35"/>
    <row r="939" ht="15" customHeight="1" x14ac:dyDescent="0.35"/>
    <row r="940" ht="15" customHeight="1" x14ac:dyDescent="0.35"/>
    <row r="941" ht="15" customHeight="1" x14ac:dyDescent="0.35"/>
    <row r="942" ht="15" customHeight="1" x14ac:dyDescent="0.35"/>
    <row r="943" ht="15" customHeight="1" x14ac:dyDescent="0.35"/>
    <row r="944" ht="15" customHeight="1" x14ac:dyDescent="0.35"/>
    <row r="945" ht="15" customHeight="1" x14ac:dyDescent="0.35"/>
    <row r="946" ht="15" customHeight="1" x14ac:dyDescent="0.35"/>
    <row r="947" ht="15" customHeight="1" x14ac:dyDescent="0.35"/>
    <row r="948" ht="15" customHeight="1" x14ac:dyDescent="0.35"/>
    <row r="949" ht="15" customHeight="1" x14ac:dyDescent="0.35"/>
    <row r="950" ht="15" customHeight="1" x14ac:dyDescent="0.35"/>
    <row r="951" ht="15" customHeight="1" x14ac:dyDescent="0.35"/>
    <row r="952" ht="15" customHeight="1" x14ac:dyDescent="0.35"/>
    <row r="953" ht="15" customHeight="1" x14ac:dyDescent="0.35"/>
    <row r="954" ht="15" customHeight="1" x14ac:dyDescent="0.35"/>
    <row r="955" ht="15" customHeight="1" x14ac:dyDescent="0.35"/>
    <row r="956" ht="15" customHeight="1" x14ac:dyDescent="0.35"/>
    <row r="957" ht="15" customHeight="1" x14ac:dyDescent="0.35"/>
    <row r="958" ht="15" customHeight="1" x14ac:dyDescent="0.35"/>
    <row r="959" ht="15" customHeight="1" x14ac:dyDescent="0.35"/>
    <row r="960" ht="15" customHeight="1" x14ac:dyDescent="0.35"/>
    <row r="961" ht="15" customHeight="1" x14ac:dyDescent="0.35"/>
    <row r="962" ht="15" customHeight="1" x14ac:dyDescent="0.35"/>
    <row r="963" ht="15" customHeight="1" x14ac:dyDescent="0.35"/>
    <row r="964" ht="15" customHeight="1" x14ac:dyDescent="0.35"/>
    <row r="965" ht="15" customHeight="1" x14ac:dyDescent="0.35"/>
    <row r="966" ht="15" customHeight="1" x14ac:dyDescent="0.35"/>
    <row r="967" ht="15" customHeight="1" x14ac:dyDescent="0.35"/>
    <row r="968" ht="15" customHeight="1" x14ac:dyDescent="0.35"/>
    <row r="969" ht="15" customHeight="1" x14ac:dyDescent="0.35"/>
    <row r="970" ht="15" customHeight="1" x14ac:dyDescent="0.35"/>
    <row r="971" ht="15" customHeight="1" x14ac:dyDescent="0.35"/>
    <row r="972" ht="15" customHeight="1" x14ac:dyDescent="0.35"/>
    <row r="973" ht="15" customHeight="1" x14ac:dyDescent="0.35"/>
    <row r="974" ht="15" customHeight="1" x14ac:dyDescent="0.35"/>
    <row r="975" ht="15" customHeight="1" x14ac:dyDescent="0.35"/>
    <row r="976" ht="15" customHeight="1" x14ac:dyDescent="0.35"/>
    <row r="977" ht="15" customHeight="1" x14ac:dyDescent="0.35"/>
    <row r="978" ht="15" customHeight="1" x14ac:dyDescent="0.35"/>
    <row r="979" ht="15" customHeight="1" x14ac:dyDescent="0.35"/>
    <row r="980" ht="15" customHeight="1" x14ac:dyDescent="0.35"/>
    <row r="981" ht="15" customHeight="1" x14ac:dyDescent="0.35"/>
    <row r="982" ht="15" customHeight="1" x14ac:dyDescent="0.35"/>
    <row r="983" ht="15" customHeight="1" x14ac:dyDescent="0.35"/>
    <row r="984" ht="15" customHeight="1" x14ac:dyDescent="0.35"/>
    <row r="985" ht="15" customHeight="1" x14ac:dyDescent="0.35"/>
    <row r="986" ht="15" customHeight="1" x14ac:dyDescent="0.35"/>
    <row r="987" ht="15" customHeight="1" x14ac:dyDescent="0.35"/>
    <row r="988" ht="15" customHeight="1" x14ac:dyDescent="0.35"/>
    <row r="989" ht="15" customHeight="1" x14ac:dyDescent="0.35"/>
    <row r="990" ht="15" customHeight="1" x14ac:dyDescent="0.35"/>
    <row r="991" ht="15" customHeight="1" x14ac:dyDescent="0.35"/>
    <row r="992" ht="15" customHeight="1" x14ac:dyDescent="0.35"/>
    <row r="993" ht="15" customHeight="1" x14ac:dyDescent="0.35"/>
    <row r="994" ht="15" customHeight="1" x14ac:dyDescent="0.35"/>
    <row r="995" ht="15" customHeight="1" x14ac:dyDescent="0.35"/>
    <row r="996" ht="15" customHeight="1" x14ac:dyDescent="0.35"/>
    <row r="997" ht="15" customHeight="1" x14ac:dyDescent="0.35"/>
    <row r="998" ht="15" customHeight="1" x14ac:dyDescent="0.35"/>
    <row r="999" ht="15" customHeight="1" x14ac:dyDescent="0.35"/>
    <row r="1000" ht="15" customHeight="1" x14ac:dyDescent="0.35"/>
    <row r="1001" ht="15" customHeight="1" x14ac:dyDescent="0.35"/>
    <row r="1002" ht="15" customHeight="1" x14ac:dyDescent="0.35"/>
    <row r="1003" ht="15" customHeight="1" x14ac:dyDescent="0.35"/>
    <row r="1004" ht="15" customHeight="1" x14ac:dyDescent="0.35"/>
    <row r="1005" ht="15" customHeight="1" x14ac:dyDescent="0.35"/>
    <row r="1006" ht="15" customHeight="1" x14ac:dyDescent="0.35"/>
    <row r="1007" ht="15" customHeight="1" x14ac:dyDescent="0.35"/>
    <row r="1008" ht="15" customHeight="1" x14ac:dyDescent="0.35"/>
    <row r="1009" ht="15" customHeight="1" x14ac:dyDescent="0.35"/>
    <row r="1010" ht="15" customHeight="1" x14ac:dyDescent="0.35"/>
    <row r="1011" ht="15" customHeight="1" x14ac:dyDescent="0.35"/>
    <row r="1012" ht="15" customHeight="1" x14ac:dyDescent="0.35"/>
    <row r="1013" ht="15" customHeight="1" x14ac:dyDescent="0.35"/>
    <row r="1014" ht="15" customHeight="1" x14ac:dyDescent="0.35"/>
    <row r="1015" ht="15" customHeight="1" x14ac:dyDescent="0.35"/>
    <row r="1016" ht="15" customHeight="1" x14ac:dyDescent="0.35"/>
    <row r="1017" ht="15" customHeight="1" x14ac:dyDescent="0.35"/>
    <row r="1018" ht="15" customHeight="1" x14ac:dyDescent="0.35"/>
    <row r="1019" ht="15" customHeight="1" x14ac:dyDescent="0.35"/>
    <row r="1020" ht="15" customHeight="1" x14ac:dyDescent="0.35"/>
    <row r="1021" ht="15" customHeight="1" x14ac:dyDescent="0.35"/>
    <row r="1022" ht="15" customHeight="1" x14ac:dyDescent="0.35"/>
    <row r="1023" ht="15" customHeight="1" x14ac:dyDescent="0.35"/>
    <row r="1024" ht="15" customHeight="1" x14ac:dyDescent="0.35"/>
    <row r="1025" ht="15" customHeight="1" x14ac:dyDescent="0.35"/>
    <row r="1026" ht="15" customHeight="1" x14ac:dyDescent="0.35"/>
    <row r="1027" ht="15" customHeight="1" x14ac:dyDescent="0.35"/>
    <row r="1028" ht="15" customHeight="1" x14ac:dyDescent="0.35"/>
    <row r="1029" ht="15" customHeight="1" x14ac:dyDescent="0.35"/>
    <row r="1030" ht="15" customHeight="1" x14ac:dyDescent="0.35"/>
    <row r="1031" ht="15" customHeight="1" x14ac:dyDescent="0.35"/>
    <row r="1032" ht="15" customHeight="1" x14ac:dyDescent="0.35"/>
    <row r="1033" ht="15" customHeight="1" x14ac:dyDescent="0.35"/>
    <row r="1034" ht="15" customHeight="1" x14ac:dyDescent="0.35"/>
    <row r="1035" ht="15" customHeight="1" x14ac:dyDescent="0.35"/>
    <row r="1036" ht="15" customHeight="1" x14ac:dyDescent="0.35"/>
    <row r="1037" ht="15" customHeight="1" x14ac:dyDescent="0.35"/>
    <row r="1038" ht="15" customHeight="1" x14ac:dyDescent="0.35"/>
    <row r="1039" ht="15" customHeight="1" x14ac:dyDescent="0.35"/>
    <row r="1040" ht="15" customHeight="1" x14ac:dyDescent="0.35"/>
    <row r="1041" ht="15" customHeight="1" x14ac:dyDescent="0.35"/>
    <row r="1042" ht="15" customHeight="1" x14ac:dyDescent="0.35"/>
    <row r="1043" ht="15" customHeight="1" x14ac:dyDescent="0.35"/>
    <row r="1044" ht="15" customHeight="1" x14ac:dyDescent="0.35"/>
    <row r="1045" ht="15" customHeight="1" x14ac:dyDescent="0.35"/>
    <row r="1046" ht="15" customHeight="1" x14ac:dyDescent="0.35"/>
    <row r="1047" ht="15" customHeight="1" x14ac:dyDescent="0.35"/>
    <row r="1048" ht="15" customHeight="1" x14ac:dyDescent="0.35"/>
    <row r="1049" ht="15" customHeight="1" x14ac:dyDescent="0.35"/>
    <row r="1050" ht="15" customHeight="1" x14ac:dyDescent="0.35"/>
    <row r="1051" ht="15" customHeight="1" x14ac:dyDescent="0.35"/>
    <row r="1052" ht="15" customHeight="1" x14ac:dyDescent="0.35"/>
    <row r="1053" ht="15" customHeight="1" x14ac:dyDescent="0.35"/>
    <row r="1054" ht="15" customHeight="1" x14ac:dyDescent="0.35"/>
    <row r="1055" ht="15" customHeight="1" x14ac:dyDescent="0.35"/>
    <row r="1056" ht="15" customHeight="1" x14ac:dyDescent="0.35"/>
    <row r="1057" ht="15" customHeight="1" x14ac:dyDescent="0.35"/>
    <row r="1058" ht="15" customHeight="1" x14ac:dyDescent="0.35"/>
    <row r="1059" ht="15" customHeight="1" x14ac:dyDescent="0.35"/>
    <row r="1060" ht="15" customHeight="1" x14ac:dyDescent="0.35"/>
    <row r="1061" ht="15" customHeight="1" x14ac:dyDescent="0.35"/>
    <row r="1062" ht="15" customHeight="1" x14ac:dyDescent="0.35"/>
    <row r="1063" ht="15" customHeight="1" x14ac:dyDescent="0.35"/>
    <row r="1064" ht="15" customHeight="1" x14ac:dyDescent="0.35"/>
    <row r="1065" ht="15" customHeight="1" x14ac:dyDescent="0.35"/>
    <row r="1066" ht="15" customHeight="1" x14ac:dyDescent="0.35"/>
    <row r="1067" ht="15" customHeight="1" x14ac:dyDescent="0.35"/>
    <row r="1068" ht="15" customHeight="1" x14ac:dyDescent="0.35"/>
    <row r="1069" ht="15" customHeight="1" x14ac:dyDescent="0.35"/>
    <row r="1070" ht="15" customHeight="1" x14ac:dyDescent="0.35"/>
    <row r="1071" ht="15" customHeight="1" x14ac:dyDescent="0.35"/>
    <row r="1072" ht="15" customHeight="1" x14ac:dyDescent="0.35"/>
    <row r="1073" ht="15" customHeight="1" x14ac:dyDescent="0.35"/>
    <row r="1074" ht="15" customHeight="1" x14ac:dyDescent="0.35"/>
    <row r="1075" ht="15" customHeight="1" x14ac:dyDescent="0.35"/>
    <row r="1076" ht="15" customHeight="1" x14ac:dyDescent="0.35"/>
    <row r="1077" ht="15" customHeight="1" x14ac:dyDescent="0.35"/>
    <row r="1078" ht="15" customHeight="1" x14ac:dyDescent="0.35"/>
    <row r="1079" ht="15" customHeight="1" x14ac:dyDescent="0.35"/>
    <row r="1080" ht="15" customHeight="1" x14ac:dyDescent="0.35"/>
    <row r="1081" ht="15" customHeight="1" x14ac:dyDescent="0.35"/>
    <row r="1082" ht="15" customHeight="1" x14ac:dyDescent="0.35"/>
    <row r="1083" ht="15" customHeight="1" x14ac:dyDescent="0.35"/>
    <row r="1084" ht="15" customHeight="1" x14ac:dyDescent="0.35"/>
    <row r="1085" ht="15" customHeight="1" x14ac:dyDescent="0.35"/>
    <row r="1086" ht="15" customHeight="1" x14ac:dyDescent="0.35"/>
    <row r="1087" ht="15" customHeight="1" x14ac:dyDescent="0.35"/>
    <row r="1088" ht="15" customHeight="1" x14ac:dyDescent="0.35"/>
    <row r="1089" ht="15" customHeight="1" x14ac:dyDescent="0.35"/>
    <row r="1090" ht="15" customHeight="1" x14ac:dyDescent="0.35"/>
    <row r="1091" ht="15" customHeight="1" x14ac:dyDescent="0.35"/>
    <row r="1092" ht="15" customHeight="1" x14ac:dyDescent="0.35"/>
    <row r="1093" ht="15" customHeight="1" x14ac:dyDescent="0.35"/>
    <row r="1094" ht="15" customHeight="1" x14ac:dyDescent="0.35"/>
    <row r="1095" ht="15" customHeight="1" x14ac:dyDescent="0.35"/>
    <row r="1096" ht="15" customHeight="1" x14ac:dyDescent="0.35"/>
    <row r="1097" ht="15" customHeight="1" x14ac:dyDescent="0.35"/>
    <row r="1098" ht="15" customHeight="1" x14ac:dyDescent="0.35"/>
    <row r="1099" ht="15" customHeight="1" x14ac:dyDescent="0.35"/>
    <row r="1100" ht="15" customHeight="1" x14ac:dyDescent="0.35"/>
    <row r="1101" ht="15" customHeight="1" x14ac:dyDescent="0.35"/>
    <row r="1102" ht="15" customHeight="1" x14ac:dyDescent="0.35"/>
    <row r="1103" ht="15" customHeight="1" x14ac:dyDescent="0.35"/>
    <row r="1104" ht="15" customHeight="1" x14ac:dyDescent="0.35"/>
    <row r="1105" ht="15" customHeight="1" x14ac:dyDescent="0.35"/>
    <row r="1106" ht="15" customHeight="1" x14ac:dyDescent="0.35"/>
    <row r="1107" ht="15" customHeight="1" x14ac:dyDescent="0.35"/>
    <row r="1108" ht="15" customHeight="1" x14ac:dyDescent="0.35"/>
    <row r="1109" ht="15" customHeight="1" x14ac:dyDescent="0.35"/>
    <row r="1110" ht="15" customHeight="1" x14ac:dyDescent="0.35"/>
    <row r="1111" ht="15" customHeight="1" x14ac:dyDescent="0.35"/>
    <row r="1112" ht="15" customHeight="1" x14ac:dyDescent="0.35"/>
    <row r="1113" ht="15" customHeight="1" x14ac:dyDescent="0.35"/>
    <row r="1114" ht="15" customHeight="1" x14ac:dyDescent="0.35"/>
    <row r="1115" ht="15" customHeight="1" x14ac:dyDescent="0.35"/>
    <row r="1116" ht="15" customHeight="1" x14ac:dyDescent="0.35"/>
    <row r="1117" ht="15" customHeight="1" x14ac:dyDescent="0.35"/>
    <row r="1118" ht="15" customHeight="1" x14ac:dyDescent="0.35"/>
    <row r="1119" ht="15" customHeight="1" x14ac:dyDescent="0.35"/>
    <row r="1120" ht="15" customHeight="1" x14ac:dyDescent="0.35"/>
    <row r="1121" ht="15" customHeight="1" x14ac:dyDescent="0.35"/>
    <row r="1122" ht="15" customHeight="1" x14ac:dyDescent="0.35"/>
    <row r="1123" ht="15" customHeight="1" x14ac:dyDescent="0.35"/>
    <row r="1124" ht="15" customHeight="1" x14ac:dyDescent="0.35"/>
    <row r="1125" ht="15" customHeight="1" x14ac:dyDescent="0.35"/>
    <row r="1126" ht="15" customHeight="1" x14ac:dyDescent="0.35"/>
    <row r="1127" ht="15" customHeight="1" x14ac:dyDescent="0.35"/>
    <row r="1128" ht="15" customHeight="1" x14ac:dyDescent="0.35"/>
    <row r="1129" ht="15" customHeight="1" x14ac:dyDescent="0.35"/>
    <row r="1130" ht="15" customHeight="1" x14ac:dyDescent="0.35"/>
    <row r="1131" ht="15" customHeight="1" x14ac:dyDescent="0.35"/>
    <row r="1132" ht="15" customHeight="1" x14ac:dyDescent="0.35"/>
    <row r="1133" ht="15" customHeight="1" x14ac:dyDescent="0.35"/>
    <row r="1134" ht="15" customHeight="1" x14ac:dyDescent="0.35"/>
    <row r="1135" ht="15" customHeight="1" x14ac:dyDescent="0.35"/>
    <row r="1136" ht="15" customHeight="1" x14ac:dyDescent="0.35"/>
    <row r="1137" ht="15" customHeight="1" x14ac:dyDescent="0.35"/>
    <row r="1138" ht="15" customHeight="1" x14ac:dyDescent="0.35"/>
    <row r="1139" ht="15" customHeight="1" x14ac:dyDescent="0.35"/>
    <row r="1140" ht="15" customHeight="1" x14ac:dyDescent="0.35"/>
    <row r="1141" ht="15" customHeight="1" x14ac:dyDescent="0.35"/>
    <row r="1142" ht="15" customHeight="1" x14ac:dyDescent="0.35"/>
    <row r="1143" ht="15" customHeight="1" x14ac:dyDescent="0.35"/>
    <row r="1144" ht="15" customHeight="1" x14ac:dyDescent="0.35"/>
    <row r="1145" ht="15" customHeight="1" x14ac:dyDescent="0.35"/>
    <row r="1146" ht="15" customHeight="1" x14ac:dyDescent="0.35"/>
    <row r="1147" ht="15" customHeight="1" x14ac:dyDescent="0.35"/>
    <row r="1148" ht="15" customHeight="1" x14ac:dyDescent="0.35"/>
    <row r="1149" ht="15" customHeight="1" x14ac:dyDescent="0.35"/>
    <row r="1150" ht="15" customHeight="1" x14ac:dyDescent="0.35"/>
    <row r="1151" ht="15" customHeight="1" x14ac:dyDescent="0.35"/>
    <row r="1152" ht="15" customHeight="1" x14ac:dyDescent="0.35"/>
    <row r="1153" ht="15" customHeight="1" x14ac:dyDescent="0.35"/>
    <row r="1154" ht="15" customHeight="1" x14ac:dyDescent="0.35"/>
    <row r="1155" ht="15" customHeight="1" x14ac:dyDescent="0.35"/>
    <row r="1156" ht="15" customHeight="1" x14ac:dyDescent="0.35"/>
    <row r="1157" ht="15" customHeight="1" x14ac:dyDescent="0.35"/>
    <row r="1158" ht="15" customHeight="1" x14ac:dyDescent="0.35"/>
    <row r="1159" ht="15" customHeight="1" x14ac:dyDescent="0.35"/>
    <row r="1160" ht="15" customHeight="1" x14ac:dyDescent="0.35"/>
    <row r="1161" ht="15" customHeight="1" x14ac:dyDescent="0.35"/>
    <row r="1162" ht="15" customHeight="1" x14ac:dyDescent="0.35"/>
    <row r="1163" ht="15" customHeight="1" x14ac:dyDescent="0.35"/>
    <row r="1164" ht="15" customHeight="1" x14ac:dyDescent="0.35"/>
    <row r="1165" ht="15" customHeight="1" x14ac:dyDescent="0.35"/>
    <row r="1166" ht="15" customHeight="1" x14ac:dyDescent="0.35"/>
    <row r="1167" ht="15" customHeight="1" x14ac:dyDescent="0.35"/>
    <row r="1168" ht="15" customHeight="1" x14ac:dyDescent="0.35"/>
    <row r="1169" ht="15" customHeight="1" x14ac:dyDescent="0.35"/>
    <row r="1170" ht="15" customHeight="1" x14ac:dyDescent="0.35"/>
    <row r="1171" ht="15" customHeight="1" x14ac:dyDescent="0.35"/>
    <row r="1172" ht="15" customHeight="1" x14ac:dyDescent="0.35"/>
    <row r="1173" ht="15" customHeight="1" x14ac:dyDescent="0.35"/>
    <row r="1174" ht="15" customHeight="1" x14ac:dyDescent="0.35"/>
    <row r="1175" ht="15" customHeight="1" x14ac:dyDescent="0.35"/>
    <row r="1176" ht="15" customHeight="1" x14ac:dyDescent="0.35"/>
    <row r="1177" ht="15" customHeight="1" x14ac:dyDescent="0.35"/>
    <row r="1178" ht="15" customHeight="1" x14ac:dyDescent="0.35"/>
    <row r="1179" ht="15" customHeight="1" x14ac:dyDescent="0.35"/>
    <row r="1180" ht="15" customHeight="1" x14ac:dyDescent="0.35"/>
    <row r="1181" ht="15" customHeight="1" x14ac:dyDescent="0.35"/>
    <row r="1182" ht="15" customHeight="1" x14ac:dyDescent="0.35"/>
    <row r="1183" ht="15" customHeight="1" x14ac:dyDescent="0.35"/>
    <row r="1184" ht="15" customHeight="1" x14ac:dyDescent="0.35"/>
    <row r="1185" ht="15" customHeight="1" x14ac:dyDescent="0.35"/>
    <row r="1186" ht="15" customHeight="1" x14ac:dyDescent="0.35"/>
    <row r="1187" ht="15" customHeight="1" x14ac:dyDescent="0.35"/>
    <row r="1188" ht="15" customHeight="1" x14ac:dyDescent="0.35"/>
    <row r="1189" ht="15" customHeight="1" x14ac:dyDescent="0.35"/>
    <row r="1190" ht="15" customHeight="1" x14ac:dyDescent="0.35"/>
    <row r="1191" ht="15" customHeight="1" x14ac:dyDescent="0.35"/>
    <row r="1192" ht="15" customHeight="1" x14ac:dyDescent="0.35"/>
    <row r="1193" ht="15" customHeight="1" x14ac:dyDescent="0.35"/>
    <row r="1194" ht="15" customHeight="1" x14ac:dyDescent="0.35"/>
    <row r="1195" ht="15" customHeight="1" x14ac:dyDescent="0.35"/>
    <row r="1196" ht="15" customHeight="1" x14ac:dyDescent="0.35"/>
    <row r="1197" ht="15" customHeight="1" x14ac:dyDescent="0.35"/>
    <row r="1198" ht="15" customHeight="1" x14ac:dyDescent="0.35"/>
    <row r="1199" ht="15" customHeight="1" x14ac:dyDescent="0.35"/>
    <row r="1200" ht="15" customHeight="1" x14ac:dyDescent="0.35"/>
    <row r="1201" ht="15" customHeight="1" x14ac:dyDescent="0.35"/>
    <row r="1202" ht="15" customHeight="1" x14ac:dyDescent="0.35"/>
    <row r="1203" ht="15" customHeight="1" x14ac:dyDescent="0.35"/>
    <row r="1204" ht="15" customHeight="1" x14ac:dyDescent="0.35"/>
    <row r="1205" ht="15" customHeight="1" x14ac:dyDescent="0.35"/>
    <row r="1206" ht="15" customHeight="1" x14ac:dyDescent="0.35"/>
    <row r="1207" ht="15" customHeight="1" x14ac:dyDescent="0.35"/>
    <row r="1208" ht="15" customHeight="1" x14ac:dyDescent="0.35"/>
    <row r="1209" ht="15" customHeight="1" x14ac:dyDescent="0.35"/>
    <row r="1210" ht="15" customHeight="1" x14ac:dyDescent="0.35"/>
    <row r="1211" ht="15" customHeight="1" x14ac:dyDescent="0.35"/>
    <row r="1212" ht="15" customHeight="1" x14ac:dyDescent="0.35"/>
    <row r="1213" ht="15" customHeight="1" x14ac:dyDescent="0.35"/>
    <row r="1214" ht="15" customHeight="1" x14ac:dyDescent="0.35"/>
    <row r="1215" ht="15" customHeight="1" x14ac:dyDescent="0.35"/>
    <row r="1216" ht="15" customHeight="1" x14ac:dyDescent="0.35"/>
    <row r="1217" ht="15" customHeight="1" x14ac:dyDescent="0.35"/>
    <row r="1218" ht="15" customHeight="1" x14ac:dyDescent="0.35"/>
    <row r="1219" ht="15" customHeight="1" x14ac:dyDescent="0.35"/>
    <row r="1220" ht="15" customHeight="1" x14ac:dyDescent="0.35"/>
    <row r="1221" ht="15" customHeight="1" x14ac:dyDescent="0.35"/>
    <row r="1222" ht="15" customHeight="1" x14ac:dyDescent="0.35"/>
    <row r="1223" ht="15" customHeight="1" x14ac:dyDescent="0.35"/>
    <row r="1224" ht="15" customHeight="1" x14ac:dyDescent="0.35"/>
    <row r="1225" ht="15" customHeight="1" x14ac:dyDescent="0.35"/>
    <row r="1226" ht="15" customHeight="1" x14ac:dyDescent="0.35"/>
    <row r="1227" ht="15" customHeight="1" x14ac:dyDescent="0.35"/>
    <row r="1228" ht="15" customHeight="1" x14ac:dyDescent="0.35"/>
    <row r="1229" ht="15" customHeight="1" x14ac:dyDescent="0.35"/>
    <row r="1230" ht="15" customHeight="1" x14ac:dyDescent="0.35"/>
    <row r="1231" ht="15" customHeight="1" x14ac:dyDescent="0.35"/>
    <row r="1232" ht="15" customHeight="1" x14ac:dyDescent="0.35"/>
    <row r="1233" ht="15" customHeight="1" x14ac:dyDescent="0.35"/>
    <row r="1234" ht="15" customHeight="1" x14ac:dyDescent="0.35"/>
    <row r="1235" ht="15" customHeight="1" x14ac:dyDescent="0.35"/>
    <row r="1236" ht="15" customHeight="1" x14ac:dyDescent="0.35"/>
    <row r="1237" ht="15" customHeight="1" x14ac:dyDescent="0.35"/>
    <row r="1238" ht="15" customHeight="1" x14ac:dyDescent="0.35"/>
    <row r="1239" ht="15" customHeight="1" x14ac:dyDescent="0.35"/>
    <row r="1240" ht="15" customHeight="1" x14ac:dyDescent="0.35"/>
    <row r="1241" ht="15" customHeight="1" x14ac:dyDescent="0.35"/>
    <row r="1242" ht="15" customHeight="1" x14ac:dyDescent="0.35"/>
    <row r="1243" ht="15" customHeight="1" x14ac:dyDescent="0.35"/>
    <row r="1244" ht="15" customHeight="1" x14ac:dyDescent="0.35"/>
    <row r="1245" ht="15" customHeight="1" x14ac:dyDescent="0.35"/>
    <row r="1246" ht="15" customHeight="1" x14ac:dyDescent="0.35"/>
    <row r="1247" ht="15" customHeight="1" x14ac:dyDescent="0.35"/>
    <row r="1248" ht="15" customHeight="1" x14ac:dyDescent="0.35"/>
    <row r="1249" ht="15" customHeight="1" x14ac:dyDescent="0.35"/>
    <row r="1250" ht="15" customHeight="1" x14ac:dyDescent="0.35"/>
    <row r="1251" ht="15" customHeight="1" x14ac:dyDescent="0.35"/>
    <row r="1252" ht="15" customHeight="1" x14ac:dyDescent="0.35"/>
    <row r="1253" ht="15" customHeight="1" x14ac:dyDescent="0.35"/>
    <row r="1254" ht="15" customHeight="1" x14ac:dyDescent="0.35"/>
    <row r="1255" ht="15" customHeight="1" x14ac:dyDescent="0.35"/>
    <row r="1256" ht="15" customHeight="1" x14ac:dyDescent="0.35"/>
    <row r="1257" ht="15" customHeight="1" x14ac:dyDescent="0.35"/>
    <row r="1258" ht="15" customHeight="1" x14ac:dyDescent="0.35"/>
    <row r="1259" ht="15" customHeight="1" x14ac:dyDescent="0.35"/>
    <row r="1260" ht="15" customHeight="1" x14ac:dyDescent="0.35"/>
    <row r="1261" ht="15" customHeight="1" x14ac:dyDescent="0.35"/>
    <row r="1262" ht="15" customHeight="1" x14ac:dyDescent="0.35"/>
    <row r="1263" ht="15" customHeight="1" x14ac:dyDescent="0.35"/>
    <row r="1264" ht="15" customHeight="1" x14ac:dyDescent="0.35"/>
    <row r="1265" ht="15" customHeight="1" x14ac:dyDescent="0.35"/>
    <row r="1266" ht="15" customHeight="1" x14ac:dyDescent="0.35"/>
    <row r="1267" ht="15" customHeight="1" x14ac:dyDescent="0.35"/>
    <row r="1268" ht="15" customHeight="1" x14ac:dyDescent="0.35"/>
    <row r="1269" ht="15" customHeight="1" x14ac:dyDescent="0.35"/>
    <row r="1270" ht="15" customHeight="1" x14ac:dyDescent="0.35"/>
    <row r="1271" ht="15" customHeight="1" x14ac:dyDescent="0.35"/>
    <row r="1272" ht="15" customHeight="1" x14ac:dyDescent="0.35"/>
    <row r="1273" ht="15" customHeight="1" x14ac:dyDescent="0.35"/>
    <row r="1274" ht="15" customHeight="1" x14ac:dyDescent="0.35"/>
    <row r="1275" ht="15" customHeight="1" x14ac:dyDescent="0.35"/>
    <row r="1276" ht="15" customHeight="1" x14ac:dyDescent="0.35"/>
    <row r="1277" ht="15" customHeight="1" x14ac:dyDescent="0.35"/>
    <row r="1278" ht="15" customHeight="1" x14ac:dyDescent="0.35"/>
    <row r="1279" ht="15" customHeight="1" x14ac:dyDescent="0.35"/>
    <row r="1280" ht="15" customHeight="1" x14ac:dyDescent="0.35"/>
    <row r="1281" ht="15" customHeight="1" x14ac:dyDescent="0.35"/>
    <row r="1282" ht="15" customHeight="1" x14ac:dyDescent="0.35"/>
    <row r="1283" ht="15" customHeight="1" x14ac:dyDescent="0.35"/>
    <row r="1284" ht="15" customHeight="1" x14ac:dyDescent="0.35"/>
    <row r="1285" ht="15" customHeight="1" x14ac:dyDescent="0.35"/>
    <row r="1286" ht="15" customHeight="1" x14ac:dyDescent="0.35"/>
    <row r="1287" ht="15" customHeight="1" x14ac:dyDescent="0.35"/>
    <row r="1288" ht="15" customHeight="1" x14ac:dyDescent="0.35"/>
    <row r="1289" ht="15" customHeight="1" x14ac:dyDescent="0.35"/>
    <row r="1290" ht="15" customHeight="1" x14ac:dyDescent="0.35"/>
    <row r="1291" ht="15" customHeight="1" x14ac:dyDescent="0.35"/>
    <row r="1292" ht="15" customHeight="1" x14ac:dyDescent="0.35"/>
    <row r="1293" ht="15" customHeight="1" x14ac:dyDescent="0.35"/>
    <row r="1294" ht="15" customHeight="1" x14ac:dyDescent="0.35"/>
    <row r="1295" ht="15" customHeight="1" x14ac:dyDescent="0.35"/>
    <row r="1296" ht="15" customHeight="1" x14ac:dyDescent="0.35"/>
    <row r="1297" ht="15" customHeight="1" x14ac:dyDescent="0.35"/>
    <row r="1298" ht="15" customHeight="1" x14ac:dyDescent="0.35"/>
    <row r="1299" ht="15" customHeight="1" x14ac:dyDescent="0.35"/>
    <row r="1300" ht="15" customHeight="1" x14ac:dyDescent="0.35"/>
    <row r="1301" ht="15" customHeight="1" x14ac:dyDescent="0.35"/>
    <row r="1302" ht="15" customHeight="1" x14ac:dyDescent="0.35"/>
    <row r="1303" ht="15" customHeight="1" x14ac:dyDescent="0.35"/>
    <row r="1304" ht="15" customHeight="1" x14ac:dyDescent="0.35"/>
    <row r="1305" ht="15" customHeight="1" x14ac:dyDescent="0.35"/>
    <row r="1306" ht="15" customHeight="1" x14ac:dyDescent="0.35"/>
    <row r="1307" ht="15" customHeight="1" x14ac:dyDescent="0.35"/>
    <row r="1308" ht="15" customHeight="1" x14ac:dyDescent="0.35"/>
    <row r="1309" ht="15" customHeight="1" x14ac:dyDescent="0.35"/>
    <row r="1310" ht="15" customHeight="1" x14ac:dyDescent="0.35"/>
    <row r="1311" ht="15" customHeight="1" x14ac:dyDescent="0.35"/>
    <row r="1312" ht="15" customHeight="1" x14ac:dyDescent="0.35"/>
    <row r="1313" ht="15" customHeight="1" x14ac:dyDescent="0.35"/>
    <row r="1314" ht="15" customHeight="1" x14ac:dyDescent="0.35"/>
    <row r="1315" ht="15" customHeight="1" x14ac:dyDescent="0.35"/>
    <row r="1316" ht="15" customHeight="1" x14ac:dyDescent="0.35"/>
    <row r="1317" ht="15" customHeight="1" x14ac:dyDescent="0.35"/>
    <row r="1318" ht="15" customHeight="1" x14ac:dyDescent="0.35"/>
    <row r="1319" ht="15" customHeight="1" x14ac:dyDescent="0.35"/>
    <row r="1320" ht="15" customHeight="1" x14ac:dyDescent="0.35"/>
    <row r="1321" ht="15" customHeight="1" x14ac:dyDescent="0.35"/>
    <row r="1322" ht="15" customHeight="1" x14ac:dyDescent="0.35"/>
    <row r="1323" ht="15" customHeight="1" x14ac:dyDescent="0.35"/>
    <row r="1324" ht="15" customHeight="1" x14ac:dyDescent="0.35"/>
    <row r="1325" ht="15" customHeight="1" x14ac:dyDescent="0.35"/>
    <row r="1326" ht="15" customHeight="1" x14ac:dyDescent="0.35"/>
    <row r="1327" ht="15" customHeight="1" x14ac:dyDescent="0.35"/>
    <row r="1328" ht="15" customHeight="1" x14ac:dyDescent="0.35"/>
    <row r="1329" ht="15" customHeight="1" x14ac:dyDescent="0.35"/>
    <row r="1330" ht="15" customHeight="1" x14ac:dyDescent="0.35"/>
    <row r="1331" ht="15" customHeight="1" x14ac:dyDescent="0.35"/>
    <row r="1332" ht="15" customHeight="1" x14ac:dyDescent="0.35"/>
    <row r="1333" ht="15" customHeight="1" x14ac:dyDescent="0.35"/>
    <row r="1334" ht="15" customHeight="1" x14ac:dyDescent="0.35"/>
    <row r="1335" ht="15" customHeight="1" x14ac:dyDescent="0.35"/>
    <row r="1336" ht="15" customHeight="1" x14ac:dyDescent="0.35"/>
    <row r="1337" ht="15" customHeight="1" x14ac:dyDescent="0.35"/>
    <row r="1338" ht="15" customHeight="1" x14ac:dyDescent="0.35"/>
    <row r="1339" ht="15" customHeight="1" x14ac:dyDescent="0.35"/>
    <row r="1340" ht="15" customHeight="1" x14ac:dyDescent="0.35"/>
    <row r="1341" ht="15" customHeight="1" x14ac:dyDescent="0.35"/>
    <row r="1342" ht="15" customHeight="1" x14ac:dyDescent="0.35"/>
    <row r="1343" ht="15" customHeight="1" x14ac:dyDescent="0.35"/>
    <row r="1344" ht="15" customHeight="1" x14ac:dyDescent="0.35"/>
    <row r="1345" ht="15" customHeight="1" x14ac:dyDescent="0.35"/>
    <row r="1346" ht="15" customHeight="1" x14ac:dyDescent="0.35"/>
    <row r="1347" ht="15" customHeight="1" x14ac:dyDescent="0.35"/>
    <row r="1348" ht="15" customHeight="1" x14ac:dyDescent="0.35"/>
    <row r="1349" ht="15" customHeight="1" x14ac:dyDescent="0.35"/>
    <row r="1350" ht="15" customHeight="1" x14ac:dyDescent="0.35"/>
    <row r="1351" ht="15" customHeight="1" x14ac:dyDescent="0.35"/>
    <row r="1352" ht="15" customHeight="1" x14ac:dyDescent="0.35"/>
    <row r="1353" ht="15" customHeight="1" x14ac:dyDescent="0.35"/>
    <row r="1354" ht="15" customHeight="1" x14ac:dyDescent="0.35"/>
    <row r="1355" ht="15" customHeight="1" x14ac:dyDescent="0.35"/>
    <row r="1356" ht="15" customHeight="1" x14ac:dyDescent="0.35"/>
    <row r="1357" ht="15" customHeight="1" x14ac:dyDescent="0.35"/>
    <row r="1358" ht="15" customHeight="1" x14ac:dyDescent="0.35"/>
    <row r="1359" ht="15" customHeight="1" x14ac:dyDescent="0.35"/>
    <row r="1360" ht="15" customHeight="1" x14ac:dyDescent="0.35"/>
    <row r="1361" ht="15" customHeight="1" x14ac:dyDescent="0.35"/>
    <row r="1362" ht="15" customHeight="1" x14ac:dyDescent="0.35"/>
    <row r="1363" ht="15" customHeight="1" x14ac:dyDescent="0.35"/>
    <row r="1364" ht="15" customHeight="1" x14ac:dyDescent="0.35"/>
    <row r="1365" ht="15" customHeight="1" x14ac:dyDescent="0.35"/>
    <row r="1366" ht="15" customHeight="1" x14ac:dyDescent="0.35"/>
    <row r="1367" ht="15" customHeight="1" x14ac:dyDescent="0.35"/>
    <row r="1368" ht="15" customHeight="1" x14ac:dyDescent="0.35"/>
    <row r="1369" ht="15" customHeight="1" x14ac:dyDescent="0.35"/>
    <row r="1370" ht="15" customHeight="1" x14ac:dyDescent="0.35"/>
    <row r="1371" ht="15" customHeight="1" x14ac:dyDescent="0.35"/>
    <row r="1372" ht="15" customHeight="1" x14ac:dyDescent="0.35"/>
    <row r="1373" ht="15" customHeight="1" x14ac:dyDescent="0.35"/>
    <row r="1374" ht="15" customHeight="1" x14ac:dyDescent="0.35"/>
    <row r="1375" ht="15" customHeight="1" x14ac:dyDescent="0.35"/>
    <row r="1376" ht="15" customHeight="1" x14ac:dyDescent="0.35"/>
    <row r="1377" ht="15" customHeight="1" x14ac:dyDescent="0.35"/>
    <row r="1378" ht="15" customHeight="1" x14ac:dyDescent="0.35"/>
    <row r="1379" ht="15" customHeight="1" x14ac:dyDescent="0.35"/>
    <row r="1380" ht="15" customHeight="1" x14ac:dyDescent="0.35"/>
    <row r="1381" ht="15" customHeight="1" x14ac:dyDescent="0.35"/>
    <row r="1382" ht="15" customHeight="1" x14ac:dyDescent="0.35"/>
    <row r="1383" ht="15" customHeight="1" x14ac:dyDescent="0.35"/>
    <row r="1384" ht="15" customHeight="1" x14ac:dyDescent="0.35"/>
    <row r="1385" ht="15" customHeight="1" x14ac:dyDescent="0.35"/>
    <row r="1386" ht="15" customHeight="1" x14ac:dyDescent="0.35"/>
    <row r="1387" ht="15" customHeight="1" x14ac:dyDescent="0.35"/>
    <row r="1388" ht="15" customHeight="1" x14ac:dyDescent="0.35"/>
    <row r="1389" ht="15" customHeight="1" x14ac:dyDescent="0.35"/>
    <row r="1390" ht="15" customHeight="1" x14ac:dyDescent="0.35"/>
    <row r="1391" ht="15" customHeight="1" x14ac:dyDescent="0.35"/>
    <row r="1392" ht="15" customHeight="1" x14ac:dyDescent="0.35"/>
    <row r="1393" ht="15" customHeight="1" x14ac:dyDescent="0.35"/>
    <row r="1394" ht="15" customHeight="1" x14ac:dyDescent="0.35"/>
    <row r="1395" ht="15" customHeight="1" x14ac:dyDescent="0.35"/>
    <row r="1396" ht="15" customHeight="1" x14ac:dyDescent="0.35"/>
    <row r="1397" ht="15" customHeight="1" x14ac:dyDescent="0.35"/>
    <row r="1398" ht="15" customHeight="1" x14ac:dyDescent="0.35"/>
    <row r="1399" ht="15" customHeight="1" x14ac:dyDescent="0.35"/>
    <row r="1400" ht="15" customHeight="1" x14ac:dyDescent="0.35"/>
    <row r="1401" ht="15" customHeight="1" x14ac:dyDescent="0.35"/>
    <row r="1402" ht="15" customHeight="1" x14ac:dyDescent="0.35"/>
    <row r="1403" ht="15" customHeight="1" x14ac:dyDescent="0.35"/>
    <row r="1404" ht="15" customHeight="1" x14ac:dyDescent="0.35"/>
    <row r="1405" ht="15" customHeight="1" x14ac:dyDescent="0.35"/>
    <row r="1406" ht="15" customHeight="1" x14ac:dyDescent="0.35"/>
    <row r="1407" ht="15" customHeight="1" x14ac:dyDescent="0.35"/>
    <row r="1408" ht="15" customHeight="1" x14ac:dyDescent="0.35"/>
    <row r="1409" ht="15" customHeight="1" x14ac:dyDescent="0.35"/>
    <row r="1410" ht="15" customHeight="1" x14ac:dyDescent="0.35"/>
    <row r="1411" ht="15" customHeight="1" x14ac:dyDescent="0.35"/>
    <row r="1412" ht="15" customHeight="1" x14ac:dyDescent="0.35"/>
    <row r="1413" ht="15" customHeight="1" x14ac:dyDescent="0.35"/>
    <row r="1414" ht="15" customHeight="1" x14ac:dyDescent="0.35"/>
    <row r="1415" ht="15" customHeight="1" x14ac:dyDescent="0.35"/>
    <row r="1416" ht="15" customHeight="1" x14ac:dyDescent="0.35"/>
    <row r="1417" ht="15" customHeight="1" x14ac:dyDescent="0.35"/>
    <row r="1418" ht="15" customHeight="1" x14ac:dyDescent="0.35"/>
    <row r="1419" ht="15" customHeight="1" x14ac:dyDescent="0.35"/>
    <row r="1420" ht="15" customHeight="1" x14ac:dyDescent="0.35"/>
    <row r="1421" ht="15" customHeight="1" x14ac:dyDescent="0.35"/>
    <row r="1422" ht="15" customHeight="1" x14ac:dyDescent="0.35"/>
    <row r="1423" ht="15" customHeight="1" x14ac:dyDescent="0.35"/>
    <row r="1424" ht="15" customHeight="1" x14ac:dyDescent="0.35"/>
    <row r="1425" ht="15" customHeight="1" x14ac:dyDescent="0.35"/>
    <row r="1426" ht="15" customHeight="1" x14ac:dyDescent="0.35"/>
    <row r="1427" ht="15" customHeight="1" x14ac:dyDescent="0.35"/>
    <row r="1428" ht="15" customHeight="1" x14ac:dyDescent="0.35"/>
    <row r="1429" ht="15" customHeight="1" x14ac:dyDescent="0.35"/>
    <row r="1430" ht="15" customHeight="1" x14ac:dyDescent="0.35"/>
    <row r="1431" ht="15" customHeight="1" x14ac:dyDescent="0.35"/>
    <row r="1432" ht="15" customHeight="1" x14ac:dyDescent="0.35"/>
    <row r="1433" ht="15" customHeight="1" x14ac:dyDescent="0.35"/>
    <row r="1434" ht="15" customHeight="1" x14ac:dyDescent="0.35"/>
    <row r="1435" ht="15" customHeight="1" x14ac:dyDescent="0.35"/>
    <row r="1436" ht="15" customHeight="1" x14ac:dyDescent="0.35"/>
    <row r="1437" ht="15" customHeight="1" x14ac:dyDescent="0.35"/>
    <row r="1438" ht="15" customHeight="1" x14ac:dyDescent="0.35"/>
    <row r="1439" ht="15" customHeight="1" x14ac:dyDescent="0.35"/>
    <row r="1440" ht="15" customHeight="1" x14ac:dyDescent="0.35"/>
    <row r="1441" ht="15" customHeight="1" x14ac:dyDescent="0.35"/>
    <row r="1442" ht="15" customHeight="1" x14ac:dyDescent="0.35"/>
    <row r="1443" ht="15" customHeight="1" x14ac:dyDescent="0.35"/>
    <row r="1444" ht="15" customHeight="1" x14ac:dyDescent="0.35"/>
    <row r="1445" ht="15" customHeight="1" x14ac:dyDescent="0.35"/>
    <row r="1446" ht="15" customHeight="1" x14ac:dyDescent="0.35"/>
    <row r="1447" ht="15" customHeight="1" x14ac:dyDescent="0.35"/>
    <row r="1448" ht="15" customHeight="1" x14ac:dyDescent="0.35"/>
    <row r="1449" ht="15" customHeight="1" x14ac:dyDescent="0.35"/>
    <row r="1450" ht="15" customHeight="1" x14ac:dyDescent="0.35"/>
    <row r="1451" ht="15" customHeight="1" x14ac:dyDescent="0.35"/>
    <row r="1452" ht="15" customHeight="1" x14ac:dyDescent="0.35"/>
    <row r="1453" ht="15" customHeight="1" x14ac:dyDescent="0.35"/>
    <row r="1454" ht="15" customHeight="1" x14ac:dyDescent="0.35"/>
    <row r="1455" ht="15" customHeight="1" x14ac:dyDescent="0.35"/>
    <row r="1456" ht="15" customHeight="1" x14ac:dyDescent="0.35"/>
    <row r="1457" ht="15" customHeight="1" x14ac:dyDescent="0.35"/>
    <row r="1458" ht="15" customHeight="1" x14ac:dyDescent="0.35"/>
    <row r="1459" ht="15" customHeight="1" x14ac:dyDescent="0.35"/>
    <row r="1460" ht="15" customHeight="1" x14ac:dyDescent="0.35"/>
    <row r="1461" ht="15" customHeight="1" x14ac:dyDescent="0.35"/>
    <row r="1462" ht="15" customHeight="1" x14ac:dyDescent="0.35"/>
    <row r="1463" ht="15" customHeight="1" x14ac:dyDescent="0.35"/>
    <row r="1464" ht="15" customHeight="1" x14ac:dyDescent="0.35"/>
    <row r="1465" ht="15" customHeight="1" x14ac:dyDescent="0.35"/>
    <row r="1466" ht="15" customHeight="1" x14ac:dyDescent="0.35"/>
    <row r="1467" ht="15" customHeight="1" x14ac:dyDescent="0.35"/>
    <row r="1468" ht="15" customHeight="1" x14ac:dyDescent="0.35"/>
    <row r="1469" ht="15" customHeight="1" x14ac:dyDescent="0.35"/>
    <row r="1470" ht="15" customHeight="1" x14ac:dyDescent="0.35"/>
    <row r="1471" ht="15" customHeight="1" x14ac:dyDescent="0.35"/>
    <row r="1472" ht="15" customHeight="1" x14ac:dyDescent="0.35"/>
    <row r="1473" ht="15" customHeight="1" x14ac:dyDescent="0.35"/>
    <row r="1474" ht="15" customHeight="1" x14ac:dyDescent="0.35"/>
    <row r="1475" ht="15" customHeight="1" x14ac:dyDescent="0.35"/>
    <row r="1476" ht="15" customHeight="1" x14ac:dyDescent="0.35"/>
    <row r="1477" ht="15" customHeight="1" x14ac:dyDescent="0.35"/>
    <row r="1478" ht="15" customHeight="1" x14ac:dyDescent="0.35"/>
    <row r="1479" ht="15" customHeight="1" x14ac:dyDescent="0.35"/>
    <row r="1480" ht="15" customHeight="1" x14ac:dyDescent="0.35"/>
    <row r="1481" ht="15" customHeight="1" x14ac:dyDescent="0.35"/>
    <row r="1482" ht="15" customHeight="1" x14ac:dyDescent="0.35"/>
    <row r="1483" ht="15" customHeight="1" x14ac:dyDescent="0.35"/>
    <row r="1484" ht="15" customHeight="1" x14ac:dyDescent="0.35"/>
    <row r="1485" ht="15" customHeight="1" x14ac:dyDescent="0.35"/>
    <row r="1486" ht="15" customHeight="1" x14ac:dyDescent="0.35"/>
    <row r="1487" ht="15" customHeight="1" x14ac:dyDescent="0.35"/>
    <row r="1488" ht="15" customHeight="1" x14ac:dyDescent="0.35"/>
    <row r="1489" ht="15" customHeight="1" x14ac:dyDescent="0.35"/>
    <row r="1490" ht="15" customHeight="1" x14ac:dyDescent="0.35"/>
    <row r="1491" ht="15" customHeight="1" x14ac:dyDescent="0.35"/>
    <row r="1492" ht="15" customHeight="1" x14ac:dyDescent="0.35"/>
    <row r="1493" ht="15" customHeight="1" x14ac:dyDescent="0.35"/>
    <row r="1494" ht="15" customHeight="1" x14ac:dyDescent="0.35"/>
    <row r="1495" ht="15" customHeight="1" x14ac:dyDescent="0.35"/>
    <row r="1496" ht="15" customHeight="1" x14ac:dyDescent="0.35"/>
    <row r="1497" ht="15" customHeight="1" x14ac:dyDescent="0.35"/>
    <row r="1498" ht="15" customHeight="1" x14ac:dyDescent="0.35"/>
    <row r="1499" ht="15" customHeight="1" x14ac:dyDescent="0.35"/>
    <row r="1500" ht="15" customHeight="1" x14ac:dyDescent="0.35"/>
    <row r="1501" ht="15" customHeight="1" x14ac:dyDescent="0.35"/>
    <row r="1502" ht="15" customHeight="1" x14ac:dyDescent="0.35"/>
    <row r="1503" ht="15" customHeight="1" x14ac:dyDescent="0.35"/>
    <row r="1504" ht="15" customHeight="1" x14ac:dyDescent="0.35"/>
    <row r="1505" ht="15" customHeight="1" x14ac:dyDescent="0.35"/>
    <row r="1506" ht="15" customHeight="1" x14ac:dyDescent="0.35"/>
    <row r="1507" ht="15" customHeight="1" x14ac:dyDescent="0.35"/>
    <row r="1508" ht="15" customHeight="1" x14ac:dyDescent="0.35"/>
    <row r="1509" ht="15" customHeight="1" x14ac:dyDescent="0.35"/>
    <row r="1510" ht="15" customHeight="1" x14ac:dyDescent="0.35"/>
    <row r="1511" ht="15" customHeight="1" x14ac:dyDescent="0.35"/>
    <row r="1512" ht="15" customHeight="1" x14ac:dyDescent="0.35"/>
    <row r="1513" ht="15" customHeight="1" x14ac:dyDescent="0.35"/>
    <row r="1514" ht="15" customHeight="1" x14ac:dyDescent="0.35"/>
    <row r="1515" ht="15" customHeight="1" x14ac:dyDescent="0.35"/>
    <row r="1516" ht="15" customHeight="1" x14ac:dyDescent="0.35"/>
    <row r="1517" ht="15" customHeight="1" x14ac:dyDescent="0.35"/>
    <row r="1518" ht="15" customHeight="1" x14ac:dyDescent="0.35"/>
    <row r="1519" ht="15" customHeight="1" x14ac:dyDescent="0.35"/>
    <row r="1520" ht="15" customHeight="1" x14ac:dyDescent="0.35"/>
    <row r="1521" ht="15" customHeight="1" x14ac:dyDescent="0.35"/>
    <row r="1522" ht="15" customHeight="1" x14ac:dyDescent="0.35"/>
    <row r="1523" ht="15" customHeight="1" x14ac:dyDescent="0.35"/>
    <row r="1524" ht="15" customHeight="1" x14ac:dyDescent="0.35"/>
    <row r="1525" ht="15" customHeight="1" x14ac:dyDescent="0.35"/>
    <row r="1526" ht="15" customHeight="1" x14ac:dyDescent="0.35"/>
    <row r="1527" ht="15" customHeight="1" x14ac:dyDescent="0.35"/>
    <row r="1528" ht="15" customHeight="1" x14ac:dyDescent="0.35"/>
    <row r="1529" ht="15" customHeight="1" x14ac:dyDescent="0.35"/>
    <row r="1530" ht="15" customHeight="1" x14ac:dyDescent="0.35"/>
    <row r="1531" ht="15" customHeight="1" x14ac:dyDescent="0.35"/>
    <row r="1532" ht="15" customHeight="1" x14ac:dyDescent="0.35"/>
    <row r="1533" ht="15" customHeight="1" x14ac:dyDescent="0.35"/>
    <row r="1534" ht="15" customHeight="1" x14ac:dyDescent="0.35"/>
    <row r="1535" ht="15" customHeight="1" x14ac:dyDescent="0.35"/>
    <row r="1536" ht="15" customHeight="1" x14ac:dyDescent="0.35"/>
    <row r="1537" ht="15" customHeight="1" x14ac:dyDescent="0.35"/>
    <row r="1538" ht="15" customHeight="1" x14ac:dyDescent="0.35"/>
    <row r="1539" ht="15" customHeight="1" x14ac:dyDescent="0.35"/>
    <row r="1540" ht="15" customHeight="1" x14ac:dyDescent="0.35"/>
    <row r="1541" ht="15" customHeight="1" x14ac:dyDescent="0.35"/>
    <row r="1542" ht="15" customHeight="1" x14ac:dyDescent="0.35"/>
    <row r="1543" ht="15" customHeight="1" x14ac:dyDescent="0.35"/>
    <row r="1544" ht="15" customHeight="1" x14ac:dyDescent="0.35"/>
    <row r="1545" ht="15" customHeight="1" x14ac:dyDescent="0.35"/>
    <row r="1546" ht="15" customHeight="1" x14ac:dyDescent="0.35"/>
    <row r="1547" ht="15" customHeight="1" x14ac:dyDescent="0.35"/>
    <row r="1548" ht="15" customHeight="1" x14ac:dyDescent="0.35"/>
    <row r="1549" ht="15" customHeight="1" x14ac:dyDescent="0.35"/>
    <row r="1550" ht="15" customHeight="1" x14ac:dyDescent="0.35"/>
    <row r="1551" ht="15" customHeight="1" x14ac:dyDescent="0.35"/>
    <row r="1552" ht="15" customHeight="1" x14ac:dyDescent="0.35"/>
    <row r="1553" ht="15" customHeight="1" x14ac:dyDescent="0.35"/>
    <row r="1554" ht="15" customHeight="1" x14ac:dyDescent="0.35"/>
    <row r="1555" ht="15" customHeight="1" x14ac:dyDescent="0.35"/>
    <row r="1556" ht="15" customHeight="1" x14ac:dyDescent="0.35"/>
    <row r="1557" ht="15" customHeight="1" x14ac:dyDescent="0.35"/>
    <row r="1558" ht="15" customHeight="1" x14ac:dyDescent="0.35"/>
    <row r="1559" ht="15" customHeight="1" x14ac:dyDescent="0.35"/>
    <row r="1560" ht="15" customHeight="1" x14ac:dyDescent="0.35"/>
    <row r="1561" ht="15" customHeight="1" x14ac:dyDescent="0.35"/>
    <row r="1562" ht="15" customHeight="1" x14ac:dyDescent="0.35"/>
    <row r="1563" ht="15" customHeight="1" x14ac:dyDescent="0.35"/>
    <row r="1564" ht="15" customHeight="1" x14ac:dyDescent="0.35"/>
    <row r="1565" ht="15" customHeight="1" x14ac:dyDescent="0.35"/>
    <row r="1566" ht="15" customHeight="1" x14ac:dyDescent="0.35"/>
    <row r="1567" ht="15" customHeight="1" x14ac:dyDescent="0.35"/>
    <row r="1568" ht="15" customHeight="1" x14ac:dyDescent="0.35"/>
    <row r="1569" ht="15" customHeight="1" x14ac:dyDescent="0.35"/>
    <row r="1570" ht="15" customHeight="1" x14ac:dyDescent="0.35"/>
    <row r="1571" ht="15" customHeight="1" x14ac:dyDescent="0.35"/>
    <row r="1572" ht="15" customHeight="1" x14ac:dyDescent="0.35"/>
    <row r="1573" ht="15" customHeight="1" x14ac:dyDescent="0.35"/>
    <row r="1574" ht="15" customHeight="1" x14ac:dyDescent="0.35"/>
    <row r="1575" ht="15" customHeight="1" x14ac:dyDescent="0.35"/>
    <row r="1576" ht="15" customHeight="1" x14ac:dyDescent="0.35"/>
    <row r="1577" ht="15" customHeight="1" x14ac:dyDescent="0.35"/>
    <row r="1578" ht="15" customHeight="1" x14ac:dyDescent="0.35"/>
    <row r="1579" ht="15" customHeight="1" x14ac:dyDescent="0.35"/>
    <row r="1580" ht="15" customHeight="1" x14ac:dyDescent="0.35"/>
    <row r="1581" ht="15" customHeight="1" x14ac:dyDescent="0.35"/>
    <row r="1582" ht="15" customHeight="1" x14ac:dyDescent="0.35"/>
    <row r="1583" ht="15" customHeight="1" x14ac:dyDescent="0.35"/>
    <row r="1584" ht="15" customHeight="1" x14ac:dyDescent="0.35"/>
    <row r="1585" ht="15" customHeight="1" x14ac:dyDescent="0.35"/>
    <row r="1586" ht="15" customHeight="1" x14ac:dyDescent="0.35"/>
    <row r="1587" ht="15" customHeight="1" x14ac:dyDescent="0.35"/>
    <row r="1588" ht="15" customHeight="1" x14ac:dyDescent="0.35"/>
    <row r="1589" ht="15" customHeight="1" x14ac:dyDescent="0.35"/>
    <row r="1590" ht="15" customHeight="1" x14ac:dyDescent="0.35"/>
    <row r="1591" ht="15" customHeight="1" x14ac:dyDescent="0.35"/>
    <row r="1592" ht="15" customHeight="1" x14ac:dyDescent="0.35"/>
    <row r="1593" ht="15" customHeight="1" x14ac:dyDescent="0.35"/>
    <row r="1594" ht="15" customHeight="1" x14ac:dyDescent="0.35"/>
    <row r="1595" ht="15" customHeight="1" x14ac:dyDescent="0.35"/>
    <row r="1596" ht="15" customHeight="1" x14ac:dyDescent="0.35"/>
    <row r="1597" ht="15" customHeight="1" x14ac:dyDescent="0.35"/>
    <row r="1598" ht="15" customHeight="1" x14ac:dyDescent="0.35"/>
    <row r="1599" ht="15" customHeight="1" x14ac:dyDescent="0.35"/>
    <row r="1600" ht="15" customHeight="1" x14ac:dyDescent="0.35"/>
    <row r="1601" ht="15" customHeight="1" x14ac:dyDescent="0.35"/>
    <row r="1602" ht="15" customHeight="1" x14ac:dyDescent="0.35"/>
    <row r="1603" ht="15" customHeight="1" x14ac:dyDescent="0.35"/>
    <row r="1604" ht="15" customHeight="1" x14ac:dyDescent="0.35"/>
    <row r="1605" ht="15" customHeight="1" x14ac:dyDescent="0.35"/>
    <row r="1606" ht="15" customHeight="1" x14ac:dyDescent="0.35"/>
    <row r="1607" ht="15" customHeight="1" x14ac:dyDescent="0.35"/>
    <row r="1608" ht="15" customHeight="1" x14ac:dyDescent="0.35"/>
    <row r="1609" ht="15" customHeight="1" x14ac:dyDescent="0.35"/>
    <row r="1610" ht="15" customHeight="1" x14ac:dyDescent="0.35"/>
    <row r="1611" ht="15" customHeight="1" x14ac:dyDescent="0.35"/>
    <row r="1612" ht="15" customHeight="1" x14ac:dyDescent="0.35"/>
    <row r="1613" ht="15" customHeight="1" x14ac:dyDescent="0.35"/>
    <row r="1614" ht="15" customHeight="1" x14ac:dyDescent="0.35"/>
    <row r="1615" ht="15" customHeight="1" x14ac:dyDescent="0.35"/>
    <row r="1616" ht="15" customHeight="1" x14ac:dyDescent="0.35"/>
    <row r="1617" ht="15" customHeight="1" x14ac:dyDescent="0.35"/>
    <row r="1618" ht="15" customHeight="1" x14ac:dyDescent="0.35"/>
    <row r="1619" ht="15" customHeight="1" x14ac:dyDescent="0.35"/>
    <row r="1620" ht="15" customHeight="1" x14ac:dyDescent="0.35"/>
    <row r="1621" ht="15" customHeight="1" x14ac:dyDescent="0.35"/>
    <row r="1622" ht="15" customHeight="1" x14ac:dyDescent="0.35"/>
    <row r="1623" ht="15" customHeight="1" x14ac:dyDescent="0.35"/>
    <row r="1624" ht="15" customHeight="1" x14ac:dyDescent="0.35"/>
    <row r="1625" ht="15" customHeight="1" x14ac:dyDescent="0.35"/>
    <row r="1626" ht="15" customHeight="1" x14ac:dyDescent="0.35"/>
    <row r="1627" ht="15" customHeight="1" x14ac:dyDescent="0.35"/>
    <row r="1628" ht="15" customHeight="1" x14ac:dyDescent="0.35"/>
    <row r="1629" ht="15" customHeight="1" x14ac:dyDescent="0.35"/>
    <row r="1630" ht="15" customHeight="1" x14ac:dyDescent="0.35"/>
    <row r="1631" ht="15" customHeight="1" x14ac:dyDescent="0.35"/>
    <row r="1632" ht="15" customHeight="1" x14ac:dyDescent="0.35"/>
    <row r="1633" ht="15" customHeight="1" x14ac:dyDescent="0.35"/>
    <row r="1634" ht="15" customHeight="1" x14ac:dyDescent="0.35"/>
    <row r="1635" ht="15" customHeight="1" x14ac:dyDescent="0.35"/>
    <row r="1636" ht="15" customHeight="1" x14ac:dyDescent="0.35"/>
    <row r="1637" ht="15" customHeight="1" x14ac:dyDescent="0.35"/>
    <row r="1638" ht="15" customHeight="1" x14ac:dyDescent="0.35"/>
    <row r="1639" ht="15" customHeight="1" x14ac:dyDescent="0.35"/>
    <row r="1640" ht="15" customHeight="1" x14ac:dyDescent="0.35"/>
    <row r="1641" ht="15" customHeight="1" x14ac:dyDescent="0.35"/>
    <row r="1642" ht="15" customHeight="1" x14ac:dyDescent="0.35"/>
    <row r="1643" ht="15" customHeight="1" x14ac:dyDescent="0.35"/>
    <row r="1644" ht="15" customHeight="1" x14ac:dyDescent="0.35"/>
    <row r="1645" ht="15" customHeight="1" x14ac:dyDescent="0.35"/>
    <row r="1646" ht="15" customHeight="1" x14ac:dyDescent="0.35"/>
    <row r="1647" ht="15" customHeight="1" x14ac:dyDescent="0.35"/>
    <row r="1648" ht="15" customHeight="1" x14ac:dyDescent="0.35"/>
    <row r="1649" ht="15" customHeight="1" x14ac:dyDescent="0.35"/>
    <row r="1650" ht="15" customHeight="1" x14ac:dyDescent="0.35"/>
    <row r="1651" ht="15" customHeight="1" x14ac:dyDescent="0.35"/>
    <row r="1652" ht="15" customHeight="1" x14ac:dyDescent="0.35"/>
    <row r="1653" ht="15" customHeight="1" x14ac:dyDescent="0.35"/>
    <row r="1654" ht="15" customHeight="1" x14ac:dyDescent="0.35"/>
    <row r="1655" ht="15" customHeight="1" x14ac:dyDescent="0.35"/>
    <row r="1656" ht="15" customHeight="1" x14ac:dyDescent="0.35"/>
    <row r="1657" ht="15" customHeight="1" x14ac:dyDescent="0.35"/>
    <row r="1658" ht="15" customHeight="1" x14ac:dyDescent="0.35"/>
    <row r="1659" ht="15" customHeight="1" x14ac:dyDescent="0.35"/>
    <row r="1660" ht="15" customHeight="1" x14ac:dyDescent="0.35"/>
    <row r="1661" ht="15" customHeight="1" x14ac:dyDescent="0.35"/>
    <row r="1662" ht="15" customHeight="1" x14ac:dyDescent="0.35"/>
    <row r="1663" ht="15" customHeight="1" x14ac:dyDescent="0.35"/>
    <row r="1664" ht="15" customHeight="1" x14ac:dyDescent="0.35"/>
    <row r="1665" ht="15" customHeight="1" x14ac:dyDescent="0.35"/>
    <row r="1666" ht="15" customHeight="1" x14ac:dyDescent="0.35"/>
    <row r="1667" ht="15" customHeight="1" x14ac:dyDescent="0.35"/>
    <row r="1668" ht="15" customHeight="1" x14ac:dyDescent="0.35"/>
    <row r="1669" ht="15" customHeight="1" x14ac:dyDescent="0.35"/>
    <row r="1670" ht="15" customHeight="1" x14ac:dyDescent="0.35"/>
    <row r="1671" ht="15" customHeight="1" x14ac:dyDescent="0.35"/>
    <row r="1672" ht="15" customHeight="1" x14ac:dyDescent="0.35"/>
    <row r="1673" ht="15" customHeight="1" x14ac:dyDescent="0.35"/>
    <row r="1674" ht="15" customHeight="1" x14ac:dyDescent="0.35"/>
    <row r="1675" ht="15" customHeight="1" x14ac:dyDescent="0.35"/>
    <row r="1676" ht="15" customHeight="1" x14ac:dyDescent="0.35"/>
    <row r="1677" ht="15" customHeight="1" x14ac:dyDescent="0.35"/>
    <row r="1678" ht="15" customHeight="1" x14ac:dyDescent="0.35"/>
    <row r="1679" ht="15" customHeight="1" x14ac:dyDescent="0.35"/>
    <row r="1680" ht="15" customHeight="1" x14ac:dyDescent="0.35"/>
    <row r="1681" ht="15" customHeight="1" x14ac:dyDescent="0.35"/>
    <row r="1682" ht="15" customHeight="1" x14ac:dyDescent="0.35"/>
    <row r="1683" ht="15" customHeight="1" x14ac:dyDescent="0.35"/>
    <row r="1684" ht="15" customHeight="1" x14ac:dyDescent="0.35"/>
    <row r="1685" ht="15" customHeight="1" x14ac:dyDescent="0.35"/>
    <row r="1686" ht="15" customHeight="1" x14ac:dyDescent="0.35"/>
    <row r="1687" ht="15" customHeight="1" x14ac:dyDescent="0.35"/>
    <row r="1688" ht="15" customHeight="1" x14ac:dyDescent="0.35"/>
    <row r="1689" ht="15" customHeight="1" x14ac:dyDescent="0.35"/>
    <row r="1690" ht="15" customHeight="1" x14ac:dyDescent="0.35"/>
    <row r="1691" ht="15" customHeight="1" x14ac:dyDescent="0.35"/>
    <row r="1692" ht="15" customHeight="1" x14ac:dyDescent="0.35"/>
    <row r="1693" ht="15" customHeight="1" x14ac:dyDescent="0.35"/>
    <row r="1694" ht="15" customHeight="1" x14ac:dyDescent="0.35"/>
    <row r="1695" ht="15" customHeight="1" x14ac:dyDescent="0.35"/>
    <row r="1696" ht="15" customHeight="1" x14ac:dyDescent="0.35"/>
    <row r="1697" ht="15" customHeight="1" x14ac:dyDescent="0.35"/>
    <row r="1698" ht="15" customHeight="1" x14ac:dyDescent="0.35"/>
    <row r="1699" ht="15" customHeight="1" x14ac:dyDescent="0.35"/>
    <row r="1700" ht="15" customHeight="1" x14ac:dyDescent="0.35"/>
    <row r="1701" ht="15" customHeight="1" x14ac:dyDescent="0.35"/>
    <row r="1702" ht="15" customHeight="1" x14ac:dyDescent="0.35"/>
    <row r="1703" ht="15" customHeight="1" x14ac:dyDescent="0.35"/>
    <row r="1704" ht="15" customHeight="1" x14ac:dyDescent="0.35"/>
    <row r="1705" ht="15" customHeight="1" x14ac:dyDescent="0.35"/>
    <row r="1706" ht="15" customHeight="1" x14ac:dyDescent="0.35"/>
    <row r="1707" ht="15" customHeight="1" x14ac:dyDescent="0.35"/>
    <row r="1708" ht="15" customHeight="1" x14ac:dyDescent="0.35"/>
    <row r="1709" ht="15" customHeight="1" x14ac:dyDescent="0.35"/>
    <row r="1710" ht="15" customHeight="1" x14ac:dyDescent="0.35"/>
    <row r="1711" ht="15" customHeight="1" x14ac:dyDescent="0.35"/>
    <row r="1712" ht="15" customHeight="1" x14ac:dyDescent="0.35"/>
    <row r="1713" ht="15" customHeight="1" x14ac:dyDescent="0.35"/>
    <row r="1714" ht="15" customHeight="1" x14ac:dyDescent="0.35"/>
    <row r="1715" ht="15" customHeight="1" x14ac:dyDescent="0.35"/>
    <row r="1716" ht="15" customHeight="1" x14ac:dyDescent="0.35"/>
    <row r="1717" ht="15" customHeight="1" x14ac:dyDescent="0.35"/>
    <row r="1718" ht="15" customHeight="1" x14ac:dyDescent="0.35"/>
    <row r="1719" ht="15" customHeight="1" x14ac:dyDescent="0.35"/>
    <row r="1720" ht="15" customHeight="1" x14ac:dyDescent="0.35"/>
    <row r="1721" ht="15" customHeight="1" x14ac:dyDescent="0.35"/>
    <row r="1722" ht="15" customHeight="1" x14ac:dyDescent="0.35"/>
    <row r="1723" ht="15" customHeight="1" x14ac:dyDescent="0.35"/>
    <row r="1724" ht="15" customHeight="1" x14ac:dyDescent="0.35"/>
    <row r="1725" ht="15" customHeight="1" x14ac:dyDescent="0.35"/>
    <row r="1726" ht="15" customHeight="1" x14ac:dyDescent="0.35"/>
    <row r="1727" ht="15" customHeight="1" x14ac:dyDescent="0.35"/>
    <row r="1728" ht="15" customHeight="1" x14ac:dyDescent="0.35"/>
    <row r="1729" ht="15" customHeight="1" x14ac:dyDescent="0.35"/>
    <row r="1730" ht="15" customHeight="1" x14ac:dyDescent="0.35"/>
    <row r="1731" ht="15" customHeight="1" x14ac:dyDescent="0.35"/>
    <row r="1732" ht="15" customHeight="1" x14ac:dyDescent="0.35"/>
    <row r="1733" ht="15" customHeight="1" x14ac:dyDescent="0.35"/>
    <row r="1734" ht="15" customHeight="1" x14ac:dyDescent="0.35"/>
    <row r="1735" ht="15" customHeight="1" x14ac:dyDescent="0.35"/>
    <row r="1736" ht="15" customHeight="1" x14ac:dyDescent="0.35"/>
    <row r="1737" ht="15" customHeight="1" x14ac:dyDescent="0.35"/>
    <row r="1738" ht="15" customHeight="1" x14ac:dyDescent="0.35"/>
    <row r="1739" ht="15" customHeight="1" x14ac:dyDescent="0.35"/>
    <row r="1740" ht="15" customHeight="1" x14ac:dyDescent="0.35"/>
    <row r="1741" ht="15" customHeight="1" x14ac:dyDescent="0.35"/>
    <row r="1742" ht="15" customHeight="1" x14ac:dyDescent="0.35"/>
    <row r="1743" ht="15" customHeight="1" x14ac:dyDescent="0.35"/>
    <row r="1744" ht="15" customHeight="1" x14ac:dyDescent="0.35"/>
    <row r="1745" ht="15" customHeight="1" x14ac:dyDescent="0.35"/>
    <row r="1746" ht="15" customHeight="1" x14ac:dyDescent="0.35"/>
    <row r="1747" ht="15" customHeight="1" x14ac:dyDescent="0.35"/>
    <row r="1748" ht="15" customHeight="1" x14ac:dyDescent="0.35"/>
    <row r="1749" ht="15" customHeight="1" x14ac:dyDescent="0.35"/>
    <row r="1750" ht="15" customHeight="1" x14ac:dyDescent="0.35"/>
    <row r="1751" ht="15" customHeight="1" x14ac:dyDescent="0.35"/>
    <row r="1752" ht="15" customHeight="1" x14ac:dyDescent="0.35"/>
    <row r="1753" ht="15" customHeight="1" x14ac:dyDescent="0.35"/>
    <row r="1754" ht="15" customHeight="1" x14ac:dyDescent="0.35"/>
    <row r="1755" ht="15" customHeight="1" x14ac:dyDescent="0.35"/>
    <row r="1756" ht="15" customHeight="1" x14ac:dyDescent="0.35"/>
    <row r="1757" ht="15" customHeight="1" x14ac:dyDescent="0.35"/>
    <row r="1758" ht="15" customHeight="1" x14ac:dyDescent="0.35"/>
    <row r="1759" ht="15" customHeight="1" x14ac:dyDescent="0.35"/>
    <row r="1760" ht="15" customHeight="1" x14ac:dyDescent="0.35"/>
    <row r="1761" ht="15" customHeight="1" x14ac:dyDescent="0.35"/>
    <row r="1762" ht="15" customHeight="1" x14ac:dyDescent="0.35"/>
    <row r="1763" ht="15" customHeight="1" x14ac:dyDescent="0.35"/>
    <row r="1764" ht="15" customHeight="1" x14ac:dyDescent="0.35"/>
    <row r="1765" ht="15" customHeight="1" x14ac:dyDescent="0.35"/>
    <row r="1766" ht="15" customHeight="1" x14ac:dyDescent="0.35"/>
    <row r="1767" ht="15" customHeight="1" x14ac:dyDescent="0.35"/>
    <row r="1768" ht="15" customHeight="1" x14ac:dyDescent="0.35"/>
    <row r="1769" ht="15" customHeight="1" x14ac:dyDescent="0.35"/>
    <row r="1770" ht="15" customHeight="1" x14ac:dyDescent="0.35"/>
    <row r="1771" ht="15" customHeight="1" x14ac:dyDescent="0.35"/>
    <row r="1772" ht="15" customHeight="1" x14ac:dyDescent="0.35"/>
    <row r="1773" ht="15" customHeight="1" x14ac:dyDescent="0.35"/>
    <row r="1774" ht="15" customHeight="1" x14ac:dyDescent="0.35"/>
    <row r="1775" ht="15" customHeight="1" x14ac:dyDescent="0.35"/>
    <row r="1776" ht="15" customHeight="1" x14ac:dyDescent="0.35"/>
    <row r="1777" ht="15" customHeight="1" x14ac:dyDescent="0.35"/>
    <row r="1778" ht="15" customHeight="1" x14ac:dyDescent="0.35"/>
    <row r="1779" ht="15" customHeight="1" x14ac:dyDescent="0.35"/>
    <row r="1780" ht="15" customHeight="1" x14ac:dyDescent="0.35"/>
    <row r="1781" ht="15" customHeight="1" x14ac:dyDescent="0.35"/>
    <row r="1782" ht="15" customHeight="1" x14ac:dyDescent="0.35"/>
    <row r="1783" ht="15" customHeight="1" x14ac:dyDescent="0.35"/>
    <row r="1784" ht="15" customHeight="1" x14ac:dyDescent="0.35"/>
    <row r="1785" ht="15" customHeight="1" x14ac:dyDescent="0.35"/>
    <row r="1786" ht="15" customHeight="1" x14ac:dyDescent="0.35"/>
    <row r="1787" ht="15" customHeight="1" x14ac:dyDescent="0.35"/>
    <row r="1788" ht="15" customHeight="1" x14ac:dyDescent="0.35"/>
    <row r="1789" ht="15" customHeight="1" x14ac:dyDescent="0.35"/>
    <row r="1790" ht="15" customHeight="1" x14ac:dyDescent="0.35"/>
    <row r="1791" ht="15" customHeight="1" x14ac:dyDescent="0.35"/>
    <row r="1792" ht="15" customHeight="1" x14ac:dyDescent="0.35"/>
    <row r="1793" ht="15" customHeight="1" x14ac:dyDescent="0.35"/>
    <row r="1794" ht="15" customHeight="1" x14ac:dyDescent="0.35"/>
    <row r="1795" ht="15" customHeight="1" x14ac:dyDescent="0.35"/>
    <row r="1796" ht="15" customHeight="1" x14ac:dyDescent="0.35"/>
    <row r="1797" ht="15" customHeight="1" x14ac:dyDescent="0.35"/>
    <row r="1798" ht="15" customHeight="1" x14ac:dyDescent="0.35"/>
    <row r="1799" ht="15" customHeight="1" x14ac:dyDescent="0.35"/>
    <row r="1800" ht="15" customHeight="1" x14ac:dyDescent="0.35"/>
    <row r="1801" ht="15" customHeight="1" x14ac:dyDescent="0.35"/>
    <row r="1802" ht="15" customHeight="1" x14ac:dyDescent="0.35"/>
    <row r="1803" ht="15" customHeight="1" x14ac:dyDescent="0.35"/>
    <row r="1804" ht="15" customHeight="1" x14ac:dyDescent="0.35"/>
    <row r="1805" ht="15" customHeight="1" x14ac:dyDescent="0.35"/>
    <row r="1806" ht="15" customHeight="1" x14ac:dyDescent="0.35"/>
    <row r="1807" ht="15" customHeight="1" x14ac:dyDescent="0.35"/>
    <row r="1808" ht="15" customHeight="1" x14ac:dyDescent="0.35"/>
    <row r="1809" ht="15" customHeight="1" x14ac:dyDescent="0.35"/>
    <row r="1810" ht="15" customHeight="1" x14ac:dyDescent="0.35"/>
    <row r="1811" ht="15" customHeight="1" x14ac:dyDescent="0.35"/>
    <row r="1812" ht="15" customHeight="1" x14ac:dyDescent="0.35"/>
    <row r="1813" ht="15" customHeight="1" x14ac:dyDescent="0.35"/>
    <row r="1814" ht="15" customHeight="1" x14ac:dyDescent="0.35"/>
    <row r="1815" ht="15" customHeight="1" x14ac:dyDescent="0.35"/>
    <row r="1816" ht="15" customHeight="1" x14ac:dyDescent="0.35"/>
    <row r="1817" ht="15" customHeight="1" x14ac:dyDescent="0.35"/>
    <row r="1818" ht="15" customHeight="1" x14ac:dyDescent="0.35"/>
    <row r="1819" ht="15" customHeight="1" x14ac:dyDescent="0.35"/>
    <row r="1820" ht="15" customHeight="1" x14ac:dyDescent="0.35"/>
    <row r="1821" ht="15" customHeight="1" x14ac:dyDescent="0.35"/>
    <row r="1822" ht="15" customHeight="1" x14ac:dyDescent="0.35"/>
    <row r="1823" ht="15" customHeight="1" x14ac:dyDescent="0.35"/>
    <row r="1824" ht="15" customHeight="1" x14ac:dyDescent="0.35"/>
    <row r="1825" ht="15" customHeight="1" x14ac:dyDescent="0.35"/>
    <row r="1826" ht="15" customHeight="1" x14ac:dyDescent="0.35"/>
    <row r="1827" ht="15" customHeight="1" x14ac:dyDescent="0.35"/>
    <row r="1828" ht="15" customHeight="1" x14ac:dyDescent="0.35"/>
    <row r="1829" ht="15" customHeight="1" x14ac:dyDescent="0.35"/>
    <row r="1830" ht="15" customHeight="1" x14ac:dyDescent="0.35"/>
    <row r="1831" ht="15" customHeight="1" x14ac:dyDescent="0.35"/>
    <row r="1832" ht="15" customHeight="1" x14ac:dyDescent="0.35"/>
    <row r="1833" ht="15" customHeight="1" x14ac:dyDescent="0.35"/>
    <row r="1834" ht="15" customHeight="1" x14ac:dyDescent="0.35"/>
    <row r="1835" ht="15" customHeight="1" x14ac:dyDescent="0.35"/>
    <row r="1836" ht="15" customHeight="1" x14ac:dyDescent="0.35"/>
    <row r="1837" ht="15" customHeight="1" x14ac:dyDescent="0.35"/>
    <row r="1838" ht="15" customHeight="1" x14ac:dyDescent="0.35"/>
    <row r="1839" ht="15" customHeight="1" x14ac:dyDescent="0.35"/>
    <row r="1840" ht="15" customHeight="1" x14ac:dyDescent="0.35"/>
    <row r="1841" ht="15" customHeight="1" x14ac:dyDescent="0.35"/>
    <row r="1842" ht="15" customHeight="1" x14ac:dyDescent="0.35"/>
    <row r="1843" ht="15" customHeight="1" x14ac:dyDescent="0.35"/>
    <row r="1844" ht="15" customHeight="1" x14ac:dyDescent="0.35"/>
    <row r="1845" ht="15" customHeight="1" x14ac:dyDescent="0.35"/>
    <row r="1846" ht="15" customHeight="1" x14ac:dyDescent="0.35"/>
    <row r="1847" ht="15" customHeight="1" x14ac:dyDescent="0.35"/>
    <row r="1848" ht="15" customHeight="1" x14ac:dyDescent="0.35"/>
    <row r="1849" ht="15" customHeight="1" x14ac:dyDescent="0.35"/>
    <row r="1850" ht="15" customHeight="1" x14ac:dyDescent="0.35"/>
    <row r="1851" ht="15" customHeight="1" x14ac:dyDescent="0.35"/>
    <row r="1852" ht="15" customHeight="1" x14ac:dyDescent="0.35"/>
    <row r="1853" ht="15" customHeight="1" x14ac:dyDescent="0.35"/>
    <row r="1854" ht="15" customHeight="1" x14ac:dyDescent="0.35"/>
    <row r="1855" ht="15" customHeight="1" x14ac:dyDescent="0.35"/>
    <row r="1856" ht="15" customHeight="1" x14ac:dyDescent="0.35"/>
    <row r="1857" ht="15" customHeight="1" x14ac:dyDescent="0.35"/>
    <row r="1858" ht="15" customHeight="1" x14ac:dyDescent="0.35"/>
    <row r="1859" ht="15" customHeight="1" x14ac:dyDescent="0.35"/>
    <row r="1860" ht="15" customHeight="1" x14ac:dyDescent="0.35"/>
    <row r="1861" ht="15" customHeight="1" x14ac:dyDescent="0.35"/>
    <row r="1862" ht="15" customHeight="1" x14ac:dyDescent="0.35"/>
    <row r="1863" ht="15" customHeight="1" x14ac:dyDescent="0.35"/>
    <row r="1864" ht="15" customHeight="1" x14ac:dyDescent="0.35"/>
    <row r="1865" ht="15" customHeight="1" x14ac:dyDescent="0.35"/>
    <row r="1866" ht="15" customHeight="1" x14ac:dyDescent="0.35"/>
    <row r="1867" ht="15" customHeight="1" x14ac:dyDescent="0.35"/>
    <row r="1868" ht="15" customHeight="1" x14ac:dyDescent="0.35"/>
    <row r="1869" ht="15" customHeight="1" x14ac:dyDescent="0.35"/>
    <row r="1870" ht="15" customHeight="1" x14ac:dyDescent="0.35"/>
    <row r="1871" ht="15" customHeight="1" x14ac:dyDescent="0.35"/>
    <row r="1872" ht="15" customHeight="1" x14ac:dyDescent="0.35"/>
    <row r="1873" ht="15" customHeight="1" x14ac:dyDescent="0.35"/>
    <row r="1874" ht="15" customHeight="1" x14ac:dyDescent="0.35"/>
    <row r="1875" ht="15" customHeight="1" x14ac:dyDescent="0.35"/>
    <row r="1876" ht="15" customHeight="1" x14ac:dyDescent="0.35"/>
    <row r="1877" ht="15" customHeight="1" x14ac:dyDescent="0.35"/>
    <row r="1878" ht="15" customHeight="1" x14ac:dyDescent="0.35"/>
    <row r="1879" ht="15" customHeight="1" x14ac:dyDescent="0.35"/>
    <row r="1880" ht="15" customHeight="1" x14ac:dyDescent="0.35"/>
    <row r="1881" ht="15" customHeight="1" x14ac:dyDescent="0.35"/>
    <row r="1882" ht="15" customHeight="1" x14ac:dyDescent="0.35"/>
    <row r="1883" ht="15" customHeight="1" x14ac:dyDescent="0.35"/>
    <row r="1884" ht="15" customHeight="1" x14ac:dyDescent="0.35"/>
    <row r="1885" ht="15" customHeight="1" x14ac:dyDescent="0.35"/>
    <row r="1886" ht="15" customHeight="1" x14ac:dyDescent="0.35"/>
    <row r="1887" ht="15" customHeight="1" x14ac:dyDescent="0.35"/>
    <row r="1888" ht="15" customHeight="1" x14ac:dyDescent="0.35"/>
    <row r="1889" ht="15" customHeight="1" x14ac:dyDescent="0.35"/>
    <row r="1890" ht="15" customHeight="1" x14ac:dyDescent="0.35"/>
    <row r="1891" ht="15" customHeight="1" x14ac:dyDescent="0.35"/>
    <row r="1892" ht="15" customHeight="1" x14ac:dyDescent="0.35"/>
    <row r="1893" ht="15" customHeight="1" x14ac:dyDescent="0.35"/>
    <row r="1894" ht="15" customHeight="1" x14ac:dyDescent="0.35"/>
    <row r="1895" ht="15" customHeight="1" x14ac:dyDescent="0.35"/>
    <row r="1896" ht="15" customHeight="1" x14ac:dyDescent="0.35"/>
    <row r="1897" ht="15" customHeight="1" x14ac:dyDescent="0.35"/>
    <row r="1898" ht="15" customHeight="1" x14ac:dyDescent="0.35"/>
    <row r="1899" ht="15" customHeight="1" x14ac:dyDescent="0.35"/>
    <row r="1900" ht="15" customHeight="1" x14ac:dyDescent="0.35"/>
    <row r="1901" ht="15" customHeight="1" x14ac:dyDescent="0.35"/>
    <row r="1902" ht="15" customHeight="1" x14ac:dyDescent="0.35"/>
    <row r="1903" ht="15" customHeight="1" x14ac:dyDescent="0.35"/>
    <row r="1904" ht="15" customHeight="1" x14ac:dyDescent="0.35"/>
    <row r="1905" ht="15" customHeight="1" x14ac:dyDescent="0.35"/>
    <row r="1906" ht="15" customHeight="1" x14ac:dyDescent="0.35"/>
    <row r="1907" ht="15" customHeight="1" x14ac:dyDescent="0.35"/>
    <row r="1908" ht="15" customHeight="1" x14ac:dyDescent="0.35"/>
    <row r="1909" ht="15" customHeight="1" x14ac:dyDescent="0.35"/>
    <row r="1910" ht="15" customHeight="1" x14ac:dyDescent="0.35"/>
    <row r="1911" ht="15" customHeight="1" x14ac:dyDescent="0.35"/>
    <row r="1912" ht="15" customHeight="1" x14ac:dyDescent="0.35"/>
    <row r="1913" ht="15" customHeight="1" x14ac:dyDescent="0.35"/>
    <row r="1914" ht="15" customHeight="1" x14ac:dyDescent="0.35"/>
    <row r="1915" ht="15" customHeight="1" x14ac:dyDescent="0.35"/>
    <row r="1916" ht="15" customHeight="1" x14ac:dyDescent="0.35"/>
    <row r="1917" ht="15" customHeight="1" x14ac:dyDescent="0.35"/>
    <row r="1918" ht="15" customHeight="1" x14ac:dyDescent="0.35"/>
    <row r="1919" ht="15" customHeight="1" x14ac:dyDescent="0.35"/>
    <row r="1920" ht="15" customHeight="1" x14ac:dyDescent="0.35"/>
    <row r="1921" ht="15" customHeight="1" x14ac:dyDescent="0.35"/>
    <row r="1922" ht="15" customHeight="1" x14ac:dyDescent="0.35"/>
    <row r="1923" ht="15" customHeight="1" x14ac:dyDescent="0.35"/>
    <row r="1924" ht="15" customHeight="1" x14ac:dyDescent="0.35"/>
    <row r="1925" ht="15" customHeight="1" x14ac:dyDescent="0.35"/>
    <row r="1926" ht="15" customHeight="1" x14ac:dyDescent="0.35"/>
    <row r="1927" ht="15" customHeight="1" x14ac:dyDescent="0.35"/>
    <row r="1928" ht="15" customHeight="1" x14ac:dyDescent="0.35"/>
    <row r="1929" ht="15" customHeight="1" x14ac:dyDescent="0.35"/>
    <row r="1930" ht="15" customHeight="1" x14ac:dyDescent="0.35"/>
    <row r="1931" ht="15" customHeight="1" x14ac:dyDescent="0.35"/>
    <row r="1932" ht="15" customHeight="1" x14ac:dyDescent="0.35"/>
    <row r="1933" ht="15" customHeight="1" x14ac:dyDescent="0.35"/>
    <row r="1934" ht="15" customHeight="1" x14ac:dyDescent="0.35"/>
    <row r="1935" ht="15" customHeight="1" x14ac:dyDescent="0.35"/>
    <row r="1936" ht="15" customHeight="1" x14ac:dyDescent="0.35"/>
    <row r="1937" ht="15" customHeight="1" x14ac:dyDescent="0.35"/>
    <row r="1938" ht="15" customHeight="1" x14ac:dyDescent="0.35"/>
    <row r="1939" ht="15" customHeight="1" x14ac:dyDescent="0.35"/>
    <row r="1940" ht="15" customHeight="1" x14ac:dyDescent="0.35"/>
    <row r="1941" ht="15" customHeight="1" x14ac:dyDescent="0.35"/>
    <row r="1942" ht="15" customHeight="1" x14ac:dyDescent="0.35"/>
    <row r="1943" ht="15" customHeight="1" x14ac:dyDescent="0.35"/>
    <row r="1944" ht="15" customHeight="1" x14ac:dyDescent="0.35"/>
    <row r="1945" ht="15" customHeight="1" x14ac:dyDescent="0.35"/>
    <row r="1946" ht="15" customHeight="1" x14ac:dyDescent="0.35"/>
    <row r="1947" ht="15" customHeight="1" x14ac:dyDescent="0.35"/>
    <row r="1948" ht="15" customHeight="1" x14ac:dyDescent="0.35"/>
    <row r="1949" ht="15" customHeight="1" x14ac:dyDescent="0.35"/>
    <row r="1950" ht="15" customHeight="1" x14ac:dyDescent="0.35"/>
    <row r="1951" ht="15" customHeight="1" x14ac:dyDescent="0.35"/>
    <row r="1952" ht="15" customHeight="1" x14ac:dyDescent="0.35"/>
    <row r="1953" ht="15" customHeight="1" x14ac:dyDescent="0.35"/>
    <row r="1954" ht="15" customHeight="1" x14ac:dyDescent="0.35"/>
    <row r="1955" ht="15" customHeight="1" x14ac:dyDescent="0.35"/>
    <row r="1956" ht="15" customHeight="1" x14ac:dyDescent="0.35"/>
    <row r="1957" ht="15" customHeight="1" x14ac:dyDescent="0.35"/>
    <row r="1958" ht="15" customHeight="1" x14ac:dyDescent="0.35"/>
    <row r="1959" ht="15" customHeight="1" x14ac:dyDescent="0.35"/>
    <row r="1960" ht="15" customHeight="1" x14ac:dyDescent="0.35"/>
    <row r="1961" ht="15" customHeight="1" x14ac:dyDescent="0.35"/>
    <row r="1962" ht="15" customHeight="1" x14ac:dyDescent="0.35"/>
    <row r="1963" ht="15" customHeight="1" x14ac:dyDescent="0.35"/>
    <row r="1964" ht="15" customHeight="1" x14ac:dyDescent="0.35"/>
    <row r="1965" ht="15" customHeight="1" x14ac:dyDescent="0.35"/>
    <row r="1966" ht="15" customHeight="1" x14ac:dyDescent="0.35"/>
    <row r="1967" ht="15" customHeight="1" x14ac:dyDescent="0.35"/>
    <row r="1968" ht="15" customHeight="1" x14ac:dyDescent="0.35"/>
    <row r="1969" ht="15" customHeight="1" x14ac:dyDescent="0.35"/>
    <row r="1970" ht="15" customHeight="1" x14ac:dyDescent="0.35"/>
    <row r="1971" ht="15" customHeight="1" x14ac:dyDescent="0.35"/>
    <row r="1972" ht="15" customHeight="1" x14ac:dyDescent="0.35"/>
    <row r="1973" ht="15" customHeight="1" x14ac:dyDescent="0.35"/>
    <row r="1974" ht="15" customHeight="1" x14ac:dyDescent="0.35"/>
    <row r="1975" ht="15" customHeight="1" x14ac:dyDescent="0.35"/>
    <row r="1976" ht="15" customHeight="1" x14ac:dyDescent="0.35"/>
    <row r="1977" ht="15" customHeight="1" x14ac:dyDescent="0.35"/>
    <row r="1978" ht="15" customHeight="1" x14ac:dyDescent="0.35"/>
    <row r="1979" ht="15" customHeight="1" x14ac:dyDescent="0.35"/>
    <row r="1980" ht="15" customHeight="1" x14ac:dyDescent="0.35"/>
    <row r="1981" ht="15" customHeight="1" x14ac:dyDescent="0.35"/>
    <row r="1982" ht="15" customHeight="1" x14ac:dyDescent="0.35"/>
    <row r="1983" ht="15" customHeight="1" x14ac:dyDescent="0.35"/>
    <row r="1984" ht="15" customHeight="1" x14ac:dyDescent="0.35"/>
    <row r="1985" ht="15" customHeight="1" x14ac:dyDescent="0.35"/>
    <row r="1986" ht="15" customHeight="1" x14ac:dyDescent="0.35"/>
    <row r="1987" ht="15" customHeight="1" x14ac:dyDescent="0.35"/>
    <row r="1988" ht="15" customHeight="1" x14ac:dyDescent="0.35"/>
    <row r="1989" ht="15" customHeight="1" x14ac:dyDescent="0.35"/>
    <row r="1990" ht="15" customHeight="1" x14ac:dyDescent="0.35"/>
    <row r="1991" ht="15" customHeight="1" x14ac:dyDescent="0.35"/>
    <row r="1992" ht="15" customHeight="1" x14ac:dyDescent="0.35"/>
    <row r="1993" ht="15" customHeight="1" x14ac:dyDescent="0.35"/>
    <row r="1994" ht="15" customHeight="1" x14ac:dyDescent="0.35"/>
    <row r="1995" ht="15" customHeight="1" x14ac:dyDescent="0.35"/>
    <row r="1996" ht="15" customHeight="1" x14ac:dyDescent="0.35"/>
    <row r="1997" ht="15" customHeight="1" x14ac:dyDescent="0.35"/>
    <row r="1998" ht="15" customHeight="1" x14ac:dyDescent="0.35"/>
    <row r="1999" ht="15" customHeight="1" x14ac:dyDescent="0.35"/>
    <row r="2000" ht="15" customHeight="1" x14ac:dyDescent="0.35"/>
    <row r="2001" ht="15" customHeight="1" x14ac:dyDescent="0.35"/>
    <row r="2002" ht="15" customHeight="1" x14ac:dyDescent="0.35"/>
    <row r="2003" ht="15" customHeight="1" x14ac:dyDescent="0.35"/>
    <row r="2004" ht="15" customHeight="1" x14ac:dyDescent="0.35"/>
    <row r="2005" ht="15" customHeight="1" x14ac:dyDescent="0.35"/>
    <row r="2006" ht="15" customHeight="1" x14ac:dyDescent="0.35"/>
    <row r="2007" ht="15" customHeight="1" x14ac:dyDescent="0.35"/>
    <row r="2008" ht="15" customHeight="1" x14ac:dyDescent="0.35"/>
    <row r="2009" ht="15" customHeight="1" x14ac:dyDescent="0.35"/>
    <row r="2010" ht="15" customHeight="1" x14ac:dyDescent="0.35"/>
    <row r="2011" ht="15" customHeight="1" x14ac:dyDescent="0.35"/>
    <row r="2012" ht="15" customHeight="1" x14ac:dyDescent="0.35"/>
    <row r="2013" ht="15" customHeight="1" x14ac:dyDescent="0.35"/>
    <row r="2014" ht="15" customHeight="1" x14ac:dyDescent="0.35"/>
    <row r="2015" ht="15" customHeight="1" x14ac:dyDescent="0.35"/>
    <row r="2016" ht="15" customHeight="1" x14ac:dyDescent="0.35"/>
    <row r="2017" ht="15" customHeight="1" x14ac:dyDescent="0.35"/>
    <row r="2018" ht="15" customHeight="1" x14ac:dyDescent="0.35"/>
    <row r="2019" ht="15" customHeight="1" x14ac:dyDescent="0.35"/>
    <row r="2020" ht="15" customHeight="1" x14ac:dyDescent="0.35"/>
    <row r="2021" ht="15" customHeight="1" x14ac:dyDescent="0.35"/>
    <row r="2022" ht="15" customHeight="1" x14ac:dyDescent="0.35"/>
    <row r="2023" ht="15" customHeight="1" x14ac:dyDescent="0.35"/>
    <row r="2024" ht="15" customHeight="1" x14ac:dyDescent="0.35"/>
    <row r="2025" ht="15" customHeight="1" x14ac:dyDescent="0.35"/>
    <row r="2026" ht="15" customHeight="1" x14ac:dyDescent="0.35"/>
    <row r="2027" ht="15" customHeight="1" x14ac:dyDescent="0.35"/>
    <row r="2028" ht="15" customHeight="1" x14ac:dyDescent="0.35"/>
    <row r="2029" ht="15" customHeight="1" x14ac:dyDescent="0.35"/>
    <row r="2030" ht="15" customHeight="1" x14ac:dyDescent="0.35"/>
    <row r="2031" ht="15" customHeight="1" x14ac:dyDescent="0.35"/>
    <row r="2032" ht="15" customHeight="1" x14ac:dyDescent="0.35"/>
    <row r="2033" ht="15" customHeight="1" x14ac:dyDescent="0.35"/>
    <row r="2034" ht="15" customHeight="1" x14ac:dyDescent="0.35"/>
    <row r="2035" ht="15" customHeight="1" x14ac:dyDescent="0.35"/>
    <row r="2036" ht="15" customHeight="1" x14ac:dyDescent="0.35"/>
    <row r="2037" ht="15" customHeight="1" x14ac:dyDescent="0.35"/>
    <row r="2038" ht="15" customHeight="1" x14ac:dyDescent="0.35"/>
    <row r="2039" ht="15" customHeight="1" x14ac:dyDescent="0.35"/>
    <row r="2040" ht="15" customHeight="1" x14ac:dyDescent="0.35"/>
    <row r="2041" ht="15" customHeight="1" x14ac:dyDescent="0.35"/>
    <row r="2042" ht="15" customHeight="1" x14ac:dyDescent="0.35"/>
    <row r="2043" ht="15" customHeight="1" x14ac:dyDescent="0.35"/>
    <row r="2044" ht="15" customHeight="1" x14ac:dyDescent="0.35"/>
    <row r="2045" ht="15" customHeight="1" x14ac:dyDescent="0.35"/>
    <row r="2046" ht="15" customHeight="1" x14ac:dyDescent="0.35"/>
    <row r="2047" ht="15" customHeight="1" x14ac:dyDescent="0.35"/>
    <row r="2048" ht="15" customHeight="1" x14ac:dyDescent="0.35"/>
    <row r="2049" ht="15" customHeight="1" x14ac:dyDescent="0.35"/>
    <row r="2050" ht="15" customHeight="1" x14ac:dyDescent="0.35"/>
    <row r="2051" ht="15" customHeight="1" x14ac:dyDescent="0.35"/>
    <row r="2052" ht="15" customHeight="1" x14ac:dyDescent="0.35"/>
    <row r="2053" ht="15" customHeight="1" x14ac:dyDescent="0.35"/>
    <row r="2054" ht="15" customHeight="1" x14ac:dyDescent="0.35"/>
    <row r="2055" ht="15" customHeight="1" x14ac:dyDescent="0.35"/>
    <row r="2056" ht="15" customHeight="1" x14ac:dyDescent="0.35"/>
    <row r="2057" ht="15" customHeight="1" x14ac:dyDescent="0.35"/>
    <row r="2058" ht="15" customHeight="1" x14ac:dyDescent="0.35"/>
    <row r="2059" ht="15" customHeight="1" x14ac:dyDescent="0.35"/>
    <row r="2060" ht="15" customHeight="1" x14ac:dyDescent="0.35"/>
    <row r="2061" ht="15" customHeight="1" x14ac:dyDescent="0.35"/>
    <row r="2062" ht="15" customHeight="1" x14ac:dyDescent="0.35"/>
    <row r="2063" ht="15" customHeight="1" x14ac:dyDescent="0.35"/>
    <row r="2064" ht="15" customHeight="1" x14ac:dyDescent="0.35"/>
    <row r="2065" ht="15" customHeight="1" x14ac:dyDescent="0.35"/>
    <row r="2066" ht="15" customHeight="1" x14ac:dyDescent="0.35"/>
    <row r="2067" ht="15" customHeight="1" x14ac:dyDescent="0.35"/>
    <row r="2068" ht="15" customHeight="1" x14ac:dyDescent="0.35"/>
    <row r="2069" ht="15" customHeight="1" x14ac:dyDescent="0.35"/>
    <row r="2070" ht="15" customHeight="1" x14ac:dyDescent="0.35"/>
    <row r="2071" ht="15" customHeight="1" x14ac:dyDescent="0.35"/>
    <row r="2072" ht="15" customHeight="1" x14ac:dyDescent="0.35"/>
    <row r="2073" ht="15" customHeight="1" x14ac:dyDescent="0.35"/>
    <row r="2074" ht="15" customHeight="1" x14ac:dyDescent="0.35"/>
    <row r="2075" ht="15" customHeight="1" x14ac:dyDescent="0.35"/>
    <row r="2076" ht="15" customHeight="1" x14ac:dyDescent="0.35"/>
    <row r="2077" ht="15" customHeight="1" x14ac:dyDescent="0.35"/>
    <row r="2078" ht="15" customHeight="1" x14ac:dyDescent="0.35"/>
    <row r="2079" ht="15" customHeight="1" x14ac:dyDescent="0.35"/>
    <row r="2080" ht="15" customHeight="1" x14ac:dyDescent="0.35"/>
    <row r="2081" ht="15" customHeight="1" x14ac:dyDescent="0.35"/>
    <row r="2082" ht="15" customHeight="1" x14ac:dyDescent="0.35"/>
    <row r="2083" ht="15" customHeight="1" x14ac:dyDescent="0.35"/>
    <row r="2084" ht="15" customHeight="1" x14ac:dyDescent="0.35"/>
    <row r="2085" ht="15" customHeight="1" x14ac:dyDescent="0.35"/>
    <row r="2086" ht="15" customHeight="1" x14ac:dyDescent="0.35"/>
    <row r="2087" ht="15" customHeight="1" x14ac:dyDescent="0.35"/>
    <row r="2088" ht="15" customHeight="1" x14ac:dyDescent="0.35"/>
    <row r="2089" ht="15" customHeight="1" x14ac:dyDescent="0.35"/>
    <row r="2090" ht="15" customHeight="1" x14ac:dyDescent="0.35"/>
    <row r="2091" ht="15" customHeight="1" x14ac:dyDescent="0.35"/>
    <row r="2092" ht="15" customHeight="1" x14ac:dyDescent="0.35"/>
    <row r="2093" ht="15" customHeight="1" x14ac:dyDescent="0.35"/>
    <row r="2094" ht="15" customHeight="1" x14ac:dyDescent="0.35"/>
    <row r="2095" ht="15" customHeight="1" x14ac:dyDescent="0.35"/>
    <row r="2096" ht="15" customHeight="1" x14ac:dyDescent="0.35"/>
    <row r="2097" ht="15" customHeight="1" x14ac:dyDescent="0.35"/>
    <row r="2098" ht="15" customHeight="1" x14ac:dyDescent="0.35"/>
    <row r="2099" ht="15" customHeight="1" x14ac:dyDescent="0.35"/>
    <row r="2100" ht="15" customHeight="1" x14ac:dyDescent="0.35"/>
    <row r="2101" ht="15" customHeight="1" x14ac:dyDescent="0.35"/>
    <row r="2102" ht="15" customHeight="1" x14ac:dyDescent="0.35"/>
    <row r="2103" ht="15" customHeight="1" x14ac:dyDescent="0.35"/>
    <row r="2104" ht="15" customHeight="1" x14ac:dyDescent="0.35"/>
    <row r="2105" ht="15" customHeight="1" x14ac:dyDescent="0.35"/>
    <row r="2106" ht="15" customHeight="1" x14ac:dyDescent="0.35"/>
    <row r="2107" ht="15" customHeight="1" x14ac:dyDescent="0.35"/>
    <row r="2108" ht="15" customHeight="1" x14ac:dyDescent="0.35"/>
    <row r="2109" ht="15" customHeight="1" x14ac:dyDescent="0.35"/>
    <row r="2110" ht="15" customHeight="1" x14ac:dyDescent="0.35"/>
    <row r="2111" ht="15" customHeight="1" x14ac:dyDescent="0.35"/>
    <row r="2112" ht="15" customHeight="1" x14ac:dyDescent="0.35"/>
    <row r="2113" ht="15" customHeight="1" x14ac:dyDescent="0.35"/>
    <row r="2114" ht="15" customHeight="1" x14ac:dyDescent="0.35"/>
    <row r="2115" ht="15" customHeight="1" x14ac:dyDescent="0.35"/>
    <row r="2116" ht="15" customHeight="1" x14ac:dyDescent="0.35"/>
    <row r="2117" ht="15" customHeight="1" x14ac:dyDescent="0.35"/>
    <row r="2118" ht="15" customHeight="1" x14ac:dyDescent="0.35"/>
    <row r="2119" ht="15" customHeight="1" x14ac:dyDescent="0.35"/>
    <row r="2120" ht="15" customHeight="1" x14ac:dyDescent="0.35"/>
    <row r="2121" ht="15" customHeight="1" x14ac:dyDescent="0.35"/>
    <row r="2122" ht="15" customHeight="1" x14ac:dyDescent="0.35"/>
    <row r="2123" ht="15" customHeight="1" x14ac:dyDescent="0.35"/>
    <row r="2124" ht="15" customHeight="1" x14ac:dyDescent="0.35"/>
    <row r="2125" ht="15" customHeight="1" x14ac:dyDescent="0.35"/>
    <row r="2126" ht="15" customHeight="1" x14ac:dyDescent="0.35"/>
    <row r="2127" ht="15" customHeight="1" x14ac:dyDescent="0.35"/>
    <row r="2128" ht="15" customHeight="1" x14ac:dyDescent="0.35"/>
    <row r="2129" ht="15" customHeight="1" x14ac:dyDescent="0.35"/>
    <row r="2130" ht="15" customHeight="1" x14ac:dyDescent="0.35"/>
    <row r="2131" ht="15" customHeight="1" x14ac:dyDescent="0.35"/>
    <row r="2132" ht="15" customHeight="1" x14ac:dyDescent="0.35"/>
    <row r="2133" ht="15" customHeight="1" x14ac:dyDescent="0.35"/>
    <row r="2134" ht="15" customHeight="1" x14ac:dyDescent="0.35"/>
    <row r="2135" ht="15" customHeight="1" x14ac:dyDescent="0.35"/>
    <row r="2136" ht="15" customHeight="1" x14ac:dyDescent="0.35"/>
    <row r="2137" ht="15" customHeight="1" x14ac:dyDescent="0.35"/>
    <row r="2138" ht="15" customHeight="1" x14ac:dyDescent="0.35"/>
    <row r="2139" ht="15" customHeight="1" x14ac:dyDescent="0.35"/>
    <row r="2140" ht="15" customHeight="1" x14ac:dyDescent="0.35"/>
    <row r="2141" ht="15" customHeight="1" x14ac:dyDescent="0.35"/>
    <row r="2142" ht="15" customHeight="1" x14ac:dyDescent="0.35"/>
    <row r="2143" ht="15" customHeight="1" x14ac:dyDescent="0.35"/>
    <row r="2144" ht="15" customHeight="1" x14ac:dyDescent="0.35"/>
    <row r="2145" ht="15" customHeight="1" x14ac:dyDescent="0.35"/>
    <row r="2146" ht="15" customHeight="1" x14ac:dyDescent="0.35"/>
    <row r="2147" ht="15" customHeight="1" x14ac:dyDescent="0.35"/>
    <row r="2148" ht="15" customHeight="1" x14ac:dyDescent="0.35"/>
    <row r="2149" ht="15" customHeight="1" x14ac:dyDescent="0.35"/>
    <row r="2150" ht="15" customHeight="1" x14ac:dyDescent="0.35"/>
    <row r="2151" ht="15" customHeight="1" x14ac:dyDescent="0.35"/>
    <row r="2152" ht="15" customHeight="1" x14ac:dyDescent="0.35"/>
    <row r="2153" ht="15" customHeight="1" x14ac:dyDescent="0.35"/>
    <row r="2154" ht="15" customHeight="1" x14ac:dyDescent="0.35"/>
    <row r="2155" ht="15" customHeight="1" x14ac:dyDescent="0.35"/>
    <row r="2156" ht="15" customHeight="1" x14ac:dyDescent="0.35"/>
    <row r="2157" ht="15" customHeight="1" x14ac:dyDescent="0.35"/>
    <row r="2158" ht="15" customHeight="1" x14ac:dyDescent="0.35"/>
    <row r="2159" ht="15" customHeight="1" x14ac:dyDescent="0.35"/>
    <row r="2160" ht="15" customHeight="1" x14ac:dyDescent="0.35"/>
    <row r="2161" ht="15" customHeight="1" x14ac:dyDescent="0.35"/>
    <row r="2162" ht="15" customHeight="1" x14ac:dyDescent="0.35"/>
    <row r="2163" ht="15" customHeight="1" x14ac:dyDescent="0.35"/>
    <row r="2164" ht="15" customHeight="1" x14ac:dyDescent="0.35"/>
    <row r="2165" ht="15" customHeight="1" x14ac:dyDescent="0.35"/>
    <row r="2166" ht="15" customHeight="1" x14ac:dyDescent="0.35"/>
    <row r="2167" ht="15" customHeight="1" x14ac:dyDescent="0.35"/>
    <row r="2168" ht="15" customHeight="1" x14ac:dyDescent="0.35"/>
    <row r="2169" ht="15" customHeight="1" x14ac:dyDescent="0.35"/>
    <row r="2170" ht="15" customHeight="1" x14ac:dyDescent="0.35"/>
    <row r="2171" ht="15" customHeight="1" x14ac:dyDescent="0.35"/>
    <row r="2172" ht="15" customHeight="1" x14ac:dyDescent="0.35"/>
    <row r="2173" ht="15" customHeight="1" x14ac:dyDescent="0.35"/>
    <row r="2174" ht="15" customHeight="1" x14ac:dyDescent="0.35"/>
    <row r="2175" ht="15" customHeight="1" x14ac:dyDescent="0.35"/>
    <row r="2176" ht="15" customHeight="1" x14ac:dyDescent="0.35"/>
    <row r="2177" ht="15" customHeight="1" x14ac:dyDescent="0.35"/>
    <row r="2178" ht="15" customHeight="1" x14ac:dyDescent="0.35"/>
    <row r="2179" ht="15" customHeight="1" x14ac:dyDescent="0.35"/>
    <row r="2180" ht="15" customHeight="1" x14ac:dyDescent="0.35"/>
    <row r="2181" ht="15" customHeight="1" x14ac:dyDescent="0.35"/>
    <row r="2182" ht="15" customHeight="1" x14ac:dyDescent="0.35"/>
    <row r="2183" ht="15" customHeight="1" x14ac:dyDescent="0.35"/>
    <row r="2184" ht="15" customHeight="1" x14ac:dyDescent="0.35"/>
    <row r="2185" ht="15" customHeight="1" x14ac:dyDescent="0.35"/>
    <row r="2186" ht="15" customHeight="1" x14ac:dyDescent="0.35"/>
    <row r="2187" ht="15" customHeight="1" x14ac:dyDescent="0.35"/>
    <row r="2188" ht="15" customHeight="1" x14ac:dyDescent="0.35"/>
    <row r="2189" ht="15" customHeight="1" x14ac:dyDescent="0.35"/>
    <row r="2190" ht="15" customHeight="1" x14ac:dyDescent="0.35"/>
    <row r="2191" ht="15" customHeight="1" x14ac:dyDescent="0.35"/>
    <row r="2192" ht="15" customHeight="1" x14ac:dyDescent="0.35"/>
    <row r="2193" ht="15" customHeight="1" x14ac:dyDescent="0.35"/>
    <row r="2194" ht="15" customHeight="1" x14ac:dyDescent="0.35"/>
    <row r="2195" ht="15" customHeight="1" x14ac:dyDescent="0.35"/>
    <row r="2196" ht="15" customHeight="1" x14ac:dyDescent="0.35"/>
    <row r="2197" ht="15" customHeight="1" x14ac:dyDescent="0.35"/>
    <row r="2198" ht="15" customHeight="1" x14ac:dyDescent="0.35"/>
    <row r="2199" ht="15" customHeight="1" x14ac:dyDescent="0.35"/>
    <row r="2200" ht="15" customHeight="1" x14ac:dyDescent="0.35"/>
    <row r="2201" ht="15" customHeight="1" x14ac:dyDescent="0.35"/>
    <row r="2202" ht="15" customHeight="1" x14ac:dyDescent="0.35"/>
    <row r="2203" ht="15" customHeight="1" x14ac:dyDescent="0.35"/>
    <row r="2204" ht="15" customHeight="1" x14ac:dyDescent="0.35"/>
    <row r="2205" ht="15" customHeight="1" x14ac:dyDescent="0.35"/>
    <row r="2206" ht="15" customHeight="1" x14ac:dyDescent="0.35"/>
    <row r="2207" ht="15" customHeight="1" x14ac:dyDescent="0.35"/>
    <row r="2208" ht="15" customHeight="1" x14ac:dyDescent="0.35"/>
    <row r="2209" ht="15" customHeight="1" x14ac:dyDescent="0.35"/>
    <row r="2210" ht="15" customHeight="1" x14ac:dyDescent="0.35"/>
    <row r="2211" ht="15" customHeight="1" x14ac:dyDescent="0.35"/>
    <row r="2212" ht="15" customHeight="1" x14ac:dyDescent="0.35"/>
    <row r="2213" ht="15" customHeight="1" x14ac:dyDescent="0.35"/>
    <row r="2214" ht="15" customHeight="1" x14ac:dyDescent="0.35"/>
    <row r="2215" ht="15" customHeight="1" x14ac:dyDescent="0.35"/>
    <row r="2216" ht="15" customHeight="1" x14ac:dyDescent="0.35"/>
    <row r="2217" ht="15" customHeight="1" x14ac:dyDescent="0.35"/>
    <row r="2218" ht="15" customHeight="1" x14ac:dyDescent="0.35"/>
    <row r="2219" ht="15" customHeight="1" x14ac:dyDescent="0.35"/>
    <row r="2220" ht="15" customHeight="1" x14ac:dyDescent="0.35"/>
    <row r="2221" ht="15" customHeight="1" x14ac:dyDescent="0.35"/>
    <row r="2222" ht="15" customHeight="1" x14ac:dyDescent="0.35"/>
    <row r="2223" ht="15" customHeight="1" x14ac:dyDescent="0.35"/>
    <row r="2224" ht="15" customHeight="1" x14ac:dyDescent="0.35"/>
    <row r="2225" ht="15" customHeight="1" x14ac:dyDescent="0.35"/>
    <row r="2226" ht="15" customHeight="1" x14ac:dyDescent="0.35"/>
    <row r="2227" ht="15" customHeight="1" x14ac:dyDescent="0.35"/>
    <row r="2228" ht="15" customHeight="1" x14ac:dyDescent="0.35"/>
    <row r="2229" ht="15" customHeight="1" x14ac:dyDescent="0.35"/>
    <row r="2230" ht="15" customHeight="1" x14ac:dyDescent="0.35"/>
    <row r="2231" ht="15" customHeight="1" x14ac:dyDescent="0.35"/>
    <row r="2232" ht="15" customHeight="1" x14ac:dyDescent="0.35"/>
    <row r="2233" ht="15" customHeight="1" x14ac:dyDescent="0.35"/>
    <row r="2234" ht="15" customHeight="1" x14ac:dyDescent="0.35"/>
    <row r="2235" ht="15" customHeight="1" x14ac:dyDescent="0.35"/>
    <row r="2236" ht="15" customHeight="1" x14ac:dyDescent="0.35"/>
    <row r="2237" ht="15" customHeight="1" x14ac:dyDescent="0.35"/>
    <row r="2238" ht="15" customHeight="1" x14ac:dyDescent="0.35"/>
    <row r="2239" ht="15" customHeight="1" x14ac:dyDescent="0.35"/>
    <row r="2240" ht="15" customHeight="1" x14ac:dyDescent="0.35"/>
    <row r="2241" ht="15" customHeight="1" x14ac:dyDescent="0.35"/>
    <row r="2242" ht="15" customHeight="1" x14ac:dyDescent="0.35"/>
    <row r="2243" ht="15" customHeight="1" x14ac:dyDescent="0.35"/>
    <row r="2244" ht="15" customHeight="1" x14ac:dyDescent="0.35"/>
    <row r="2245" ht="15" customHeight="1" x14ac:dyDescent="0.35"/>
    <row r="2246" ht="15" customHeight="1" x14ac:dyDescent="0.35"/>
    <row r="2247" ht="15" customHeight="1" x14ac:dyDescent="0.35"/>
    <row r="2248" ht="15" customHeight="1" x14ac:dyDescent="0.35"/>
    <row r="2249" ht="15" customHeight="1" x14ac:dyDescent="0.35"/>
    <row r="2250" ht="15" customHeight="1" x14ac:dyDescent="0.35"/>
    <row r="2251" ht="15" customHeight="1" x14ac:dyDescent="0.35"/>
    <row r="2252" ht="15" customHeight="1" x14ac:dyDescent="0.35"/>
    <row r="2253" ht="15" customHeight="1" x14ac:dyDescent="0.35"/>
    <row r="2254" ht="15" customHeight="1" x14ac:dyDescent="0.35"/>
    <row r="2255" ht="15" customHeight="1" x14ac:dyDescent="0.35"/>
    <row r="2256" ht="15" customHeight="1" x14ac:dyDescent="0.35"/>
    <row r="2257" ht="15" customHeight="1" x14ac:dyDescent="0.35"/>
    <row r="2258" ht="15" customHeight="1" x14ac:dyDescent="0.35"/>
    <row r="2259" ht="15" customHeight="1" x14ac:dyDescent="0.35"/>
    <row r="2260" ht="15" customHeight="1" x14ac:dyDescent="0.35"/>
    <row r="2261" ht="15" customHeight="1" x14ac:dyDescent="0.35"/>
    <row r="2262" ht="15" customHeight="1" x14ac:dyDescent="0.35"/>
    <row r="2263" ht="15" customHeight="1" x14ac:dyDescent="0.35"/>
    <row r="2264" ht="15" customHeight="1" x14ac:dyDescent="0.35"/>
    <row r="2265" ht="15" customHeight="1" x14ac:dyDescent="0.35"/>
    <row r="2266" ht="15" customHeight="1" x14ac:dyDescent="0.35"/>
    <row r="2267" ht="15" customHeight="1" x14ac:dyDescent="0.35"/>
    <row r="2268" ht="15" customHeight="1" x14ac:dyDescent="0.35"/>
    <row r="2269" ht="15" customHeight="1" x14ac:dyDescent="0.35"/>
    <row r="2270" ht="15" customHeight="1" x14ac:dyDescent="0.35"/>
    <row r="2271" ht="15" customHeight="1" x14ac:dyDescent="0.35"/>
    <row r="2272" ht="15" customHeight="1" x14ac:dyDescent="0.35"/>
    <row r="2273" ht="15" customHeight="1" x14ac:dyDescent="0.35"/>
    <row r="2274" ht="15" customHeight="1" x14ac:dyDescent="0.35"/>
    <row r="2275" ht="15" customHeight="1" x14ac:dyDescent="0.35"/>
    <row r="2276" ht="15" customHeight="1" x14ac:dyDescent="0.35"/>
    <row r="2277" ht="15" customHeight="1" x14ac:dyDescent="0.35"/>
    <row r="2278" ht="15" customHeight="1" x14ac:dyDescent="0.35"/>
    <row r="2279" ht="15" customHeight="1" x14ac:dyDescent="0.35"/>
    <row r="2280" ht="15" customHeight="1" x14ac:dyDescent="0.35"/>
    <row r="2281" ht="15" customHeight="1" x14ac:dyDescent="0.35"/>
    <row r="2282" ht="15" customHeight="1" x14ac:dyDescent="0.35"/>
    <row r="2283" ht="15" customHeight="1" x14ac:dyDescent="0.35"/>
    <row r="2284" ht="15" customHeight="1" x14ac:dyDescent="0.35"/>
    <row r="2285" ht="15" customHeight="1" x14ac:dyDescent="0.35"/>
    <row r="2286" ht="15" customHeight="1" x14ac:dyDescent="0.35"/>
    <row r="2287" ht="15" customHeight="1" x14ac:dyDescent="0.35"/>
    <row r="2288" ht="15" customHeight="1" x14ac:dyDescent="0.35"/>
    <row r="2289" ht="15" customHeight="1" x14ac:dyDescent="0.35"/>
    <row r="2290" ht="15" customHeight="1" x14ac:dyDescent="0.35"/>
    <row r="2291" ht="15" customHeight="1" x14ac:dyDescent="0.35"/>
    <row r="2292" ht="15" customHeight="1" x14ac:dyDescent="0.35"/>
    <row r="2293" ht="15" customHeight="1" x14ac:dyDescent="0.35"/>
    <row r="2294" ht="15" customHeight="1" x14ac:dyDescent="0.35"/>
    <row r="2295" ht="15" customHeight="1" x14ac:dyDescent="0.35"/>
    <row r="2296" ht="15" customHeight="1" x14ac:dyDescent="0.35"/>
    <row r="2297" ht="15" customHeight="1" x14ac:dyDescent="0.35"/>
    <row r="2298" ht="15" customHeight="1" x14ac:dyDescent="0.35"/>
    <row r="2299" ht="15" customHeight="1" x14ac:dyDescent="0.35"/>
    <row r="2300" ht="15" customHeight="1" x14ac:dyDescent="0.35"/>
    <row r="2301" ht="15" customHeight="1" x14ac:dyDescent="0.35"/>
    <row r="2302" ht="15" customHeight="1" x14ac:dyDescent="0.35"/>
    <row r="2303" ht="15" customHeight="1" x14ac:dyDescent="0.35"/>
    <row r="2304" ht="15" customHeight="1" x14ac:dyDescent="0.35"/>
    <row r="2305" ht="15" customHeight="1" x14ac:dyDescent="0.35"/>
    <row r="2306" ht="15" customHeight="1" x14ac:dyDescent="0.35"/>
    <row r="2307" ht="15" customHeight="1" x14ac:dyDescent="0.35"/>
    <row r="2308" ht="15" customHeight="1" x14ac:dyDescent="0.35"/>
    <row r="2309" ht="15" customHeight="1" x14ac:dyDescent="0.35"/>
    <row r="2310" ht="15" customHeight="1" x14ac:dyDescent="0.35"/>
    <row r="2311" ht="15" customHeight="1" x14ac:dyDescent="0.35"/>
    <row r="2312" ht="15" customHeight="1" x14ac:dyDescent="0.35"/>
    <row r="2313" ht="15" customHeight="1" x14ac:dyDescent="0.35"/>
    <row r="2314" ht="15" customHeight="1" x14ac:dyDescent="0.35"/>
    <row r="2315" ht="15" customHeight="1" x14ac:dyDescent="0.35"/>
    <row r="2316" ht="15" customHeight="1" x14ac:dyDescent="0.35"/>
    <row r="2317" ht="15" customHeight="1" x14ac:dyDescent="0.35"/>
    <row r="2318" ht="15" customHeight="1" x14ac:dyDescent="0.35"/>
    <row r="2319" ht="15" customHeight="1" x14ac:dyDescent="0.35"/>
    <row r="2320" ht="15" customHeight="1" x14ac:dyDescent="0.35"/>
    <row r="2321" ht="15" customHeight="1" x14ac:dyDescent="0.35"/>
    <row r="2322" ht="15" customHeight="1" x14ac:dyDescent="0.35"/>
    <row r="2323" ht="15" customHeight="1" x14ac:dyDescent="0.35"/>
    <row r="2324" ht="15" customHeight="1" x14ac:dyDescent="0.35"/>
    <row r="2325" ht="15" customHeight="1" x14ac:dyDescent="0.35"/>
    <row r="2326" ht="15" customHeight="1" x14ac:dyDescent="0.35"/>
    <row r="2327" ht="15" customHeight="1" x14ac:dyDescent="0.35"/>
    <row r="2328" ht="15" customHeight="1" x14ac:dyDescent="0.35"/>
    <row r="2329" ht="15" customHeight="1" x14ac:dyDescent="0.35"/>
    <row r="2330" ht="15" customHeight="1" x14ac:dyDescent="0.35"/>
    <row r="2331" ht="15" customHeight="1" x14ac:dyDescent="0.35"/>
    <row r="2332" ht="15" customHeight="1" x14ac:dyDescent="0.35"/>
    <row r="2333" ht="15" customHeight="1" x14ac:dyDescent="0.35"/>
    <row r="2334" ht="15" customHeight="1" x14ac:dyDescent="0.35"/>
    <row r="2335" ht="15" customHeight="1" x14ac:dyDescent="0.35"/>
    <row r="2336" ht="15" customHeight="1" x14ac:dyDescent="0.35"/>
    <row r="2337" ht="15" customHeight="1" x14ac:dyDescent="0.35"/>
    <row r="2338" ht="15" customHeight="1" x14ac:dyDescent="0.35"/>
    <row r="2339" ht="15" customHeight="1" x14ac:dyDescent="0.35"/>
    <row r="2340" ht="15" customHeight="1" x14ac:dyDescent="0.35"/>
    <row r="2341" ht="15" customHeight="1" x14ac:dyDescent="0.35"/>
    <row r="2342" ht="15" customHeight="1" x14ac:dyDescent="0.35"/>
    <row r="2343" ht="15" customHeight="1" x14ac:dyDescent="0.35"/>
    <row r="2344" ht="15" customHeight="1" x14ac:dyDescent="0.35"/>
    <row r="2345" ht="15" customHeight="1" x14ac:dyDescent="0.35"/>
    <row r="2346" ht="15" customHeight="1" x14ac:dyDescent="0.35"/>
    <row r="2347" ht="15" customHeight="1" x14ac:dyDescent="0.35"/>
    <row r="2348" ht="15" customHeight="1" x14ac:dyDescent="0.35"/>
    <row r="2349" ht="15" customHeight="1" x14ac:dyDescent="0.35"/>
    <row r="2350" ht="15" customHeight="1" x14ac:dyDescent="0.35"/>
    <row r="2351" ht="15" customHeight="1" x14ac:dyDescent="0.35"/>
    <row r="2352" ht="15" customHeight="1" x14ac:dyDescent="0.35"/>
    <row r="2353" ht="15" customHeight="1" x14ac:dyDescent="0.35"/>
    <row r="2354" ht="15" customHeight="1" x14ac:dyDescent="0.35"/>
    <row r="2355" ht="15" customHeight="1" x14ac:dyDescent="0.35"/>
    <row r="2356" ht="15" customHeight="1" x14ac:dyDescent="0.35"/>
    <row r="2357" ht="15" customHeight="1" x14ac:dyDescent="0.35"/>
    <row r="2358" ht="15" customHeight="1" x14ac:dyDescent="0.35"/>
    <row r="2359" ht="15" customHeight="1" x14ac:dyDescent="0.35"/>
    <row r="2360" ht="15" customHeight="1" x14ac:dyDescent="0.35"/>
    <row r="2361" ht="15" customHeight="1" x14ac:dyDescent="0.35"/>
    <row r="2362" ht="15" customHeight="1" x14ac:dyDescent="0.35"/>
    <row r="2363" ht="15" customHeight="1" x14ac:dyDescent="0.35"/>
    <row r="2364" ht="15" customHeight="1" x14ac:dyDescent="0.35"/>
    <row r="2365" ht="15" customHeight="1" x14ac:dyDescent="0.35"/>
    <row r="2366" ht="15" customHeight="1" x14ac:dyDescent="0.35"/>
    <row r="2367" ht="15" customHeight="1" x14ac:dyDescent="0.35"/>
    <row r="2368" ht="15" customHeight="1" x14ac:dyDescent="0.35"/>
    <row r="2369" ht="15" customHeight="1" x14ac:dyDescent="0.35"/>
    <row r="2370" ht="15" customHeight="1" x14ac:dyDescent="0.35"/>
    <row r="2371" ht="15" customHeight="1" x14ac:dyDescent="0.35"/>
    <row r="2372" ht="15" customHeight="1" x14ac:dyDescent="0.35"/>
    <row r="2373" ht="15" customHeight="1" x14ac:dyDescent="0.35"/>
    <row r="2374" ht="15" customHeight="1" x14ac:dyDescent="0.35"/>
    <row r="2375" ht="15" customHeight="1" x14ac:dyDescent="0.35"/>
    <row r="2376" ht="15" customHeight="1" x14ac:dyDescent="0.35"/>
    <row r="2377" ht="15" customHeight="1" x14ac:dyDescent="0.35"/>
    <row r="2378" ht="15" customHeight="1" x14ac:dyDescent="0.35"/>
    <row r="2379" ht="15" customHeight="1" x14ac:dyDescent="0.35"/>
    <row r="2380" ht="15" customHeight="1" x14ac:dyDescent="0.35"/>
    <row r="2381" ht="15" customHeight="1" x14ac:dyDescent="0.35"/>
    <row r="2382" ht="15" customHeight="1" x14ac:dyDescent="0.35"/>
    <row r="2383" ht="15" customHeight="1" x14ac:dyDescent="0.35"/>
    <row r="2384" ht="15" customHeight="1" x14ac:dyDescent="0.35"/>
    <row r="2385" ht="15" customHeight="1" x14ac:dyDescent="0.35"/>
    <row r="2386" ht="15" customHeight="1" x14ac:dyDescent="0.35"/>
    <row r="2387" ht="15" customHeight="1" x14ac:dyDescent="0.35"/>
    <row r="2388" ht="15" customHeight="1" x14ac:dyDescent="0.35"/>
    <row r="2389" ht="15" customHeight="1" x14ac:dyDescent="0.35"/>
    <row r="2390" ht="15" customHeight="1" x14ac:dyDescent="0.35"/>
    <row r="2391" ht="15" customHeight="1" x14ac:dyDescent="0.35"/>
    <row r="2392" ht="15" customHeight="1" x14ac:dyDescent="0.35"/>
    <row r="2393" ht="15" customHeight="1" x14ac:dyDescent="0.35"/>
    <row r="2394" ht="15" customHeight="1" x14ac:dyDescent="0.35"/>
    <row r="2395" ht="15" customHeight="1" x14ac:dyDescent="0.35"/>
    <row r="2396" ht="15" customHeight="1" x14ac:dyDescent="0.35"/>
    <row r="2397" ht="15" customHeight="1" x14ac:dyDescent="0.35"/>
    <row r="2398" ht="15" customHeight="1" x14ac:dyDescent="0.35"/>
    <row r="2399" ht="15" customHeight="1" x14ac:dyDescent="0.35"/>
    <row r="2400" ht="15" customHeight="1" x14ac:dyDescent="0.35"/>
    <row r="2401" ht="15" customHeight="1" x14ac:dyDescent="0.35"/>
    <row r="2402" ht="15" customHeight="1" x14ac:dyDescent="0.35"/>
    <row r="2403" ht="15" customHeight="1" x14ac:dyDescent="0.35"/>
    <row r="2404" ht="15" customHeight="1" x14ac:dyDescent="0.35"/>
    <row r="2405" ht="15" customHeight="1" x14ac:dyDescent="0.35"/>
    <row r="2406" ht="15" customHeight="1" x14ac:dyDescent="0.35"/>
    <row r="2407" ht="15" customHeight="1" x14ac:dyDescent="0.35"/>
    <row r="2408" ht="15" customHeight="1" x14ac:dyDescent="0.35"/>
    <row r="2409" ht="15" customHeight="1" x14ac:dyDescent="0.35"/>
    <row r="2410" ht="15" customHeight="1" x14ac:dyDescent="0.35"/>
    <row r="2411" ht="15" customHeight="1" x14ac:dyDescent="0.35"/>
    <row r="2412" ht="15" customHeight="1" x14ac:dyDescent="0.35"/>
    <row r="2413" ht="15" customHeight="1" x14ac:dyDescent="0.35"/>
    <row r="2414" ht="15" customHeight="1" x14ac:dyDescent="0.35"/>
    <row r="2415" ht="15" customHeight="1" x14ac:dyDescent="0.35"/>
    <row r="2416" ht="15" customHeight="1" x14ac:dyDescent="0.35"/>
    <row r="2417" ht="15" customHeight="1" x14ac:dyDescent="0.35"/>
    <row r="2418" ht="15" customHeight="1" x14ac:dyDescent="0.35"/>
    <row r="2419" ht="15" customHeight="1" x14ac:dyDescent="0.35"/>
    <row r="2420" ht="15" customHeight="1" x14ac:dyDescent="0.35"/>
    <row r="2421" ht="15" customHeight="1" x14ac:dyDescent="0.35"/>
    <row r="2422" ht="15" customHeight="1" x14ac:dyDescent="0.35"/>
    <row r="2423" ht="15" customHeight="1" x14ac:dyDescent="0.35"/>
    <row r="2424" ht="15" customHeight="1" x14ac:dyDescent="0.35"/>
    <row r="2425" ht="15" customHeight="1" x14ac:dyDescent="0.35"/>
    <row r="2426" ht="15" customHeight="1" x14ac:dyDescent="0.35"/>
    <row r="2427" ht="15" customHeight="1" x14ac:dyDescent="0.35"/>
    <row r="2428" ht="15" customHeight="1" x14ac:dyDescent="0.35"/>
    <row r="2429" ht="15" customHeight="1" x14ac:dyDescent="0.35"/>
    <row r="2430" ht="15" customHeight="1" x14ac:dyDescent="0.35"/>
    <row r="2431" ht="15" customHeight="1" x14ac:dyDescent="0.35"/>
    <row r="2432" ht="15" customHeight="1" x14ac:dyDescent="0.35"/>
    <row r="2433" ht="15" customHeight="1" x14ac:dyDescent="0.35"/>
    <row r="2434" ht="15" customHeight="1" x14ac:dyDescent="0.35"/>
    <row r="2435" ht="15" customHeight="1" x14ac:dyDescent="0.35"/>
    <row r="2436" ht="15" customHeight="1" x14ac:dyDescent="0.35"/>
    <row r="2437" ht="15" customHeight="1" x14ac:dyDescent="0.35"/>
    <row r="2438" ht="15" customHeight="1" x14ac:dyDescent="0.35"/>
    <row r="2439" ht="15" customHeight="1" x14ac:dyDescent="0.35"/>
    <row r="2440" ht="15" customHeight="1" x14ac:dyDescent="0.35"/>
    <row r="2441" ht="15" customHeight="1" x14ac:dyDescent="0.35"/>
    <row r="2442" ht="15" customHeight="1" x14ac:dyDescent="0.35"/>
    <row r="2443" ht="15" customHeight="1" x14ac:dyDescent="0.35"/>
    <row r="2444" ht="15" customHeight="1" x14ac:dyDescent="0.35"/>
    <row r="2445" ht="15" customHeight="1" x14ac:dyDescent="0.35"/>
    <row r="2446" ht="15" customHeight="1" x14ac:dyDescent="0.35"/>
    <row r="2447" ht="15" customHeight="1" x14ac:dyDescent="0.35"/>
    <row r="2448" ht="15" customHeight="1" x14ac:dyDescent="0.35"/>
    <row r="2449" ht="15" customHeight="1" x14ac:dyDescent="0.35"/>
    <row r="2450" ht="15" customHeight="1" x14ac:dyDescent="0.35"/>
    <row r="2451" ht="15" customHeight="1" x14ac:dyDescent="0.35"/>
    <row r="2452" ht="15" customHeight="1" x14ac:dyDescent="0.35"/>
    <row r="2453" ht="15" customHeight="1" x14ac:dyDescent="0.35"/>
    <row r="2454" ht="15" customHeight="1" x14ac:dyDescent="0.35"/>
    <row r="2455" ht="15" customHeight="1" x14ac:dyDescent="0.35"/>
    <row r="2456" ht="15" customHeight="1" x14ac:dyDescent="0.35"/>
    <row r="2457" ht="15" customHeight="1" x14ac:dyDescent="0.35"/>
    <row r="2458" ht="15" customHeight="1" x14ac:dyDescent="0.35"/>
    <row r="2459" ht="15" customHeight="1" x14ac:dyDescent="0.35"/>
    <row r="2460" ht="15" customHeight="1" x14ac:dyDescent="0.35"/>
    <row r="2461" ht="15" customHeight="1" x14ac:dyDescent="0.35"/>
    <row r="2462" ht="15" customHeight="1" x14ac:dyDescent="0.35"/>
    <row r="2463" ht="15" customHeight="1" x14ac:dyDescent="0.35"/>
    <row r="2464" ht="15" customHeight="1" x14ac:dyDescent="0.35"/>
    <row r="2465" ht="15" customHeight="1" x14ac:dyDescent="0.35"/>
    <row r="2466" ht="15" customHeight="1" x14ac:dyDescent="0.35"/>
    <row r="2467" ht="15" customHeight="1" x14ac:dyDescent="0.35"/>
    <row r="2468" ht="15" customHeight="1" x14ac:dyDescent="0.35"/>
    <row r="2469" ht="15" customHeight="1" x14ac:dyDescent="0.35"/>
    <row r="2470" ht="15" customHeight="1" x14ac:dyDescent="0.35"/>
    <row r="2471" ht="15" customHeight="1" x14ac:dyDescent="0.35"/>
    <row r="2472" ht="15" customHeight="1" x14ac:dyDescent="0.35"/>
    <row r="2473" ht="15" customHeight="1" x14ac:dyDescent="0.35"/>
    <row r="2474" ht="15" customHeight="1" x14ac:dyDescent="0.35"/>
    <row r="2475" ht="15" customHeight="1" x14ac:dyDescent="0.35"/>
    <row r="2476" ht="15" customHeight="1" x14ac:dyDescent="0.35"/>
    <row r="2477" ht="15" customHeight="1" x14ac:dyDescent="0.35"/>
    <row r="2478" ht="15" customHeight="1" x14ac:dyDescent="0.35"/>
    <row r="2479" ht="15" customHeight="1" x14ac:dyDescent="0.35"/>
    <row r="2480" ht="15" customHeight="1" x14ac:dyDescent="0.35"/>
    <row r="2481" ht="15" customHeight="1" x14ac:dyDescent="0.35"/>
    <row r="2482" ht="15" customHeight="1" x14ac:dyDescent="0.35"/>
    <row r="2483" ht="15" customHeight="1" x14ac:dyDescent="0.35"/>
    <row r="2484" ht="15" customHeight="1" x14ac:dyDescent="0.35"/>
    <row r="2485" ht="15" customHeight="1" x14ac:dyDescent="0.35"/>
    <row r="2486" ht="15" customHeight="1" x14ac:dyDescent="0.35"/>
    <row r="2487" ht="15" customHeight="1" x14ac:dyDescent="0.35"/>
    <row r="2488" ht="15" customHeight="1" x14ac:dyDescent="0.35"/>
    <row r="2489" ht="15" customHeight="1" x14ac:dyDescent="0.35"/>
    <row r="2490" ht="15" customHeight="1" x14ac:dyDescent="0.35"/>
    <row r="2491" ht="15" customHeight="1" x14ac:dyDescent="0.35"/>
    <row r="2492" ht="15" customHeight="1" x14ac:dyDescent="0.35"/>
    <row r="2493" ht="15" customHeight="1" x14ac:dyDescent="0.35"/>
    <row r="2494" ht="15" customHeight="1" x14ac:dyDescent="0.35"/>
    <row r="2495" ht="15" customHeight="1" x14ac:dyDescent="0.35"/>
    <row r="2496" ht="15" customHeight="1" x14ac:dyDescent="0.35"/>
    <row r="2497" ht="15" customHeight="1" x14ac:dyDescent="0.35"/>
    <row r="2498" ht="15" customHeight="1" x14ac:dyDescent="0.35"/>
    <row r="2499" ht="15" customHeight="1" x14ac:dyDescent="0.35"/>
    <row r="2500" ht="15" customHeight="1" x14ac:dyDescent="0.35"/>
    <row r="2501" ht="15" customHeight="1" x14ac:dyDescent="0.35"/>
    <row r="2502" ht="15" customHeight="1" x14ac:dyDescent="0.35"/>
    <row r="2503" ht="15" customHeight="1" x14ac:dyDescent="0.35"/>
    <row r="2504" ht="15" customHeight="1" x14ac:dyDescent="0.35"/>
    <row r="2505" ht="15" customHeight="1" x14ac:dyDescent="0.35"/>
    <row r="2506" ht="15" customHeight="1" x14ac:dyDescent="0.35"/>
    <row r="2507" ht="15" customHeight="1" x14ac:dyDescent="0.35"/>
    <row r="2508" ht="15" customHeight="1" x14ac:dyDescent="0.35"/>
    <row r="2509" ht="15" customHeight="1" x14ac:dyDescent="0.35"/>
    <row r="2510" ht="15" customHeight="1" x14ac:dyDescent="0.35"/>
    <row r="2511" ht="15" customHeight="1" x14ac:dyDescent="0.35"/>
    <row r="2512" ht="15" customHeight="1" x14ac:dyDescent="0.35"/>
    <row r="2513" ht="15" customHeight="1" x14ac:dyDescent="0.35"/>
    <row r="2514" ht="15" customHeight="1" x14ac:dyDescent="0.35"/>
    <row r="2515" ht="15" customHeight="1" x14ac:dyDescent="0.35"/>
    <row r="2516" ht="15" customHeight="1" x14ac:dyDescent="0.35"/>
    <row r="2517" ht="15" customHeight="1" x14ac:dyDescent="0.35"/>
    <row r="2518" ht="15" customHeight="1" x14ac:dyDescent="0.35"/>
    <row r="2519" ht="15" customHeight="1" x14ac:dyDescent="0.35"/>
    <row r="2520" ht="15" customHeight="1" x14ac:dyDescent="0.35"/>
    <row r="2521" ht="15" customHeight="1" x14ac:dyDescent="0.35"/>
    <row r="2522" ht="15" customHeight="1" x14ac:dyDescent="0.35"/>
    <row r="2523" ht="15" customHeight="1" x14ac:dyDescent="0.35"/>
    <row r="2524" ht="15" customHeight="1" x14ac:dyDescent="0.35"/>
    <row r="2525" ht="15" customHeight="1" x14ac:dyDescent="0.35"/>
    <row r="2526" ht="15" customHeight="1" x14ac:dyDescent="0.35"/>
    <row r="2527" ht="15" customHeight="1" x14ac:dyDescent="0.35"/>
    <row r="2528" ht="15" customHeight="1" x14ac:dyDescent="0.35"/>
    <row r="2529" ht="15" customHeight="1" x14ac:dyDescent="0.35"/>
    <row r="2530" ht="15" customHeight="1" x14ac:dyDescent="0.35"/>
    <row r="2531" ht="15" customHeight="1" x14ac:dyDescent="0.35"/>
    <row r="2532" ht="15" customHeight="1" x14ac:dyDescent="0.35"/>
    <row r="2533" ht="15" customHeight="1" x14ac:dyDescent="0.35"/>
    <row r="2534" ht="15" customHeight="1" x14ac:dyDescent="0.35"/>
    <row r="2535" ht="15" customHeight="1" x14ac:dyDescent="0.35"/>
    <row r="2536" ht="15" customHeight="1" x14ac:dyDescent="0.35"/>
    <row r="2537" ht="15" customHeight="1" x14ac:dyDescent="0.35"/>
    <row r="2538" ht="15" customHeight="1" x14ac:dyDescent="0.35"/>
    <row r="2539" ht="15" customHeight="1" x14ac:dyDescent="0.35"/>
    <row r="2540" ht="15" customHeight="1" x14ac:dyDescent="0.35"/>
    <row r="2541" ht="15" customHeight="1" x14ac:dyDescent="0.35"/>
    <row r="2542" ht="15" customHeight="1" x14ac:dyDescent="0.35"/>
    <row r="2543" ht="15" customHeight="1" x14ac:dyDescent="0.35"/>
    <row r="2544" ht="15" customHeight="1" x14ac:dyDescent="0.35"/>
    <row r="2545" ht="15" customHeight="1" x14ac:dyDescent="0.35"/>
    <row r="2546" ht="15" customHeight="1" x14ac:dyDescent="0.35"/>
    <row r="2547" ht="15" customHeight="1" x14ac:dyDescent="0.35"/>
    <row r="2548" ht="15" customHeight="1" x14ac:dyDescent="0.35"/>
    <row r="2549" ht="15" customHeight="1" x14ac:dyDescent="0.35"/>
    <row r="2550" ht="15" customHeight="1" x14ac:dyDescent="0.35"/>
    <row r="2551" ht="15" customHeight="1" x14ac:dyDescent="0.35"/>
    <row r="2552" ht="15" customHeight="1" x14ac:dyDescent="0.35"/>
    <row r="2553" ht="15" customHeight="1" x14ac:dyDescent="0.35"/>
    <row r="2554" ht="15" customHeight="1" x14ac:dyDescent="0.35"/>
    <row r="2555" ht="15" customHeight="1" x14ac:dyDescent="0.35"/>
    <row r="2556" ht="15" customHeight="1" x14ac:dyDescent="0.35"/>
    <row r="2557" ht="15" customHeight="1" x14ac:dyDescent="0.35"/>
    <row r="2558" ht="15" customHeight="1" x14ac:dyDescent="0.35"/>
    <row r="2559" ht="15" customHeight="1" x14ac:dyDescent="0.35"/>
    <row r="2560" ht="15" customHeight="1" x14ac:dyDescent="0.35"/>
    <row r="2561" ht="15" customHeight="1" x14ac:dyDescent="0.35"/>
    <row r="2562" ht="15" customHeight="1" x14ac:dyDescent="0.35"/>
    <row r="2563" ht="15" customHeight="1" x14ac:dyDescent="0.35"/>
    <row r="2564" ht="15" customHeight="1" x14ac:dyDescent="0.35"/>
    <row r="2565" ht="15" customHeight="1" x14ac:dyDescent="0.35"/>
    <row r="2566" ht="15" customHeight="1" x14ac:dyDescent="0.35"/>
    <row r="2567" ht="15" customHeight="1" x14ac:dyDescent="0.35"/>
    <row r="2568" ht="15" customHeight="1" x14ac:dyDescent="0.35"/>
    <row r="2569" ht="15" customHeight="1" x14ac:dyDescent="0.35"/>
    <row r="2570" ht="15" customHeight="1" x14ac:dyDescent="0.35"/>
    <row r="2571" ht="15" customHeight="1" x14ac:dyDescent="0.35"/>
    <row r="2572" ht="15" customHeight="1" x14ac:dyDescent="0.35"/>
    <row r="2573" ht="15" customHeight="1" x14ac:dyDescent="0.35"/>
    <row r="2574" ht="15" customHeight="1" x14ac:dyDescent="0.35"/>
    <row r="2575" ht="15" customHeight="1" x14ac:dyDescent="0.35"/>
    <row r="2576" ht="15" customHeight="1" x14ac:dyDescent="0.35"/>
    <row r="2577" ht="15" customHeight="1" x14ac:dyDescent="0.35"/>
    <row r="2578" ht="15" customHeight="1" x14ac:dyDescent="0.35"/>
    <row r="2579" ht="15" customHeight="1" x14ac:dyDescent="0.35"/>
    <row r="2580" ht="15" customHeight="1" x14ac:dyDescent="0.35"/>
    <row r="2581" ht="15" customHeight="1" x14ac:dyDescent="0.35"/>
    <row r="2582" ht="15" customHeight="1" x14ac:dyDescent="0.35"/>
    <row r="2583" ht="15" customHeight="1" x14ac:dyDescent="0.35"/>
    <row r="2584" ht="15" customHeight="1" x14ac:dyDescent="0.35"/>
    <row r="2585" ht="15" customHeight="1" x14ac:dyDescent="0.35"/>
    <row r="2586" ht="15" customHeight="1" x14ac:dyDescent="0.35"/>
    <row r="2587" ht="15" customHeight="1" x14ac:dyDescent="0.35"/>
    <row r="2588" ht="15" customHeight="1" x14ac:dyDescent="0.35"/>
    <row r="2589" ht="15" customHeight="1" x14ac:dyDescent="0.35"/>
    <row r="2590" ht="15" customHeight="1" x14ac:dyDescent="0.35"/>
    <row r="2591" ht="15" customHeight="1" x14ac:dyDescent="0.35"/>
    <row r="2592" ht="15" customHeight="1" x14ac:dyDescent="0.35"/>
    <row r="2593" ht="15" customHeight="1" x14ac:dyDescent="0.35"/>
    <row r="2594" ht="15" customHeight="1" x14ac:dyDescent="0.35"/>
    <row r="2595" ht="15" customHeight="1" x14ac:dyDescent="0.35"/>
    <row r="2596" ht="15" customHeight="1" x14ac:dyDescent="0.35"/>
    <row r="2597" ht="15" customHeight="1" x14ac:dyDescent="0.35"/>
    <row r="2598" ht="15" customHeight="1" x14ac:dyDescent="0.35"/>
    <row r="2599" ht="15" customHeight="1" x14ac:dyDescent="0.35"/>
    <row r="2600" ht="15" customHeight="1" x14ac:dyDescent="0.35"/>
    <row r="2601" ht="15" customHeight="1" x14ac:dyDescent="0.35"/>
    <row r="2602" ht="15" customHeight="1" x14ac:dyDescent="0.35"/>
    <row r="2603" ht="15" customHeight="1" x14ac:dyDescent="0.35"/>
    <row r="2604" ht="15" customHeight="1" x14ac:dyDescent="0.35"/>
    <row r="2605" ht="15" customHeight="1" x14ac:dyDescent="0.35"/>
    <row r="2606" ht="15" customHeight="1" x14ac:dyDescent="0.35"/>
    <row r="2607" ht="15" customHeight="1" x14ac:dyDescent="0.35"/>
    <row r="2608" ht="15" customHeight="1" x14ac:dyDescent="0.35"/>
    <row r="2609" ht="15" customHeight="1" x14ac:dyDescent="0.35"/>
    <row r="2610" ht="15" customHeight="1" x14ac:dyDescent="0.35"/>
    <row r="2611" ht="15" customHeight="1" x14ac:dyDescent="0.35"/>
    <row r="2612" ht="15" customHeight="1" x14ac:dyDescent="0.35"/>
    <row r="2613" ht="15" customHeight="1" x14ac:dyDescent="0.35"/>
    <row r="2614" ht="15" customHeight="1" x14ac:dyDescent="0.35"/>
    <row r="2615" ht="15" customHeight="1" x14ac:dyDescent="0.35"/>
    <row r="2616" ht="15" customHeight="1" x14ac:dyDescent="0.35"/>
    <row r="2617" ht="15" customHeight="1" x14ac:dyDescent="0.35"/>
    <row r="2618" ht="15" customHeight="1" x14ac:dyDescent="0.35"/>
    <row r="2619" ht="15" customHeight="1" x14ac:dyDescent="0.35"/>
    <row r="2620" ht="15" customHeight="1" x14ac:dyDescent="0.35"/>
    <row r="2621" ht="15" customHeight="1" x14ac:dyDescent="0.35"/>
    <row r="2622" ht="15" customHeight="1" x14ac:dyDescent="0.35"/>
    <row r="2623" ht="15" customHeight="1" x14ac:dyDescent="0.35"/>
    <row r="2624" ht="15" customHeight="1" x14ac:dyDescent="0.35"/>
    <row r="2625" ht="15" customHeight="1" x14ac:dyDescent="0.35"/>
    <row r="2626" ht="15" customHeight="1" x14ac:dyDescent="0.35"/>
    <row r="2627" ht="15" customHeight="1" x14ac:dyDescent="0.35"/>
    <row r="2628" ht="15" customHeight="1" x14ac:dyDescent="0.35"/>
    <row r="2629" ht="15" customHeight="1" x14ac:dyDescent="0.35"/>
    <row r="2630" ht="15" customHeight="1" x14ac:dyDescent="0.35"/>
    <row r="2631" ht="15" customHeight="1" x14ac:dyDescent="0.35"/>
    <row r="2632" ht="15" customHeight="1" x14ac:dyDescent="0.35"/>
    <row r="2633" ht="15" customHeight="1" x14ac:dyDescent="0.35"/>
    <row r="2634" ht="15" customHeight="1" x14ac:dyDescent="0.35"/>
    <row r="2635" ht="15" customHeight="1" x14ac:dyDescent="0.35"/>
    <row r="2636" ht="15" customHeight="1" x14ac:dyDescent="0.35"/>
    <row r="2637" ht="15" customHeight="1" x14ac:dyDescent="0.35"/>
    <row r="2638" ht="15" customHeight="1" x14ac:dyDescent="0.35"/>
    <row r="2639" ht="15" customHeight="1" x14ac:dyDescent="0.35"/>
    <row r="2640" ht="15" customHeight="1" x14ac:dyDescent="0.35"/>
    <row r="2641" ht="15" customHeight="1" x14ac:dyDescent="0.35"/>
    <row r="2642" ht="15" customHeight="1" x14ac:dyDescent="0.35"/>
    <row r="2643" ht="15" customHeight="1" x14ac:dyDescent="0.35"/>
    <row r="2644" ht="15" customHeight="1" x14ac:dyDescent="0.35"/>
    <row r="2645" ht="15" customHeight="1" x14ac:dyDescent="0.35"/>
    <row r="2646" ht="15" customHeight="1" x14ac:dyDescent="0.35"/>
    <row r="2647" ht="15" customHeight="1" x14ac:dyDescent="0.35"/>
    <row r="2648" ht="15" customHeight="1" x14ac:dyDescent="0.35"/>
    <row r="2649" ht="15" customHeight="1" x14ac:dyDescent="0.35"/>
    <row r="2650" ht="15" customHeight="1" x14ac:dyDescent="0.35"/>
    <row r="2651" ht="15" customHeight="1" x14ac:dyDescent="0.35"/>
    <row r="2652" ht="15" customHeight="1" x14ac:dyDescent="0.35"/>
    <row r="2653" ht="15" customHeight="1" x14ac:dyDescent="0.35"/>
    <row r="2654" ht="15" customHeight="1" x14ac:dyDescent="0.35"/>
    <row r="2655" ht="15" customHeight="1" x14ac:dyDescent="0.35"/>
    <row r="2656" ht="15" customHeight="1" x14ac:dyDescent="0.35"/>
    <row r="2657" ht="15" customHeight="1" x14ac:dyDescent="0.35"/>
    <row r="2658" ht="15" customHeight="1" x14ac:dyDescent="0.35"/>
    <row r="2659" ht="15" customHeight="1" x14ac:dyDescent="0.35"/>
    <row r="2660" ht="15" customHeight="1" x14ac:dyDescent="0.35"/>
    <row r="2661" ht="15" customHeight="1" x14ac:dyDescent="0.35"/>
    <row r="2662" ht="15" customHeight="1" x14ac:dyDescent="0.35"/>
    <row r="2663" ht="15" customHeight="1" x14ac:dyDescent="0.35"/>
    <row r="2664" ht="15" customHeight="1" x14ac:dyDescent="0.35"/>
    <row r="2665" ht="15" customHeight="1" x14ac:dyDescent="0.35"/>
    <row r="2666" ht="15" customHeight="1" x14ac:dyDescent="0.35"/>
    <row r="2667" ht="15" customHeight="1" x14ac:dyDescent="0.35"/>
    <row r="2668" ht="15" customHeight="1" x14ac:dyDescent="0.35"/>
    <row r="2669" ht="15" customHeight="1" x14ac:dyDescent="0.35"/>
    <row r="2670" ht="15" customHeight="1" x14ac:dyDescent="0.35"/>
    <row r="2671" ht="15" customHeight="1" x14ac:dyDescent="0.35"/>
    <row r="2672" ht="15" customHeight="1" x14ac:dyDescent="0.35"/>
    <row r="2673" ht="15" customHeight="1" x14ac:dyDescent="0.35"/>
    <row r="2674" ht="15" customHeight="1" x14ac:dyDescent="0.35"/>
    <row r="2675" ht="15" customHeight="1" x14ac:dyDescent="0.35"/>
    <row r="2676" ht="15" customHeight="1" x14ac:dyDescent="0.35"/>
    <row r="2677" ht="15" customHeight="1" x14ac:dyDescent="0.35"/>
    <row r="2678" ht="15" customHeight="1" x14ac:dyDescent="0.35"/>
    <row r="2679" ht="15" customHeight="1" x14ac:dyDescent="0.35"/>
    <row r="2680" ht="15" customHeight="1" x14ac:dyDescent="0.35"/>
    <row r="2681" ht="15" customHeight="1" x14ac:dyDescent="0.35"/>
    <row r="2682" ht="15" customHeight="1" x14ac:dyDescent="0.35"/>
    <row r="2683" ht="15" customHeight="1" x14ac:dyDescent="0.35"/>
    <row r="2684" ht="15" customHeight="1" x14ac:dyDescent="0.35"/>
    <row r="2685" ht="15" customHeight="1" x14ac:dyDescent="0.35"/>
    <row r="2686" ht="15" customHeight="1" x14ac:dyDescent="0.35"/>
    <row r="2687" ht="15" customHeight="1" x14ac:dyDescent="0.35"/>
    <row r="2688" ht="15" customHeight="1" x14ac:dyDescent="0.35"/>
    <row r="2689" ht="15" customHeight="1" x14ac:dyDescent="0.35"/>
    <row r="2690" ht="15" customHeight="1" x14ac:dyDescent="0.35"/>
    <row r="2691" ht="15" customHeight="1" x14ac:dyDescent="0.35"/>
    <row r="2692" ht="15" customHeight="1" x14ac:dyDescent="0.35"/>
    <row r="2693" ht="15" customHeight="1" x14ac:dyDescent="0.35"/>
    <row r="2694" ht="15" customHeight="1" x14ac:dyDescent="0.35"/>
    <row r="2695" ht="15" customHeight="1" x14ac:dyDescent="0.35"/>
    <row r="2696" ht="15" customHeight="1" x14ac:dyDescent="0.35"/>
    <row r="2697" ht="15" customHeight="1" x14ac:dyDescent="0.35"/>
    <row r="2698" ht="15" customHeight="1" x14ac:dyDescent="0.35"/>
    <row r="2699" ht="15" customHeight="1" x14ac:dyDescent="0.35"/>
    <row r="2700" ht="15" customHeight="1" x14ac:dyDescent="0.35"/>
    <row r="2701" ht="15" customHeight="1" x14ac:dyDescent="0.35"/>
    <row r="2702" ht="15" customHeight="1" x14ac:dyDescent="0.35"/>
    <row r="2703" ht="15" customHeight="1" x14ac:dyDescent="0.35"/>
    <row r="2704" ht="15" customHeight="1" x14ac:dyDescent="0.35"/>
    <row r="2705" ht="15" customHeight="1" x14ac:dyDescent="0.35"/>
    <row r="2706" ht="15" customHeight="1" x14ac:dyDescent="0.35"/>
    <row r="2707" ht="15" customHeight="1" x14ac:dyDescent="0.35"/>
    <row r="2708" ht="15" customHeight="1" x14ac:dyDescent="0.35"/>
    <row r="2709" ht="15" customHeight="1" x14ac:dyDescent="0.35"/>
    <row r="2710" ht="15" customHeight="1" x14ac:dyDescent="0.35"/>
    <row r="2711" ht="15" customHeight="1" x14ac:dyDescent="0.35"/>
    <row r="2712" ht="15" customHeight="1" x14ac:dyDescent="0.35"/>
    <row r="2713" ht="15" customHeight="1" x14ac:dyDescent="0.35"/>
    <row r="2714" ht="15" customHeight="1" x14ac:dyDescent="0.35"/>
    <row r="2715" ht="15" customHeight="1" x14ac:dyDescent="0.35"/>
    <row r="2716" ht="15" customHeight="1" x14ac:dyDescent="0.35"/>
    <row r="2717" ht="15" customHeight="1" x14ac:dyDescent="0.35"/>
    <row r="2718" ht="15" customHeight="1" x14ac:dyDescent="0.35"/>
    <row r="2719" ht="15" customHeight="1" x14ac:dyDescent="0.35"/>
    <row r="2720" ht="15" customHeight="1" x14ac:dyDescent="0.35"/>
    <row r="2721" ht="15" customHeight="1" x14ac:dyDescent="0.35"/>
    <row r="2722" ht="15" customHeight="1" x14ac:dyDescent="0.35"/>
    <row r="2723" ht="15" customHeight="1" x14ac:dyDescent="0.35"/>
    <row r="2724" ht="15" customHeight="1" x14ac:dyDescent="0.35"/>
    <row r="2725" ht="15" customHeight="1" x14ac:dyDescent="0.35"/>
    <row r="2726" ht="15" customHeight="1" x14ac:dyDescent="0.35"/>
    <row r="2727" ht="15" customHeight="1" x14ac:dyDescent="0.35"/>
    <row r="2728" ht="15" customHeight="1" x14ac:dyDescent="0.35"/>
    <row r="2729" ht="15" customHeight="1" x14ac:dyDescent="0.35"/>
    <row r="2730" ht="15" customHeight="1" x14ac:dyDescent="0.35"/>
    <row r="2731" ht="15" customHeight="1" x14ac:dyDescent="0.35"/>
    <row r="2732" ht="15" customHeight="1" x14ac:dyDescent="0.35"/>
    <row r="2733" ht="15" customHeight="1" x14ac:dyDescent="0.35"/>
    <row r="2734" ht="15" customHeight="1" x14ac:dyDescent="0.35"/>
    <row r="2735" ht="15" customHeight="1" x14ac:dyDescent="0.35"/>
    <row r="2736" ht="15" customHeight="1" x14ac:dyDescent="0.35"/>
    <row r="2737" ht="15" customHeight="1" x14ac:dyDescent="0.35"/>
    <row r="2738" ht="15" customHeight="1" x14ac:dyDescent="0.35"/>
    <row r="2739" ht="15" customHeight="1" x14ac:dyDescent="0.35"/>
    <row r="2740" ht="15" customHeight="1" x14ac:dyDescent="0.35"/>
    <row r="2741" ht="15" customHeight="1" x14ac:dyDescent="0.35"/>
    <row r="2742" ht="15" customHeight="1" x14ac:dyDescent="0.35"/>
    <row r="2743" ht="15" customHeight="1" x14ac:dyDescent="0.35"/>
    <row r="2744" ht="15" customHeight="1" x14ac:dyDescent="0.35"/>
    <row r="2745" ht="15" customHeight="1" x14ac:dyDescent="0.35"/>
    <row r="2746" ht="15" customHeight="1" x14ac:dyDescent="0.35"/>
    <row r="2747" ht="15" customHeight="1" x14ac:dyDescent="0.35"/>
    <row r="2748" ht="15" customHeight="1" x14ac:dyDescent="0.35"/>
    <row r="2749" ht="15" customHeight="1" x14ac:dyDescent="0.35"/>
    <row r="2750" ht="15" customHeight="1" x14ac:dyDescent="0.35"/>
    <row r="2751" ht="15" customHeight="1" x14ac:dyDescent="0.35"/>
    <row r="2752" ht="15" customHeight="1" x14ac:dyDescent="0.35"/>
    <row r="2753" ht="15" customHeight="1" x14ac:dyDescent="0.35"/>
    <row r="2754" ht="15" customHeight="1" x14ac:dyDescent="0.35"/>
    <row r="2755" ht="15" customHeight="1" x14ac:dyDescent="0.35"/>
    <row r="2756" ht="15" customHeight="1" x14ac:dyDescent="0.35"/>
    <row r="2757" ht="15" customHeight="1" x14ac:dyDescent="0.35"/>
    <row r="2758" ht="15" customHeight="1" x14ac:dyDescent="0.35"/>
    <row r="2759" ht="15" customHeight="1" x14ac:dyDescent="0.35"/>
    <row r="2760" ht="15" customHeight="1" x14ac:dyDescent="0.35"/>
    <row r="2761" ht="15" customHeight="1" x14ac:dyDescent="0.35"/>
    <row r="2762" ht="15" customHeight="1" x14ac:dyDescent="0.35"/>
    <row r="2763" ht="15" customHeight="1" x14ac:dyDescent="0.35"/>
    <row r="2764" ht="15" customHeight="1" x14ac:dyDescent="0.35"/>
    <row r="2765" ht="15" customHeight="1" x14ac:dyDescent="0.35"/>
    <row r="2766" ht="15" customHeight="1" x14ac:dyDescent="0.35"/>
    <row r="2767" ht="15" customHeight="1" x14ac:dyDescent="0.35"/>
    <row r="2768" ht="15" customHeight="1" x14ac:dyDescent="0.35"/>
    <row r="2769" ht="15" customHeight="1" x14ac:dyDescent="0.35"/>
    <row r="2770" ht="15" customHeight="1" x14ac:dyDescent="0.35"/>
    <row r="2771" ht="15" customHeight="1" x14ac:dyDescent="0.35"/>
    <row r="2772" ht="15" customHeight="1" x14ac:dyDescent="0.35"/>
    <row r="2773" ht="15" customHeight="1" x14ac:dyDescent="0.35"/>
    <row r="2774" ht="15" customHeight="1" x14ac:dyDescent="0.35"/>
    <row r="2775" ht="15" customHeight="1" x14ac:dyDescent="0.35"/>
    <row r="2776" ht="15" customHeight="1" x14ac:dyDescent="0.35"/>
    <row r="2777" ht="15" customHeight="1" x14ac:dyDescent="0.35"/>
    <row r="2778" ht="15" customHeight="1" x14ac:dyDescent="0.35"/>
    <row r="2779" ht="15" customHeight="1" x14ac:dyDescent="0.35"/>
    <row r="2780" ht="15" customHeight="1" x14ac:dyDescent="0.35"/>
    <row r="2781" ht="15" customHeight="1" x14ac:dyDescent="0.35"/>
    <row r="2782" ht="15" customHeight="1" x14ac:dyDescent="0.35"/>
    <row r="2783" ht="15" customHeight="1" x14ac:dyDescent="0.35"/>
    <row r="2784" ht="15" customHeight="1" x14ac:dyDescent="0.35"/>
    <row r="2785" ht="15" customHeight="1" x14ac:dyDescent="0.35"/>
    <row r="2786" ht="15" customHeight="1" x14ac:dyDescent="0.35"/>
    <row r="2787" ht="15" customHeight="1" x14ac:dyDescent="0.35"/>
    <row r="2788" ht="15" customHeight="1" x14ac:dyDescent="0.35"/>
    <row r="2789" ht="15" customHeight="1" x14ac:dyDescent="0.35"/>
    <row r="2790" ht="15" customHeight="1" x14ac:dyDescent="0.35"/>
    <row r="2791" ht="15" customHeight="1" x14ac:dyDescent="0.35"/>
    <row r="2792" ht="15" customHeight="1" x14ac:dyDescent="0.35"/>
    <row r="2793" ht="15" customHeight="1" x14ac:dyDescent="0.35"/>
    <row r="2794" ht="15" customHeight="1" x14ac:dyDescent="0.35"/>
    <row r="2795" ht="15" customHeight="1" x14ac:dyDescent="0.35"/>
    <row r="2796" ht="15" customHeight="1" x14ac:dyDescent="0.35"/>
    <row r="2797" ht="15" customHeight="1" x14ac:dyDescent="0.35"/>
    <row r="2798" ht="15" customHeight="1" x14ac:dyDescent="0.35"/>
    <row r="2799" ht="15" customHeight="1" x14ac:dyDescent="0.35"/>
    <row r="2800" ht="15" customHeight="1" x14ac:dyDescent="0.35"/>
    <row r="2801" ht="15" customHeight="1" x14ac:dyDescent="0.35"/>
    <row r="2802" ht="15" customHeight="1" x14ac:dyDescent="0.35"/>
    <row r="2803" ht="15" customHeight="1" x14ac:dyDescent="0.35"/>
    <row r="2804" ht="15" customHeight="1" x14ac:dyDescent="0.35"/>
    <row r="2805" ht="15" customHeight="1" x14ac:dyDescent="0.35"/>
    <row r="2806" ht="15" customHeight="1" x14ac:dyDescent="0.35"/>
    <row r="2807" ht="15" customHeight="1" x14ac:dyDescent="0.35"/>
    <row r="2808" ht="15" customHeight="1" x14ac:dyDescent="0.35"/>
    <row r="2809" ht="15" customHeight="1" x14ac:dyDescent="0.35"/>
    <row r="2810" ht="15" customHeight="1" x14ac:dyDescent="0.35"/>
    <row r="2811" ht="15" customHeight="1" x14ac:dyDescent="0.35"/>
    <row r="2812" ht="15" customHeight="1" x14ac:dyDescent="0.35"/>
    <row r="2813" ht="15" customHeight="1" x14ac:dyDescent="0.35"/>
    <row r="2814" ht="15" customHeight="1" x14ac:dyDescent="0.35"/>
    <row r="2815" ht="15" customHeight="1" x14ac:dyDescent="0.35"/>
    <row r="2816" ht="15" customHeight="1" x14ac:dyDescent="0.35"/>
    <row r="2817" ht="15" customHeight="1" x14ac:dyDescent="0.35"/>
    <row r="2818" ht="15" customHeight="1" x14ac:dyDescent="0.35"/>
    <row r="2819" ht="15" customHeight="1" x14ac:dyDescent="0.35"/>
    <row r="2820" ht="15" customHeight="1" x14ac:dyDescent="0.35"/>
    <row r="2821" ht="15" customHeight="1" x14ac:dyDescent="0.35"/>
    <row r="2822" ht="15" customHeight="1" x14ac:dyDescent="0.35"/>
    <row r="2823" ht="15" customHeight="1" x14ac:dyDescent="0.35"/>
    <row r="2824" ht="15" customHeight="1" x14ac:dyDescent="0.35"/>
    <row r="2825" ht="15" customHeight="1" x14ac:dyDescent="0.35"/>
    <row r="2826" ht="15" customHeight="1" x14ac:dyDescent="0.35"/>
    <row r="2827" ht="15" customHeight="1" x14ac:dyDescent="0.35"/>
    <row r="2828" ht="15" customHeight="1" x14ac:dyDescent="0.35"/>
    <row r="2829" ht="15" customHeight="1" x14ac:dyDescent="0.35"/>
    <row r="2830" ht="15" customHeight="1" x14ac:dyDescent="0.35"/>
    <row r="2831" ht="15" customHeight="1" x14ac:dyDescent="0.35"/>
    <row r="2832" ht="15" customHeight="1" x14ac:dyDescent="0.35"/>
    <row r="2833" ht="15" customHeight="1" x14ac:dyDescent="0.35"/>
    <row r="2834" ht="15" customHeight="1" x14ac:dyDescent="0.35"/>
    <row r="2835" ht="15" customHeight="1" x14ac:dyDescent="0.35"/>
    <row r="2836" ht="15" customHeight="1" x14ac:dyDescent="0.35"/>
    <row r="2837" ht="15" customHeight="1" x14ac:dyDescent="0.35"/>
    <row r="2838" ht="15" customHeight="1" x14ac:dyDescent="0.35"/>
    <row r="2839" ht="15" customHeight="1" x14ac:dyDescent="0.35"/>
    <row r="2840" ht="15" customHeight="1" x14ac:dyDescent="0.35"/>
    <row r="2841" ht="15" customHeight="1" x14ac:dyDescent="0.35"/>
    <row r="2842" ht="15" customHeight="1" x14ac:dyDescent="0.35"/>
    <row r="2843" ht="15" customHeight="1" x14ac:dyDescent="0.35"/>
    <row r="2844" ht="15" customHeight="1" x14ac:dyDescent="0.35"/>
    <row r="2845" ht="15" customHeight="1" x14ac:dyDescent="0.35"/>
    <row r="2846" ht="15" customHeight="1" x14ac:dyDescent="0.35"/>
    <row r="2847" ht="15" customHeight="1" x14ac:dyDescent="0.35"/>
    <row r="2848" ht="15" customHeight="1" x14ac:dyDescent="0.35"/>
    <row r="2849" ht="15" customHeight="1" x14ac:dyDescent="0.35"/>
    <row r="2850" ht="15" customHeight="1" x14ac:dyDescent="0.35"/>
    <row r="2851" ht="15" customHeight="1" x14ac:dyDescent="0.35"/>
    <row r="2852" ht="15" customHeight="1" x14ac:dyDescent="0.35"/>
    <row r="2853" ht="15" customHeight="1" x14ac:dyDescent="0.35"/>
    <row r="2854" ht="15" customHeight="1" x14ac:dyDescent="0.35"/>
    <row r="2855" ht="15" customHeight="1" x14ac:dyDescent="0.35"/>
    <row r="2856" ht="15" customHeight="1" x14ac:dyDescent="0.35"/>
    <row r="2857" ht="15" customHeight="1" x14ac:dyDescent="0.35"/>
    <row r="2858" ht="15" customHeight="1" x14ac:dyDescent="0.35"/>
    <row r="2859" ht="15" customHeight="1" x14ac:dyDescent="0.35"/>
    <row r="2860" ht="15" customHeight="1" x14ac:dyDescent="0.35"/>
    <row r="2861" ht="15" customHeight="1" x14ac:dyDescent="0.35"/>
    <row r="2862" ht="15" customHeight="1" x14ac:dyDescent="0.35"/>
    <row r="2863" ht="15" customHeight="1" x14ac:dyDescent="0.35"/>
    <row r="2864" ht="15" customHeight="1" x14ac:dyDescent="0.35"/>
    <row r="2865" ht="15" customHeight="1" x14ac:dyDescent="0.35"/>
    <row r="2866" ht="15" customHeight="1" x14ac:dyDescent="0.35"/>
    <row r="2867" ht="15" customHeight="1" x14ac:dyDescent="0.35"/>
    <row r="2868" ht="15" customHeight="1" x14ac:dyDescent="0.35"/>
    <row r="2869" ht="15" customHeight="1" x14ac:dyDescent="0.35"/>
    <row r="2870" ht="15" customHeight="1" x14ac:dyDescent="0.35"/>
    <row r="2871" ht="15" customHeight="1" x14ac:dyDescent="0.35"/>
    <row r="2872" ht="15" customHeight="1" x14ac:dyDescent="0.35"/>
    <row r="2873" ht="15" customHeight="1" x14ac:dyDescent="0.35"/>
    <row r="2874" ht="15" customHeight="1" x14ac:dyDescent="0.35"/>
    <row r="2875" ht="15" customHeight="1" x14ac:dyDescent="0.35"/>
    <row r="2876" ht="15" customHeight="1" x14ac:dyDescent="0.35"/>
    <row r="2877" ht="15" customHeight="1" x14ac:dyDescent="0.35"/>
    <row r="2878" ht="15" customHeight="1" x14ac:dyDescent="0.35"/>
    <row r="2879" ht="15" customHeight="1" x14ac:dyDescent="0.35"/>
    <row r="2880" ht="15" customHeight="1" x14ac:dyDescent="0.35"/>
    <row r="2881" ht="15" customHeight="1" x14ac:dyDescent="0.35"/>
    <row r="2882" ht="15" customHeight="1" x14ac:dyDescent="0.35"/>
    <row r="2883" ht="15" customHeight="1" x14ac:dyDescent="0.35"/>
    <row r="2884" ht="15" customHeight="1" x14ac:dyDescent="0.35"/>
    <row r="2885" ht="15" customHeight="1" x14ac:dyDescent="0.35"/>
    <row r="2886" ht="15" customHeight="1" x14ac:dyDescent="0.35"/>
    <row r="2887" ht="15" customHeight="1" x14ac:dyDescent="0.35"/>
    <row r="2888" ht="15" customHeight="1" x14ac:dyDescent="0.35"/>
    <row r="2889" ht="15" customHeight="1" x14ac:dyDescent="0.35"/>
    <row r="2890" ht="15" customHeight="1" x14ac:dyDescent="0.35"/>
    <row r="2891" ht="15" customHeight="1" x14ac:dyDescent="0.35"/>
    <row r="2892" ht="15" customHeight="1" x14ac:dyDescent="0.35"/>
    <row r="2893" ht="15" customHeight="1" x14ac:dyDescent="0.35"/>
    <row r="2894" ht="15" customHeight="1" x14ac:dyDescent="0.35"/>
    <row r="2895" ht="15" customHeight="1" x14ac:dyDescent="0.35"/>
    <row r="2896" ht="15" customHeight="1" x14ac:dyDescent="0.35"/>
    <row r="2897" ht="15" customHeight="1" x14ac:dyDescent="0.35"/>
    <row r="2898" ht="15" customHeight="1" x14ac:dyDescent="0.35"/>
    <row r="2899" ht="15" customHeight="1" x14ac:dyDescent="0.35"/>
    <row r="2900" ht="15" customHeight="1" x14ac:dyDescent="0.35"/>
    <row r="2901" ht="15" customHeight="1" x14ac:dyDescent="0.35"/>
    <row r="2902" ht="15" customHeight="1" x14ac:dyDescent="0.35"/>
    <row r="2903" ht="15" customHeight="1" x14ac:dyDescent="0.35"/>
    <row r="2904" ht="15" customHeight="1" x14ac:dyDescent="0.35"/>
    <row r="2905" ht="15" customHeight="1" x14ac:dyDescent="0.35"/>
    <row r="2906" ht="15" customHeight="1" x14ac:dyDescent="0.35"/>
    <row r="2907" ht="15" customHeight="1" x14ac:dyDescent="0.35"/>
    <row r="2908" ht="15" customHeight="1" x14ac:dyDescent="0.35"/>
    <row r="2909" ht="15" customHeight="1" x14ac:dyDescent="0.35"/>
    <row r="2910" ht="15" customHeight="1" x14ac:dyDescent="0.35"/>
    <row r="2911" ht="15" customHeight="1" x14ac:dyDescent="0.35"/>
    <row r="2912" ht="15" customHeight="1" x14ac:dyDescent="0.35"/>
    <row r="2913" ht="15" customHeight="1" x14ac:dyDescent="0.35"/>
    <row r="2914" ht="15" customHeight="1" x14ac:dyDescent="0.35"/>
    <row r="2915" ht="15" customHeight="1" x14ac:dyDescent="0.35"/>
    <row r="2916" ht="15" customHeight="1" x14ac:dyDescent="0.35"/>
    <row r="2917" ht="15" customHeight="1" x14ac:dyDescent="0.35"/>
    <row r="2918" ht="15" customHeight="1" x14ac:dyDescent="0.35"/>
    <row r="2919" ht="15" customHeight="1" x14ac:dyDescent="0.35"/>
    <row r="2920" ht="15" customHeight="1" x14ac:dyDescent="0.35"/>
    <row r="2921" ht="15" customHeight="1" x14ac:dyDescent="0.35"/>
    <row r="2922" ht="15" customHeight="1" x14ac:dyDescent="0.35"/>
    <row r="2923" ht="15" customHeight="1" x14ac:dyDescent="0.35"/>
    <row r="2924" ht="15" customHeight="1" x14ac:dyDescent="0.35"/>
    <row r="2925" ht="15" customHeight="1" x14ac:dyDescent="0.35"/>
    <row r="2926" ht="15" customHeight="1" x14ac:dyDescent="0.35"/>
    <row r="2927" ht="15" customHeight="1" x14ac:dyDescent="0.35"/>
    <row r="2928" ht="15" customHeight="1" x14ac:dyDescent="0.35"/>
    <row r="2929" ht="15" customHeight="1" x14ac:dyDescent="0.35"/>
    <row r="2930" ht="15" customHeight="1" x14ac:dyDescent="0.35"/>
    <row r="2931" ht="15" customHeight="1" x14ac:dyDescent="0.35"/>
    <row r="2932" ht="15" customHeight="1" x14ac:dyDescent="0.35"/>
    <row r="2933" ht="15" customHeight="1" x14ac:dyDescent="0.35"/>
    <row r="2934" ht="15" customHeight="1" x14ac:dyDescent="0.35"/>
    <row r="2935" ht="15" customHeight="1" x14ac:dyDescent="0.35"/>
    <row r="2936" ht="15" customHeight="1" x14ac:dyDescent="0.35"/>
    <row r="2937" ht="15" customHeight="1" x14ac:dyDescent="0.35"/>
    <row r="2938" ht="15" customHeight="1" x14ac:dyDescent="0.35"/>
    <row r="2939" ht="15" customHeight="1" x14ac:dyDescent="0.35"/>
    <row r="2940" ht="15" customHeight="1" x14ac:dyDescent="0.35"/>
    <row r="2941" ht="15" customHeight="1" x14ac:dyDescent="0.35"/>
    <row r="2942" ht="15" customHeight="1" x14ac:dyDescent="0.35"/>
    <row r="2943" ht="15" customHeight="1" x14ac:dyDescent="0.35"/>
    <row r="2944" ht="15" customHeight="1" x14ac:dyDescent="0.35"/>
    <row r="2945" ht="15" customHeight="1" x14ac:dyDescent="0.35"/>
    <row r="2946" ht="15" customHeight="1" x14ac:dyDescent="0.35"/>
    <row r="2947" ht="15" customHeight="1" x14ac:dyDescent="0.35"/>
    <row r="2948" ht="15" customHeight="1" x14ac:dyDescent="0.35"/>
    <row r="2949" ht="15" customHeight="1" x14ac:dyDescent="0.35"/>
    <row r="2950" ht="15" customHeight="1" x14ac:dyDescent="0.35"/>
    <row r="2951" ht="15" customHeight="1" x14ac:dyDescent="0.35"/>
    <row r="2952" ht="15" customHeight="1" x14ac:dyDescent="0.35"/>
    <row r="2953" ht="15" customHeight="1" x14ac:dyDescent="0.35"/>
    <row r="2954" ht="15" customHeight="1" x14ac:dyDescent="0.35"/>
    <row r="2955" ht="15" customHeight="1" x14ac:dyDescent="0.35"/>
    <row r="2956" ht="15" customHeight="1" x14ac:dyDescent="0.35"/>
    <row r="2957" ht="15" customHeight="1" x14ac:dyDescent="0.35"/>
    <row r="2958" ht="15" customHeight="1" x14ac:dyDescent="0.35"/>
    <row r="2959" ht="15" customHeight="1" x14ac:dyDescent="0.35"/>
    <row r="2960" ht="15" customHeight="1" x14ac:dyDescent="0.35"/>
    <row r="2961" ht="15" customHeight="1" x14ac:dyDescent="0.35"/>
    <row r="2962" ht="15" customHeight="1" x14ac:dyDescent="0.35"/>
    <row r="2963" ht="15" customHeight="1" x14ac:dyDescent="0.35"/>
    <row r="2964" ht="15" customHeight="1" x14ac:dyDescent="0.35"/>
    <row r="2965" ht="15" customHeight="1" x14ac:dyDescent="0.35"/>
    <row r="2966" ht="15" customHeight="1" x14ac:dyDescent="0.35"/>
    <row r="2967" ht="15" customHeight="1" x14ac:dyDescent="0.35"/>
    <row r="2968" ht="15" customHeight="1" x14ac:dyDescent="0.35"/>
    <row r="2969" ht="15" customHeight="1" x14ac:dyDescent="0.35"/>
    <row r="2970" ht="15" customHeight="1" x14ac:dyDescent="0.35"/>
    <row r="2971" ht="15" customHeight="1" x14ac:dyDescent="0.35"/>
    <row r="2972" ht="15" customHeight="1" x14ac:dyDescent="0.35"/>
    <row r="2973" ht="15" customHeight="1" x14ac:dyDescent="0.35"/>
    <row r="2974" ht="15" customHeight="1" x14ac:dyDescent="0.35"/>
    <row r="2975" ht="15" customHeight="1" x14ac:dyDescent="0.35"/>
    <row r="2976" ht="15" customHeight="1" x14ac:dyDescent="0.35"/>
    <row r="2977" ht="15" customHeight="1" x14ac:dyDescent="0.35"/>
    <row r="2978" ht="15" customHeight="1" x14ac:dyDescent="0.35"/>
    <row r="2979" ht="15" customHeight="1" x14ac:dyDescent="0.35"/>
    <row r="2980" ht="15" customHeight="1" x14ac:dyDescent="0.35"/>
    <row r="2981" ht="15" customHeight="1" x14ac:dyDescent="0.35"/>
    <row r="2982" ht="15" customHeight="1" x14ac:dyDescent="0.35"/>
    <row r="2983" ht="15" customHeight="1" x14ac:dyDescent="0.35"/>
    <row r="2984" ht="15" customHeight="1" x14ac:dyDescent="0.35"/>
    <row r="2985" ht="15" customHeight="1" x14ac:dyDescent="0.35"/>
    <row r="2986" ht="15" customHeight="1" x14ac:dyDescent="0.35"/>
    <row r="2987" ht="15" customHeight="1" x14ac:dyDescent="0.35"/>
    <row r="2988" ht="15" customHeight="1" x14ac:dyDescent="0.35"/>
    <row r="2989" ht="15" customHeight="1" x14ac:dyDescent="0.35"/>
    <row r="2990" ht="15" customHeight="1" x14ac:dyDescent="0.35"/>
    <row r="2991" ht="15" customHeight="1" x14ac:dyDescent="0.35"/>
    <row r="2992" ht="15" customHeight="1" x14ac:dyDescent="0.35"/>
    <row r="2993" ht="15" customHeight="1" x14ac:dyDescent="0.35"/>
    <row r="2994" ht="15" customHeight="1" x14ac:dyDescent="0.35"/>
    <row r="2995" ht="15" customHeight="1" x14ac:dyDescent="0.35"/>
    <row r="2996" ht="15" customHeight="1" x14ac:dyDescent="0.35"/>
    <row r="2997" ht="15" customHeight="1" x14ac:dyDescent="0.35"/>
    <row r="2998" ht="15" customHeight="1" x14ac:dyDescent="0.35"/>
    <row r="2999" ht="15" customHeight="1" x14ac:dyDescent="0.35"/>
    <row r="3000" ht="15" customHeight="1" x14ac:dyDescent="0.35"/>
    <row r="3001" ht="15" customHeight="1" x14ac:dyDescent="0.35"/>
    <row r="3002" ht="15" customHeight="1" x14ac:dyDescent="0.35"/>
    <row r="3003" ht="15" customHeight="1" x14ac:dyDescent="0.35"/>
    <row r="3004" ht="15" customHeight="1" x14ac:dyDescent="0.35"/>
    <row r="3005" ht="15" customHeight="1" x14ac:dyDescent="0.35"/>
    <row r="3006" ht="15" customHeight="1" x14ac:dyDescent="0.35"/>
    <row r="3007" ht="15" customHeight="1" x14ac:dyDescent="0.35"/>
    <row r="3008" ht="15" customHeight="1" x14ac:dyDescent="0.35"/>
    <row r="3009" ht="15" customHeight="1" x14ac:dyDescent="0.35"/>
    <row r="3010" ht="15" customHeight="1" x14ac:dyDescent="0.35"/>
    <row r="3011" ht="15" customHeight="1" x14ac:dyDescent="0.35"/>
    <row r="3012" ht="15" customHeight="1" x14ac:dyDescent="0.35"/>
    <row r="3013" ht="15" customHeight="1" x14ac:dyDescent="0.35"/>
    <row r="3014" ht="15" customHeight="1" x14ac:dyDescent="0.35"/>
    <row r="3015" ht="15" customHeight="1" x14ac:dyDescent="0.35"/>
    <row r="3016" ht="15" customHeight="1" x14ac:dyDescent="0.35"/>
    <row r="3017" ht="15" customHeight="1" x14ac:dyDescent="0.35"/>
    <row r="3018" ht="15" customHeight="1" x14ac:dyDescent="0.35"/>
    <row r="3019" ht="15" customHeight="1" x14ac:dyDescent="0.35"/>
    <row r="3020" ht="15" customHeight="1" x14ac:dyDescent="0.35"/>
    <row r="3021" ht="15" customHeight="1" x14ac:dyDescent="0.35"/>
    <row r="3022" ht="15" customHeight="1" x14ac:dyDescent="0.35"/>
    <row r="3023" ht="15" customHeight="1" x14ac:dyDescent="0.35"/>
    <row r="3024" ht="15" customHeight="1" x14ac:dyDescent="0.35"/>
    <row r="3025" ht="15" customHeight="1" x14ac:dyDescent="0.35"/>
    <row r="3026" ht="15" customHeight="1" x14ac:dyDescent="0.35"/>
    <row r="3027" ht="15" customHeight="1" x14ac:dyDescent="0.35"/>
    <row r="3028" ht="15" customHeight="1" x14ac:dyDescent="0.35"/>
    <row r="3029" ht="15" customHeight="1" x14ac:dyDescent="0.35"/>
    <row r="3030" ht="15" customHeight="1" x14ac:dyDescent="0.35"/>
    <row r="3031" ht="15" customHeight="1" x14ac:dyDescent="0.35"/>
    <row r="3032" ht="15" customHeight="1" x14ac:dyDescent="0.35"/>
    <row r="3033" ht="15" customHeight="1" x14ac:dyDescent="0.35"/>
    <row r="3034" ht="15" customHeight="1" x14ac:dyDescent="0.35"/>
    <row r="3035" ht="15" customHeight="1" x14ac:dyDescent="0.35"/>
    <row r="3036" ht="15" customHeight="1" x14ac:dyDescent="0.35"/>
    <row r="3037" ht="15" customHeight="1" x14ac:dyDescent="0.35"/>
    <row r="3038" ht="15" customHeight="1" x14ac:dyDescent="0.35"/>
    <row r="3039" ht="15" customHeight="1" x14ac:dyDescent="0.35"/>
    <row r="3040" ht="15" customHeight="1" x14ac:dyDescent="0.35"/>
    <row r="3041" ht="15" customHeight="1" x14ac:dyDescent="0.35"/>
    <row r="3042" ht="15" customHeight="1" x14ac:dyDescent="0.35"/>
    <row r="3043" ht="15" customHeight="1" x14ac:dyDescent="0.35"/>
    <row r="3044" ht="15" customHeight="1" x14ac:dyDescent="0.35"/>
    <row r="3045" ht="15" customHeight="1" x14ac:dyDescent="0.35"/>
    <row r="3046" ht="15" customHeight="1" x14ac:dyDescent="0.35"/>
    <row r="3047" ht="15" customHeight="1" x14ac:dyDescent="0.35"/>
    <row r="3048" ht="15" customHeight="1" x14ac:dyDescent="0.35"/>
    <row r="3049" ht="15" customHeight="1" x14ac:dyDescent="0.35"/>
    <row r="3050" ht="15" customHeight="1" x14ac:dyDescent="0.35"/>
    <row r="3051" ht="15" customHeight="1" x14ac:dyDescent="0.35"/>
    <row r="3052" ht="15" customHeight="1" x14ac:dyDescent="0.35"/>
    <row r="3053" ht="15" customHeight="1" x14ac:dyDescent="0.35"/>
    <row r="3054" ht="15" customHeight="1" x14ac:dyDescent="0.35"/>
    <row r="3055" ht="15" customHeight="1" x14ac:dyDescent="0.35"/>
    <row r="3056" ht="15" customHeight="1" x14ac:dyDescent="0.35"/>
    <row r="3057" ht="15" customHeight="1" x14ac:dyDescent="0.35"/>
    <row r="3058" ht="15" customHeight="1" x14ac:dyDescent="0.35"/>
    <row r="3059" ht="15" customHeight="1" x14ac:dyDescent="0.35"/>
    <row r="3060" ht="15" customHeight="1" x14ac:dyDescent="0.35"/>
    <row r="3061" ht="15" customHeight="1" x14ac:dyDescent="0.35"/>
    <row r="3062" ht="15" customHeight="1" x14ac:dyDescent="0.35"/>
    <row r="3063" ht="15" customHeight="1" x14ac:dyDescent="0.35"/>
    <row r="3064" ht="15" customHeight="1" x14ac:dyDescent="0.35"/>
    <row r="3065" ht="15" customHeight="1" x14ac:dyDescent="0.35"/>
    <row r="3066" ht="15" customHeight="1" x14ac:dyDescent="0.35"/>
    <row r="3067" ht="15" customHeight="1" x14ac:dyDescent="0.35"/>
    <row r="3068" ht="15" customHeight="1" x14ac:dyDescent="0.35"/>
    <row r="3069" ht="15" customHeight="1" x14ac:dyDescent="0.35"/>
    <row r="3070" ht="15" customHeight="1" x14ac:dyDescent="0.35"/>
    <row r="3071" ht="15" customHeight="1" x14ac:dyDescent="0.35"/>
    <row r="3072" ht="15" customHeight="1" x14ac:dyDescent="0.35"/>
    <row r="3073" ht="15" customHeight="1" x14ac:dyDescent="0.35"/>
    <row r="3074" ht="15" customHeight="1" x14ac:dyDescent="0.35"/>
    <row r="3075" ht="15" customHeight="1" x14ac:dyDescent="0.35"/>
    <row r="3076" ht="15" customHeight="1" x14ac:dyDescent="0.35"/>
    <row r="3077" ht="15" customHeight="1" x14ac:dyDescent="0.35"/>
    <row r="3078" ht="15" customHeight="1" x14ac:dyDescent="0.35"/>
    <row r="3079" ht="15" customHeight="1" x14ac:dyDescent="0.35"/>
    <row r="3080" ht="15" customHeight="1" x14ac:dyDescent="0.35"/>
    <row r="3081" ht="15" customHeight="1" x14ac:dyDescent="0.35"/>
    <row r="3082" ht="15" customHeight="1" x14ac:dyDescent="0.35"/>
    <row r="3083" ht="15" customHeight="1" x14ac:dyDescent="0.35"/>
    <row r="3084" ht="15" customHeight="1" x14ac:dyDescent="0.35"/>
    <row r="3085" ht="15" customHeight="1" x14ac:dyDescent="0.35"/>
    <row r="3086" ht="15" customHeight="1" x14ac:dyDescent="0.35"/>
    <row r="3087" ht="15" customHeight="1" x14ac:dyDescent="0.35"/>
    <row r="3088" ht="15" customHeight="1" x14ac:dyDescent="0.35"/>
    <row r="3089" ht="15" customHeight="1" x14ac:dyDescent="0.35"/>
    <row r="3090" ht="15" customHeight="1" x14ac:dyDescent="0.35"/>
    <row r="3091" ht="15" customHeight="1" x14ac:dyDescent="0.35"/>
    <row r="3092" ht="15" customHeight="1" x14ac:dyDescent="0.35"/>
    <row r="3093" ht="15" customHeight="1" x14ac:dyDescent="0.35"/>
    <row r="3094" ht="15" customHeight="1" x14ac:dyDescent="0.35"/>
    <row r="3095" ht="15" customHeight="1" x14ac:dyDescent="0.35"/>
    <row r="3096" ht="15" customHeight="1" x14ac:dyDescent="0.35"/>
    <row r="3097" ht="15" customHeight="1" x14ac:dyDescent="0.35"/>
    <row r="3098" ht="15" customHeight="1" x14ac:dyDescent="0.35"/>
    <row r="3099" ht="15" customHeight="1" x14ac:dyDescent="0.35"/>
    <row r="3100" ht="15" customHeight="1" x14ac:dyDescent="0.35"/>
    <row r="3101" ht="15" customHeight="1" x14ac:dyDescent="0.35"/>
    <row r="3102" ht="15" customHeight="1" x14ac:dyDescent="0.35"/>
    <row r="3103" ht="15" customHeight="1" x14ac:dyDescent="0.35"/>
    <row r="3104" ht="15" customHeight="1" x14ac:dyDescent="0.35"/>
    <row r="3105" ht="15" customHeight="1" x14ac:dyDescent="0.35"/>
    <row r="3106" ht="15" customHeight="1" x14ac:dyDescent="0.35"/>
    <row r="3107" ht="15" customHeight="1" x14ac:dyDescent="0.35"/>
    <row r="3108" ht="15" customHeight="1" x14ac:dyDescent="0.35"/>
    <row r="3109" ht="15" customHeight="1" x14ac:dyDescent="0.35"/>
    <row r="3110" ht="15" customHeight="1" x14ac:dyDescent="0.35"/>
    <row r="3111" ht="15" customHeight="1" x14ac:dyDescent="0.35"/>
    <row r="3112" ht="15" customHeight="1" x14ac:dyDescent="0.35"/>
    <row r="3113" ht="15" customHeight="1" x14ac:dyDescent="0.35"/>
    <row r="3114" ht="15" customHeight="1" x14ac:dyDescent="0.35"/>
    <row r="3115" ht="15" customHeight="1" x14ac:dyDescent="0.35"/>
    <row r="3116" ht="15" customHeight="1" x14ac:dyDescent="0.35"/>
    <row r="3117" ht="15" customHeight="1" x14ac:dyDescent="0.35"/>
    <row r="3118" ht="15" customHeight="1" x14ac:dyDescent="0.35"/>
    <row r="3119" ht="15" customHeight="1" x14ac:dyDescent="0.35"/>
    <row r="3120" ht="15" customHeight="1" x14ac:dyDescent="0.35"/>
    <row r="3121" ht="15" customHeight="1" x14ac:dyDescent="0.35"/>
    <row r="3122" ht="15" customHeight="1" x14ac:dyDescent="0.35"/>
    <row r="3123" ht="15" customHeight="1" x14ac:dyDescent="0.35"/>
    <row r="3124" ht="15" customHeight="1" x14ac:dyDescent="0.35"/>
    <row r="3125" ht="15" customHeight="1" x14ac:dyDescent="0.35"/>
    <row r="3126" ht="15" customHeight="1" x14ac:dyDescent="0.35"/>
    <row r="3127" ht="15" customHeight="1" x14ac:dyDescent="0.35"/>
    <row r="3128" ht="15" customHeight="1" x14ac:dyDescent="0.35"/>
    <row r="3129" ht="15" customHeight="1" x14ac:dyDescent="0.35"/>
    <row r="3130" ht="15" customHeight="1" x14ac:dyDescent="0.35"/>
    <row r="3131" ht="15" customHeight="1" x14ac:dyDescent="0.35"/>
    <row r="3132" ht="15" customHeight="1" x14ac:dyDescent="0.35"/>
    <row r="3133" ht="15" customHeight="1" x14ac:dyDescent="0.35"/>
    <row r="3134" ht="15" customHeight="1" x14ac:dyDescent="0.35"/>
    <row r="3135" ht="15" customHeight="1" x14ac:dyDescent="0.35"/>
    <row r="3136" ht="15" customHeight="1" x14ac:dyDescent="0.35"/>
    <row r="3137" ht="15" customHeight="1" x14ac:dyDescent="0.35"/>
    <row r="3138" ht="15" customHeight="1" x14ac:dyDescent="0.35"/>
    <row r="3139" ht="15" customHeight="1" x14ac:dyDescent="0.35"/>
    <row r="3140" ht="15" customHeight="1" x14ac:dyDescent="0.35"/>
    <row r="3141" ht="15" customHeight="1" x14ac:dyDescent="0.35"/>
    <row r="3142" ht="15" customHeight="1" x14ac:dyDescent="0.35"/>
    <row r="3143" ht="15" customHeight="1" x14ac:dyDescent="0.35"/>
    <row r="3144" ht="15" customHeight="1" x14ac:dyDescent="0.35"/>
    <row r="3145" ht="15" customHeight="1" x14ac:dyDescent="0.35"/>
    <row r="3146" ht="15" customHeight="1" x14ac:dyDescent="0.35"/>
    <row r="3147" ht="15" customHeight="1" x14ac:dyDescent="0.35"/>
    <row r="3148" ht="15" customHeight="1" x14ac:dyDescent="0.35"/>
    <row r="3149" ht="15" customHeight="1" x14ac:dyDescent="0.35"/>
    <row r="3150" ht="15" customHeight="1" x14ac:dyDescent="0.35"/>
    <row r="3151" ht="15" customHeight="1" x14ac:dyDescent="0.35"/>
    <row r="3152" ht="15" customHeight="1" x14ac:dyDescent="0.35"/>
    <row r="3153" ht="15" customHeight="1" x14ac:dyDescent="0.35"/>
    <row r="3154" ht="15" customHeight="1" x14ac:dyDescent="0.35"/>
    <row r="3155" ht="15" customHeight="1" x14ac:dyDescent="0.35"/>
    <row r="3156" ht="15" customHeight="1" x14ac:dyDescent="0.35"/>
    <row r="3157" ht="15" customHeight="1" x14ac:dyDescent="0.35"/>
    <row r="3158" ht="15" customHeight="1" x14ac:dyDescent="0.35"/>
    <row r="3159" ht="15" customHeight="1" x14ac:dyDescent="0.35"/>
    <row r="3160" ht="15" customHeight="1" x14ac:dyDescent="0.35"/>
    <row r="3161" ht="15" customHeight="1" x14ac:dyDescent="0.35"/>
    <row r="3162" ht="15" customHeight="1" x14ac:dyDescent="0.35"/>
    <row r="3163" ht="15" customHeight="1" x14ac:dyDescent="0.35"/>
    <row r="3164" ht="15" customHeight="1" x14ac:dyDescent="0.35"/>
    <row r="3165" ht="15" customHeight="1" x14ac:dyDescent="0.35"/>
    <row r="3166" ht="15" customHeight="1" x14ac:dyDescent="0.35"/>
    <row r="3167" ht="15" customHeight="1" x14ac:dyDescent="0.35"/>
    <row r="3168" ht="15" customHeight="1" x14ac:dyDescent="0.35"/>
    <row r="3169" ht="15" customHeight="1" x14ac:dyDescent="0.35"/>
    <row r="3170" ht="15" customHeight="1" x14ac:dyDescent="0.35"/>
    <row r="3171" ht="15" customHeight="1" x14ac:dyDescent="0.35"/>
    <row r="3172" ht="15" customHeight="1" x14ac:dyDescent="0.35"/>
    <row r="3173" ht="15" customHeight="1" x14ac:dyDescent="0.35"/>
    <row r="3174" ht="15" customHeight="1" x14ac:dyDescent="0.35"/>
    <row r="3175" ht="15" customHeight="1" x14ac:dyDescent="0.35"/>
    <row r="3176" ht="15" customHeight="1" x14ac:dyDescent="0.35"/>
    <row r="3177" ht="15" customHeight="1" x14ac:dyDescent="0.35"/>
    <row r="3178" ht="15" customHeight="1" x14ac:dyDescent="0.35"/>
    <row r="3179" ht="15" customHeight="1" x14ac:dyDescent="0.35"/>
    <row r="3180" ht="15" customHeight="1" x14ac:dyDescent="0.35"/>
    <row r="3181" ht="15" customHeight="1" x14ac:dyDescent="0.35"/>
    <row r="3182" ht="15" customHeight="1" x14ac:dyDescent="0.35"/>
    <row r="3183" ht="15" customHeight="1" x14ac:dyDescent="0.35"/>
    <row r="3184" ht="15" customHeight="1" x14ac:dyDescent="0.35"/>
    <row r="3185" ht="15" customHeight="1" x14ac:dyDescent="0.35"/>
    <row r="3186" ht="15" customHeight="1" x14ac:dyDescent="0.35"/>
    <row r="3187" ht="15" customHeight="1" x14ac:dyDescent="0.35"/>
    <row r="3188" ht="15" customHeight="1" x14ac:dyDescent="0.35"/>
    <row r="3189" ht="15" customHeight="1" x14ac:dyDescent="0.35"/>
    <row r="3190" ht="15" customHeight="1" x14ac:dyDescent="0.35"/>
    <row r="3191" ht="15" customHeight="1" x14ac:dyDescent="0.35"/>
    <row r="3192" ht="15" customHeight="1" x14ac:dyDescent="0.35"/>
    <row r="3193" ht="15" customHeight="1" x14ac:dyDescent="0.35"/>
    <row r="3194" ht="15" customHeight="1" x14ac:dyDescent="0.35"/>
    <row r="3195" ht="15" customHeight="1" x14ac:dyDescent="0.35"/>
    <row r="3196" ht="15" customHeight="1" x14ac:dyDescent="0.35"/>
    <row r="3197" ht="15" customHeight="1" x14ac:dyDescent="0.35"/>
    <row r="3198" ht="15" customHeight="1" x14ac:dyDescent="0.35"/>
    <row r="3199" ht="15" customHeight="1" x14ac:dyDescent="0.35"/>
    <row r="3200" ht="15" customHeight="1" x14ac:dyDescent="0.35"/>
    <row r="3201" ht="15" customHeight="1" x14ac:dyDescent="0.35"/>
    <row r="3202" ht="15" customHeight="1" x14ac:dyDescent="0.35"/>
    <row r="3203" ht="15" customHeight="1" x14ac:dyDescent="0.35"/>
    <row r="3204" ht="15" customHeight="1" x14ac:dyDescent="0.35"/>
    <row r="3205" ht="15" customHeight="1" x14ac:dyDescent="0.35"/>
    <row r="3206" ht="15" customHeight="1" x14ac:dyDescent="0.35"/>
    <row r="3207" ht="15" customHeight="1" x14ac:dyDescent="0.35"/>
    <row r="3208" ht="15" customHeight="1" x14ac:dyDescent="0.35"/>
    <row r="3209" ht="15" customHeight="1" x14ac:dyDescent="0.35"/>
    <row r="3210" ht="15" customHeight="1" x14ac:dyDescent="0.35"/>
    <row r="3211" ht="15" customHeight="1" x14ac:dyDescent="0.35"/>
    <row r="3212" ht="15" customHeight="1" x14ac:dyDescent="0.35"/>
    <row r="3213" ht="15" customHeight="1" x14ac:dyDescent="0.35"/>
    <row r="3214" ht="15" customHeight="1" x14ac:dyDescent="0.35"/>
    <row r="3215" ht="15" customHeight="1" x14ac:dyDescent="0.35"/>
    <row r="3216" ht="15" customHeight="1" x14ac:dyDescent="0.35"/>
    <row r="3217" ht="15" customHeight="1" x14ac:dyDescent="0.35"/>
    <row r="3218" ht="15" customHeight="1" x14ac:dyDescent="0.35"/>
    <row r="3219" ht="15" customHeight="1" x14ac:dyDescent="0.35"/>
    <row r="3220" ht="15" customHeight="1" x14ac:dyDescent="0.35"/>
    <row r="3221" ht="15" customHeight="1" x14ac:dyDescent="0.35"/>
    <row r="3222" ht="15" customHeight="1" x14ac:dyDescent="0.35"/>
    <row r="3223" ht="15" customHeight="1" x14ac:dyDescent="0.35"/>
    <row r="3224" ht="15" customHeight="1" x14ac:dyDescent="0.35"/>
    <row r="3225" ht="15" customHeight="1" x14ac:dyDescent="0.35"/>
    <row r="3226" ht="15" customHeight="1" x14ac:dyDescent="0.35"/>
    <row r="3227" ht="15" customHeight="1" x14ac:dyDescent="0.35"/>
    <row r="3228" ht="15" customHeight="1" x14ac:dyDescent="0.35"/>
    <row r="3229" ht="15" customHeight="1" x14ac:dyDescent="0.35"/>
    <row r="3230" ht="15" customHeight="1" x14ac:dyDescent="0.35"/>
    <row r="3231" ht="15" customHeight="1" x14ac:dyDescent="0.35"/>
    <row r="3232" ht="15" customHeight="1" x14ac:dyDescent="0.35"/>
    <row r="3233" ht="15" customHeight="1" x14ac:dyDescent="0.35"/>
    <row r="3234" ht="15" customHeight="1" x14ac:dyDescent="0.35"/>
    <row r="3235" ht="15" customHeight="1" x14ac:dyDescent="0.35"/>
    <row r="3236" ht="15" customHeight="1" x14ac:dyDescent="0.35"/>
    <row r="3237" ht="15" customHeight="1" x14ac:dyDescent="0.35"/>
    <row r="3238" ht="15" customHeight="1" x14ac:dyDescent="0.35"/>
    <row r="3239" ht="15" customHeight="1" x14ac:dyDescent="0.35"/>
    <row r="3240" ht="15" customHeight="1" x14ac:dyDescent="0.35"/>
    <row r="3241" ht="15" customHeight="1" x14ac:dyDescent="0.35"/>
    <row r="3242" ht="15" customHeight="1" x14ac:dyDescent="0.35"/>
    <row r="3243" ht="15" customHeight="1" x14ac:dyDescent="0.35"/>
    <row r="3244" ht="15" customHeight="1" x14ac:dyDescent="0.35"/>
    <row r="3245" ht="15" customHeight="1" x14ac:dyDescent="0.35"/>
    <row r="3246" ht="15" customHeight="1" x14ac:dyDescent="0.35"/>
    <row r="3247" ht="15" customHeight="1" x14ac:dyDescent="0.35"/>
    <row r="3248" ht="15" customHeight="1" x14ac:dyDescent="0.35"/>
    <row r="3249" ht="15" customHeight="1" x14ac:dyDescent="0.35"/>
    <row r="3250" ht="15" customHeight="1" x14ac:dyDescent="0.35"/>
    <row r="3251" ht="15" customHeight="1" x14ac:dyDescent="0.35"/>
    <row r="3252" ht="15" customHeight="1" x14ac:dyDescent="0.35"/>
    <row r="3253" ht="15" customHeight="1" x14ac:dyDescent="0.35"/>
    <row r="3254" ht="15" customHeight="1" x14ac:dyDescent="0.35"/>
    <row r="3255" ht="15" customHeight="1" x14ac:dyDescent="0.35"/>
    <row r="3256" ht="15" customHeight="1" x14ac:dyDescent="0.35"/>
    <row r="3257" ht="15" customHeight="1" x14ac:dyDescent="0.35"/>
    <row r="3258" ht="15" customHeight="1" x14ac:dyDescent="0.35"/>
    <row r="3259" ht="15" customHeight="1" x14ac:dyDescent="0.35"/>
    <row r="3260" ht="15" customHeight="1" x14ac:dyDescent="0.35"/>
    <row r="3261" ht="15" customHeight="1" x14ac:dyDescent="0.35"/>
    <row r="3262" ht="15" customHeight="1" x14ac:dyDescent="0.35"/>
    <row r="3263" ht="15" customHeight="1" x14ac:dyDescent="0.35"/>
    <row r="3264" ht="15" customHeight="1" x14ac:dyDescent="0.35"/>
    <row r="3265" ht="15" customHeight="1" x14ac:dyDescent="0.35"/>
    <row r="3266" ht="15" customHeight="1" x14ac:dyDescent="0.35"/>
    <row r="3267" ht="15" customHeight="1" x14ac:dyDescent="0.35"/>
    <row r="3268" ht="15" customHeight="1" x14ac:dyDescent="0.35"/>
    <row r="3269" ht="15" customHeight="1" x14ac:dyDescent="0.35"/>
    <row r="3270" ht="15" customHeight="1" x14ac:dyDescent="0.35"/>
    <row r="3271" ht="15" customHeight="1" x14ac:dyDescent="0.35"/>
    <row r="3272" ht="15" customHeight="1" x14ac:dyDescent="0.35"/>
    <row r="3273" ht="15" customHeight="1" x14ac:dyDescent="0.35"/>
    <row r="3274" ht="15" customHeight="1" x14ac:dyDescent="0.35"/>
    <row r="3275" ht="15" customHeight="1" x14ac:dyDescent="0.35"/>
    <row r="3276" ht="15" customHeight="1" x14ac:dyDescent="0.35"/>
    <row r="3277" ht="15" customHeight="1" x14ac:dyDescent="0.35"/>
    <row r="3278" ht="15" customHeight="1" x14ac:dyDescent="0.35"/>
    <row r="3279" ht="15" customHeight="1" x14ac:dyDescent="0.35"/>
    <row r="3280" ht="15" customHeight="1" x14ac:dyDescent="0.35"/>
    <row r="3281" ht="15" customHeight="1" x14ac:dyDescent="0.35"/>
    <row r="3282" ht="15" customHeight="1" x14ac:dyDescent="0.35"/>
    <row r="3283" ht="15" customHeight="1" x14ac:dyDescent="0.35"/>
    <row r="3284" ht="15" customHeight="1" x14ac:dyDescent="0.35"/>
    <row r="3285" ht="15" customHeight="1" x14ac:dyDescent="0.35"/>
    <row r="3286" ht="15" customHeight="1" x14ac:dyDescent="0.35"/>
    <row r="3287" ht="15" customHeight="1" x14ac:dyDescent="0.35"/>
    <row r="3288" ht="15" customHeight="1" x14ac:dyDescent="0.35"/>
    <row r="3289" ht="15" customHeight="1" x14ac:dyDescent="0.35"/>
    <row r="3290" ht="15" customHeight="1" x14ac:dyDescent="0.35"/>
    <row r="3291" ht="15" customHeight="1" x14ac:dyDescent="0.35"/>
    <row r="3292" ht="15" customHeight="1" x14ac:dyDescent="0.35"/>
    <row r="3293" ht="15" customHeight="1" x14ac:dyDescent="0.35"/>
    <row r="3294" ht="15" customHeight="1" x14ac:dyDescent="0.35"/>
    <row r="3295" ht="15" customHeight="1" x14ac:dyDescent="0.35"/>
    <row r="3296" ht="15" customHeight="1" x14ac:dyDescent="0.35"/>
    <row r="3297" ht="15" customHeight="1" x14ac:dyDescent="0.35"/>
    <row r="3298" ht="15" customHeight="1" x14ac:dyDescent="0.35"/>
    <row r="3299" ht="15" customHeight="1" x14ac:dyDescent="0.35"/>
    <row r="3300" ht="15" customHeight="1" x14ac:dyDescent="0.35"/>
    <row r="3301" ht="15" customHeight="1" x14ac:dyDescent="0.35"/>
    <row r="3302" ht="15" customHeight="1" x14ac:dyDescent="0.35"/>
    <row r="3303" ht="15" customHeight="1" x14ac:dyDescent="0.35"/>
    <row r="3304" ht="15" customHeight="1" x14ac:dyDescent="0.35"/>
    <row r="3305" ht="15" customHeight="1" x14ac:dyDescent="0.35"/>
    <row r="3306" ht="15" customHeight="1" x14ac:dyDescent="0.35"/>
    <row r="3307" ht="15" customHeight="1" x14ac:dyDescent="0.35"/>
    <row r="3308" ht="15" customHeight="1" x14ac:dyDescent="0.35"/>
    <row r="3309" ht="15" customHeight="1" x14ac:dyDescent="0.35"/>
    <row r="3310" ht="15" customHeight="1" x14ac:dyDescent="0.35"/>
    <row r="3311" ht="15" customHeight="1" x14ac:dyDescent="0.35"/>
    <row r="3312" ht="15" customHeight="1" x14ac:dyDescent="0.35"/>
    <row r="3313" ht="15" customHeight="1" x14ac:dyDescent="0.35"/>
    <row r="3314" ht="15" customHeight="1" x14ac:dyDescent="0.35"/>
    <row r="3315" ht="15" customHeight="1" x14ac:dyDescent="0.35"/>
    <row r="3316" ht="15" customHeight="1" x14ac:dyDescent="0.35"/>
    <row r="3317" ht="15" customHeight="1" x14ac:dyDescent="0.35"/>
    <row r="3318" ht="15" customHeight="1" x14ac:dyDescent="0.35"/>
    <row r="3319" ht="15" customHeight="1" x14ac:dyDescent="0.35"/>
    <row r="3320" ht="15" customHeight="1" x14ac:dyDescent="0.35"/>
    <row r="3321" ht="15" customHeight="1" x14ac:dyDescent="0.35"/>
    <row r="3322" ht="15" customHeight="1" x14ac:dyDescent="0.35"/>
    <row r="3323" ht="15" customHeight="1" x14ac:dyDescent="0.35"/>
    <row r="3324" ht="15" customHeight="1" x14ac:dyDescent="0.35"/>
    <row r="3325" ht="15" customHeight="1" x14ac:dyDescent="0.35"/>
    <row r="3326" ht="15" customHeight="1" x14ac:dyDescent="0.35"/>
    <row r="3327" ht="15" customHeight="1" x14ac:dyDescent="0.35"/>
    <row r="3328" ht="15" customHeight="1" x14ac:dyDescent="0.35"/>
    <row r="3329" ht="15" customHeight="1" x14ac:dyDescent="0.35"/>
    <row r="3330" ht="15" customHeight="1" x14ac:dyDescent="0.35"/>
    <row r="3331" ht="15" customHeight="1" x14ac:dyDescent="0.35"/>
    <row r="3332" ht="15" customHeight="1" x14ac:dyDescent="0.35"/>
    <row r="3333" ht="15" customHeight="1" x14ac:dyDescent="0.35"/>
    <row r="3334" ht="15" customHeight="1" x14ac:dyDescent="0.35"/>
    <row r="3335" ht="15" customHeight="1" x14ac:dyDescent="0.35"/>
    <row r="3336" ht="15" customHeight="1" x14ac:dyDescent="0.35"/>
    <row r="3337" ht="15" customHeight="1" x14ac:dyDescent="0.35"/>
    <row r="3338" ht="15" customHeight="1" x14ac:dyDescent="0.35"/>
    <row r="3339" ht="15" customHeight="1" x14ac:dyDescent="0.35"/>
    <row r="3340" ht="15" customHeight="1" x14ac:dyDescent="0.35"/>
    <row r="3341" ht="15" customHeight="1" x14ac:dyDescent="0.35"/>
    <row r="3342" ht="15" customHeight="1" x14ac:dyDescent="0.35"/>
    <row r="3343" ht="15" customHeight="1" x14ac:dyDescent="0.35"/>
    <row r="3344" ht="15" customHeight="1" x14ac:dyDescent="0.35"/>
    <row r="3345" ht="15" customHeight="1" x14ac:dyDescent="0.35"/>
    <row r="3346" ht="15" customHeight="1" x14ac:dyDescent="0.35"/>
    <row r="3347" ht="15" customHeight="1" x14ac:dyDescent="0.35"/>
    <row r="3348" ht="15" customHeight="1" x14ac:dyDescent="0.35"/>
    <row r="3349" ht="15" customHeight="1" x14ac:dyDescent="0.35"/>
    <row r="3350" ht="15" customHeight="1" x14ac:dyDescent="0.35"/>
    <row r="3351" ht="15" customHeight="1" x14ac:dyDescent="0.35"/>
    <row r="3352" ht="15" customHeight="1" x14ac:dyDescent="0.35"/>
    <row r="3353" ht="15" customHeight="1" x14ac:dyDescent="0.35"/>
    <row r="3354" ht="15" customHeight="1" x14ac:dyDescent="0.35"/>
    <row r="3355" ht="15" customHeight="1" x14ac:dyDescent="0.35"/>
    <row r="3356" ht="15" customHeight="1" x14ac:dyDescent="0.35"/>
    <row r="3357" ht="15" customHeight="1" x14ac:dyDescent="0.35"/>
    <row r="3358" ht="15" customHeight="1" x14ac:dyDescent="0.35"/>
    <row r="3359" ht="15" customHeight="1" x14ac:dyDescent="0.35"/>
    <row r="3360" ht="15" customHeight="1" x14ac:dyDescent="0.35"/>
    <row r="3361" ht="15" customHeight="1" x14ac:dyDescent="0.35"/>
    <row r="3362" ht="15" customHeight="1" x14ac:dyDescent="0.35"/>
    <row r="3363" ht="15" customHeight="1" x14ac:dyDescent="0.35"/>
    <row r="3364" ht="15" customHeight="1" x14ac:dyDescent="0.35"/>
    <row r="3365" ht="15" customHeight="1" x14ac:dyDescent="0.35"/>
    <row r="3366" ht="15" customHeight="1" x14ac:dyDescent="0.35"/>
    <row r="3367" ht="15" customHeight="1" x14ac:dyDescent="0.35"/>
    <row r="3368" ht="15" customHeight="1" x14ac:dyDescent="0.35"/>
    <row r="3369" ht="15" customHeight="1" x14ac:dyDescent="0.35"/>
    <row r="3370" ht="15" customHeight="1" x14ac:dyDescent="0.35"/>
    <row r="3371" ht="15" customHeight="1" x14ac:dyDescent="0.35"/>
    <row r="3372" ht="15" customHeight="1" x14ac:dyDescent="0.35"/>
    <row r="3373" ht="15" customHeight="1" x14ac:dyDescent="0.35"/>
    <row r="3374" ht="15" customHeight="1" x14ac:dyDescent="0.35"/>
    <row r="3375" ht="15" customHeight="1" x14ac:dyDescent="0.35"/>
    <row r="3376" ht="15" customHeight="1" x14ac:dyDescent="0.35"/>
    <row r="3377" ht="15" customHeight="1" x14ac:dyDescent="0.35"/>
    <row r="3378" ht="15" customHeight="1" x14ac:dyDescent="0.35"/>
    <row r="3379" ht="15" customHeight="1" x14ac:dyDescent="0.35"/>
    <row r="3380" ht="15" customHeight="1" x14ac:dyDescent="0.35"/>
    <row r="3381" ht="15" customHeight="1" x14ac:dyDescent="0.35"/>
    <row r="3382" ht="15" customHeight="1" x14ac:dyDescent="0.35"/>
    <row r="3383" ht="15" customHeight="1" x14ac:dyDescent="0.35"/>
    <row r="3384" ht="15" customHeight="1" x14ac:dyDescent="0.35"/>
    <row r="3385" ht="15" customHeight="1" x14ac:dyDescent="0.35"/>
    <row r="3386" ht="15" customHeight="1" x14ac:dyDescent="0.35"/>
    <row r="3387" ht="15" customHeight="1" x14ac:dyDescent="0.35"/>
    <row r="3388" ht="15" customHeight="1" x14ac:dyDescent="0.35"/>
    <row r="3389" ht="15" customHeight="1" x14ac:dyDescent="0.35"/>
    <row r="3390" ht="15" customHeight="1" x14ac:dyDescent="0.35"/>
    <row r="3391" ht="15" customHeight="1" x14ac:dyDescent="0.35"/>
    <row r="3392" ht="15" customHeight="1" x14ac:dyDescent="0.35"/>
    <row r="3393" ht="15" customHeight="1" x14ac:dyDescent="0.35"/>
    <row r="3394" ht="15" customHeight="1" x14ac:dyDescent="0.35"/>
    <row r="3395" ht="15" customHeight="1" x14ac:dyDescent="0.35"/>
    <row r="3396" ht="15" customHeight="1" x14ac:dyDescent="0.35"/>
    <row r="3397" ht="15" customHeight="1" x14ac:dyDescent="0.35"/>
    <row r="3398" ht="15" customHeight="1" x14ac:dyDescent="0.35"/>
    <row r="3399" ht="15" customHeight="1" x14ac:dyDescent="0.35"/>
    <row r="3400" ht="15" customHeight="1" x14ac:dyDescent="0.35"/>
    <row r="3401" ht="15" customHeight="1" x14ac:dyDescent="0.35"/>
    <row r="3402" ht="15" customHeight="1" x14ac:dyDescent="0.35"/>
    <row r="3403" ht="15" customHeight="1" x14ac:dyDescent="0.35"/>
    <row r="3404" ht="15" customHeight="1" x14ac:dyDescent="0.35"/>
    <row r="3405" ht="15" customHeight="1" x14ac:dyDescent="0.35"/>
    <row r="3406" ht="15" customHeight="1" x14ac:dyDescent="0.35"/>
    <row r="3407" ht="15" customHeight="1" x14ac:dyDescent="0.35"/>
    <row r="3408" ht="15" customHeight="1" x14ac:dyDescent="0.35"/>
    <row r="3409" ht="15" customHeight="1" x14ac:dyDescent="0.35"/>
    <row r="3410" ht="15" customHeight="1" x14ac:dyDescent="0.35"/>
    <row r="3411" ht="15" customHeight="1" x14ac:dyDescent="0.35"/>
    <row r="3412" ht="15" customHeight="1" x14ac:dyDescent="0.35"/>
    <row r="3413" ht="15" customHeight="1" x14ac:dyDescent="0.35"/>
    <row r="3414" ht="15" customHeight="1" x14ac:dyDescent="0.35"/>
    <row r="3415" ht="15" customHeight="1" x14ac:dyDescent="0.35"/>
    <row r="3416" ht="15" customHeight="1" x14ac:dyDescent="0.35"/>
    <row r="3417" ht="15" customHeight="1" x14ac:dyDescent="0.35"/>
    <row r="3418" ht="15" customHeight="1" x14ac:dyDescent="0.35"/>
    <row r="3419" ht="15" customHeight="1" x14ac:dyDescent="0.35"/>
    <row r="3420" ht="15" customHeight="1" x14ac:dyDescent="0.35"/>
    <row r="3421" ht="15" customHeight="1" x14ac:dyDescent="0.35"/>
    <row r="3422" ht="15" customHeight="1" x14ac:dyDescent="0.35"/>
    <row r="3423" ht="15" customHeight="1" x14ac:dyDescent="0.35"/>
    <row r="3424" ht="15" customHeight="1" x14ac:dyDescent="0.35"/>
    <row r="3425" ht="15" customHeight="1" x14ac:dyDescent="0.35"/>
    <row r="3426" ht="15" customHeight="1" x14ac:dyDescent="0.35"/>
    <row r="3427" ht="15" customHeight="1" x14ac:dyDescent="0.35"/>
    <row r="3428" ht="15" customHeight="1" x14ac:dyDescent="0.35"/>
    <row r="3429" ht="15" customHeight="1" x14ac:dyDescent="0.35"/>
    <row r="3430" ht="15" customHeight="1" x14ac:dyDescent="0.35"/>
    <row r="3431" ht="15" customHeight="1" x14ac:dyDescent="0.35"/>
    <row r="3432" ht="15" customHeight="1" x14ac:dyDescent="0.35"/>
    <row r="3433" ht="15" customHeight="1" x14ac:dyDescent="0.35"/>
    <row r="3434" ht="15" customHeight="1" x14ac:dyDescent="0.35"/>
    <row r="3435" ht="15" customHeight="1" x14ac:dyDescent="0.35"/>
    <row r="3436" ht="15" customHeight="1" x14ac:dyDescent="0.35"/>
    <row r="3437" ht="15" customHeight="1" x14ac:dyDescent="0.35"/>
    <row r="3438" ht="15" customHeight="1" x14ac:dyDescent="0.35"/>
    <row r="3439" ht="15" customHeight="1" x14ac:dyDescent="0.35"/>
    <row r="3440" ht="15" customHeight="1" x14ac:dyDescent="0.35"/>
    <row r="3441" ht="15" customHeight="1" x14ac:dyDescent="0.35"/>
    <row r="3442" ht="15" customHeight="1" x14ac:dyDescent="0.35"/>
    <row r="3443" ht="15" customHeight="1" x14ac:dyDescent="0.35"/>
    <row r="3444" ht="15" customHeight="1" x14ac:dyDescent="0.35"/>
    <row r="3445" ht="15" customHeight="1" x14ac:dyDescent="0.35"/>
    <row r="3446" ht="15" customHeight="1" x14ac:dyDescent="0.35"/>
    <row r="3447" ht="15" customHeight="1" x14ac:dyDescent="0.35"/>
    <row r="3448" ht="15" customHeight="1" x14ac:dyDescent="0.35"/>
    <row r="3449" ht="15" customHeight="1" x14ac:dyDescent="0.35"/>
    <row r="3450" ht="15" customHeight="1" x14ac:dyDescent="0.35"/>
    <row r="3451" ht="15" customHeight="1" x14ac:dyDescent="0.35"/>
    <row r="3452" ht="15" customHeight="1" x14ac:dyDescent="0.35"/>
    <row r="3453" ht="15" customHeight="1" x14ac:dyDescent="0.35"/>
    <row r="3454" ht="15" customHeight="1" x14ac:dyDescent="0.35"/>
    <row r="3455" ht="15" customHeight="1" x14ac:dyDescent="0.35"/>
    <row r="3456" ht="15" customHeight="1" x14ac:dyDescent="0.35"/>
    <row r="3457" ht="15" customHeight="1" x14ac:dyDescent="0.35"/>
    <row r="3458" ht="15" customHeight="1" x14ac:dyDescent="0.35"/>
    <row r="3459" ht="15" customHeight="1" x14ac:dyDescent="0.35"/>
    <row r="3460" ht="15" customHeight="1" x14ac:dyDescent="0.35"/>
    <row r="3461" ht="15" customHeight="1" x14ac:dyDescent="0.35"/>
    <row r="3462" ht="15" customHeight="1" x14ac:dyDescent="0.35"/>
    <row r="3463" ht="15" customHeight="1" x14ac:dyDescent="0.35"/>
    <row r="3464" ht="15" customHeight="1" x14ac:dyDescent="0.35"/>
    <row r="3465" ht="15" customHeight="1" x14ac:dyDescent="0.35"/>
    <row r="3466" ht="15" customHeight="1" x14ac:dyDescent="0.35"/>
    <row r="3467" ht="15" customHeight="1" x14ac:dyDescent="0.35"/>
    <row r="3468" ht="15" customHeight="1" x14ac:dyDescent="0.35"/>
    <row r="3469" ht="15" customHeight="1" x14ac:dyDescent="0.35"/>
    <row r="3470" ht="15" customHeight="1" x14ac:dyDescent="0.35"/>
    <row r="3471" ht="15" customHeight="1" x14ac:dyDescent="0.35"/>
    <row r="3472" ht="15" customHeight="1" x14ac:dyDescent="0.35"/>
    <row r="3473" ht="15" customHeight="1" x14ac:dyDescent="0.35"/>
    <row r="3474" ht="15" customHeight="1" x14ac:dyDescent="0.35"/>
    <row r="3475" ht="15" customHeight="1" x14ac:dyDescent="0.35"/>
    <row r="3476" ht="15" customHeight="1" x14ac:dyDescent="0.35"/>
    <row r="3477" ht="15" customHeight="1" x14ac:dyDescent="0.35"/>
    <row r="3478" ht="15" customHeight="1" x14ac:dyDescent="0.35"/>
    <row r="3479" ht="15" customHeight="1" x14ac:dyDescent="0.35"/>
    <row r="3480" ht="15" customHeight="1" x14ac:dyDescent="0.35"/>
    <row r="3481" ht="15" customHeight="1" x14ac:dyDescent="0.35"/>
    <row r="3482" ht="15" customHeight="1" x14ac:dyDescent="0.35"/>
    <row r="3483" ht="15" customHeight="1" x14ac:dyDescent="0.35"/>
    <row r="3484" ht="15" customHeight="1" x14ac:dyDescent="0.35"/>
    <row r="3485" ht="15" customHeight="1" x14ac:dyDescent="0.35"/>
    <row r="3486" ht="15" customHeight="1" x14ac:dyDescent="0.35"/>
    <row r="3487" ht="15" customHeight="1" x14ac:dyDescent="0.35"/>
    <row r="3488" ht="15" customHeight="1" x14ac:dyDescent="0.35"/>
    <row r="3489" ht="15" customHeight="1" x14ac:dyDescent="0.35"/>
    <row r="3490" ht="15" customHeight="1" x14ac:dyDescent="0.35"/>
    <row r="3491" ht="15" customHeight="1" x14ac:dyDescent="0.35"/>
    <row r="3492" ht="15" customHeight="1" x14ac:dyDescent="0.35"/>
    <row r="3493" ht="15" customHeight="1" x14ac:dyDescent="0.35"/>
    <row r="3494" ht="15" customHeight="1" x14ac:dyDescent="0.35"/>
    <row r="3495" ht="15" customHeight="1" x14ac:dyDescent="0.35"/>
    <row r="3496" ht="15" customHeight="1" x14ac:dyDescent="0.35"/>
    <row r="3497" ht="15" customHeight="1" x14ac:dyDescent="0.35"/>
    <row r="3498" ht="15" customHeight="1" x14ac:dyDescent="0.35"/>
    <row r="3499" ht="15" customHeight="1" x14ac:dyDescent="0.35"/>
    <row r="3500" ht="15" customHeight="1" x14ac:dyDescent="0.35"/>
    <row r="3501" ht="15" customHeight="1" x14ac:dyDescent="0.35"/>
    <row r="3502" ht="15" customHeight="1" x14ac:dyDescent="0.35"/>
    <row r="3503" ht="15" customHeight="1" x14ac:dyDescent="0.35"/>
    <row r="3504" ht="15" customHeight="1" x14ac:dyDescent="0.35"/>
    <row r="3505" ht="15" customHeight="1" x14ac:dyDescent="0.35"/>
    <row r="3506" ht="15" customHeight="1" x14ac:dyDescent="0.35"/>
    <row r="3507" ht="15" customHeight="1" x14ac:dyDescent="0.35"/>
    <row r="3508" ht="15" customHeight="1" x14ac:dyDescent="0.35"/>
    <row r="3509" ht="15" customHeight="1" x14ac:dyDescent="0.35"/>
    <row r="3510" ht="15" customHeight="1" x14ac:dyDescent="0.35"/>
    <row r="3511" ht="15" customHeight="1" x14ac:dyDescent="0.35"/>
    <row r="3512" ht="15" customHeight="1" x14ac:dyDescent="0.35"/>
    <row r="3513" ht="15" customHeight="1" x14ac:dyDescent="0.35"/>
    <row r="3514" ht="15" customHeight="1" x14ac:dyDescent="0.35"/>
    <row r="3515" ht="15" customHeight="1" x14ac:dyDescent="0.35"/>
    <row r="3516" ht="15" customHeight="1" x14ac:dyDescent="0.35"/>
    <row r="3517" ht="15" customHeight="1" x14ac:dyDescent="0.35"/>
    <row r="3518" ht="15" customHeight="1" x14ac:dyDescent="0.35"/>
    <row r="3519" ht="15" customHeight="1" x14ac:dyDescent="0.35"/>
    <row r="3520" ht="15" customHeight="1" x14ac:dyDescent="0.35"/>
    <row r="3521" ht="15" customHeight="1" x14ac:dyDescent="0.35"/>
    <row r="3522" ht="15" customHeight="1" x14ac:dyDescent="0.35"/>
    <row r="3523" ht="15" customHeight="1" x14ac:dyDescent="0.35"/>
    <row r="3524" ht="15" customHeight="1" x14ac:dyDescent="0.35"/>
    <row r="3525" ht="15" customHeight="1" x14ac:dyDescent="0.35"/>
    <row r="3526" ht="15" customHeight="1" x14ac:dyDescent="0.35"/>
    <row r="3527" ht="15" customHeight="1" x14ac:dyDescent="0.35"/>
    <row r="3528" ht="15" customHeight="1" x14ac:dyDescent="0.35"/>
    <row r="3529" ht="15" customHeight="1" x14ac:dyDescent="0.35"/>
    <row r="3530" ht="15" customHeight="1" x14ac:dyDescent="0.35"/>
    <row r="3531" ht="15" customHeight="1" x14ac:dyDescent="0.35"/>
    <row r="3532" ht="15" customHeight="1" x14ac:dyDescent="0.35"/>
    <row r="3533" ht="15" customHeight="1" x14ac:dyDescent="0.35"/>
    <row r="3534" ht="15" customHeight="1" x14ac:dyDescent="0.35"/>
    <row r="3535" ht="15" customHeight="1" x14ac:dyDescent="0.35"/>
    <row r="3536" ht="15" customHeight="1" x14ac:dyDescent="0.35"/>
    <row r="3537" ht="15" customHeight="1" x14ac:dyDescent="0.35"/>
    <row r="3538" ht="15" customHeight="1" x14ac:dyDescent="0.35"/>
    <row r="3539" ht="15" customHeight="1" x14ac:dyDescent="0.35"/>
    <row r="3540" ht="15" customHeight="1" x14ac:dyDescent="0.35"/>
    <row r="3541" ht="15" customHeight="1" x14ac:dyDescent="0.35"/>
    <row r="3542" ht="15" customHeight="1" x14ac:dyDescent="0.35"/>
    <row r="3543" ht="15" customHeight="1" x14ac:dyDescent="0.35"/>
    <row r="3544" ht="15" customHeight="1" x14ac:dyDescent="0.35"/>
    <row r="3545" ht="15" customHeight="1" x14ac:dyDescent="0.35"/>
    <row r="3546" ht="15" customHeight="1" x14ac:dyDescent="0.35"/>
    <row r="3547" ht="15" customHeight="1" x14ac:dyDescent="0.35"/>
    <row r="3548" ht="15" customHeight="1" x14ac:dyDescent="0.35"/>
    <row r="3549" ht="15" customHeight="1" x14ac:dyDescent="0.35"/>
    <row r="3550" ht="15" customHeight="1" x14ac:dyDescent="0.35"/>
    <row r="3551" ht="15" customHeight="1" x14ac:dyDescent="0.35"/>
    <row r="3552" ht="15" customHeight="1" x14ac:dyDescent="0.35"/>
    <row r="3553" ht="15" customHeight="1" x14ac:dyDescent="0.35"/>
    <row r="3554" ht="15" customHeight="1" x14ac:dyDescent="0.35"/>
    <row r="3555" ht="15" customHeight="1" x14ac:dyDescent="0.35"/>
    <row r="3556" ht="15" customHeight="1" x14ac:dyDescent="0.35"/>
    <row r="3557" ht="15" customHeight="1" x14ac:dyDescent="0.35"/>
    <row r="3558" ht="15" customHeight="1" x14ac:dyDescent="0.35"/>
    <row r="3559" ht="15" customHeight="1" x14ac:dyDescent="0.35"/>
    <row r="3560" ht="15" customHeight="1" x14ac:dyDescent="0.35"/>
    <row r="3561" ht="15" customHeight="1" x14ac:dyDescent="0.35"/>
    <row r="3562" ht="15" customHeight="1" x14ac:dyDescent="0.35"/>
    <row r="3563" ht="15" customHeight="1" x14ac:dyDescent="0.35"/>
    <row r="3564" ht="15" customHeight="1" x14ac:dyDescent="0.35"/>
    <row r="3565" ht="15" customHeight="1" x14ac:dyDescent="0.35"/>
    <row r="3566" ht="15" customHeight="1" x14ac:dyDescent="0.35"/>
    <row r="3567" ht="15" customHeight="1" x14ac:dyDescent="0.35"/>
    <row r="3568" ht="15" customHeight="1" x14ac:dyDescent="0.35"/>
    <row r="3569" ht="15" customHeight="1" x14ac:dyDescent="0.35"/>
    <row r="3570" ht="15" customHeight="1" x14ac:dyDescent="0.35"/>
    <row r="3571" ht="15" customHeight="1" x14ac:dyDescent="0.35"/>
    <row r="3572" ht="15" customHeight="1" x14ac:dyDescent="0.35"/>
    <row r="3573" ht="15" customHeight="1" x14ac:dyDescent="0.35"/>
    <row r="3574" ht="15" customHeight="1" x14ac:dyDescent="0.35"/>
    <row r="3575" ht="15" customHeight="1" x14ac:dyDescent="0.35"/>
    <row r="3576" ht="15" customHeight="1" x14ac:dyDescent="0.35"/>
    <row r="3577" ht="15" customHeight="1" x14ac:dyDescent="0.35"/>
    <row r="3578" ht="15" customHeight="1" x14ac:dyDescent="0.35"/>
    <row r="3579" ht="15" customHeight="1" x14ac:dyDescent="0.35"/>
    <row r="3580" ht="15" customHeight="1" x14ac:dyDescent="0.35"/>
    <row r="3581" ht="15" customHeight="1" x14ac:dyDescent="0.35"/>
    <row r="3582" ht="15" customHeight="1" x14ac:dyDescent="0.35"/>
    <row r="3583" ht="15" customHeight="1" x14ac:dyDescent="0.35"/>
    <row r="3584" ht="15" customHeight="1" x14ac:dyDescent="0.35"/>
    <row r="3585" ht="15" customHeight="1" x14ac:dyDescent="0.35"/>
    <row r="3586" ht="15" customHeight="1" x14ac:dyDescent="0.35"/>
    <row r="3587" ht="15" customHeight="1" x14ac:dyDescent="0.35"/>
    <row r="3588" ht="15" customHeight="1" x14ac:dyDescent="0.35"/>
    <row r="3589" ht="15" customHeight="1" x14ac:dyDescent="0.35"/>
    <row r="3590" ht="15" customHeight="1" x14ac:dyDescent="0.35"/>
    <row r="3591" ht="15" customHeight="1" x14ac:dyDescent="0.35"/>
    <row r="3592" ht="15" customHeight="1" x14ac:dyDescent="0.35"/>
    <row r="3593" ht="15" customHeight="1" x14ac:dyDescent="0.35"/>
    <row r="3594" ht="15" customHeight="1" x14ac:dyDescent="0.35"/>
    <row r="3595" ht="15" customHeight="1" x14ac:dyDescent="0.35"/>
    <row r="3596" ht="15" customHeight="1" x14ac:dyDescent="0.35"/>
    <row r="3597" ht="15" customHeight="1" x14ac:dyDescent="0.35"/>
    <row r="3598" ht="15" customHeight="1" x14ac:dyDescent="0.35"/>
    <row r="3599" ht="15" customHeight="1" x14ac:dyDescent="0.35"/>
    <row r="3600" ht="15" customHeight="1" x14ac:dyDescent="0.35"/>
    <row r="3601" ht="15" customHeight="1" x14ac:dyDescent="0.35"/>
    <row r="3602" ht="15" customHeight="1" x14ac:dyDescent="0.35"/>
    <row r="3603" ht="15" customHeight="1" x14ac:dyDescent="0.35"/>
    <row r="3604" ht="15" customHeight="1" x14ac:dyDescent="0.35"/>
    <row r="3605" ht="15" customHeight="1" x14ac:dyDescent="0.35"/>
    <row r="3606" ht="15" customHeight="1" x14ac:dyDescent="0.35"/>
    <row r="3607" ht="15" customHeight="1" x14ac:dyDescent="0.35"/>
    <row r="3608" ht="15" customHeight="1" x14ac:dyDescent="0.35"/>
    <row r="3609" ht="15" customHeight="1" x14ac:dyDescent="0.35"/>
    <row r="3610" ht="15" customHeight="1" x14ac:dyDescent="0.35"/>
    <row r="3611" ht="15" customHeight="1" x14ac:dyDescent="0.35"/>
    <row r="3612" ht="15" customHeight="1" x14ac:dyDescent="0.35"/>
    <row r="3613" ht="15" customHeight="1" x14ac:dyDescent="0.35"/>
    <row r="3614" ht="15" customHeight="1" x14ac:dyDescent="0.35"/>
    <row r="3615" ht="15" customHeight="1" x14ac:dyDescent="0.35"/>
    <row r="3616" ht="15" customHeight="1" x14ac:dyDescent="0.35"/>
    <row r="3617" ht="15" customHeight="1" x14ac:dyDescent="0.35"/>
    <row r="3618" ht="15" customHeight="1" x14ac:dyDescent="0.35"/>
    <row r="3619" ht="15" customHeight="1" x14ac:dyDescent="0.35"/>
    <row r="3620" ht="15" customHeight="1" x14ac:dyDescent="0.35"/>
    <row r="3621" ht="15" customHeight="1" x14ac:dyDescent="0.35"/>
    <row r="3622" ht="15" customHeight="1" x14ac:dyDescent="0.35"/>
    <row r="3623" ht="15" customHeight="1" x14ac:dyDescent="0.35"/>
    <row r="3624" ht="15" customHeight="1" x14ac:dyDescent="0.35"/>
    <row r="3625" ht="15" customHeight="1" x14ac:dyDescent="0.35"/>
    <row r="3626" ht="15" customHeight="1" x14ac:dyDescent="0.35"/>
    <row r="3627" ht="15" customHeight="1" x14ac:dyDescent="0.35"/>
    <row r="3628" ht="15" customHeight="1" x14ac:dyDescent="0.35"/>
    <row r="3629" ht="15" customHeight="1" x14ac:dyDescent="0.35"/>
    <row r="3630" ht="15" customHeight="1" x14ac:dyDescent="0.35"/>
    <row r="3631" ht="15" customHeight="1" x14ac:dyDescent="0.35"/>
    <row r="3632" ht="15" customHeight="1" x14ac:dyDescent="0.35"/>
    <row r="3633" ht="15" customHeight="1" x14ac:dyDescent="0.35"/>
    <row r="3634" ht="15" customHeight="1" x14ac:dyDescent="0.35"/>
    <row r="3635" ht="15" customHeight="1" x14ac:dyDescent="0.35"/>
    <row r="3636" ht="15" customHeight="1" x14ac:dyDescent="0.35"/>
    <row r="3637" ht="15" customHeight="1" x14ac:dyDescent="0.35"/>
    <row r="3638" ht="15" customHeight="1" x14ac:dyDescent="0.35"/>
    <row r="3639" ht="15" customHeight="1" x14ac:dyDescent="0.35"/>
    <row r="3640" ht="15" customHeight="1" x14ac:dyDescent="0.35"/>
    <row r="3641" ht="15" customHeight="1" x14ac:dyDescent="0.35"/>
    <row r="3642" ht="15" customHeight="1" x14ac:dyDescent="0.35"/>
    <row r="3643" ht="15" customHeight="1" x14ac:dyDescent="0.35"/>
    <row r="3644" ht="15" customHeight="1" x14ac:dyDescent="0.35"/>
    <row r="3645" ht="15" customHeight="1" x14ac:dyDescent="0.35"/>
    <row r="3646" ht="15" customHeight="1" x14ac:dyDescent="0.35"/>
    <row r="3647" ht="15" customHeight="1" x14ac:dyDescent="0.35"/>
    <row r="3648" ht="15" customHeight="1" x14ac:dyDescent="0.35"/>
    <row r="3649" ht="15" customHeight="1" x14ac:dyDescent="0.35"/>
    <row r="3650" ht="15" customHeight="1" x14ac:dyDescent="0.35"/>
    <row r="3651" ht="15" customHeight="1" x14ac:dyDescent="0.35"/>
    <row r="3652" ht="15" customHeight="1" x14ac:dyDescent="0.35"/>
    <row r="3653" ht="15" customHeight="1" x14ac:dyDescent="0.35"/>
    <row r="3654" ht="15" customHeight="1" x14ac:dyDescent="0.35"/>
    <row r="3655" ht="15" customHeight="1" x14ac:dyDescent="0.35"/>
    <row r="3656" ht="15" customHeight="1" x14ac:dyDescent="0.35"/>
    <row r="3657" ht="15" customHeight="1" x14ac:dyDescent="0.35"/>
    <row r="3658" ht="15" customHeight="1" x14ac:dyDescent="0.35"/>
    <row r="3659" ht="15" customHeight="1" x14ac:dyDescent="0.35"/>
    <row r="3660" ht="15" customHeight="1" x14ac:dyDescent="0.35"/>
    <row r="3661" ht="15" customHeight="1" x14ac:dyDescent="0.35"/>
    <row r="3662" ht="15" customHeight="1" x14ac:dyDescent="0.35"/>
    <row r="3663" ht="15" customHeight="1" x14ac:dyDescent="0.35"/>
    <row r="3664" ht="15" customHeight="1" x14ac:dyDescent="0.35"/>
    <row r="3665" ht="15" customHeight="1" x14ac:dyDescent="0.35"/>
    <row r="3666" ht="15" customHeight="1" x14ac:dyDescent="0.35"/>
    <row r="3667" ht="15" customHeight="1" x14ac:dyDescent="0.35"/>
    <row r="3668" ht="15" customHeight="1" x14ac:dyDescent="0.35"/>
    <row r="3669" ht="15" customHeight="1" x14ac:dyDescent="0.35"/>
    <row r="3670" ht="15" customHeight="1" x14ac:dyDescent="0.35"/>
    <row r="3671" ht="15" customHeight="1" x14ac:dyDescent="0.35"/>
    <row r="3672" ht="15" customHeight="1" x14ac:dyDescent="0.35"/>
    <row r="3673" ht="15" customHeight="1" x14ac:dyDescent="0.35"/>
    <row r="3674" ht="15" customHeight="1" x14ac:dyDescent="0.35"/>
    <row r="3675" ht="15" customHeight="1" x14ac:dyDescent="0.35"/>
    <row r="3676" ht="15" customHeight="1" x14ac:dyDescent="0.35"/>
    <row r="3677" ht="15" customHeight="1" x14ac:dyDescent="0.35"/>
    <row r="3678" ht="15" customHeight="1" x14ac:dyDescent="0.35"/>
    <row r="3679" ht="15" customHeight="1" x14ac:dyDescent="0.35"/>
    <row r="3680" ht="15" customHeight="1" x14ac:dyDescent="0.35"/>
    <row r="3681" ht="15" customHeight="1" x14ac:dyDescent="0.35"/>
    <row r="3682" ht="15" customHeight="1" x14ac:dyDescent="0.35"/>
    <row r="3683" ht="15" customHeight="1" x14ac:dyDescent="0.35"/>
    <row r="3684" ht="15" customHeight="1" x14ac:dyDescent="0.35"/>
    <row r="3685" ht="15" customHeight="1" x14ac:dyDescent="0.35"/>
    <row r="3686" ht="15" customHeight="1" x14ac:dyDescent="0.35"/>
    <row r="3687" ht="15" customHeight="1" x14ac:dyDescent="0.35"/>
    <row r="3688" ht="15" customHeight="1" x14ac:dyDescent="0.35"/>
    <row r="3689" ht="15" customHeight="1" x14ac:dyDescent="0.35"/>
    <row r="3690" ht="15" customHeight="1" x14ac:dyDescent="0.35"/>
    <row r="3691" ht="15" customHeight="1" x14ac:dyDescent="0.35"/>
    <row r="3692" ht="15" customHeight="1" x14ac:dyDescent="0.35"/>
    <row r="3693" ht="15" customHeight="1" x14ac:dyDescent="0.35"/>
    <row r="3694" ht="15" customHeight="1" x14ac:dyDescent="0.35"/>
    <row r="3695" ht="15" customHeight="1" x14ac:dyDescent="0.35"/>
    <row r="3696" ht="15" customHeight="1" x14ac:dyDescent="0.35"/>
    <row r="3697" ht="15" customHeight="1" x14ac:dyDescent="0.35"/>
    <row r="3698" ht="15" customHeight="1" x14ac:dyDescent="0.35"/>
    <row r="3699" ht="15" customHeight="1" x14ac:dyDescent="0.35"/>
    <row r="3700" ht="15" customHeight="1" x14ac:dyDescent="0.35"/>
    <row r="3701" ht="15" customHeight="1" x14ac:dyDescent="0.35"/>
    <row r="3702" ht="15" customHeight="1" x14ac:dyDescent="0.35"/>
    <row r="3703" ht="15" customHeight="1" x14ac:dyDescent="0.35"/>
    <row r="3704" ht="15" customHeight="1" x14ac:dyDescent="0.35"/>
    <row r="3705" ht="15" customHeight="1" x14ac:dyDescent="0.35"/>
    <row r="3706" ht="15" customHeight="1" x14ac:dyDescent="0.35"/>
    <row r="3707" ht="15" customHeight="1" x14ac:dyDescent="0.35"/>
    <row r="3708" ht="15" customHeight="1" x14ac:dyDescent="0.35"/>
    <row r="3709" ht="15" customHeight="1" x14ac:dyDescent="0.35"/>
    <row r="3710" ht="15" customHeight="1" x14ac:dyDescent="0.35"/>
    <row r="3711" ht="15" customHeight="1" x14ac:dyDescent="0.35"/>
    <row r="3712" ht="15" customHeight="1" x14ac:dyDescent="0.35"/>
    <row r="3713" ht="15" customHeight="1" x14ac:dyDescent="0.35"/>
    <row r="3714" ht="15" customHeight="1" x14ac:dyDescent="0.35"/>
    <row r="3715" ht="15" customHeight="1" x14ac:dyDescent="0.35"/>
    <row r="3716" ht="15" customHeight="1" x14ac:dyDescent="0.35"/>
    <row r="3717" ht="15" customHeight="1" x14ac:dyDescent="0.35"/>
    <row r="3718" ht="15" customHeight="1" x14ac:dyDescent="0.35"/>
    <row r="3719" ht="15" customHeight="1" x14ac:dyDescent="0.35"/>
    <row r="3720" ht="15" customHeight="1" x14ac:dyDescent="0.35"/>
    <row r="3721" ht="15" customHeight="1" x14ac:dyDescent="0.35"/>
    <row r="3722" ht="15" customHeight="1" x14ac:dyDescent="0.35"/>
    <row r="3723" ht="15" customHeight="1" x14ac:dyDescent="0.35"/>
    <row r="3724" ht="15" customHeight="1" x14ac:dyDescent="0.35"/>
    <row r="3725" ht="15" customHeight="1" x14ac:dyDescent="0.35"/>
    <row r="3726" ht="15" customHeight="1" x14ac:dyDescent="0.35"/>
    <row r="3727" ht="15" customHeight="1" x14ac:dyDescent="0.35"/>
    <row r="3728" ht="15" customHeight="1" x14ac:dyDescent="0.35"/>
    <row r="3729" ht="15" customHeight="1" x14ac:dyDescent="0.35"/>
    <row r="3730" ht="15" customHeight="1" x14ac:dyDescent="0.35"/>
    <row r="3731" ht="15" customHeight="1" x14ac:dyDescent="0.35"/>
    <row r="3732" ht="15" customHeight="1" x14ac:dyDescent="0.35"/>
    <row r="3733" ht="15" customHeight="1" x14ac:dyDescent="0.35"/>
    <row r="3734" ht="15" customHeight="1" x14ac:dyDescent="0.35"/>
    <row r="3735" ht="15" customHeight="1" x14ac:dyDescent="0.35"/>
    <row r="3736" ht="15" customHeight="1" x14ac:dyDescent="0.35"/>
    <row r="3737" ht="15" customHeight="1" x14ac:dyDescent="0.35"/>
    <row r="3738" ht="15" customHeight="1" x14ac:dyDescent="0.35"/>
    <row r="3739" ht="15" customHeight="1" x14ac:dyDescent="0.35"/>
    <row r="3740" ht="15" customHeight="1" x14ac:dyDescent="0.35"/>
    <row r="3741" ht="15" customHeight="1" x14ac:dyDescent="0.35"/>
    <row r="3742" ht="15" customHeight="1" x14ac:dyDescent="0.35"/>
    <row r="3743" ht="15" customHeight="1" x14ac:dyDescent="0.35"/>
    <row r="3744" ht="15" customHeight="1" x14ac:dyDescent="0.35"/>
    <row r="3745" ht="15" customHeight="1" x14ac:dyDescent="0.35"/>
    <row r="3746" ht="15" customHeight="1" x14ac:dyDescent="0.35"/>
    <row r="3747" ht="15" customHeight="1" x14ac:dyDescent="0.35"/>
    <row r="3748" ht="15" customHeight="1" x14ac:dyDescent="0.35"/>
    <row r="3749" ht="15" customHeight="1" x14ac:dyDescent="0.35"/>
    <row r="3750" ht="15" customHeight="1" x14ac:dyDescent="0.35"/>
    <row r="3751" ht="15" customHeight="1" x14ac:dyDescent="0.35"/>
    <row r="3752" ht="15" customHeight="1" x14ac:dyDescent="0.35"/>
    <row r="3753" ht="15" customHeight="1" x14ac:dyDescent="0.35"/>
    <row r="3754" ht="15" customHeight="1" x14ac:dyDescent="0.35"/>
    <row r="3755" ht="15" customHeight="1" x14ac:dyDescent="0.35"/>
    <row r="3756" ht="15" customHeight="1" x14ac:dyDescent="0.35"/>
    <row r="3757" ht="15" customHeight="1" x14ac:dyDescent="0.35"/>
    <row r="3758" ht="15" customHeight="1" x14ac:dyDescent="0.35"/>
    <row r="3759" ht="15" customHeight="1" x14ac:dyDescent="0.35"/>
    <row r="3760" ht="15" customHeight="1" x14ac:dyDescent="0.35"/>
    <row r="3761" ht="15" customHeight="1" x14ac:dyDescent="0.35"/>
    <row r="3762" ht="15" customHeight="1" x14ac:dyDescent="0.35"/>
    <row r="3763" ht="15" customHeight="1" x14ac:dyDescent="0.35"/>
    <row r="3764" ht="15" customHeight="1" x14ac:dyDescent="0.35"/>
    <row r="3765" ht="15" customHeight="1" x14ac:dyDescent="0.35"/>
    <row r="3766" ht="15" customHeight="1" x14ac:dyDescent="0.35"/>
    <row r="3767" ht="15" customHeight="1" x14ac:dyDescent="0.35"/>
    <row r="3768" ht="15" customHeight="1" x14ac:dyDescent="0.35"/>
    <row r="3769" ht="15" customHeight="1" x14ac:dyDescent="0.35"/>
    <row r="3770" ht="15" customHeight="1" x14ac:dyDescent="0.35"/>
    <row r="3771" ht="15" customHeight="1" x14ac:dyDescent="0.35"/>
    <row r="3772" ht="15" customHeight="1" x14ac:dyDescent="0.35"/>
    <row r="3773" ht="15" customHeight="1" x14ac:dyDescent="0.35"/>
    <row r="3774" ht="15" customHeight="1" x14ac:dyDescent="0.35"/>
    <row r="3775" ht="15" customHeight="1" x14ac:dyDescent="0.35"/>
    <row r="3776" ht="15" customHeight="1" x14ac:dyDescent="0.35"/>
    <row r="3777" ht="15" customHeight="1" x14ac:dyDescent="0.35"/>
    <row r="3778" ht="15" customHeight="1" x14ac:dyDescent="0.35"/>
    <row r="3779" ht="15" customHeight="1" x14ac:dyDescent="0.35"/>
    <row r="3780" ht="15" customHeight="1" x14ac:dyDescent="0.35"/>
    <row r="3781" ht="15" customHeight="1" x14ac:dyDescent="0.35"/>
    <row r="3782" ht="15" customHeight="1" x14ac:dyDescent="0.35"/>
    <row r="3783" ht="15" customHeight="1" x14ac:dyDescent="0.35"/>
    <row r="3784" ht="15" customHeight="1" x14ac:dyDescent="0.35"/>
    <row r="3785" ht="15" customHeight="1" x14ac:dyDescent="0.35"/>
    <row r="3786" ht="15" customHeight="1" x14ac:dyDescent="0.35"/>
    <row r="3787" ht="15" customHeight="1" x14ac:dyDescent="0.35"/>
    <row r="3788" ht="15" customHeight="1" x14ac:dyDescent="0.35"/>
    <row r="3789" ht="15" customHeight="1" x14ac:dyDescent="0.35"/>
    <row r="3790" ht="15" customHeight="1" x14ac:dyDescent="0.35"/>
    <row r="3791" ht="15" customHeight="1" x14ac:dyDescent="0.35"/>
    <row r="3792" ht="15" customHeight="1" x14ac:dyDescent="0.35"/>
    <row r="3793" ht="15" customHeight="1" x14ac:dyDescent="0.35"/>
    <row r="3794" ht="15" customHeight="1" x14ac:dyDescent="0.35"/>
    <row r="3795" ht="15" customHeight="1" x14ac:dyDescent="0.35"/>
    <row r="3796" ht="15" customHeight="1" x14ac:dyDescent="0.35"/>
    <row r="3797" ht="15" customHeight="1" x14ac:dyDescent="0.35"/>
    <row r="3798" ht="15" customHeight="1" x14ac:dyDescent="0.35"/>
    <row r="3799" ht="15" customHeight="1" x14ac:dyDescent="0.35"/>
    <row r="3800" ht="15" customHeight="1" x14ac:dyDescent="0.35"/>
    <row r="3801" ht="15" customHeight="1" x14ac:dyDescent="0.35"/>
    <row r="3802" ht="15" customHeight="1" x14ac:dyDescent="0.35"/>
    <row r="3803" ht="15" customHeight="1" x14ac:dyDescent="0.35"/>
    <row r="3804" ht="15" customHeight="1" x14ac:dyDescent="0.35"/>
    <row r="3805" ht="15" customHeight="1" x14ac:dyDescent="0.35"/>
    <row r="3806" ht="15" customHeight="1" x14ac:dyDescent="0.35"/>
    <row r="3807" ht="15" customHeight="1" x14ac:dyDescent="0.35"/>
    <row r="3808" ht="15" customHeight="1" x14ac:dyDescent="0.35"/>
    <row r="3809" ht="15" customHeight="1" x14ac:dyDescent="0.35"/>
    <row r="3810" ht="15" customHeight="1" x14ac:dyDescent="0.35"/>
    <row r="3811" ht="15" customHeight="1" x14ac:dyDescent="0.35"/>
    <row r="3812" ht="15" customHeight="1" x14ac:dyDescent="0.35"/>
    <row r="3813" ht="15" customHeight="1" x14ac:dyDescent="0.35"/>
    <row r="3814" ht="15" customHeight="1" x14ac:dyDescent="0.35"/>
    <row r="3815" ht="15" customHeight="1" x14ac:dyDescent="0.35"/>
    <row r="3816" ht="15" customHeight="1" x14ac:dyDescent="0.35"/>
    <row r="3817" ht="15" customHeight="1" x14ac:dyDescent="0.35"/>
    <row r="3818" ht="15" customHeight="1" x14ac:dyDescent="0.35"/>
    <row r="3819" ht="15" customHeight="1" x14ac:dyDescent="0.35"/>
    <row r="3820" ht="15" customHeight="1" x14ac:dyDescent="0.35"/>
    <row r="3821" ht="15" customHeight="1" x14ac:dyDescent="0.35"/>
    <row r="3822" ht="15" customHeight="1" x14ac:dyDescent="0.35"/>
    <row r="3823" ht="15" customHeight="1" x14ac:dyDescent="0.35"/>
    <row r="3824" ht="15" customHeight="1" x14ac:dyDescent="0.35"/>
    <row r="3825" ht="15" customHeight="1" x14ac:dyDescent="0.35"/>
    <row r="3826" ht="15" customHeight="1" x14ac:dyDescent="0.35"/>
    <row r="3827" ht="15" customHeight="1" x14ac:dyDescent="0.35"/>
    <row r="3828" ht="15" customHeight="1" x14ac:dyDescent="0.35"/>
    <row r="3829" ht="15" customHeight="1" x14ac:dyDescent="0.35"/>
    <row r="3830" ht="15" customHeight="1" x14ac:dyDescent="0.35"/>
    <row r="3831" ht="15" customHeight="1" x14ac:dyDescent="0.35"/>
    <row r="3832" ht="15" customHeight="1" x14ac:dyDescent="0.35"/>
    <row r="3833" ht="15" customHeight="1" x14ac:dyDescent="0.35"/>
    <row r="3834" ht="15" customHeight="1" x14ac:dyDescent="0.35"/>
    <row r="3835" ht="15" customHeight="1" x14ac:dyDescent="0.35"/>
    <row r="3836" ht="15" customHeight="1" x14ac:dyDescent="0.35"/>
    <row r="3837" ht="15" customHeight="1" x14ac:dyDescent="0.35"/>
    <row r="3838" ht="15" customHeight="1" x14ac:dyDescent="0.35"/>
    <row r="3839" ht="15" customHeight="1" x14ac:dyDescent="0.35"/>
    <row r="3840" ht="15" customHeight="1" x14ac:dyDescent="0.35"/>
    <row r="3841" ht="15" customHeight="1" x14ac:dyDescent="0.35"/>
    <row r="3842" ht="15" customHeight="1" x14ac:dyDescent="0.35"/>
    <row r="3843" ht="15" customHeight="1" x14ac:dyDescent="0.35"/>
    <row r="3844" ht="15" customHeight="1" x14ac:dyDescent="0.35"/>
    <row r="3845" ht="15" customHeight="1" x14ac:dyDescent="0.35"/>
    <row r="3846" ht="15" customHeight="1" x14ac:dyDescent="0.35"/>
    <row r="3847" ht="15" customHeight="1" x14ac:dyDescent="0.35"/>
    <row r="3848" ht="15" customHeight="1" x14ac:dyDescent="0.35"/>
    <row r="3849" ht="15" customHeight="1" x14ac:dyDescent="0.35"/>
    <row r="3850" ht="15" customHeight="1" x14ac:dyDescent="0.35"/>
    <row r="3851" ht="15" customHeight="1" x14ac:dyDescent="0.35"/>
    <row r="3852" ht="15" customHeight="1" x14ac:dyDescent="0.35"/>
    <row r="3853" ht="15" customHeight="1" x14ac:dyDescent="0.35"/>
    <row r="3854" ht="15" customHeight="1" x14ac:dyDescent="0.35"/>
    <row r="3855" ht="15" customHeight="1" x14ac:dyDescent="0.35"/>
    <row r="3856" ht="15" customHeight="1" x14ac:dyDescent="0.35"/>
    <row r="3857" ht="15" customHeight="1" x14ac:dyDescent="0.35"/>
    <row r="3858" ht="15" customHeight="1" x14ac:dyDescent="0.35"/>
    <row r="3859" ht="15" customHeight="1" x14ac:dyDescent="0.35"/>
    <row r="3860" ht="15" customHeight="1" x14ac:dyDescent="0.35"/>
    <row r="3861" ht="15" customHeight="1" x14ac:dyDescent="0.35"/>
    <row r="3862" ht="15" customHeight="1" x14ac:dyDescent="0.35"/>
    <row r="3863" ht="15" customHeight="1" x14ac:dyDescent="0.35"/>
    <row r="3864" ht="15" customHeight="1" x14ac:dyDescent="0.35"/>
    <row r="3865" ht="15" customHeight="1" x14ac:dyDescent="0.35"/>
    <row r="3866" ht="15" customHeight="1" x14ac:dyDescent="0.35"/>
    <row r="3867" ht="15" customHeight="1" x14ac:dyDescent="0.35"/>
    <row r="3868" ht="15" customHeight="1" x14ac:dyDescent="0.35"/>
    <row r="3869" ht="15" customHeight="1" x14ac:dyDescent="0.35"/>
    <row r="3870" ht="15" customHeight="1" x14ac:dyDescent="0.35"/>
    <row r="3871" ht="15" customHeight="1" x14ac:dyDescent="0.35"/>
    <row r="3872" ht="15" customHeight="1" x14ac:dyDescent="0.35"/>
    <row r="3873" ht="15" customHeight="1" x14ac:dyDescent="0.35"/>
    <row r="3874" ht="15" customHeight="1" x14ac:dyDescent="0.35"/>
    <row r="3875" ht="15" customHeight="1" x14ac:dyDescent="0.35"/>
    <row r="3876" ht="15" customHeight="1" x14ac:dyDescent="0.35"/>
    <row r="3877" ht="15" customHeight="1" x14ac:dyDescent="0.35"/>
    <row r="3878" ht="15" customHeight="1" x14ac:dyDescent="0.35"/>
    <row r="3879" ht="15" customHeight="1" x14ac:dyDescent="0.35"/>
    <row r="3880" ht="15" customHeight="1" x14ac:dyDescent="0.35"/>
    <row r="3881" ht="15" customHeight="1" x14ac:dyDescent="0.35"/>
    <row r="3882" ht="15" customHeight="1" x14ac:dyDescent="0.35"/>
    <row r="3883" ht="15" customHeight="1" x14ac:dyDescent="0.35"/>
    <row r="3884" ht="15" customHeight="1" x14ac:dyDescent="0.35"/>
    <row r="3885" ht="15" customHeight="1" x14ac:dyDescent="0.35"/>
    <row r="3886" ht="15" customHeight="1" x14ac:dyDescent="0.35"/>
    <row r="3887" ht="15" customHeight="1" x14ac:dyDescent="0.35"/>
    <row r="3888" ht="15" customHeight="1" x14ac:dyDescent="0.35"/>
    <row r="3889" ht="15" customHeight="1" x14ac:dyDescent="0.35"/>
    <row r="3890" ht="15" customHeight="1" x14ac:dyDescent="0.35"/>
    <row r="3891" ht="15" customHeight="1" x14ac:dyDescent="0.35"/>
    <row r="3892" ht="15" customHeight="1" x14ac:dyDescent="0.35"/>
    <row r="3893" ht="15" customHeight="1" x14ac:dyDescent="0.35"/>
    <row r="3894" ht="15" customHeight="1" x14ac:dyDescent="0.35"/>
    <row r="3895" ht="15" customHeight="1" x14ac:dyDescent="0.35"/>
    <row r="3896" ht="15" customHeight="1" x14ac:dyDescent="0.35"/>
    <row r="3897" ht="15" customHeight="1" x14ac:dyDescent="0.35"/>
    <row r="3898" ht="15" customHeight="1" x14ac:dyDescent="0.35"/>
    <row r="3899" ht="15" customHeight="1" x14ac:dyDescent="0.35"/>
    <row r="3900" ht="15" customHeight="1" x14ac:dyDescent="0.35"/>
    <row r="3901" ht="15" customHeight="1" x14ac:dyDescent="0.35"/>
    <row r="3902" ht="15" customHeight="1" x14ac:dyDescent="0.35"/>
    <row r="3903" ht="15" customHeight="1" x14ac:dyDescent="0.35"/>
    <row r="3904" ht="15" customHeight="1" x14ac:dyDescent="0.35"/>
    <row r="3905" ht="15" customHeight="1" x14ac:dyDescent="0.35"/>
    <row r="3906" ht="15" customHeight="1" x14ac:dyDescent="0.35"/>
    <row r="3907" ht="15" customHeight="1" x14ac:dyDescent="0.35"/>
    <row r="3908" ht="15" customHeight="1" x14ac:dyDescent="0.35"/>
    <row r="3909" ht="15" customHeight="1" x14ac:dyDescent="0.35"/>
    <row r="3910" ht="15" customHeight="1" x14ac:dyDescent="0.35"/>
    <row r="3911" ht="15" customHeight="1" x14ac:dyDescent="0.35"/>
    <row r="3912" ht="15" customHeight="1" x14ac:dyDescent="0.35"/>
    <row r="3913" ht="15" customHeight="1" x14ac:dyDescent="0.35"/>
    <row r="3914" ht="15" customHeight="1" x14ac:dyDescent="0.35"/>
    <row r="3915" ht="15" customHeight="1" x14ac:dyDescent="0.35"/>
    <row r="3916" ht="15" customHeight="1" x14ac:dyDescent="0.35"/>
    <row r="3917" ht="15" customHeight="1" x14ac:dyDescent="0.35"/>
    <row r="3918" ht="15" customHeight="1" x14ac:dyDescent="0.35"/>
    <row r="3919" ht="15" customHeight="1" x14ac:dyDescent="0.35"/>
    <row r="3920" ht="15" customHeight="1" x14ac:dyDescent="0.35"/>
    <row r="3921" ht="15" customHeight="1" x14ac:dyDescent="0.35"/>
    <row r="3922" ht="15" customHeight="1" x14ac:dyDescent="0.35"/>
    <row r="3923" ht="15" customHeight="1" x14ac:dyDescent="0.35"/>
    <row r="3924" ht="15" customHeight="1" x14ac:dyDescent="0.35"/>
    <row r="3925" ht="15" customHeight="1" x14ac:dyDescent="0.35"/>
    <row r="3926" ht="15" customHeight="1" x14ac:dyDescent="0.35"/>
    <row r="3927" ht="15" customHeight="1" x14ac:dyDescent="0.35"/>
    <row r="3928" ht="15" customHeight="1" x14ac:dyDescent="0.35"/>
    <row r="3929" ht="15" customHeight="1" x14ac:dyDescent="0.35"/>
    <row r="3930" ht="15" customHeight="1" x14ac:dyDescent="0.35"/>
    <row r="3931" ht="15" customHeight="1" x14ac:dyDescent="0.35"/>
    <row r="3932" ht="15" customHeight="1" x14ac:dyDescent="0.35"/>
    <row r="3933" ht="15" customHeight="1" x14ac:dyDescent="0.35"/>
    <row r="3934" ht="15" customHeight="1" x14ac:dyDescent="0.35"/>
    <row r="3935" ht="15" customHeight="1" x14ac:dyDescent="0.35"/>
    <row r="3936" ht="15" customHeight="1" x14ac:dyDescent="0.35"/>
    <row r="3937" ht="15" customHeight="1" x14ac:dyDescent="0.35"/>
    <row r="3938" ht="15" customHeight="1" x14ac:dyDescent="0.35"/>
    <row r="3939" ht="15" customHeight="1" x14ac:dyDescent="0.35"/>
    <row r="3940" ht="15" customHeight="1" x14ac:dyDescent="0.35"/>
    <row r="3941" ht="15" customHeight="1" x14ac:dyDescent="0.35"/>
    <row r="3942" ht="15" customHeight="1" x14ac:dyDescent="0.35"/>
    <row r="3943" ht="15" customHeight="1" x14ac:dyDescent="0.35"/>
    <row r="3944" ht="15" customHeight="1" x14ac:dyDescent="0.35"/>
    <row r="3945" ht="15" customHeight="1" x14ac:dyDescent="0.35"/>
    <row r="3946" ht="15" customHeight="1" x14ac:dyDescent="0.35"/>
    <row r="3947" ht="15" customHeight="1" x14ac:dyDescent="0.35"/>
    <row r="3948" ht="15" customHeight="1" x14ac:dyDescent="0.35"/>
    <row r="3949" ht="15" customHeight="1" x14ac:dyDescent="0.35"/>
    <row r="3950" ht="15" customHeight="1" x14ac:dyDescent="0.35"/>
    <row r="3951" ht="15" customHeight="1" x14ac:dyDescent="0.35"/>
    <row r="3952" ht="15" customHeight="1" x14ac:dyDescent="0.35"/>
    <row r="3953" ht="15" customHeight="1" x14ac:dyDescent="0.35"/>
    <row r="3954" ht="15" customHeight="1" x14ac:dyDescent="0.35"/>
    <row r="3955" ht="15" customHeight="1" x14ac:dyDescent="0.35"/>
    <row r="3956" ht="15" customHeight="1" x14ac:dyDescent="0.35"/>
    <row r="3957" ht="15" customHeight="1" x14ac:dyDescent="0.35"/>
    <row r="3958" ht="15" customHeight="1" x14ac:dyDescent="0.35"/>
    <row r="3959" ht="15" customHeight="1" x14ac:dyDescent="0.35"/>
    <row r="3960" ht="15" customHeight="1" x14ac:dyDescent="0.35"/>
    <row r="3961" ht="15" customHeight="1" x14ac:dyDescent="0.35"/>
    <row r="3962" ht="15" customHeight="1" x14ac:dyDescent="0.35"/>
    <row r="3963" ht="15" customHeight="1" x14ac:dyDescent="0.35"/>
    <row r="3964" ht="15" customHeight="1" x14ac:dyDescent="0.35"/>
    <row r="3965" ht="15" customHeight="1" x14ac:dyDescent="0.35"/>
    <row r="3966" ht="15" customHeight="1" x14ac:dyDescent="0.35"/>
    <row r="3967" ht="15" customHeight="1" x14ac:dyDescent="0.35"/>
    <row r="3968" ht="15" customHeight="1" x14ac:dyDescent="0.35"/>
    <row r="3969" ht="15" customHeight="1" x14ac:dyDescent="0.35"/>
    <row r="3970" ht="15" customHeight="1" x14ac:dyDescent="0.35"/>
    <row r="3971" ht="15" customHeight="1" x14ac:dyDescent="0.35"/>
    <row r="3972" ht="15" customHeight="1" x14ac:dyDescent="0.35"/>
    <row r="3973" ht="15" customHeight="1" x14ac:dyDescent="0.35"/>
    <row r="3974" ht="15" customHeight="1" x14ac:dyDescent="0.35"/>
    <row r="3975" ht="15" customHeight="1" x14ac:dyDescent="0.35"/>
    <row r="3976" ht="15" customHeight="1" x14ac:dyDescent="0.35"/>
    <row r="3977" ht="15" customHeight="1" x14ac:dyDescent="0.35"/>
    <row r="3978" ht="15" customHeight="1" x14ac:dyDescent="0.35"/>
    <row r="3979" ht="15" customHeight="1" x14ac:dyDescent="0.35"/>
    <row r="3980" ht="15" customHeight="1" x14ac:dyDescent="0.35"/>
    <row r="3981" ht="15" customHeight="1" x14ac:dyDescent="0.35"/>
    <row r="3982" ht="15" customHeight="1" x14ac:dyDescent="0.35"/>
    <row r="3983" ht="15" customHeight="1" x14ac:dyDescent="0.35"/>
    <row r="3984" ht="15" customHeight="1" x14ac:dyDescent="0.35"/>
    <row r="3985" ht="15" customHeight="1" x14ac:dyDescent="0.35"/>
    <row r="3986" ht="15" customHeight="1" x14ac:dyDescent="0.35"/>
    <row r="3987" ht="15" customHeight="1" x14ac:dyDescent="0.35"/>
    <row r="3988" ht="15" customHeight="1" x14ac:dyDescent="0.35"/>
    <row r="3989" ht="15" customHeight="1" x14ac:dyDescent="0.35"/>
    <row r="3990" ht="15" customHeight="1" x14ac:dyDescent="0.35"/>
    <row r="3991" ht="15" customHeight="1" x14ac:dyDescent="0.35"/>
    <row r="3992" ht="15" customHeight="1" x14ac:dyDescent="0.35"/>
    <row r="3993" ht="15" customHeight="1" x14ac:dyDescent="0.35"/>
    <row r="3994" ht="15" customHeight="1" x14ac:dyDescent="0.35"/>
    <row r="3995" ht="15" customHeight="1" x14ac:dyDescent="0.35"/>
    <row r="3996" ht="15" customHeight="1" x14ac:dyDescent="0.35"/>
    <row r="3997" ht="15" customHeight="1" x14ac:dyDescent="0.35"/>
    <row r="3998" ht="15" customHeight="1" x14ac:dyDescent="0.35"/>
    <row r="3999" ht="15" customHeight="1" x14ac:dyDescent="0.35"/>
    <row r="4000" ht="15" customHeight="1" x14ac:dyDescent="0.35"/>
    <row r="4001" ht="15" customHeight="1" x14ac:dyDescent="0.35"/>
    <row r="4002" ht="15" customHeight="1" x14ac:dyDescent="0.35"/>
    <row r="4003" ht="15" customHeight="1" x14ac:dyDescent="0.35"/>
    <row r="4004" ht="15" customHeight="1" x14ac:dyDescent="0.35"/>
    <row r="4005" ht="15" customHeight="1" x14ac:dyDescent="0.35"/>
    <row r="4006" ht="15" customHeight="1" x14ac:dyDescent="0.35"/>
    <row r="4007" ht="15" customHeight="1" x14ac:dyDescent="0.35"/>
    <row r="4008" ht="15" customHeight="1" x14ac:dyDescent="0.35"/>
    <row r="4009" ht="15" customHeight="1" x14ac:dyDescent="0.35"/>
    <row r="4010" ht="15" customHeight="1" x14ac:dyDescent="0.35"/>
    <row r="4011" ht="15" customHeight="1" x14ac:dyDescent="0.35"/>
    <row r="4012" ht="15" customHeight="1" x14ac:dyDescent="0.35"/>
    <row r="4013" ht="15" customHeight="1" x14ac:dyDescent="0.35"/>
    <row r="4014" ht="15" customHeight="1" x14ac:dyDescent="0.35"/>
    <row r="4015" ht="15" customHeight="1" x14ac:dyDescent="0.35"/>
    <row r="4016" ht="15" customHeight="1" x14ac:dyDescent="0.35"/>
    <row r="4017" ht="15" customHeight="1" x14ac:dyDescent="0.35"/>
    <row r="4018" ht="15" customHeight="1" x14ac:dyDescent="0.35"/>
    <row r="4019" ht="15" customHeight="1" x14ac:dyDescent="0.35"/>
    <row r="4020" ht="15" customHeight="1" x14ac:dyDescent="0.35"/>
    <row r="4021" ht="15" customHeight="1" x14ac:dyDescent="0.35"/>
    <row r="4022" ht="15" customHeight="1" x14ac:dyDescent="0.35"/>
    <row r="4023" ht="15" customHeight="1" x14ac:dyDescent="0.35"/>
    <row r="4024" ht="15" customHeight="1" x14ac:dyDescent="0.35"/>
    <row r="4025" ht="15" customHeight="1" x14ac:dyDescent="0.35"/>
    <row r="4026" ht="15" customHeight="1" x14ac:dyDescent="0.35"/>
    <row r="4027" ht="15" customHeight="1" x14ac:dyDescent="0.35"/>
    <row r="4028" ht="15" customHeight="1" x14ac:dyDescent="0.35"/>
    <row r="4029" ht="15" customHeight="1" x14ac:dyDescent="0.35"/>
    <row r="4030" ht="15" customHeight="1" x14ac:dyDescent="0.35"/>
    <row r="4031" ht="15" customHeight="1" x14ac:dyDescent="0.35"/>
    <row r="4032" ht="15" customHeight="1" x14ac:dyDescent="0.35"/>
    <row r="4033" ht="15" customHeight="1" x14ac:dyDescent="0.35"/>
    <row r="4034" ht="15" customHeight="1" x14ac:dyDescent="0.35"/>
    <row r="4035" ht="15" customHeight="1" x14ac:dyDescent="0.35"/>
    <row r="4036" ht="15" customHeight="1" x14ac:dyDescent="0.35"/>
    <row r="4037" ht="15" customHeight="1" x14ac:dyDescent="0.35"/>
    <row r="4038" ht="15" customHeight="1" x14ac:dyDescent="0.35"/>
    <row r="4039" ht="15" customHeight="1" x14ac:dyDescent="0.35"/>
    <row r="4040" ht="15" customHeight="1" x14ac:dyDescent="0.35"/>
    <row r="4041" ht="15" customHeight="1" x14ac:dyDescent="0.35"/>
    <row r="4042" ht="15" customHeight="1" x14ac:dyDescent="0.35"/>
    <row r="4043" ht="15" customHeight="1" x14ac:dyDescent="0.35"/>
    <row r="4044" ht="15" customHeight="1" x14ac:dyDescent="0.35"/>
    <row r="4045" ht="15" customHeight="1" x14ac:dyDescent="0.35"/>
    <row r="4046" ht="15" customHeight="1" x14ac:dyDescent="0.35"/>
    <row r="4047" ht="15" customHeight="1" x14ac:dyDescent="0.35"/>
    <row r="4048" ht="15" customHeight="1" x14ac:dyDescent="0.35"/>
    <row r="4049" ht="15" customHeight="1" x14ac:dyDescent="0.35"/>
    <row r="4050" ht="15" customHeight="1" x14ac:dyDescent="0.35"/>
    <row r="4051" ht="15" customHeight="1" x14ac:dyDescent="0.35"/>
    <row r="4052" ht="15" customHeight="1" x14ac:dyDescent="0.35"/>
    <row r="4053" ht="15" customHeight="1" x14ac:dyDescent="0.35"/>
    <row r="4054" ht="15" customHeight="1" x14ac:dyDescent="0.35"/>
    <row r="4055" ht="15" customHeight="1" x14ac:dyDescent="0.35"/>
    <row r="4056" ht="15" customHeight="1" x14ac:dyDescent="0.35"/>
    <row r="4057" ht="15" customHeight="1" x14ac:dyDescent="0.35"/>
    <row r="4058" ht="15" customHeight="1" x14ac:dyDescent="0.35"/>
    <row r="4059" ht="15" customHeight="1" x14ac:dyDescent="0.35"/>
    <row r="4060" ht="15" customHeight="1" x14ac:dyDescent="0.35"/>
    <row r="4061" ht="15" customHeight="1" x14ac:dyDescent="0.35"/>
    <row r="4062" ht="15" customHeight="1" x14ac:dyDescent="0.35"/>
    <row r="4063" ht="15" customHeight="1" x14ac:dyDescent="0.35"/>
    <row r="4064" ht="15" customHeight="1" x14ac:dyDescent="0.35"/>
    <row r="4065" ht="15" customHeight="1" x14ac:dyDescent="0.35"/>
    <row r="4066" ht="15" customHeight="1" x14ac:dyDescent="0.35"/>
    <row r="4067" ht="15" customHeight="1" x14ac:dyDescent="0.35"/>
    <row r="4068" ht="15" customHeight="1" x14ac:dyDescent="0.35"/>
    <row r="4069" ht="15" customHeight="1" x14ac:dyDescent="0.35"/>
    <row r="4070" ht="15" customHeight="1" x14ac:dyDescent="0.35"/>
    <row r="4071" ht="15" customHeight="1" x14ac:dyDescent="0.35"/>
    <row r="4072" ht="15" customHeight="1" x14ac:dyDescent="0.35"/>
    <row r="4073" ht="15" customHeight="1" x14ac:dyDescent="0.35"/>
    <row r="4074" ht="15" customHeight="1" x14ac:dyDescent="0.35"/>
    <row r="4075" ht="15" customHeight="1" x14ac:dyDescent="0.35"/>
    <row r="4076" ht="15" customHeight="1" x14ac:dyDescent="0.35"/>
    <row r="4077" ht="15" customHeight="1" x14ac:dyDescent="0.35"/>
    <row r="4078" ht="15" customHeight="1" x14ac:dyDescent="0.35"/>
    <row r="4079" ht="15" customHeight="1" x14ac:dyDescent="0.35"/>
    <row r="4080" ht="15" customHeight="1" x14ac:dyDescent="0.35"/>
    <row r="4081" ht="15" customHeight="1" x14ac:dyDescent="0.35"/>
    <row r="4082" ht="15" customHeight="1" x14ac:dyDescent="0.35"/>
    <row r="4083" ht="15" customHeight="1" x14ac:dyDescent="0.35"/>
    <row r="4084" ht="15" customHeight="1" x14ac:dyDescent="0.35"/>
    <row r="4085" ht="15" customHeight="1" x14ac:dyDescent="0.35"/>
    <row r="4086" ht="15" customHeight="1" x14ac:dyDescent="0.35"/>
    <row r="4087" ht="15" customHeight="1" x14ac:dyDescent="0.35"/>
    <row r="4088" ht="15" customHeight="1" x14ac:dyDescent="0.35"/>
    <row r="4089" ht="15" customHeight="1" x14ac:dyDescent="0.35"/>
    <row r="4090" ht="15" customHeight="1" x14ac:dyDescent="0.35"/>
    <row r="4091" ht="15" customHeight="1" x14ac:dyDescent="0.35"/>
    <row r="4092" ht="15" customHeight="1" x14ac:dyDescent="0.35"/>
    <row r="4093" ht="15" customHeight="1" x14ac:dyDescent="0.35"/>
    <row r="4094" ht="15" customHeight="1" x14ac:dyDescent="0.35"/>
    <row r="4095" ht="15" customHeight="1" x14ac:dyDescent="0.35"/>
    <row r="4096" ht="15" customHeight="1" x14ac:dyDescent="0.35"/>
    <row r="4097" ht="15" customHeight="1" x14ac:dyDescent="0.35"/>
    <row r="4098" ht="15" customHeight="1" x14ac:dyDescent="0.35"/>
    <row r="4099" ht="15" customHeight="1" x14ac:dyDescent="0.35"/>
    <row r="4100" ht="15" customHeight="1" x14ac:dyDescent="0.35"/>
    <row r="4101" ht="15" customHeight="1" x14ac:dyDescent="0.35"/>
    <row r="4102" ht="15" customHeight="1" x14ac:dyDescent="0.35"/>
    <row r="4103" ht="15" customHeight="1" x14ac:dyDescent="0.35"/>
    <row r="4104" ht="15" customHeight="1" x14ac:dyDescent="0.35"/>
    <row r="4105" ht="15" customHeight="1" x14ac:dyDescent="0.35"/>
    <row r="4106" ht="15" customHeight="1" x14ac:dyDescent="0.35"/>
    <row r="4107" ht="15" customHeight="1" x14ac:dyDescent="0.35"/>
    <row r="4108" ht="15" customHeight="1" x14ac:dyDescent="0.35"/>
    <row r="4109" ht="15" customHeight="1" x14ac:dyDescent="0.35"/>
    <row r="4110" ht="15" customHeight="1" x14ac:dyDescent="0.35"/>
    <row r="4111" ht="15" customHeight="1" x14ac:dyDescent="0.35"/>
    <row r="4112" ht="15" customHeight="1" x14ac:dyDescent="0.35"/>
    <row r="4113" ht="15" customHeight="1" x14ac:dyDescent="0.35"/>
    <row r="4114" ht="15" customHeight="1" x14ac:dyDescent="0.35"/>
    <row r="4115" ht="15" customHeight="1" x14ac:dyDescent="0.35"/>
    <row r="4116" ht="15" customHeight="1" x14ac:dyDescent="0.35"/>
    <row r="4117" ht="15" customHeight="1" x14ac:dyDescent="0.35"/>
    <row r="4118" ht="15" customHeight="1" x14ac:dyDescent="0.35"/>
    <row r="4119" ht="15" customHeight="1" x14ac:dyDescent="0.35"/>
    <row r="4120" ht="15" customHeight="1" x14ac:dyDescent="0.35"/>
    <row r="4121" ht="15" customHeight="1" x14ac:dyDescent="0.35"/>
    <row r="4122" ht="15" customHeight="1" x14ac:dyDescent="0.35"/>
    <row r="4123" ht="15" customHeight="1" x14ac:dyDescent="0.35"/>
    <row r="4124" ht="15" customHeight="1" x14ac:dyDescent="0.35"/>
    <row r="4125" ht="15" customHeight="1" x14ac:dyDescent="0.35"/>
    <row r="4126" ht="15" customHeight="1" x14ac:dyDescent="0.35"/>
    <row r="4127" ht="15" customHeight="1" x14ac:dyDescent="0.35"/>
    <row r="4128" ht="15" customHeight="1" x14ac:dyDescent="0.35"/>
    <row r="4129" ht="15" customHeight="1" x14ac:dyDescent="0.35"/>
    <row r="4130" ht="15" customHeight="1" x14ac:dyDescent="0.35"/>
    <row r="4131" ht="15" customHeight="1" x14ac:dyDescent="0.35"/>
    <row r="4132" ht="15" customHeight="1" x14ac:dyDescent="0.35"/>
    <row r="4133" ht="15" customHeight="1" x14ac:dyDescent="0.35"/>
    <row r="4134" ht="15" customHeight="1" x14ac:dyDescent="0.35"/>
    <row r="4135" ht="15" customHeight="1" x14ac:dyDescent="0.35"/>
    <row r="4136" ht="15" customHeight="1" x14ac:dyDescent="0.35"/>
    <row r="4137" ht="15" customHeight="1" x14ac:dyDescent="0.35"/>
    <row r="4138" ht="15" customHeight="1" x14ac:dyDescent="0.35"/>
    <row r="4139" ht="15" customHeight="1" x14ac:dyDescent="0.35"/>
    <row r="4140" ht="15" customHeight="1" x14ac:dyDescent="0.35"/>
    <row r="4141" ht="15" customHeight="1" x14ac:dyDescent="0.35"/>
    <row r="4142" ht="15" customHeight="1" x14ac:dyDescent="0.35"/>
    <row r="4143" ht="15" customHeight="1" x14ac:dyDescent="0.35"/>
    <row r="4144" ht="15" customHeight="1" x14ac:dyDescent="0.35"/>
    <row r="4145" ht="15" customHeight="1" x14ac:dyDescent="0.35"/>
    <row r="4146" ht="15" customHeight="1" x14ac:dyDescent="0.35"/>
    <row r="4147" ht="15" customHeight="1" x14ac:dyDescent="0.35"/>
    <row r="4148" ht="15" customHeight="1" x14ac:dyDescent="0.35"/>
    <row r="4149" ht="15" customHeight="1" x14ac:dyDescent="0.35"/>
    <row r="4150" ht="15" customHeight="1" x14ac:dyDescent="0.35"/>
    <row r="4151" ht="15" customHeight="1" x14ac:dyDescent="0.35"/>
    <row r="4152" ht="15" customHeight="1" x14ac:dyDescent="0.35"/>
    <row r="4153" ht="15" customHeight="1" x14ac:dyDescent="0.35"/>
    <row r="4154" ht="15" customHeight="1" x14ac:dyDescent="0.35"/>
    <row r="4155" ht="15" customHeight="1" x14ac:dyDescent="0.35"/>
    <row r="4156" ht="15" customHeight="1" x14ac:dyDescent="0.35"/>
    <row r="4157" ht="15" customHeight="1" x14ac:dyDescent="0.35"/>
    <row r="4158" ht="15" customHeight="1" x14ac:dyDescent="0.35"/>
    <row r="4159" ht="15" customHeight="1" x14ac:dyDescent="0.35"/>
    <row r="4160" ht="15" customHeight="1" x14ac:dyDescent="0.35"/>
    <row r="4161" ht="15" customHeight="1" x14ac:dyDescent="0.35"/>
    <row r="4162" ht="15" customHeight="1" x14ac:dyDescent="0.35"/>
    <row r="4163" ht="15" customHeight="1" x14ac:dyDescent="0.35"/>
    <row r="4164" ht="15" customHeight="1" x14ac:dyDescent="0.35"/>
    <row r="4165" ht="15" customHeight="1" x14ac:dyDescent="0.35"/>
    <row r="4166" ht="15" customHeight="1" x14ac:dyDescent="0.35"/>
    <row r="4167" ht="15" customHeight="1" x14ac:dyDescent="0.35"/>
    <row r="4168" ht="15" customHeight="1" x14ac:dyDescent="0.35"/>
    <row r="4169" ht="15" customHeight="1" x14ac:dyDescent="0.35"/>
    <row r="4170" ht="15" customHeight="1" x14ac:dyDescent="0.35"/>
    <row r="4171" ht="15" customHeight="1" x14ac:dyDescent="0.35"/>
    <row r="4172" ht="15" customHeight="1" x14ac:dyDescent="0.35"/>
    <row r="4173" ht="15" customHeight="1" x14ac:dyDescent="0.35"/>
    <row r="4174" ht="15" customHeight="1" x14ac:dyDescent="0.35"/>
    <row r="4175" ht="15" customHeight="1" x14ac:dyDescent="0.35"/>
    <row r="4176" ht="15" customHeight="1" x14ac:dyDescent="0.35"/>
    <row r="4177" ht="15" customHeight="1" x14ac:dyDescent="0.35"/>
    <row r="4178" ht="15" customHeight="1" x14ac:dyDescent="0.35"/>
    <row r="4179" ht="15" customHeight="1" x14ac:dyDescent="0.35"/>
    <row r="4180" ht="15" customHeight="1" x14ac:dyDescent="0.35"/>
    <row r="4181" ht="15" customHeight="1" x14ac:dyDescent="0.35"/>
    <row r="4182" ht="15" customHeight="1" x14ac:dyDescent="0.35"/>
    <row r="4183" ht="15" customHeight="1" x14ac:dyDescent="0.35"/>
    <row r="4184" ht="15" customHeight="1" x14ac:dyDescent="0.35"/>
    <row r="4185" ht="15" customHeight="1" x14ac:dyDescent="0.35"/>
    <row r="4186" ht="15" customHeight="1" x14ac:dyDescent="0.35"/>
    <row r="4187" ht="15" customHeight="1" x14ac:dyDescent="0.35"/>
    <row r="4188" ht="15" customHeight="1" x14ac:dyDescent="0.35"/>
    <row r="4189" ht="15" customHeight="1" x14ac:dyDescent="0.35"/>
    <row r="4190" ht="15" customHeight="1" x14ac:dyDescent="0.35"/>
    <row r="4191" ht="15" customHeight="1" x14ac:dyDescent="0.35"/>
    <row r="4192" ht="15" customHeight="1" x14ac:dyDescent="0.35"/>
    <row r="4193" ht="15" customHeight="1" x14ac:dyDescent="0.35"/>
    <row r="4194" ht="15" customHeight="1" x14ac:dyDescent="0.35"/>
    <row r="4195" ht="15" customHeight="1" x14ac:dyDescent="0.35"/>
    <row r="4196" ht="15" customHeight="1" x14ac:dyDescent="0.35"/>
    <row r="4197" ht="15" customHeight="1" x14ac:dyDescent="0.35"/>
    <row r="4198" ht="15" customHeight="1" x14ac:dyDescent="0.35"/>
    <row r="4199" ht="15" customHeight="1" x14ac:dyDescent="0.35"/>
    <row r="4200" ht="15" customHeight="1" x14ac:dyDescent="0.35"/>
    <row r="4201" ht="15" customHeight="1" x14ac:dyDescent="0.35"/>
    <row r="4202" ht="15" customHeight="1" x14ac:dyDescent="0.35"/>
    <row r="4203" ht="15" customHeight="1" x14ac:dyDescent="0.35"/>
    <row r="4204" ht="15" customHeight="1" x14ac:dyDescent="0.35"/>
    <row r="4205" ht="15" customHeight="1" x14ac:dyDescent="0.35"/>
    <row r="4206" ht="15" customHeight="1" x14ac:dyDescent="0.35"/>
    <row r="4207" ht="15" customHeight="1" x14ac:dyDescent="0.35"/>
    <row r="4208" ht="15" customHeight="1" x14ac:dyDescent="0.35"/>
    <row r="4209" ht="15" customHeight="1" x14ac:dyDescent="0.35"/>
    <row r="4210" ht="15" customHeight="1" x14ac:dyDescent="0.35"/>
    <row r="4211" ht="15" customHeight="1" x14ac:dyDescent="0.35"/>
    <row r="4212" ht="15" customHeight="1" x14ac:dyDescent="0.35"/>
    <row r="4213" ht="15" customHeight="1" x14ac:dyDescent="0.35"/>
    <row r="4214" ht="15" customHeight="1" x14ac:dyDescent="0.35"/>
    <row r="4215" ht="15" customHeight="1" x14ac:dyDescent="0.35"/>
    <row r="4216" ht="15" customHeight="1" x14ac:dyDescent="0.35"/>
    <row r="4217" ht="15" customHeight="1" x14ac:dyDescent="0.35"/>
    <row r="4218" ht="15" customHeight="1" x14ac:dyDescent="0.35"/>
    <row r="4219" ht="15" customHeight="1" x14ac:dyDescent="0.35"/>
    <row r="4220" ht="15" customHeight="1" x14ac:dyDescent="0.35"/>
    <row r="4221" ht="15" customHeight="1" x14ac:dyDescent="0.35"/>
    <row r="4222" ht="15" customHeight="1" x14ac:dyDescent="0.35"/>
    <row r="4223" ht="15" customHeight="1" x14ac:dyDescent="0.35"/>
    <row r="4224" ht="15" customHeight="1" x14ac:dyDescent="0.35"/>
    <row r="4225" ht="15" customHeight="1" x14ac:dyDescent="0.35"/>
    <row r="4226" ht="15" customHeight="1" x14ac:dyDescent="0.35"/>
    <row r="4227" ht="15" customHeight="1" x14ac:dyDescent="0.35"/>
    <row r="4228" ht="15" customHeight="1" x14ac:dyDescent="0.35"/>
    <row r="4229" ht="15" customHeight="1" x14ac:dyDescent="0.35"/>
    <row r="4230" ht="15" customHeight="1" x14ac:dyDescent="0.35"/>
    <row r="4231" ht="15" customHeight="1" x14ac:dyDescent="0.35"/>
    <row r="4232" ht="15" customHeight="1" x14ac:dyDescent="0.35"/>
    <row r="4233" ht="15" customHeight="1" x14ac:dyDescent="0.35"/>
    <row r="4234" ht="15" customHeight="1" x14ac:dyDescent="0.35"/>
    <row r="4235" ht="15" customHeight="1" x14ac:dyDescent="0.35"/>
    <row r="4236" ht="15" customHeight="1" x14ac:dyDescent="0.35"/>
    <row r="4237" ht="15" customHeight="1" x14ac:dyDescent="0.35"/>
    <row r="4238" ht="15" customHeight="1" x14ac:dyDescent="0.35"/>
    <row r="4239" ht="15" customHeight="1" x14ac:dyDescent="0.35"/>
    <row r="4240" ht="15" customHeight="1" x14ac:dyDescent="0.35"/>
    <row r="4241" ht="15" customHeight="1" x14ac:dyDescent="0.35"/>
    <row r="4242" ht="15" customHeight="1" x14ac:dyDescent="0.35"/>
    <row r="4243" ht="15" customHeight="1" x14ac:dyDescent="0.35"/>
    <row r="4244" ht="15" customHeight="1" x14ac:dyDescent="0.35"/>
    <row r="4245" ht="15" customHeight="1" x14ac:dyDescent="0.35"/>
    <row r="4246" ht="15" customHeight="1" x14ac:dyDescent="0.35"/>
    <row r="4247" ht="15" customHeight="1" x14ac:dyDescent="0.35"/>
    <row r="4248" ht="15" customHeight="1" x14ac:dyDescent="0.35"/>
    <row r="4249" ht="15" customHeight="1" x14ac:dyDescent="0.35"/>
    <row r="4250" ht="15" customHeight="1" x14ac:dyDescent="0.35"/>
    <row r="4251" ht="15" customHeight="1" x14ac:dyDescent="0.35"/>
    <row r="4252" ht="15" customHeight="1" x14ac:dyDescent="0.35"/>
    <row r="4253" ht="15" customHeight="1" x14ac:dyDescent="0.35"/>
    <row r="4254" ht="15" customHeight="1" x14ac:dyDescent="0.35"/>
    <row r="4255" ht="15" customHeight="1" x14ac:dyDescent="0.35"/>
    <row r="4256" ht="15" customHeight="1" x14ac:dyDescent="0.35"/>
    <row r="4257" ht="15" customHeight="1" x14ac:dyDescent="0.35"/>
    <row r="4258" ht="15" customHeight="1" x14ac:dyDescent="0.35"/>
    <row r="4259" ht="15" customHeight="1" x14ac:dyDescent="0.35"/>
    <row r="4260" ht="15" customHeight="1" x14ac:dyDescent="0.35"/>
    <row r="4261" ht="15" customHeight="1" x14ac:dyDescent="0.35"/>
    <row r="4262" ht="15" customHeight="1" x14ac:dyDescent="0.35"/>
    <row r="4263" ht="15" customHeight="1" x14ac:dyDescent="0.35"/>
    <row r="4264" ht="15" customHeight="1" x14ac:dyDescent="0.35"/>
    <row r="4265" ht="15" customHeight="1" x14ac:dyDescent="0.35"/>
    <row r="4266" ht="15" customHeight="1" x14ac:dyDescent="0.35"/>
    <row r="4267" ht="15" customHeight="1" x14ac:dyDescent="0.35"/>
    <row r="4268" ht="15" customHeight="1" x14ac:dyDescent="0.35"/>
    <row r="4269" ht="15" customHeight="1" x14ac:dyDescent="0.35"/>
    <row r="4270" ht="15" customHeight="1" x14ac:dyDescent="0.35"/>
    <row r="4271" ht="15" customHeight="1" x14ac:dyDescent="0.35"/>
    <row r="4272" ht="15" customHeight="1" x14ac:dyDescent="0.35"/>
    <row r="4273" ht="15" customHeight="1" x14ac:dyDescent="0.35"/>
    <row r="4274" ht="15" customHeight="1" x14ac:dyDescent="0.35"/>
    <row r="4275" ht="15" customHeight="1" x14ac:dyDescent="0.35"/>
    <row r="4276" ht="15" customHeight="1" x14ac:dyDescent="0.35"/>
    <row r="4277" ht="15" customHeight="1" x14ac:dyDescent="0.35"/>
    <row r="4278" ht="15" customHeight="1" x14ac:dyDescent="0.35"/>
    <row r="4279" ht="15" customHeight="1" x14ac:dyDescent="0.35"/>
    <row r="4280" ht="15" customHeight="1" x14ac:dyDescent="0.35"/>
    <row r="4281" ht="15" customHeight="1" x14ac:dyDescent="0.35"/>
    <row r="4282" ht="15" customHeight="1" x14ac:dyDescent="0.35"/>
    <row r="4283" ht="15" customHeight="1" x14ac:dyDescent="0.35"/>
    <row r="4284" ht="15" customHeight="1" x14ac:dyDescent="0.35"/>
    <row r="4285" ht="15" customHeight="1" x14ac:dyDescent="0.35"/>
    <row r="4286" ht="15" customHeight="1" x14ac:dyDescent="0.35"/>
    <row r="4287" ht="15" customHeight="1" x14ac:dyDescent="0.35"/>
    <row r="4288" ht="15" customHeight="1" x14ac:dyDescent="0.35"/>
    <row r="4289" ht="15" customHeight="1" x14ac:dyDescent="0.35"/>
    <row r="4290" ht="15" customHeight="1" x14ac:dyDescent="0.35"/>
    <row r="4291" ht="15" customHeight="1" x14ac:dyDescent="0.35"/>
    <row r="4292" ht="15" customHeight="1" x14ac:dyDescent="0.35"/>
    <row r="4293" ht="15" customHeight="1" x14ac:dyDescent="0.35"/>
    <row r="4294" ht="15" customHeight="1" x14ac:dyDescent="0.35"/>
    <row r="4295" ht="15" customHeight="1" x14ac:dyDescent="0.35"/>
    <row r="4296" ht="15" customHeight="1" x14ac:dyDescent="0.35"/>
    <row r="4297" ht="15" customHeight="1" x14ac:dyDescent="0.35"/>
    <row r="4298" ht="15" customHeight="1" x14ac:dyDescent="0.35"/>
    <row r="4299" ht="15" customHeight="1" x14ac:dyDescent="0.35"/>
    <row r="4300" ht="15" customHeight="1" x14ac:dyDescent="0.35"/>
    <row r="4301" ht="15" customHeight="1" x14ac:dyDescent="0.35"/>
    <row r="4302" ht="15" customHeight="1" x14ac:dyDescent="0.35"/>
    <row r="4303" ht="15" customHeight="1" x14ac:dyDescent="0.35"/>
    <row r="4304" ht="15" customHeight="1" x14ac:dyDescent="0.35"/>
    <row r="4305" ht="15" customHeight="1" x14ac:dyDescent="0.35"/>
    <row r="4306" ht="15" customHeight="1" x14ac:dyDescent="0.35"/>
    <row r="4307" ht="15" customHeight="1" x14ac:dyDescent="0.35"/>
    <row r="4308" ht="15" customHeight="1" x14ac:dyDescent="0.35"/>
    <row r="4309" ht="15" customHeight="1" x14ac:dyDescent="0.35"/>
    <row r="4310" ht="15" customHeight="1" x14ac:dyDescent="0.35"/>
    <row r="4311" ht="15" customHeight="1" x14ac:dyDescent="0.35"/>
    <row r="4312" ht="15" customHeight="1" x14ac:dyDescent="0.35"/>
    <row r="4313" ht="15" customHeight="1" x14ac:dyDescent="0.35"/>
    <row r="4314" ht="15" customHeight="1" x14ac:dyDescent="0.35"/>
    <row r="4315" ht="15" customHeight="1" x14ac:dyDescent="0.35"/>
    <row r="4316" ht="15" customHeight="1" x14ac:dyDescent="0.35"/>
    <row r="4317" ht="15" customHeight="1" x14ac:dyDescent="0.35"/>
    <row r="4318" ht="15" customHeight="1" x14ac:dyDescent="0.35"/>
    <row r="4319" ht="15" customHeight="1" x14ac:dyDescent="0.35"/>
    <row r="4320" ht="15" customHeight="1" x14ac:dyDescent="0.35"/>
    <row r="4321" ht="15" customHeight="1" x14ac:dyDescent="0.35"/>
    <row r="4322" ht="15" customHeight="1" x14ac:dyDescent="0.35"/>
    <row r="4323" ht="15" customHeight="1" x14ac:dyDescent="0.35"/>
    <row r="4324" ht="15" customHeight="1" x14ac:dyDescent="0.35"/>
    <row r="4325" ht="15" customHeight="1" x14ac:dyDescent="0.35"/>
    <row r="4326" ht="15" customHeight="1" x14ac:dyDescent="0.35"/>
    <row r="4327" ht="15" customHeight="1" x14ac:dyDescent="0.35"/>
    <row r="4328" ht="15" customHeight="1" x14ac:dyDescent="0.35"/>
    <row r="4329" ht="15" customHeight="1" x14ac:dyDescent="0.35"/>
    <row r="4330" ht="15" customHeight="1" x14ac:dyDescent="0.35"/>
    <row r="4331" ht="15" customHeight="1" x14ac:dyDescent="0.35"/>
    <row r="4332" ht="15" customHeight="1" x14ac:dyDescent="0.35"/>
    <row r="4333" ht="15" customHeight="1" x14ac:dyDescent="0.35"/>
    <row r="4334" ht="15" customHeight="1" x14ac:dyDescent="0.35"/>
    <row r="4335" ht="15" customHeight="1" x14ac:dyDescent="0.35"/>
    <row r="4336" ht="15" customHeight="1" x14ac:dyDescent="0.35"/>
    <row r="4337" ht="15" customHeight="1" x14ac:dyDescent="0.35"/>
    <row r="4338" ht="15" customHeight="1" x14ac:dyDescent="0.35"/>
    <row r="4339" ht="15" customHeight="1" x14ac:dyDescent="0.35"/>
    <row r="4340" ht="15" customHeight="1" x14ac:dyDescent="0.35"/>
    <row r="4341" ht="15" customHeight="1" x14ac:dyDescent="0.35"/>
    <row r="4342" ht="15" customHeight="1" x14ac:dyDescent="0.35"/>
    <row r="4343" ht="15" customHeight="1" x14ac:dyDescent="0.35"/>
    <row r="4344" ht="15" customHeight="1" x14ac:dyDescent="0.35"/>
    <row r="4345" ht="15" customHeight="1" x14ac:dyDescent="0.35"/>
    <row r="4346" ht="15" customHeight="1" x14ac:dyDescent="0.35"/>
    <row r="4347" ht="15" customHeight="1" x14ac:dyDescent="0.35"/>
    <row r="4348" ht="15" customHeight="1" x14ac:dyDescent="0.35"/>
    <row r="4349" ht="15" customHeight="1" x14ac:dyDescent="0.35"/>
    <row r="4350" ht="15" customHeight="1" x14ac:dyDescent="0.35"/>
    <row r="4351" ht="15" customHeight="1" x14ac:dyDescent="0.35"/>
    <row r="4352" ht="15" customHeight="1" x14ac:dyDescent="0.35"/>
    <row r="4353" ht="15" customHeight="1" x14ac:dyDescent="0.35"/>
    <row r="4354" ht="15" customHeight="1" x14ac:dyDescent="0.35"/>
    <row r="4355" ht="15" customHeight="1" x14ac:dyDescent="0.35"/>
    <row r="4356" ht="15" customHeight="1" x14ac:dyDescent="0.35"/>
    <row r="4357" ht="15" customHeight="1" x14ac:dyDescent="0.35"/>
    <row r="4358" ht="15" customHeight="1" x14ac:dyDescent="0.35"/>
    <row r="4359" ht="15" customHeight="1" x14ac:dyDescent="0.35"/>
    <row r="4360" ht="15" customHeight="1" x14ac:dyDescent="0.35"/>
    <row r="4361" ht="15" customHeight="1" x14ac:dyDescent="0.35"/>
    <row r="4362" ht="15" customHeight="1" x14ac:dyDescent="0.35"/>
    <row r="4363" ht="15" customHeight="1" x14ac:dyDescent="0.35"/>
    <row r="4364" ht="15" customHeight="1" x14ac:dyDescent="0.35"/>
    <row r="4365" ht="15" customHeight="1" x14ac:dyDescent="0.35"/>
    <row r="4366" ht="15" customHeight="1" x14ac:dyDescent="0.35"/>
    <row r="4367" ht="15" customHeight="1" x14ac:dyDescent="0.35"/>
    <row r="4368" ht="15" customHeight="1" x14ac:dyDescent="0.35"/>
    <row r="4369" ht="15" customHeight="1" x14ac:dyDescent="0.35"/>
    <row r="4370" ht="15" customHeight="1" x14ac:dyDescent="0.35"/>
    <row r="4371" ht="15" customHeight="1" x14ac:dyDescent="0.35"/>
    <row r="4372" ht="15" customHeight="1" x14ac:dyDescent="0.35"/>
    <row r="4373" ht="15" customHeight="1" x14ac:dyDescent="0.35"/>
    <row r="4374" ht="15" customHeight="1" x14ac:dyDescent="0.35"/>
    <row r="4375" ht="15" customHeight="1" x14ac:dyDescent="0.35"/>
    <row r="4376" ht="15" customHeight="1" x14ac:dyDescent="0.35"/>
    <row r="4377" ht="15" customHeight="1" x14ac:dyDescent="0.35"/>
    <row r="4378" ht="15" customHeight="1" x14ac:dyDescent="0.35"/>
    <row r="4379" ht="15" customHeight="1" x14ac:dyDescent="0.35"/>
    <row r="4380" ht="15" customHeight="1" x14ac:dyDescent="0.35"/>
    <row r="4381" ht="15" customHeight="1" x14ac:dyDescent="0.35"/>
    <row r="4382" ht="15" customHeight="1" x14ac:dyDescent="0.35"/>
    <row r="4383" ht="15" customHeight="1" x14ac:dyDescent="0.35"/>
    <row r="4384" ht="15" customHeight="1" x14ac:dyDescent="0.35"/>
    <row r="4385" ht="15" customHeight="1" x14ac:dyDescent="0.35"/>
    <row r="4386" ht="15" customHeight="1" x14ac:dyDescent="0.35"/>
    <row r="4387" ht="15" customHeight="1" x14ac:dyDescent="0.35"/>
    <row r="4388" ht="15" customHeight="1" x14ac:dyDescent="0.35"/>
    <row r="4389" ht="15" customHeight="1" x14ac:dyDescent="0.35"/>
    <row r="4390" ht="15" customHeight="1" x14ac:dyDescent="0.35"/>
    <row r="4391" ht="15" customHeight="1" x14ac:dyDescent="0.35"/>
    <row r="4392" ht="15" customHeight="1" x14ac:dyDescent="0.35"/>
    <row r="4393" ht="15" customHeight="1" x14ac:dyDescent="0.35"/>
    <row r="4394" ht="15" customHeight="1" x14ac:dyDescent="0.35"/>
    <row r="4395" ht="15" customHeight="1" x14ac:dyDescent="0.35"/>
    <row r="4396" ht="15" customHeight="1" x14ac:dyDescent="0.35"/>
    <row r="4397" ht="15" customHeight="1" x14ac:dyDescent="0.35"/>
    <row r="4398" ht="15" customHeight="1" x14ac:dyDescent="0.35"/>
    <row r="4399" ht="15" customHeight="1" x14ac:dyDescent="0.35"/>
    <row r="4400" ht="15" customHeight="1" x14ac:dyDescent="0.35"/>
    <row r="4401" ht="15" customHeight="1" x14ac:dyDescent="0.35"/>
    <row r="4402" ht="15" customHeight="1" x14ac:dyDescent="0.35"/>
    <row r="4403" ht="15" customHeight="1" x14ac:dyDescent="0.35"/>
    <row r="4404" ht="15" customHeight="1" x14ac:dyDescent="0.35"/>
    <row r="4405" ht="15" customHeight="1" x14ac:dyDescent="0.35"/>
    <row r="4406" ht="15" customHeight="1" x14ac:dyDescent="0.35"/>
    <row r="4407" ht="15" customHeight="1" x14ac:dyDescent="0.35"/>
    <row r="4408" ht="15" customHeight="1" x14ac:dyDescent="0.35"/>
    <row r="4409" ht="15" customHeight="1" x14ac:dyDescent="0.35"/>
    <row r="4410" ht="15" customHeight="1" x14ac:dyDescent="0.35"/>
    <row r="4411" ht="15" customHeight="1" x14ac:dyDescent="0.35"/>
    <row r="4412" ht="15" customHeight="1" x14ac:dyDescent="0.35"/>
    <row r="4413" ht="15" customHeight="1" x14ac:dyDescent="0.35"/>
    <row r="4414" ht="15" customHeight="1" x14ac:dyDescent="0.35"/>
    <row r="4415" ht="15" customHeight="1" x14ac:dyDescent="0.35"/>
    <row r="4416" ht="15" customHeight="1" x14ac:dyDescent="0.35"/>
    <row r="4417" ht="15" customHeight="1" x14ac:dyDescent="0.35"/>
    <row r="4418" ht="15" customHeight="1" x14ac:dyDescent="0.35"/>
    <row r="4419" ht="15" customHeight="1" x14ac:dyDescent="0.35"/>
    <row r="4420" ht="15" customHeight="1" x14ac:dyDescent="0.35"/>
    <row r="4421" ht="15" customHeight="1" x14ac:dyDescent="0.35"/>
    <row r="4422" ht="15" customHeight="1" x14ac:dyDescent="0.35"/>
    <row r="4423" ht="15" customHeight="1" x14ac:dyDescent="0.35"/>
    <row r="4424" ht="15" customHeight="1" x14ac:dyDescent="0.35"/>
    <row r="4425" ht="15" customHeight="1" x14ac:dyDescent="0.35"/>
    <row r="4426" ht="15" customHeight="1" x14ac:dyDescent="0.35"/>
    <row r="4427" ht="15" customHeight="1" x14ac:dyDescent="0.35"/>
    <row r="4428" ht="15" customHeight="1" x14ac:dyDescent="0.35"/>
    <row r="4429" ht="15" customHeight="1" x14ac:dyDescent="0.35"/>
    <row r="4430" ht="15" customHeight="1" x14ac:dyDescent="0.35"/>
    <row r="4431" ht="15" customHeight="1" x14ac:dyDescent="0.35"/>
    <row r="4432" ht="15" customHeight="1" x14ac:dyDescent="0.35"/>
    <row r="4433" ht="15" customHeight="1" x14ac:dyDescent="0.35"/>
    <row r="4434" ht="15" customHeight="1" x14ac:dyDescent="0.35"/>
    <row r="4435" ht="15" customHeight="1" x14ac:dyDescent="0.35"/>
    <row r="4436" ht="15" customHeight="1" x14ac:dyDescent="0.35"/>
    <row r="4437" ht="15" customHeight="1" x14ac:dyDescent="0.35"/>
    <row r="4438" ht="15" customHeight="1" x14ac:dyDescent="0.35"/>
    <row r="4439" ht="15" customHeight="1" x14ac:dyDescent="0.35"/>
    <row r="4440" ht="15" customHeight="1" x14ac:dyDescent="0.35"/>
    <row r="4441" ht="15" customHeight="1" x14ac:dyDescent="0.35"/>
    <row r="4442" ht="15" customHeight="1" x14ac:dyDescent="0.35"/>
    <row r="4443" ht="15" customHeight="1" x14ac:dyDescent="0.35"/>
    <row r="4444" ht="15" customHeight="1" x14ac:dyDescent="0.35"/>
    <row r="4445" ht="15" customHeight="1" x14ac:dyDescent="0.35"/>
    <row r="4446" ht="15" customHeight="1" x14ac:dyDescent="0.35"/>
    <row r="4447" ht="15" customHeight="1" x14ac:dyDescent="0.35"/>
    <row r="4448" ht="15" customHeight="1" x14ac:dyDescent="0.35"/>
    <row r="4449" ht="15" customHeight="1" x14ac:dyDescent="0.35"/>
    <row r="4450" ht="15" customHeight="1" x14ac:dyDescent="0.35"/>
    <row r="4451" ht="15" customHeight="1" x14ac:dyDescent="0.35"/>
    <row r="4452" ht="15" customHeight="1" x14ac:dyDescent="0.35"/>
    <row r="4453" ht="15" customHeight="1" x14ac:dyDescent="0.35"/>
    <row r="4454" ht="15" customHeight="1" x14ac:dyDescent="0.35"/>
    <row r="4455" ht="15" customHeight="1" x14ac:dyDescent="0.35"/>
    <row r="4456" ht="15" customHeight="1" x14ac:dyDescent="0.35"/>
    <row r="4457" ht="15" customHeight="1" x14ac:dyDescent="0.35"/>
    <row r="4458" ht="15" customHeight="1" x14ac:dyDescent="0.35"/>
    <row r="4459" ht="15" customHeight="1" x14ac:dyDescent="0.35"/>
    <row r="4460" ht="15" customHeight="1" x14ac:dyDescent="0.35"/>
    <row r="4461" ht="15" customHeight="1" x14ac:dyDescent="0.35"/>
    <row r="4462" ht="15" customHeight="1" x14ac:dyDescent="0.35"/>
    <row r="4463" ht="15" customHeight="1" x14ac:dyDescent="0.35"/>
    <row r="4464" ht="15" customHeight="1" x14ac:dyDescent="0.35"/>
    <row r="4465" ht="15" customHeight="1" x14ac:dyDescent="0.35"/>
    <row r="4466" ht="15" customHeight="1" x14ac:dyDescent="0.35"/>
    <row r="4467" ht="15" customHeight="1" x14ac:dyDescent="0.35"/>
    <row r="4468" ht="15" customHeight="1" x14ac:dyDescent="0.35"/>
    <row r="4469" ht="15" customHeight="1" x14ac:dyDescent="0.35"/>
    <row r="4470" ht="15" customHeight="1" x14ac:dyDescent="0.35"/>
    <row r="4471" ht="15" customHeight="1" x14ac:dyDescent="0.35"/>
    <row r="4472" ht="15" customHeight="1" x14ac:dyDescent="0.35"/>
    <row r="4473" ht="15" customHeight="1" x14ac:dyDescent="0.35"/>
    <row r="4474" ht="15" customHeight="1" x14ac:dyDescent="0.35"/>
    <row r="4475" ht="15" customHeight="1" x14ac:dyDescent="0.35"/>
    <row r="4476" ht="15" customHeight="1" x14ac:dyDescent="0.35"/>
    <row r="4477" ht="15" customHeight="1" x14ac:dyDescent="0.35"/>
    <row r="4478" ht="15" customHeight="1" x14ac:dyDescent="0.35"/>
    <row r="4479" ht="15" customHeight="1" x14ac:dyDescent="0.35"/>
    <row r="4480" ht="15" customHeight="1" x14ac:dyDescent="0.35"/>
    <row r="4481" ht="15" customHeight="1" x14ac:dyDescent="0.35"/>
    <row r="4482" ht="15" customHeight="1" x14ac:dyDescent="0.35"/>
    <row r="4483" ht="15" customHeight="1" x14ac:dyDescent="0.35"/>
    <row r="4484" ht="15" customHeight="1" x14ac:dyDescent="0.35"/>
    <row r="4485" ht="15" customHeight="1" x14ac:dyDescent="0.35"/>
    <row r="4486" ht="15" customHeight="1" x14ac:dyDescent="0.35"/>
    <row r="4487" ht="15" customHeight="1" x14ac:dyDescent="0.35"/>
    <row r="4488" ht="15" customHeight="1" x14ac:dyDescent="0.35"/>
    <row r="4489" ht="15" customHeight="1" x14ac:dyDescent="0.35"/>
    <row r="4490" ht="15" customHeight="1" x14ac:dyDescent="0.35"/>
    <row r="4491" ht="15" customHeight="1" x14ac:dyDescent="0.35"/>
    <row r="4492" ht="15" customHeight="1" x14ac:dyDescent="0.35"/>
    <row r="4493" ht="15" customHeight="1" x14ac:dyDescent="0.35"/>
    <row r="4494" ht="15" customHeight="1" x14ac:dyDescent="0.35"/>
    <row r="4495" ht="15" customHeight="1" x14ac:dyDescent="0.35"/>
    <row r="4496" ht="15" customHeight="1" x14ac:dyDescent="0.35"/>
    <row r="4497" ht="15" customHeight="1" x14ac:dyDescent="0.35"/>
    <row r="4498" ht="15" customHeight="1" x14ac:dyDescent="0.35"/>
    <row r="4499" ht="15" customHeight="1" x14ac:dyDescent="0.35"/>
    <row r="4500" ht="15" customHeight="1" x14ac:dyDescent="0.35"/>
    <row r="4501" ht="15" customHeight="1" x14ac:dyDescent="0.35"/>
    <row r="4502" ht="15" customHeight="1" x14ac:dyDescent="0.35"/>
    <row r="4503" ht="15" customHeight="1" x14ac:dyDescent="0.35"/>
    <row r="4504" ht="15" customHeight="1" x14ac:dyDescent="0.35"/>
    <row r="4505" ht="15" customHeight="1" x14ac:dyDescent="0.35"/>
    <row r="4506" ht="15" customHeight="1" x14ac:dyDescent="0.35"/>
    <row r="4507" ht="15" customHeight="1" x14ac:dyDescent="0.35"/>
    <row r="4508" ht="15" customHeight="1" x14ac:dyDescent="0.35"/>
    <row r="4509" ht="15" customHeight="1" x14ac:dyDescent="0.35"/>
    <row r="4510" ht="15" customHeight="1" x14ac:dyDescent="0.35"/>
    <row r="4511" ht="15" customHeight="1" x14ac:dyDescent="0.35"/>
    <row r="4512" ht="15" customHeight="1" x14ac:dyDescent="0.35"/>
    <row r="4513" ht="15" customHeight="1" x14ac:dyDescent="0.35"/>
    <row r="4514" ht="15" customHeight="1" x14ac:dyDescent="0.35"/>
    <row r="4515" ht="15" customHeight="1" x14ac:dyDescent="0.35"/>
    <row r="4516" ht="15" customHeight="1" x14ac:dyDescent="0.35"/>
    <row r="4517" ht="15" customHeight="1" x14ac:dyDescent="0.35"/>
    <row r="4518" ht="15" customHeight="1" x14ac:dyDescent="0.35"/>
    <row r="4519" ht="15" customHeight="1" x14ac:dyDescent="0.35"/>
    <row r="4520" ht="15" customHeight="1" x14ac:dyDescent="0.35"/>
    <row r="4521" ht="15" customHeight="1" x14ac:dyDescent="0.35"/>
    <row r="4522" ht="15" customHeight="1" x14ac:dyDescent="0.35"/>
    <row r="4523" ht="15" customHeight="1" x14ac:dyDescent="0.35"/>
    <row r="4524" ht="15" customHeight="1" x14ac:dyDescent="0.35"/>
    <row r="4525" ht="15" customHeight="1" x14ac:dyDescent="0.35"/>
    <row r="4526" ht="15" customHeight="1" x14ac:dyDescent="0.35"/>
    <row r="4527" ht="15" customHeight="1" x14ac:dyDescent="0.35"/>
    <row r="4528" ht="15" customHeight="1" x14ac:dyDescent="0.35"/>
    <row r="4529" ht="15" customHeight="1" x14ac:dyDescent="0.35"/>
    <row r="4530" ht="15" customHeight="1" x14ac:dyDescent="0.35"/>
    <row r="4531" ht="15" customHeight="1" x14ac:dyDescent="0.35"/>
    <row r="4532" ht="15" customHeight="1" x14ac:dyDescent="0.35"/>
    <row r="4533" ht="15" customHeight="1" x14ac:dyDescent="0.35"/>
    <row r="4534" ht="15" customHeight="1" x14ac:dyDescent="0.35"/>
    <row r="4535" ht="15" customHeight="1" x14ac:dyDescent="0.35"/>
    <row r="4536" ht="15" customHeight="1" x14ac:dyDescent="0.35"/>
    <row r="4537" ht="15" customHeight="1" x14ac:dyDescent="0.35"/>
    <row r="4538" ht="15" customHeight="1" x14ac:dyDescent="0.35"/>
    <row r="4539" ht="15" customHeight="1" x14ac:dyDescent="0.35"/>
    <row r="4540" ht="15" customHeight="1" x14ac:dyDescent="0.35"/>
    <row r="4541" ht="15" customHeight="1" x14ac:dyDescent="0.35"/>
    <row r="4542" ht="15" customHeight="1" x14ac:dyDescent="0.35"/>
    <row r="4543" ht="15" customHeight="1" x14ac:dyDescent="0.35"/>
    <row r="4544" ht="15" customHeight="1" x14ac:dyDescent="0.35"/>
    <row r="4545" ht="15" customHeight="1" x14ac:dyDescent="0.35"/>
    <row r="4546" ht="15" customHeight="1" x14ac:dyDescent="0.35"/>
    <row r="4547" ht="15" customHeight="1" x14ac:dyDescent="0.35"/>
    <row r="4548" ht="15" customHeight="1" x14ac:dyDescent="0.35"/>
    <row r="4549" ht="15" customHeight="1" x14ac:dyDescent="0.35"/>
    <row r="4550" ht="15" customHeight="1" x14ac:dyDescent="0.35"/>
    <row r="4551" ht="15" customHeight="1" x14ac:dyDescent="0.35"/>
    <row r="4552" ht="15" customHeight="1" x14ac:dyDescent="0.35"/>
    <row r="4553" ht="15" customHeight="1" x14ac:dyDescent="0.35"/>
    <row r="4554" ht="15" customHeight="1" x14ac:dyDescent="0.35"/>
    <row r="4555" ht="15" customHeight="1" x14ac:dyDescent="0.35"/>
    <row r="4556" ht="15" customHeight="1" x14ac:dyDescent="0.35"/>
    <row r="4557" ht="15" customHeight="1" x14ac:dyDescent="0.35"/>
    <row r="4558" ht="15" customHeight="1" x14ac:dyDescent="0.35"/>
    <row r="4559" ht="15" customHeight="1" x14ac:dyDescent="0.35"/>
    <row r="4560" ht="15" customHeight="1" x14ac:dyDescent="0.35"/>
    <row r="4561" ht="15" customHeight="1" x14ac:dyDescent="0.35"/>
    <row r="4562" ht="15" customHeight="1" x14ac:dyDescent="0.35"/>
    <row r="4563" ht="15" customHeight="1" x14ac:dyDescent="0.35"/>
    <row r="4564" ht="15" customHeight="1" x14ac:dyDescent="0.35"/>
    <row r="4565" ht="15" customHeight="1" x14ac:dyDescent="0.35"/>
    <row r="4566" ht="15" customHeight="1" x14ac:dyDescent="0.35"/>
    <row r="4567" ht="15" customHeight="1" x14ac:dyDescent="0.35"/>
    <row r="4568" ht="15" customHeight="1" x14ac:dyDescent="0.35"/>
    <row r="4569" ht="15" customHeight="1" x14ac:dyDescent="0.35"/>
    <row r="4570" ht="15" customHeight="1" x14ac:dyDescent="0.35"/>
    <row r="4571" ht="15" customHeight="1" x14ac:dyDescent="0.35"/>
    <row r="4572" ht="15" customHeight="1" x14ac:dyDescent="0.35"/>
    <row r="4573" ht="15" customHeight="1" x14ac:dyDescent="0.35"/>
    <row r="4574" ht="15" customHeight="1" x14ac:dyDescent="0.35"/>
    <row r="4575" ht="15" customHeight="1" x14ac:dyDescent="0.35"/>
    <row r="4576" ht="15" customHeight="1" x14ac:dyDescent="0.35"/>
    <row r="4577" ht="15" customHeight="1" x14ac:dyDescent="0.35"/>
    <row r="4578" ht="15" customHeight="1" x14ac:dyDescent="0.35"/>
    <row r="4579" ht="15" customHeight="1" x14ac:dyDescent="0.35"/>
    <row r="4580" ht="15" customHeight="1" x14ac:dyDescent="0.35"/>
    <row r="4581" ht="15" customHeight="1" x14ac:dyDescent="0.35"/>
    <row r="4582" ht="15" customHeight="1" x14ac:dyDescent="0.35"/>
    <row r="4583" ht="15" customHeight="1" x14ac:dyDescent="0.35"/>
    <row r="4584" ht="15" customHeight="1" x14ac:dyDescent="0.35"/>
    <row r="4585" ht="15" customHeight="1" x14ac:dyDescent="0.35"/>
    <row r="4586" ht="15" customHeight="1" x14ac:dyDescent="0.35"/>
    <row r="4587" ht="15" customHeight="1" x14ac:dyDescent="0.35"/>
    <row r="4588" ht="15" customHeight="1" x14ac:dyDescent="0.35"/>
    <row r="4589" ht="15" customHeight="1" x14ac:dyDescent="0.35"/>
    <row r="4590" ht="15" customHeight="1" x14ac:dyDescent="0.35"/>
    <row r="4591" ht="15" customHeight="1" x14ac:dyDescent="0.35"/>
    <row r="4592" ht="15" customHeight="1" x14ac:dyDescent="0.35"/>
    <row r="4593" ht="15" customHeight="1" x14ac:dyDescent="0.35"/>
    <row r="4594" ht="15" customHeight="1" x14ac:dyDescent="0.35"/>
    <row r="4595" ht="15" customHeight="1" x14ac:dyDescent="0.35"/>
    <row r="4596" ht="15" customHeight="1" x14ac:dyDescent="0.35"/>
    <row r="4597" ht="15" customHeight="1" x14ac:dyDescent="0.35"/>
    <row r="4598" ht="15" customHeight="1" x14ac:dyDescent="0.35"/>
    <row r="4599" ht="15" customHeight="1" x14ac:dyDescent="0.35"/>
    <row r="4600" ht="15" customHeight="1" x14ac:dyDescent="0.35"/>
    <row r="4601" ht="15" customHeight="1" x14ac:dyDescent="0.35"/>
    <row r="4602" ht="15" customHeight="1" x14ac:dyDescent="0.35"/>
    <row r="4603" ht="15" customHeight="1" x14ac:dyDescent="0.35"/>
    <row r="4604" ht="15" customHeight="1" x14ac:dyDescent="0.35"/>
    <row r="4605" ht="15" customHeight="1" x14ac:dyDescent="0.35"/>
    <row r="4606" ht="15" customHeight="1" x14ac:dyDescent="0.35"/>
    <row r="4607" ht="15" customHeight="1" x14ac:dyDescent="0.35"/>
    <row r="4608" ht="15" customHeight="1" x14ac:dyDescent="0.35"/>
    <row r="4609" ht="15" customHeight="1" x14ac:dyDescent="0.35"/>
    <row r="4610" ht="15" customHeight="1" x14ac:dyDescent="0.35"/>
    <row r="4611" ht="15" customHeight="1" x14ac:dyDescent="0.35"/>
    <row r="4612" ht="15" customHeight="1" x14ac:dyDescent="0.35"/>
    <row r="4613" ht="15" customHeight="1" x14ac:dyDescent="0.35"/>
    <row r="4614" ht="15" customHeight="1" x14ac:dyDescent="0.35"/>
    <row r="4615" ht="15" customHeight="1" x14ac:dyDescent="0.35"/>
    <row r="4616" ht="15" customHeight="1" x14ac:dyDescent="0.35"/>
    <row r="4617" ht="15" customHeight="1" x14ac:dyDescent="0.35"/>
    <row r="4618" ht="15" customHeight="1" x14ac:dyDescent="0.35"/>
    <row r="4619" ht="15" customHeight="1" x14ac:dyDescent="0.35"/>
    <row r="4620" ht="15" customHeight="1" x14ac:dyDescent="0.35"/>
    <row r="4621" ht="15" customHeight="1" x14ac:dyDescent="0.35"/>
    <row r="4622" ht="15" customHeight="1" x14ac:dyDescent="0.35"/>
    <row r="4623" ht="15" customHeight="1" x14ac:dyDescent="0.35"/>
    <row r="4624" ht="15" customHeight="1" x14ac:dyDescent="0.35"/>
    <row r="4625" ht="15" customHeight="1" x14ac:dyDescent="0.35"/>
    <row r="4626" ht="15" customHeight="1" x14ac:dyDescent="0.35"/>
    <row r="4627" ht="15" customHeight="1" x14ac:dyDescent="0.35"/>
    <row r="4628" ht="15" customHeight="1" x14ac:dyDescent="0.35"/>
    <row r="4629" ht="15" customHeight="1" x14ac:dyDescent="0.35"/>
    <row r="4630" ht="15" customHeight="1" x14ac:dyDescent="0.35"/>
    <row r="4631" ht="15" customHeight="1" x14ac:dyDescent="0.35"/>
    <row r="4632" ht="15" customHeight="1" x14ac:dyDescent="0.35"/>
    <row r="4633" ht="15" customHeight="1" x14ac:dyDescent="0.35"/>
    <row r="4634" ht="15" customHeight="1" x14ac:dyDescent="0.35"/>
    <row r="4635" ht="15" customHeight="1" x14ac:dyDescent="0.35"/>
    <row r="4636" ht="15" customHeight="1" x14ac:dyDescent="0.35"/>
    <row r="4637" ht="15" customHeight="1" x14ac:dyDescent="0.35"/>
    <row r="4638" ht="15" customHeight="1" x14ac:dyDescent="0.35"/>
    <row r="4639" ht="15" customHeight="1" x14ac:dyDescent="0.35"/>
    <row r="4640" ht="15" customHeight="1" x14ac:dyDescent="0.35"/>
    <row r="4641" ht="15" customHeight="1" x14ac:dyDescent="0.35"/>
    <row r="4642" ht="15" customHeight="1" x14ac:dyDescent="0.35"/>
    <row r="4643" ht="15" customHeight="1" x14ac:dyDescent="0.35"/>
    <row r="4644" ht="15" customHeight="1" x14ac:dyDescent="0.35"/>
    <row r="4645" ht="15" customHeight="1" x14ac:dyDescent="0.35"/>
    <row r="4646" ht="15" customHeight="1" x14ac:dyDescent="0.35"/>
    <row r="4647" ht="15" customHeight="1" x14ac:dyDescent="0.35"/>
    <row r="4648" ht="15" customHeight="1" x14ac:dyDescent="0.35"/>
    <row r="4649" ht="15" customHeight="1" x14ac:dyDescent="0.35"/>
    <row r="4650" ht="15" customHeight="1" x14ac:dyDescent="0.35"/>
    <row r="4651" ht="15" customHeight="1" x14ac:dyDescent="0.35"/>
    <row r="4652" ht="15" customHeight="1" x14ac:dyDescent="0.35"/>
    <row r="4653" ht="15" customHeight="1" x14ac:dyDescent="0.35"/>
    <row r="4654" ht="15" customHeight="1" x14ac:dyDescent="0.35"/>
    <row r="4655" ht="15" customHeight="1" x14ac:dyDescent="0.35"/>
    <row r="4656" ht="15" customHeight="1" x14ac:dyDescent="0.35"/>
    <row r="4657" ht="15" customHeight="1" x14ac:dyDescent="0.35"/>
    <row r="4658" ht="15" customHeight="1" x14ac:dyDescent="0.35"/>
    <row r="4659" ht="15" customHeight="1" x14ac:dyDescent="0.35"/>
    <row r="4660" ht="15" customHeight="1" x14ac:dyDescent="0.35"/>
    <row r="4661" ht="15" customHeight="1" x14ac:dyDescent="0.35"/>
    <row r="4662" ht="15" customHeight="1" x14ac:dyDescent="0.35"/>
    <row r="4663" ht="15" customHeight="1" x14ac:dyDescent="0.35"/>
    <row r="4664" ht="15" customHeight="1" x14ac:dyDescent="0.35"/>
    <row r="4665" ht="15" customHeight="1" x14ac:dyDescent="0.35"/>
    <row r="4666" ht="15" customHeight="1" x14ac:dyDescent="0.35"/>
    <row r="4667" ht="15" customHeight="1" x14ac:dyDescent="0.35"/>
    <row r="4668" ht="15" customHeight="1" x14ac:dyDescent="0.35"/>
    <row r="4669" ht="15" customHeight="1" x14ac:dyDescent="0.35"/>
    <row r="4670" ht="15" customHeight="1" x14ac:dyDescent="0.35"/>
    <row r="4671" ht="15" customHeight="1" x14ac:dyDescent="0.35"/>
    <row r="4672" ht="15" customHeight="1" x14ac:dyDescent="0.35"/>
    <row r="4673" ht="15" customHeight="1" x14ac:dyDescent="0.35"/>
    <row r="4674" ht="15" customHeight="1" x14ac:dyDescent="0.35"/>
    <row r="4675" ht="15" customHeight="1" x14ac:dyDescent="0.35"/>
    <row r="4676" ht="15" customHeight="1" x14ac:dyDescent="0.35"/>
    <row r="4677" ht="15" customHeight="1" x14ac:dyDescent="0.35"/>
    <row r="4678" ht="15" customHeight="1" x14ac:dyDescent="0.35"/>
    <row r="4679" ht="15" customHeight="1" x14ac:dyDescent="0.35"/>
    <row r="4680" ht="15" customHeight="1" x14ac:dyDescent="0.35"/>
    <row r="4681" ht="15" customHeight="1" x14ac:dyDescent="0.35"/>
    <row r="4682" ht="15" customHeight="1" x14ac:dyDescent="0.35"/>
    <row r="4683" ht="15" customHeight="1" x14ac:dyDescent="0.35"/>
    <row r="4684" ht="15" customHeight="1" x14ac:dyDescent="0.35"/>
    <row r="4685" ht="15" customHeight="1" x14ac:dyDescent="0.35"/>
    <row r="4686" ht="15" customHeight="1" x14ac:dyDescent="0.35"/>
    <row r="4687" ht="15" customHeight="1" x14ac:dyDescent="0.35"/>
    <row r="4688" ht="15" customHeight="1" x14ac:dyDescent="0.35"/>
    <row r="4689" ht="15" customHeight="1" x14ac:dyDescent="0.35"/>
    <row r="4690" ht="15" customHeight="1" x14ac:dyDescent="0.35"/>
    <row r="4691" ht="15" customHeight="1" x14ac:dyDescent="0.35"/>
    <row r="4692" ht="15" customHeight="1" x14ac:dyDescent="0.35"/>
    <row r="4693" ht="15" customHeight="1" x14ac:dyDescent="0.35"/>
    <row r="4694" ht="15" customHeight="1" x14ac:dyDescent="0.35"/>
    <row r="4695" ht="15" customHeight="1" x14ac:dyDescent="0.35"/>
    <row r="4696" ht="15" customHeight="1" x14ac:dyDescent="0.35"/>
    <row r="4697" ht="15" customHeight="1" x14ac:dyDescent="0.35"/>
    <row r="4698" ht="15" customHeight="1" x14ac:dyDescent="0.35"/>
    <row r="4699" ht="15" customHeight="1" x14ac:dyDescent="0.35"/>
    <row r="4700" ht="15" customHeight="1" x14ac:dyDescent="0.35"/>
    <row r="4701" ht="15" customHeight="1" x14ac:dyDescent="0.35"/>
    <row r="4702" ht="15" customHeight="1" x14ac:dyDescent="0.35"/>
    <row r="4703" ht="15" customHeight="1" x14ac:dyDescent="0.35"/>
    <row r="4704" ht="15" customHeight="1" x14ac:dyDescent="0.35"/>
    <row r="4705" ht="15" customHeight="1" x14ac:dyDescent="0.35"/>
    <row r="4706" ht="15" customHeight="1" x14ac:dyDescent="0.35"/>
    <row r="4707" ht="15" customHeight="1" x14ac:dyDescent="0.35"/>
    <row r="4708" ht="15" customHeight="1" x14ac:dyDescent="0.35"/>
    <row r="4709" ht="15" customHeight="1" x14ac:dyDescent="0.35"/>
    <row r="4710" ht="15" customHeight="1" x14ac:dyDescent="0.35"/>
    <row r="4711" ht="15" customHeight="1" x14ac:dyDescent="0.35"/>
    <row r="4712" ht="15" customHeight="1" x14ac:dyDescent="0.35"/>
    <row r="4713" ht="15" customHeight="1" x14ac:dyDescent="0.35"/>
    <row r="4714" ht="15" customHeight="1" x14ac:dyDescent="0.35"/>
    <row r="4715" ht="15" customHeight="1" x14ac:dyDescent="0.35"/>
    <row r="4716" ht="15" customHeight="1" x14ac:dyDescent="0.35"/>
    <row r="4717" ht="15" customHeight="1" x14ac:dyDescent="0.35"/>
    <row r="4718" ht="15" customHeight="1" x14ac:dyDescent="0.35"/>
    <row r="4719" ht="15" customHeight="1" x14ac:dyDescent="0.35"/>
    <row r="4720" ht="15" customHeight="1" x14ac:dyDescent="0.35"/>
    <row r="4721" ht="15" customHeight="1" x14ac:dyDescent="0.35"/>
    <row r="4722" ht="15" customHeight="1" x14ac:dyDescent="0.35"/>
    <row r="4723" ht="15" customHeight="1" x14ac:dyDescent="0.35"/>
    <row r="4724" ht="15" customHeight="1" x14ac:dyDescent="0.35"/>
    <row r="4725" ht="15" customHeight="1" x14ac:dyDescent="0.35"/>
    <row r="4726" ht="15" customHeight="1" x14ac:dyDescent="0.35"/>
    <row r="4727" ht="15" customHeight="1" x14ac:dyDescent="0.35"/>
    <row r="4728" ht="15" customHeight="1" x14ac:dyDescent="0.35"/>
    <row r="4729" ht="15" customHeight="1" x14ac:dyDescent="0.35"/>
    <row r="4730" ht="15" customHeight="1" x14ac:dyDescent="0.35"/>
    <row r="4731" ht="15" customHeight="1" x14ac:dyDescent="0.35"/>
    <row r="4732" ht="15" customHeight="1" x14ac:dyDescent="0.35"/>
    <row r="4733" ht="15" customHeight="1" x14ac:dyDescent="0.35"/>
    <row r="4734" ht="15" customHeight="1" x14ac:dyDescent="0.35"/>
    <row r="4735" ht="15" customHeight="1" x14ac:dyDescent="0.35"/>
    <row r="4736" ht="15" customHeight="1" x14ac:dyDescent="0.35"/>
    <row r="4737" ht="15" customHeight="1" x14ac:dyDescent="0.35"/>
    <row r="4738" ht="15" customHeight="1" x14ac:dyDescent="0.35"/>
    <row r="4739" ht="15" customHeight="1" x14ac:dyDescent="0.35"/>
    <row r="4740" ht="15" customHeight="1" x14ac:dyDescent="0.35"/>
    <row r="4741" ht="15" customHeight="1" x14ac:dyDescent="0.35"/>
  </sheetData>
  <sheetProtection algorithmName="SHA-512" hashValue="yrhThn7EwatZ+rDa5ThJiv+EBzbh4zHqI0WA2Ox0MdloxY0vllY08eAAD9oyjzZM/slm8AsrLfVmSTZQc1W9kA==" saltValue="WOzp7Z1/ptjbdDNYvJkfMA==" spinCount="100000" sheet="1" objects="1" scenarios="1"/>
  <hyperlinks>
    <hyperlink ref="F2" location="Navigation!A1" display="Navigation" xr:uid="{00000000-0004-0000-1200-000000000000}"/>
  </hyperlinks>
  <pageMargins left="0.75" right="0.75" top="1" bottom="1" header="0.5" footer="0.5"/>
  <pageSetup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6" tint="-0.499984740745262"/>
  </sheetPr>
  <dimension ref="A1:AP50"/>
  <sheetViews>
    <sheetView zoomScale="70" zoomScaleNormal="70" workbookViewId="0"/>
  </sheetViews>
  <sheetFormatPr defaultColWidth="9.453125" defaultRowHeight="15" customHeight="1" x14ac:dyDescent="0.35"/>
  <cols>
    <col min="1" max="2" width="3.54296875" style="7" customWidth="1"/>
    <col min="3" max="3" width="30.54296875" style="65" customWidth="1"/>
    <col min="4" max="4" width="15.54296875" style="65" customWidth="1"/>
    <col min="5" max="5" width="3.54296875" style="65" customWidth="1"/>
    <col min="6" max="41" width="14.453125" style="65" customWidth="1"/>
    <col min="42" max="42" width="9.453125" style="7"/>
    <col min="43" max="16384" width="9.453125" style="65"/>
  </cols>
  <sheetData>
    <row r="1" spans="1:42" s="7" customFormat="1" ht="15" customHeight="1" thickBot="1" x14ac:dyDescent="0.4"/>
    <row r="2" spans="1:42" ht="15" customHeight="1" thickTop="1" thickBot="1" x14ac:dyDescent="0.4">
      <c r="C2" s="63" t="s">
        <v>236</v>
      </c>
      <c r="D2" s="64"/>
      <c r="E2" s="7"/>
      <c r="F2" s="10" t="s">
        <v>159</v>
      </c>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row>
    <row r="3" spans="1:42" s="7" customFormat="1" ht="15" customHeight="1" thickBot="1" x14ac:dyDescent="0.4"/>
    <row r="4" spans="1:42" s="7" customFormat="1" ht="15" customHeight="1" x14ac:dyDescent="0.35">
      <c r="B4" s="12"/>
      <c r="C4" s="13"/>
      <c r="D4" s="13"/>
      <c r="E4" s="13"/>
      <c r="F4" s="13"/>
      <c r="G4" s="13"/>
      <c r="H4" s="13"/>
      <c r="I4" s="13"/>
      <c r="J4" s="13"/>
      <c r="K4" s="13"/>
      <c r="L4" s="13"/>
      <c r="M4" s="13"/>
      <c r="N4" s="13"/>
      <c r="O4" s="13"/>
      <c r="P4" s="13"/>
      <c r="Q4" s="13"/>
      <c r="R4" s="13"/>
      <c r="S4" s="13"/>
      <c r="T4" s="13"/>
      <c r="U4" s="13"/>
      <c r="V4" s="66"/>
      <c r="W4" s="66"/>
      <c r="X4" s="66"/>
      <c r="Y4" s="66"/>
      <c r="Z4" s="66"/>
      <c r="AA4" s="66"/>
      <c r="AB4" s="66"/>
      <c r="AC4" s="66"/>
      <c r="AD4" s="66"/>
      <c r="AE4" s="66"/>
      <c r="AF4" s="66"/>
      <c r="AG4" s="66"/>
      <c r="AH4" s="66"/>
      <c r="AI4" s="66"/>
      <c r="AJ4" s="66"/>
      <c r="AK4" s="66"/>
      <c r="AL4" s="66"/>
      <c r="AM4" s="66"/>
      <c r="AN4" s="66"/>
      <c r="AO4" s="66"/>
      <c r="AP4" s="14"/>
    </row>
    <row r="5" spans="1:42" s="72" customFormat="1" ht="15" customHeight="1" x14ac:dyDescent="0.35">
      <c r="A5" s="67"/>
      <c r="B5" s="68"/>
      <c r="C5" s="69"/>
      <c r="D5" s="69"/>
      <c r="E5" s="15"/>
      <c r="F5" s="70" t="str">
        <f t="shared" ref="F5:AI5" si="0">IF(F6=Announcement_Year,"Ancmt Yr",
IF(F6=Reference_Year,"Ref Yr",
IF(F6=Standard_Year,"Std Yr",
IF(F6=Terminal_Year,"Term Yr",
" "))))</f>
        <v xml:space="preserve"> </v>
      </c>
      <c r="G5" s="70" t="str">
        <f t="shared" ca="1" si="0"/>
        <v>Ancmt Yr</v>
      </c>
      <c r="H5" s="70" t="str">
        <f t="shared" ca="1" si="0"/>
        <v xml:space="preserve"> </v>
      </c>
      <c r="I5" s="70" t="str">
        <f t="shared" ca="1" si="0"/>
        <v xml:space="preserve"> </v>
      </c>
      <c r="J5" s="70" t="str">
        <f t="shared" ca="1" si="0"/>
        <v>Std Yr</v>
      </c>
      <c r="K5" s="70" t="str">
        <f t="shared" ca="1" si="0"/>
        <v xml:space="preserve"> </v>
      </c>
      <c r="L5" s="70" t="str">
        <f t="shared" ca="1" si="0"/>
        <v xml:space="preserve"> </v>
      </c>
      <c r="M5" s="70" t="str">
        <f t="shared" ca="1" si="0"/>
        <v xml:space="preserve"> </v>
      </c>
      <c r="N5" s="70" t="str">
        <f t="shared" ca="1" si="0"/>
        <v xml:space="preserve"> </v>
      </c>
      <c r="O5" s="70" t="str">
        <f t="shared" ca="1" si="0"/>
        <v xml:space="preserve"> </v>
      </c>
      <c r="P5" s="70" t="str">
        <f t="shared" ca="1" si="0"/>
        <v xml:space="preserve"> </v>
      </c>
      <c r="Q5" s="70" t="str">
        <f t="shared" ca="1" si="0"/>
        <v xml:space="preserve"> </v>
      </c>
      <c r="R5" s="70" t="str">
        <f t="shared" ca="1" si="0"/>
        <v xml:space="preserve"> </v>
      </c>
      <c r="S5" s="70" t="str">
        <f t="shared" ca="1" si="0"/>
        <v xml:space="preserve"> </v>
      </c>
      <c r="T5" s="70" t="str">
        <f t="shared" ca="1" si="0"/>
        <v xml:space="preserve"> </v>
      </c>
      <c r="U5" s="70" t="str">
        <f t="shared" ca="1" si="0"/>
        <v xml:space="preserve"> </v>
      </c>
      <c r="V5" s="70" t="str">
        <f t="shared" ca="1" si="0"/>
        <v xml:space="preserve"> </v>
      </c>
      <c r="W5" s="70" t="str">
        <f t="shared" ca="1" si="0"/>
        <v xml:space="preserve"> </v>
      </c>
      <c r="X5" s="70" t="str">
        <f t="shared" ca="1" si="0"/>
        <v xml:space="preserve"> </v>
      </c>
      <c r="Y5" s="70" t="str">
        <f t="shared" ca="1" si="0"/>
        <v xml:space="preserve"> </v>
      </c>
      <c r="Z5" s="70" t="str">
        <f t="shared" ca="1" si="0"/>
        <v xml:space="preserve"> </v>
      </c>
      <c r="AA5" s="70" t="str">
        <f t="shared" ca="1" si="0"/>
        <v xml:space="preserve"> </v>
      </c>
      <c r="AB5" s="70" t="str">
        <f t="shared" ca="1" si="0"/>
        <v xml:space="preserve"> </v>
      </c>
      <c r="AC5" s="70" t="str">
        <f t="shared" ca="1" si="0"/>
        <v xml:space="preserve"> </v>
      </c>
      <c r="AD5" s="70" t="str">
        <f t="shared" ca="1" si="0"/>
        <v xml:space="preserve"> </v>
      </c>
      <c r="AE5" s="70" t="str">
        <f t="shared" ca="1" si="0"/>
        <v xml:space="preserve"> </v>
      </c>
      <c r="AF5" s="70" t="str">
        <f t="shared" ca="1" si="0"/>
        <v xml:space="preserve"> </v>
      </c>
      <c r="AG5" s="70" t="str">
        <f t="shared" ca="1" si="0"/>
        <v xml:space="preserve"> </v>
      </c>
      <c r="AH5" s="70" t="str">
        <f t="shared" ca="1" si="0"/>
        <v xml:space="preserve"> </v>
      </c>
      <c r="AI5" s="70" t="str">
        <f t="shared" ca="1" si="0"/>
        <v xml:space="preserve"> </v>
      </c>
      <c r="AJ5" s="70"/>
      <c r="AK5" s="70" t="str">
        <f ca="1">IF(AK6=Announcement_Year,"Ancmt Yr",
IF(AK6=Reference_Year,"Ref Yr",
IF(AK6=Standard_Year,"Std Yr",
IF(AK6=Terminal_Year,"Term Yr",
" "))))</f>
        <v xml:space="preserve"> </v>
      </c>
      <c r="AL5" s="70" t="str">
        <f ca="1">IF(AL6=Announcement_Year,"Ancmt Yr",
IF(AL6=Reference_Year,"Ref Yr",
IF(AL6=Standard_Year,"Std Yr",
IF(AL6=Terminal_Year,"Term Yr",
" "))))</f>
        <v xml:space="preserve"> </v>
      </c>
      <c r="AM5" s="70" t="str">
        <f ca="1">IF(AM6=Announcement_Year,"Ancmt Yr",
IF(AM6=Reference_Year,"Ref Yr",
IF(AM6=Standard_Year,"Std Yr",
IF(AM6=Terminal_Year,"Term Yr",
" "))))</f>
        <v xml:space="preserve"> </v>
      </c>
      <c r="AN5" s="70" t="str">
        <f ca="1">IF(AN6=Announcement_Year,"Ancmt Yr",
IF(AN6=Reference_Year,"Ref Yr",
IF(AN6=Standard_Year,"Std Yr",
IF(AN6=Terminal_Year,"Term Yr",
" "))))</f>
        <v xml:space="preserve"> </v>
      </c>
      <c r="AO5" s="70" t="str">
        <f ca="1">IF(AO6=Announcement_Year,"Ancmt Yr",
IF(AO6=Reference_Year,"Ref Yr",
IF(AO6=Standard_Year,"Std Yr",
IF(AO6=Terminal_Year,"Term Yr",
" "))))</f>
        <v>Term Yr</v>
      </c>
      <c r="AP5" s="71"/>
    </row>
    <row r="6" spans="1:42" ht="15" customHeight="1" x14ac:dyDescent="0.35">
      <c r="B6" s="73"/>
      <c r="C6" s="74" t="str">
        <f>"Industry Income Statement (in "&amp;Dollar_Year&amp;"$ millions)"</f>
        <v>Industry Income Statement (in 2021$ millions)</v>
      </c>
      <c r="D6" s="74"/>
      <c r="E6" s="75"/>
      <c r="F6" s="76">
        <f>Reference_Year - 1</f>
        <v>2022</v>
      </c>
      <c r="G6" s="76">
        <f ca="1">OFFSET(G6,0,-1)+1</f>
        <v>2023</v>
      </c>
      <c r="H6" s="76">
        <f t="shared" ref="H6:AO6" ca="1" si="1">OFFSET(H6,0,-1)+1</f>
        <v>2024</v>
      </c>
      <c r="I6" s="76">
        <f t="shared" ca="1" si="1"/>
        <v>2025</v>
      </c>
      <c r="J6" s="76">
        <f t="shared" ca="1" si="1"/>
        <v>2026</v>
      </c>
      <c r="K6" s="76">
        <f t="shared" ca="1" si="1"/>
        <v>2027</v>
      </c>
      <c r="L6" s="76">
        <f t="shared" ca="1" si="1"/>
        <v>2028</v>
      </c>
      <c r="M6" s="76">
        <f t="shared" ca="1" si="1"/>
        <v>2029</v>
      </c>
      <c r="N6" s="76">
        <f t="shared" ca="1" si="1"/>
        <v>2030</v>
      </c>
      <c r="O6" s="76">
        <f t="shared" ca="1" si="1"/>
        <v>2031</v>
      </c>
      <c r="P6" s="76">
        <f t="shared" ca="1" si="1"/>
        <v>2032</v>
      </c>
      <c r="Q6" s="76">
        <f t="shared" ca="1" si="1"/>
        <v>2033</v>
      </c>
      <c r="R6" s="76">
        <f t="shared" ca="1" si="1"/>
        <v>2034</v>
      </c>
      <c r="S6" s="76">
        <f t="shared" ca="1" si="1"/>
        <v>2035</v>
      </c>
      <c r="T6" s="76">
        <f t="shared" ca="1" si="1"/>
        <v>2036</v>
      </c>
      <c r="U6" s="76">
        <f t="shared" ca="1" si="1"/>
        <v>2037</v>
      </c>
      <c r="V6" s="76">
        <f t="shared" ca="1" si="1"/>
        <v>2038</v>
      </c>
      <c r="W6" s="76">
        <f t="shared" ca="1" si="1"/>
        <v>2039</v>
      </c>
      <c r="X6" s="76">
        <f t="shared" ca="1" si="1"/>
        <v>2040</v>
      </c>
      <c r="Y6" s="76">
        <f t="shared" ca="1" si="1"/>
        <v>2041</v>
      </c>
      <c r="Z6" s="76">
        <f t="shared" ca="1" si="1"/>
        <v>2042</v>
      </c>
      <c r="AA6" s="76">
        <f t="shared" ca="1" si="1"/>
        <v>2043</v>
      </c>
      <c r="AB6" s="76">
        <f t="shared" ca="1" si="1"/>
        <v>2044</v>
      </c>
      <c r="AC6" s="76">
        <f t="shared" ca="1" si="1"/>
        <v>2045</v>
      </c>
      <c r="AD6" s="76">
        <f t="shared" ca="1" si="1"/>
        <v>2046</v>
      </c>
      <c r="AE6" s="76">
        <f t="shared" ca="1" si="1"/>
        <v>2047</v>
      </c>
      <c r="AF6" s="76">
        <f t="shared" ca="1" si="1"/>
        <v>2048</v>
      </c>
      <c r="AG6" s="76">
        <f t="shared" ca="1" si="1"/>
        <v>2049</v>
      </c>
      <c r="AH6" s="76">
        <f t="shared" ca="1" si="1"/>
        <v>2050</v>
      </c>
      <c r="AI6" s="76">
        <f t="shared" ca="1" si="1"/>
        <v>2051</v>
      </c>
      <c r="AJ6" s="76">
        <f t="shared" ca="1" si="1"/>
        <v>2052</v>
      </c>
      <c r="AK6" s="76">
        <f t="shared" ca="1" si="1"/>
        <v>2053</v>
      </c>
      <c r="AL6" s="76">
        <f t="shared" ca="1" si="1"/>
        <v>2054</v>
      </c>
      <c r="AM6" s="76">
        <f t="shared" ca="1" si="1"/>
        <v>2055</v>
      </c>
      <c r="AN6" s="76">
        <f t="shared" ca="1" si="1"/>
        <v>2056</v>
      </c>
      <c r="AO6" s="76">
        <f t="shared" ca="1" si="1"/>
        <v>2057</v>
      </c>
      <c r="AP6" s="71"/>
    </row>
    <row r="7" spans="1:42" ht="15" customHeight="1" x14ac:dyDescent="0.35">
      <c r="B7" s="68"/>
      <c r="C7" s="75" t="s">
        <v>11</v>
      </c>
      <c r="D7" s="75"/>
      <c r="E7" s="75"/>
      <c r="F7" s="77">
        <f ca="1">INDEX(Total_Revenues_NoSTDs,MATCH(F$6,Dates,0))</f>
        <v>633.28196497713952</v>
      </c>
      <c r="G7" s="78">
        <f t="shared" ref="G7:AO7" ca="1" si="2">INDEX(Total_Revenues_NoSTDs,MATCH(G$6,Dates,0))</f>
        <v>656.61115010410003</v>
      </c>
      <c r="H7" s="78">
        <f t="shared" ca="1" si="2"/>
        <v>676.84807695261088</v>
      </c>
      <c r="I7" s="78">
        <f t="shared" ca="1" si="2"/>
        <v>703.5950648918415</v>
      </c>
      <c r="J7" s="78">
        <f t="shared" ca="1" si="2"/>
        <v>732.91827329366379</v>
      </c>
      <c r="K7" s="78">
        <f t="shared" ca="1" si="2"/>
        <v>764.94734714738001</v>
      </c>
      <c r="L7" s="78">
        <f t="shared" ca="1" si="2"/>
        <v>800.19811613745082</v>
      </c>
      <c r="M7" s="78">
        <f t="shared" ca="1" si="2"/>
        <v>837.48996661600631</v>
      </c>
      <c r="N7" s="78">
        <f t="shared" ca="1" si="2"/>
        <v>876.20328064140472</v>
      </c>
      <c r="O7" s="78">
        <f t="shared" ca="1" si="2"/>
        <v>916.37569706233899</v>
      </c>
      <c r="P7" s="78">
        <f t="shared" ca="1" si="2"/>
        <v>957.64200498407854</v>
      </c>
      <c r="Q7" s="78">
        <f t="shared" ca="1" si="2"/>
        <v>1000.5713101624074</v>
      </c>
      <c r="R7" s="78">
        <f t="shared" ca="1" si="2"/>
        <v>1044.7098022293153</v>
      </c>
      <c r="S7" s="78">
        <f t="shared" ca="1" si="2"/>
        <v>1090.8565948682619</v>
      </c>
      <c r="T7" s="78">
        <f t="shared" ca="1" si="2"/>
        <v>1139.6431689368528</v>
      </c>
      <c r="U7" s="78">
        <f t="shared" ca="1" si="2"/>
        <v>1190.4471257036066</v>
      </c>
      <c r="V7" s="78">
        <f t="shared" ca="1" si="2"/>
        <v>1244.2706890001464</v>
      </c>
      <c r="W7" s="78">
        <f t="shared" ca="1" si="2"/>
        <v>1300.061586548798</v>
      </c>
      <c r="X7" s="78">
        <f t="shared" ca="1" si="2"/>
        <v>1358.5418970953899</v>
      </c>
      <c r="Y7" s="78">
        <f t="shared" ca="1" si="2"/>
        <v>1419.8914098699152</v>
      </c>
      <c r="Z7" s="78">
        <f t="shared" ca="1" si="2"/>
        <v>1483.8979071782965</v>
      </c>
      <c r="AA7" s="78">
        <f t="shared" ca="1" si="2"/>
        <v>1550.5003546378121</v>
      </c>
      <c r="AB7" s="78">
        <f t="shared" ca="1" si="2"/>
        <v>1620.0190047244378</v>
      </c>
      <c r="AC7" s="78">
        <f t="shared" ca="1" si="2"/>
        <v>1693.082543231887</v>
      </c>
      <c r="AD7" s="78">
        <f t="shared" ca="1" si="2"/>
        <v>1769.1871937452381</v>
      </c>
      <c r="AE7" s="78">
        <f t="shared" ca="1" si="2"/>
        <v>1848.8654305169232</v>
      </c>
      <c r="AF7" s="78">
        <f t="shared" ca="1" si="2"/>
        <v>1931.9974491472371</v>
      </c>
      <c r="AG7" s="78">
        <f t="shared" ca="1" si="2"/>
        <v>2018.6399170813993</v>
      </c>
      <c r="AH7" s="78">
        <f t="shared" ca="1" si="2"/>
        <v>2109.1859563430003</v>
      </c>
      <c r="AI7" s="78">
        <f t="shared" ca="1" si="2"/>
        <v>2204.4029585585545</v>
      </c>
      <c r="AJ7" s="78">
        <f t="shared" ca="1" si="2"/>
        <v>2303.4495780331035</v>
      </c>
      <c r="AK7" s="78">
        <f t="shared" ca="1" si="2"/>
        <v>2406.6043644369265</v>
      </c>
      <c r="AL7" s="78">
        <f t="shared" ca="1" si="2"/>
        <v>2514.8434024405774</v>
      </c>
      <c r="AM7" s="78">
        <f t="shared" ca="1" si="2"/>
        <v>2627.9831454698424</v>
      </c>
      <c r="AN7" s="78">
        <f t="shared" ca="1" si="2"/>
        <v>2746.1582362224781</v>
      </c>
      <c r="AO7" s="79">
        <f t="shared" ca="1" si="2"/>
        <v>2869.5448729737386</v>
      </c>
      <c r="AP7" s="71"/>
    </row>
    <row r="8" spans="1:42" ht="15" customHeight="1" x14ac:dyDescent="0.35">
      <c r="B8" s="68"/>
      <c r="C8" s="75" t="s">
        <v>235</v>
      </c>
      <c r="D8" s="75"/>
      <c r="E8" s="75"/>
      <c r="F8" s="80">
        <f t="shared" ref="F8:AO8" ca="1" si="3">INDEX(Total_Unit_Sales_NoSTDs,MATCH(F$6,Dates,0))</f>
        <v>7.5707973221489757</v>
      </c>
      <c r="G8" s="81">
        <f t="shared" ca="1" si="3"/>
        <v>7.9093524384259357</v>
      </c>
      <c r="H8" s="81">
        <f t="shared" ca="1" si="3"/>
        <v>8.2127347841074965</v>
      </c>
      <c r="I8" s="81">
        <f t="shared" ca="1" si="3"/>
        <v>8.5984294340082918</v>
      </c>
      <c r="J8" s="81">
        <f t="shared" ca="1" si="3"/>
        <v>9.0122912362700944</v>
      </c>
      <c r="K8" s="81">
        <f t="shared" ca="1" si="3"/>
        <v>9.4703081184118609</v>
      </c>
      <c r="L8" s="81">
        <f t="shared" ca="1" si="3"/>
        <v>9.9670926866355813</v>
      </c>
      <c r="M8" s="81">
        <f t="shared" ca="1" si="3"/>
        <v>10.494559173428762</v>
      </c>
      <c r="N8" s="81">
        <f t="shared" ca="1" si="3"/>
        <v>11.046397652219259</v>
      </c>
      <c r="O8" s="81">
        <f t="shared" ca="1" si="3"/>
        <v>11.618404085770958</v>
      </c>
      <c r="P8" s="81">
        <f t="shared" ca="1" si="3"/>
        <v>12.210331454247907</v>
      </c>
      <c r="Q8" s="81">
        <f t="shared" ca="1" si="3"/>
        <v>12.824714907367937</v>
      </c>
      <c r="R8" s="81">
        <f t="shared" ca="1" si="3"/>
        <v>13.465427859557796</v>
      </c>
      <c r="S8" s="81">
        <f t="shared" ca="1" si="3"/>
        <v>14.136991745687819</v>
      </c>
      <c r="T8" s="81">
        <f t="shared" ca="1" si="3"/>
        <v>14.843206467369427</v>
      </c>
      <c r="U8" s="81">
        <f t="shared" ca="1" si="3"/>
        <v>15.586476240436248</v>
      </c>
      <c r="V8" s="81">
        <f t="shared" ca="1" si="3"/>
        <v>16.369473128948385</v>
      </c>
      <c r="W8" s="81">
        <f t="shared" ca="1" si="3"/>
        <v>17.190628033199836</v>
      </c>
      <c r="X8" s="81">
        <f t="shared" ca="1" si="3"/>
        <v>18.052436324644866</v>
      </c>
      <c r="Y8" s="81">
        <f t="shared" ca="1" si="3"/>
        <v>18.955938520315421</v>
      </c>
      <c r="Z8" s="81">
        <f t="shared" ca="1" si="3"/>
        <v>19.902673592501202</v>
      </c>
      <c r="AA8" s="81">
        <f t="shared" ca="1" si="3"/>
        <v>20.894704857773277</v>
      </c>
      <c r="AB8" s="81">
        <f t="shared" ca="1" si="3"/>
        <v>21.934412373627794</v>
      </c>
      <c r="AC8" s="81">
        <f t="shared" ca="1" si="3"/>
        <v>23.024524492715912</v>
      </c>
      <c r="AD8" s="81">
        <f t="shared" ca="1" si="3"/>
        <v>24.167797168625285</v>
      </c>
      <c r="AE8" s="81">
        <f t="shared" ca="1" si="3"/>
        <v>25.367001754271541</v>
      </c>
      <c r="AF8" s="81">
        <f t="shared" ca="1" si="3"/>
        <v>26.624910204793778</v>
      </c>
      <c r="AG8" s="81">
        <f t="shared" ca="1" si="3"/>
        <v>27.944321902036261</v>
      </c>
      <c r="AH8" s="81">
        <f t="shared" ca="1" si="3"/>
        <v>29.32812310017567</v>
      </c>
      <c r="AI8" s="81">
        <f t="shared" ca="1" si="3"/>
        <v>30.779340545114337</v>
      </c>
      <c r="AJ8" s="81">
        <f t="shared" ca="1" si="3"/>
        <v>32.301181969831163</v>
      </c>
      <c r="AK8" s="81">
        <f t="shared" ca="1" si="3"/>
        <v>33.897058210285969</v>
      </c>
      <c r="AL8" s="81">
        <f t="shared" ca="1" si="3"/>
        <v>35.570585160088655</v>
      </c>
      <c r="AM8" s="81">
        <f t="shared" ca="1" si="3"/>
        <v>37.325577124247062</v>
      </c>
      <c r="AN8" s="81">
        <f t="shared" ca="1" si="3"/>
        <v>39.166042399535925</v>
      </c>
      <c r="AO8" s="82">
        <f t="shared" ca="1" si="3"/>
        <v>41.096167382286382</v>
      </c>
      <c r="AP8" s="71"/>
    </row>
    <row r="9" spans="1:42" ht="15" customHeight="1" x14ac:dyDescent="0.35">
      <c r="B9" s="73"/>
      <c r="C9" s="83" t="s">
        <v>267</v>
      </c>
      <c r="D9" s="84"/>
      <c r="E9" s="84"/>
      <c r="F9" s="85">
        <f t="shared" ref="F9:AO9" ca="1" si="4">INDEX(Total_Materials_NoSTDs,MATCH(F$6,Dates,0))+INDEX(Total_Labor_NoSTDs,MATCH(F$6,Dates,0))+INDEX(Total_Depreciation_NoSTDs,MATCH(F$6,Dates,0))+INDEX(Total_Overhead_NoSTDs,MATCH(F$6,Dates,0))</f>
        <v>436.74618274285484</v>
      </c>
      <c r="G9" s="86">
        <f t="shared" ca="1" si="4"/>
        <v>452.83527593386219</v>
      </c>
      <c r="H9" s="86">
        <f t="shared" ca="1" si="4"/>
        <v>466.79177720869723</v>
      </c>
      <c r="I9" s="86">
        <f t="shared" ca="1" si="4"/>
        <v>485.2379757874769</v>
      </c>
      <c r="J9" s="86">
        <f t="shared" ca="1" si="4"/>
        <v>505.46087813356127</v>
      </c>
      <c r="K9" s="86">
        <f t="shared" ca="1" si="4"/>
        <v>527.54989458440002</v>
      </c>
      <c r="L9" s="86">
        <f t="shared" ca="1" si="4"/>
        <v>551.86076974996638</v>
      </c>
      <c r="M9" s="86">
        <f t="shared" ca="1" si="4"/>
        <v>577.57928732138362</v>
      </c>
      <c r="N9" s="86">
        <f t="shared" ca="1" si="4"/>
        <v>604.27812458027915</v>
      </c>
      <c r="O9" s="86">
        <f t="shared" ca="1" si="4"/>
        <v>631.98323935333724</v>
      </c>
      <c r="P9" s="86">
        <f t="shared" ca="1" si="4"/>
        <v>660.44276205798531</v>
      </c>
      <c r="Q9" s="86">
        <f t="shared" ca="1" si="4"/>
        <v>690.04917942234988</v>
      </c>
      <c r="R9" s="86">
        <f t="shared" ca="1" si="4"/>
        <v>720.48951877883815</v>
      </c>
      <c r="S9" s="86">
        <f t="shared" ca="1" si="4"/>
        <v>752.31489301259455</v>
      </c>
      <c r="T9" s="86">
        <f t="shared" ca="1" si="4"/>
        <v>785.96080616334689</v>
      </c>
      <c r="U9" s="86">
        <f t="shared" ca="1" si="4"/>
        <v>820.99801772662545</v>
      </c>
      <c r="V9" s="86">
        <f t="shared" ca="1" si="4"/>
        <v>858.11771655182508</v>
      </c>
      <c r="W9" s="86">
        <f t="shared" ca="1" si="4"/>
        <v>896.59419761986067</v>
      </c>
      <c r="X9" s="86">
        <f t="shared" ca="1" si="4"/>
        <v>936.92544627268262</v>
      </c>
      <c r="Y9" s="86">
        <f t="shared" ca="1" si="4"/>
        <v>979.23545508270035</v>
      </c>
      <c r="Z9" s="86">
        <f t="shared" ca="1" si="4"/>
        <v>1023.3778670195148</v>
      </c>
      <c r="AA9" s="86">
        <f t="shared" ca="1" si="4"/>
        <v>1069.3105894053876</v>
      </c>
      <c r="AB9" s="86">
        <f t="shared" ca="1" si="4"/>
        <v>1117.2544860168539</v>
      </c>
      <c r="AC9" s="86">
        <f t="shared" ca="1" si="4"/>
        <v>1167.6431332633706</v>
      </c>
      <c r="AD9" s="86">
        <f t="shared" ca="1" si="4"/>
        <v>1220.129099134647</v>
      </c>
      <c r="AE9" s="86">
        <f t="shared" ca="1" si="4"/>
        <v>1275.0796072530509</v>
      </c>
      <c r="AF9" s="86">
        <f t="shared" ca="1" si="4"/>
        <v>1332.4120338946464</v>
      </c>
      <c r="AG9" s="86">
        <f t="shared" ca="1" si="4"/>
        <v>1392.1654600561374</v>
      </c>
      <c r="AH9" s="86">
        <f t="shared" ca="1" si="4"/>
        <v>1454.6110043744834</v>
      </c>
      <c r="AI9" s="86">
        <f t="shared" ca="1" si="4"/>
        <v>1520.2779024541758</v>
      </c>
      <c r="AJ9" s="86">
        <f t="shared" ca="1" si="4"/>
        <v>1588.5859158848994</v>
      </c>
      <c r="AK9" s="86">
        <f t="shared" ca="1" si="4"/>
        <v>1659.7271478875355</v>
      </c>
      <c r="AL9" s="86">
        <f t="shared" ca="1" si="4"/>
        <v>1734.3747603038464</v>
      </c>
      <c r="AM9" s="86">
        <f t="shared" ca="1" si="4"/>
        <v>1812.4021692895469</v>
      </c>
      <c r="AN9" s="86">
        <f t="shared" ca="1" si="4"/>
        <v>1893.9022318775715</v>
      </c>
      <c r="AO9" s="87">
        <f t="shared" ca="1" si="4"/>
        <v>1978.9964641198201</v>
      </c>
      <c r="AP9" s="71"/>
    </row>
    <row r="10" spans="1:42" ht="15" customHeight="1" x14ac:dyDescent="0.35">
      <c r="B10" s="73"/>
      <c r="C10" s="83" t="s">
        <v>314</v>
      </c>
      <c r="D10" s="84"/>
      <c r="E10" s="84"/>
      <c r="F10" s="85">
        <f t="shared" ref="F10:AO10" ca="1" si="5">SGA*F7</f>
        <v>113.9907536958851</v>
      </c>
      <c r="G10" s="86">
        <f t="shared" ca="1" si="5"/>
        <v>118.190007018738</v>
      </c>
      <c r="H10" s="86">
        <f t="shared" ca="1" si="5"/>
        <v>121.83265385146996</v>
      </c>
      <c r="I10" s="86">
        <f t="shared" ca="1" si="5"/>
        <v>126.64711168053147</v>
      </c>
      <c r="J10" s="86">
        <f t="shared" ca="1" si="5"/>
        <v>131.92528919285948</v>
      </c>
      <c r="K10" s="86">
        <f t="shared" ca="1" si="5"/>
        <v>137.69052248652841</v>
      </c>
      <c r="L10" s="86">
        <f t="shared" ca="1" si="5"/>
        <v>144.03566090474115</v>
      </c>
      <c r="M10" s="86">
        <f t="shared" ca="1" si="5"/>
        <v>150.74819399088113</v>
      </c>
      <c r="N10" s="86">
        <f t="shared" ca="1" si="5"/>
        <v>157.71659051545285</v>
      </c>
      <c r="O10" s="86">
        <f t="shared" ca="1" si="5"/>
        <v>164.94762547122102</v>
      </c>
      <c r="P10" s="86">
        <f t="shared" ca="1" si="5"/>
        <v>172.37556089713414</v>
      </c>
      <c r="Q10" s="86">
        <f t="shared" ca="1" si="5"/>
        <v>180.10283582923333</v>
      </c>
      <c r="R10" s="86">
        <f t="shared" ca="1" si="5"/>
        <v>188.04776440127674</v>
      </c>
      <c r="S10" s="86">
        <f t="shared" ca="1" si="5"/>
        <v>196.35418707628713</v>
      </c>
      <c r="T10" s="86">
        <f t="shared" ca="1" si="5"/>
        <v>205.1357704086335</v>
      </c>
      <c r="U10" s="86">
        <f t="shared" ca="1" si="5"/>
        <v>214.28048262664919</v>
      </c>
      <c r="V10" s="86">
        <f t="shared" ca="1" si="5"/>
        <v>223.96872402002634</v>
      </c>
      <c r="W10" s="86">
        <f t="shared" ca="1" si="5"/>
        <v>234.01108557878362</v>
      </c>
      <c r="X10" s="86">
        <f t="shared" ca="1" si="5"/>
        <v>244.53754147717018</v>
      </c>
      <c r="Y10" s="86">
        <f t="shared" ca="1" si="5"/>
        <v>255.5804537765847</v>
      </c>
      <c r="Z10" s="86">
        <f t="shared" ca="1" si="5"/>
        <v>267.10162329209334</v>
      </c>
      <c r="AA10" s="86">
        <f t="shared" ca="1" si="5"/>
        <v>279.09006383480613</v>
      </c>
      <c r="AB10" s="86">
        <f t="shared" ca="1" si="5"/>
        <v>291.60342085039878</v>
      </c>
      <c r="AC10" s="86">
        <f t="shared" ca="1" si="5"/>
        <v>304.75485778173964</v>
      </c>
      <c r="AD10" s="86">
        <f t="shared" ca="1" si="5"/>
        <v>318.45369487414285</v>
      </c>
      <c r="AE10" s="86">
        <f t="shared" ca="1" si="5"/>
        <v>332.79577749304616</v>
      </c>
      <c r="AF10" s="86">
        <f t="shared" ca="1" si="5"/>
        <v>347.75954084650266</v>
      </c>
      <c r="AG10" s="86">
        <f t="shared" ca="1" si="5"/>
        <v>363.35518507465184</v>
      </c>
      <c r="AH10" s="86">
        <f t="shared" ca="1" si="5"/>
        <v>379.65347214174005</v>
      </c>
      <c r="AI10" s="86">
        <f t="shared" ca="1" si="5"/>
        <v>396.79253254053981</v>
      </c>
      <c r="AJ10" s="86">
        <f t="shared" ca="1" si="5"/>
        <v>414.62092404595865</v>
      </c>
      <c r="AK10" s="86">
        <f t="shared" ca="1" si="5"/>
        <v>433.18878559864675</v>
      </c>
      <c r="AL10" s="86">
        <f t="shared" ca="1" si="5"/>
        <v>452.67181243930389</v>
      </c>
      <c r="AM10" s="86">
        <f t="shared" ca="1" si="5"/>
        <v>473.03696618457161</v>
      </c>
      <c r="AN10" s="86">
        <f t="shared" ref="AN10" ca="1" si="6">SGA*AN7</f>
        <v>494.30848252004603</v>
      </c>
      <c r="AO10" s="87">
        <f t="shared" ca="1" si="5"/>
        <v>516.51807713527296</v>
      </c>
      <c r="AP10" s="71"/>
    </row>
    <row r="11" spans="1:42" ht="15" customHeight="1" x14ac:dyDescent="0.35">
      <c r="B11" s="73"/>
      <c r="C11" s="83" t="s">
        <v>147</v>
      </c>
      <c r="D11" s="84"/>
      <c r="E11" s="84"/>
      <c r="F11" s="85">
        <f t="shared" ref="F11:AO11" ca="1" si="7">RandD*F7</f>
        <v>10.765793404611372</v>
      </c>
      <c r="G11" s="86">
        <f t="shared" ca="1" si="7"/>
        <v>11.162389551769701</v>
      </c>
      <c r="H11" s="86">
        <f t="shared" ca="1" si="7"/>
        <v>11.506417308194386</v>
      </c>
      <c r="I11" s="86">
        <f t="shared" ca="1" si="7"/>
        <v>11.961116103161306</v>
      </c>
      <c r="J11" s="86">
        <f t="shared" ca="1" si="7"/>
        <v>12.459610645992285</v>
      </c>
      <c r="K11" s="86">
        <f t="shared" ca="1" si="7"/>
        <v>13.00410490150546</v>
      </c>
      <c r="L11" s="86">
        <f t="shared" ca="1" si="7"/>
        <v>13.603367974336665</v>
      </c>
      <c r="M11" s="86">
        <f t="shared" ca="1" si="7"/>
        <v>14.237329432472109</v>
      </c>
      <c r="N11" s="86">
        <f t="shared" ca="1" si="7"/>
        <v>14.895455770903881</v>
      </c>
      <c r="O11" s="86">
        <f t="shared" ca="1" si="7"/>
        <v>15.578386850059763</v>
      </c>
      <c r="P11" s="86">
        <f t="shared" ca="1" si="7"/>
        <v>16.279914084729338</v>
      </c>
      <c r="Q11" s="86">
        <f t="shared" ca="1" si="7"/>
        <v>17.009712272760925</v>
      </c>
      <c r="R11" s="86">
        <f t="shared" ca="1" si="7"/>
        <v>17.760066637898362</v>
      </c>
      <c r="S11" s="86">
        <f t="shared" ca="1" si="7"/>
        <v>18.544562112760453</v>
      </c>
      <c r="T11" s="86">
        <f t="shared" ca="1" si="7"/>
        <v>19.3739338719265</v>
      </c>
      <c r="U11" s="86">
        <f t="shared" ca="1" si="7"/>
        <v>20.237601136961313</v>
      </c>
      <c r="V11" s="86">
        <f t="shared" ca="1" si="7"/>
        <v>21.15260171300249</v>
      </c>
      <c r="W11" s="86">
        <f t="shared" ca="1" si="7"/>
        <v>22.101046971329566</v>
      </c>
      <c r="X11" s="86">
        <f t="shared" ca="1" si="7"/>
        <v>23.095212250621628</v>
      </c>
      <c r="Y11" s="86">
        <f t="shared" ca="1" si="7"/>
        <v>24.138153967788558</v>
      </c>
      <c r="Z11" s="86">
        <f t="shared" ca="1" si="7"/>
        <v>25.226264422031043</v>
      </c>
      <c r="AA11" s="86">
        <f t="shared" ca="1" si="7"/>
        <v>26.358506028842807</v>
      </c>
      <c r="AB11" s="86">
        <f t="shared" ca="1" si="7"/>
        <v>27.540323080315446</v>
      </c>
      <c r="AC11" s="86">
        <f t="shared" ca="1" si="7"/>
        <v>28.78240323494208</v>
      </c>
      <c r="AD11" s="86">
        <f t="shared" ca="1" si="7"/>
        <v>30.076182293669049</v>
      </c>
      <c r="AE11" s="86">
        <f t="shared" ca="1" si="7"/>
        <v>31.430712318787698</v>
      </c>
      <c r="AF11" s="86">
        <f t="shared" ca="1" si="7"/>
        <v>32.843956635503034</v>
      </c>
      <c r="AG11" s="86">
        <f t="shared" ca="1" si="7"/>
        <v>34.316878590383787</v>
      </c>
      <c r="AH11" s="86">
        <f t="shared" ca="1" si="7"/>
        <v>35.856161257831005</v>
      </c>
      <c r="AI11" s="86">
        <f t="shared" ca="1" si="7"/>
        <v>37.474850295495429</v>
      </c>
      <c r="AJ11" s="86">
        <f t="shared" ca="1" si="7"/>
        <v>39.158642826562762</v>
      </c>
      <c r="AK11" s="86">
        <f t="shared" ca="1" si="7"/>
        <v>40.912274195427756</v>
      </c>
      <c r="AL11" s="86">
        <f t="shared" ca="1" si="7"/>
        <v>42.752337841489819</v>
      </c>
      <c r="AM11" s="86">
        <f t="shared" ca="1" si="7"/>
        <v>44.675713472987326</v>
      </c>
      <c r="AN11" s="86">
        <f t="shared" ref="AN11" ca="1" si="8">RandD*AN7</f>
        <v>46.684690015782131</v>
      </c>
      <c r="AO11" s="87">
        <f t="shared" ca="1" si="7"/>
        <v>48.782262840553557</v>
      </c>
      <c r="AP11" s="71"/>
    </row>
    <row r="12" spans="1:42" ht="15" customHeight="1" x14ac:dyDescent="0.35">
      <c r="B12" s="73"/>
      <c r="C12" s="83" t="s">
        <v>148</v>
      </c>
      <c r="D12" s="75"/>
      <c r="E12" s="75"/>
      <c r="F12" s="85">
        <v>0</v>
      </c>
      <c r="G12" s="86">
        <v>0</v>
      </c>
      <c r="H12" s="86">
        <v>0</v>
      </c>
      <c r="I12" s="86">
        <v>0</v>
      </c>
      <c r="J12" s="86">
        <v>0</v>
      </c>
      <c r="K12" s="86">
        <v>0</v>
      </c>
      <c r="L12" s="86">
        <v>0</v>
      </c>
      <c r="M12" s="86">
        <v>0</v>
      </c>
      <c r="N12" s="86">
        <v>0</v>
      </c>
      <c r="O12" s="86">
        <v>0</v>
      </c>
      <c r="P12" s="86">
        <v>0</v>
      </c>
      <c r="Q12" s="86">
        <v>0</v>
      </c>
      <c r="R12" s="86">
        <v>0</v>
      </c>
      <c r="S12" s="86">
        <v>0</v>
      </c>
      <c r="T12" s="86">
        <v>0</v>
      </c>
      <c r="U12" s="86">
        <v>0</v>
      </c>
      <c r="V12" s="86">
        <v>0</v>
      </c>
      <c r="W12" s="86">
        <v>0</v>
      </c>
      <c r="X12" s="86">
        <v>0</v>
      </c>
      <c r="Y12" s="86">
        <v>0</v>
      </c>
      <c r="Z12" s="86">
        <v>0</v>
      </c>
      <c r="AA12" s="86">
        <v>0</v>
      </c>
      <c r="AB12" s="86">
        <v>0</v>
      </c>
      <c r="AC12" s="86">
        <v>0</v>
      </c>
      <c r="AD12" s="86">
        <v>0</v>
      </c>
      <c r="AE12" s="86">
        <v>0</v>
      </c>
      <c r="AF12" s="86">
        <v>0</v>
      </c>
      <c r="AG12" s="86">
        <v>0</v>
      </c>
      <c r="AH12" s="86">
        <v>0</v>
      </c>
      <c r="AI12" s="86">
        <v>0</v>
      </c>
      <c r="AJ12" s="86">
        <v>0</v>
      </c>
      <c r="AK12" s="86">
        <v>0</v>
      </c>
      <c r="AL12" s="86">
        <v>0</v>
      </c>
      <c r="AM12" s="86">
        <v>0</v>
      </c>
      <c r="AN12" s="86">
        <v>0</v>
      </c>
      <c r="AO12" s="87">
        <v>0</v>
      </c>
      <c r="AP12" s="71"/>
    </row>
    <row r="13" spans="1:42" ht="15" customHeight="1" x14ac:dyDescent="0.35">
      <c r="B13" s="73"/>
      <c r="C13" s="88" t="s">
        <v>198</v>
      </c>
      <c r="D13" s="89"/>
      <c r="E13" s="89"/>
      <c r="F13" s="90">
        <v>0</v>
      </c>
      <c r="G13" s="91">
        <v>0</v>
      </c>
      <c r="H13" s="91">
        <v>0</v>
      </c>
      <c r="I13" s="91">
        <v>0</v>
      </c>
      <c r="J13" s="91">
        <v>0</v>
      </c>
      <c r="K13" s="91">
        <v>0</v>
      </c>
      <c r="L13" s="91">
        <v>0</v>
      </c>
      <c r="M13" s="91">
        <v>0</v>
      </c>
      <c r="N13" s="91">
        <v>0</v>
      </c>
      <c r="O13" s="91">
        <v>0</v>
      </c>
      <c r="P13" s="91">
        <v>0</v>
      </c>
      <c r="Q13" s="91">
        <v>0</v>
      </c>
      <c r="R13" s="91">
        <v>0</v>
      </c>
      <c r="S13" s="91">
        <v>0</v>
      </c>
      <c r="T13" s="91">
        <v>0</v>
      </c>
      <c r="U13" s="91">
        <v>0</v>
      </c>
      <c r="V13" s="91">
        <v>0</v>
      </c>
      <c r="W13" s="91">
        <v>0</v>
      </c>
      <c r="X13" s="91">
        <v>0</v>
      </c>
      <c r="Y13" s="91">
        <v>0</v>
      </c>
      <c r="Z13" s="91">
        <v>0</v>
      </c>
      <c r="AA13" s="91">
        <v>0</v>
      </c>
      <c r="AB13" s="91">
        <v>0</v>
      </c>
      <c r="AC13" s="91">
        <v>0</v>
      </c>
      <c r="AD13" s="91">
        <v>0</v>
      </c>
      <c r="AE13" s="91">
        <v>0</v>
      </c>
      <c r="AF13" s="91">
        <v>0</v>
      </c>
      <c r="AG13" s="91">
        <v>0</v>
      </c>
      <c r="AH13" s="91">
        <v>0</v>
      </c>
      <c r="AI13" s="91">
        <v>0</v>
      </c>
      <c r="AJ13" s="91">
        <v>0</v>
      </c>
      <c r="AK13" s="91">
        <v>0</v>
      </c>
      <c r="AL13" s="91">
        <v>0</v>
      </c>
      <c r="AM13" s="91">
        <v>0</v>
      </c>
      <c r="AN13" s="91">
        <v>0</v>
      </c>
      <c r="AO13" s="92">
        <v>0</v>
      </c>
      <c r="AP13" s="71"/>
    </row>
    <row r="14" spans="1:42" ht="15" customHeight="1" x14ac:dyDescent="0.35">
      <c r="B14" s="68"/>
      <c r="C14" s="93" t="s">
        <v>33</v>
      </c>
      <c r="D14" s="84"/>
      <c r="E14" s="84"/>
      <c r="F14" s="85">
        <f t="shared" ref="F14:AO14" ca="1" si="9">F7-SUM(F9:F13)</f>
        <v>71.779235133788234</v>
      </c>
      <c r="G14" s="86">
        <f t="shared" ca="1" si="9"/>
        <v>74.423477599730177</v>
      </c>
      <c r="H14" s="86">
        <f t="shared" ca="1" si="9"/>
        <v>76.717228584249369</v>
      </c>
      <c r="I14" s="86">
        <f t="shared" ca="1" si="9"/>
        <v>79.748861320671836</v>
      </c>
      <c r="J14" s="86">
        <f t="shared" ca="1" si="9"/>
        <v>83.072495321250813</v>
      </c>
      <c r="K14" s="86">
        <f t="shared" ca="1" si="9"/>
        <v>86.702825174946156</v>
      </c>
      <c r="L14" s="86">
        <f t="shared" ca="1" si="9"/>
        <v>90.698317508406603</v>
      </c>
      <c r="M14" s="86">
        <f t="shared" ca="1" si="9"/>
        <v>94.925155871269453</v>
      </c>
      <c r="N14" s="86">
        <f t="shared" ca="1" si="9"/>
        <v>99.313109774768805</v>
      </c>
      <c r="O14" s="86">
        <f t="shared" ca="1" si="9"/>
        <v>103.86644538772089</v>
      </c>
      <c r="P14" s="86">
        <f t="shared" ca="1" si="9"/>
        <v>108.54376794422978</v>
      </c>
      <c r="Q14" s="86">
        <f t="shared" ca="1" si="9"/>
        <v>113.40958263806328</v>
      </c>
      <c r="R14" s="86">
        <f t="shared" ca="1" si="9"/>
        <v>118.41245241130207</v>
      </c>
      <c r="S14" s="86">
        <f t="shared" ca="1" si="9"/>
        <v>123.64295266661986</v>
      </c>
      <c r="T14" s="86">
        <f t="shared" ca="1" si="9"/>
        <v>129.17265849294586</v>
      </c>
      <c r="U14" s="86">
        <f t="shared" ca="1" si="9"/>
        <v>134.93102421337062</v>
      </c>
      <c r="V14" s="86">
        <f t="shared" ca="1" si="9"/>
        <v>141.03164671529248</v>
      </c>
      <c r="W14" s="86">
        <f t="shared" ca="1" si="9"/>
        <v>147.35525637882415</v>
      </c>
      <c r="X14" s="86">
        <f t="shared" ca="1" si="9"/>
        <v>153.98369709491544</v>
      </c>
      <c r="Y14" s="86">
        <f t="shared" ca="1" si="9"/>
        <v>160.93734704284134</v>
      </c>
      <c r="Z14" s="86">
        <f t="shared" ca="1" si="9"/>
        <v>168.19215244465727</v>
      </c>
      <c r="AA14" s="86">
        <f t="shared" ca="1" si="9"/>
        <v>175.74119536877538</v>
      </c>
      <c r="AB14" s="86">
        <f t="shared" ca="1" si="9"/>
        <v>183.62077477686967</v>
      </c>
      <c r="AC14" s="86">
        <f t="shared" ca="1" si="9"/>
        <v>191.90214895183453</v>
      </c>
      <c r="AD14" s="86">
        <f t="shared" ca="1" si="9"/>
        <v>200.52821744277912</v>
      </c>
      <c r="AE14" s="86">
        <f t="shared" ca="1" si="9"/>
        <v>209.55933345203835</v>
      </c>
      <c r="AF14" s="86">
        <f t="shared" ca="1" si="9"/>
        <v>218.98191777058514</v>
      </c>
      <c r="AG14" s="86">
        <f t="shared" ca="1" si="9"/>
        <v>228.80239336022623</v>
      </c>
      <c r="AH14" s="86">
        <f t="shared" ca="1" si="9"/>
        <v>239.06531856894571</v>
      </c>
      <c r="AI14" s="86">
        <f t="shared" ca="1" si="9"/>
        <v>249.85767326834366</v>
      </c>
      <c r="AJ14" s="86">
        <f t="shared" ca="1" si="9"/>
        <v>261.08409527568278</v>
      </c>
      <c r="AK14" s="86">
        <f t="shared" ca="1" si="9"/>
        <v>272.77615675531615</v>
      </c>
      <c r="AL14" s="86">
        <f t="shared" ca="1" si="9"/>
        <v>285.04449185593739</v>
      </c>
      <c r="AM14" s="86">
        <f t="shared" ca="1" si="9"/>
        <v>297.86829652273673</v>
      </c>
      <c r="AN14" s="86">
        <f t="shared" ref="AN14" ca="1" si="10">AN7-SUM(AN9:AN13)</f>
        <v>311.26283180907876</v>
      </c>
      <c r="AO14" s="87">
        <f t="shared" ca="1" si="9"/>
        <v>325.24806887809245</v>
      </c>
      <c r="AP14" s="71"/>
    </row>
    <row r="15" spans="1:42" ht="15" customHeight="1" x14ac:dyDescent="0.35">
      <c r="B15" s="68"/>
      <c r="C15" s="93" t="s">
        <v>234</v>
      </c>
      <c r="D15" s="84"/>
      <c r="E15" s="84"/>
      <c r="F15" s="94">
        <f t="shared" ref="F15:AO15" ca="1" si="11">F14/F8</f>
        <v>9.4810667991061273</v>
      </c>
      <c r="G15" s="95">
        <f t="shared" ca="1" si="11"/>
        <v>9.4095538388401128</v>
      </c>
      <c r="H15" s="95">
        <f t="shared" ca="1" si="11"/>
        <v>9.3412524087232498</v>
      </c>
      <c r="I15" s="95">
        <f t="shared" ca="1" si="11"/>
        <v>9.2748172131588529</v>
      </c>
      <c r="J15" s="95">
        <f t="shared" ca="1" si="11"/>
        <v>9.2176887256954565</v>
      </c>
      <c r="K15" s="95">
        <f t="shared" ca="1" si="11"/>
        <v>9.1552274847722614</v>
      </c>
      <c r="L15" s="95">
        <f t="shared" ca="1" si="11"/>
        <v>9.0997766710868291</v>
      </c>
      <c r="M15" s="95">
        <f t="shared" ca="1" si="11"/>
        <v>9.0451780110603437</v>
      </c>
      <c r="N15" s="95">
        <f t="shared" ca="1" si="11"/>
        <v>8.9905427001187537</v>
      </c>
      <c r="O15" s="95">
        <f t="shared" ca="1" si="11"/>
        <v>8.9398203592286798</v>
      </c>
      <c r="P15" s="95">
        <f t="shared" ca="1" si="11"/>
        <v>8.8895021687939533</v>
      </c>
      <c r="Q15" s="95">
        <f t="shared" ca="1" si="11"/>
        <v>8.8430490234841983</v>
      </c>
      <c r="R15" s="95">
        <f t="shared" ca="1" si="11"/>
        <v>8.7938128402843585</v>
      </c>
      <c r="S15" s="95">
        <f t="shared" ca="1" si="11"/>
        <v>8.74605820607729</v>
      </c>
      <c r="T15" s="95">
        <f t="shared" ca="1" si="11"/>
        <v>8.7024767038653454</v>
      </c>
      <c r="U15" s="95">
        <f t="shared" ca="1" si="11"/>
        <v>8.6569293874979181</v>
      </c>
      <c r="V15" s="95">
        <f t="shared" ca="1" si="11"/>
        <v>8.6155275496244812</v>
      </c>
      <c r="W15" s="95">
        <f t="shared" ca="1" si="11"/>
        <v>8.5718367062704495</v>
      </c>
      <c r="X15" s="95">
        <f t="shared" ca="1" si="11"/>
        <v>8.5298014254563324</v>
      </c>
      <c r="Y15" s="95">
        <f t="shared" ca="1" si="11"/>
        <v>8.4900753856297797</v>
      </c>
      <c r="Z15" s="95">
        <f t="shared" ca="1" si="11"/>
        <v>8.4507315895502408</v>
      </c>
      <c r="AA15" s="95">
        <f t="shared" ca="1" si="11"/>
        <v>8.4108005623920494</v>
      </c>
      <c r="AB15" s="95">
        <f t="shared" ca="1" si="11"/>
        <v>8.3713560066756472</v>
      </c>
      <c r="AC15" s="95">
        <f t="shared" ca="1" si="11"/>
        <v>8.3346845669948628</v>
      </c>
      <c r="AD15" s="95">
        <f t="shared" ca="1" si="11"/>
        <v>8.297331198356197</v>
      </c>
      <c r="AE15" s="95">
        <f t="shared" ca="1" si="11"/>
        <v>8.2610998131362017</v>
      </c>
      <c r="AF15" s="95">
        <f t="shared" ca="1" si="11"/>
        <v>8.2247007064518751</v>
      </c>
      <c r="AG15" s="95">
        <f t="shared" ca="1" si="11"/>
        <v>8.1877955085950305</v>
      </c>
      <c r="AH15" s="95">
        <f t="shared" ca="1" si="11"/>
        <v>8.1514019070492019</v>
      </c>
      <c r="AI15" s="95">
        <f t="shared" ca="1" si="11"/>
        <v>8.1177071647171477</v>
      </c>
      <c r="AJ15" s="95">
        <f t="shared" ca="1" si="11"/>
        <v>8.0828031469415436</v>
      </c>
      <c r="AK15" s="95">
        <f t="shared" ca="1" si="11"/>
        <v>8.0471926225309716</v>
      </c>
      <c r="AL15" s="95">
        <f t="shared" ca="1" si="11"/>
        <v>8.0134889705375585</v>
      </c>
      <c r="AM15" s="95">
        <f t="shared" ca="1" si="11"/>
        <v>7.9802730318465338</v>
      </c>
      <c r="AN15" s="95">
        <f t="shared" ref="AN15" ca="1" si="12">AN14/AN8</f>
        <v>7.9472628006133927</v>
      </c>
      <c r="AO15" s="96">
        <f t="shared" ca="1" si="11"/>
        <v>7.9143163364251734</v>
      </c>
      <c r="AP15" s="71"/>
    </row>
    <row r="16" spans="1:42" ht="15" customHeight="1" x14ac:dyDescent="0.35">
      <c r="B16" s="68"/>
      <c r="C16" s="97" t="s">
        <v>225</v>
      </c>
      <c r="D16" s="98"/>
      <c r="E16" s="98"/>
      <c r="F16" s="99">
        <f t="shared" ref="F16:AO16" ca="1" si="13">F14/F7</f>
        <v>0.11334482758620695</v>
      </c>
      <c r="G16" s="100">
        <f t="shared" ca="1" si="13"/>
        <v>0.11334482758620681</v>
      </c>
      <c r="H16" s="100">
        <f t="shared" ca="1" si="13"/>
        <v>0.11334482758620688</v>
      </c>
      <c r="I16" s="100">
        <f t="shared" ca="1" si="13"/>
        <v>0.11334482758620691</v>
      </c>
      <c r="J16" s="100">
        <f t="shared" ca="1" si="13"/>
        <v>0.11334482758620693</v>
      </c>
      <c r="K16" s="100">
        <f t="shared" ca="1" si="13"/>
        <v>0.11334482758620691</v>
      </c>
      <c r="L16" s="100">
        <f t="shared" ca="1" si="13"/>
        <v>0.1133448275862065</v>
      </c>
      <c r="M16" s="100">
        <f t="shared" ca="1" si="13"/>
        <v>0.11334482758620695</v>
      </c>
      <c r="N16" s="100">
        <f t="shared" ca="1" si="13"/>
        <v>0.11334482758620681</v>
      </c>
      <c r="O16" s="100">
        <f t="shared" ca="1" si="13"/>
        <v>0.1133448275862068</v>
      </c>
      <c r="P16" s="100">
        <f t="shared" ca="1" si="13"/>
        <v>0.11334482758620681</v>
      </c>
      <c r="Q16" s="100">
        <f t="shared" ca="1" si="13"/>
        <v>0.11334482758620697</v>
      </c>
      <c r="R16" s="100">
        <f t="shared" ca="1" si="13"/>
        <v>0.11334482758620691</v>
      </c>
      <c r="S16" s="100">
        <f t="shared" ca="1" si="13"/>
        <v>0.11334482758620687</v>
      </c>
      <c r="T16" s="100">
        <f t="shared" ca="1" si="13"/>
        <v>0.11334482758620673</v>
      </c>
      <c r="U16" s="100">
        <f t="shared" ca="1" si="13"/>
        <v>0.11334482758620669</v>
      </c>
      <c r="V16" s="100">
        <f t="shared" ca="1" si="13"/>
        <v>0.11334482758620693</v>
      </c>
      <c r="W16" s="100">
        <f t="shared" ca="1" si="13"/>
        <v>0.11334482758620693</v>
      </c>
      <c r="X16" s="100">
        <f t="shared" ca="1" si="13"/>
        <v>0.11334482758620693</v>
      </c>
      <c r="Y16" s="100">
        <f t="shared" ca="1" si="13"/>
        <v>0.11334482758620659</v>
      </c>
      <c r="Z16" s="100">
        <f t="shared" ca="1" si="13"/>
        <v>0.1133448275862069</v>
      </c>
      <c r="AA16" s="100">
        <f t="shared" ca="1" si="13"/>
        <v>0.11334482758620684</v>
      </c>
      <c r="AB16" s="100">
        <f t="shared" ca="1" si="13"/>
        <v>0.11334482758620676</v>
      </c>
      <c r="AC16" s="100">
        <f t="shared" ca="1" si="13"/>
        <v>0.11334482758620666</v>
      </c>
      <c r="AD16" s="100">
        <f t="shared" ca="1" si="13"/>
        <v>0.11334482758620684</v>
      </c>
      <c r="AE16" s="100">
        <f t="shared" ca="1" si="13"/>
        <v>0.11334482758620662</v>
      </c>
      <c r="AF16" s="100">
        <f t="shared" ca="1" si="13"/>
        <v>0.11334482758620691</v>
      </c>
      <c r="AG16" s="100">
        <f t="shared" ca="1" si="13"/>
        <v>0.11334482758620693</v>
      </c>
      <c r="AH16" s="100">
        <f t="shared" ca="1" si="13"/>
        <v>0.11334482758620663</v>
      </c>
      <c r="AI16" s="100">
        <f t="shared" ca="1" si="13"/>
        <v>0.11334482758620686</v>
      </c>
      <c r="AJ16" s="100">
        <f t="shared" ca="1" si="13"/>
        <v>0.11334482758620675</v>
      </c>
      <c r="AK16" s="100">
        <f t="shared" ca="1" si="13"/>
        <v>0.11334482758620677</v>
      </c>
      <c r="AL16" s="100">
        <f t="shared" ca="1" si="13"/>
        <v>0.11334482758620698</v>
      </c>
      <c r="AM16" s="100">
        <f t="shared" ca="1" si="13"/>
        <v>0.1133448275862068</v>
      </c>
      <c r="AN16" s="100">
        <f t="shared" ref="AN16" ca="1" si="14">AN14/AN7</f>
        <v>0.11334482758620688</v>
      </c>
      <c r="AO16" s="101">
        <f t="shared" ca="1" si="13"/>
        <v>0.11334482758620693</v>
      </c>
      <c r="AP16" s="71"/>
    </row>
    <row r="17" spans="2:42" ht="15" customHeight="1" thickBot="1" x14ac:dyDescent="0.4">
      <c r="B17" s="68"/>
      <c r="C17" s="102" t="s">
        <v>149</v>
      </c>
      <c r="D17" s="103"/>
      <c r="E17" s="103"/>
      <c r="F17" s="104">
        <f ca="1">IF(F14&lt;0,0,F14*Tax_Rate)</f>
        <v>19.667510426657977</v>
      </c>
      <c r="G17" s="105">
        <f t="shared" ref="G17:AI17" ca="1" si="15">IF(G14&lt;0,0,G14*Tax_Rate)</f>
        <v>20.392032862326069</v>
      </c>
      <c r="H17" s="105">
        <f t="shared" ca="1" si="15"/>
        <v>21.020520632084327</v>
      </c>
      <c r="I17" s="105">
        <f t="shared" ca="1" si="15"/>
        <v>21.851188001864084</v>
      </c>
      <c r="J17" s="105">
        <f t="shared" ca="1" si="15"/>
        <v>22.761863718022724</v>
      </c>
      <c r="K17" s="105">
        <f t="shared" ca="1" si="15"/>
        <v>23.75657409793525</v>
      </c>
      <c r="L17" s="105">
        <f t="shared" ca="1" si="15"/>
        <v>24.851338997303412</v>
      </c>
      <c r="M17" s="105">
        <f t="shared" ca="1" si="15"/>
        <v>26.009492708727834</v>
      </c>
      <c r="N17" s="105">
        <f t="shared" ca="1" si="15"/>
        <v>27.211792078286656</v>
      </c>
      <c r="O17" s="105">
        <f t="shared" ca="1" si="15"/>
        <v>28.459406036235524</v>
      </c>
      <c r="P17" s="105">
        <f t="shared" ca="1" si="15"/>
        <v>29.740992416718964</v>
      </c>
      <c r="Q17" s="105">
        <f t="shared" ca="1" si="15"/>
        <v>31.074225642829344</v>
      </c>
      <c r="R17" s="105">
        <f t="shared" ca="1" si="15"/>
        <v>32.445011960696768</v>
      </c>
      <c r="S17" s="105">
        <f t="shared" ca="1" si="15"/>
        <v>33.878169030653844</v>
      </c>
      <c r="T17" s="105">
        <f t="shared" ca="1" si="15"/>
        <v>35.393308427067169</v>
      </c>
      <c r="U17" s="105">
        <f t="shared" ca="1" si="15"/>
        <v>36.971100634463554</v>
      </c>
      <c r="V17" s="105">
        <f t="shared" ca="1" si="15"/>
        <v>38.64267119999014</v>
      </c>
      <c r="W17" s="105">
        <f t="shared" ca="1" si="15"/>
        <v>40.375340247797823</v>
      </c>
      <c r="X17" s="105">
        <f t="shared" ca="1" si="15"/>
        <v>42.191533004006835</v>
      </c>
      <c r="Y17" s="105">
        <f t="shared" ca="1" si="15"/>
        <v>44.096833089738531</v>
      </c>
      <c r="Z17" s="105">
        <f t="shared" ca="1" si="15"/>
        <v>46.084649769836098</v>
      </c>
      <c r="AA17" s="105">
        <f t="shared" ca="1" si="15"/>
        <v>48.153087531044456</v>
      </c>
      <c r="AB17" s="105">
        <f t="shared" ca="1" si="15"/>
        <v>50.312092288862296</v>
      </c>
      <c r="AC17" s="105">
        <f t="shared" ca="1" si="15"/>
        <v>52.581188812802665</v>
      </c>
      <c r="AD17" s="105">
        <f t="shared" ca="1" si="15"/>
        <v>54.944731579321484</v>
      </c>
      <c r="AE17" s="105">
        <f t="shared" ca="1" si="15"/>
        <v>57.419257365858513</v>
      </c>
      <c r="AF17" s="105">
        <f t="shared" ca="1" si="15"/>
        <v>60.001045469140337</v>
      </c>
      <c r="AG17" s="105">
        <f t="shared" ca="1" si="15"/>
        <v>62.691855780701992</v>
      </c>
      <c r="AH17" s="105">
        <f t="shared" ca="1" si="15"/>
        <v>65.503897287891135</v>
      </c>
      <c r="AI17" s="105">
        <f t="shared" ca="1" si="15"/>
        <v>68.461002475526172</v>
      </c>
      <c r="AJ17" s="105">
        <f t="shared" ref="AJ17:AO17" ca="1" si="16">IF(AJ14&lt;0,0,AJ14*Tax_Rate)</f>
        <v>71.537042105537083</v>
      </c>
      <c r="AK17" s="105">
        <f t="shared" ca="1" si="16"/>
        <v>74.740666950956637</v>
      </c>
      <c r="AL17" s="105">
        <f t="shared" ref="AL17" ca="1" si="17">IF(AL14&lt;0,0,AL14*Tax_Rate)</f>
        <v>78.102190768526853</v>
      </c>
      <c r="AM17" s="105">
        <f t="shared" ref="AM17:AN17" ca="1" si="18">IF(AM14&lt;0,0,AM14*Tax_Rate)</f>
        <v>81.615913247229869</v>
      </c>
      <c r="AN17" s="105">
        <f t="shared" ca="1" si="18"/>
        <v>85.286015915687585</v>
      </c>
      <c r="AO17" s="106">
        <f t="shared" ca="1" si="16"/>
        <v>89.11797087259734</v>
      </c>
      <c r="AP17" s="71"/>
    </row>
    <row r="18" spans="2:42" ht="15" customHeight="1" thickTop="1" x14ac:dyDescent="0.35">
      <c r="B18" s="68"/>
      <c r="C18" s="107" t="s">
        <v>36</v>
      </c>
      <c r="D18" s="75"/>
      <c r="E18" s="75"/>
      <c r="F18" s="108">
        <f ca="1">F14-F17</f>
        <v>52.111724707130257</v>
      </c>
      <c r="G18" s="109">
        <f t="shared" ref="G18:AI18" ca="1" si="19">G14-G17</f>
        <v>54.031444737404108</v>
      </c>
      <c r="H18" s="109">
        <f t="shared" ca="1" si="19"/>
        <v>55.696707952165042</v>
      </c>
      <c r="I18" s="109">
        <f t="shared" ca="1" si="19"/>
        <v>57.897673318807747</v>
      </c>
      <c r="J18" s="109">
        <f t="shared" ca="1" si="19"/>
        <v>60.310631603228089</v>
      </c>
      <c r="K18" s="109">
        <f t="shared" ca="1" si="19"/>
        <v>62.946251077010906</v>
      </c>
      <c r="L18" s="109">
        <f t="shared" ca="1" si="19"/>
        <v>65.846978511103188</v>
      </c>
      <c r="M18" s="109">
        <f t="shared" ca="1" si="19"/>
        <v>68.91566316254162</v>
      </c>
      <c r="N18" s="109">
        <f t="shared" ca="1" si="19"/>
        <v>72.101317696482141</v>
      </c>
      <c r="O18" s="109">
        <f t="shared" ca="1" si="19"/>
        <v>75.407039351485366</v>
      </c>
      <c r="P18" s="109">
        <f t="shared" ca="1" si="19"/>
        <v>78.802775527510818</v>
      </c>
      <c r="Q18" s="109">
        <f t="shared" ca="1" si="19"/>
        <v>82.335356995233937</v>
      </c>
      <c r="R18" s="109">
        <f t="shared" ca="1" si="19"/>
        <v>85.967440450605295</v>
      </c>
      <c r="S18" s="109">
        <f t="shared" ca="1" si="19"/>
        <v>89.764783635966012</v>
      </c>
      <c r="T18" s="109">
        <f t="shared" ca="1" si="19"/>
        <v>93.779350065878688</v>
      </c>
      <c r="U18" s="109">
        <f t="shared" ca="1" si="19"/>
        <v>97.959923578907066</v>
      </c>
      <c r="V18" s="109">
        <f t="shared" ca="1" si="19"/>
        <v>102.38897551530235</v>
      </c>
      <c r="W18" s="109">
        <f t="shared" ca="1" si="19"/>
        <v>106.97991613102633</v>
      </c>
      <c r="X18" s="109">
        <f t="shared" ca="1" si="19"/>
        <v>111.79216409090861</v>
      </c>
      <c r="Y18" s="109">
        <f t="shared" ca="1" si="19"/>
        <v>116.8405139531028</v>
      </c>
      <c r="Z18" s="109">
        <f t="shared" ca="1" si="19"/>
        <v>122.10750267482118</v>
      </c>
      <c r="AA18" s="109">
        <f t="shared" ca="1" si="19"/>
        <v>127.58810783773092</v>
      </c>
      <c r="AB18" s="109">
        <f t="shared" ca="1" si="19"/>
        <v>133.30868248800738</v>
      </c>
      <c r="AC18" s="109">
        <f t="shared" ca="1" si="19"/>
        <v>139.32096013903185</v>
      </c>
      <c r="AD18" s="109">
        <f t="shared" ca="1" si="19"/>
        <v>145.58348586345764</v>
      </c>
      <c r="AE18" s="109">
        <f t="shared" ca="1" si="19"/>
        <v>152.14007608617982</v>
      </c>
      <c r="AF18" s="109">
        <f t="shared" ca="1" si="19"/>
        <v>158.9808723014448</v>
      </c>
      <c r="AG18" s="109">
        <f t="shared" ca="1" si="19"/>
        <v>166.11053757952425</v>
      </c>
      <c r="AH18" s="109">
        <f t="shared" ca="1" si="19"/>
        <v>173.56142128105458</v>
      </c>
      <c r="AI18" s="109">
        <f t="shared" ca="1" si="19"/>
        <v>181.39667079281747</v>
      </c>
      <c r="AJ18" s="109">
        <f t="shared" ref="AJ18:AO18" ca="1" si="20">AJ14-AJ17</f>
        <v>189.54705317014572</v>
      </c>
      <c r="AK18" s="109">
        <f t="shared" ca="1" si="20"/>
        <v>198.03548980435951</v>
      </c>
      <c r="AL18" s="109">
        <f t="shared" ref="AL18" ca="1" si="21">AL14-AL17</f>
        <v>206.94230108741056</v>
      </c>
      <c r="AM18" s="109">
        <f t="shared" ref="AM18:AN18" ca="1" si="22">AM14-AM17</f>
        <v>216.25238327550687</v>
      </c>
      <c r="AN18" s="109">
        <f t="shared" ca="1" si="22"/>
        <v>225.97681589339118</v>
      </c>
      <c r="AO18" s="110">
        <f t="shared" ca="1" si="20"/>
        <v>236.13009800549511</v>
      </c>
      <c r="AP18" s="71"/>
    </row>
    <row r="19" spans="2:42" s="7" customFormat="1" ht="15" customHeight="1" x14ac:dyDescent="0.35">
      <c r="B19" s="68"/>
      <c r="C19" s="69"/>
      <c r="D19" s="69"/>
      <c r="E19" s="69"/>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71"/>
    </row>
    <row r="20" spans="2:42" s="7" customFormat="1" ht="15" customHeight="1" x14ac:dyDescent="0.35">
      <c r="B20" s="73"/>
      <c r="C20" s="69"/>
      <c r="D20" s="69"/>
      <c r="E20" s="69"/>
      <c r="F20" s="112"/>
      <c r="G20" s="112"/>
      <c r="H20" s="112"/>
      <c r="I20" s="112"/>
      <c r="J20" s="112"/>
      <c r="K20" s="112"/>
      <c r="L20" s="112"/>
      <c r="M20" s="112"/>
      <c r="N20" s="112"/>
      <c r="O20" s="112"/>
      <c r="P20" s="112"/>
      <c r="Q20" s="112"/>
      <c r="R20" s="112"/>
      <c r="S20" s="112"/>
      <c r="T20" s="112"/>
      <c r="U20" s="112"/>
      <c r="V20" s="112"/>
      <c r="W20" s="112"/>
      <c r="X20" s="112"/>
      <c r="Y20" s="112"/>
      <c r="Z20" s="112"/>
      <c r="AA20" s="112"/>
      <c r="AB20" s="112"/>
      <c r="AC20" s="112"/>
      <c r="AD20" s="112"/>
      <c r="AE20" s="112"/>
      <c r="AF20" s="112"/>
      <c r="AG20" s="112"/>
      <c r="AH20" s="112"/>
      <c r="AI20" s="112"/>
      <c r="AJ20" s="112"/>
      <c r="AK20" s="112"/>
      <c r="AL20" s="112"/>
      <c r="AM20" s="112"/>
      <c r="AN20" s="112"/>
      <c r="AO20" s="112"/>
      <c r="AP20" s="71"/>
    </row>
    <row r="21" spans="2:42" ht="15" customHeight="1" x14ac:dyDescent="0.35">
      <c r="B21" s="68"/>
      <c r="C21" s="113" t="s">
        <v>275</v>
      </c>
      <c r="D21" s="114"/>
      <c r="E21" s="69"/>
      <c r="F21" s="112"/>
      <c r="G21" s="112"/>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71"/>
    </row>
    <row r="22" spans="2:42" ht="15" customHeight="1" x14ac:dyDescent="0.35">
      <c r="B22" s="73"/>
      <c r="C22" s="75" t="s">
        <v>37</v>
      </c>
      <c r="D22" s="75"/>
      <c r="E22" s="75"/>
      <c r="F22" s="77">
        <f ca="1">F18</f>
        <v>52.111724707130257</v>
      </c>
      <c r="G22" s="78">
        <f t="shared" ref="G22:AI22" ca="1" si="23">G18</f>
        <v>54.031444737404108</v>
      </c>
      <c r="H22" s="78">
        <f t="shared" ca="1" si="23"/>
        <v>55.696707952165042</v>
      </c>
      <c r="I22" s="78">
        <f t="shared" ca="1" si="23"/>
        <v>57.897673318807747</v>
      </c>
      <c r="J22" s="78">
        <f t="shared" ca="1" si="23"/>
        <v>60.310631603228089</v>
      </c>
      <c r="K22" s="78">
        <f t="shared" ca="1" si="23"/>
        <v>62.946251077010906</v>
      </c>
      <c r="L22" s="78">
        <f t="shared" ca="1" si="23"/>
        <v>65.846978511103188</v>
      </c>
      <c r="M22" s="78">
        <f t="shared" ca="1" si="23"/>
        <v>68.91566316254162</v>
      </c>
      <c r="N22" s="78">
        <f t="shared" ca="1" si="23"/>
        <v>72.101317696482141</v>
      </c>
      <c r="O22" s="78">
        <f t="shared" ca="1" si="23"/>
        <v>75.407039351485366</v>
      </c>
      <c r="P22" s="78">
        <f t="shared" ca="1" si="23"/>
        <v>78.802775527510818</v>
      </c>
      <c r="Q22" s="78">
        <f t="shared" ca="1" si="23"/>
        <v>82.335356995233937</v>
      </c>
      <c r="R22" s="78">
        <f t="shared" ca="1" si="23"/>
        <v>85.967440450605295</v>
      </c>
      <c r="S22" s="78">
        <f t="shared" ca="1" si="23"/>
        <v>89.764783635966012</v>
      </c>
      <c r="T22" s="78">
        <f t="shared" ca="1" si="23"/>
        <v>93.779350065878688</v>
      </c>
      <c r="U22" s="78">
        <f t="shared" ca="1" si="23"/>
        <v>97.959923578907066</v>
      </c>
      <c r="V22" s="78">
        <f t="shared" ca="1" si="23"/>
        <v>102.38897551530235</v>
      </c>
      <c r="W22" s="78">
        <f t="shared" ca="1" si="23"/>
        <v>106.97991613102633</v>
      </c>
      <c r="X22" s="78">
        <f t="shared" ca="1" si="23"/>
        <v>111.79216409090861</v>
      </c>
      <c r="Y22" s="78">
        <f t="shared" ca="1" si="23"/>
        <v>116.8405139531028</v>
      </c>
      <c r="Z22" s="78">
        <f t="shared" ca="1" si="23"/>
        <v>122.10750267482118</v>
      </c>
      <c r="AA22" s="78">
        <f t="shared" ca="1" si="23"/>
        <v>127.58810783773092</v>
      </c>
      <c r="AB22" s="78">
        <f t="shared" ca="1" si="23"/>
        <v>133.30868248800738</v>
      </c>
      <c r="AC22" s="78">
        <f t="shared" ca="1" si="23"/>
        <v>139.32096013903185</v>
      </c>
      <c r="AD22" s="78">
        <f t="shared" ca="1" si="23"/>
        <v>145.58348586345764</v>
      </c>
      <c r="AE22" s="78">
        <f t="shared" ca="1" si="23"/>
        <v>152.14007608617982</v>
      </c>
      <c r="AF22" s="78">
        <f t="shared" ca="1" si="23"/>
        <v>158.9808723014448</v>
      </c>
      <c r="AG22" s="78">
        <f t="shared" ca="1" si="23"/>
        <v>166.11053757952425</v>
      </c>
      <c r="AH22" s="78">
        <f t="shared" ca="1" si="23"/>
        <v>173.56142128105458</v>
      </c>
      <c r="AI22" s="78">
        <f t="shared" ca="1" si="23"/>
        <v>181.39667079281747</v>
      </c>
      <c r="AJ22" s="78">
        <f t="shared" ref="AJ22:AO22" ca="1" si="24">AJ18</f>
        <v>189.54705317014572</v>
      </c>
      <c r="AK22" s="78">
        <f t="shared" ca="1" si="24"/>
        <v>198.03548980435951</v>
      </c>
      <c r="AL22" s="78">
        <f t="shared" ref="AL22" ca="1" si="25">AL18</f>
        <v>206.94230108741056</v>
      </c>
      <c r="AM22" s="78">
        <f t="shared" ref="AM22:AN22" ca="1" si="26">AM18</f>
        <v>216.25238327550687</v>
      </c>
      <c r="AN22" s="78">
        <f t="shared" ca="1" si="26"/>
        <v>225.97681589339118</v>
      </c>
      <c r="AO22" s="79">
        <f t="shared" ca="1" si="24"/>
        <v>236.13009800549511</v>
      </c>
      <c r="AP22" s="71"/>
    </row>
    <row r="23" spans="2:42" ht="15" customHeight="1" x14ac:dyDescent="0.35">
      <c r="B23" s="73"/>
      <c r="C23" s="83" t="s">
        <v>146</v>
      </c>
      <c r="D23" s="75"/>
      <c r="E23" s="75"/>
      <c r="F23" s="85">
        <f t="shared" ref="F23:AO23" ca="1" si="27">F7*Depreciation</f>
        <v>22.164868774199885</v>
      </c>
      <c r="G23" s="86">
        <f t="shared" ca="1" si="27"/>
        <v>22.981390253643504</v>
      </c>
      <c r="H23" s="86">
        <f t="shared" ca="1" si="27"/>
        <v>23.689682693341382</v>
      </c>
      <c r="I23" s="86">
        <f t="shared" ca="1" si="27"/>
        <v>24.625827271214455</v>
      </c>
      <c r="J23" s="86">
        <f t="shared" ca="1" si="27"/>
        <v>25.652139565278237</v>
      </c>
      <c r="K23" s="86">
        <f t="shared" ca="1" si="27"/>
        <v>26.773157150158305</v>
      </c>
      <c r="L23" s="86">
        <f t="shared" ca="1" si="27"/>
        <v>28.006934064810782</v>
      </c>
      <c r="M23" s="86">
        <f t="shared" ca="1" si="27"/>
        <v>29.312148831560222</v>
      </c>
      <c r="N23" s="86">
        <f t="shared" ca="1" si="27"/>
        <v>30.667114822449168</v>
      </c>
      <c r="O23" s="86">
        <f t="shared" ca="1" si="27"/>
        <v>32.073149397181865</v>
      </c>
      <c r="P23" s="86">
        <f t="shared" ca="1" si="27"/>
        <v>33.517470174442749</v>
      </c>
      <c r="Q23" s="86">
        <f t="shared" ca="1" si="27"/>
        <v>35.019995855684265</v>
      </c>
      <c r="R23" s="86">
        <f t="shared" ca="1" si="27"/>
        <v>36.564843078026037</v>
      </c>
      <c r="S23" s="86">
        <f t="shared" ca="1" si="27"/>
        <v>38.179980820389169</v>
      </c>
      <c r="T23" s="86">
        <f t="shared" ca="1" si="27"/>
        <v>39.88751091278985</v>
      </c>
      <c r="U23" s="86">
        <f t="shared" ca="1" si="27"/>
        <v>41.665649399626233</v>
      </c>
      <c r="V23" s="86">
        <f t="shared" ca="1" si="27"/>
        <v>43.549474115005125</v>
      </c>
      <c r="W23" s="86">
        <f t="shared" ca="1" si="27"/>
        <v>45.502155529207933</v>
      </c>
      <c r="X23" s="86">
        <f t="shared" ca="1" si="27"/>
        <v>47.548966398338649</v>
      </c>
      <c r="Y23" s="86">
        <f t="shared" ca="1" si="27"/>
        <v>49.696199345447035</v>
      </c>
      <c r="Z23" s="86">
        <f t="shared" ca="1" si="27"/>
        <v>51.936426751240383</v>
      </c>
      <c r="AA23" s="86">
        <f t="shared" ca="1" si="27"/>
        <v>54.267512412323427</v>
      </c>
      <c r="AB23" s="86">
        <f t="shared" ca="1" si="27"/>
        <v>56.700665165355325</v>
      </c>
      <c r="AC23" s="86">
        <f t="shared" ca="1" si="27"/>
        <v>59.257889013116049</v>
      </c>
      <c r="AD23" s="86">
        <f t="shared" ca="1" si="27"/>
        <v>61.921551781083338</v>
      </c>
      <c r="AE23" s="86">
        <f t="shared" ca="1" si="27"/>
        <v>64.71029006809232</v>
      </c>
      <c r="AF23" s="86">
        <f t="shared" ca="1" si="27"/>
        <v>67.6199107201533</v>
      </c>
      <c r="AG23" s="86">
        <f t="shared" ca="1" si="27"/>
        <v>70.652397097848976</v>
      </c>
      <c r="AH23" s="86">
        <f t="shared" ca="1" si="27"/>
        <v>73.821508472005021</v>
      </c>
      <c r="AI23" s="86">
        <f t="shared" ca="1" si="27"/>
        <v>77.154103549549419</v>
      </c>
      <c r="AJ23" s="86">
        <f t="shared" ca="1" si="27"/>
        <v>80.620735231158633</v>
      </c>
      <c r="AK23" s="86">
        <f t="shared" ca="1" si="27"/>
        <v>84.231152755292442</v>
      </c>
      <c r="AL23" s="86">
        <f t="shared" ca="1" si="27"/>
        <v>88.019519085420214</v>
      </c>
      <c r="AM23" s="86">
        <f t="shared" ca="1" si="27"/>
        <v>91.979410091444493</v>
      </c>
      <c r="AN23" s="86">
        <f t="shared" ref="AN23" ca="1" si="28">AN7*Depreciation</f>
        <v>96.115538267786746</v>
      </c>
      <c r="AO23" s="87">
        <f t="shared" ca="1" si="27"/>
        <v>100.43407055408086</v>
      </c>
      <c r="AP23" s="71"/>
    </row>
    <row r="24" spans="2:42" ht="15" customHeight="1" x14ac:dyDescent="0.35">
      <c r="B24" s="73"/>
      <c r="C24" s="83" t="s">
        <v>210</v>
      </c>
      <c r="D24" s="75"/>
      <c r="E24" s="75"/>
      <c r="F24" s="85">
        <f>F13</f>
        <v>0</v>
      </c>
      <c r="G24" s="86">
        <f t="shared" ref="G24:AO24" si="29">G13</f>
        <v>0</v>
      </c>
      <c r="H24" s="86">
        <f t="shared" si="29"/>
        <v>0</v>
      </c>
      <c r="I24" s="86">
        <f t="shared" si="29"/>
        <v>0</v>
      </c>
      <c r="J24" s="86">
        <f t="shared" si="29"/>
        <v>0</v>
      </c>
      <c r="K24" s="86">
        <f t="shared" si="29"/>
        <v>0</v>
      </c>
      <c r="L24" s="86">
        <f t="shared" si="29"/>
        <v>0</v>
      </c>
      <c r="M24" s="86">
        <f t="shared" si="29"/>
        <v>0</v>
      </c>
      <c r="N24" s="86">
        <f t="shared" si="29"/>
        <v>0</v>
      </c>
      <c r="O24" s="86">
        <f t="shared" si="29"/>
        <v>0</v>
      </c>
      <c r="P24" s="86">
        <f t="shared" si="29"/>
        <v>0</v>
      </c>
      <c r="Q24" s="86">
        <f t="shared" si="29"/>
        <v>0</v>
      </c>
      <c r="R24" s="86">
        <f t="shared" si="29"/>
        <v>0</v>
      </c>
      <c r="S24" s="86">
        <f t="shared" si="29"/>
        <v>0</v>
      </c>
      <c r="T24" s="86">
        <f t="shared" si="29"/>
        <v>0</v>
      </c>
      <c r="U24" s="86">
        <f t="shared" si="29"/>
        <v>0</v>
      </c>
      <c r="V24" s="86">
        <f t="shared" si="29"/>
        <v>0</v>
      </c>
      <c r="W24" s="86">
        <f t="shared" si="29"/>
        <v>0</v>
      </c>
      <c r="X24" s="86">
        <f t="shared" si="29"/>
        <v>0</v>
      </c>
      <c r="Y24" s="86">
        <f t="shared" si="29"/>
        <v>0</v>
      </c>
      <c r="Z24" s="86">
        <f t="shared" si="29"/>
        <v>0</v>
      </c>
      <c r="AA24" s="86">
        <f t="shared" si="29"/>
        <v>0</v>
      </c>
      <c r="AB24" s="86">
        <f t="shared" si="29"/>
        <v>0</v>
      </c>
      <c r="AC24" s="86">
        <f t="shared" si="29"/>
        <v>0</v>
      </c>
      <c r="AD24" s="86">
        <f t="shared" si="29"/>
        <v>0</v>
      </c>
      <c r="AE24" s="86">
        <f t="shared" si="29"/>
        <v>0</v>
      </c>
      <c r="AF24" s="86">
        <f t="shared" si="29"/>
        <v>0</v>
      </c>
      <c r="AG24" s="86">
        <f t="shared" si="29"/>
        <v>0</v>
      </c>
      <c r="AH24" s="86">
        <f t="shared" si="29"/>
        <v>0</v>
      </c>
      <c r="AI24" s="86">
        <f t="shared" si="29"/>
        <v>0</v>
      </c>
      <c r="AJ24" s="86">
        <f t="shared" si="29"/>
        <v>0</v>
      </c>
      <c r="AK24" s="86">
        <f t="shared" si="29"/>
        <v>0</v>
      </c>
      <c r="AL24" s="86">
        <f t="shared" si="29"/>
        <v>0</v>
      </c>
      <c r="AM24" s="86">
        <f t="shared" si="29"/>
        <v>0</v>
      </c>
      <c r="AN24" s="86">
        <f t="shared" ref="AN24" si="30">AN13</f>
        <v>0</v>
      </c>
      <c r="AO24" s="87">
        <f t="shared" si="29"/>
        <v>0</v>
      </c>
      <c r="AP24" s="71"/>
    </row>
    <row r="25" spans="2:42" ht="15" customHeight="1" x14ac:dyDescent="0.35">
      <c r="B25" s="73"/>
      <c r="C25" s="88" t="s">
        <v>209</v>
      </c>
      <c r="D25" s="115"/>
      <c r="E25" s="115"/>
      <c r="F25" s="90">
        <f t="shared" ref="F25:AO25" si="31">IF(F$6&lt;Reference_Year,0,WorkingCapital*(INDEX(Revenue_NoSTDs,0,MATCH(F$6,Dates,0))-INDEX(Revenue_NoSTDs,0,MATCH(F$6-1,Dates,0))))</f>
        <v>0</v>
      </c>
      <c r="G25" s="91">
        <f t="shared" ca="1" si="31"/>
        <v>3.8726447310754448</v>
      </c>
      <c r="H25" s="91">
        <f t="shared" ca="1" si="31"/>
        <v>3.3593298568528009</v>
      </c>
      <c r="I25" s="91">
        <f t="shared" ca="1" si="31"/>
        <v>4.4399999979122837</v>
      </c>
      <c r="J25" s="91">
        <f t="shared" ca="1" si="31"/>
        <v>4.8676525947024993</v>
      </c>
      <c r="K25" s="91">
        <f t="shared" ca="1" si="31"/>
        <v>5.316826259716894</v>
      </c>
      <c r="L25" s="91">
        <f t="shared" ca="1" si="31"/>
        <v>5.8516276523517545</v>
      </c>
      <c r="M25" s="91">
        <f t="shared" ca="1" si="31"/>
        <v>6.1904471794402118</v>
      </c>
      <c r="N25" s="91">
        <f t="shared" ca="1" si="31"/>
        <v>6.4264101282161352</v>
      </c>
      <c r="O25" s="91">
        <f t="shared" ca="1" si="31"/>
        <v>6.6686211258750889</v>
      </c>
      <c r="P25" s="91">
        <f t="shared" ca="1" si="31"/>
        <v>6.8502071150087662</v>
      </c>
      <c r="Q25" s="91">
        <f t="shared" ca="1" si="31"/>
        <v>7.1262646596025867</v>
      </c>
      <c r="R25" s="91">
        <f t="shared" ca="1" si="31"/>
        <v>7.3269896831067163</v>
      </c>
      <c r="S25" s="91">
        <f t="shared" ca="1" si="31"/>
        <v>7.6603675780651423</v>
      </c>
      <c r="T25" s="91">
        <f t="shared" ca="1" si="31"/>
        <v>8.0985712953860869</v>
      </c>
      <c r="U25" s="91">
        <f t="shared" ca="1" si="31"/>
        <v>8.4334568232811318</v>
      </c>
      <c r="V25" s="91">
        <f t="shared" ca="1" si="31"/>
        <v>8.9347115072256003</v>
      </c>
      <c r="W25" s="91">
        <f t="shared" ca="1" si="31"/>
        <v>9.261288993076171</v>
      </c>
      <c r="X25" s="91">
        <f t="shared" ca="1" si="31"/>
        <v>9.7077315507342572</v>
      </c>
      <c r="Y25" s="91">
        <f t="shared" ca="1" si="31"/>
        <v>10.18401912057119</v>
      </c>
      <c r="Z25" s="91">
        <f t="shared" ca="1" si="31"/>
        <v>10.625078553191299</v>
      </c>
      <c r="AA25" s="91">
        <f t="shared" ca="1" si="31"/>
        <v>11.056006278279588</v>
      </c>
      <c r="AB25" s="91">
        <f t="shared" ca="1" si="31"/>
        <v>11.540095914379869</v>
      </c>
      <c r="AC25" s="91">
        <f t="shared" ca="1" si="31"/>
        <v>12.128547392236579</v>
      </c>
      <c r="AD25" s="91">
        <f t="shared" ca="1" si="31"/>
        <v>12.633371985216282</v>
      </c>
      <c r="AE25" s="91">
        <f t="shared" ca="1" si="31"/>
        <v>13.226587304099723</v>
      </c>
      <c r="AF25" s="91">
        <f t="shared" ca="1" si="31"/>
        <v>13.799915092632116</v>
      </c>
      <c r="AG25" s="91">
        <f t="shared" ca="1" si="31"/>
        <v>14.382649677070916</v>
      </c>
      <c r="AH25" s="91">
        <f t="shared" ca="1" si="31"/>
        <v>15.030642517425763</v>
      </c>
      <c r="AI25" s="91">
        <f t="shared" ca="1" si="31"/>
        <v>15.806022367781999</v>
      </c>
      <c r="AJ25" s="91">
        <f t="shared" ca="1" si="31"/>
        <v>16.441738832775144</v>
      </c>
      <c r="AK25" s="91">
        <f t="shared" ca="1" si="31"/>
        <v>17.123694543034617</v>
      </c>
      <c r="AL25" s="91">
        <f t="shared" ca="1" si="31"/>
        <v>17.967680308606045</v>
      </c>
      <c r="AM25" s="91">
        <f t="shared" ca="1" si="31"/>
        <v>18.78119734285799</v>
      </c>
      <c r="AN25" s="91">
        <f t="shared" ca="1" si="31"/>
        <v>19.617065064937528</v>
      </c>
      <c r="AO25" s="92">
        <f t="shared" ca="1" si="31"/>
        <v>20.482181700709251</v>
      </c>
      <c r="AP25" s="71"/>
    </row>
    <row r="26" spans="2:42" ht="15" customHeight="1" x14ac:dyDescent="0.35">
      <c r="B26" s="68"/>
      <c r="C26" s="75" t="s">
        <v>14</v>
      </c>
      <c r="D26" s="116"/>
      <c r="E26" s="116"/>
      <c r="F26" s="85">
        <f ca="1">F22+F23+F24-F25</f>
        <v>74.276593481330139</v>
      </c>
      <c r="G26" s="86">
        <f t="shared" ref="G26:AO26" ca="1" si="32">G22+G23+G24-G25</f>
        <v>73.140190259972172</v>
      </c>
      <c r="H26" s="86">
        <f t="shared" ca="1" si="32"/>
        <v>76.027060788653628</v>
      </c>
      <c r="I26" s="86">
        <f t="shared" ca="1" si="32"/>
        <v>78.083500592109914</v>
      </c>
      <c r="J26" s="86">
        <f t="shared" ca="1" si="32"/>
        <v>81.095118573803816</v>
      </c>
      <c r="K26" s="86">
        <f t="shared" ca="1" si="32"/>
        <v>84.402581967452321</v>
      </c>
      <c r="L26" s="86">
        <f t="shared" ca="1" si="32"/>
        <v>88.002284923562215</v>
      </c>
      <c r="M26" s="86">
        <f t="shared" ca="1" si="32"/>
        <v>92.037364814661629</v>
      </c>
      <c r="N26" s="86">
        <f t="shared" ca="1" si="32"/>
        <v>96.342022390715172</v>
      </c>
      <c r="O26" s="86">
        <f t="shared" ca="1" si="32"/>
        <v>100.81156762279214</v>
      </c>
      <c r="P26" s="86">
        <f t="shared" ca="1" si="32"/>
        <v>105.4700385869448</v>
      </c>
      <c r="Q26" s="86">
        <f t="shared" ca="1" si="32"/>
        <v>110.22908819131561</v>
      </c>
      <c r="R26" s="86">
        <f t="shared" ca="1" si="32"/>
        <v>115.20529384552461</v>
      </c>
      <c r="S26" s="86">
        <f t="shared" ca="1" si="32"/>
        <v>120.28439687829004</v>
      </c>
      <c r="T26" s="86">
        <f t="shared" ca="1" si="32"/>
        <v>125.56828968328244</v>
      </c>
      <c r="U26" s="86">
        <f t="shared" ca="1" si="32"/>
        <v>131.19211615525217</v>
      </c>
      <c r="V26" s="86">
        <f t="shared" ca="1" si="32"/>
        <v>137.00373812308186</v>
      </c>
      <c r="W26" s="86">
        <f t="shared" ca="1" si="32"/>
        <v>143.22078266715809</v>
      </c>
      <c r="X26" s="86">
        <f t="shared" ca="1" si="32"/>
        <v>149.63339893851301</v>
      </c>
      <c r="Y26" s="86">
        <f t="shared" ca="1" si="32"/>
        <v>156.35269417797866</v>
      </c>
      <c r="Z26" s="86">
        <f t="shared" ca="1" si="32"/>
        <v>163.41885087287028</v>
      </c>
      <c r="AA26" s="86">
        <f t="shared" ca="1" si="32"/>
        <v>170.79961397177476</v>
      </c>
      <c r="AB26" s="86">
        <f t="shared" ca="1" si="32"/>
        <v>178.46925173898285</v>
      </c>
      <c r="AC26" s="86">
        <f t="shared" ca="1" si="32"/>
        <v>186.45030175991133</v>
      </c>
      <c r="AD26" s="86">
        <f t="shared" ca="1" si="32"/>
        <v>194.87166565932469</v>
      </c>
      <c r="AE26" s="86">
        <f t="shared" ca="1" si="32"/>
        <v>203.62377885017241</v>
      </c>
      <c r="AF26" s="86">
        <f t="shared" ca="1" si="32"/>
        <v>212.80086792896597</v>
      </c>
      <c r="AG26" s="86">
        <f t="shared" ca="1" si="32"/>
        <v>222.38028500030231</v>
      </c>
      <c r="AH26" s="86">
        <f t="shared" ca="1" si="32"/>
        <v>232.35228723563384</v>
      </c>
      <c r="AI26" s="86">
        <f t="shared" ca="1" si="32"/>
        <v>242.74475197458489</v>
      </c>
      <c r="AJ26" s="86">
        <f t="shared" ca="1" si="32"/>
        <v>253.72604956852919</v>
      </c>
      <c r="AK26" s="86">
        <f t="shared" ca="1" si="32"/>
        <v>265.14294801661731</v>
      </c>
      <c r="AL26" s="86">
        <f t="shared" ca="1" si="32"/>
        <v>276.99413986422473</v>
      </c>
      <c r="AM26" s="86">
        <f t="shared" ca="1" si="32"/>
        <v>289.45059602409339</v>
      </c>
      <c r="AN26" s="86">
        <f t="shared" ref="AN26" ca="1" si="33">AN22+AN23+AN24-AN25</f>
        <v>302.47528909624037</v>
      </c>
      <c r="AO26" s="87">
        <f t="shared" ca="1" si="32"/>
        <v>316.08198685886674</v>
      </c>
      <c r="AP26" s="71"/>
    </row>
    <row r="27" spans="2:42" ht="15" customHeight="1" x14ac:dyDescent="0.35">
      <c r="B27" s="73"/>
      <c r="C27" s="83" t="s">
        <v>150</v>
      </c>
      <c r="D27" s="84"/>
      <c r="E27" s="84"/>
      <c r="F27" s="85">
        <f t="shared" ref="F27:AO27" ca="1" si="34">Capex*(F7)</f>
        <v>25.331278599085582</v>
      </c>
      <c r="G27" s="86">
        <f t="shared" ca="1" si="34"/>
        <v>26.264446004164</v>
      </c>
      <c r="H27" s="86">
        <f t="shared" ca="1" si="34"/>
        <v>27.073923078104436</v>
      </c>
      <c r="I27" s="86">
        <f t="shared" ca="1" si="34"/>
        <v>28.143802595673662</v>
      </c>
      <c r="J27" s="86">
        <f t="shared" ca="1" si="34"/>
        <v>29.316730931746552</v>
      </c>
      <c r="K27" s="86">
        <f t="shared" ca="1" si="34"/>
        <v>30.5978938858952</v>
      </c>
      <c r="L27" s="86">
        <f t="shared" ca="1" si="34"/>
        <v>32.007924645498036</v>
      </c>
      <c r="M27" s="86">
        <f t="shared" ca="1" si="34"/>
        <v>33.499598664640253</v>
      </c>
      <c r="N27" s="86">
        <f t="shared" ca="1" si="34"/>
        <v>35.048131225656192</v>
      </c>
      <c r="O27" s="86">
        <f t="shared" ca="1" si="34"/>
        <v>36.655027882493563</v>
      </c>
      <c r="P27" s="86">
        <f t="shared" ca="1" si="34"/>
        <v>38.305680199363145</v>
      </c>
      <c r="Q27" s="86">
        <f t="shared" ca="1" si="34"/>
        <v>40.022852406496298</v>
      </c>
      <c r="R27" s="86">
        <f t="shared" ca="1" si="34"/>
        <v>41.788392089172611</v>
      </c>
      <c r="S27" s="86">
        <f t="shared" ca="1" si="34"/>
        <v>43.634263794730479</v>
      </c>
      <c r="T27" s="86">
        <f t="shared" ca="1" si="34"/>
        <v>45.585726757474113</v>
      </c>
      <c r="U27" s="86">
        <f t="shared" ca="1" si="34"/>
        <v>47.617885028144265</v>
      </c>
      <c r="V27" s="86">
        <f t="shared" ca="1" si="34"/>
        <v>49.770827560005856</v>
      </c>
      <c r="W27" s="86">
        <f t="shared" ca="1" si="34"/>
        <v>52.002463461951919</v>
      </c>
      <c r="X27" s="86">
        <f t="shared" ca="1" si="34"/>
        <v>54.341675883815597</v>
      </c>
      <c r="Y27" s="86">
        <f t="shared" ca="1" si="34"/>
        <v>56.795656394796609</v>
      </c>
      <c r="Z27" s="86">
        <f t="shared" ca="1" si="34"/>
        <v>59.355916287131862</v>
      </c>
      <c r="AA27" s="86">
        <f t="shared" ca="1" si="34"/>
        <v>62.020014185512487</v>
      </c>
      <c r="AB27" s="86">
        <f t="shared" ca="1" si="34"/>
        <v>64.800760188977506</v>
      </c>
      <c r="AC27" s="86">
        <f t="shared" ca="1" si="34"/>
        <v>67.723301729275477</v>
      </c>
      <c r="AD27" s="86">
        <f t="shared" ca="1" si="34"/>
        <v>70.767487749809533</v>
      </c>
      <c r="AE27" s="86">
        <f t="shared" ca="1" si="34"/>
        <v>73.954617220676923</v>
      </c>
      <c r="AF27" s="86">
        <f t="shared" ca="1" si="34"/>
        <v>77.279897965889489</v>
      </c>
      <c r="AG27" s="86">
        <f t="shared" ca="1" si="34"/>
        <v>80.745596683255968</v>
      </c>
      <c r="AH27" s="86">
        <f t="shared" ca="1" si="34"/>
        <v>84.36743825372001</v>
      </c>
      <c r="AI27" s="86">
        <f t="shared" ca="1" si="34"/>
        <v>88.176118342342178</v>
      </c>
      <c r="AJ27" s="86">
        <f t="shared" ca="1" si="34"/>
        <v>92.13798312132414</v>
      </c>
      <c r="AK27" s="86">
        <f t="shared" ca="1" si="34"/>
        <v>96.264174577477064</v>
      </c>
      <c r="AL27" s="86">
        <f t="shared" ca="1" si="34"/>
        <v>100.59373609762309</v>
      </c>
      <c r="AM27" s="86">
        <f t="shared" ca="1" si="34"/>
        <v>105.1193258187937</v>
      </c>
      <c r="AN27" s="86">
        <f t="shared" ref="AN27" ca="1" si="35">Capex*(AN7)</f>
        <v>109.84632944889913</v>
      </c>
      <c r="AO27" s="87">
        <f t="shared" ca="1" si="34"/>
        <v>114.78179491894954</v>
      </c>
      <c r="AP27" s="71"/>
    </row>
    <row r="28" spans="2:42" ht="15" customHeight="1" thickBot="1" x14ac:dyDescent="0.4">
      <c r="B28" s="73"/>
      <c r="C28" s="117" t="s">
        <v>151</v>
      </c>
      <c r="D28" s="103"/>
      <c r="E28" s="103"/>
      <c r="F28" s="104">
        <v>0</v>
      </c>
      <c r="G28" s="105">
        <v>0</v>
      </c>
      <c r="H28" s="105">
        <v>0</v>
      </c>
      <c r="I28" s="105">
        <v>0</v>
      </c>
      <c r="J28" s="105">
        <v>0</v>
      </c>
      <c r="K28" s="105">
        <v>0</v>
      </c>
      <c r="L28" s="105">
        <v>0</v>
      </c>
      <c r="M28" s="105">
        <v>0</v>
      </c>
      <c r="N28" s="105">
        <v>0</v>
      </c>
      <c r="O28" s="105">
        <v>0</v>
      </c>
      <c r="P28" s="105">
        <v>0</v>
      </c>
      <c r="Q28" s="105">
        <v>0</v>
      </c>
      <c r="R28" s="105">
        <v>0</v>
      </c>
      <c r="S28" s="105">
        <v>0</v>
      </c>
      <c r="T28" s="105">
        <v>0</v>
      </c>
      <c r="U28" s="105">
        <v>0</v>
      </c>
      <c r="V28" s="105">
        <v>0</v>
      </c>
      <c r="W28" s="105">
        <v>0</v>
      </c>
      <c r="X28" s="105">
        <v>0</v>
      </c>
      <c r="Y28" s="105">
        <v>0</v>
      </c>
      <c r="Z28" s="105">
        <v>0</v>
      </c>
      <c r="AA28" s="105">
        <v>0</v>
      </c>
      <c r="AB28" s="105">
        <v>0</v>
      </c>
      <c r="AC28" s="105">
        <v>0</v>
      </c>
      <c r="AD28" s="105">
        <v>0</v>
      </c>
      <c r="AE28" s="105">
        <v>0</v>
      </c>
      <c r="AF28" s="105">
        <v>0</v>
      </c>
      <c r="AG28" s="105">
        <v>0</v>
      </c>
      <c r="AH28" s="105">
        <v>0</v>
      </c>
      <c r="AI28" s="105">
        <v>0</v>
      </c>
      <c r="AJ28" s="105">
        <v>0</v>
      </c>
      <c r="AK28" s="105">
        <v>0</v>
      </c>
      <c r="AL28" s="105">
        <v>0</v>
      </c>
      <c r="AM28" s="105">
        <v>0</v>
      </c>
      <c r="AN28" s="105">
        <v>0</v>
      </c>
      <c r="AO28" s="106">
        <v>0</v>
      </c>
      <c r="AP28" s="71"/>
    </row>
    <row r="29" spans="2:42" ht="15" customHeight="1" thickTop="1" x14ac:dyDescent="0.35">
      <c r="B29" s="68"/>
      <c r="C29" s="107" t="s">
        <v>35</v>
      </c>
      <c r="D29" s="75"/>
      <c r="E29" s="75"/>
      <c r="F29" s="108">
        <f ca="1">F26-SUM(F27:F28)</f>
        <v>48.94531488224456</v>
      </c>
      <c r="G29" s="109">
        <f t="shared" ref="G29:AI29" ca="1" si="36">G26-SUM(G27:G28)</f>
        <v>46.875744255808172</v>
      </c>
      <c r="H29" s="109">
        <f t="shared" ca="1" si="36"/>
        <v>48.953137710549193</v>
      </c>
      <c r="I29" s="109">
        <f t="shared" ca="1" si="36"/>
        <v>49.939697996436252</v>
      </c>
      <c r="J29" s="109">
        <f t="shared" ca="1" si="36"/>
        <v>51.778387642057268</v>
      </c>
      <c r="K29" s="109">
        <f t="shared" ca="1" si="36"/>
        <v>53.804688081557117</v>
      </c>
      <c r="L29" s="109">
        <f t="shared" ca="1" si="36"/>
        <v>55.994360278064178</v>
      </c>
      <c r="M29" s="109">
        <f t="shared" ca="1" si="36"/>
        <v>58.537766150021376</v>
      </c>
      <c r="N29" s="109">
        <f t="shared" ca="1" si="36"/>
        <v>61.29389116505898</v>
      </c>
      <c r="O29" s="109">
        <f t="shared" ca="1" si="36"/>
        <v>64.15653974029857</v>
      </c>
      <c r="P29" s="109">
        <f t="shared" ca="1" si="36"/>
        <v>67.164358387581643</v>
      </c>
      <c r="Q29" s="109">
        <f t="shared" ca="1" si="36"/>
        <v>70.206235784819313</v>
      </c>
      <c r="R29" s="109">
        <f t="shared" ca="1" si="36"/>
        <v>73.41690175635199</v>
      </c>
      <c r="S29" s="109">
        <f t="shared" ca="1" si="36"/>
        <v>76.650133083559552</v>
      </c>
      <c r="T29" s="109">
        <f t="shared" ca="1" si="36"/>
        <v>79.982562925808338</v>
      </c>
      <c r="U29" s="109">
        <f t="shared" ca="1" si="36"/>
        <v>83.574231127107907</v>
      </c>
      <c r="V29" s="109">
        <f t="shared" ca="1" si="36"/>
        <v>87.232910563076004</v>
      </c>
      <c r="W29" s="109">
        <f t="shared" ca="1" si="36"/>
        <v>91.218319205206171</v>
      </c>
      <c r="X29" s="109">
        <f t="shared" ca="1" si="36"/>
        <v>95.291723054697414</v>
      </c>
      <c r="Y29" s="109">
        <f t="shared" ca="1" si="36"/>
        <v>99.557037783182054</v>
      </c>
      <c r="Z29" s="109">
        <f t="shared" ca="1" si="36"/>
        <v>104.06293458573842</v>
      </c>
      <c r="AA29" s="109">
        <f t="shared" ca="1" si="36"/>
        <v>108.77959978626228</v>
      </c>
      <c r="AB29" s="109">
        <f t="shared" ca="1" si="36"/>
        <v>113.66849155000534</v>
      </c>
      <c r="AC29" s="109">
        <f t="shared" ca="1" si="36"/>
        <v>118.72700003063585</v>
      </c>
      <c r="AD29" s="109">
        <f t="shared" ca="1" si="36"/>
        <v>124.10417790951516</v>
      </c>
      <c r="AE29" s="109">
        <f t="shared" ca="1" si="36"/>
        <v>129.66916162949548</v>
      </c>
      <c r="AF29" s="109">
        <f t="shared" ca="1" si="36"/>
        <v>135.52096996307648</v>
      </c>
      <c r="AG29" s="109">
        <f t="shared" ca="1" si="36"/>
        <v>141.63468831704634</v>
      </c>
      <c r="AH29" s="109">
        <f t="shared" ca="1" si="36"/>
        <v>147.98484898191384</v>
      </c>
      <c r="AI29" s="109">
        <f t="shared" ca="1" si="36"/>
        <v>154.56863363224272</v>
      </c>
      <c r="AJ29" s="109">
        <f t="shared" ref="AJ29:AO29" ca="1" si="37">AJ26-SUM(AJ27:AJ28)</f>
        <v>161.58806644720505</v>
      </c>
      <c r="AK29" s="109">
        <f t="shared" ca="1" si="37"/>
        <v>168.87877343914025</v>
      </c>
      <c r="AL29" s="109">
        <f t="shared" ref="AL29" ca="1" si="38">AL26-SUM(AL27:AL28)</f>
        <v>176.40040376660164</v>
      </c>
      <c r="AM29" s="109">
        <f t="shared" ref="AM29:AN29" ca="1" si="39">AM26-SUM(AM27:AM28)</f>
        <v>184.33127020529969</v>
      </c>
      <c r="AN29" s="109">
        <f t="shared" ca="1" si="39"/>
        <v>192.62895964734125</v>
      </c>
      <c r="AO29" s="110">
        <f t="shared" ca="1" si="37"/>
        <v>201.3001919399172</v>
      </c>
      <c r="AP29" s="71"/>
    </row>
    <row r="30" spans="2:42" s="7" customFormat="1" ht="15" customHeight="1" x14ac:dyDescent="0.35">
      <c r="B30" s="68"/>
      <c r="C30" s="69"/>
      <c r="D30" s="69"/>
      <c r="E30" s="69"/>
      <c r="F30" s="111"/>
      <c r="G30" s="111"/>
      <c r="H30" s="111"/>
      <c r="I30" s="111"/>
      <c r="J30" s="111"/>
      <c r="K30" s="111"/>
      <c r="L30" s="111"/>
      <c r="M30" s="111"/>
      <c r="N30" s="111"/>
      <c r="O30" s="111"/>
      <c r="P30" s="111"/>
      <c r="Q30" s="111"/>
      <c r="R30" s="111"/>
      <c r="S30" s="111"/>
      <c r="T30" s="111"/>
      <c r="U30" s="111"/>
      <c r="V30" s="111"/>
      <c r="W30" s="111"/>
      <c r="X30" s="111"/>
      <c r="Y30" s="111"/>
      <c r="Z30" s="111"/>
      <c r="AA30" s="111"/>
      <c r="AB30" s="111"/>
      <c r="AC30" s="111"/>
      <c r="AD30" s="111"/>
      <c r="AE30" s="111"/>
      <c r="AF30" s="111"/>
      <c r="AG30" s="111"/>
      <c r="AH30" s="111"/>
      <c r="AI30" s="111"/>
      <c r="AJ30" s="111"/>
      <c r="AK30" s="111"/>
      <c r="AL30" s="111"/>
      <c r="AM30" s="111"/>
      <c r="AN30" s="111"/>
      <c r="AO30" s="111"/>
      <c r="AP30" s="71"/>
    </row>
    <row r="31" spans="2:42" s="7" customFormat="1" ht="15" customHeight="1" x14ac:dyDescent="0.35">
      <c r="B31" s="68"/>
      <c r="C31" s="69"/>
      <c r="D31" s="69"/>
      <c r="E31" s="69"/>
      <c r="F31" s="111"/>
      <c r="G31" s="111"/>
      <c r="H31" s="111"/>
      <c r="I31" s="111"/>
      <c r="J31" s="111"/>
      <c r="K31" s="111"/>
      <c r="L31" s="111"/>
      <c r="M31" s="111"/>
      <c r="N31" s="111"/>
      <c r="O31" s="111"/>
      <c r="P31" s="111"/>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71"/>
    </row>
    <row r="32" spans="2:42" ht="15" customHeight="1" x14ac:dyDescent="0.35">
      <c r="B32" s="68"/>
      <c r="C32" s="113" t="s">
        <v>276</v>
      </c>
      <c r="D32" s="113"/>
      <c r="E32" s="118"/>
      <c r="F32" s="112"/>
      <c r="G32" s="112"/>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71"/>
    </row>
    <row r="33" spans="2:42" ht="15" customHeight="1" x14ac:dyDescent="0.35">
      <c r="B33" s="68"/>
      <c r="C33" s="75" t="s">
        <v>35</v>
      </c>
      <c r="D33" s="75"/>
      <c r="E33" s="75"/>
      <c r="F33" s="77">
        <f ca="1">F29</f>
        <v>48.94531488224456</v>
      </c>
      <c r="G33" s="78">
        <f t="shared" ref="G33:AI33" ca="1" si="40">G29</f>
        <v>46.875744255808172</v>
      </c>
      <c r="H33" s="78">
        <f t="shared" ca="1" si="40"/>
        <v>48.953137710549193</v>
      </c>
      <c r="I33" s="78">
        <f t="shared" ca="1" si="40"/>
        <v>49.939697996436252</v>
      </c>
      <c r="J33" s="78">
        <f t="shared" ca="1" si="40"/>
        <v>51.778387642057268</v>
      </c>
      <c r="K33" s="78">
        <f t="shared" ca="1" si="40"/>
        <v>53.804688081557117</v>
      </c>
      <c r="L33" s="78">
        <f t="shared" ca="1" si="40"/>
        <v>55.994360278064178</v>
      </c>
      <c r="M33" s="78">
        <f t="shared" ca="1" si="40"/>
        <v>58.537766150021376</v>
      </c>
      <c r="N33" s="78">
        <f t="shared" ca="1" si="40"/>
        <v>61.29389116505898</v>
      </c>
      <c r="O33" s="78">
        <f t="shared" ca="1" si="40"/>
        <v>64.15653974029857</v>
      </c>
      <c r="P33" s="78">
        <f t="shared" ca="1" si="40"/>
        <v>67.164358387581643</v>
      </c>
      <c r="Q33" s="78">
        <f t="shared" ca="1" si="40"/>
        <v>70.206235784819313</v>
      </c>
      <c r="R33" s="78">
        <f t="shared" ca="1" si="40"/>
        <v>73.41690175635199</v>
      </c>
      <c r="S33" s="78">
        <f t="shared" ca="1" si="40"/>
        <v>76.650133083559552</v>
      </c>
      <c r="T33" s="78">
        <f t="shared" ca="1" si="40"/>
        <v>79.982562925808338</v>
      </c>
      <c r="U33" s="78">
        <f t="shared" ca="1" si="40"/>
        <v>83.574231127107907</v>
      </c>
      <c r="V33" s="78">
        <f t="shared" ca="1" si="40"/>
        <v>87.232910563076004</v>
      </c>
      <c r="W33" s="78">
        <f t="shared" ca="1" si="40"/>
        <v>91.218319205206171</v>
      </c>
      <c r="X33" s="78">
        <f t="shared" ca="1" si="40"/>
        <v>95.291723054697414</v>
      </c>
      <c r="Y33" s="78">
        <f t="shared" ca="1" si="40"/>
        <v>99.557037783182054</v>
      </c>
      <c r="Z33" s="78">
        <f t="shared" ca="1" si="40"/>
        <v>104.06293458573842</v>
      </c>
      <c r="AA33" s="78">
        <f t="shared" ca="1" si="40"/>
        <v>108.77959978626228</v>
      </c>
      <c r="AB33" s="78">
        <f t="shared" ca="1" si="40"/>
        <v>113.66849155000534</v>
      </c>
      <c r="AC33" s="78">
        <f t="shared" ca="1" si="40"/>
        <v>118.72700003063585</v>
      </c>
      <c r="AD33" s="78">
        <f t="shared" ca="1" si="40"/>
        <v>124.10417790951516</v>
      </c>
      <c r="AE33" s="78">
        <f t="shared" ca="1" si="40"/>
        <v>129.66916162949548</v>
      </c>
      <c r="AF33" s="78">
        <f t="shared" ca="1" si="40"/>
        <v>135.52096996307648</v>
      </c>
      <c r="AG33" s="78">
        <f t="shared" ca="1" si="40"/>
        <v>141.63468831704634</v>
      </c>
      <c r="AH33" s="78">
        <f t="shared" ca="1" si="40"/>
        <v>147.98484898191384</v>
      </c>
      <c r="AI33" s="78">
        <f t="shared" ca="1" si="40"/>
        <v>154.56863363224272</v>
      </c>
      <c r="AJ33" s="78">
        <f t="shared" ref="AJ33:AO33" ca="1" si="41">AJ29</f>
        <v>161.58806644720505</v>
      </c>
      <c r="AK33" s="78">
        <f t="shared" ca="1" si="41"/>
        <v>168.87877343914025</v>
      </c>
      <c r="AL33" s="78">
        <f t="shared" ref="AL33" ca="1" si="42">AL29</f>
        <v>176.40040376660164</v>
      </c>
      <c r="AM33" s="78">
        <f t="shared" ref="AM33:AN33" ca="1" si="43">AM29</f>
        <v>184.33127020529969</v>
      </c>
      <c r="AN33" s="78">
        <f t="shared" ca="1" si="43"/>
        <v>192.62895964734125</v>
      </c>
      <c r="AO33" s="79">
        <f t="shared" ca="1" si="41"/>
        <v>201.3001919399172</v>
      </c>
      <c r="AP33" s="71"/>
    </row>
    <row r="34" spans="2:42" ht="15" customHeight="1" x14ac:dyDescent="0.35">
      <c r="B34" s="68"/>
      <c r="C34" s="75" t="s">
        <v>15</v>
      </c>
      <c r="D34" s="75"/>
      <c r="E34" s="75"/>
      <c r="F34" s="85">
        <f t="shared" ref="F34:AI34" si="44">IF(F$6=Terminal_Year,F29*(1+Growth_Rate)/(Discount_Rate-Growth_Rate),0)</f>
        <v>0</v>
      </c>
      <c r="G34" s="86">
        <f t="shared" ca="1" si="44"/>
        <v>0</v>
      </c>
      <c r="H34" s="86">
        <f t="shared" ca="1" si="44"/>
        <v>0</v>
      </c>
      <c r="I34" s="86">
        <f t="shared" ca="1" si="44"/>
        <v>0</v>
      </c>
      <c r="J34" s="86">
        <f t="shared" ca="1" si="44"/>
        <v>0</v>
      </c>
      <c r="K34" s="86">
        <f t="shared" ca="1" si="44"/>
        <v>0</v>
      </c>
      <c r="L34" s="86">
        <f t="shared" ca="1" si="44"/>
        <v>0</v>
      </c>
      <c r="M34" s="86">
        <f t="shared" ca="1" si="44"/>
        <v>0</v>
      </c>
      <c r="N34" s="86">
        <f t="shared" ca="1" si="44"/>
        <v>0</v>
      </c>
      <c r="O34" s="86">
        <f t="shared" ca="1" si="44"/>
        <v>0</v>
      </c>
      <c r="P34" s="86">
        <f t="shared" ca="1" si="44"/>
        <v>0</v>
      </c>
      <c r="Q34" s="86">
        <f t="shared" ca="1" si="44"/>
        <v>0</v>
      </c>
      <c r="R34" s="86">
        <f t="shared" ca="1" si="44"/>
        <v>0</v>
      </c>
      <c r="S34" s="86">
        <f t="shared" ca="1" si="44"/>
        <v>0</v>
      </c>
      <c r="T34" s="86">
        <f t="shared" ca="1" si="44"/>
        <v>0</v>
      </c>
      <c r="U34" s="86">
        <f t="shared" ca="1" si="44"/>
        <v>0</v>
      </c>
      <c r="V34" s="86">
        <f t="shared" ca="1" si="44"/>
        <v>0</v>
      </c>
      <c r="W34" s="86">
        <f t="shared" ca="1" si="44"/>
        <v>0</v>
      </c>
      <c r="X34" s="86">
        <f t="shared" ca="1" si="44"/>
        <v>0</v>
      </c>
      <c r="Y34" s="86">
        <f t="shared" ca="1" si="44"/>
        <v>0</v>
      </c>
      <c r="Z34" s="86">
        <f t="shared" ca="1" si="44"/>
        <v>0</v>
      </c>
      <c r="AA34" s="86">
        <f t="shared" ca="1" si="44"/>
        <v>0</v>
      </c>
      <c r="AB34" s="86">
        <f t="shared" ca="1" si="44"/>
        <v>0</v>
      </c>
      <c r="AC34" s="86">
        <f t="shared" ca="1" si="44"/>
        <v>0</v>
      </c>
      <c r="AD34" s="86">
        <f t="shared" ca="1" si="44"/>
        <v>0</v>
      </c>
      <c r="AE34" s="86">
        <f t="shared" ca="1" si="44"/>
        <v>0</v>
      </c>
      <c r="AF34" s="86">
        <f t="shared" ca="1" si="44"/>
        <v>0</v>
      </c>
      <c r="AG34" s="86">
        <f t="shared" ca="1" si="44"/>
        <v>0</v>
      </c>
      <c r="AH34" s="86">
        <f t="shared" ca="1" si="44"/>
        <v>0</v>
      </c>
      <c r="AI34" s="86">
        <f t="shared" ca="1" si="44"/>
        <v>0</v>
      </c>
      <c r="AJ34" s="86">
        <f t="shared" ref="AJ34:AK34" ca="1" si="45">IF(AJ$6=Terminal_Year,AJ29*(1+Growth_Rate)/(Discount_Rate-Growth_Rate),0)</f>
        <v>0</v>
      </c>
      <c r="AK34" s="86">
        <f t="shared" ca="1" si="45"/>
        <v>0</v>
      </c>
      <c r="AL34" s="86">
        <f t="shared" ref="AL34" ca="1" si="46">IF(AL$6=Terminal_Year,AL29*(1+Growth_Rate)/(Discount_Rate-Growth_Rate),0)</f>
        <v>0</v>
      </c>
      <c r="AM34" s="86">
        <f t="shared" ref="AM34:AN34" ca="1" si="47">IF(AM$6=Terminal_Year,AM29*(1+Growth_Rate)/(Discount_Rate-Growth_Rate),0)</f>
        <v>0</v>
      </c>
      <c r="AN34" s="86">
        <f t="shared" ca="1" si="47"/>
        <v>0</v>
      </c>
      <c r="AO34" s="87">
        <f ca="1">IF(AO$6=Terminal_Year,AO29*(1+Growth_Rate)/(Discount_Rate-Growth_Rate),0)</f>
        <v>3630.5927474877926</v>
      </c>
      <c r="AP34" s="71"/>
    </row>
    <row r="35" spans="2:42" ht="15" customHeight="1" thickBot="1" x14ac:dyDescent="0.4">
      <c r="B35" s="68"/>
      <c r="C35" s="119" t="s">
        <v>16</v>
      </c>
      <c r="D35" s="75"/>
      <c r="E35" s="75"/>
      <c r="F35" s="120">
        <f>IF(AND(F6&gt;=Reference_Year, F6&lt;=Terminal_Year), (1/(1+Discount_Rate))^('No STDs Case DCF'!F$6-Reference_Year), 0)</f>
        <v>0</v>
      </c>
      <c r="G35" s="121">
        <f ca="1">IF(AND(G6&gt;=Reference_Year, G6&lt;=Terminal_Year), (1/(1+Discount_Rate))^(G6-Reference_Year), 0)</f>
        <v>1</v>
      </c>
      <c r="H35" s="121">
        <f ca="1">IF(AND(H6&gt;=Reference_Year, H6&lt;=Terminal_Year), (1/(1+Discount_Rate))^(H6-Reference_Year), 0)</f>
        <v>0.9380863039399624</v>
      </c>
      <c r="I35" s="121">
        <f ca="1">IF(AND(I6&gt;=Reference_Year, I6&lt;=Terminal_Year), (1/(1+Discount_Rate))^(I6-Reference_Year), 0)</f>
        <v>0.88000591363973946</v>
      </c>
      <c r="J35" s="121">
        <f ca="1">IF(AND(J6&gt;=Reference_Year, J6&lt;=Terminal_Year), (1/(1+Discount_Rate))^('No STDs Case DCF'!J$6-Reference_Year), 0)</f>
        <v>0.82552149497161298</v>
      </c>
      <c r="K35" s="121">
        <f ca="1">IF(AND(K6&gt;=Reference_Year, K6&lt;=Terminal_Year), (1/(1+Discount_Rate))^('No STDs Case DCF'!K$6-Reference_Year), 0)</f>
        <v>0.77441040804091255</v>
      </c>
      <c r="L35" s="121">
        <f ca="1">IF(AND(L6&gt;=Reference_Year, L6&lt;=Terminal_Year), (1/(1+Discount_Rate))^('No STDs Case DCF'!L$6-Reference_Year), 0)</f>
        <v>0.72646379741173783</v>
      </c>
      <c r="M35" s="121">
        <f ca="1">IF(AND(M6&gt;=Reference_Year, M6&lt;=Terminal_Year), (1/(1+Discount_Rate))^('No STDs Case DCF'!M$6-Reference_Year), 0)</f>
        <v>0.68148573866016671</v>
      </c>
      <c r="N35" s="121">
        <f ca="1">IF(AND(N6&gt;=Reference_Year, N6&lt;=Terminal_Year), (1/(1+Discount_Rate))^('No STDs Case DCF'!N$6-Reference_Year), 0)</f>
        <v>0.63929243776751099</v>
      </c>
      <c r="O35" s="121">
        <f ca="1">IF(AND(O6&gt;=Reference_Year, O6&lt;=Terminal_Year), (1/(1+Discount_Rate))^('No STDs Case DCF'!O$6-Reference_Year), 0)</f>
        <v>0.59971148008209263</v>
      </c>
      <c r="P35" s="121">
        <f ca="1">IF(AND(P6&gt;=Reference_Year, P6&lt;=Terminal_Year), (1/(1+Discount_Rate))^('No STDs Case DCF'!P$6-Reference_Year), 0)</f>
        <v>0.56258112578057462</v>
      </c>
      <c r="Q35" s="121">
        <f ca="1">IF(AND(Q6&gt;=Reference_Year, Q6&lt;=Terminal_Year), (1/(1+Discount_Rate))^('No STDs Case DCF'!Q$6-Reference_Year), 0)</f>
        <v>0.5277496489498823</v>
      </c>
      <c r="R35" s="121">
        <f ca="1">IF(AND(R6&gt;=Reference_Year, R6&lt;=Terminal_Year), (1/(1+Discount_Rate))^('No STDs Case DCF'!R$6-Reference_Year), 0)</f>
        <v>0.49507471758900778</v>
      </c>
      <c r="S35" s="121">
        <f ca="1">IF(AND(S6&gt;=Reference_Year, S6&lt;=Terminal_Year), (1/(1+Discount_Rate))^('No STDs Case DCF'!S$6-Reference_Year), 0)</f>
        <v>0.46442281199719293</v>
      </c>
      <c r="T35" s="121">
        <f ca="1">IF(AND(T6&gt;=Reference_Year, T6&lt;=Terminal_Year), (1/(1+Discount_Rate))^('No STDs Case DCF'!T$6-Reference_Year), 0)</f>
        <v>0.43566867917185081</v>
      </c>
      <c r="U35" s="121">
        <f ca="1">IF(AND(U6&gt;=Reference_Year, U6&lt;=Terminal_Year), (1/(1+Discount_Rate))^('No STDs Case DCF'!U$6-Reference_Year), 0)</f>
        <v>0.40869482098672677</v>
      </c>
      <c r="V35" s="121">
        <f ca="1">IF(AND(V6&gt;=Reference_Year, V6&lt;=Terminal_Year), (1/(1+Discount_Rate))^('No STDs Case DCF'!V$6-Reference_Year), 0)</f>
        <v>0.38339101405884313</v>
      </c>
      <c r="W35" s="121">
        <f ca="1">IF(AND(W6&gt;=Reference_Year, W6&lt;=Terminal_Year), (1/(1+Discount_Rate))^('No STDs Case DCF'!W$6-Reference_Year), 0)</f>
        <v>0.35965385934225419</v>
      </c>
      <c r="X35" s="121">
        <f ca="1">IF(AND(X6&gt;=Reference_Year, X6&lt;=Terminal_Year), (1/(1+Discount_Rate))^('No STDs Case DCF'!X$6-Reference_Year), 0)</f>
        <v>0.33738635960811836</v>
      </c>
      <c r="Y35" s="121">
        <f ca="1">IF(AND(Y6&gt;=Reference_Year, Y6&lt;=Terminal_Year), (1/(1+Discount_Rate))^('No STDs Case DCF'!Y$6-Reference_Year), 0)</f>
        <v>0.31649752308453877</v>
      </c>
      <c r="Z35" s="121">
        <f ca="1">IF(AND(Z6&gt;=Reference_Year, Z6&lt;=Terminal_Year), (1/(1+Discount_Rate))^('No STDs Case DCF'!Z$6-Reference_Year), 0)</f>
        <v>0.29690199163652792</v>
      </c>
      <c r="AA35" s="121">
        <f ca="1">IF(AND(AA6&gt;=Reference_Year, AA6&lt;=Terminal_Year), (1/(1+Discount_Rate))^('No STDs Case DCF'!AA$6-Reference_Year), 0)</f>
        <v>0.27851969196672405</v>
      </c>
      <c r="AB35" s="121">
        <f ca="1">IF(AND(AB6&gt;=Reference_Year, AB6&lt;=Terminal_Year), (1/(1+Discount_Rate))^('No STDs Case DCF'!AB$6-Reference_Year), 0)</f>
        <v>0.261275508411561</v>
      </c>
      <c r="AC35" s="121">
        <f ca="1">IF(AND(AC6&gt;=Reference_Year, AC6&lt;=Terminal_Year), (1/(1+Discount_Rate))^('No STDs Case DCF'!AC$6-Reference_Year), 0)</f>
        <v>0.2450989759958358</v>
      </c>
      <c r="AD35" s="121">
        <f ca="1">IF(AND(AD6&gt;=Reference_Year, AD6&lt;=Terminal_Year), (1/(1+Discount_Rate))^('No STDs Case DCF'!AD$6-Reference_Year), 0)</f>
        <v>0.22992399249140319</v>
      </c>
      <c r="AE35" s="121">
        <f ca="1">IF(AND(AE6&gt;=Reference_Year, AE6&lt;=Terminal_Year), (1/(1+Discount_Rate))^('No STDs Case DCF'!AE$6-Reference_Year), 0)</f>
        <v>0.21568854830338002</v>
      </c>
      <c r="AF35" s="121">
        <f ca="1">IF(AND(AF6&gt;=Reference_Year, AF6&lt;=Terminal_Year), (1/(1+Discount_Rate))^('No STDs Case DCF'!AF$6-Reference_Year), 0)</f>
        <v>0.20233447308009381</v>
      </c>
      <c r="AG35" s="121">
        <f ca="1">IF(AND(AG6&gt;=Reference_Year, AG6&lt;=Terminal_Year), (1/(1+Discount_Rate))^('No STDs Case DCF'!AG$6-Reference_Year), 0)</f>
        <v>0.18980719801134499</v>
      </c>
      <c r="AH35" s="121">
        <f ca="1">IF(AND(AH6&gt;=Reference_Year, AH6&lt;=Terminal_Year), (1/(1+Discount_Rate))^('No STDs Case DCF'!AH$6-Reference_Year), 0)</f>
        <v>0.17805553284366321</v>
      </c>
      <c r="AI35" s="121">
        <f ca="1">IF(AND(AI6&gt;=Reference_Year, AI6&lt;=Terminal_Year), (1/(1+Discount_Rate))^('No STDs Case DCF'!AI$6-Reference_Year), 0)</f>
        <v>0.16703145670137259</v>
      </c>
      <c r="AJ35" s="121">
        <f ca="1">IF(AND(AJ6&gt;=Reference_Year, AJ6&lt;=Terminal_Year), (1/(1+Discount_Rate))^('No STDs Case DCF'!AJ$6-Reference_Year), 0)</f>
        <v>0.15668992185869851</v>
      </c>
      <c r="AK35" s="121">
        <f ca="1">IF(AND(AK6&gt;=Reference_Year, AK6&lt;=Terminal_Year), (1/(1+Discount_Rate))^('No STDs Case DCF'!AK$6-Reference_Year), 0)</f>
        <v>0.14698866966106799</v>
      </c>
      <c r="AL35" s="121">
        <f ca="1">IF(AND(AL6&gt;=Reference_Year, AL6&lt;=Terminal_Year), (1/(1+Discount_Rate))^('No STDs Case DCF'!AL$6-Reference_Year), 0)</f>
        <v>0.13788805784340336</v>
      </c>
      <c r="AM35" s="121">
        <f ca="1">IF(AND(AM6&gt;=Reference_Year, AM6&lt;=Terminal_Year), (1/(1+Discount_Rate))^('No STDs Case DCF'!AM$6-Reference_Year), 0)</f>
        <v>0.12935089853977796</v>
      </c>
      <c r="AN35" s="121">
        <f ca="1">IF(AND(AN6&gt;=Reference_Year, AN6&lt;=Terminal_Year), (1/(1+Discount_Rate))^('No STDs Case DCF'!AN$6-Reference_Year), 0)</f>
        <v>0.12134230632249339</v>
      </c>
      <c r="AO35" s="122">
        <f ca="1">IF(AND(AO6&gt;=Reference_Year, AO6&lt;=Terminal_Year), (1/(1+Discount_Rate))^('No STDs Case DCF'!AO$6-Reference_Year), 0)</f>
        <v>0.11382955564961855</v>
      </c>
      <c r="AP35" s="71"/>
    </row>
    <row r="36" spans="2:42" ht="15" customHeight="1" thickTop="1" x14ac:dyDescent="0.35">
      <c r="B36" s="68"/>
      <c r="C36" s="75" t="s">
        <v>17</v>
      </c>
      <c r="D36" s="75"/>
      <c r="E36" s="75"/>
      <c r="F36" s="108">
        <f ca="1">(F29+F34)*F35</f>
        <v>0</v>
      </c>
      <c r="G36" s="109">
        <f ca="1">(G29+G34)*G35</f>
        <v>46.875744255808172</v>
      </c>
      <c r="H36" s="109">
        <f t="shared" ref="H36:AI36" ca="1" si="48">(H29+H34)*H35</f>
        <v>45.922268021153087</v>
      </c>
      <c r="I36" s="109">
        <f t="shared" ca="1" si="48"/>
        <v>43.947229562246548</v>
      </c>
      <c r="J36" s="109">
        <f t="shared" ca="1" si="48"/>
        <v>42.744171973490808</v>
      </c>
      <c r="K36" s="109">
        <f t="shared" ca="1" si="48"/>
        <v>41.66691045175267</v>
      </c>
      <c r="L36" s="109">
        <f t="shared" ca="1" si="48"/>
        <v>40.677875601243478</v>
      </c>
      <c r="M36" s="109">
        <f t="shared" ca="1" si="48"/>
        <v>39.89265280426342</v>
      </c>
      <c r="N36" s="109">
        <f t="shared" ca="1" si="48"/>
        <v>39.184721103167057</v>
      </c>
      <c r="O36" s="109">
        <f t="shared" ca="1" si="48"/>
        <v>38.475413404600047</v>
      </c>
      <c r="P36" s="109">
        <f t="shared" ca="1" si="48"/>
        <v>37.785400354015657</v>
      </c>
      <c r="Q36" s="109">
        <f t="shared" ca="1" si="48"/>
        <v>37.051316289531059</v>
      </c>
      <c r="R36" s="109">
        <f t="shared" ca="1" si="48"/>
        <v>36.346851903285888</v>
      </c>
      <c r="S36" s="109">
        <f t="shared" ca="1" si="48"/>
        <v>35.598070346625796</v>
      </c>
      <c r="T36" s="109">
        <f t="shared" ca="1" si="48"/>
        <v>34.845897546666365</v>
      </c>
      <c r="U36" s="109">
        <f t="shared" ca="1" si="48"/>
        <v>34.156355429596694</v>
      </c>
      <c r="V36" s="109">
        <f t="shared" ca="1" si="48"/>
        <v>33.444314040082077</v>
      </c>
      <c r="W36" s="109">
        <f t="shared" ca="1" si="48"/>
        <v>32.807020544866063</v>
      </c>
      <c r="X36" s="109">
        <f t="shared" ca="1" si="48"/>
        <v>32.150127542209361</v>
      </c>
      <c r="Y36" s="109">
        <f t="shared" ca="1" si="48"/>
        <v>31.509555864010959</v>
      </c>
      <c r="Z36" s="109">
        <f t="shared" ca="1" si="48"/>
        <v>30.896492534047461</v>
      </c>
      <c r="AA36" s="109">
        <f t="shared" ca="1" si="48"/>
        <v>30.297260624733291</v>
      </c>
      <c r="AB36" s="109">
        <f t="shared" ca="1" si="48"/>
        <v>29.698792920102871</v>
      </c>
      <c r="AC36" s="109">
        <f t="shared" ca="1" si="48"/>
        <v>29.099866130566411</v>
      </c>
      <c r="AD36" s="109">
        <f t="shared" ca="1" si="48"/>
        <v>28.534528069819128</v>
      </c>
      <c r="AE36" s="109">
        <f t="shared" ca="1" si="48"/>
        <v>27.968153231582228</v>
      </c>
      <c r="AF36" s="109">
        <f t="shared" ca="1" si="48"/>
        <v>27.4205640487823</v>
      </c>
      <c r="AG36" s="109">
        <f t="shared" ca="1" si="48"/>
        <v>26.883283330668746</v>
      </c>
      <c r="AH36" s="109">
        <f t="shared" ca="1" si="48"/>
        <v>26.3495211382637</v>
      </c>
      <c r="AI36" s="109">
        <f t="shared" ca="1" si="48"/>
        <v>25.817824035934272</v>
      </c>
      <c r="AJ36" s="109">
        <f t="shared" ref="AJ36:AO36" ca="1" si="49">(AJ29+AJ34)*AJ35</f>
        <v>25.319221504910743</v>
      </c>
      <c r="AK36" s="109">
        <f t="shared" ca="1" si="49"/>
        <v>24.823266241812128</v>
      </c>
      <c r="AL36" s="109">
        <f t="shared" ref="AL36" ca="1" si="50">(AL29+AL34)*AL35</f>
        <v>24.323509078168875</v>
      </c>
      <c r="AM36" s="109">
        <f t="shared" ref="AM36:AN36" ca="1" si="51">(AM29+AM34)*AM35</f>
        <v>23.843415430034117</v>
      </c>
      <c r="AN36" s="109">
        <f t="shared" ca="1" si="51"/>
        <v>23.374042228110898</v>
      </c>
      <c r="AO36" s="110">
        <f t="shared" ca="1" si="49"/>
        <v>436.18267059196688</v>
      </c>
      <c r="AP36" s="71"/>
    </row>
    <row r="37" spans="2:42" ht="15" customHeight="1" thickBot="1" x14ac:dyDescent="0.4">
      <c r="B37" s="73"/>
      <c r="C37" s="75"/>
      <c r="D37" s="75"/>
      <c r="E37" s="75"/>
      <c r="F37" s="112"/>
      <c r="G37" s="112"/>
      <c r="H37" s="112"/>
      <c r="I37" s="112"/>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71"/>
    </row>
    <row r="38" spans="2:42" ht="15" customHeight="1" thickBot="1" x14ac:dyDescent="0.4">
      <c r="B38" s="73"/>
      <c r="C38" s="123" t="s">
        <v>247</v>
      </c>
      <c r="D38" s="124">
        <f ca="1">SUM(F36:AP36)</f>
        <v>1565.9143081781194</v>
      </c>
      <c r="E38" s="75"/>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71"/>
    </row>
    <row r="39" spans="2:42" ht="15" customHeight="1" x14ac:dyDescent="0.35">
      <c r="B39" s="73"/>
      <c r="C39" s="93"/>
      <c r="D39" s="75"/>
      <c r="E39" s="75"/>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71"/>
    </row>
    <row r="40" spans="2:42" ht="15" customHeight="1" x14ac:dyDescent="0.35">
      <c r="B40" s="73"/>
      <c r="C40" s="75"/>
      <c r="D40" s="125"/>
      <c r="E40" s="125"/>
      <c r="F40" s="111"/>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71"/>
    </row>
    <row r="41" spans="2:42" ht="15" customHeight="1" x14ac:dyDescent="0.35">
      <c r="B41" s="68"/>
      <c r="C41" s="75" t="s">
        <v>56</v>
      </c>
      <c r="D41" s="126"/>
      <c r="E41" s="126"/>
      <c r="F41" s="77">
        <f t="shared" ref="F41:AO41" ca="1" si="52">IF(F6&lt;Reference_Year,INDEX(Total_Revenues_NoSTDs,MATCH(F$6,Dates,0))*NetPPE,OFFSET(F41,0,-1)-SUM(F23:F24)+SUM(F27:F28))</f>
        <v>67.127888287576781</v>
      </c>
      <c r="G41" s="78">
        <f t="shared" ca="1" si="52"/>
        <v>70.410944038097284</v>
      </c>
      <c r="H41" s="78">
        <f t="shared" ca="1" si="52"/>
        <v>73.795184422860331</v>
      </c>
      <c r="I41" s="78">
        <f t="shared" ca="1" si="52"/>
        <v>77.313159747319531</v>
      </c>
      <c r="J41" s="78">
        <f t="shared" ca="1" si="52"/>
        <v>80.977751113787846</v>
      </c>
      <c r="K41" s="78">
        <f t="shared" ca="1" si="52"/>
        <v>84.802487849524738</v>
      </c>
      <c r="L41" s="78">
        <f t="shared" ca="1" si="52"/>
        <v>88.803478430211996</v>
      </c>
      <c r="M41" s="78">
        <f t="shared" ca="1" si="52"/>
        <v>92.990928263292034</v>
      </c>
      <c r="N41" s="78">
        <f t="shared" ca="1" si="52"/>
        <v>97.371944666499061</v>
      </c>
      <c r="O41" s="78">
        <f t="shared" ca="1" si="52"/>
        <v>101.95382315181075</v>
      </c>
      <c r="P41" s="78">
        <f t="shared" ca="1" si="52"/>
        <v>106.74203317673116</v>
      </c>
      <c r="Q41" s="78">
        <f t="shared" ca="1" si="52"/>
        <v>111.74488972754318</v>
      </c>
      <c r="R41" s="78">
        <f t="shared" ca="1" si="52"/>
        <v>116.96843873868977</v>
      </c>
      <c r="S41" s="78">
        <f t="shared" ca="1" si="52"/>
        <v>122.42272171303108</v>
      </c>
      <c r="T41" s="78">
        <f t="shared" ca="1" si="52"/>
        <v>128.12093755771534</v>
      </c>
      <c r="U41" s="78">
        <f t="shared" ca="1" si="52"/>
        <v>134.07317318623336</v>
      </c>
      <c r="V41" s="78">
        <f t="shared" ca="1" si="52"/>
        <v>140.29452663123408</v>
      </c>
      <c r="W41" s="78">
        <f t="shared" ca="1" si="52"/>
        <v>146.79483456397807</v>
      </c>
      <c r="X41" s="78">
        <f t="shared" ca="1" si="52"/>
        <v>153.587544049455</v>
      </c>
      <c r="Y41" s="78">
        <f t="shared" ca="1" si="52"/>
        <v>160.68700109880456</v>
      </c>
      <c r="Z41" s="78">
        <f t="shared" ca="1" si="52"/>
        <v>168.10649063469603</v>
      </c>
      <c r="AA41" s="78">
        <f t="shared" ca="1" si="52"/>
        <v>175.8589924078851</v>
      </c>
      <c r="AB41" s="78">
        <f t="shared" ca="1" si="52"/>
        <v>183.95908743150727</v>
      </c>
      <c r="AC41" s="78">
        <f t="shared" ca="1" si="52"/>
        <v>192.42450014766669</v>
      </c>
      <c r="AD41" s="78">
        <f t="shared" ca="1" si="52"/>
        <v>201.27043611639289</v>
      </c>
      <c r="AE41" s="78">
        <f t="shared" ca="1" si="52"/>
        <v>210.5147632689775</v>
      </c>
      <c r="AF41" s="78">
        <f t="shared" ca="1" si="52"/>
        <v>220.17475051471368</v>
      </c>
      <c r="AG41" s="78">
        <f t="shared" ca="1" si="52"/>
        <v>230.26795010012066</v>
      </c>
      <c r="AH41" s="78">
        <f t="shared" ca="1" si="52"/>
        <v>240.81387988183565</v>
      </c>
      <c r="AI41" s="78">
        <f t="shared" ca="1" si="52"/>
        <v>251.83589467462843</v>
      </c>
      <c r="AJ41" s="78">
        <f t="shared" ca="1" si="52"/>
        <v>263.35314256479398</v>
      </c>
      <c r="AK41" s="78">
        <f t="shared" ca="1" si="52"/>
        <v>275.38616438697863</v>
      </c>
      <c r="AL41" s="78">
        <f t="shared" ca="1" si="52"/>
        <v>287.96038139918153</v>
      </c>
      <c r="AM41" s="78">
        <f t="shared" ca="1" si="52"/>
        <v>301.10029712653073</v>
      </c>
      <c r="AN41" s="78">
        <f t="shared" ref="AN41" ca="1" si="53">IF(AN6&lt;Reference_Year,INDEX(Total_Revenues_NoSTDs,MATCH(AN$6,Dates,0))*NetPPE,OFFSET(AN41,0,-1)-SUM(AN23:AN24)+SUM(AN27:AN28))</f>
        <v>314.83108830764309</v>
      </c>
      <c r="AO41" s="79">
        <f t="shared" ca="1" si="52"/>
        <v>329.17881267251175</v>
      </c>
      <c r="AP41" s="71"/>
    </row>
    <row r="42" spans="2:42" ht="15" customHeight="1" x14ac:dyDescent="0.35">
      <c r="B42" s="68"/>
      <c r="C42" s="75" t="s">
        <v>55</v>
      </c>
      <c r="D42" s="126"/>
      <c r="E42" s="126"/>
      <c r="F42" s="127">
        <f t="shared" ref="F42:AO42" ca="1" si="54">F41/F7</f>
        <v>0.10599999999999998</v>
      </c>
      <c r="G42" s="128">
        <f t="shared" ca="1" si="54"/>
        <v>0.1072338537457584</v>
      </c>
      <c r="H42" s="128">
        <f t="shared" ca="1" si="54"/>
        <v>0.10902769312001319</v>
      </c>
      <c r="I42" s="128">
        <f t="shared" ca="1" si="54"/>
        <v>0.10988303301872124</v>
      </c>
      <c r="J42" s="128">
        <f t="shared" ca="1" si="54"/>
        <v>0.11048674056096551</v>
      </c>
      <c r="K42" s="128">
        <f t="shared" ca="1" si="54"/>
        <v>0.11086055552158952</v>
      </c>
      <c r="L42" s="128">
        <f t="shared" ca="1" si="54"/>
        <v>0.11097686515292687</v>
      </c>
      <c r="M42" s="128">
        <f t="shared" ca="1" si="54"/>
        <v>0.11103527441532786</v>
      </c>
      <c r="N42" s="128">
        <f t="shared" ca="1" si="54"/>
        <v>0.11112939978405484</v>
      </c>
      <c r="O42" s="128">
        <f t="shared" ca="1" si="54"/>
        <v>0.11125766809251715</v>
      </c>
      <c r="P42" s="128">
        <f t="shared" ca="1" si="54"/>
        <v>0.11146339928824009</v>
      </c>
      <c r="Q42" s="128">
        <f t="shared" ca="1" si="54"/>
        <v>0.11168108518862624</v>
      </c>
      <c r="R42" s="128">
        <f t="shared" ca="1" si="54"/>
        <v>0.11196261247773287</v>
      </c>
      <c r="S42" s="128">
        <f t="shared" ca="1" si="54"/>
        <v>0.11222622871690623</v>
      </c>
      <c r="T42" s="128">
        <f t="shared" ca="1" si="54"/>
        <v>0.11242197650097481</v>
      </c>
      <c r="U42" s="128">
        <f t="shared" ca="1" si="54"/>
        <v>0.11262421513008418</v>
      </c>
      <c r="V42" s="128">
        <f t="shared" ca="1" si="54"/>
        <v>0.11275241623184903</v>
      </c>
      <c r="W42" s="128">
        <f t="shared" ca="1" si="54"/>
        <v>0.1129137543042605</v>
      </c>
      <c r="X42" s="128">
        <f t="shared" ca="1" si="54"/>
        <v>0.11305322594601649</v>
      </c>
      <c r="Y42" s="128">
        <f t="shared" ca="1" si="54"/>
        <v>0.1131685141425893</v>
      </c>
      <c r="Z42" s="128">
        <f t="shared" ca="1" si="54"/>
        <v>0.1132871000231806</v>
      </c>
      <c r="AA42" s="128">
        <f t="shared" ca="1" si="54"/>
        <v>0.11342080115097088</v>
      </c>
      <c r="AB42" s="128">
        <f t="shared" ca="1" si="54"/>
        <v>0.11355366010832593</v>
      </c>
      <c r="AC42" s="128">
        <f t="shared" ca="1" si="54"/>
        <v>0.11365334839514198</v>
      </c>
      <c r="AD42" s="128">
        <f t="shared" ca="1" si="54"/>
        <v>0.11376435282143225</v>
      </c>
      <c r="AE42" s="128">
        <f t="shared" ca="1" si="54"/>
        <v>0.11386159305824643</v>
      </c>
      <c r="AF42" s="128">
        <f t="shared" ca="1" si="54"/>
        <v>0.11396223665403722</v>
      </c>
      <c r="AG42" s="128">
        <f t="shared" ca="1" si="54"/>
        <v>0.11407083955470765</v>
      </c>
      <c r="AH42" s="128">
        <f t="shared" ca="1" si="54"/>
        <v>0.11417384946909535</v>
      </c>
      <c r="AI42" s="128">
        <f t="shared" ca="1" si="54"/>
        <v>0.11424222313660039</v>
      </c>
      <c r="AJ42" s="128">
        <f t="shared" ca="1" si="54"/>
        <v>0.1143298924692196</v>
      </c>
      <c r="AK42" s="128">
        <f t="shared" ca="1" si="54"/>
        <v>0.1144293463672043</v>
      </c>
      <c r="AL42" s="128">
        <f t="shared" ca="1" si="54"/>
        <v>0.1145042992019801</v>
      </c>
      <c r="AM42" s="128">
        <f t="shared" ca="1" si="54"/>
        <v>0.11457466827577339</v>
      </c>
      <c r="AN42" s="128">
        <f t="shared" ref="AN42" ca="1" si="55">AN41/AN7</f>
        <v>0.11464419062053541</v>
      </c>
      <c r="AO42" s="129">
        <f t="shared" ca="1" si="54"/>
        <v>0.11471464195343996</v>
      </c>
      <c r="AP42" s="71"/>
    </row>
    <row r="43" spans="2:42" s="7" customFormat="1" ht="15" customHeight="1" x14ac:dyDescent="0.35">
      <c r="B43" s="73"/>
      <c r="C43" s="69"/>
      <c r="D43" s="111"/>
      <c r="E43" s="111"/>
      <c r="F43" s="69"/>
      <c r="G43" s="69"/>
      <c r="H43" s="69"/>
      <c r="I43" s="69"/>
      <c r="J43" s="69"/>
      <c r="K43" s="69"/>
      <c r="L43" s="69"/>
      <c r="M43" s="69"/>
      <c r="N43" s="69"/>
      <c r="O43" s="69"/>
      <c r="P43" s="69"/>
      <c r="Q43" s="69"/>
      <c r="R43" s="69"/>
      <c r="S43" s="69"/>
      <c r="T43" s="69"/>
      <c r="U43" s="69"/>
      <c r="V43" s="69"/>
      <c r="W43" s="69"/>
      <c r="X43" s="69"/>
      <c r="Y43" s="69"/>
      <c r="Z43" s="69"/>
      <c r="AA43" s="69"/>
      <c r="AB43" s="69"/>
      <c r="AC43" s="69"/>
      <c r="AD43" s="69"/>
      <c r="AE43" s="69"/>
      <c r="AF43" s="69"/>
      <c r="AG43" s="69"/>
      <c r="AH43" s="69"/>
      <c r="AI43" s="69"/>
      <c r="AJ43" s="69"/>
      <c r="AK43" s="69"/>
      <c r="AL43" s="69"/>
      <c r="AM43" s="69"/>
      <c r="AN43" s="69"/>
      <c r="AO43" s="69"/>
      <c r="AP43" s="71"/>
    </row>
    <row r="44" spans="2:42" ht="15" customHeight="1" x14ac:dyDescent="0.35">
      <c r="B44" s="68"/>
      <c r="C44" s="75" t="s">
        <v>18</v>
      </c>
      <c r="D44" s="126"/>
      <c r="E44" s="126"/>
      <c r="F44" s="77">
        <f t="shared" ref="F44:AO44" ca="1" si="56">WorkingCapital*F7</f>
        <v>105.12480618620516</v>
      </c>
      <c r="G44" s="78">
        <f t="shared" ca="1" si="56"/>
        <v>108.99745091728062</v>
      </c>
      <c r="H44" s="78">
        <f t="shared" ca="1" si="56"/>
        <v>112.35678077413341</v>
      </c>
      <c r="I44" s="78">
        <f t="shared" ca="1" si="56"/>
        <v>116.79678077204569</v>
      </c>
      <c r="J44" s="78">
        <f t="shared" ca="1" si="56"/>
        <v>121.6644333667482</v>
      </c>
      <c r="K44" s="78">
        <f t="shared" ca="1" si="56"/>
        <v>126.98125962646509</v>
      </c>
      <c r="L44" s="78">
        <f t="shared" ca="1" si="56"/>
        <v>132.83288727881686</v>
      </c>
      <c r="M44" s="78">
        <f t="shared" ca="1" si="56"/>
        <v>139.02333445825707</v>
      </c>
      <c r="N44" s="78">
        <f t="shared" ca="1" si="56"/>
        <v>145.4497445864732</v>
      </c>
      <c r="O44" s="78">
        <f t="shared" ca="1" si="56"/>
        <v>152.11836571234829</v>
      </c>
      <c r="P44" s="78">
        <f t="shared" ca="1" si="56"/>
        <v>158.96857282735704</v>
      </c>
      <c r="Q44" s="78">
        <f t="shared" ca="1" si="56"/>
        <v>166.09483748695962</v>
      </c>
      <c r="R44" s="78">
        <f t="shared" ca="1" si="56"/>
        <v>173.42182717006634</v>
      </c>
      <c r="S44" s="78">
        <f t="shared" ca="1" si="56"/>
        <v>181.08219474813149</v>
      </c>
      <c r="T44" s="78">
        <f t="shared" ca="1" si="56"/>
        <v>189.18076604351756</v>
      </c>
      <c r="U44" s="78">
        <f t="shared" ca="1" si="56"/>
        <v>197.61422286679871</v>
      </c>
      <c r="V44" s="78">
        <f t="shared" ca="1" si="56"/>
        <v>206.5489343740243</v>
      </c>
      <c r="W44" s="78">
        <f t="shared" ca="1" si="56"/>
        <v>215.81022336710049</v>
      </c>
      <c r="X44" s="78">
        <f t="shared" ca="1" si="56"/>
        <v>225.51795491783474</v>
      </c>
      <c r="Y44" s="78">
        <f t="shared" ca="1" si="56"/>
        <v>235.70197403840592</v>
      </c>
      <c r="Z44" s="78">
        <f t="shared" ca="1" si="56"/>
        <v>246.32705259159724</v>
      </c>
      <c r="AA44" s="78">
        <f t="shared" ca="1" si="56"/>
        <v>257.38305886987683</v>
      </c>
      <c r="AB44" s="78">
        <f t="shared" ca="1" si="56"/>
        <v>268.92315478425667</v>
      </c>
      <c r="AC44" s="78">
        <f t="shared" ca="1" si="56"/>
        <v>281.05170217649328</v>
      </c>
      <c r="AD44" s="78">
        <f t="shared" ca="1" si="56"/>
        <v>293.68507416170957</v>
      </c>
      <c r="AE44" s="78">
        <f t="shared" ca="1" si="56"/>
        <v>306.91166146580929</v>
      </c>
      <c r="AF44" s="78">
        <f t="shared" ca="1" si="56"/>
        <v>320.71157655844138</v>
      </c>
      <c r="AG44" s="78">
        <f t="shared" ca="1" si="56"/>
        <v>335.09422623551228</v>
      </c>
      <c r="AH44" s="78">
        <f t="shared" ca="1" si="56"/>
        <v>350.12486875293808</v>
      </c>
      <c r="AI44" s="78">
        <f t="shared" ca="1" si="56"/>
        <v>365.93089112072005</v>
      </c>
      <c r="AJ44" s="78">
        <f t="shared" ca="1" si="56"/>
        <v>382.37262995349522</v>
      </c>
      <c r="AK44" s="78">
        <f t="shared" ca="1" si="56"/>
        <v>399.49632449652984</v>
      </c>
      <c r="AL44" s="78">
        <f t="shared" ca="1" si="56"/>
        <v>417.46400480513586</v>
      </c>
      <c r="AM44" s="78">
        <f t="shared" ca="1" si="56"/>
        <v>436.24520214799384</v>
      </c>
      <c r="AN44" s="78">
        <f t="shared" ref="AN44" ca="1" si="57">WorkingCapital*AN7</f>
        <v>455.86226721293139</v>
      </c>
      <c r="AO44" s="79">
        <f t="shared" ca="1" si="56"/>
        <v>476.34444891364063</v>
      </c>
      <c r="AP44" s="71"/>
    </row>
    <row r="45" spans="2:42" ht="15" customHeight="1" x14ac:dyDescent="0.35">
      <c r="B45" s="68"/>
      <c r="C45" s="75" t="s">
        <v>19</v>
      </c>
      <c r="D45" s="75"/>
      <c r="E45" s="75"/>
      <c r="F45" s="130">
        <f t="shared" ref="F45:AO45" ca="1" si="58">F18/(F41+F44)</f>
        <v>0.30253067951318474</v>
      </c>
      <c r="G45" s="131">
        <f t="shared" ca="1" si="58"/>
        <v>0.3011645288440527</v>
      </c>
      <c r="H45" s="131">
        <f t="shared" ca="1" si="58"/>
        <v>0.29920021469139191</v>
      </c>
      <c r="I45" s="131">
        <f t="shared" ca="1" si="58"/>
        <v>0.29827258286667513</v>
      </c>
      <c r="J45" s="131">
        <f t="shared" ca="1" si="58"/>
        <v>0.29762130603670517</v>
      </c>
      <c r="K45" s="131">
        <f t="shared" ca="1" si="58"/>
        <v>0.29721946007281413</v>
      </c>
      <c r="L45" s="131">
        <f t="shared" ca="1" si="58"/>
        <v>0.29709465006094338</v>
      </c>
      <c r="M45" s="131">
        <f t="shared" ca="1" si="58"/>
        <v>0.2970320115416803</v>
      </c>
      <c r="N45" s="131">
        <f t="shared" ca="1" si="58"/>
        <v>0.2969311263680684</v>
      </c>
      <c r="O45" s="131">
        <f t="shared" ca="1" si="58"/>
        <v>0.29679375648549283</v>
      </c>
      <c r="P45" s="131">
        <f t="shared" ca="1" si="58"/>
        <v>0.29657369238132097</v>
      </c>
      <c r="Q45" s="131">
        <f t="shared" ca="1" si="58"/>
        <v>0.29634119577027923</v>
      </c>
      <c r="R45" s="131">
        <f t="shared" ca="1" si="58"/>
        <v>0.29604105420536803</v>
      </c>
      <c r="S45" s="131">
        <f t="shared" ca="1" si="58"/>
        <v>0.29576055861833983</v>
      </c>
      <c r="T45" s="131">
        <f t="shared" ca="1" si="58"/>
        <v>0.29555262074399491</v>
      </c>
      <c r="U45" s="131">
        <f t="shared" ca="1" si="58"/>
        <v>0.29533809467769062</v>
      </c>
      <c r="V45" s="131">
        <f t="shared" ca="1" si="58"/>
        <v>0.29520226565191049</v>
      </c>
      <c r="W45" s="131">
        <f t="shared" ca="1" si="58"/>
        <v>0.29503150546609397</v>
      </c>
      <c r="X45" s="131">
        <f t="shared" ca="1" si="58"/>
        <v>0.29488404783216915</v>
      </c>
      <c r="Y45" s="131">
        <f t="shared" ca="1" si="58"/>
        <v>0.29476226959303881</v>
      </c>
      <c r="Z45" s="131">
        <f t="shared" ca="1" si="58"/>
        <v>0.29463711292342659</v>
      </c>
      <c r="AA45" s="131">
        <f t="shared" ca="1" si="58"/>
        <v>0.29449613088442128</v>
      </c>
      <c r="AB45" s="131">
        <f t="shared" ca="1" si="58"/>
        <v>0.29435617046008161</v>
      </c>
      <c r="AC45" s="131">
        <f t="shared" ca="1" si="58"/>
        <v>0.29425124104473444</v>
      </c>
      <c r="AD45" s="131">
        <f t="shared" ca="1" si="58"/>
        <v>0.2941344885354607</v>
      </c>
      <c r="AE45" s="131">
        <f t="shared" ca="1" si="58"/>
        <v>0.2940322890624712</v>
      </c>
      <c r="AF45" s="131">
        <f t="shared" ca="1" si="58"/>
        <v>0.29392658742498146</v>
      </c>
      <c r="AG45" s="131">
        <f t="shared" ca="1" si="58"/>
        <v>0.2938126116893095</v>
      </c>
      <c r="AH45" s="131">
        <f t="shared" ca="1" si="58"/>
        <v>0.2937045872893389</v>
      </c>
      <c r="AI45" s="131">
        <f t="shared" ca="1" si="58"/>
        <v>0.29363292906606653</v>
      </c>
      <c r="AJ45" s="131">
        <f t="shared" ca="1" si="58"/>
        <v>0.29354109939103767</v>
      </c>
      <c r="AK45" s="131">
        <f t="shared" ca="1" si="58"/>
        <v>0.29343699542712898</v>
      </c>
      <c r="AL45" s="131">
        <f t="shared" ca="1" si="58"/>
        <v>0.2933585868797457</v>
      </c>
      <c r="AM45" s="131">
        <f t="shared" ca="1" si="58"/>
        <v>0.29328501155601805</v>
      </c>
      <c r="AN45" s="131">
        <f t="shared" ref="AN45" ca="1" si="59">AN18/(AN41+AN44)</f>
        <v>0.29321235777458121</v>
      </c>
      <c r="AO45" s="132">
        <f t="shared" ca="1" si="58"/>
        <v>0.29313876987305415</v>
      </c>
      <c r="AP45" s="71"/>
    </row>
    <row r="46" spans="2:42" ht="15" customHeight="1" x14ac:dyDescent="0.35">
      <c r="B46" s="68"/>
      <c r="C46" s="75" t="s">
        <v>20</v>
      </c>
      <c r="D46" s="75"/>
      <c r="E46" s="75"/>
      <c r="F46" s="130">
        <f t="shared" ref="F46:AO46" si="60">Discount_Rate</f>
        <v>6.6000000000000003E-2</v>
      </c>
      <c r="G46" s="131">
        <f t="shared" si="60"/>
        <v>6.6000000000000003E-2</v>
      </c>
      <c r="H46" s="131">
        <f t="shared" si="60"/>
        <v>6.6000000000000003E-2</v>
      </c>
      <c r="I46" s="131">
        <f t="shared" si="60"/>
        <v>6.6000000000000003E-2</v>
      </c>
      <c r="J46" s="131">
        <f t="shared" si="60"/>
        <v>6.6000000000000003E-2</v>
      </c>
      <c r="K46" s="131">
        <f t="shared" si="60"/>
        <v>6.6000000000000003E-2</v>
      </c>
      <c r="L46" s="131">
        <f t="shared" si="60"/>
        <v>6.6000000000000003E-2</v>
      </c>
      <c r="M46" s="131">
        <f t="shared" si="60"/>
        <v>6.6000000000000003E-2</v>
      </c>
      <c r="N46" s="131">
        <f t="shared" si="60"/>
        <v>6.6000000000000003E-2</v>
      </c>
      <c r="O46" s="131">
        <f t="shared" si="60"/>
        <v>6.6000000000000003E-2</v>
      </c>
      <c r="P46" s="131">
        <f t="shared" si="60"/>
        <v>6.6000000000000003E-2</v>
      </c>
      <c r="Q46" s="131">
        <f t="shared" si="60"/>
        <v>6.6000000000000003E-2</v>
      </c>
      <c r="R46" s="131">
        <f t="shared" si="60"/>
        <v>6.6000000000000003E-2</v>
      </c>
      <c r="S46" s="131">
        <f t="shared" si="60"/>
        <v>6.6000000000000003E-2</v>
      </c>
      <c r="T46" s="131">
        <f t="shared" si="60"/>
        <v>6.6000000000000003E-2</v>
      </c>
      <c r="U46" s="131">
        <f t="shared" si="60"/>
        <v>6.6000000000000003E-2</v>
      </c>
      <c r="V46" s="131">
        <f t="shared" si="60"/>
        <v>6.6000000000000003E-2</v>
      </c>
      <c r="W46" s="131">
        <f t="shared" si="60"/>
        <v>6.6000000000000003E-2</v>
      </c>
      <c r="X46" s="131">
        <f t="shared" si="60"/>
        <v>6.6000000000000003E-2</v>
      </c>
      <c r="Y46" s="131">
        <f t="shared" si="60"/>
        <v>6.6000000000000003E-2</v>
      </c>
      <c r="Z46" s="131">
        <f t="shared" si="60"/>
        <v>6.6000000000000003E-2</v>
      </c>
      <c r="AA46" s="131">
        <f t="shared" si="60"/>
        <v>6.6000000000000003E-2</v>
      </c>
      <c r="AB46" s="131">
        <f t="shared" si="60"/>
        <v>6.6000000000000003E-2</v>
      </c>
      <c r="AC46" s="131">
        <f t="shared" si="60"/>
        <v>6.6000000000000003E-2</v>
      </c>
      <c r="AD46" s="131">
        <f t="shared" si="60"/>
        <v>6.6000000000000003E-2</v>
      </c>
      <c r="AE46" s="131">
        <f t="shared" si="60"/>
        <v>6.6000000000000003E-2</v>
      </c>
      <c r="AF46" s="131">
        <f t="shared" si="60"/>
        <v>6.6000000000000003E-2</v>
      </c>
      <c r="AG46" s="131">
        <f t="shared" si="60"/>
        <v>6.6000000000000003E-2</v>
      </c>
      <c r="AH46" s="131">
        <f t="shared" si="60"/>
        <v>6.6000000000000003E-2</v>
      </c>
      <c r="AI46" s="131">
        <f t="shared" si="60"/>
        <v>6.6000000000000003E-2</v>
      </c>
      <c r="AJ46" s="131">
        <f t="shared" si="60"/>
        <v>6.6000000000000003E-2</v>
      </c>
      <c r="AK46" s="131">
        <f t="shared" si="60"/>
        <v>6.6000000000000003E-2</v>
      </c>
      <c r="AL46" s="131">
        <f t="shared" si="60"/>
        <v>6.6000000000000003E-2</v>
      </c>
      <c r="AM46" s="131">
        <f t="shared" si="60"/>
        <v>6.6000000000000003E-2</v>
      </c>
      <c r="AN46" s="131">
        <f t="shared" si="60"/>
        <v>6.6000000000000003E-2</v>
      </c>
      <c r="AO46" s="132">
        <f t="shared" si="60"/>
        <v>6.6000000000000003E-2</v>
      </c>
      <c r="AP46" s="71"/>
    </row>
    <row r="47" spans="2:42" ht="15" customHeight="1" x14ac:dyDescent="0.35">
      <c r="B47" s="68"/>
      <c r="C47" s="75" t="s">
        <v>38</v>
      </c>
      <c r="D47" s="75"/>
      <c r="E47" s="75"/>
      <c r="F47" s="133">
        <f t="shared" ref="F47:AO47" ca="1" si="61">F14/F7</f>
        <v>0.11334482758620695</v>
      </c>
      <c r="G47" s="134">
        <f t="shared" ca="1" si="61"/>
        <v>0.11334482758620681</v>
      </c>
      <c r="H47" s="134">
        <f t="shared" ca="1" si="61"/>
        <v>0.11334482758620688</v>
      </c>
      <c r="I47" s="134">
        <f t="shared" ca="1" si="61"/>
        <v>0.11334482758620691</v>
      </c>
      <c r="J47" s="134">
        <f t="shared" ca="1" si="61"/>
        <v>0.11334482758620693</v>
      </c>
      <c r="K47" s="134">
        <f t="shared" ca="1" si="61"/>
        <v>0.11334482758620691</v>
      </c>
      <c r="L47" s="134">
        <f t="shared" ca="1" si="61"/>
        <v>0.1133448275862065</v>
      </c>
      <c r="M47" s="134">
        <f t="shared" ca="1" si="61"/>
        <v>0.11334482758620695</v>
      </c>
      <c r="N47" s="134">
        <f t="shared" ca="1" si="61"/>
        <v>0.11334482758620681</v>
      </c>
      <c r="O47" s="134">
        <f t="shared" ca="1" si="61"/>
        <v>0.1133448275862068</v>
      </c>
      <c r="P47" s="134">
        <f t="shared" ca="1" si="61"/>
        <v>0.11334482758620681</v>
      </c>
      <c r="Q47" s="134">
        <f t="shared" ca="1" si="61"/>
        <v>0.11334482758620697</v>
      </c>
      <c r="R47" s="134">
        <f t="shared" ca="1" si="61"/>
        <v>0.11334482758620691</v>
      </c>
      <c r="S47" s="134">
        <f t="shared" ca="1" si="61"/>
        <v>0.11334482758620687</v>
      </c>
      <c r="T47" s="134">
        <f t="shared" ca="1" si="61"/>
        <v>0.11334482758620673</v>
      </c>
      <c r="U47" s="134">
        <f t="shared" ca="1" si="61"/>
        <v>0.11334482758620669</v>
      </c>
      <c r="V47" s="134">
        <f t="shared" ca="1" si="61"/>
        <v>0.11334482758620693</v>
      </c>
      <c r="W47" s="134">
        <f t="shared" ca="1" si="61"/>
        <v>0.11334482758620693</v>
      </c>
      <c r="X47" s="134">
        <f t="shared" ca="1" si="61"/>
        <v>0.11334482758620693</v>
      </c>
      <c r="Y47" s="134">
        <f t="shared" ca="1" si="61"/>
        <v>0.11334482758620659</v>
      </c>
      <c r="Z47" s="134">
        <f t="shared" ca="1" si="61"/>
        <v>0.1133448275862069</v>
      </c>
      <c r="AA47" s="134">
        <f t="shared" ca="1" si="61"/>
        <v>0.11334482758620684</v>
      </c>
      <c r="AB47" s="134">
        <f t="shared" ca="1" si="61"/>
        <v>0.11334482758620676</v>
      </c>
      <c r="AC47" s="134">
        <f t="shared" ca="1" si="61"/>
        <v>0.11334482758620666</v>
      </c>
      <c r="AD47" s="134">
        <f t="shared" ca="1" si="61"/>
        <v>0.11334482758620684</v>
      </c>
      <c r="AE47" s="134">
        <f t="shared" ca="1" si="61"/>
        <v>0.11334482758620662</v>
      </c>
      <c r="AF47" s="134">
        <f t="shared" ca="1" si="61"/>
        <v>0.11334482758620691</v>
      </c>
      <c r="AG47" s="134">
        <f t="shared" ca="1" si="61"/>
        <v>0.11334482758620693</v>
      </c>
      <c r="AH47" s="134">
        <f t="shared" ca="1" si="61"/>
        <v>0.11334482758620663</v>
      </c>
      <c r="AI47" s="134">
        <f t="shared" ca="1" si="61"/>
        <v>0.11334482758620686</v>
      </c>
      <c r="AJ47" s="134">
        <f t="shared" ca="1" si="61"/>
        <v>0.11334482758620675</v>
      </c>
      <c r="AK47" s="134">
        <f t="shared" ca="1" si="61"/>
        <v>0.11334482758620677</v>
      </c>
      <c r="AL47" s="134">
        <f t="shared" ca="1" si="61"/>
        <v>0.11334482758620698</v>
      </c>
      <c r="AM47" s="134">
        <f t="shared" ca="1" si="61"/>
        <v>0.1133448275862068</v>
      </c>
      <c r="AN47" s="134">
        <f t="shared" ref="AN47" ca="1" si="62">AN14/AN7</f>
        <v>0.11334482758620688</v>
      </c>
      <c r="AO47" s="135">
        <f t="shared" ca="1" si="61"/>
        <v>0.11334482758620693</v>
      </c>
      <c r="AP47" s="71"/>
    </row>
    <row r="48" spans="2:42" s="7" customFormat="1" ht="15" customHeight="1" x14ac:dyDescent="0.35">
      <c r="B48" s="73"/>
      <c r="C48" s="69"/>
      <c r="D48" s="69"/>
      <c r="E48" s="69"/>
      <c r="F48" s="69"/>
      <c r="G48" s="69"/>
      <c r="H48" s="69"/>
      <c r="I48" s="69"/>
      <c r="J48" s="69"/>
      <c r="K48" s="69"/>
      <c r="L48" s="69"/>
      <c r="M48" s="69"/>
      <c r="N48" s="69"/>
      <c r="O48" s="69"/>
      <c r="P48" s="69"/>
      <c r="Q48" s="69"/>
      <c r="R48" s="69"/>
      <c r="S48" s="69"/>
      <c r="T48" s="69"/>
      <c r="U48" s="69"/>
      <c r="V48" s="69"/>
      <c r="W48" s="69"/>
      <c r="X48" s="69"/>
      <c r="Y48" s="69"/>
      <c r="Z48" s="69"/>
      <c r="AA48" s="69"/>
      <c r="AB48" s="69"/>
      <c r="AC48" s="69"/>
      <c r="AD48" s="69"/>
      <c r="AE48" s="69"/>
      <c r="AF48" s="69"/>
      <c r="AG48" s="69"/>
      <c r="AH48" s="69"/>
      <c r="AI48" s="69"/>
      <c r="AJ48" s="69"/>
      <c r="AK48" s="69"/>
      <c r="AL48" s="69"/>
      <c r="AM48" s="69"/>
      <c r="AN48" s="69"/>
      <c r="AO48" s="69"/>
      <c r="AP48" s="71"/>
    </row>
    <row r="49" spans="2:42" ht="15" customHeight="1" x14ac:dyDescent="0.35">
      <c r="B49" s="68"/>
      <c r="C49" s="136" t="s">
        <v>269</v>
      </c>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c r="AO49" s="15"/>
      <c r="AP49" s="71"/>
    </row>
    <row r="50" spans="2:42" s="7" customFormat="1" ht="15" customHeight="1" thickBot="1" x14ac:dyDescent="0.4">
      <c r="B50" s="137"/>
      <c r="C50" s="138"/>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138"/>
      <c r="AB50" s="138"/>
      <c r="AC50" s="138"/>
      <c r="AD50" s="138"/>
      <c r="AE50" s="138"/>
      <c r="AF50" s="138"/>
      <c r="AG50" s="138"/>
      <c r="AH50" s="138"/>
      <c r="AI50" s="138"/>
      <c r="AJ50" s="138"/>
      <c r="AK50" s="138"/>
      <c r="AL50" s="138"/>
      <c r="AM50" s="138"/>
      <c r="AN50" s="138"/>
      <c r="AO50" s="138"/>
      <c r="AP50" s="139"/>
    </row>
  </sheetData>
  <sheetProtection algorithmName="SHA-512" hashValue="UuRDLoSyEEbbUkg/VzCIbAgmIW/QBXQ6TfRysDkZ3LgR1aTPV/pRXuYbI7/GqR7q0fPNeOPS65vps6IdvtkmIA==" saltValue="VhMLKSKPDg+CuczNVkFp1w==" spinCount="100000" sheet="1" objects="1" scenarios="1"/>
  <hyperlinks>
    <hyperlink ref="F2" location="Navigation!A1" display="Navigation" xr:uid="{00000000-0004-0000-1300-000000000000}"/>
  </hyperlinks>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92B19-9022-47F2-836B-C73FDBE51DC9}">
  <sheetPr codeName="Sheet28">
    <tabColor theme="6" tint="-0.499984740745262"/>
    <pageSetUpPr fitToPage="1"/>
  </sheetPr>
  <dimension ref="B1:AG80"/>
  <sheetViews>
    <sheetView zoomScale="90" zoomScaleNormal="90" workbookViewId="0"/>
  </sheetViews>
  <sheetFormatPr defaultColWidth="9.453125" defaultRowHeight="0" customHeight="1" zeroHeight="1" x14ac:dyDescent="0.35"/>
  <cols>
    <col min="1" max="2" width="3.54296875" style="4" customWidth="1"/>
    <col min="3" max="3" width="50.81640625" style="4" bestFit="1" customWidth="1"/>
    <col min="4" max="4" width="12" style="4" bestFit="1" customWidth="1"/>
    <col min="5" max="5" width="3.54296875" style="4" customWidth="1"/>
    <col min="6" max="6" width="9.453125" style="4" customWidth="1"/>
    <col min="7" max="7" width="51.54296875" style="4" bestFit="1" customWidth="1"/>
    <col min="8" max="8" width="12.54296875" style="16" bestFit="1" customWidth="1"/>
    <col min="9" max="9" width="4.453125" style="16" customWidth="1"/>
    <col min="10" max="10" width="29.453125" style="4" customWidth="1"/>
    <col min="11" max="11" width="15.54296875" style="4" customWidth="1"/>
    <col min="12" max="22" width="3.54296875" style="4" customWidth="1"/>
    <col min="23" max="23" width="9.453125" style="6" customWidth="1"/>
    <col min="24" max="24" width="51.453125" style="6" bestFit="1" customWidth="1"/>
    <col min="25" max="25" width="9.453125" style="6" customWidth="1"/>
    <col min="26" max="26" width="3.54296875" style="4" customWidth="1"/>
    <col min="27" max="27" width="20.453125" style="4" bestFit="1" customWidth="1"/>
    <col min="28" max="104" width="13.54296875" style="4" customWidth="1"/>
    <col min="105" max="105" width="9.453125" style="4" customWidth="1"/>
    <col min="106" max="16384" width="9.453125" style="4"/>
  </cols>
  <sheetData>
    <row r="1" spans="2:33" ht="15" customHeight="1" thickBot="1" x14ac:dyDescent="0.4">
      <c r="H1" s="4"/>
      <c r="I1" s="4"/>
      <c r="V1" s="5"/>
      <c r="W1" s="4"/>
      <c r="X1" s="4"/>
      <c r="Y1" s="4"/>
    </row>
    <row r="2" spans="2:33" ht="18" customHeight="1" thickTop="1" thickBot="1" x14ac:dyDescent="0.4">
      <c r="B2" s="820" t="s">
        <v>332</v>
      </c>
      <c r="C2" s="821"/>
      <c r="D2" s="822"/>
      <c r="F2" s="7"/>
      <c r="G2" s="10" t="s">
        <v>159</v>
      </c>
      <c r="H2" s="7"/>
      <c r="I2" s="4"/>
      <c r="J2" s="8" t="s">
        <v>166</v>
      </c>
      <c r="K2" s="7"/>
      <c r="M2" s="7"/>
      <c r="N2" s="7"/>
      <c r="O2" s="7"/>
      <c r="P2" s="7"/>
      <c r="Q2" s="7"/>
      <c r="R2" s="7"/>
      <c r="S2" s="7"/>
      <c r="T2" s="7"/>
      <c r="U2" s="7"/>
      <c r="V2" s="5"/>
      <c r="W2" s="4"/>
      <c r="X2" s="4"/>
      <c r="Y2" s="4"/>
    </row>
    <row r="3" spans="2:33" s="7" customFormat="1" ht="15" customHeight="1" thickBot="1" x14ac:dyDescent="0.4">
      <c r="V3" s="5"/>
      <c r="W3" s="4"/>
      <c r="X3" s="4"/>
      <c r="Y3" s="4"/>
      <c r="Z3" s="4"/>
    </row>
    <row r="4" spans="2:33" s="7" customFormat="1" ht="15" customHeight="1" x14ac:dyDescent="0.35">
      <c r="B4" s="578"/>
      <c r="C4" s="579"/>
      <c r="D4" s="580"/>
      <c r="F4" s="578"/>
      <c r="G4" s="579"/>
      <c r="H4" s="580"/>
      <c r="V4" s="5"/>
      <c r="W4" s="603"/>
      <c r="X4" s="604"/>
      <c r="Y4" s="604"/>
      <c r="Z4" s="604"/>
      <c r="AA4" s="579"/>
      <c r="AB4" s="579"/>
      <c r="AC4" s="579"/>
      <c r="AD4" s="579"/>
      <c r="AE4" s="579"/>
      <c r="AF4" s="579"/>
      <c r="AG4" s="580"/>
    </row>
    <row r="5" spans="2:33" ht="15" customHeight="1" thickBot="1" x14ac:dyDescent="0.4">
      <c r="B5" s="581"/>
      <c r="C5" s="589" t="str">
        <f>Standard_Year&amp;" - Year Standards Go Into Effect"</f>
        <v>2026 - Year Standards Go Into Effect</v>
      </c>
      <c r="D5" s="680"/>
      <c r="F5" s="581"/>
      <c r="G5" s="582" t="str">
        <f>TSL_X</f>
        <v>TSL 1</v>
      </c>
      <c r="H5" s="583"/>
      <c r="M5" s="7"/>
      <c r="N5" s="7"/>
      <c r="O5" s="7"/>
      <c r="P5" s="7"/>
      <c r="Q5" s="7"/>
      <c r="R5" s="7"/>
      <c r="S5" s="7"/>
      <c r="T5" s="7"/>
      <c r="U5" s="7"/>
      <c r="V5" s="5"/>
      <c r="W5" s="605"/>
      <c r="X5" s="589"/>
      <c r="Y5" s="585"/>
      <c r="Z5" s="590"/>
      <c r="AA5" s="582" t="s">
        <v>237</v>
      </c>
      <c r="AB5" s="582" t="s">
        <v>90</v>
      </c>
      <c r="AC5" s="590"/>
      <c r="AD5" s="590"/>
      <c r="AE5" s="590"/>
      <c r="AF5" s="590"/>
      <c r="AG5" s="583"/>
    </row>
    <row r="6" spans="2:33" ht="15" customHeight="1" x14ac:dyDescent="0.35">
      <c r="B6" s="581"/>
      <c r="C6" s="591" t="str">
        <f>"Unit Shipments ("&amp;Standard_Year&amp;")"</f>
        <v>Unit Shipments (2026)</v>
      </c>
      <c r="D6" s="681" t="s">
        <v>153</v>
      </c>
      <c r="F6" s="581"/>
      <c r="G6" s="635">
        <f ca="1">INDEX(Total_Unit_Sales_Standards,MATCH(Standard_Year,Dates))</f>
        <v>8.9699231360466918</v>
      </c>
      <c r="H6" s="583"/>
      <c r="M6" s="7"/>
      <c r="N6" s="7"/>
      <c r="O6" s="7"/>
      <c r="P6" s="7"/>
      <c r="Q6" s="7"/>
      <c r="R6" s="7"/>
      <c r="S6" s="7"/>
      <c r="T6" s="7"/>
      <c r="U6" s="7"/>
      <c r="V6" s="5"/>
      <c r="W6" s="605"/>
      <c r="X6" s="600" t="s">
        <v>84</v>
      </c>
      <c r="Y6" s="592" t="s">
        <v>249</v>
      </c>
      <c r="Z6" s="596"/>
      <c r="AA6" s="646" t="e">
        <f>TEXT(#REF!,"0,00.0")</f>
        <v>#REF!</v>
      </c>
      <c r="AB6" s="647" t="e">
        <f>TEXT(MIN(K69,#REF!),"0,00.0") &amp; " - " &amp; TEXT(MAX(K69,#REF!), "0,00.0")</f>
        <v>#REF!</v>
      </c>
      <c r="AC6" s="590"/>
      <c r="AD6" s="590"/>
      <c r="AE6" s="590"/>
      <c r="AF6" s="590"/>
      <c r="AG6" s="583"/>
    </row>
    <row r="7" spans="2:33" ht="15" customHeight="1" x14ac:dyDescent="0.35">
      <c r="B7" s="581"/>
      <c r="C7" s="594" t="str">
        <f>"Price per unit (weighted avg.) ("&amp;Standard_Year&amp;")"</f>
        <v>Price per unit (weighted avg.) (2026)</v>
      </c>
      <c r="D7" s="682" t="str">
        <f>Dollar_Year&amp;"$"</f>
        <v>2021$</v>
      </c>
      <c r="F7" s="581"/>
      <c r="G7" s="636">
        <f ca="1">G11/G6</f>
        <v>82.559252482410272</v>
      </c>
      <c r="H7" s="583"/>
      <c r="M7" s="7"/>
      <c r="N7" s="7"/>
      <c r="O7" s="7"/>
      <c r="P7" s="7"/>
      <c r="Q7" s="7"/>
      <c r="R7" s="7"/>
      <c r="S7" s="7"/>
      <c r="T7" s="7"/>
      <c r="U7" s="7"/>
      <c r="V7" s="5"/>
      <c r="W7" s="605"/>
      <c r="X7" s="600" t="s">
        <v>154</v>
      </c>
      <c r="Y7" s="592" t="s">
        <v>249</v>
      </c>
      <c r="Z7" s="596"/>
      <c r="AA7" s="648" t="s">
        <v>82</v>
      </c>
      <c r="AB7" s="647" t="e">
        <f>TEXT(MIN(#REF!,K71),"0.0") &amp; " - " &amp; TEXT(MAX(#REF!,K71), "0.0")</f>
        <v>#REF!</v>
      </c>
      <c r="AC7" s="590"/>
      <c r="AD7" s="590"/>
      <c r="AE7" s="590"/>
      <c r="AF7" s="590"/>
      <c r="AG7" s="583"/>
    </row>
    <row r="8" spans="2:33" ht="15" customHeight="1" x14ac:dyDescent="0.35">
      <c r="B8" s="581"/>
      <c r="C8" s="594" t="str">
        <f>"Shipment-Weighted Avg MPC ("&amp;Standard_Year&amp;")"</f>
        <v>Shipment-Weighted Avg MPC (2026)</v>
      </c>
      <c r="D8" s="682" t="str">
        <f>Dollar_Year&amp;"$"</f>
        <v>2021$</v>
      </c>
      <c r="F8" s="581"/>
      <c r="G8" s="637">
        <f ca="1">SUM(INDEX(Total_Labor_Standards,MATCH(Standard_Year,Dates)),INDEX(Total_Materials_Standards,MATCH(Standard_Year,Dates)),INDEX(Total_Depreciation_Standards,MATCH(Standard_Year,Dates)),INDEX(Total_Overhead_Standards,MATCH(Standard_Year,Dates)))/G6</f>
        <v>57.06473644243151</v>
      </c>
      <c r="H8" s="583"/>
      <c r="M8" s="7"/>
      <c r="N8" s="7"/>
      <c r="O8" s="7"/>
      <c r="P8" s="7"/>
      <c r="Q8" s="7"/>
      <c r="R8" s="7"/>
      <c r="S8" s="7"/>
      <c r="T8" s="7"/>
      <c r="U8" s="7"/>
      <c r="V8" s="5"/>
      <c r="W8" s="605"/>
      <c r="X8" s="600" t="s">
        <v>155</v>
      </c>
      <c r="Y8" s="601" t="s">
        <v>89</v>
      </c>
      <c r="Z8" s="596"/>
      <c r="AA8" s="649" t="s">
        <v>82</v>
      </c>
      <c r="AB8" s="650" t="e">
        <f>TEXT(MIN(#REF!,K72),"0.0%") &amp; " - " &amp; TEXT(MAX(#REF!,K72), "0.0%")</f>
        <v>#REF!</v>
      </c>
      <c r="AC8" s="590"/>
      <c r="AD8" s="590"/>
      <c r="AE8" s="590"/>
      <c r="AF8" s="590"/>
      <c r="AG8" s="583"/>
    </row>
    <row r="9" spans="2:33" ht="15" customHeight="1" thickBot="1" x14ac:dyDescent="0.4">
      <c r="B9" s="581"/>
      <c r="C9" s="594" t="str">
        <f>"Change in Shipment-Weighted Avg MPC ("&amp;Standard_Year&amp;")"</f>
        <v>Change in Shipment-Weighted Avg MPC (2026)</v>
      </c>
      <c r="D9" s="682" t="s">
        <v>89</v>
      </c>
      <c r="F9" s="581"/>
      <c r="G9" s="638">
        <f ca="1">(G8-
SUM(INDEX(Total_Labor_NoSTDs,MATCH(Standard_Year,Dates)),INDEX(Total_Materials_NoSTDs,MATCH(Standard_Year,Dates)),INDEX(Total_Depreciation_NoSTDs,MATCH(Standard_Year,Dates)),INDEX(Total_Overhead_NoSTDs,MATCH(Standard_Year,Dates)))/
INDEX(Total_Unit_Sales_NoSTDs,MATCH(Standard_Year,Dates)))/
(SUM(INDEX(Total_Labor_NoSTDs,MATCH(Standard_Year,Dates)),INDEX(Total_Materials_NoSTDs,MATCH(Standard_Year,Dates)),INDEX(Total_Depreciation_NoSTDs,MATCH(Standard_Year,Dates)),INDEX(Total_Overhead_NoSTDs,MATCH(Standard_Year,Dates)))/
INDEX(Total_Unit_Sales_NoSTDs,MATCH(Standard_Year,Dates)))</f>
        <v>1.7455645705374511E-2</v>
      </c>
      <c r="H9" s="583"/>
      <c r="M9" s="7"/>
      <c r="N9" s="7"/>
      <c r="O9" s="7"/>
      <c r="P9" s="7"/>
      <c r="Q9" s="7"/>
      <c r="R9" s="7"/>
      <c r="S9" s="7"/>
      <c r="T9" s="7"/>
      <c r="U9" s="7"/>
      <c r="V9" s="5"/>
      <c r="W9" s="605"/>
      <c r="X9" s="600" t="s">
        <v>60</v>
      </c>
      <c r="Y9" s="592" t="s">
        <v>249</v>
      </c>
      <c r="Z9" s="590"/>
      <c r="AA9" s="651" t="s">
        <v>82</v>
      </c>
      <c r="AB9" s="650" t="e">
        <f>TEXT(MIN(#REF!,K73),"0.0") &amp; " - " &amp; TEXT(MAX(#REF!,K73), "0.0")</f>
        <v>#REF!</v>
      </c>
      <c r="AC9" s="590"/>
      <c r="AD9" s="590"/>
      <c r="AE9" s="590"/>
      <c r="AF9" s="590"/>
      <c r="AG9" s="583"/>
    </row>
    <row r="10" spans="2:33" ht="15" customHeight="1" thickBot="1" x14ac:dyDescent="0.4">
      <c r="B10" s="581"/>
      <c r="C10" s="597"/>
      <c r="D10" s="683"/>
      <c r="F10" s="581"/>
      <c r="G10" s="584"/>
      <c r="H10" s="583"/>
      <c r="M10" s="7"/>
      <c r="N10" s="7"/>
      <c r="O10" s="7"/>
      <c r="P10" s="7"/>
      <c r="Q10" s="7"/>
      <c r="R10" s="7"/>
      <c r="S10" s="7"/>
      <c r="T10" s="7"/>
      <c r="U10" s="7"/>
      <c r="V10" s="5"/>
      <c r="W10" s="605"/>
      <c r="X10" s="600" t="s">
        <v>92</v>
      </c>
      <c r="Y10" s="592" t="s">
        <v>249</v>
      </c>
      <c r="Z10" s="596"/>
      <c r="AA10" s="649" t="s">
        <v>82</v>
      </c>
      <c r="AB10" s="650" t="e">
        <f>TEXT(MIN(#REF!,K74),"0.0") &amp; " - " &amp; TEXT(MAX(#REF!,K74), "0.0")</f>
        <v>#REF!</v>
      </c>
      <c r="AC10" s="590"/>
      <c r="AD10" s="590"/>
      <c r="AE10" s="590"/>
      <c r="AF10" s="590"/>
      <c r="AG10" s="583"/>
    </row>
    <row r="11" spans="2:33" ht="15" customHeight="1" x14ac:dyDescent="0.35">
      <c r="B11" s="581"/>
      <c r="C11" s="591" t="str">
        <f>"Total Revenue ("&amp;Standard_Year&amp;")"</f>
        <v>Total Revenue (2026)</v>
      </c>
      <c r="D11" s="681" t="str">
        <f t="shared" ref="D11:D16" si="0">Dollar_Year&amp;"$ MM"</f>
        <v>2021$ MM</v>
      </c>
      <c r="F11" s="581"/>
      <c r="G11" s="639">
        <f ca="1">INDEX(Total_Revenues_Standards,MATCH(Standard_Year,Dates))</f>
        <v>740.55014893669215</v>
      </c>
      <c r="H11" s="583"/>
      <c r="M11" s="7"/>
      <c r="N11" s="7"/>
      <c r="O11" s="7"/>
      <c r="P11" s="7"/>
      <c r="Q11" s="7"/>
      <c r="R11" s="7"/>
      <c r="S11" s="7"/>
      <c r="T11" s="7"/>
      <c r="U11" s="7"/>
      <c r="V11" s="5"/>
      <c r="W11" s="605"/>
      <c r="X11" s="600" t="s">
        <v>85</v>
      </c>
      <c r="Y11" s="592" t="s">
        <v>249</v>
      </c>
      <c r="Z11" s="596"/>
      <c r="AA11" s="649" t="s">
        <v>82</v>
      </c>
      <c r="AB11" s="650" t="e">
        <f>TEXT(MIN(#REF!,K75),"0.0") &amp; " - " &amp; TEXT(MAX(#REF!,K75), "0.0")</f>
        <v>#REF!</v>
      </c>
      <c r="AC11" s="590"/>
      <c r="AD11" s="590"/>
      <c r="AE11" s="590"/>
      <c r="AF11" s="590"/>
      <c r="AG11" s="583"/>
    </row>
    <row r="12" spans="2:33" ht="15" customHeight="1" x14ac:dyDescent="0.35">
      <c r="B12" s="581"/>
      <c r="C12" s="591" t="str">
        <f>CONCATENATE("Conversion Period Revenue (",Announcement_Year," - ",Standard_Year-1,")")</f>
        <v>Conversion Period Revenue (2023 - 2025)</v>
      </c>
      <c r="D12" s="681" t="str">
        <f t="shared" si="0"/>
        <v>2021$ MM</v>
      </c>
      <c r="F12" s="581"/>
      <c r="G12" s="640">
        <f ca="1">SUMIFS(Revenue_Standards,'Standards Rev &amp; Cost'!$E$21:$AN$21,"&gt;="&amp;Announcement_Year,'Standards Rev &amp; Cost'!$E$21:$AN$21,"&lt;"&amp;Standard_Year)</f>
        <v>2041.2359752986363</v>
      </c>
      <c r="H12" s="583"/>
      <c r="M12" s="7"/>
      <c r="N12" s="7"/>
      <c r="O12" s="7"/>
      <c r="P12" s="7"/>
      <c r="Q12" s="7"/>
      <c r="R12" s="7"/>
      <c r="S12" s="7"/>
      <c r="T12" s="7"/>
      <c r="U12" s="7"/>
      <c r="V12" s="5"/>
      <c r="W12" s="605"/>
      <c r="X12" s="591" t="s">
        <v>250</v>
      </c>
      <c r="Y12" s="592" t="s">
        <v>249</v>
      </c>
      <c r="Z12" s="596"/>
      <c r="AA12" s="652" t="e">
        <f>#REF!</f>
        <v>#REF!</v>
      </c>
      <c r="AB12" s="650" t="e">
        <f>TEXT(MIN(#REF!,K65),"0.0") &amp; " - " &amp; TEXT(MAX(#REF!,K65), "0.0")</f>
        <v>#REF!</v>
      </c>
      <c r="AC12" s="590"/>
      <c r="AD12" s="590"/>
      <c r="AE12" s="590"/>
      <c r="AF12" s="590"/>
      <c r="AG12" s="583"/>
    </row>
    <row r="13" spans="2:33" ht="15" customHeight="1" x14ac:dyDescent="0.35">
      <c r="B13" s="581"/>
      <c r="C13" s="591" t="str">
        <f>"EBIT ("&amp;Standard_Year+1&amp;")"</f>
        <v>EBIT (2027)</v>
      </c>
      <c r="D13" s="681" t="str">
        <f t="shared" si="0"/>
        <v>2021$ MM</v>
      </c>
      <c r="F13" s="581"/>
      <c r="G13" s="640">
        <f ca="1">INDEX(EBIT_Standards,MATCH(Standard_Year+1,Dates))</f>
        <v>84.686059072974331</v>
      </c>
      <c r="H13" s="583"/>
      <c r="M13" s="7"/>
      <c r="N13" s="7"/>
      <c r="O13" s="7"/>
      <c r="P13" s="7"/>
      <c r="Q13" s="7"/>
      <c r="R13" s="7"/>
      <c r="S13" s="7"/>
      <c r="T13" s="7"/>
      <c r="U13" s="7"/>
      <c r="V13" s="5"/>
      <c r="W13" s="605"/>
      <c r="X13" s="591" t="s">
        <v>251</v>
      </c>
      <c r="Y13" s="592" t="s">
        <v>249</v>
      </c>
      <c r="Z13" s="596"/>
      <c r="AA13" s="650"/>
      <c r="AB13" s="650" t="e">
        <f>TEXT(MIN(#REF!,K66),"0.0") &amp; " - " &amp; TEXT(MAX(#REF!,K66), "0.0")</f>
        <v>#REF!</v>
      </c>
      <c r="AC13" s="590"/>
      <c r="AD13" s="590"/>
      <c r="AE13" s="590"/>
      <c r="AF13" s="590"/>
      <c r="AG13" s="583"/>
    </row>
    <row r="14" spans="2:33" ht="15" customHeight="1" x14ac:dyDescent="0.35">
      <c r="B14" s="581"/>
      <c r="C14" s="594" t="str">
        <f>"Net Operating Profit After Tax ("&amp;Standard_Year+1&amp;")"</f>
        <v>Net Operating Profit After Tax (2027)</v>
      </c>
      <c r="D14" s="681" t="str">
        <f t="shared" si="0"/>
        <v>2021$ MM</v>
      </c>
      <c r="F14" s="581"/>
      <c r="G14" s="640">
        <f ca="1">INDEX(NOPAT_Standards,MATCH(Standard_Year+1,Dates))</f>
        <v>61.482078886979366</v>
      </c>
      <c r="H14" s="583"/>
      <c r="M14" s="7"/>
      <c r="N14" s="7"/>
      <c r="O14" s="7"/>
      <c r="P14" s="7"/>
      <c r="Q14" s="7"/>
      <c r="R14" s="7"/>
      <c r="S14" s="7"/>
      <c r="T14" s="7"/>
      <c r="U14" s="7"/>
      <c r="V14" s="5"/>
      <c r="W14" s="605"/>
      <c r="X14" s="591" t="s">
        <v>252</v>
      </c>
      <c r="Y14" s="592" t="s">
        <v>89</v>
      </c>
      <c r="Z14" s="596"/>
      <c r="AA14" s="650"/>
      <c r="AB14" s="650" t="e">
        <f>TEXT(MIN(#REF!,K67),"0.0%") &amp; " - " &amp; TEXT(MAX(#REF!,K67), "0.0%")</f>
        <v>#REF!</v>
      </c>
      <c r="AC14" s="590"/>
      <c r="AD14" s="590"/>
      <c r="AE14" s="590"/>
      <c r="AF14" s="590"/>
      <c r="AG14" s="583"/>
    </row>
    <row r="15" spans="2:33" ht="15" customHeight="1" x14ac:dyDescent="0.35">
      <c r="B15" s="581"/>
      <c r="C15" s="591" t="str">
        <f>"Free Cash Flow ("&amp;Standard_Year-1&amp;")"</f>
        <v>Free Cash Flow (2025)</v>
      </c>
      <c r="D15" s="681" t="str">
        <f t="shared" si="0"/>
        <v>2021$ MM</v>
      </c>
      <c r="F15" s="581"/>
      <c r="G15" s="640">
        <f ca="1">INDEX(FCF_Standards,MATCH(Standard_Year-1,Dates))</f>
        <v>40.080145579059888</v>
      </c>
      <c r="H15" s="583"/>
      <c r="M15" s="7"/>
      <c r="N15" s="7"/>
      <c r="O15" s="7"/>
      <c r="P15" s="7"/>
      <c r="Q15" s="7"/>
      <c r="R15" s="7"/>
      <c r="S15" s="7"/>
      <c r="T15" s="7"/>
      <c r="U15" s="7"/>
      <c r="V15" s="5"/>
      <c r="W15" s="605"/>
      <c r="X15" s="594" t="str">
        <f>"Shipment-Weighted Avg MPC ("&amp;Standard_Year&amp;")"</f>
        <v>Shipment-Weighted Avg MPC (2026)</v>
      </c>
      <c r="Y15" s="592" t="s">
        <v>249</v>
      </c>
      <c r="Z15" s="590"/>
      <c r="AA15" s="648" t="e">
        <f>#REF!</f>
        <v>#REF!</v>
      </c>
      <c r="AB15" s="647" t="e">
        <f>#REF!</f>
        <v>#REF!</v>
      </c>
      <c r="AC15" s="590"/>
      <c r="AD15" s="590"/>
      <c r="AE15" s="590"/>
      <c r="AF15" s="590"/>
      <c r="AG15" s="583"/>
    </row>
    <row r="16" spans="2:33" ht="15" customHeight="1" x14ac:dyDescent="0.35">
      <c r="B16" s="581"/>
      <c r="C16" s="591" t="str">
        <f>"Change in Free Cash Flow ($) ("&amp;Standard_Year-1&amp;")"</f>
        <v>Change in Free Cash Flow ($) (2025)</v>
      </c>
      <c r="D16" s="681" t="str">
        <f t="shared" si="0"/>
        <v>2021$ MM</v>
      </c>
      <c r="F16" s="581"/>
      <c r="G16" s="640">
        <f ca="1">INDEX(FCF_Standards,MATCH(Standard_Year-1,Dates))-INDEX(FCF_NoSTDs,MATCH(Standard_Year-1,Dates))</f>
        <v>-9.8595524173763636</v>
      </c>
      <c r="H16" s="583"/>
      <c r="M16" s="7"/>
      <c r="N16" s="7"/>
      <c r="O16" s="7"/>
      <c r="P16" s="7"/>
      <c r="Q16" s="7"/>
      <c r="R16" s="7"/>
      <c r="S16" s="7"/>
      <c r="T16" s="7"/>
      <c r="U16" s="7"/>
      <c r="V16" s="5"/>
      <c r="W16" s="605"/>
      <c r="X16" s="594" t="str">
        <f>"Change in Shipment-Weighted Avg MPC ("&amp;Standard_Year&amp;")"</f>
        <v>Change in Shipment-Weighted Avg MPC (2026)</v>
      </c>
      <c r="Y16" s="592" t="s">
        <v>89</v>
      </c>
      <c r="Z16" s="590"/>
      <c r="AA16" s="648"/>
      <c r="AB16" s="653" t="e">
        <f>#REF!</f>
        <v>#REF!</v>
      </c>
      <c r="AC16" s="590"/>
      <c r="AD16" s="590"/>
      <c r="AE16" s="590"/>
      <c r="AF16" s="590"/>
      <c r="AG16" s="583"/>
    </row>
    <row r="17" spans="2:33" ht="15" customHeight="1" thickBot="1" x14ac:dyDescent="0.4">
      <c r="B17" s="581"/>
      <c r="C17" s="591" t="str">
        <f>"Change in Free Cash Flow (%) ("&amp;Standard_Year-1&amp;")"</f>
        <v>Change in Free Cash Flow (%) (2025)</v>
      </c>
      <c r="D17" s="681" t="s">
        <v>89</v>
      </c>
      <c r="F17" s="581"/>
      <c r="G17" s="641">
        <f ca="1">(INDEX(FCF_Standards,MATCH(Standard_Year-1,Dates))-INDEX(FCF_NoSTDs,MATCH(Standard_Year-1,Dates)))/INDEX(FCF_NoSTDs,MATCH(Standard_Year-1,Dates))</f>
        <v>-0.19742915582068502</v>
      </c>
      <c r="H17" s="583"/>
      <c r="M17" s="7"/>
      <c r="N17" s="7"/>
      <c r="O17" s="7"/>
      <c r="P17" s="7"/>
      <c r="Q17" s="7"/>
      <c r="R17" s="7"/>
      <c r="S17" s="7"/>
      <c r="T17" s="7"/>
      <c r="U17" s="7"/>
      <c r="V17" s="5"/>
      <c r="W17" s="586"/>
      <c r="X17" s="587"/>
      <c r="Y17" s="587"/>
      <c r="Z17" s="587"/>
      <c r="AA17" s="587"/>
      <c r="AB17" s="587"/>
      <c r="AC17" s="587"/>
      <c r="AD17" s="587"/>
      <c r="AE17" s="587"/>
      <c r="AF17" s="587"/>
      <c r="AG17" s="588"/>
    </row>
    <row r="18" spans="2:33" ht="15" customHeight="1" x14ac:dyDescent="0.35">
      <c r="B18" s="581"/>
      <c r="C18" s="585"/>
      <c r="D18" s="680"/>
      <c r="F18" s="581"/>
      <c r="G18" s="585"/>
      <c r="H18" s="583"/>
      <c r="M18" s="7"/>
      <c r="N18" s="7"/>
      <c r="O18" s="7"/>
      <c r="P18" s="7"/>
      <c r="Q18" s="7"/>
      <c r="R18" s="7"/>
      <c r="S18" s="7"/>
      <c r="T18" s="7"/>
      <c r="U18" s="7"/>
      <c r="V18" s="5"/>
      <c r="W18" s="4"/>
      <c r="X18" s="4"/>
      <c r="Y18" s="4"/>
    </row>
    <row r="19" spans="2:33" ht="15" customHeight="1" thickBot="1" x14ac:dyDescent="0.4">
      <c r="B19" s="581"/>
      <c r="C19" s="599" t="str">
        <f>"Full Analysis Period ("&amp;Reference_Year&amp;" - "&amp;Terminal_Year&amp;")"</f>
        <v>Full Analysis Period (2023 - 2057)</v>
      </c>
      <c r="D19" s="680"/>
      <c r="F19" s="581"/>
      <c r="G19" s="582" t="str">
        <f>TSL_X</f>
        <v>TSL 1</v>
      </c>
      <c r="H19" s="583"/>
      <c r="M19" s="7"/>
      <c r="N19" s="7"/>
      <c r="O19" s="7"/>
      <c r="P19" s="7"/>
      <c r="Q19" s="7"/>
      <c r="R19" s="7"/>
      <c r="S19" s="7"/>
      <c r="T19" s="7"/>
      <c r="U19" s="7"/>
      <c r="V19" s="5"/>
      <c r="W19" s="4"/>
      <c r="X19" s="4"/>
      <c r="Y19" s="4"/>
    </row>
    <row r="20" spans="2:33" ht="15" customHeight="1" x14ac:dyDescent="0.35">
      <c r="B20" s="581"/>
      <c r="C20" s="600" t="s">
        <v>84</v>
      </c>
      <c r="D20" s="681" t="str">
        <f>Dollar_Year&amp;"$ MM"</f>
        <v>2021$ MM</v>
      </c>
      <c r="F20" s="581"/>
      <c r="G20" s="642">
        <f ca="1">INPV_Standards</f>
        <v>1499.1851254753822</v>
      </c>
      <c r="H20" s="583"/>
      <c r="M20" s="7"/>
      <c r="N20" s="7"/>
      <c r="O20" s="7"/>
      <c r="P20" s="7"/>
      <c r="Q20" s="7"/>
      <c r="R20" s="7"/>
      <c r="S20" s="7"/>
      <c r="T20" s="7"/>
      <c r="U20" s="7"/>
      <c r="V20" s="5"/>
      <c r="W20" s="4"/>
      <c r="X20" s="4"/>
      <c r="Y20" s="4"/>
    </row>
    <row r="21" spans="2:33" ht="15" customHeight="1" x14ac:dyDescent="0.35">
      <c r="B21" s="581"/>
      <c r="C21" s="600" t="s">
        <v>154</v>
      </c>
      <c r="D21" s="681" t="str">
        <f>Dollar_Year&amp;"$ MM"</f>
        <v>2021$ MM</v>
      </c>
      <c r="F21" s="581"/>
      <c r="G21" s="643">
        <f ca="1">INPV_Standards-INPV_NoSTDs</f>
        <v>-66.729182702737262</v>
      </c>
      <c r="H21" s="583"/>
      <c r="M21" s="7"/>
      <c r="N21" s="7"/>
      <c r="O21" s="7"/>
      <c r="P21" s="7"/>
      <c r="Q21" s="7"/>
      <c r="R21" s="7"/>
      <c r="S21" s="7"/>
      <c r="T21" s="7"/>
      <c r="U21" s="7"/>
      <c r="V21" s="5"/>
      <c r="W21" s="4"/>
      <c r="X21" s="4"/>
      <c r="Y21" s="4"/>
    </row>
    <row r="22" spans="2:33" ht="15" customHeight="1" x14ac:dyDescent="0.35">
      <c r="B22" s="581"/>
      <c r="C22" s="600" t="s">
        <v>155</v>
      </c>
      <c r="D22" s="684" t="s">
        <v>89</v>
      </c>
      <c r="F22" s="581"/>
      <c r="G22" s="644">
        <f ca="1">G21/INPV_NoSTDs</f>
        <v>-4.2613559601721807E-2</v>
      </c>
      <c r="H22" s="583"/>
      <c r="M22" s="7"/>
      <c r="N22" s="7"/>
      <c r="O22" s="7"/>
      <c r="P22" s="7"/>
      <c r="Q22" s="7"/>
      <c r="R22" s="7"/>
      <c r="S22" s="7"/>
      <c r="T22" s="7"/>
      <c r="U22" s="7"/>
      <c r="V22" s="5"/>
      <c r="W22" s="4"/>
      <c r="X22" s="4"/>
      <c r="Y22" s="4"/>
    </row>
    <row r="23" spans="2:33" ht="15" customHeight="1" x14ac:dyDescent="0.35">
      <c r="B23" s="581"/>
      <c r="C23" s="602" t="s">
        <v>60</v>
      </c>
      <c r="D23" s="681" t="str">
        <f>Dollar_Year&amp;"$ MM"</f>
        <v>2021$ MM</v>
      </c>
      <c r="F23" s="581"/>
      <c r="G23" s="643">
        <f ca="1">ProductConversionCosts</f>
        <v>6.0433365226657978</v>
      </c>
      <c r="H23" s="583"/>
      <c r="M23" s="7"/>
      <c r="N23" s="7"/>
      <c r="O23" s="7"/>
      <c r="P23" s="7"/>
      <c r="Q23" s="7"/>
      <c r="R23" s="7"/>
      <c r="S23" s="7"/>
      <c r="T23" s="7"/>
      <c r="U23" s="7"/>
      <c r="V23" s="5"/>
      <c r="W23" s="4"/>
      <c r="X23" s="4"/>
      <c r="Y23" s="4"/>
    </row>
    <row r="24" spans="2:33" ht="15" customHeight="1" x14ac:dyDescent="0.35">
      <c r="B24" s="581"/>
      <c r="C24" s="602" t="s">
        <v>92</v>
      </c>
      <c r="D24" s="681" t="str">
        <f>Dollar_Year&amp;"$ MM"</f>
        <v>2021$ MM</v>
      </c>
      <c r="F24" s="581"/>
      <c r="G24" s="643">
        <f ca="1">CapitalConversionCosts</f>
        <v>20.442382391607332</v>
      </c>
      <c r="H24" s="583"/>
      <c r="M24" s="7"/>
      <c r="N24" s="7"/>
      <c r="O24" s="7"/>
      <c r="P24" s="7"/>
      <c r="Q24" s="7"/>
      <c r="R24" s="7"/>
      <c r="S24" s="7"/>
      <c r="T24" s="7"/>
      <c r="U24" s="7"/>
      <c r="V24" s="5"/>
      <c r="W24" s="4"/>
      <c r="X24" s="4"/>
      <c r="Y24" s="4"/>
    </row>
    <row r="25" spans="2:33" ht="15" customHeight="1" thickBot="1" x14ac:dyDescent="0.4">
      <c r="B25" s="581"/>
      <c r="C25" s="600" t="s">
        <v>85</v>
      </c>
      <c r="D25" s="681" t="str">
        <f>Dollar_Year&amp;"$ MM"</f>
        <v>2021$ MM</v>
      </c>
      <c r="F25" s="581"/>
      <c r="G25" s="645">
        <f ca="1">SUM(G23:G24)</f>
        <v>26.485718914273129</v>
      </c>
      <c r="H25" s="583"/>
      <c r="M25" s="7"/>
      <c r="N25" s="7"/>
      <c r="O25" s="7"/>
      <c r="P25" s="7"/>
      <c r="Q25" s="7"/>
      <c r="R25" s="7"/>
      <c r="S25" s="7"/>
      <c r="T25" s="7"/>
      <c r="U25" s="7"/>
      <c r="V25" s="5"/>
      <c r="W25" s="4"/>
      <c r="X25" s="4"/>
      <c r="Y25" s="4"/>
    </row>
    <row r="26" spans="2:33" ht="15" customHeight="1" thickBot="1" x14ac:dyDescent="0.4">
      <c r="B26" s="586"/>
      <c r="C26" s="587"/>
      <c r="D26" s="588"/>
      <c r="F26" s="586"/>
      <c r="G26" s="587"/>
      <c r="H26" s="588"/>
      <c r="M26" s="7"/>
      <c r="N26" s="7"/>
      <c r="O26" s="7"/>
      <c r="P26" s="7"/>
      <c r="Q26" s="7"/>
      <c r="R26" s="7"/>
      <c r="S26" s="7"/>
      <c r="T26" s="7"/>
      <c r="U26" s="7"/>
      <c r="W26" s="4"/>
      <c r="X26" s="4"/>
      <c r="Y26" s="4"/>
    </row>
    <row r="27" spans="2:33" ht="15" customHeight="1" x14ac:dyDescent="0.35">
      <c r="H27" s="4"/>
      <c r="I27" s="4"/>
      <c r="W27" s="4"/>
      <c r="X27" s="4"/>
      <c r="Y27" s="4"/>
    </row>
    <row r="28" spans="2:33" ht="15" customHeight="1" x14ac:dyDescent="0.35">
      <c r="H28" s="4"/>
      <c r="I28" s="4"/>
      <c r="W28" s="4"/>
      <c r="X28" s="4"/>
      <c r="Y28" s="4"/>
    </row>
    <row r="29" spans="2:33" ht="15" customHeight="1" x14ac:dyDescent="0.35">
      <c r="H29" s="4"/>
      <c r="I29" s="4"/>
      <c r="W29" s="4"/>
      <c r="X29" s="4"/>
      <c r="Y29" s="4"/>
    </row>
    <row r="30" spans="2:33" ht="15" customHeight="1" x14ac:dyDescent="0.35">
      <c r="H30" s="4"/>
      <c r="I30" s="4"/>
      <c r="W30" s="4"/>
      <c r="X30" s="4"/>
      <c r="Y30" s="4"/>
    </row>
    <row r="31" spans="2:33" ht="15" customHeight="1" x14ac:dyDescent="0.35">
      <c r="H31" s="4"/>
      <c r="I31" s="4"/>
      <c r="W31" s="4"/>
      <c r="X31" s="4"/>
      <c r="Y31" s="4"/>
    </row>
    <row r="32" spans="2:33" ht="15" customHeight="1" x14ac:dyDescent="0.35">
      <c r="H32" s="4"/>
      <c r="I32" s="4"/>
      <c r="W32" s="4"/>
      <c r="X32" s="4"/>
      <c r="Y32" s="4"/>
    </row>
    <row r="33" s="4" customFormat="1" ht="15" customHeight="1" x14ac:dyDescent="0.35"/>
    <row r="34" s="4" customFormat="1" ht="15" customHeight="1" x14ac:dyDescent="0.35"/>
    <row r="35" s="4" customFormat="1" ht="15" customHeight="1" x14ac:dyDescent="0.35"/>
    <row r="36" s="4" customFormat="1" ht="15" customHeight="1" x14ac:dyDescent="0.35"/>
    <row r="37" s="4" customFormat="1" ht="15" customHeight="1" x14ac:dyDescent="0.35"/>
    <row r="38" s="4" customFormat="1" ht="15" customHeight="1" x14ac:dyDescent="0.35"/>
    <row r="39" s="4" customFormat="1" ht="15" customHeight="1" x14ac:dyDescent="0.35"/>
    <row r="40" s="4" customFormat="1" ht="15" customHeight="1" x14ac:dyDescent="0.35"/>
    <row r="41" s="4" customFormat="1" ht="15" customHeight="1" x14ac:dyDescent="0.35"/>
    <row r="42" s="4" customFormat="1" ht="15" customHeight="1" x14ac:dyDescent="0.35"/>
    <row r="43" s="4" customFormat="1" ht="15" customHeight="1" x14ac:dyDescent="0.35"/>
    <row r="44" s="4" customFormat="1" ht="15" customHeight="1" x14ac:dyDescent="0.35"/>
    <row r="45" s="4" customFormat="1" ht="15" customHeight="1" x14ac:dyDescent="0.35"/>
    <row r="46" s="4" customFormat="1" ht="15" customHeight="1" x14ac:dyDescent="0.35"/>
    <row r="47" s="4" customFormat="1" ht="15" customHeight="1" x14ac:dyDescent="0.35"/>
    <row r="48" s="4" customFormat="1" ht="15" customHeight="1" x14ac:dyDescent="0.35"/>
    <row r="49" s="4" customFormat="1" ht="15" customHeight="1" x14ac:dyDescent="0.35"/>
    <row r="50" s="4" customFormat="1" ht="15" customHeight="1" x14ac:dyDescent="0.35"/>
    <row r="51" s="4" customFormat="1" ht="15" customHeight="1" x14ac:dyDescent="0.35"/>
    <row r="52" s="4" customFormat="1" ht="15" customHeight="1" x14ac:dyDescent="0.35"/>
    <row r="53" s="4" customFormat="1" ht="15" customHeight="1" x14ac:dyDescent="0.35"/>
    <row r="54" s="4" customFormat="1" ht="15" customHeight="1" x14ac:dyDescent="0.35"/>
    <row r="55" s="4" customFormat="1" ht="15" customHeight="1" x14ac:dyDescent="0.35"/>
    <row r="56" s="4" customFormat="1" ht="15" customHeight="1" x14ac:dyDescent="0.35"/>
    <row r="57" s="4" customFormat="1" ht="15" customHeight="1" x14ac:dyDescent="0.35"/>
    <row r="58" s="4" customFormat="1" ht="15" customHeight="1" x14ac:dyDescent="0.35"/>
    <row r="59" s="4" customFormat="1" ht="15" customHeight="1" x14ac:dyDescent="0.35"/>
    <row r="60" s="4" customFormat="1" ht="15" customHeight="1" x14ac:dyDescent="0.35"/>
    <row r="61" s="4" customFormat="1" ht="15" customHeight="1" x14ac:dyDescent="0.35"/>
    <row r="62" s="4" customFormat="1" ht="15" customHeight="1" x14ac:dyDescent="0.35"/>
    <row r="63" s="4" customFormat="1" ht="15" customHeight="1" x14ac:dyDescent="0.35"/>
    <row r="64" s="4" customFormat="1" ht="15" customHeight="1" x14ac:dyDescent="0.35"/>
    <row r="65" spans="8:25" ht="15" customHeight="1" x14ac:dyDescent="0.35">
      <c r="H65" s="4"/>
      <c r="I65" s="4"/>
      <c r="W65" s="4"/>
      <c r="X65" s="4"/>
      <c r="Y65" s="4"/>
    </row>
    <row r="66" spans="8:25" ht="15" customHeight="1" x14ac:dyDescent="0.35">
      <c r="H66" s="4"/>
      <c r="I66" s="4"/>
      <c r="W66" s="4"/>
      <c r="X66" s="4"/>
      <c r="Y66" s="4"/>
    </row>
    <row r="67" spans="8:25" ht="15" customHeight="1" x14ac:dyDescent="0.35">
      <c r="H67" s="4"/>
      <c r="I67" s="4"/>
      <c r="W67" s="4"/>
      <c r="X67" s="4"/>
      <c r="Y67" s="4"/>
    </row>
    <row r="68" spans="8:25" ht="15" customHeight="1" x14ac:dyDescent="0.35">
      <c r="H68" s="4"/>
      <c r="I68" s="4"/>
      <c r="W68" s="4"/>
      <c r="X68" s="4"/>
      <c r="Y68" s="4"/>
    </row>
    <row r="69" spans="8:25" ht="15" customHeight="1" x14ac:dyDescent="0.35">
      <c r="H69" s="4"/>
      <c r="I69" s="4"/>
      <c r="W69" s="4"/>
      <c r="X69" s="4"/>
      <c r="Y69" s="4"/>
    </row>
    <row r="70" spans="8:25" ht="15" customHeight="1" x14ac:dyDescent="0.35">
      <c r="H70" s="4"/>
      <c r="I70" s="4"/>
      <c r="W70" s="4"/>
      <c r="X70" s="4"/>
      <c r="Y70" s="4"/>
    </row>
    <row r="71" spans="8:25" ht="15" customHeight="1" x14ac:dyDescent="0.35">
      <c r="H71" s="4"/>
      <c r="I71" s="4"/>
      <c r="W71" s="4"/>
      <c r="X71" s="4"/>
      <c r="Y71" s="4"/>
    </row>
    <row r="72" spans="8:25" ht="15" customHeight="1" x14ac:dyDescent="0.35">
      <c r="H72" s="4"/>
      <c r="I72" s="4"/>
      <c r="W72" s="4"/>
      <c r="X72" s="4"/>
      <c r="Y72" s="4"/>
    </row>
    <row r="73" spans="8:25" ht="15" customHeight="1" x14ac:dyDescent="0.35">
      <c r="H73" s="4"/>
      <c r="I73" s="4"/>
      <c r="W73" s="4"/>
      <c r="X73" s="4"/>
      <c r="Y73" s="4"/>
    </row>
    <row r="74" spans="8:25" ht="15" customHeight="1" x14ac:dyDescent="0.35">
      <c r="H74" s="4"/>
      <c r="I74" s="4"/>
      <c r="W74" s="4"/>
      <c r="X74" s="4"/>
      <c r="Y74" s="4"/>
    </row>
    <row r="75" spans="8:25" ht="15" customHeight="1" x14ac:dyDescent="0.35">
      <c r="H75" s="4"/>
      <c r="I75" s="4"/>
      <c r="W75" s="4"/>
      <c r="X75" s="4"/>
      <c r="Y75" s="4"/>
    </row>
    <row r="76" spans="8:25" ht="15" customHeight="1" x14ac:dyDescent="0.35">
      <c r="H76" s="4"/>
      <c r="I76" s="4"/>
      <c r="W76" s="4"/>
      <c r="X76" s="4"/>
      <c r="Y76" s="4"/>
    </row>
    <row r="77" spans="8:25" ht="15" customHeight="1" x14ac:dyDescent="0.35">
      <c r="W77" s="4"/>
      <c r="X77" s="4"/>
      <c r="Y77" s="4"/>
    </row>
    <row r="78" spans="8:25" ht="15" customHeight="1" x14ac:dyDescent="0.35">
      <c r="W78" s="4"/>
      <c r="X78" s="4"/>
      <c r="Y78" s="4"/>
    </row>
    <row r="79" spans="8:25" ht="15" customHeight="1" x14ac:dyDescent="0.35">
      <c r="W79" s="4"/>
      <c r="X79" s="4"/>
      <c r="Y79" s="4"/>
    </row>
    <row r="80" spans="8:25" ht="15" customHeight="1" x14ac:dyDescent="0.35">
      <c r="W80" s="4"/>
      <c r="X80" s="4"/>
      <c r="Y80" s="4"/>
    </row>
  </sheetData>
  <sheetProtection algorithmName="SHA-512" hashValue="O9FXT+csVNm49GVw51OQN1C1lldPEaV4BxG8jFQPly+17TmMlsoV8uOvQQ53MRf3Fy2y+khkPRIw3ih3Pw3UpQ==" saltValue="r7xt/L+4YlCWWaAmq90nNg==" spinCount="100000" sheet="1" objects="1" scenarios="1"/>
  <mergeCells count="1">
    <mergeCell ref="B2:D2"/>
  </mergeCells>
  <hyperlinks>
    <hyperlink ref="G2" location="Navigation!A1" display="Navigation" xr:uid="{5F74B450-A674-4383-9444-F155D4665120}"/>
    <hyperlink ref="J2" location="Scenario!A1" display="Scenario" xr:uid="{18D7CF0E-9BC9-4632-B55C-B833A7807767}"/>
  </hyperlinks>
  <pageMargins left="0.75" right="0.75" top="1" bottom="1" header="0.5" footer="0.5"/>
  <pageSetup scale="87"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theme="6" tint="-0.499984740745262"/>
  </sheetPr>
  <dimension ref="A1:AP51"/>
  <sheetViews>
    <sheetView zoomScale="70" zoomScaleNormal="70" workbookViewId="0"/>
  </sheetViews>
  <sheetFormatPr defaultColWidth="9.453125" defaultRowHeight="15" customHeight="1" x14ac:dyDescent="0.35"/>
  <cols>
    <col min="1" max="2" width="3.54296875" style="7" customWidth="1"/>
    <col min="3" max="3" width="30.54296875" style="65" customWidth="1"/>
    <col min="4" max="4" width="15.54296875" style="65" customWidth="1"/>
    <col min="5" max="5" width="3.54296875" style="65" customWidth="1"/>
    <col min="6" max="7" width="14.453125" style="65" customWidth="1"/>
    <col min="8" max="8" width="15" style="65" customWidth="1"/>
    <col min="9" max="41" width="14.453125" style="65" customWidth="1"/>
    <col min="42" max="42" width="9.453125" style="7"/>
    <col min="43" max="16384" width="9.453125" style="65"/>
  </cols>
  <sheetData>
    <row r="1" spans="1:42" s="7" customFormat="1" ht="15" customHeight="1" thickBot="1" x14ac:dyDescent="0.4"/>
    <row r="2" spans="1:42" ht="15" customHeight="1" thickTop="1" thickBot="1" x14ac:dyDescent="0.4">
      <c r="C2" s="63" t="s">
        <v>152</v>
      </c>
      <c r="D2" s="64"/>
      <c r="E2" s="7"/>
      <c r="F2" s="10" t="s">
        <v>159</v>
      </c>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row>
    <row r="3" spans="1:42" s="7" customFormat="1" ht="15" customHeight="1" thickBot="1" x14ac:dyDescent="0.4"/>
    <row r="4" spans="1:42" s="7" customFormat="1" ht="15" customHeight="1" x14ac:dyDescent="0.35">
      <c r="B4" s="12"/>
      <c r="C4" s="13"/>
      <c r="D4" s="13"/>
      <c r="E4" s="13"/>
      <c r="F4" s="13"/>
      <c r="G4" s="13"/>
      <c r="H4" s="13"/>
      <c r="I4" s="13"/>
      <c r="J4" s="13"/>
      <c r="K4" s="13"/>
      <c r="L4" s="13"/>
      <c r="M4" s="13"/>
      <c r="N4" s="13"/>
      <c r="O4" s="13"/>
      <c r="P4" s="13"/>
      <c r="Q4" s="13"/>
      <c r="R4" s="13"/>
      <c r="S4" s="13"/>
      <c r="T4" s="13"/>
      <c r="U4" s="13"/>
      <c r="V4" s="66"/>
      <c r="W4" s="66"/>
      <c r="X4" s="66"/>
      <c r="Y4" s="66"/>
      <c r="Z4" s="66"/>
      <c r="AA4" s="66"/>
      <c r="AB4" s="66"/>
      <c r="AC4" s="66"/>
      <c r="AD4" s="66"/>
      <c r="AE4" s="66"/>
      <c r="AF4" s="66"/>
      <c r="AG4" s="66"/>
      <c r="AH4" s="66"/>
      <c r="AI4" s="66"/>
      <c r="AJ4" s="66"/>
      <c r="AK4" s="66"/>
      <c r="AL4" s="66"/>
      <c r="AM4" s="66"/>
      <c r="AN4" s="66"/>
      <c r="AO4" s="66"/>
      <c r="AP4" s="14"/>
    </row>
    <row r="5" spans="1:42" s="72" customFormat="1" ht="15" customHeight="1" x14ac:dyDescent="0.35">
      <c r="A5" s="67"/>
      <c r="B5" s="68"/>
      <c r="C5" s="69"/>
      <c r="D5" s="69"/>
      <c r="E5" s="15"/>
      <c r="F5" s="70" t="str">
        <f t="shared" ref="F5:AI5" si="0">IF(F6=Announcement_Year,"Ancmt Yr",
IF(F6=Reference_Year,"Ref Yr",
IF(F6=Standard_Year,"Std Yr",
IF(F6=Terminal_Year,"Term Yr",
" "))))</f>
        <v xml:space="preserve"> </v>
      </c>
      <c r="G5" s="70" t="str">
        <f t="shared" ca="1" si="0"/>
        <v>Ancmt Yr</v>
      </c>
      <c r="H5" s="70" t="str">
        <f t="shared" ca="1" si="0"/>
        <v xml:space="preserve"> </v>
      </c>
      <c r="I5" s="70" t="str">
        <f t="shared" ca="1" si="0"/>
        <v xml:space="preserve"> </v>
      </c>
      <c r="J5" s="70" t="str">
        <f t="shared" ca="1" si="0"/>
        <v>Std Yr</v>
      </c>
      <c r="K5" s="70" t="str">
        <f t="shared" ca="1" si="0"/>
        <v xml:space="preserve"> </v>
      </c>
      <c r="L5" s="70" t="str">
        <f t="shared" ca="1" si="0"/>
        <v xml:space="preserve"> </v>
      </c>
      <c r="M5" s="70" t="str">
        <f t="shared" ca="1" si="0"/>
        <v xml:space="preserve"> </v>
      </c>
      <c r="N5" s="70" t="str">
        <f t="shared" ca="1" si="0"/>
        <v xml:space="preserve"> </v>
      </c>
      <c r="O5" s="70" t="str">
        <f t="shared" ca="1" si="0"/>
        <v xml:space="preserve"> </v>
      </c>
      <c r="P5" s="70" t="str">
        <f t="shared" ca="1" si="0"/>
        <v xml:space="preserve"> </v>
      </c>
      <c r="Q5" s="70" t="str">
        <f t="shared" ca="1" si="0"/>
        <v xml:space="preserve"> </v>
      </c>
      <c r="R5" s="70" t="str">
        <f t="shared" ca="1" si="0"/>
        <v xml:space="preserve"> </v>
      </c>
      <c r="S5" s="70" t="str">
        <f t="shared" ca="1" si="0"/>
        <v xml:space="preserve"> </v>
      </c>
      <c r="T5" s="70" t="str">
        <f t="shared" ca="1" si="0"/>
        <v xml:space="preserve"> </v>
      </c>
      <c r="U5" s="70" t="str">
        <f t="shared" ca="1" si="0"/>
        <v xml:space="preserve"> </v>
      </c>
      <c r="V5" s="70" t="str">
        <f t="shared" ca="1" si="0"/>
        <v xml:space="preserve"> </v>
      </c>
      <c r="W5" s="70" t="str">
        <f t="shared" ca="1" si="0"/>
        <v xml:space="preserve"> </v>
      </c>
      <c r="X5" s="70" t="str">
        <f t="shared" ca="1" si="0"/>
        <v xml:space="preserve"> </v>
      </c>
      <c r="Y5" s="70" t="str">
        <f t="shared" ca="1" si="0"/>
        <v xml:space="preserve"> </v>
      </c>
      <c r="Z5" s="70" t="str">
        <f t="shared" ca="1" si="0"/>
        <v xml:space="preserve"> </v>
      </c>
      <c r="AA5" s="70" t="str">
        <f t="shared" ca="1" si="0"/>
        <v xml:space="preserve"> </v>
      </c>
      <c r="AB5" s="70" t="str">
        <f t="shared" ca="1" si="0"/>
        <v xml:space="preserve"> </v>
      </c>
      <c r="AC5" s="70" t="str">
        <f t="shared" ca="1" si="0"/>
        <v xml:space="preserve"> </v>
      </c>
      <c r="AD5" s="70" t="str">
        <f t="shared" ca="1" si="0"/>
        <v xml:space="preserve"> </v>
      </c>
      <c r="AE5" s="70" t="str">
        <f t="shared" ca="1" si="0"/>
        <v xml:space="preserve"> </v>
      </c>
      <c r="AF5" s="70" t="str">
        <f t="shared" ca="1" si="0"/>
        <v xml:space="preserve"> </v>
      </c>
      <c r="AG5" s="70" t="str">
        <f t="shared" ca="1" si="0"/>
        <v xml:space="preserve"> </v>
      </c>
      <c r="AH5" s="70" t="str">
        <f t="shared" ca="1" si="0"/>
        <v xml:space="preserve"> </v>
      </c>
      <c r="AI5" s="70" t="str">
        <f t="shared" ca="1" si="0"/>
        <v xml:space="preserve"> </v>
      </c>
      <c r="AJ5" s="70"/>
      <c r="AK5" s="70" t="str">
        <f ca="1">IF(AK6=Announcement_Year,"Ancmt Yr",
IF(AK6=Reference_Year,"Ref Yr",
IF(AK6=Standard_Year,"Std Yr",
IF(AK6=Terminal_Year,"Term Yr",
" "))))</f>
        <v xml:space="preserve"> </v>
      </c>
      <c r="AL5" s="70" t="str">
        <f ca="1">IF(AL6=Announcement_Year,"Ancmt Yr",
IF(AL6=Reference_Year,"Ref Yr",
IF(AL6=Standard_Year,"Std Yr",
IF(AL6=Terminal_Year,"Term Yr",
" "))))</f>
        <v xml:space="preserve"> </v>
      </c>
      <c r="AM5" s="70" t="str">
        <f ca="1">IF(AM6=Announcement_Year,"Ancmt Yr",
IF(AM6=Reference_Year,"Ref Yr",
IF(AM6=Standard_Year,"Std Yr",
IF(AM6=Terminal_Year,"Term Yr",
" "))))</f>
        <v xml:space="preserve"> </v>
      </c>
      <c r="AN5" s="70" t="str">
        <f ca="1">IF(AN6=Announcement_Year,"Ancmt Yr",
IF(AN6=Reference_Year,"Ref Yr",
IF(AN6=Standard_Year,"Std Yr",
IF(AN6=Terminal_Year,"Term Yr",
" "))))</f>
        <v xml:space="preserve"> </v>
      </c>
      <c r="AO5" s="70" t="str">
        <f ca="1">IF(AO6=Announcement_Year,"Ancmt Yr",
IF(AO6=Reference_Year,"Ref Yr",
IF(AO6=Standard_Year,"Std Yr",
IF(AO6=Terminal_Year,"Term Yr",
" "))))</f>
        <v>Term Yr</v>
      </c>
      <c r="AP5" s="71"/>
    </row>
    <row r="6" spans="1:42" ht="15" customHeight="1" x14ac:dyDescent="0.35">
      <c r="B6" s="73"/>
      <c r="C6" s="74" t="str">
        <f>"Industry Income Statement (in "&amp;Dollar_Year&amp;"$ millions)"</f>
        <v>Industry Income Statement (in 2021$ millions)</v>
      </c>
      <c r="D6" s="74"/>
      <c r="E6" s="75"/>
      <c r="F6" s="76">
        <f>Reference_Year - 1</f>
        <v>2022</v>
      </c>
      <c r="G6" s="76">
        <f ca="1">OFFSET(G6,0,-1)+1</f>
        <v>2023</v>
      </c>
      <c r="H6" s="76">
        <f t="shared" ref="H6:AO6" ca="1" si="1">OFFSET(H6,0,-1)+1</f>
        <v>2024</v>
      </c>
      <c r="I6" s="76">
        <f t="shared" ca="1" si="1"/>
        <v>2025</v>
      </c>
      <c r="J6" s="76">
        <f t="shared" ca="1" si="1"/>
        <v>2026</v>
      </c>
      <c r="K6" s="76">
        <f t="shared" ca="1" si="1"/>
        <v>2027</v>
      </c>
      <c r="L6" s="76">
        <f t="shared" ca="1" si="1"/>
        <v>2028</v>
      </c>
      <c r="M6" s="76">
        <f t="shared" ca="1" si="1"/>
        <v>2029</v>
      </c>
      <c r="N6" s="76">
        <f t="shared" ca="1" si="1"/>
        <v>2030</v>
      </c>
      <c r="O6" s="76">
        <f t="shared" ca="1" si="1"/>
        <v>2031</v>
      </c>
      <c r="P6" s="76">
        <f t="shared" ca="1" si="1"/>
        <v>2032</v>
      </c>
      <c r="Q6" s="76">
        <f t="shared" ca="1" si="1"/>
        <v>2033</v>
      </c>
      <c r="R6" s="76">
        <f t="shared" ca="1" si="1"/>
        <v>2034</v>
      </c>
      <c r="S6" s="76">
        <f t="shared" ca="1" si="1"/>
        <v>2035</v>
      </c>
      <c r="T6" s="76">
        <f t="shared" ca="1" si="1"/>
        <v>2036</v>
      </c>
      <c r="U6" s="76">
        <f t="shared" ca="1" si="1"/>
        <v>2037</v>
      </c>
      <c r="V6" s="76">
        <f t="shared" ca="1" si="1"/>
        <v>2038</v>
      </c>
      <c r="W6" s="76">
        <f t="shared" ca="1" si="1"/>
        <v>2039</v>
      </c>
      <c r="X6" s="76">
        <f t="shared" ca="1" si="1"/>
        <v>2040</v>
      </c>
      <c r="Y6" s="76">
        <f t="shared" ca="1" si="1"/>
        <v>2041</v>
      </c>
      <c r="Z6" s="76">
        <f t="shared" ca="1" si="1"/>
        <v>2042</v>
      </c>
      <c r="AA6" s="76">
        <f t="shared" ca="1" si="1"/>
        <v>2043</v>
      </c>
      <c r="AB6" s="76">
        <f t="shared" ca="1" si="1"/>
        <v>2044</v>
      </c>
      <c r="AC6" s="76">
        <f t="shared" ca="1" si="1"/>
        <v>2045</v>
      </c>
      <c r="AD6" s="76">
        <f t="shared" ca="1" si="1"/>
        <v>2046</v>
      </c>
      <c r="AE6" s="76">
        <f t="shared" ca="1" si="1"/>
        <v>2047</v>
      </c>
      <c r="AF6" s="76">
        <f t="shared" ca="1" si="1"/>
        <v>2048</v>
      </c>
      <c r="AG6" s="76">
        <f t="shared" ca="1" si="1"/>
        <v>2049</v>
      </c>
      <c r="AH6" s="76">
        <f t="shared" ca="1" si="1"/>
        <v>2050</v>
      </c>
      <c r="AI6" s="76">
        <f t="shared" ca="1" si="1"/>
        <v>2051</v>
      </c>
      <c r="AJ6" s="76">
        <f t="shared" ca="1" si="1"/>
        <v>2052</v>
      </c>
      <c r="AK6" s="76">
        <f t="shared" ca="1" si="1"/>
        <v>2053</v>
      </c>
      <c r="AL6" s="76">
        <f t="shared" ca="1" si="1"/>
        <v>2054</v>
      </c>
      <c r="AM6" s="76">
        <f t="shared" ca="1" si="1"/>
        <v>2055</v>
      </c>
      <c r="AN6" s="76">
        <f t="shared" ca="1" si="1"/>
        <v>2056</v>
      </c>
      <c r="AO6" s="76">
        <f t="shared" ca="1" si="1"/>
        <v>2057</v>
      </c>
      <c r="AP6" s="71"/>
    </row>
    <row r="7" spans="1:42" ht="15" customHeight="1" x14ac:dyDescent="0.35">
      <c r="B7" s="68"/>
      <c r="C7" s="75" t="s">
        <v>11</v>
      </c>
      <c r="D7" s="75"/>
      <c r="E7" s="75"/>
      <c r="F7" s="77">
        <f t="shared" ref="F7:AO7" ca="1" si="2">INDEX(Total_Revenues_Standards,MATCH(F$6,Dates,0))</f>
        <v>633.28196497713952</v>
      </c>
      <c r="G7" s="78">
        <v>656.61115010410003</v>
      </c>
      <c r="H7" s="78">
        <v>678.51035505227401</v>
      </c>
      <c r="I7" s="78">
        <f t="shared" ca="1" si="2"/>
        <v>706.11447014226212</v>
      </c>
      <c r="J7" s="78">
        <f t="shared" ca="1" si="2"/>
        <v>740.55014893669215</v>
      </c>
      <c r="K7" s="78">
        <f t="shared" ca="1" si="2"/>
        <v>773.29356518407758</v>
      </c>
      <c r="L7" s="78">
        <f t="shared" ca="1" si="2"/>
        <v>809.32584803030682</v>
      </c>
      <c r="M7" s="78">
        <f t="shared" ca="1" si="2"/>
        <v>847.16641220946326</v>
      </c>
      <c r="N7" s="78">
        <f t="shared" ca="1" si="2"/>
        <v>886.41537660205302</v>
      </c>
      <c r="O7" s="78">
        <f t="shared" ca="1" si="2"/>
        <v>926.80877330735632</v>
      </c>
      <c r="P7" s="78">
        <f t="shared" ca="1" si="2"/>
        <v>968.89734301704721</v>
      </c>
      <c r="Q7" s="78">
        <f t="shared" ca="1" si="2"/>
        <v>1012.5817381787442</v>
      </c>
      <c r="R7" s="78">
        <f t="shared" ca="1" si="2"/>
        <v>1056.9101929115063</v>
      </c>
      <c r="S7" s="78">
        <f t="shared" ca="1" si="2"/>
        <v>1103.7250776159415</v>
      </c>
      <c r="T7" s="78">
        <f t="shared" ca="1" si="2"/>
        <v>1152.7161356108149</v>
      </c>
      <c r="U7" s="78">
        <f t="shared" ca="1" si="2"/>
        <v>1204.1990176514464</v>
      </c>
      <c r="V7" s="78">
        <f t="shared" ca="1" si="2"/>
        <v>1259.1345940662018</v>
      </c>
      <c r="W7" s="78">
        <f t="shared" ca="1" si="2"/>
        <v>1315.414209818266</v>
      </c>
      <c r="X7" s="78">
        <f t="shared" ca="1" si="2"/>
        <v>1374.1284109566477</v>
      </c>
      <c r="Y7" s="78">
        <f t="shared" ca="1" si="2"/>
        <v>1436.7638298978322</v>
      </c>
      <c r="Z7" s="78">
        <f t="shared" ca="1" si="2"/>
        <v>1501.522959102972</v>
      </c>
      <c r="AA7" s="78">
        <f t="shared" ca="1" si="2"/>
        <v>1568.3454976132289</v>
      </c>
      <c r="AB7" s="78">
        <f t="shared" ca="1" si="2"/>
        <v>1638.9576059101353</v>
      </c>
      <c r="AC7" s="78">
        <f t="shared" ca="1" si="2"/>
        <v>1712.6817663305033</v>
      </c>
      <c r="AD7" s="78">
        <f t="shared" ca="1" si="2"/>
        <v>1789.8790579892691</v>
      </c>
      <c r="AE7" s="78">
        <f t="shared" ca="1" si="2"/>
        <v>1870.274508407666</v>
      </c>
      <c r="AF7" s="78">
        <f t="shared" ca="1" si="2"/>
        <v>1954.3752423860926</v>
      </c>
      <c r="AG7" s="78">
        <f t="shared" ca="1" si="2"/>
        <v>2041.7613844573075</v>
      </c>
      <c r="AH7" s="78">
        <f t="shared" ca="1" si="2"/>
        <v>2133.4996917589497</v>
      </c>
      <c r="AI7" s="78">
        <f t="shared" ca="1" si="2"/>
        <v>2229.5743828964642</v>
      </c>
      <c r="AJ7" s="78">
        <f t="shared" ca="1" si="2"/>
        <v>2329.3857855341003</v>
      </c>
      <c r="AK7" s="78">
        <f t="shared" ca="1" si="2"/>
        <v>2433.5791077029039</v>
      </c>
      <c r="AL7" s="78">
        <f t="shared" ca="1" si="2"/>
        <v>2544.0568304414519</v>
      </c>
      <c r="AM7" s="78">
        <f t="shared" ca="1" si="2"/>
        <v>2657.6506388116022</v>
      </c>
      <c r="AN7" s="78">
        <f t="shared" ca="1" si="2"/>
        <v>2776.6085687455115</v>
      </c>
      <c r="AO7" s="79">
        <f t="shared" ca="1" si="2"/>
        <v>2901.4130479377782</v>
      </c>
      <c r="AP7" s="71"/>
    </row>
    <row r="8" spans="1:42" ht="15" customHeight="1" x14ac:dyDescent="0.35">
      <c r="B8" s="68"/>
      <c r="C8" s="75" t="s">
        <v>235</v>
      </c>
      <c r="D8" s="75"/>
      <c r="E8" s="75"/>
      <c r="F8" s="80">
        <f t="shared" ref="F8:AO8" ca="1" si="3">INDEX(Total_Unit_Sales_Standards,MATCH(F$6,Dates,0))</f>
        <v>7.5707973221489757</v>
      </c>
      <c r="G8" s="81">
        <v>7.9093524384259357</v>
      </c>
      <c r="H8" s="81">
        <v>8.1945872440194094</v>
      </c>
      <c r="I8" s="81">
        <f t="shared" ca="1" si="3"/>
        <v>8.583782715688141</v>
      </c>
      <c r="J8" s="81">
        <f t="shared" ca="1" si="3"/>
        <v>8.9699231360466918</v>
      </c>
      <c r="K8" s="81">
        <f t="shared" ca="1" si="3"/>
        <v>9.4318697097982991</v>
      </c>
      <c r="L8" s="81">
        <f t="shared" ca="1" si="3"/>
        <v>9.9329893259053517</v>
      </c>
      <c r="M8" s="81">
        <f t="shared" ca="1" si="3"/>
        <v>10.460473829673948</v>
      </c>
      <c r="N8" s="81">
        <f t="shared" ca="1" si="3"/>
        <v>11.01242309777642</v>
      </c>
      <c r="O8" s="81">
        <f t="shared" ca="1" si="3"/>
        <v>11.584656136055171</v>
      </c>
      <c r="P8" s="81">
        <f t="shared" ca="1" si="3"/>
        <v>12.17693514266746</v>
      </c>
      <c r="Q8" s="81">
        <f t="shared" ca="1" si="3"/>
        <v>12.791797091782762</v>
      </c>
      <c r="R8" s="81">
        <f t="shared" ca="1" si="3"/>
        <v>13.431147370412633</v>
      </c>
      <c r="S8" s="81">
        <f t="shared" ca="1" si="3"/>
        <v>14.101294532398612</v>
      </c>
      <c r="T8" s="81">
        <f t="shared" ca="1" si="3"/>
        <v>14.806030666074676</v>
      </c>
      <c r="U8" s="81">
        <f t="shared" ca="1" si="3"/>
        <v>15.547755933847926</v>
      </c>
      <c r="V8" s="81">
        <f t="shared" ca="1" si="3"/>
        <v>16.329137862735617</v>
      </c>
      <c r="W8" s="81">
        <f t="shared" ca="1" si="3"/>
        <v>17.148613343401536</v>
      </c>
      <c r="X8" s="81">
        <f t="shared" ca="1" si="3"/>
        <v>18.008673739701624</v>
      </c>
      <c r="Y8" s="81">
        <f t="shared" ca="1" si="3"/>
        <v>18.910359226684385</v>
      </c>
      <c r="Z8" s="81">
        <f t="shared" ca="1" si="3"/>
        <v>19.855207300741156</v>
      </c>
      <c r="AA8" s="81">
        <f t="shared" ca="1" si="3"/>
        <v>20.845278659044062</v>
      </c>
      <c r="AB8" s="81">
        <f t="shared" ca="1" si="3"/>
        <v>21.882691530387735</v>
      </c>
      <c r="AC8" s="81">
        <f t="shared" ca="1" si="3"/>
        <v>22.970405012822198</v>
      </c>
      <c r="AD8" s="81">
        <f t="shared" ca="1" si="3"/>
        <v>24.111169669552751</v>
      </c>
      <c r="AE8" s="81">
        <f t="shared" ca="1" si="3"/>
        <v>25.307751506572274</v>
      </c>
      <c r="AF8" s="81">
        <f t="shared" ca="1" si="3"/>
        <v>26.562917209560723</v>
      </c>
      <c r="AG8" s="81">
        <f t="shared" ca="1" si="3"/>
        <v>27.87946090536591</v>
      </c>
      <c r="AH8" s="81">
        <f t="shared" ca="1" si="3"/>
        <v>29.260263470786754</v>
      </c>
      <c r="AI8" s="81">
        <f t="shared" ca="1" si="3"/>
        <v>30.708346031531171</v>
      </c>
      <c r="AJ8" s="81">
        <f t="shared" ca="1" si="3"/>
        <v>32.226910369884507</v>
      </c>
      <c r="AK8" s="81">
        <f t="shared" ca="1" si="3"/>
        <v>33.819360996908678</v>
      </c>
      <c r="AL8" s="81">
        <f t="shared" ca="1" si="3"/>
        <v>35.489307110375229</v>
      </c>
      <c r="AM8" s="81">
        <f t="shared" ca="1" si="3"/>
        <v>37.240555971343781</v>
      </c>
      <c r="AN8" s="81">
        <f t="shared" ca="1" si="3"/>
        <v>39.077108501935967</v>
      </c>
      <c r="AO8" s="82">
        <f t="shared" ca="1" si="3"/>
        <v>41.003143436153252</v>
      </c>
      <c r="AP8" s="71"/>
    </row>
    <row r="9" spans="1:42" ht="15" customHeight="1" x14ac:dyDescent="0.35">
      <c r="B9" s="73"/>
      <c r="C9" s="83" t="s">
        <v>267</v>
      </c>
      <c r="D9" s="84"/>
      <c r="E9" s="84"/>
      <c r="F9" s="85">
        <f t="shared" ref="F9:AO9" ca="1" si="4">INDEX(Total_Materials_Standards,MATCH(F$6,Dates,0))+INDEX(Total_Labor_Standards,MATCH(F$6,Dates,0))+INDEX(Total_Depreciation_Standards,MATCH(F$6,Dates,0))+INDEX(Total_Overhead_Standards,MATCH(F$6,Dates,0))</f>
        <v>436.74618274285484</v>
      </c>
      <c r="G9" s="86">
        <v>452.83527593386219</v>
      </c>
      <c r="H9" s="86">
        <v>468.26028077420307</v>
      </c>
      <c r="I9" s="86">
        <f t="shared" ca="1" si="4"/>
        <v>485.2379757874769</v>
      </c>
      <c r="J9" s="86">
        <f t="shared" ca="1" si="4"/>
        <v>511.8662996673732</v>
      </c>
      <c r="K9" s="86">
        <f t="shared" ca="1" si="4"/>
        <v>534.49867376984002</v>
      </c>
      <c r="L9" s="86">
        <f t="shared" ca="1" si="4"/>
        <v>559.40420309433432</v>
      </c>
      <c r="M9" s="86">
        <f t="shared" ca="1" si="4"/>
        <v>585.55960874737571</v>
      </c>
      <c r="N9" s="86">
        <f t="shared" ca="1" si="4"/>
        <v>612.68812996072359</v>
      </c>
      <c r="O9" s="86">
        <f t="shared" ca="1" si="4"/>
        <v>640.60800969433228</v>
      </c>
      <c r="P9" s="86">
        <f t="shared" ca="1" si="4"/>
        <v>669.69916188259208</v>
      </c>
      <c r="Q9" s="86">
        <f t="shared" ca="1" si="4"/>
        <v>699.89379778322711</v>
      </c>
      <c r="R9" s="86">
        <f t="shared" ca="1" si="4"/>
        <v>730.53357347423037</v>
      </c>
      <c r="S9" s="86">
        <f t="shared" ca="1" si="4"/>
        <v>762.89164802400035</v>
      </c>
      <c r="T9" s="86">
        <f t="shared" ca="1" si="4"/>
        <v>796.7537494687864</v>
      </c>
      <c r="U9" s="86">
        <f t="shared" ca="1" si="4"/>
        <v>832.33844765710205</v>
      </c>
      <c r="V9" s="86">
        <f t="shared" ca="1" si="4"/>
        <v>870.30948968937378</v>
      </c>
      <c r="W9" s="86">
        <f t="shared" ca="1" si="4"/>
        <v>909.20964728666638</v>
      </c>
      <c r="X9" s="86">
        <f t="shared" ca="1" si="4"/>
        <v>949.79257257965401</v>
      </c>
      <c r="Y9" s="86">
        <f t="shared" ca="1" si="4"/>
        <v>993.08595186076434</v>
      </c>
      <c r="Z9" s="86">
        <f t="shared" ca="1" si="4"/>
        <v>1037.846546998815</v>
      </c>
      <c r="AA9" s="86">
        <f t="shared" ca="1" si="4"/>
        <v>1084.0341026775438</v>
      </c>
      <c r="AB9" s="86">
        <f t="shared" ca="1" si="4"/>
        <v>1132.8405555037839</v>
      </c>
      <c r="AC9" s="86">
        <f t="shared" ca="1" si="4"/>
        <v>1183.7978422828105</v>
      </c>
      <c r="AD9" s="86">
        <f t="shared" ca="1" si="4"/>
        <v>1237.1562431582133</v>
      </c>
      <c r="AE9" s="86">
        <f t="shared" ca="1" si="4"/>
        <v>1292.7244615310476</v>
      </c>
      <c r="AF9" s="86">
        <f t="shared" ca="1" si="4"/>
        <v>1350.854450450008</v>
      </c>
      <c r="AG9" s="86">
        <f t="shared" ca="1" si="4"/>
        <v>1411.2548585482625</v>
      </c>
      <c r="AH9" s="86">
        <f t="shared" ca="1" si="4"/>
        <v>1474.6636408289062</v>
      </c>
      <c r="AI9" s="86">
        <f t="shared" ca="1" si="4"/>
        <v>1541.0703090106215</v>
      </c>
      <c r="AJ9" s="86">
        <f t="shared" ca="1" si="4"/>
        <v>1610.0593151292285</v>
      </c>
      <c r="AK9" s="86">
        <f t="shared" ca="1" si="4"/>
        <v>1682.0769931638958</v>
      </c>
      <c r="AL9" s="86">
        <f t="shared" ca="1" si="4"/>
        <v>1758.437397417267</v>
      </c>
      <c r="AM9" s="86">
        <f t="shared" ca="1" si="4"/>
        <v>1836.9524449794244</v>
      </c>
      <c r="AN9" s="86">
        <f t="shared" ca="1" si="4"/>
        <v>1919.1759100346046</v>
      </c>
      <c r="AO9" s="87">
        <f t="shared" ca="1" si="4"/>
        <v>2005.438881005171</v>
      </c>
      <c r="AP9" s="71"/>
    </row>
    <row r="10" spans="1:42" ht="15" customHeight="1" x14ac:dyDescent="0.35">
      <c r="B10" s="73"/>
      <c r="C10" s="83" t="s">
        <v>314</v>
      </c>
      <c r="D10" s="84"/>
      <c r="E10" s="84"/>
      <c r="F10" s="85">
        <f t="shared" ref="F10:AO10" ca="1" si="5">SGA*F7</f>
        <v>113.9907536958851</v>
      </c>
      <c r="G10" s="86">
        <v>118.190007018738</v>
      </c>
      <c r="H10" s="86">
        <v>122.13186390940932</v>
      </c>
      <c r="I10" s="86">
        <f t="shared" ref="I10" ca="1" si="6">SGA*I7</f>
        <v>127.10060462560718</v>
      </c>
      <c r="J10" s="86">
        <f t="shared" ca="1" si="5"/>
        <v>133.29902680860459</v>
      </c>
      <c r="K10" s="86">
        <f t="shared" ca="1" si="5"/>
        <v>139.19284173313395</v>
      </c>
      <c r="L10" s="86">
        <f t="shared" ca="1" si="5"/>
        <v>145.67865264545523</v>
      </c>
      <c r="M10" s="86">
        <f t="shared" ca="1" si="5"/>
        <v>152.48995419770338</v>
      </c>
      <c r="N10" s="86">
        <f t="shared" ca="1" si="5"/>
        <v>159.55476778836953</v>
      </c>
      <c r="O10" s="86">
        <f t="shared" ca="1" si="5"/>
        <v>166.82557919532414</v>
      </c>
      <c r="P10" s="86">
        <f t="shared" ca="1" si="5"/>
        <v>174.40152174306849</v>
      </c>
      <c r="Q10" s="86">
        <f t="shared" ca="1" si="5"/>
        <v>182.26471287217396</v>
      </c>
      <c r="R10" s="86">
        <f t="shared" ca="1" si="5"/>
        <v>190.24383472407112</v>
      </c>
      <c r="S10" s="86">
        <f t="shared" ca="1" si="5"/>
        <v>198.67051397086945</v>
      </c>
      <c r="T10" s="86">
        <f t="shared" ca="1" si="5"/>
        <v>207.48890440994668</v>
      </c>
      <c r="U10" s="86">
        <f t="shared" ca="1" si="5"/>
        <v>216.75582317726034</v>
      </c>
      <c r="V10" s="86">
        <f t="shared" ca="1" si="5"/>
        <v>226.64422693191631</v>
      </c>
      <c r="W10" s="86">
        <f t="shared" ca="1" si="5"/>
        <v>236.77455776728789</v>
      </c>
      <c r="X10" s="86">
        <f t="shared" ca="1" si="5"/>
        <v>247.34311397219659</v>
      </c>
      <c r="Y10" s="86">
        <f t="shared" ca="1" si="5"/>
        <v>258.6174893816098</v>
      </c>
      <c r="Z10" s="86">
        <f t="shared" ca="1" si="5"/>
        <v>270.27413263853492</v>
      </c>
      <c r="AA10" s="86">
        <f t="shared" ca="1" si="5"/>
        <v>282.30218957038119</v>
      </c>
      <c r="AB10" s="86">
        <f t="shared" ca="1" si="5"/>
        <v>295.01236906382434</v>
      </c>
      <c r="AC10" s="86">
        <f t="shared" ca="1" si="5"/>
        <v>308.28271793949057</v>
      </c>
      <c r="AD10" s="86">
        <f t="shared" ca="1" si="5"/>
        <v>322.1782304380684</v>
      </c>
      <c r="AE10" s="86">
        <f t="shared" ca="1" si="5"/>
        <v>336.64941151337985</v>
      </c>
      <c r="AF10" s="86">
        <f t="shared" ca="1" si="5"/>
        <v>351.78754362949667</v>
      </c>
      <c r="AG10" s="86">
        <f t="shared" ca="1" si="5"/>
        <v>367.51704920231532</v>
      </c>
      <c r="AH10" s="86">
        <f t="shared" ca="1" si="5"/>
        <v>384.02994451661095</v>
      </c>
      <c r="AI10" s="86">
        <f t="shared" ca="1" si="5"/>
        <v>401.32338892136352</v>
      </c>
      <c r="AJ10" s="86">
        <f t="shared" ca="1" si="5"/>
        <v>419.28944139613805</v>
      </c>
      <c r="AK10" s="86">
        <f t="shared" ca="1" si="5"/>
        <v>438.04423938652269</v>
      </c>
      <c r="AL10" s="86">
        <f t="shared" ca="1" si="5"/>
        <v>457.93022947946133</v>
      </c>
      <c r="AM10" s="86">
        <f t="shared" ca="1" si="5"/>
        <v>478.37711498608837</v>
      </c>
      <c r="AN10" s="86">
        <f t="shared" ref="AN10" ca="1" si="7">SGA*AN7</f>
        <v>499.78954237419208</v>
      </c>
      <c r="AO10" s="87">
        <f t="shared" ca="1" si="5"/>
        <v>522.25434862880002</v>
      </c>
      <c r="AP10" s="71"/>
    </row>
    <row r="11" spans="1:42" ht="15" customHeight="1" x14ac:dyDescent="0.35">
      <c r="B11" s="73"/>
      <c r="C11" s="83" t="s">
        <v>147</v>
      </c>
      <c r="D11" s="84"/>
      <c r="E11" s="84"/>
      <c r="F11" s="85">
        <f t="shared" ref="F11:AO11" ca="1" si="8">RandD*F7</f>
        <v>10.765793404611372</v>
      </c>
      <c r="G11" s="86">
        <v>11.162389551769701</v>
      </c>
      <c r="H11" s="86">
        <v>11.534676035888658</v>
      </c>
      <c r="I11" s="86">
        <f t="shared" ref="I11" ca="1" si="9">RandD*I7</f>
        <v>12.003945992418457</v>
      </c>
      <c r="J11" s="86">
        <f t="shared" ca="1" si="8"/>
        <v>12.589352531923767</v>
      </c>
      <c r="K11" s="86">
        <f t="shared" ca="1" si="8"/>
        <v>13.145990608129321</v>
      </c>
      <c r="L11" s="86">
        <f t="shared" ca="1" si="8"/>
        <v>13.758539416515218</v>
      </c>
      <c r="M11" s="86">
        <f t="shared" ca="1" si="8"/>
        <v>14.401829007560876</v>
      </c>
      <c r="N11" s="86">
        <f t="shared" ca="1" si="8"/>
        <v>15.069061402234903</v>
      </c>
      <c r="O11" s="86">
        <f t="shared" ca="1" si="8"/>
        <v>15.755749146225059</v>
      </c>
      <c r="P11" s="86">
        <f t="shared" ca="1" si="8"/>
        <v>16.471254831289805</v>
      </c>
      <c r="Q11" s="86">
        <f t="shared" ca="1" si="8"/>
        <v>17.213889549038655</v>
      </c>
      <c r="R11" s="86">
        <f t="shared" ca="1" si="8"/>
        <v>17.967473279495607</v>
      </c>
      <c r="S11" s="86">
        <f t="shared" ca="1" si="8"/>
        <v>18.763326319471005</v>
      </c>
      <c r="T11" s="86">
        <f t="shared" ca="1" si="8"/>
        <v>19.596174305383855</v>
      </c>
      <c r="U11" s="86">
        <f t="shared" ca="1" si="8"/>
        <v>20.471383300074592</v>
      </c>
      <c r="V11" s="86">
        <f t="shared" ca="1" si="8"/>
        <v>21.405288099125432</v>
      </c>
      <c r="W11" s="86">
        <f t="shared" ca="1" si="8"/>
        <v>22.362041566910523</v>
      </c>
      <c r="X11" s="86">
        <f t="shared" ca="1" si="8"/>
        <v>23.360182986263013</v>
      </c>
      <c r="Y11" s="86">
        <f t="shared" ca="1" si="8"/>
        <v>24.424985108263151</v>
      </c>
      <c r="Z11" s="86">
        <f t="shared" ca="1" si="8"/>
        <v>25.525890304750526</v>
      </c>
      <c r="AA11" s="86">
        <f t="shared" ca="1" si="8"/>
        <v>26.661873459424893</v>
      </c>
      <c r="AB11" s="86">
        <f t="shared" ca="1" si="8"/>
        <v>27.862279300472302</v>
      </c>
      <c r="AC11" s="86">
        <f t="shared" ca="1" si="8"/>
        <v>29.115590027618559</v>
      </c>
      <c r="AD11" s="86">
        <f t="shared" ca="1" si="8"/>
        <v>30.427943985817578</v>
      </c>
      <c r="AE11" s="86">
        <f t="shared" ca="1" si="8"/>
        <v>31.794666642930324</v>
      </c>
      <c r="AF11" s="86">
        <f t="shared" ca="1" si="8"/>
        <v>33.224379120563576</v>
      </c>
      <c r="AG11" s="86">
        <f t="shared" ca="1" si="8"/>
        <v>34.709943535774229</v>
      </c>
      <c r="AH11" s="86">
        <f t="shared" ca="1" si="8"/>
        <v>36.269494759902145</v>
      </c>
      <c r="AI11" s="86">
        <f t="shared" ca="1" si="8"/>
        <v>37.902764509239894</v>
      </c>
      <c r="AJ11" s="86">
        <f t="shared" ca="1" si="8"/>
        <v>39.599558354079704</v>
      </c>
      <c r="AK11" s="86">
        <f t="shared" ca="1" si="8"/>
        <v>41.370844830949366</v>
      </c>
      <c r="AL11" s="86">
        <f t="shared" ca="1" si="8"/>
        <v>43.248966117504686</v>
      </c>
      <c r="AM11" s="86">
        <f t="shared" ca="1" si="8"/>
        <v>45.180060859797244</v>
      </c>
      <c r="AN11" s="86">
        <f t="shared" ref="AN11" ca="1" si="10">RandD*AN7</f>
        <v>47.202345668673701</v>
      </c>
      <c r="AO11" s="87">
        <f t="shared" ca="1" si="8"/>
        <v>49.324021814942235</v>
      </c>
      <c r="AP11" s="71"/>
    </row>
    <row r="12" spans="1:42" ht="15" customHeight="1" x14ac:dyDescent="0.35">
      <c r="B12" s="73"/>
      <c r="C12" s="83" t="s">
        <v>148</v>
      </c>
      <c r="D12" s="75"/>
      <c r="E12" s="75"/>
      <c r="F12" s="85">
        <f ca="1">IF(F6&lt;=Standard_Year,INDEX(ProductConversionCost_Table,1,MATCH(F6,'Conversion Cost Timing'!$E$40:$M$40,0)),0)</f>
        <v>0</v>
      </c>
      <c r="G12" s="86">
        <v>17.162411015110536</v>
      </c>
      <c r="H12" s="86">
        <f ca="1">IF(H6&lt;=Standard_Year,INDEX(ProductConversionCost_Table,1,MATCH(H6,'Conversion Cost Timing'!$E$40:$M$40,0)),0)</f>
        <v>2.1151677829330291</v>
      </c>
      <c r="I12" s="86">
        <f ca="1">IF(I6&lt;=Standard_Year,INDEX(ProductConversionCost_Table,1,MATCH(I6,'Conversion Cost Timing'!$E$40:$M$40,0)),0)</f>
        <v>2.719501435199609</v>
      </c>
      <c r="J12" s="86">
        <f ca="1">IF(J6&lt;=Standard_Year,INDEX(ProductConversionCost_Table,1,MATCH(J6,'Conversion Cost Timing'!$E$40:$M$40,0)),0)</f>
        <v>0</v>
      </c>
      <c r="K12" s="86">
        <f ca="1">IF(K6&lt;=Standard_Year,INDEX(ProductConversionCost_Table,1,MATCH(K6,'Conversion Cost Timing'!$E$40:$M$40,0)),0)</f>
        <v>0</v>
      </c>
      <c r="L12" s="86">
        <f ca="1">IF(L6&lt;=Standard_Year,INDEX(ProductConversionCost_Table,1,MATCH(L6,'Conversion Cost Timing'!$E$40:$M$40,0)),0)</f>
        <v>0</v>
      </c>
      <c r="M12" s="86">
        <f ca="1">IF(M6&lt;=Standard_Year,INDEX(ProductConversionCost_Table,1,MATCH(M6,'Conversion Cost Timing'!$E$40:$M$40,0)),0)</f>
        <v>0</v>
      </c>
      <c r="N12" s="86">
        <f ca="1">IF(N6&lt;=Standard_Year,INDEX(ProductConversionCost_Table,1,MATCH(N6,'Conversion Cost Timing'!$E$40:$M$40,0)),0)</f>
        <v>0</v>
      </c>
      <c r="O12" s="86">
        <f ca="1">IF(O6&lt;=Standard_Year,INDEX(ProductConversionCost_Table,1,MATCH(O6,'Conversion Cost Timing'!$E$40:$M$40,0)),0)</f>
        <v>0</v>
      </c>
      <c r="P12" s="86">
        <f ca="1">IF(P6&lt;=Standard_Year,INDEX(ProductConversionCost_Table,1,MATCH(P6,'Conversion Cost Timing'!$E$40:$M$40,0)),0)</f>
        <v>0</v>
      </c>
      <c r="Q12" s="86">
        <f ca="1">IF(Q6&lt;=Standard_Year,INDEX(ProductConversionCost_Table,1,MATCH(Q6,'Conversion Cost Timing'!$E$40:$M$40,0)),0)</f>
        <v>0</v>
      </c>
      <c r="R12" s="86">
        <f ca="1">IF(R6&lt;=Standard_Year,INDEX(ProductConversionCost_Table,1,MATCH(R6,'Conversion Cost Timing'!$E$40:$M$40,0)),0)</f>
        <v>0</v>
      </c>
      <c r="S12" s="86">
        <f ca="1">IF(S6&lt;=Standard_Year,INDEX(ProductConversionCost_Table,1,MATCH(S6,'Conversion Cost Timing'!$E$40:$M$40,0)),0)</f>
        <v>0</v>
      </c>
      <c r="T12" s="86">
        <f ca="1">IF(T6&lt;=Standard_Year,INDEX(ProductConversionCost_Table,1,MATCH(T6,'Conversion Cost Timing'!$E$40:$M$40,0)),0)</f>
        <v>0</v>
      </c>
      <c r="U12" s="86">
        <f ca="1">IF(U6&lt;=Standard_Year,INDEX(ProductConversionCost_Table,1,MATCH(U6,'Conversion Cost Timing'!$E$40:$M$40,0)),0)</f>
        <v>0</v>
      </c>
      <c r="V12" s="86">
        <f ca="1">IF(V6&lt;=Standard_Year,INDEX(ProductConversionCost_Table,1,MATCH(V6,'Conversion Cost Timing'!$E$40:$M$40,0)),0)</f>
        <v>0</v>
      </c>
      <c r="W12" s="86">
        <f ca="1">IF(W6&lt;=Standard_Year,INDEX(ProductConversionCost_Table,1,MATCH(W6,'Conversion Cost Timing'!$E$40:$M$40,0)),0)</f>
        <v>0</v>
      </c>
      <c r="X12" s="86">
        <f ca="1">IF(X6&lt;=Standard_Year,INDEX(ProductConversionCost_Table,1,MATCH(X6,'Conversion Cost Timing'!$E$40:$M$40,0)),0)</f>
        <v>0</v>
      </c>
      <c r="Y12" s="86">
        <f ca="1">IF(Y6&lt;=Standard_Year,INDEX(ProductConversionCost_Table,1,MATCH(Y6,'Conversion Cost Timing'!$E$40:$M$40,0)),0)</f>
        <v>0</v>
      </c>
      <c r="Z12" s="86">
        <f ca="1">IF(Z6&lt;=Standard_Year,INDEX(ProductConversionCost_Table,1,MATCH(Z6,'Conversion Cost Timing'!$E$40:$M$40,0)),0)</f>
        <v>0</v>
      </c>
      <c r="AA12" s="86">
        <f ca="1">IF(AA6&lt;=Standard_Year,INDEX(ProductConversionCost_Table,1,MATCH(AA6,'Conversion Cost Timing'!$E$40:$M$40,0)),0)</f>
        <v>0</v>
      </c>
      <c r="AB12" s="86">
        <f ca="1">IF(AB6&lt;=Standard_Year,INDEX(ProductConversionCost_Table,1,MATCH(AB6,'Conversion Cost Timing'!$E$40:$M$40,0)),0)</f>
        <v>0</v>
      </c>
      <c r="AC12" s="86">
        <f ca="1">IF(AC6&lt;=Standard_Year,INDEX(ProductConversionCost_Table,1,MATCH(AC6,'Conversion Cost Timing'!$E$40:$M$40,0)),0)</f>
        <v>0</v>
      </c>
      <c r="AD12" s="86">
        <f ca="1">IF(AD6&lt;=Standard_Year,INDEX(ProductConversionCost_Table,1,MATCH(AD6,'Conversion Cost Timing'!$E$40:$M$40,0)),0)</f>
        <v>0</v>
      </c>
      <c r="AE12" s="86">
        <f ca="1">IF(AE6&lt;=Standard_Year,INDEX(ProductConversionCost_Table,1,MATCH(AE6,'Conversion Cost Timing'!$E$40:$M$40,0)),0)</f>
        <v>0</v>
      </c>
      <c r="AF12" s="86">
        <f ca="1">IF(AF6&lt;=Standard_Year,INDEX(ProductConversionCost_Table,1,MATCH(AF6,'Conversion Cost Timing'!$E$40:$M$40,0)),0)</f>
        <v>0</v>
      </c>
      <c r="AG12" s="86">
        <f ca="1">IF(AG6&lt;=Standard_Year,INDEX(ProductConversionCost_Table,1,MATCH(AG6,'Conversion Cost Timing'!$E$40:$M$40,0)),0)</f>
        <v>0</v>
      </c>
      <c r="AH12" s="86">
        <f ca="1">IF(AH6&lt;=Standard_Year,INDEX(ProductConversionCost_Table,1,MATCH(AH6,'Conversion Cost Timing'!$E$40:$M$40,0)),0)</f>
        <v>0</v>
      </c>
      <c r="AI12" s="86">
        <f ca="1">IF(AI6&lt;=Standard_Year,INDEX(ProductConversionCost_Table,1,MATCH(AI6,'Conversion Cost Timing'!$E$40:$M$40,0)),0)</f>
        <v>0</v>
      </c>
      <c r="AJ12" s="86">
        <f ca="1">IF(AJ6&lt;=Standard_Year,INDEX(ProductConversionCost_Table,1,MATCH(AJ6,'Conversion Cost Timing'!$E$40:$M$40,0)),0)</f>
        <v>0</v>
      </c>
      <c r="AK12" s="86">
        <f ca="1">IF(AK6&lt;=Standard_Year,INDEX(ProductConversionCost_Table,1,MATCH(AK6,'Conversion Cost Timing'!$E$40:$M$40,0)),0)</f>
        <v>0</v>
      </c>
      <c r="AL12" s="86">
        <f ca="1">IF(AL6&lt;=Standard_Year,INDEX(ProductConversionCost_Table,1,MATCH(AL6,'Conversion Cost Timing'!$E$40:$M$40,0)),0)</f>
        <v>0</v>
      </c>
      <c r="AM12" s="86">
        <f ca="1">IF(AM6&lt;=Standard_Year,INDEX(ProductConversionCost_Table,1,MATCH(AM6,'Conversion Cost Timing'!$E$40:$M$40,0)),0)</f>
        <v>0</v>
      </c>
      <c r="AN12" s="86">
        <f ca="1">IF(AN6&lt;=Standard_Year,INDEX(ProductConversionCost_Table,1,MATCH(AN6,'Conversion Cost Timing'!$E$40:$M$40,0)),0)</f>
        <v>0</v>
      </c>
      <c r="AO12" s="87">
        <f ca="1">IF(AO6&lt;=Standard_Year,INDEX(ProductConversionCost_Table,1,MATCH(AO6,'Conversion Cost Timing'!$E$40:$M$40,0)),0)</f>
        <v>0</v>
      </c>
      <c r="AP12" s="71"/>
    </row>
    <row r="13" spans="1:42" s="308" customFormat="1" ht="15" customHeight="1" x14ac:dyDescent="0.35">
      <c r="A13" s="21"/>
      <c r="B13" s="768"/>
      <c r="C13" s="769" t="s">
        <v>349</v>
      </c>
      <c r="D13" s="770"/>
      <c r="E13" s="770"/>
      <c r="F13" s="85">
        <v>0</v>
      </c>
      <c r="G13" s="86">
        <v>0</v>
      </c>
      <c r="H13" s="86">
        <v>0</v>
      </c>
      <c r="I13" s="86">
        <v>0</v>
      </c>
      <c r="J13" s="86">
        <v>1.77</v>
      </c>
      <c r="K13" s="86">
        <v>1.77</v>
      </c>
      <c r="L13" s="86">
        <v>1.77</v>
      </c>
      <c r="M13" s="86">
        <v>1.77</v>
      </c>
      <c r="N13" s="86">
        <v>1.77</v>
      </c>
      <c r="O13" s="86">
        <v>1.77</v>
      </c>
      <c r="P13" s="86">
        <v>1.77</v>
      </c>
      <c r="Q13" s="86">
        <v>1.77</v>
      </c>
      <c r="R13" s="86">
        <v>1.77</v>
      </c>
      <c r="S13" s="86">
        <v>1.77</v>
      </c>
      <c r="T13" s="86">
        <v>1.77</v>
      </c>
      <c r="U13" s="86">
        <v>1.77</v>
      </c>
      <c r="V13" s="86">
        <v>1.77</v>
      </c>
      <c r="W13" s="86">
        <v>1.77</v>
      </c>
      <c r="X13" s="86">
        <v>1.77</v>
      </c>
      <c r="Y13" s="86">
        <v>1.77</v>
      </c>
      <c r="Z13" s="86">
        <v>1.77</v>
      </c>
      <c r="AA13" s="86">
        <v>1.77</v>
      </c>
      <c r="AB13" s="86">
        <v>1.77</v>
      </c>
      <c r="AC13" s="86">
        <v>1.77</v>
      </c>
      <c r="AD13" s="86">
        <v>1.77</v>
      </c>
      <c r="AE13" s="86">
        <v>1.77</v>
      </c>
      <c r="AF13" s="86">
        <v>1.77</v>
      </c>
      <c r="AG13" s="86">
        <v>1.77</v>
      </c>
      <c r="AH13" s="86">
        <v>1.77</v>
      </c>
      <c r="AI13" s="86">
        <v>1.77</v>
      </c>
      <c r="AJ13" s="86">
        <v>1.77</v>
      </c>
      <c r="AK13" s="86">
        <v>1.77</v>
      </c>
      <c r="AL13" s="86">
        <v>1.77</v>
      </c>
      <c r="AM13" s="86">
        <v>1.77</v>
      </c>
      <c r="AN13" s="86">
        <v>1.77</v>
      </c>
      <c r="AO13" s="87">
        <v>1.77</v>
      </c>
      <c r="AP13" s="771"/>
    </row>
    <row r="14" spans="1:42" ht="15" customHeight="1" x14ac:dyDescent="0.35">
      <c r="B14" s="73"/>
      <c r="C14" s="88" t="s">
        <v>198</v>
      </c>
      <c r="D14" s="89"/>
      <c r="E14" s="89"/>
      <c r="F14" s="90">
        <f t="shared" ref="F14:AO14" si="11">IF(F6=Standard_Year,StrandedAssets,0)</f>
        <v>0</v>
      </c>
      <c r="G14" s="91">
        <v>0</v>
      </c>
      <c r="H14" s="91">
        <v>2.7256509855476447</v>
      </c>
      <c r="I14" s="91">
        <f t="shared" ref="I14" ca="1" si="12">IF(I6=Standard_Year,StrandedAssets,0)</f>
        <v>0</v>
      </c>
      <c r="J14" s="91">
        <f t="shared" ca="1" si="11"/>
        <v>4.0884764783214669</v>
      </c>
      <c r="K14" s="91">
        <f t="shared" ca="1" si="11"/>
        <v>0</v>
      </c>
      <c r="L14" s="91">
        <f t="shared" ca="1" si="11"/>
        <v>0</v>
      </c>
      <c r="M14" s="91">
        <f t="shared" ca="1" si="11"/>
        <v>0</v>
      </c>
      <c r="N14" s="91">
        <f t="shared" ca="1" si="11"/>
        <v>0</v>
      </c>
      <c r="O14" s="91">
        <f t="shared" ca="1" si="11"/>
        <v>0</v>
      </c>
      <c r="P14" s="91">
        <f t="shared" ca="1" si="11"/>
        <v>0</v>
      </c>
      <c r="Q14" s="91">
        <f t="shared" ca="1" si="11"/>
        <v>0</v>
      </c>
      <c r="R14" s="91">
        <f t="shared" ca="1" si="11"/>
        <v>0</v>
      </c>
      <c r="S14" s="91">
        <f t="shared" ca="1" si="11"/>
        <v>0</v>
      </c>
      <c r="T14" s="91">
        <f t="shared" ca="1" si="11"/>
        <v>0</v>
      </c>
      <c r="U14" s="91">
        <f t="shared" ca="1" si="11"/>
        <v>0</v>
      </c>
      <c r="V14" s="91">
        <f t="shared" ca="1" si="11"/>
        <v>0</v>
      </c>
      <c r="W14" s="91">
        <f t="shared" ca="1" si="11"/>
        <v>0</v>
      </c>
      <c r="X14" s="91">
        <f t="shared" ca="1" si="11"/>
        <v>0</v>
      </c>
      <c r="Y14" s="91">
        <f t="shared" ca="1" si="11"/>
        <v>0</v>
      </c>
      <c r="Z14" s="91">
        <f t="shared" ca="1" si="11"/>
        <v>0</v>
      </c>
      <c r="AA14" s="91">
        <f t="shared" ca="1" si="11"/>
        <v>0</v>
      </c>
      <c r="AB14" s="91">
        <f t="shared" ca="1" si="11"/>
        <v>0</v>
      </c>
      <c r="AC14" s="91">
        <f t="shared" ca="1" si="11"/>
        <v>0</v>
      </c>
      <c r="AD14" s="91">
        <f t="shared" ca="1" si="11"/>
        <v>0</v>
      </c>
      <c r="AE14" s="91">
        <f t="shared" ca="1" si="11"/>
        <v>0</v>
      </c>
      <c r="AF14" s="91">
        <f t="shared" ca="1" si="11"/>
        <v>0</v>
      </c>
      <c r="AG14" s="91">
        <f t="shared" ca="1" si="11"/>
        <v>0</v>
      </c>
      <c r="AH14" s="91">
        <f t="shared" ca="1" si="11"/>
        <v>0</v>
      </c>
      <c r="AI14" s="91">
        <f t="shared" ca="1" si="11"/>
        <v>0</v>
      </c>
      <c r="AJ14" s="91">
        <f t="shared" ca="1" si="11"/>
        <v>0</v>
      </c>
      <c r="AK14" s="91">
        <f t="shared" ca="1" si="11"/>
        <v>0</v>
      </c>
      <c r="AL14" s="91">
        <f t="shared" ca="1" si="11"/>
        <v>0</v>
      </c>
      <c r="AM14" s="91">
        <f t="shared" ca="1" si="11"/>
        <v>0</v>
      </c>
      <c r="AN14" s="91">
        <f t="shared" ref="AN14" ca="1" si="13">IF(AN6=Standard_Year,StrandedAssets,0)</f>
        <v>0</v>
      </c>
      <c r="AO14" s="92">
        <f t="shared" ca="1" si="11"/>
        <v>0</v>
      </c>
      <c r="AP14" s="71"/>
    </row>
    <row r="15" spans="1:42" ht="15" customHeight="1" x14ac:dyDescent="0.35">
      <c r="B15" s="68"/>
      <c r="C15" s="93" t="s">
        <v>33</v>
      </c>
      <c r="D15" s="84"/>
      <c r="E15" s="84"/>
      <c r="F15" s="85">
        <f t="shared" ref="F15:AO15" ca="1" si="14">F7-SUM(F9:F14)</f>
        <v>71.779235133788234</v>
      </c>
      <c r="G15" s="86">
        <v>57.261066584619584</v>
      </c>
      <c r="H15" s="86">
        <f t="shared" ref="H15:I15" ca="1" si="15">H7-SUM(H9:H14)</f>
        <v>71.742715564292325</v>
      </c>
      <c r="I15" s="86">
        <f t="shared" ca="1" si="15"/>
        <v>79.05244230155995</v>
      </c>
      <c r="J15" s="86">
        <f t="shared" ca="1" si="14"/>
        <v>76.936993450469231</v>
      </c>
      <c r="K15" s="86">
        <f t="shared" ca="1" si="14"/>
        <v>84.686059072974331</v>
      </c>
      <c r="L15" s="86">
        <f t="shared" ca="1" si="14"/>
        <v>88.714452874002063</v>
      </c>
      <c r="M15" s="86">
        <f t="shared" ca="1" si="14"/>
        <v>92.945020256823341</v>
      </c>
      <c r="N15" s="86">
        <f t="shared" ca="1" si="14"/>
        <v>97.333417450725051</v>
      </c>
      <c r="O15" s="86">
        <f t="shared" ca="1" si="14"/>
        <v>101.84943527147482</v>
      </c>
      <c r="P15" s="86">
        <f t="shared" ca="1" si="14"/>
        <v>106.5554045600968</v>
      </c>
      <c r="Q15" s="86">
        <f t="shared" ca="1" si="14"/>
        <v>111.43933797430452</v>
      </c>
      <c r="R15" s="86">
        <f t="shared" ca="1" si="14"/>
        <v>116.39531143370925</v>
      </c>
      <c r="S15" s="86">
        <f t="shared" ca="1" si="14"/>
        <v>121.62958930160062</v>
      </c>
      <c r="T15" s="86">
        <f t="shared" ca="1" si="14"/>
        <v>127.10730742669784</v>
      </c>
      <c r="U15" s="86">
        <f t="shared" ca="1" si="14"/>
        <v>132.86336351700947</v>
      </c>
      <c r="V15" s="86">
        <f t="shared" ca="1" si="14"/>
        <v>139.00558934578612</v>
      </c>
      <c r="W15" s="86">
        <f t="shared" ca="1" si="14"/>
        <v>145.29796319740149</v>
      </c>
      <c r="X15" s="86">
        <f t="shared" ca="1" si="14"/>
        <v>151.86254141853419</v>
      </c>
      <c r="Y15" s="86">
        <f t="shared" ca="1" si="14"/>
        <v>158.865403547195</v>
      </c>
      <c r="Z15" s="86">
        <f t="shared" ca="1" si="14"/>
        <v>166.10638916087169</v>
      </c>
      <c r="AA15" s="86">
        <f t="shared" ca="1" si="14"/>
        <v>173.57733190587896</v>
      </c>
      <c r="AB15" s="86">
        <f t="shared" ca="1" si="14"/>
        <v>181.47240204205491</v>
      </c>
      <c r="AC15" s="86">
        <f t="shared" ca="1" si="14"/>
        <v>189.71561608058369</v>
      </c>
      <c r="AD15" s="86">
        <f t="shared" ca="1" si="14"/>
        <v>198.34664040716984</v>
      </c>
      <c r="AE15" s="86">
        <f t="shared" ca="1" si="14"/>
        <v>207.3359687203083</v>
      </c>
      <c r="AF15" s="86">
        <f t="shared" ca="1" si="14"/>
        <v>216.73886918602443</v>
      </c>
      <c r="AG15" s="86">
        <f t="shared" ca="1" si="14"/>
        <v>226.50953317095536</v>
      </c>
      <c r="AH15" s="86">
        <f t="shared" ca="1" si="14"/>
        <v>236.76661165353062</v>
      </c>
      <c r="AI15" s="86">
        <f t="shared" ca="1" si="14"/>
        <v>247.50792045523917</v>
      </c>
      <c r="AJ15" s="86">
        <f t="shared" ca="1" si="14"/>
        <v>258.66747065465415</v>
      </c>
      <c r="AK15" s="86">
        <f t="shared" ca="1" si="14"/>
        <v>270.31703032153609</v>
      </c>
      <c r="AL15" s="86">
        <f t="shared" ca="1" si="14"/>
        <v>282.67023742721904</v>
      </c>
      <c r="AM15" s="86">
        <f t="shared" ca="1" si="14"/>
        <v>295.37101798629192</v>
      </c>
      <c r="AN15" s="86">
        <f t="shared" ref="AN15" ca="1" si="16">AN7-SUM(AN9:AN14)</f>
        <v>308.67077066804086</v>
      </c>
      <c r="AO15" s="87">
        <f t="shared" ca="1" si="14"/>
        <v>322.62579648886503</v>
      </c>
      <c r="AP15" s="71"/>
    </row>
    <row r="16" spans="1:42" ht="15" customHeight="1" x14ac:dyDescent="0.35">
      <c r="B16" s="68"/>
      <c r="C16" s="93" t="s">
        <v>234</v>
      </c>
      <c r="D16" s="84"/>
      <c r="E16" s="84"/>
      <c r="F16" s="94">
        <f t="shared" ref="F16" ca="1" si="17">F15/F8</f>
        <v>9.4810667991061273</v>
      </c>
      <c r="G16" s="95">
        <v>7.2396655769729845</v>
      </c>
      <c r="H16" s="95">
        <f ca="1">(H7-SUM(H9:H12,H14))/H8</f>
        <v>8.7548906891743385</v>
      </c>
      <c r="I16" s="95">
        <f ca="1">(I7-SUM(I9:I12,I14))/I8</f>
        <v>9.2095111118178519</v>
      </c>
      <c r="J16" s="95">
        <f t="shared" ref="J16:AO16" ca="1" si="18">(J7-SUM(J9:J12,J14))/J8</f>
        <v>8.774544916017831</v>
      </c>
      <c r="K16" s="95">
        <f t="shared" ca="1" si="18"/>
        <v>9.1663754624557026</v>
      </c>
      <c r="L16" s="95">
        <f t="shared" ca="1" si="18"/>
        <v>9.1094885844704923</v>
      </c>
      <c r="M16" s="95">
        <f t="shared" ca="1" si="18"/>
        <v>9.054563091409749</v>
      </c>
      <c r="N16" s="95">
        <f t="shared" ca="1" si="18"/>
        <v>8.999238094178887</v>
      </c>
      <c r="O16" s="95">
        <f t="shared" ca="1" si="18"/>
        <v>8.9445413014010686</v>
      </c>
      <c r="P16" s="95">
        <f t="shared" ca="1" si="18"/>
        <v>8.8959498667714172</v>
      </c>
      <c r="Q16" s="95">
        <f t="shared" ca="1" si="18"/>
        <v>8.8501511681285425</v>
      </c>
      <c r="R16" s="95">
        <f t="shared" ca="1" si="18"/>
        <v>8.7978568155699524</v>
      </c>
      <c r="S16" s="95">
        <f t="shared" ca="1" si="18"/>
        <v>8.7509404911784721</v>
      </c>
      <c r="T16" s="95">
        <f t="shared" ca="1" si="18"/>
        <v>8.7043793392915791</v>
      </c>
      <c r="U16" s="95">
        <f t="shared" ca="1" si="18"/>
        <v>8.6593437721715603</v>
      </c>
      <c r="V16" s="95">
        <f t="shared" ca="1" si="18"/>
        <v>8.6211281041999843</v>
      </c>
      <c r="W16" s="95">
        <f t="shared" ca="1" si="18"/>
        <v>8.5760848560965695</v>
      </c>
      <c r="X16" s="95">
        <f t="shared" ca="1" si="18"/>
        <v>8.5310303045714253</v>
      </c>
      <c r="Y16" s="95">
        <f t="shared" ca="1" si="18"/>
        <v>8.4945717646930028</v>
      </c>
      <c r="Z16" s="95">
        <f t="shared" ca="1" si="18"/>
        <v>8.4550307945968992</v>
      </c>
      <c r="AA16" s="95">
        <f t="shared" ca="1" si="18"/>
        <v>8.4118487823525285</v>
      </c>
      <c r="AB16" s="95">
        <f t="shared" ca="1" si="18"/>
        <v>8.3738511685179375</v>
      </c>
      <c r="AC16" s="95">
        <f t="shared" ca="1" si="18"/>
        <v>8.3361880634536227</v>
      </c>
      <c r="AD16" s="95">
        <f t="shared" ca="1" si="18"/>
        <v>8.299748338624747</v>
      </c>
      <c r="AE16" s="95">
        <f t="shared" ca="1" si="18"/>
        <v>8.2625265490695483</v>
      </c>
      <c r="AF16" s="95">
        <f t="shared" ca="1" si="18"/>
        <v>8.2260870469218297</v>
      </c>
      <c r="AG16" s="95">
        <f t="shared" ca="1" si="18"/>
        <v>8.1880899327941741</v>
      </c>
      <c r="AH16" s="95">
        <f t="shared" ca="1" si="18"/>
        <v>8.1522373129580306</v>
      </c>
      <c r="AI16" s="95">
        <f t="shared" ca="1" si="18"/>
        <v>8.1175951384448339</v>
      </c>
      <c r="AJ16" s="95">
        <f t="shared" ca="1" si="18"/>
        <v>8.0813664004858641</v>
      </c>
      <c r="AK16" s="95">
        <f t="shared" ca="1" si="18"/>
        <v>8.0453037047745131</v>
      </c>
      <c r="AL16" s="95">
        <f t="shared" ca="1" si="18"/>
        <v>8.0148151820091034</v>
      </c>
      <c r="AM16" s="95">
        <f t="shared" ca="1" si="18"/>
        <v>7.978962994401555</v>
      </c>
      <c r="AN16" s="95">
        <f t="shared" ref="AN16" ca="1" si="19">(AN7-SUM(AN9:AN12,AN14))/AN8</f>
        <v>7.9443127336983217</v>
      </c>
      <c r="AO16" s="95">
        <f t="shared" ca="1" si="18"/>
        <v>7.9114860301866292</v>
      </c>
      <c r="AP16" s="71"/>
    </row>
    <row r="17" spans="2:42" ht="15" customHeight="1" x14ac:dyDescent="0.35">
      <c r="B17" s="68"/>
      <c r="C17" s="97" t="s">
        <v>225</v>
      </c>
      <c r="D17" s="98"/>
      <c r="E17" s="98"/>
      <c r="F17" s="99">
        <f t="shared" ref="F17:AO17" ca="1" si="20">F15/F7</f>
        <v>0.11334482758620695</v>
      </c>
      <c r="G17" s="100">
        <v>8.7206966521268081E-2</v>
      </c>
      <c r="H17" s="100">
        <f t="shared" ref="H17:I17" ca="1" si="21">H15/H7</f>
        <v>0.10573562367926588</v>
      </c>
      <c r="I17" s="100">
        <f t="shared" ca="1" si="21"/>
        <v>0.11195414574301688</v>
      </c>
      <c r="J17" s="100">
        <f t="shared" ca="1" si="20"/>
        <v>0.10389167237483925</v>
      </c>
      <c r="K17" s="100">
        <f t="shared" ca="1" si="20"/>
        <v>0.10951346666490798</v>
      </c>
      <c r="L17" s="100">
        <f t="shared" ca="1" si="20"/>
        <v>0.10961524717134695</v>
      </c>
      <c r="M17" s="100">
        <f t="shared" ca="1" si="20"/>
        <v>0.10971282491525707</v>
      </c>
      <c r="N17" s="100">
        <f t="shared" ca="1" si="20"/>
        <v>0.10980565096223717</v>
      </c>
      <c r="O17" s="100">
        <f t="shared" ca="1" si="20"/>
        <v>0.10989261021776994</v>
      </c>
      <c r="P17" s="100">
        <f t="shared" ca="1" si="20"/>
        <v>0.10997594877109909</v>
      </c>
      <c r="Q17" s="100">
        <f t="shared" ca="1" si="20"/>
        <v>0.11005465906855302</v>
      </c>
      <c r="R17" s="100">
        <f t="shared" ca="1" si="20"/>
        <v>0.11012791078594024</v>
      </c>
      <c r="S17" s="100">
        <f t="shared" ca="1" si="20"/>
        <v>0.11019917166720711</v>
      </c>
      <c r="T17" s="100">
        <f t="shared" ca="1" si="20"/>
        <v>0.1102676569711976</v>
      </c>
      <c r="U17" s="100">
        <f t="shared" ca="1" si="20"/>
        <v>0.1103333930433969</v>
      </c>
      <c r="V17" s="100">
        <f t="shared" ca="1" si="20"/>
        <v>0.11039772078446888</v>
      </c>
      <c r="W17" s="100">
        <f t="shared" ca="1" si="20"/>
        <v>0.11045795469814443</v>
      </c>
      <c r="X17" s="100">
        <f t="shared" ca="1" si="20"/>
        <v>0.11051553858260579</v>
      </c>
      <c r="Y17" s="100">
        <f t="shared" ca="1" si="20"/>
        <v>0.11057168912617453</v>
      </c>
      <c r="Z17" s="100">
        <f t="shared" ca="1" si="20"/>
        <v>0.1106252742616108</v>
      </c>
      <c r="AA17" s="100">
        <f t="shared" ca="1" si="20"/>
        <v>0.11067544247746171</v>
      </c>
      <c r="AB17" s="100">
        <f t="shared" ca="1" si="20"/>
        <v>0.11072428071821958</v>
      </c>
      <c r="AC17" s="100">
        <f t="shared" ca="1" si="20"/>
        <v>0.11077108416180421</v>
      </c>
      <c r="AD17" s="100">
        <f t="shared" ca="1" si="20"/>
        <v>0.11081566629981711</v>
      </c>
      <c r="AE17" s="100">
        <f t="shared" ca="1" si="20"/>
        <v>0.11085857599419038</v>
      </c>
      <c r="AF17" s="100">
        <f t="shared" ca="1" si="20"/>
        <v>0.11089931170096506</v>
      </c>
      <c r="AG17" s="100">
        <f t="shared" ca="1" si="20"/>
        <v>0.11093829812593931</v>
      </c>
      <c r="AH17" s="100">
        <f t="shared" ca="1" si="20"/>
        <v>0.11097569527105483</v>
      </c>
      <c r="AI17" s="100">
        <f t="shared" ca="1" si="20"/>
        <v>0.11101128643831069</v>
      </c>
      <c r="AJ17" s="100">
        <f t="shared" ca="1" si="20"/>
        <v>0.11104535464285269</v>
      </c>
      <c r="AK17" s="100">
        <f t="shared" ca="1" si="20"/>
        <v>0.11107797131636821</v>
      </c>
      <c r="AL17" s="100">
        <f t="shared" ca="1" si="20"/>
        <v>0.11111003262382677</v>
      </c>
      <c r="AM17" s="100">
        <f t="shared" ca="1" si="20"/>
        <v>0.11113989689719726</v>
      </c>
      <c r="AN17" s="100">
        <f t="shared" ref="AN17" ca="1" si="22">AN15/AN7</f>
        <v>0.11116826986077485</v>
      </c>
      <c r="AO17" s="101">
        <f t="shared" ca="1" si="20"/>
        <v>0.11119609347527269</v>
      </c>
      <c r="AP17" s="71"/>
    </row>
    <row r="18" spans="2:42" ht="15" customHeight="1" thickBot="1" x14ac:dyDescent="0.4">
      <c r="B18" s="68"/>
      <c r="C18" s="102" t="s">
        <v>149</v>
      </c>
      <c r="D18" s="103"/>
      <c r="E18" s="103"/>
      <c r="F18" s="104">
        <f t="shared" ref="F18:AI18" ca="1" si="23">IF(F15&lt;0,0,F15*Tax_Rate)</f>
        <v>19.667510426657977</v>
      </c>
      <c r="G18" s="105">
        <v>15.689532244185767</v>
      </c>
      <c r="H18" s="105">
        <f t="shared" ref="H18:I18" ca="1" si="24">IF(H15&lt;0,0,H15*Tax_Rate)</f>
        <v>19.657504064616099</v>
      </c>
      <c r="I18" s="105">
        <f t="shared" ca="1" si="24"/>
        <v>21.660369190627428</v>
      </c>
      <c r="J18" s="105">
        <f t="shared" ca="1" si="23"/>
        <v>21.080736205428572</v>
      </c>
      <c r="K18" s="105">
        <f t="shared" ca="1" si="23"/>
        <v>23.203980185994968</v>
      </c>
      <c r="L18" s="105">
        <f t="shared" ca="1" si="23"/>
        <v>24.307760087476566</v>
      </c>
      <c r="M18" s="105">
        <f t="shared" ca="1" si="23"/>
        <v>25.466935550369598</v>
      </c>
      <c r="N18" s="105">
        <f t="shared" ca="1" si="23"/>
        <v>26.669356381498666</v>
      </c>
      <c r="O18" s="105">
        <f t="shared" ca="1" si="23"/>
        <v>27.906745264384103</v>
      </c>
      <c r="P18" s="105">
        <f t="shared" ca="1" si="23"/>
        <v>29.196180849466526</v>
      </c>
      <c r="Q18" s="105">
        <f t="shared" ca="1" si="23"/>
        <v>30.534378604959443</v>
      </c>
      <c r="R18" s="105">
        <f t="shared" ca="1" si="23"/>
        <v>31.892315332836336</v>
      </c>
      <c r="S18" s="105">
        <f t="shared" ca="1" si="23"/>
        <v>33.326507468638574</v>
      </c>
      <c r="T18" s="105">
        <f t="shared" ca="1" si="23"/>
        <v>34.827402234915212</v>
      </c>
      <c r="U18" s="105">
        <f t="shared" ca="1" si="23"/>
        <v>36.404561603660596</v>
      </c>
      <c r="V18" s="105">
        <f t="shared" ca="1" si="23"/>
        <v>38.087531480745398</v>
      </c>
      <c r="W18" s="105">
        <f t="shared" ca="1" si="23"/>
        <v>39.811641916088007</v>
      </c>
      <c r="X18" s="105">
        <f t="shared" ca="1" si="23"/>
        <v>41.610336348678373</v>
      </c>
      <c r="Y18" s="105">
        <f t="shared" ca="1" si="23"/>
        <v>43.529120571931436</v>
      </c>
      <c r="Z18" s="105">
        <f t="shared" ca="1" si="23"/>
        <v>45.513150630078847</v>
      </c>
      <c r="AA18" s="105">
        <f t="shared" ca="1" si="23"/>
        <v>47.560188942210843</v>
      </c>
      <c r="AB18" s="105">
        <f t="shared" ca="1" si="23"/>
        <v>49.723438159523049</v>
      </c>
      <c r="AC18" s="105">
        <f t="shared" ca="1" si="23"/>
        <v>51.982078806079933</v>
      </c>
      <c r="AD18" s="105">
        <f t="shared" ca="1" si="23"/>
        <v>54.346979471564538</v>
      </c>
      <c r="AE18" s="105">
        <f t="shared" ca="1" si="23"/>
        <v>56.810055429364482</v>
      </c>
      <c r="AF18" s="105">
        <f t="shared" ca="1" si="23"/>
        <v>59.386450156970696</v>
      </c>
      <c r="AG18" s="105">
        <f t="shared" ca="1" si="23"/>
        <v>62.063612088841772</v>
      </c>
      <c r="AH18" s="105">
        <f t="shared" ca="1" si="23"/>
        <v>64.874051593067392</v>
      </c>
      <c r="AI18" s="105">
        <f t="shared" ca="1" si="23"/>
        <v>67.817170204735532</v>
      </c>
      <c r="AJ18" s="105">
        <f t="shared" ref="AJ18:AO18" ca="1" si="25">IF(AJ15&lt;0,0,AJ15*Tax_Rate)</f>
        <v>70.874886959375246</v>
      </c>
      <c r="AK18" s="105">
        <f t="shared" ca="1" si="25"/>
        <v>74.066866308100899</v>
      </c>
      <c r="AL18" s="105">
        <f t="shared" ref="AL18" ca="1" si="26">IF(AL15&lt;0,0,AL15*Tax_Rate)</f>
        <v>77.451645055058023</v>
      </c>
      <c r="AM18" s="105">
        <f t="shared" ref="AM18:AN18" ca="1" si="27">IF(AM15&lt;0,0,AM15*Tax_Rate)</f>
        <v>80.931658928243991</v>
      </c>
      <c r="AN18" s="105">
        <f t="shared" ca="1" si="27"/>
        <v>84.575791163043206</v>
      </c>
      <c r="AO18" s="106">
        <f t="shared" ca="1" si="25"/>
        <v>88.399468237949023</v>
      </c>
      <c r="AP18" s="71"/>
    </row>
    <row r="19" spans="2:42" ht="15" customHeight="1" thickTop="1" x14ac:dyDescent="0.35">
      <c r="B19" s="68"/>
      <c r="C19" s="107" t="s">
        <v>36</v>
      </c>
      <c r="D19" s="75"/>
      <c r="E19" s="75"/>
      <c r="F19" s="108">
        <f ca="1">F15-F18</f>
        <v>52.111724707130257</v>
      </c>
      <c r="G19" s="109">
        <v>41.571534340433814</v>
      </c>
      <c r="H19" s="109">
        <f t="shared" ref="H19:I19" ca="1" si="28">H15-H18</f>
        <v>52.085211499676227</v>
      </c>
      <c r="I19" s="109">
        <f t="shared" ca="1" si="28"/>
        <v>57.392073110932522</v>
      </c>
      <c r="J19" s="109">
        <f t="shared" ref="J19:AI19" ca="1" si="29">J15-J18</f>
        <v>55.856257245040659</v>
      </c>
      <c r="K19" s="109">
        <f t="shared" ca="1" si="29"/>
        <v>61.482078886979366</v>
      </c>
      <c r="L19" s="109">
        <f t="shared" ca="1" si="29"/>
        <v>64.406692786525497</v>
      </c>
      <c r="M19" s="109">
        <f t="shared" ca="1" si="29"/>
        <v>67.478084706453743</v>
      </c>
      <c r="N19" s="109">
        <f t="shared" ca="1" si="29"/>
        <v>70.664061069226392</v>
      </c>
      <c r="O19" s="109">
        <f t="shared" ca="1" si="29"/>
        <v>73.942690007090718</v>
      </c>
      <c r="P19" s="109">
        <f t="shared" ca="1" si="29"/>
        <v>77.359223710630275</v>
      </c>
      <c r="Q19" s="109">
        <f t="shared" ca="1" si="29"/>
        <v>80.904959369345079</v>
      </c>
      <c r="R19" s="109">
        <f t="shared" ca="1" si="29"/>
        <v>84.50299610087292</v>
      </c>
      <c r="S19" s="109">
        <f t="shared" ca="1" si="29"/>
        <v>88.30308183296205</v>
      </c>
      <c r="T19" s="109">
        <f t="shared" ca="1" si="29"/>
        <v>92.279905191782632</v>
      </c>
      <c r="U19" s="109">
        <f t="shared" ca="1" si="29"/>
        <v>96.458801913348879</v>
      </c>
      <c r="V19" s="109">
        <f t="shared" ca="1" si="29"/>
        <v>100.91805786504072</v>
      </c>
      <c r="W19" s="109">
        <f t="shared" ca="1" si="29"/>
        <v>105.48632128131348</v>
      </c>
      <c r="X19" s="109">
        <f t="shared" ca="1" si="29"/>
        <v>110.25220506985582</v>
      </c>
      <c r="Y19" s="109">
        <f t="shared" ca="1" si="29"/>
        <v>115.33628297526357</v>
      </c>
      <c r="Z19" s="109">
        <f t="shared" ca="1" si="29"/>
        <v>120.59323853079283</v>
      </c>
      <c r="AA19" s="109">
        <f t="shared" ca="1" si="29"/>
        <v>126.01714296366812</v>
      </c>
      <c r="AB19" s="109">
        <f t="shared" ca="1" si="29"/>
        <v>131.74896388253185</v>
      </c>
      <c r="AC19" s="109">
        <f t="shared" ca="1" si="29"/>
        <v>137.73353727450376</v>
      </c>
      <c r="AD19" s="109">
        <f t="shared" ca="1" si="29"/>
        <v>143.99966093560531</v>
      </c>
      <c r="AE19" s="109">
        <f t="shared" ca="1" si="29"/>
        <v>150.52591329094383</v>
      </c>
      <c r="AF19" s="109">
        <f t="shared" ca="1" si="29"/>
        <v>157.35241902905375</v>
      </c>
      <c r="AG19" s="109">
        <f t="shared" ca="1" si="29"/>
        <v>164.44592108211359</v>
      </c>
      <c r="AH19" s="109">
        <f t="shared" ca="1" si="29"/>
        <v>171.89256006046321</v>
      </c>
      <c r="AI19" s="109">
        <f t="shared" ca="1" si="29"/>
        <v>179.69075025050364</v>
      </c>
      <c r="AJ19" s="109">
        <f t="shared" ref="AJ19:AO19" ca="1" si="30">AJ15-AJ18</f>
        <v>187.79258369527889</v>
      </c>
      <c r="AK19" s="109">
        <f t="shared" ca="1" si="30"/>
        <v>196.25016401343521</v>
      </c>
      <c r="AL19" s="109">
        <f t="shared" ref="AL19" ca="1" si="31">AL15-AL18</f>
        <v>205.21859237216103</v>
      </c>
      <c r="AM19" s="109">
        <f t="shared" ref="AM19:AN19" ca="1" si="32">AM15-AM18</f>
        <v>214.43935905804793</v>
      </c>
      <c r="AN19" s="109">
        <f t="shared" ca="1" si="32"/>
        <v>224.09497950499764</v>
      </c>
      <c r="AO19" s="110">
        <f t="shared" ca="1" si="30"/>
        <v>234.22632825091603</v>
      </c>
      <c r="AP19" s="71"/>
    </row>
    <row r="20" spans="2:42" s="7" customFormat="1" ht="15" customHeight="1" x14ac:dyDescent="0.35">
      <c r="B20" s="68"/>
      <c r="C20" s="69"/>
      <c r="D20" s="69"/>
      <c r="E20" s="69"/>
      <c r="F20" s="111"/>
      <c r="G20" s="111"/>
      <c r="H20" s="560"/>
      <c r="I20" s="111"/>
      <c r="J20" s="111"/>
      <c r="K20" s="111"/>
      <c r="L20" s="111"/>
      <c r="M20" s="111"/>
      <c r="N20" s="562"/>
      <c r="O20" s="562"/>
      <c r="P20" s="56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71"/>
    </row>
    <row r="21" spans="2:42" s="7" customFormat="1" ht="15" customHeight="1" x14ac:dyDescent="0.35">
      <c r="B21" s="73"/>
      <c r="C21" s="69"/>
      <c r="D21" s="69"/>
      <c r="E21" s="69"/>
      <c r="F21" s="112"/>
      <c r="G21" s="111"/>
      <c r="H21" s="112"/>
      <c r="I21" s="112"/>
      <c r="J21" s="112"/>
      <c r="K21" s="112"/>
      <c r="L21" s="112"/>
      <c r="M21" s="112"/>
      <c r="N21" s="112"/>
      <c r="O21" s="112"/>
      <c r="P21" s="112"/>
      <c r="Q21" s="112"/>
      <c r="R21" s="112"/>
      <c r="S21" s="112"/>
      <c r="T21" s="112"/>
      <c r="U21" s="112"/>
      <c r="V21" s="112"/>
      <c r="W21" s="112"/>
      <c r="X21" s="112"/>
      <c r="Y21" s="112"/>
      <c r="Z21" s="112"/>
      <c r="AA21" s="112"/>
      <c r="AB21" s="112"/>
      <c r="AC21" s="112"/>
      <c r="AD21" s="112"/>
      <c r="AE21" s="112"/>
      <c r="AF21" s="112"/>
      <c r="AG21" s="112"/>
      <c r="AH21" s="112"/>
      <c r="AI21" s="112"/>
      <c r="AJ21" s="112"/>
      <c r="AK21" s="112"/>
      <c r="AL21" s="112"/>
      <c r="AM21" s="112"/>
      <c r="AN21" s="112"/>
      <c r="AO21" s="112"/>
      <c r="AP21" s="71"/>
    </row>
    <row r="22" spans="2:42" ht="15" customHeight="1" x14ac:dyDescent="0.35">
      <c r="B22" s="68"/>
      <c r="C22" s="113" t="s">
        <v>275</v>
      </c>
      <c r="D22" s="114"/>
      <c r="E22" s="69"/>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71"/>
    </row>
    <row r="23" spans="2:42" ht="15" customHeight="1" x14ac:dyDescent="0.35">
      <c r="B23" s="73"/>
      <c r="C23" s="75" t="s">
        <v>37</v>
      </c>
      <c r="D23" s="75"/>
      <c r="E23" s="75"/>
      <c r="F23" s="77">
        <f ca="1">F19</f>
        <v>52.111724707130257</v>
      </c>
      <c r="G23" s="78">
        <v>41.571534340433814</v>
      </c>
      <c r="H23" s="78">
        <f t="shared" ref="H23:AI23" ca="1" si="33">H19</f>
        <v>52.085211499676227</v>
      </c>
      <c r="I23" s="78">
        <f t="shared" ca="1" si="33"/>
        <v>57.392073110932522</v>
      </c>
      <c r="J23" s="78">
        <f t="shared" ca="1" si="33"/>
        <v>55.856257245040659</v>
      </c>
      <c r="K23" s="78">
        <f t="shared" ca="1" si="33"/>
        <v>61.482078886979366</v>
      </c>
      <c r="L23" s="78">
        <f t="shared" ca="1" si="33"/>
        <v>64.406692786525497</v>
      </c>
      <c r="M23" s="78">
        <f t="shared" ca="1" si="33"/>
        <v>67.478084706453743</v>
      </c>
      <c r="N23" s="78">
        <f t="shared" ca="1" si="33"/>
        <v>70.664061069226392</v>
      </c>
      <c r="O23" s="78">
        <f t="shared" ca="1" si="33"/>
        <v>73.942690007090718</v>
      </c>
      <c r="P23" s="78">
        <f t="shared" ca="1" si="33"/>
        <v>77.359223710630275</v>
      </c>
      <c r="Q23" s="78">
        <f t="shared" ca="1" si="33"/>
        <v>80.904959369345079</v>
      </c>
      <c r="R23" s="78">
        <f t="shared" ca="1" si="33"/>
        <v>84.50299610087292</v>
      </c>
      <c r="S23" s="78">
        <f t="shared" ca="1" si="33"/>
        <v>88.30308183296205</v>
      </c>
      <c r="T23" s="78">
        <f t="shared" ca="1" si="33"/>
        <v>92.279905191782632</v>
      </c>
      <c r="U23" s="78">
        <f t="shared" ca="1" si="33"/>
        <v>96.458801913348879</v>
      </c>
      <c r="V23" s="78">
        <f t="shared" ca="1" si="33"/>
        <v>100.91805786504072</v>
      </c>
      <c r="W23" s="78">
        <f t="shared" ca="1" si="33"/>
        <v>105.48632128131348</v>
      </c>
      <c r="X23" s="78">
        <f t="shared" ca="1" si="33"/>
        <v>110.25220506985582</v>
      </c>
      <c r="Y23" s="78">
        <f t="shared" ca="1" si="33"/>
        <v>115.33628297526357</v>
      </c>
      <c r="Z23" s="78">
        <f t="shared" ca="1" si="33"/>
        <v>120.59323853079283</v>
      </c>
      <c r="AA23" s="78">
        <f t="shared" ca="1" si="33"/>
        <v>126.01714296366812</v>
      </c>
      <c r="AB23" s="78">
        <f t="shared" ca="1" si="33"/>
        <v>131.74896388253185</v>
      </c>
      <c r="AC23" s="78">
        <f t="shared" ca="1" si="33"/>
        <v>137.73353727450376</v>
      </c>
      <c r="AD23" s="78">
        <f t="shared" ca="1" si="33"/>
        <v>143.99966093560531</v>
      </c>
      <c r="AE23" s="78">
        <f t="shared" ca="1" si="33"/>
        <v>150.52591329094383</v>
      </c>
      <c r="AF23" s="78">
        <f t="shared" ca="1" si="33"/>
        <v>157.35241902905375</v>
      </c>
      <c r="AG23" s="78">
        <f t="shared" ca="1" si="33"/>
        <v>164.44592108211359</v>
      </c>
      <c r="AH23" s="78">
        <f t="shared" ca="1" si="33"/>
        <v>171.89256006046321</v>
      </c>
      <c r="AI23" s="78">
        <f t="shared" ca="1" si="33"/>
        <v>179.69075025050364</v>
      </c>
      <c r="AJ23" s="78">
        <f t="shared" ref="AJ23:AO23" ca="1" si="34">AJ19</f>
        <v>187.79258369527889</v>
      </c>
      <c r="AK23" s="78">
        <f t="shared" ca="1" si="34"/>
        <v>196.25016401343521</v>
      </c>
      <c r="AL23" s="78">
        <f t="shared" ref="AL23" ca="1" si="35">AL19</f>
        <v>205.21859237216103</v>
      </c>
      <c r="AM23" s="78">
        <f t="shared" ref="AM23:AN23" ca="1" si="36">AM19</f>
        <v>214.43935905804793</v>
      </c>
      <c r="AN23" s="78">
        <f t="shared" ca="1" si="36"/>
        <v>224.09497950499764</v>
      </c>
      <c r="AO23" s="79">
        <f t="shared" ca="1" si="34"/>
        <v>234.22632825091603</v>
      </c>
      <c r="AP23" s="71"/>
    </row>
    <row r="24" spans="2:42" ht="15" customHeight="1" x14ac:dyDescent="0.35">
      <c r="B24" s="73"/>
      <c r="C24" s="83" t="s">
        <v>146</v>
      </c>
      <c r="D24" s="75"/>
      <c r="E24" s="75"/>
      <c r="F24" s="85">
        <f t="shared" ref="F24:AO24" ca="1" si="37">F7*Depreciation</f>
        <v>22.164868774199885</v>
      </c>
      <c r="G24" s="86">
        <v>22.981390253643504</v>
      </c>
      <c r="H24" s="86">
        <f t="shared" ref="H24" si="38">H7*Depreciation</f>
        <v>23.747862426829592</v>
      </c>
      <c r="I24" s="86">
        <f t="shared" ca="1" si="37"/>
        <v>24.714006454979177</v>
      </c>
      <c r="J24" s="86">
        <f t="shared" ca="1" si="37"/>
        <v>25.919255212784229</v>
      </c>
      <c r="K24" s="86">
        <f t="shared" ca="1" si="37"/>
        <v>27.065274781442717</v>
      </c>
      <c r="L24" s="86">
        <f t="shared" ca="1" si="37"/>
        <v>28.32640468106074</v>
      </c>
      <c r="M24" s="86">
        <f t="shared" ca="1" si="37"/>
        <v>29.650824427331216</v>
      </c>
      <c r="N24" s="86">
        <f t="shared" ca="1" si="37"/>
        <v>31.024538181071858</v>
      </c>
      <c r="O24" s="86">
        <f t="shared" ca="1" si="37"/>
        <v>32.438307065757478</v>
      </c>
      <c r="P24" s="86">
        <f t="shared" ca="1" si="37"/>
        <v>33.911407005596658</v>
      </c>
      <c r="Q24" s="86">
        <f t="shared" ca="1" si="37"/>
        <v>35.440360836256048</v>
      </c>
      <c r="R24" s="86">
        <f t="shared" ca="1" si="37"/>
        <v>36.991856751902723</v>
      </c>
      <c r="S24" s="86">
        <f t="shared" ca="1" si="37"/>
        <v>38.630377716557952</v>
      </c>
      <c r="T24" s="86">
        <f t="shared" ca="1" si="37"/>
        <v>40.345064746378526</v>
      </c>
      <c r="U24" s="86">
        <f t="shared" ca="1" si="37"/>
        <v>42.146965617800632</v>
      </c>
      <c r="V24" s="86">
        <f t="shared" ca="1" si="37"/>
        <v>44.069710792317068</v>
      </c>
      <c r="W24" s="86">
        <f t="shared" ca="1" si="37"/>
        <v>46.039497343639319</v>
      </c>
      <c r="X24" s="86">
        <f t="shared" ca="1" si="37"/>
        <v>48.094494383482676</v>
      </c>
      <c r="Y24" s="86">
        <f t="shared" ca="1" si="37"/>
        <v>50.286734046424137</v>
      </c>
      <c r="Z24" s="86">
        <f t="shared" ca="1" si="37"/>
        <v>52.553303568604022</v>
      </c>
      <c r="AA24" s="86">
        <f t="shared" ca="1" si="37"/>
        <v>54.892092416463015</v>
      </c>
      <c r="AB24" s="86">
        <f t="shared" ca="1" si="37"/>
        <v>57.36351620685474</v>
      </c>
      <c r="AC24" s="86">
        <f t="shared" ca="1" si="37"/>
        <v>59.943861821567623</v>
      </c>
      <c r="AD24" s="86">
        <f t="shared" ca="1" si="37"/>
        <v>62.645767029624423</v>
      </c>
      <c r="AE24" s="86">
        <f t="shared" ca="1" si="37"/>
        <v>65.459607794268308</v>
      </c>
      <c r="AF24" s="86">
        <f t="shared" ca="1" si="37"/>
        <v>68.403133483513244</v>
      </c>
      <c r="AG24" s="86">
        <f t="shared" ca="1" si="37"/>
        <v>71.461648456005776</v>
      </c>
      <c r="AH24" s="86">
        <f t="shared" ca="1" si="37"/>
        <v>74.672489211563246</v>
      </c>
      <c r="AI24" s="86">
        <f t="shared" ca="1" si="37"/>
        <v>78.035103401376247</v>
      </c>
      <c r="AJ24" s="86">
        <f t="shared" ca="1" si="37"/>
        <v>81.528502493693523</v>
      </c>
      <c r="AK24" s="86">
        <f t="shared" ca="1" si="37"/>
        <v>85.175268769601644</v>
      </c>
      <c r="AL24" s="86">
        <f t="shared" ca="1" si="37"/>
        <v>89.041989065450821</v>
      </c>
      <c r="AM24" s="86">
        <f t="shared" ca="1" si="37"/>
        <v>93.017772358406091</v>
      </c>
      <c r="AN24" s="86">
        <f t="shared" ref="AN24" ca="1" si="39">AN7*Depreciation</f>
        <v>97.181299906092917</v>
      </c>
      <c r="AO24" s="87">
        <f t="shared" ca="1" si="37"/>
        <v>101.54945667782225</v>
      </c>
      <c r="AP24" s="71"/>
    </row>
    <row r="25" spans="2:42" ht="15" customHeight="1" x14ac:dyDescent="0.35">
      <c r="B25" s="73"/>
      <c r="C25" s="83" t="s">
        <v>210</v>
      </c>
      <c r="D25" s="75"/>
      <c r="E25" s="75"/>
      <c r="F25" s="85">
        <f>F14</f>
        <v>0</v>
      </c>
      <c r="G25" s="86">
        <v>0</v>
      </c>
      <c r="H25" s="86">
        <f t="shared" ref="H25" si="40">H14</f>
        <v>2.7256509855476447</v>
      </c>
      <c r="I25" s="86">
        <f t="shared" ref="I25:AO25" ca="1" si="41">I14</f>
        <v>0</v>
      </c>
      <c r="J25" s="86">
        <f t="shared" ca="1" si="41"/>
        <v>4.0884764783214669</v>
      </c>
      <c r="K25" s="86">
        <f t="shared" ca="1" si="41"/>
        <v>0</v>
      </c>
      <c r="L25" s="86">
        <f t="shared" ca="1" si="41"/>
        <v>0</v>
      </c>
      <c r="M25" s="86">
        <f t="shared" ca="1" si="41"/>
        <v>0</v>
      </c>
      <c r="N25" s="86">
        <f t="shared" ca="1" si="41"/>
        <v>0</v>
      </c>
      <c r="O25" s="86">
        <f t="shared" ca="1" si="41"/>
        <v>0</v>
      </c>
      <c r="P25" s="86">
        <f t="shared" ca="1" si="41"/>
        <v>0</v>
      </c>
      <c r="Q25" s="86">
        <f t="shared" ca="1" si="41"/>
        <v>0</v>
      </c>
      <c r="R25" s="86">
        <f t="shared" ca="1" si="41"/>
        <v>0</v>
      </c>
      <c r="S25" s="86">
        <f t="shared" ca="1" si="41"/>
        <v>0</v>
      </c>
      <c r="T25" s="86">
        <f t="shared" ca="1" si="41"/>
        <v>0</v>
      </c>
      <c r="U25" s="86">
        <f t="shared" ca="1" si="41"/>
        <v>0</v>
      </c>
      <c r="V25" s="86">
        <f t="shared" ca="1" si="41"/>
        <v>0</v>
      </c>
      <c r="W25" s="86">
        <f t="shared" ca="1" si="41"/>
        <v>0</v>
      </c>
      <c r="X25" s="86">
        <f t="shared" ca="1" si="41"/>
        <v>0</v>
      </c>
      <c r="Y25" s="86">
        <f t="shared" ca="1" si="41"/>
        <v>0</v>
      </c>
      <c r="Z25" s="86">
        <f t="shared" ca="1" si="41"/>
        <v>0</v>
      </c>
      <c r="AA25" s="86">
        <f t="shared" ca="1" si="41"/>
        <v>0</v>
      </c>
      <c r="AB25" s="86">
        <f t="shared" ca="1" si="41"/>
        <v>0</v>
      </c>
      <c r="AC25" s="86">
        <f t="shared" ca="1" si="41"/>
        <v>0</v>
      </c>
      <c r="AD25" s="86">
        <f t="shared" ca="1" si="41"/>
        <v>0</v>
      </c>
      <c r="AE25" s="86">
        <f t="shared" ca="1" si="41"/>
        <v>0</v>
      </c>
      <c r="AF25" s="86">
        <f t="shared" ca="1" si="41"/>
        <v>0</v>
      </c>
      <c r="AG25" s="86">
        <f t="shared" ca="1" si="41"/>
        <v>0</v>
      </c>
      <c r="AH25" s="86">
        <f t="shared" ca="1" si="41"/>
        <v>0</v>
      </c>
      <c r="AI25" s="86">
        <f t="shared" ca="1" si="41"/>
        <v>0</v>
      </c>
      <c r="AJ25" s="86">
        <f t="shared" ca="1" si="41"/>
        <v>0</v>
      </c>
      <c r="AK25" s="86">
        <f t="shared" ca="1" si="41"/>
        <v>0</v>
      </c>
      <c r="AL25" s="86">
        <f t="shared" ca="1" si="41"/>
        <v>0</v>
      </c>
      <c r="AM25" s="86">
        <f t="shared" ca="1" si="41"/>
        <v>0</v>
      </c>
      <c r="AN25" s="86">
        <f t="shared" ref="AN25" ca="1" si="42">AN14</f>
        <v>0</v>
      </c>
      <c r="AO25" s="87">
        <f t="shared" ca="1" si="41"/>
        <v>0</v>
      </c>
      <c r="AP25" s="71"/>
    </row>
    <row r="26" spans="2:42" ht="15" customHeight="1" x14ac:dyDescent="0.35">
      <c r="B26" s="73"/>
      <c r="C26" s="88" t="s">
        <v>209</v>
      </c>
      <c r="D26" s="115"/>
      <c r="E26" s="115"/>
      <c r="F26" s="90">
        <f t="shared" ref="F26:AO26" si="43">IF(F$6&lt;Reference_Year,0,WorkingCapital*(INDEX(Revenue_Standards,0,MATCH(F$6,Dates,0))-INDEX(Revenue_Standards,0,MATCH(F$6-1,Dates,0))))</f>
        <v>0</v>
      </c>
      <c r="G26" s="91">
        <v>3.8726447310754448</v>
      </c>
      <c r="H26" s="91">
        <f t="shared" ca="1" si="43"/>
        <v>3.6352680213968798</v>
      </c>
      <c r="I26" s="91">
        <f t="shared" ca="1" si="43"/>
        <v>4.5822831049380266</v>
      </c>
      <c r="J26" s="91">
        <f t="shared" ca="1" si="43"/>
        <v>5.7163226798753852</v>
      </c>
      <c r="K26" s="91">
        <f t="shared" ca="1" si="43"/>
        <v>5.4354070970659807</v>
      </c>
      <c r="L26" s="91">
        <f t="shared" ca="1" si="43"/>
        <v>5.9813589524740536</v>
      </c>
      <c r="M26" s="91">
        <f t="shared" ca="1" si="43"/>
        <v>6.2815336537399702</v>
      </c>
      <c r="N26" s="91">
        <f t="shared" ca="1" si="43"/>
        <v>6.5153280891699001</v>
      </c>
      <c r="O26" s="91">
        <f t="shared" ca="1" si="43"/>
        <v>6.7053038530803484</v>
      </c>
      <c r="P26" s="91">
        <f t="shared" ca="1" si="43"/>
        <v>6.9867025718086877</v>
      </c>
      <c r="Q26" s="91">
        <f t="shared" ca="1" si="43"/>
        <v>7.2516095968417043</v>
      </c>
      <c r="R26" s="91">
        <f t="shared" ca="1" si="43"/>
        <v>7.3585234856385107</v>
      </c>
      <c r="S26" s="91">
        <f t="shared" ca="1" si="43"/>
        <v>7.7712708609362346</v>
      </c>
      <c r="T26" s="91">
        <f t="shared" ca="1" si="43"/>
        <v>8.1325156271489973</v>
      </c>
      <c r="U26" s="91">
        <f t="shared" ca="1" si="43"/>
        <v>8.5461584187448238</v>
      </c>
      <c r="V26" s="91">
        <f t="shared" ca="1" si="43"/>
        <v>9.1193056848493903</v>
      </c>
      <c r="W26" s="91">
        <f t="shared" ca="1" si="43"/>
        <v>9.3424162148426699</v>
      </c>
      <c r="X26" s="91">
        <f t="shared" ca="1" si="43"/>
        <v>9.7465573889713575</v>
      </c>
      <c r="Y26" s="91">
        <f t="shared" ca="1" si="43"/>
        <v>10.397479544236631</v>
      </c>
      <c r="Z26" s="91">
        <f t="shared" ca="1" si="43"/>
        <v>10.750015448053198</v>
      </c>
      <c r="AA26" s="91">
        <f t="shared" ca="1" si="43"/>
        <v>11.092541392702644</v>
      </c>
      <c r="AB26" s="91">
        <f t="shared" ca="1" si="43"/>
        <v>11.721609977286462</v>
      </c>
      <c r="AC26" s="91">
        <f t="shared" ca="1" si="43"/>
        <v>12.238210629781085</v>
      </c>
      <c r="AD26" s="91">
        <f t="shared" ca="1" si="43"/>
        <v>12.81475041535513</v>
      </c>
      <c r="AE26" s="91">
        <f t="shared" ca="1" si="43"/>
        <v>13.345644769453882</v>
      </c>
      <c r="AF26" s="91">
        <f t="shared" ca="1" si="43"/>
        <v>13.960721840418826</v>
      </c>
      <c r="AG26" s="91">
        <f t="shared" ca="1" si="43"/>
        <v>14.506099583821667</v>
      </c>
      <c r="AH26" s="91">
        <f t="shared" ca="1" si="43"/>
        <v>15.228559012072603</v>
      </c>
      <c r="AI26" s="91">
        <f t="shared" ca="1" si="43"/>
        <v>15.948398728827407</v>
      </c>
      <c r="AJ26" s="91">
        <f t="shared" ca="1" si="43"/>
        <v>16.568692837847593</v>
      </c>
      <c r="AK26" s="91">
        <f t="shared" ca="1" si="43"/>
        <v>17.29609148002141</v>
      </c>
      <c r="AL26" s="91">
        <f t="shared" ca="1" si="43"/>
        <v>18.339301974598968</v>
      </c>
      <c r="AM26" s="91">
        <f t="shared" ca="1" si="43"/>
        <v>18.856572189444954</v>
      </c>
      <c r="AN26" s="91">
        <f t="shared" ca="1" si="43"/>
        <v>19.747016369028948</v>
      </c>
      <c r="AO26" s="92">
        <f t="shared" ca="1" si="43"/>
        <v>20.717543545916261</v>
      </c>
      <c r="AP26" s="71"/>
    </row>
    <row r="27" spans="2:42" ht="15" customHeight="1" x14ac:dyDescent="0.35">
      <c r="B27" s="68"/>
      <c r="C27" s="75" t="s">
        <v>14</v>
      </c>
      <c r="D27" s="116"/>
      <c r="E27" s="116"/>
      <c r="F27" s="85">
        <f ca="1">F23+F24+F25-F26</f>
        <v>74.276593481330139</v>
      </c>
      <c r="G27" s="86">
        <v>60.680279863001878</v>
      </c>
      <c r="H27" s="86">
        <f t="shared" ref="H27" ca="1" si="44">H23+H24+H25-H26</f>
        <v>74.923456890656581</v>
      </c>
      <c r="I27" s="86">
        <f t="shared" ref="I27:AO27" ca="1" si="45">I23+I24+I25-I26</f>
        <v>77.523796460973671</v>
      </c>
      <c r="J27" s="86">
        <f t="shared" ca="1" si="45"/>
        <v>80.147666256270966</v>
      </c>
      <c r="K27" s="86">
        <f t="shared" ca="1" si="45"/>
        <v>83.111946571356114</v>
      </c>
      <c r="L27" s="86">
        <f t="shared" ca="1" si="45"/>
        <v>86.75173851511218</v>
      </c>
      <c r="M27" s="86">
        <f t="shared" ca="1" si="45"/>
        <v>90.847375480044988</v>
      </c>
      <c r="N27" s="86">
        <f t="shared" ca="1" si="45"/>
        <v>95.173271161128355</v>
      </c>
      <c r="O27" s="86">
        <f t="shared" ca="1" si="45"/>
        <v>99.675693219767851</v>
      </c>
      <c r="P27" s="86">
        <f t="shared" ca="1" si="45"/>
        <v>104.28392814441824</v>
      </c>
      <c r="Q27" s="86">
        <f t="shared" ca="1" si="45"/>
        <v>109.09371060875942</v>
      </c>
      <c r="R27" s="86">
        <f t="shared" ca="1" si="45"/>
        <v>114.13632936713712</v>
      </c>
      <c r="S27" s="86">
        <f t="shared" ca="1" si="45"/>
        <v>119.16218868858375</v>
      </c>
      <c r="T27" s="86">
        <f t="shared" ca="1" si="45"/>
        <v>124.49245431101215</v>
      </c>
      <c r="U27" s="86">
        <f t="shared" ca="1" si="45"/>
        <v>130.0596091124047</v>
      </c>
      <c r="V27" s="86">
        <f t="shared" ca="1" si="45"/>
        <v>135.86846297250838</v>
      </c>
      <c r="W27" s="86">
        <f t="shared" ca="1" si="45"/>
        <v>142.18340241011012</v>
      </c>
      <c r="X27" s="86">
        <f t="shared" ca="1" si="45"/>
        <v>148.60014206436713</v>
      </c>
      <c r="Y27" s="86">
        <f t="shared" ca="1" si="45"/>
        <v>155.22553747745107</v>
      </c>
      <c r="Z27" s="86">
        <f t="shared" ca="1" si="45"/>
        <v>162.39652665134366</v>
      </c>
      <c r="AA27" s="86">
        <f t="shared" ca="1" si="45"/>
        <v>169.81669398742847</v>
      </c>
      <c r="AB27" s="86">
        <f t="shared" ca="1" si="45"/>
        <v>177.39087011210012</v>
      </c>
      <c r="AC27" s="86">
        <f t="shared" ca="1" si="45"/>
        <v>185.43918846629029</v>
      </c>
      <c r="AD27" s="86">
        <f t="shared" ca="1" si="45"/>
        <v>193.83067754987459</v>
      </c>
      <c r="AE27" s="86">
        <f t="shared" ca="1" si="45"/>
        <v>202.63987631575827</v>
      </c>
      <c r="AF27" s="86">
        <f t="shared" ca="1" si="45"/>
        <v>211.79483067214818</v>
      </c>
      <c r="AG27" s="86">
        <f t="shared" ca="1" si="45"/>
        <v>221.40146995429768</v>
      </c>
      <c r="AH27" s="86">
        <f t="shared" ca="1" si="45"/>
        <v>231.33649025995385</v>
      </c>
      <c r="AI27" s="86">
        <f t="shared" ca="1" si="45"/>
        <v>241.77745492305249</v>
      </c>
      <c r="AJ27" s="86">
        <f t="shared" ca="1" si="45"/>
        <v>252.75239335112479</v>
      </c>
      <c r="AK27" s="86">
        <f t="shared" ca="1" si="45"/>
        <v>264.12934130301545</v>
      </c>
      <c r="AL27" s="86">
        <f t="shared" ca="1" si="45"/>
        <v>275.92127946301287</v>
      </c>
      <c r="AM27" s="86">
        <f t="shared" ca="1" si="45"/>
        <v>288.60055922700906</v>
      </c>
      <c r="AN27" s="86">
        <f t="shared" ref="AN27" ca="1" si="46">AN23+AN24+AN25-AN26</f>
        <v>301.52926304206164</v>
      </c>
      <c r="AO27" s="87">
        <f t="shared" ca="1" si="45"/>
        <v>315.05824138282202</v>
      </c>
      <c r="AP27" s="71"/>
    </row>
    <row r="28" spans="2:42" ht="15" customHeight="1" x14ac:dyDescent="0.35">
      <c r="B28" s="73"/>
      <c r="C28" s="83" t="s">
        <v>150</v>
      </c>
      <c r="D28" s="84"/>
      <c r="E28" s="84"/>
      <c r="F28" s="85">
        <f t="shared" ref="F28:AO28" ca="1" si="47">Capex*(F7)</f>
        <v>25.331278599085582</v>
      </c>
      <c r="G28" s="86">
        <v>26.264446004164</v>
      </c>
      <c r="H28" s="86">
        <f t="shared" ref="H28" si="48">Capex*(H7)</f>
        <v>27.140414202090962</v>
      </c>
      <c r="I28" s="86">
        <f t="shared" ca="1" si="47"/>
        <v>28.244578805690484</v>
      </c>
      <c r="J28" s="86">
        <f t="shared" ca="1" si="47"/>
        <v>29.622005957467685</v>
      </c>
      <c r="K28" s="86">
        <f t="shared" ca="1" si="47"/>
        <v>30.931742607363105</v>
      </c>
      <c r="L28" s="86">
        <f t="shared" ca="1" si="47"/>
        <v>32.373033921212276</v>
      </c>
      <c r="M28" s="86">
        <f t="shared" ca="1" si="47"/>
        <v>33.886656488378534</v>
      </c>
      <c r="N28" s="86">
        <f t="shared" ca="1" si="47"/>
        <v>35.456615064082122</v>
      </c>
      <c r="O28" s="86">
        <f t="shared" ca="1" si="47"/>
        <v>37.072350932294256</v>
      </c>
      <c r="P28" s="86">
        <f t="shared" ca="1" si="47"/>
        <v>38.75589372068189</v>
      </c>
      <c r="Q28" s="86">
        <f t="shared" ca="1" si="47"/>
        <v>40.503269527149769</v>
      </c>
      <c r="R28" s="86">
        <f t="shared" ca="1" si="47"/>
        <v>42.276407716460255</v>
      </c>
      <c r="S28" s="86">
        <f t="shared" ca="1" si="47"/>
        <v>44.149003104637657</v>
      </c>
      <c r="T28" s="86">
        <f t="shared" ca="1" si="47"/>
        <v>46.108645424432602</v>
      </c>
      <c r="U28" s="86">
        <f t="shared" ca="1" si="47"/>
        <v>48.167960706057855</v>
      </c>
      <c r="V28" s="86">
        <f t="shared" ca="1" si="47"/>
        <v>50.365383762648072</v>
      </c>
      <c r="W28" s="86">
        <f t="shared" ca="1" si="47"/>
        <v>52.616568392730642</v>
      </c>
      <c r="X28" s="86">
        <f t="shared" ca="1" si="47"/>
        <v>54.965136438265908</v>
      </c>
      <c r="Y28" s="86">
        <f t="shared" ca="1" si="47"/>
        <v>57.47055319591329</v>
      </c>
      <c r="Z28" s="86">
        <f t="shared" ca="1" si="47"/>
        <v>60.060918364118884</v>
      </c>
      <c r="AA28" s="86">
        <f t="shared" ca="1" si="47"/>
        <v>62.733819904529156</v>
      </c>
      <c r="AB28" s="86">
        <f t="shared" ca="1" si="47"/>
        <v>65.558304236405405</v>
      </c>
      <c r="AC28" s="86">
        <f t="shared" ca="1" si="47"/>
        <v>68.507270653220132</v>
      </c>
      <c r="AD28" s="86">
        <f t="shared" ca="1" si="47"/>
        <v>71.595162319570761</v>
      </c>
      <c r="AE28" s="86">
        <f t="shared" ca="1" si="47"/>
        <v>74.810980336306642</v>
      </c>
      <c r="AF28" s="86">
        <f t="shared" ca="1" si="47"/>
        <v>78.175009695443705</v>
      </c>
      <c r="AG28" s="86">
        <f t="shared" ca="1" si="47"/>
        <v>81.670455378292303</v>
      </c>
      <c r="AH28" s="86">
        <f t="shared" ca="1" si="47"/>
        <v>85.339987670357985</v>
      </c>
      <c r="AI28" s="86">
        <f t="shared" ca="1" si="47"/>
        <v>89.18297531585857</v>
      </c>
      <c r="AJ28" s="86">
        <f t="shared" ca="1" si="47"/>
        <v>93.17543142136401</v>
      </c>
      <c r="AK28" s="86">
        <f t="shared" ca="1" si="47"/>
        <v>97.343164308116158</v>
      </c>
      <c r="AL28" s="86">
        <f t="shared" ca="1" si="47"/>
        <v>101.76227321765808</v>
      </c>
      <c r="AM28" s="86">
        <f t="shared" ca="1" si="47"/>
        <v>106.30602555246409</v>
      </c>
      <c r="AN28" s="86">
        <f t="shared" ref="AN28" ca="1" si="49">Capex*(AN7)</f>
        <v>111.06434274982047</v>
      </c>
      <c r="AO28" s="87">
        <f t="shared" ca="1" si="47"/>
        <v>116.05652191751113</v>
      </c>
      <c r="AP28" s="71"/>
    </row>
    <row r="29" spans="2:42" ht="15" customHeight="1" thickBot="1" x14ac:dyDescent="0.4">
      <c r="B29" s="73"/>
      <c r="C29" s="117" t="s">
        <v>151</v>
      </c>
      <c r="D29" s="103"/>
      <c r="E29" s="103"/>
      <c r="F29" s="104">
        <f ca="1">IF(F6&lt;=Standard_Year,INDEX(CapitalConversionCost_Table,1,MATCH(F6,'Conversion Cost Timing'!$E$34:$M$34,0)),0)</f>
        <v>0</v>
      </c>
      <c r="G29" s="105">
        <v>13.628254927738222</v>
      </c>
      <c r="H29" s="105">
        <f ca="1">IF(H6&lt;=Standard_Year,INDEX(CapitalConversionCost_Table,1,MATCH(H6,'Conversion Cost Timing'!$E$34:$M$34,0)),0)</f>
        <v>7.1548338370625659</v>
      </c>
      <c r="I29" s="105">
        <f ca="1">IF(I6&lt;=Standard_Year,INDEX(CapitalConversionCost_Table,1,MATCH(I6,'Conversion Cost Timing'!$E$34:$M$34,0)),0)</f>
        <v>9.1990720762232989</v>
      </c>
      <c r="J29" s="105">
        <f ca="1">IF(J6&lt;=Standard_Year,INDEX(CapitalConversionCost_Table,1,MATCH(J6,'Conversion Cost Timing'!$E$34:$M$34,0)),0)</f>
        <v>0</v>
      </c>
      <c r="K29" s="105">
        <f ca="1">IF(K6&lt;=Standard_Year,INDEX(CapitalConversionCost_Table,1,MATCH(K6,'Conversion Cost Timing'!$E$34:$M$34,0)),0)</f>
        <v>0</v>
      </c>
      <c r="L29" s="105">
        <f ca="1">IF(L6&lt;=Standard_Year,INDEX(CapitalConversionCost_Table,1,MATCH(L6,'Conversion Cost Timing'!$E$34:$M$34,0)),0)</f>
        <v>0</v>
      </c>
      <c r="M29" s="105">
        <f ca="1">IF(M6&lt;=Standard_Year,INDEX(CapitalConversionCost_Table,1,MATCH(M6,'Conversion Cost Timing'!$E$34:$M$34,0)),0)</f>
        <v>0</v>
      </c>
      <c r="N29" s="105">
        <f ca="1">IF(N6&lt;=Standard_Year,INDEX(CapitalConversionCost_Table,1,MATCH(N6,'Conversion Cost Timing'!$E$34:$M$34,0)),0)</f>
        <v>0</v>
      </c>
      <c r="O29" s="105">
        <f ca="1">IF(O6&lt;=Standard_Year,INDEX(CapitalConversionCost_Table,1,MATCH(O6,'Conversion Cost Timing'!$E$34:$M$34,0)),0)</f>
        <v>0</v>
      </c>
      <c r="P29" s="105">
        <f ca="1">IF(P6&lt;=Standard_Year,INDEX(CapitalConversionCost_Table,1,MATCH(P6,'Conversion Cost Timing'!$E$34:$M$34,0)),0)</f>
        <v>0</v>
      </c>
      <c r="Q29" s="105">
        <f ca="1">IF(Q6&lt;=Standard_Year,INDEX(CapitalConversionCost_Table,1,MATCH(Q6,'Conversion Cost Timing'!$E$34:$M$34,0)),0)</f>
        <v>0</v>
      </c>
      <c r="R29" s="105">
        <f ca="1">IF(R6&lt;=Standard_Year,INDEX(CapitalConversionCost_Table,1,MATCH(R6,'Conversion Cost Timing'!$E$34:$M$34,0)),0)</f>
        <v>0</v>
      </c>
      <c r="S29" s="105">
        <f ca="1">IF(S6&lt;=Standard_Year,INDEX(CapitalConversionCost_Table,1,MATCH(S6,'Conversion Cost Timing'!$E$34:$M$34,0)),0)</f>
        <v>0</v>
      </c>
      <c r="T29" s="105">
        <f ca="1">IF(T6&lt;=Standard_Year,INDEX(CapitalConversionCost_Table,1,MATCH(T6,'Conversion Cost Timing'!$E$34:$M$34,0)),0)</f>
        <v>0</v>
      </c>
      <c r="U29" s="105">
        <f ca="1">IF(U6&lt;=Standard_Year,INDEX(CapitalConversionCost_Table,1,MATCH(U6,'Conversion Cost Timing'!$E$34:$M$34,0)),0)</f>
        <v>0</v>
      </c>
      <c r="V29" s="105">
        <f ca="1">IF(V6&lt;=Standard_Year,INDEX(CapitalConversionCost_Table,1,MATCH(V6,'Conversion Cost Timing'!$E$34:$M$34,0)),0)</f>
        <v>0</v>
      </c>
      <c r="W29" s="105">
        <f ca="1">IF(W6&lt;=Standard_Year,INDEX(CapitalConversionCost_Table,1,MATCH(W6,'Conversion Cost Timing'!$E$34:$M$34,0)),0)</f>
        <v>0</v>
      </c>
      <c r="X29" s="105">
        <f ca="1">IF(X6&lt;=Standard_Year,INDEX(CapitalConversionCost_Table,1,MATCH(X6,'Conversion Cost Timing'!$E$34:$M$34,0)),0)</f>
        <v>0</v>
      </c>
      <c r="Y29" s="105">
        <f ca="1">IF(Y6&lt;=Standard_Year,INDEX(CapitalConversionCost_Table,1,MATCH(Y6,'Conversion Cost Timing'!$E$34:$M$34,0)),0)</f>
        <v>0</v>
      </c>
      <c r="Z29" s="105">
        <f ca="1">IF(Z6&lt;=Standard_Year,INDEX(CapitalConversionCost_Table,1,MATCH(Z6,'Conversion Cost Timing'!$E$34:$M$34,0)),0)</f>
        <v>0</v>
      </c>
      <c r="AA29" s="105">
        <f ca="1">IF(AA6&lt;=Standard_Year,INDEX(CapitalConversionCost_Table,1,MATCH(AA6,'Conversion Cost Timing'!$E$34:$M$34,0)),0)</f>
        <v>0</v>
      </c>
      <c r="AB29" s="105">
        <f ca="1">IF(AB6&lt;=Standard_Year,INDEX(CapitalConversionCost_Table,1,MATCH(AB6,'Conversion Cost Timing'!$E$34:$M$34,0)),0)</f>
        <v>0</v>
      </c>
      <c r="AC29" s="105">
        <f ca="1">IF(AC6&lt;=Standard_Year,INDEX(CapitalConversionCost_Table,1,MATCH(AC6,'Conversion Cost Timing'!$E$34:$M$34,0)),0)</f>
        <v>0</v>
      </c>
      <c r="AD29" s="105">
        <f ca="1">IF(AD6&lt;=Standard_Year,INDEX(CapitalConversionCost_Table,1,MATCH(AD6,'Conversion Cost Timing'!$E$34:$M$34,0)),0)</f>
        <v>0</v>
      </c>
      <c r="AE29" s="105">
        <f ca="1">IF(AE6&lt;=Standard_Year,INDEX(CapitalConversionCost_Table,1,MATCH(AE6,'Conversion Cost Timing'!$E$34:$M$34,0)),0)</f>
        <v>0</v>
      </c>
      <c r="AF29" s="105">
        <f ca="1">IF(AF6&lt;=Standard_Year,INDEX(CapitalConversionCost_Table,1,MATCH(AF6,'Conversion Cost Timing'!$E$34:$M$34,0)),0)</f>
        <v>0</v>
      </c>
      <c r="AG29" s="105">
        <f ca="1">IF(AG6&lt;=Standard_Year,INDEX(CapitalConversionCost_Table,1,MATCH(AG6,'Conversion Cost Timing'!$E$34:$M$34,0)),0)</f>
        <v>0</v>
      </c>
      <c r="AH29" s="105">
        <f ca="1">IF(AH6&lt;=Standard_Year,INDEX(CapitalConversionCost_Table,1,MATCH(AH6,'Conversion Cost Timing'!$E$34:$M$34,0)),0)</f>
        <v>0</v>
      </c>
      <c r="AI29" s="105">
        <f ca="1">IF(AI6&lt;=Standard_Year,INDEX(CapitalConversionCost_Table,1,MATCH(AI6,'Conversion Cost Timing'!$E$34:$M$34,0)),0)</f>
        <v>0</v>
      </c>
      <c r="AJ29" s="105">
        <f ca="1">IF(AJ6&lt;=Standard_Year,INDEX(CapitalConversionCost_Table,1,MATCH(AJ6,'Conversion Cost Timing'!$E$34:$M$34,0)),0)</f>
        <v>0</v>
      </c>
      <c r="AK29" s="105">
        <f ca="1">IF(AK6&lt;=Standard_Year,INDEX(CapitalConversionCost_Table,1,MATCH(AK6,'Conversion Cost Timing'!$E$34:$M$34,0)),0)</f>
        <v>0</v>
      </c>
      <c r="AL29" s="105">
        <f ca="1">IF(AL6&lt;=Standard_Year,INDEX(CapitalConversionCost_Table,1,MATCH(AL6,'Conversion Cost Timing'!$E$34:$M$34,0)),0)</f>
        <v>0</v>
      </c>
      <c r="AM29" s="105">
        <f ca="1">IF(AM6&lt;=Standard_Year,INDEX(CapitalConversionCost_Table,1,MATCH(AM6,'Conversion Cost Timing'!$E$34:$M$34,0)),0)</f>
        <v>0</v>
      </c>
      <c r="AN29" s="105">
        <f ca="1">IF(AN6&lt;=Standard_Year,INDEX(CapitalConversionCost_Table,1,MATCH(AN6,'Conversion Cost Timing'!$E$34:$M$34,0)),0)</f>
        <v>0</v>
      </c>
      <c r="AO29" s="106">
        <f ca="1">IF(AO6&lt;=Standard_Year,INDEX(CapitalConversionCost_Table,1,MATCH(AO6,'Conversion Cost Timing'!$E$34:$M$34,0)),0)</f>
        <v>0</v>
      </c>
      <c r="AP29" s="71"/>
    </row>
    <row r="30" spans="2:42" ht="15" customHeight="1" thickTop="1" x14ac:dyDescent="0.35">
      <c r="B30" s="68"/>
      <c r="C30" s="107" t="s">
        <v>35</v>
      </c>
      <c r="D30" s="75"/>
      <c r="E30" s="75"/>
      <c r="F30" s="108">
        <f ca="1">F27-SUM(F28:F29)</f>
        <v>48.94531488224456</v>
      </c>
      <c r="G30" s="109">
        <v>20.787578931099652</v>
      </c>
      <c r="H30" s="109">
        <f t="shared" ref="H30" ca="1" si="50">H27-SUM(H28:H29)</f>
        <v>40.628208851503054</v>
      </c>
      <c r="I30" s="109">
        <f t="shared" ref="I30:AI30" ca="1" si="51">I27-SUM(I28:I29)</f>
        <v>40.080145579059888</v>
      </c>
      <c r="J30" s="109">
        <f t="shared" ca="1" si="51"/>
        <v>50.525660298803281</v>
      </c>
      <c r="K30" s="109">
        <f t="shared" ca="1" si="51"/>
        <v>52.180203963993009</v>
      </c>
      <c r="L30" s="109">
        <f t="shared" ca="1" si="51"/>
        <v>54.378704593899904</v>
      </c>
      <c r="M30" s="109">
        <f t="shared" ca="1" si="51"/>
        <v>56.960718991666454</v>
      </c>
      <c r="N30" s="109">
        <f ca="1">N27-SUM(N28:N29)</f>
        <v>59.716656097046233</v>
      </c>
      <c r="O30" s="109">
        <f t="shared" ca="1" si="51"/>
        <v>62.603342287473595</v>
      </c>
      <c r="P30" s="109">
        <f t="shared" ca="1" si="51"/>
        <v>65.528034423736358</v>
      </c>
      <c r="Q30" s="109">
        <f t="shared" ca="1" si="51"/>
        <v>68.590441081609654</v>
      </c>
      <c r="R30" s="109">
        <f t="shared" ca="1" si="51"/>
        <v>71.859921650676867</v>
      </c>
      <c r="S30" s="109">
        <f t="shared" ca="1" si="51"/>
        <v>75.013185583946097</v>
      </c>
      <c r="T30" s="109">
        <f t="shared" ca="1" si="51"/>
        <v>78.383808886579544</v>
      </c>
      <c r="U30" s="109">
        <f t="shared" ca="1" si="51"/>
        <v>81.891648406346846</v>
      </c>
      <c r="V30" s="109">
        <f t="shared" ca="1" si="51"/>
        <v>85.503079209860317</v>
      </c>
      <c r="W30" s="109">
        <f t="shared" ca="1" si="51"/>
        <v>89.566834017379477</v>
      </c>
      <c r="X30" s="109">
        <f t="shared" ca="1" si="51"/>
        <v>93.635005626101218</v>
      </c>
      <c r="Y30" s="109">
        <f t="shared" ca="1" si="51"/>
        <v>97.754984281537787</v>
      </c>
      <c r="Z30" s="109">
        <f t="shared" ca="1" si="51"/>
        <v>102.33560828722477</v>
      </c>
      <c r="AA30" s="109">
        <f t="shared" ca="1" si="51"/>
        <v>107.08287408289931</v>
      </c>
      <c r="AB30" s="109">
        <f t="shared" ca="1" si="51"/>
        <v>111.83256587569471</v>
      </c>
      <c r="AC30" s="109">
        <f t="shared" ca="1" si="51"/>
        <v>116.93191781307016</v>
      </c>
      <c r="AD30" s="109">
        <f t="shared" ca="1" si="51"/>
        <v>122.23551523030383</v>
      </c>
      <c r="AE30" s="109">
        <f t="shared" ca="1" si="51"/>
        <v>127.82889597945163</v>
      </c>
      <c r="AF30" s="109">
        <f t="shared" ca="1" si="51"/>
        <v>133.61982097670449</v>
      </c>
      <c r="AG30" s="109">
        <f t="shared" ca="1" si="51"/>
        <v>139.73101457600538</v>
      </c>
      <c r="AH30" s="109">
        <f t="shared" ca="1" si="51"/>
        <v>145.99650258959588</v>
      </c>
      <c r="AI30" s="109">
        <f t="shared" ca="1" si="51"/>
        <v>152.59447960719393</v>
      </c>
      <c r="AJ30" s="109">
        <f t="shared" ref="AJ30:AO30" ca="1" si="52">AJ27-SUM(AJ28:AJ29)</f>
        <v>159.57696192976078</v>
      </c>
      <c r="AK30" s="109">
        <f t="shared" ca="1" si="52"/>
        <v>166.78617699489928</v>
      </c>
      <c r="AL30" s="109">
        <f t="shared" ref="AL30" ca="1" si="53">AL27-SUM(AL28:AL29)</f>
        <v>174.15900624535479</v>
      </c>
      <c r="AM30" s="109">
        <f t="shared" ref="AM30:AN30" ca="1" si="54">AM27-SUM(AM28:AM29)</f>
        <v>182.29453367454497</v>
      </c>
      <c r="AN30" s="109">
        <f t="shared" ca="1" si="54"/>
        <v>190.46492029224117</v>
      </c>
      <c r="AO30" s="110">
        <f t="shared" ca="1" si="52"/>
        <v>199.00171946531088</v>
      </c>
      <c r="AP30" s="71"/>
    </row>
    <row r="31" spans="2:42" s="7" customFormat="1" ht="15" customHeight="1" x14ac:dyDescent="0.35">
      <c r="B31" s="68"/>
      <c r="C31" s="69"/>
      <c r="D31" s="69"/>
      <c r="E31" s="69"/>
      <c r="F31" s="111"/>
      <c r="G31" s="111"/>
      <c r="H31" s="111"/>
      <c r="I31" s="111"/>
      <c r="J31" s="111"/>
      <c r="K31" s="111"/>
      <c r="L31" s="111"/>
      <c r="M31" s="111"/>
      <c r="N31" s="111"/>
      <c r="O31" s="111"/>
      <c r="P31" s="111"/>
      <c r="Q31" s="111"/>
      <c r="R31" s="111"/>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1"/>
      <c r="AP31" s="71"/>
    </row>
    <row r="32" spans="2:42" s="7" customFormat="1" ht="15" customHeight="1" x14ac:dyDescent="0.35">
      <c r="B32" s="68"/>
      <c r="C32" s="69"/>
      <c r="D32" s="69"/>
      <c r="E32" s="69"/>
      <c r="F32" s="111"/>
      <c r="G32" s="111"/>
      <c r="H32" s="111"/>
      <c r="I32" s="111"/>
      <c r="J32" s="111"/>
      <c r="K32" s="111"/>
      <c r="L32" s="111"/>
      <c r="M32" s="111"/>
      <c r="N32" s="111"/>
      <c r="O32" s="111"/>
      <c r="P32" s="111"/>
      <c r="Q32" s="111"/>
      <c r="R32" s="111"/>
      <c r="S32" s="111"/>
      <c r="T32" s="111"/>
      <c r="U32" s="111"/>
      <c r="V32" s="111"/>
      <c r="W32" s="111"/>
      <c r="X32" s="111"/>
      <c r="Y32" s="111"/>
      <c r="Z32" s="111"/>
      <c r="AA32" s="111"/>
      <c r="AB32" s="111"/>
      <c r="AC32" s="111"/>
      <c r="AD32" s="111"/>
      <c r="AE32" s="111"/>
      <c r="AF32" s="111"/>
      <c r="AG32" s="111"/>
      <c r="AH32" s="111"/>
      <c r="AI32" s="111"/>
      <c r="AJ32" s="111"/>
      <c r="AK32" s="111"/>
      <c r="AL32" s="111"/>
      <c r="AM32" s="111"/>
      <c r="AN32" s="111"/>
      <c r="AO32" s="111"/>
      <c r="AP32" s="71"/>
    </row>
    <row r="33" spans="2:42" ht="15" customHeight="1" x14ac:dyDescent="0.35">
      <c r="B33" s="68"/>
      <c r="C33" s="113" t="s">
        <v>276</v>
      </c>
      <c r="D33" s="113"/>
      <c r="E33" s="118"/>
      <c r="F33" s="112"/>
      <c r="G33" s="112"/>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71"/>
    </row>
    <row r="34" spans="2:42" ht="15" customHeight="1" x14ac:dyDescent="0.35">
      <c r="B34" s="68"/>
      <c r="C34" s="75" t="s">
        <v>35</v>
      </c>
      <c r="D34" s="75"/>
      <c r="E34" s="75"/>
      <c r="F34" s="77">
        <f ca="1">F30</f>
        <v>48.94531488224456</v>
      </c>
      <c r="G34" s="78">
        <f t="shared" ref="G34:H34" si="55">G30</f>
        <v>20.787578931099652</v>
      </c>
      <c r="H34" s="78">
        <f t="shared" ca="1" si="55"/>
        <v>40.628208851503054</v>
      </c>
      <c r="I34" s="78">
        <f t="shared" ref="I34:AI34" ca="1" si="56">I30</f>
        <v>40.080145579059888</v>
      </c>
      <c r="J34" s="78">
        <f t="shared" ca="1" si="56"/>
        <v>50.525660298803281</v>
      </c>
      <c r="K34" s="78">
        <f t="shared" ca="1" si="56"/>
        <v>52.180203963993009</v>
      </c>
      <c r="L34" s="78">
        <f t="shared" ca="1" si="56"/>
        <v>54.378704593899904</v>
      </c>
      <c r="M34" s="78">
        <f t="shared" ca="1" si="56"/>
        <v>56.960718991666454</v>
      </c>
      <c r="N34" s="78">
        <f t="shared" ca="1" si="56"/>
        <v>59.716656097046233</v>
      </c>
      <c r="O34" s="78">
        <f t="shared" ca="1" si="56"/>
        <v>62.603342287473595</v>
      </c>
      <c r="P34" s="78">
        <f t="shared" ca="1" si="56"/>
        <v>65.528034423736358</v>
      </c>
      <c r="Q34" s="78">
        <f t="shared" ca="1" si="56"/>
        <v>68.590441081609654</v>
      </c>
      <c r="R34" s="78">
        <f t="shared" ca="1" si="56"/>
        <v>71.859921650676867</v>
      </c>
      <c r="S34" s="78">
        <f t="shared" ca="1" si="56"/>
        <v>75.013185583946097</v>
      </c>
      <c r="T34" s="78">
        <f t="shared" ca="1" si="56"/>
        <v>78.383808886579544</v>
      </c>
      <c r="U34" s="78">
        <f t="shared" ca="1" si="56"/>
        <v>81.891648406346846</v>
      </c>
      <c r="V34" s="78">
        <f t="shared" ca="1" si="56"/>
        <v>85.503079209860317</v>
      </c>
      <c r="W34" s="78">
        <f t="shared" ca="1" si="56"/>
        <v>89.566834017379477</v>
      </c>
      <c r="X34" s="78">
        <f t="shared" ca="1" si="56"/>
        <v>93.635005626101218</v>
      </c>
      <c r="Y34" s="78">
        <f t="shared" ca="1" si="56"/>
        <v>97.754984281537787</v>
      </c>
      <c r="Z34" s="78">
        <f t="shared" ca="1" si="56"/>
        <v>102.33560828722477</v>
      </c>
      <c r="AA34" s="78">
        <f t="shared" ca="1" si="56"/>
        <v>107.08287408289931</v>
      </c>
      <c r="AB34" s="78">
        <f t="shared" ca="1" si="56"/>
        <v>111.83256587569471</v>
      </c>
      <c r="AC34" s="78">
        <f t="shared" ca="1" si="56"/>
        <v>116.93191781307016</v>
      </c>
      <c r="AD34" s="78">
        <f t="shared" ca="1" si="56"/>
        <v>122.23551523030383</v>
      </c>
      <c r="AE34" s="78">
        <f t="shared" ca="1" si="56"/>
        <v>127.82889597945163</v>
      </c>
      <c r="AF34" s="78">
        <f t="shared" ca="1" si="56"/>
        <v>133.61982097670449</v>
      </c>
      <c r="AG34" s="78">
        <f t="shared" ca="1" si="56"/>
        <v>139.73101457600538</v>
      </c>
      <c r="AH34" s="78">
        <f t="shared" ca="1" si="56"/>
        <v>145.99650258959588</v>
      </c>
      <c r="AI34" s="78">
        <f t="shared" ca="1" si="56"/>
        <v>152.59447960719393</v>
      </c>
      <c r="AJ34" s="78">
        <f t="shared" ref="AJ34:AO34" ca="1" si="57">AJ30</f>
        <v>159.57696192976078</v>
      </c>
      <c r="AK34" s="78">
        <f t="shared" ca="1" si="57"/>
        <v>166.78617699489928</v>
      </c>
      <c r="AL34" s="78">
        <f t="shared" ref="AL34" ca="1" si="58">AL30</f>
        <v>174.15900624535479</v>
      </c>
      <c r="AM34" s="78">
        <f t="shared" ref="AM34:AN34" ca="1" si="59">AM30</f>
        <v>182.29453367454497</v>
      </c>
      <c r="AN34" s="78">
        <f t="shared" ca="1" si="59"/>
        <v>190.46492029224117</v>
      </c>
      <c r="AO34" s="79">
        <f t="shared" ca="1" si="57"/>
        <v>199.00171946531088</v>
      </c>
      <c r="AP34" s="71"/>
    </row>
    <row r="35" spans="2:42" ht="15" customHeight="1" x14ac:dyDescent="0.35">
      <c r="B35" s="68"/>
      <c r="C35" s="75" t="s">
        <v>15</v>
      </c>
      <c r="D35" s="75"/>
      <c r="E35" s="75"/>
      <c r="F35" s="85">
        <f t="shared" ref="F35:AO35" si="60">IF(F$6=Terminal_Year,F34*(1+Growth_Rate)/(Discount_Rate-Growth_Rate),0)</f>
        <v>0</v>
      </c>
      <c r="G35" s="86">
        <f t="shared" ref="G35:H35" ca="1" si="61">IF(G$6=Terminal_Year,G34*(1+Growth_Rate)/(Discount_Rate-Growth_Rate),0)</f>
        <v>0</v>
      </c>
      <c r="H35" s="86">
        <f t="shared" ca="1" si="61"/>
        <v>0</v>
      </c>
      <c r="I35" s="86">
        <f t="shared" ca="1" si="60"/>
        <v>0</v>
      </c>
      <c r="J35" s="86">
        <f t="shared" ca="1" si="60"/>
        <v>0</v>
      </c>
      <c r="K35" s="86">
        <f t="shared" ca="1" si="60"/>
        <v>0</v>
      </c>
      <c r="L35" s="86">
        <f t="shared" ca="1" si="60"/>
        <v>0</v>
      </c>
      <c r="M35" s="86">
        <f t="shared" ca="1" si="60"/>
        <v>0</v>
      </c>
      <c r="N35" s="86">
        <f t="shared" ca="1" si="60"/>
        <v>0</v>
      </c>
      <c r="O35" s="86">
        <f t="shared" ca="1" si="60"/>
        <v>0</v>
      </c>
      <c r="P35" s="86">
        <f t="shared" ca="1" si="60"/>
        <v>0</v>
      </c>
      <c r="Q35" s="86">
        <f t="shared" ca="1" si="60"/>
        <v>0</v>
      </c>
      <c r="R35" s="86">
        <f t="shared" ca="1" si="60"/>
        <v>0</v>
      </c>
      <c r="S35" s="86">
        <f t="shared" ca="1" si="60"/>
        <v>0</v>
      </c>
      <c r="T35" s="86">
        <f t="shared" ca="1" si="60"/>
        <v>0</v>
      </c>
      <c r="U35" s="86">
        <f t="shared" ca="1" si="60"/>
        <v>0</v>
      </c>
      <c r="V35" s="86">
        <f t="shared" ca="1" si="60"/>
        <v>0</v>
      </c>
      <c r="W35" s="86">
        <f t="shared" ca="1" si="60"/>
        <v>0</v>
      </c>
      <c r="X35" s="86">
        <f t="shared" ca="1" si="60"/>
        <v>0</v>
      </c>
      <c r="Y35" s="86">
        <f t="shared" ca="1" si="60"/>
        <v>0</v>
      </c>
      <c r="Z35" s="86">
        <f t="shared" ca="1" si="60"/>
        <v>0</v>
      </c>
      <c r="AA35" s="86">
        <f t="shared" ca="1" si="60"/>
        <v>0</v>
      </c>
      <c r="AB35" s="86">
        <f t="shared" ca="1" si="60"/>
        <v>0</v>
      </c>
      <c r="AC35" s="86">
        <f t="shared" ca="1" si="60"/>
        <v>0</v>
      </c>
      <c r="AD35" s="86">
        <f t="shared" ca="1" si="60"/>
        <v>0</v>
      </c>
      <c r="AE35" s="86">
        <f t="shared" ca="1" si="60"/>
        <v>0</v>
      </c>
      <c r="AF35" s="86">
        <f t="shared" ca="1" si="60"/>
        <v>0</v>
      </c>
      <c r="AG35" s="86">
        <f t="shared" ca="1" si="60"/>
        <v>0</v>
      </c>
      <c r="AH35" s="86">
        <f t="shared" ca="1" si="60"/>
        <v>0</v>
      </c>
      <c r="AI35" s="86">
        <f t="shared" ca="1" si="60"/>
        <v>0</v>
      </c>
      <c r="AJ35" s="86">
        <f t="shared" ca="1" si="60"/>
        <v>0</v>
      </c>
      <c r="AK35" s="86">
        <f t="shared" ca="1" si="60"/>
        <v>0</v>
      </c>
      <c r="AL35" s="86">
        <f t="shared" ca="1" si="60"/>
        <v>0</v>
      </c>
      <c r="AM35" s="86">
        <f t="shared" ca="1" si="60"/>
        <v>0</v>
      </c>
      <c r="AN35" s="86">
        <f t="shared" ref="AN35" ca="1" si="62">IF(AN$6=Terminal_Year,AN34*(1+Growth_Rate)/(Discount_Rate-Growth_Rate),0)</f>
        <v>0</v>
      </c>
      <c r="AO35" s="87">
        <f t="shared" ca="1" si="60"/>
        <v>3589.1381546422144</v>
      </c>
      <c r="AP35" s="71"/>
    </row>
    <row r="36" spans="2:42" ht="15" customHeight="1" thickBot="1" x14ac:dyDescent="0.4">
      <c r="B36" s="68"/>
      <c r="C36" s="119" t="s">
        <v>16</v>
      </c>
      <c r="D36" s="75"/>
      <c r="E36" s="75"/>
      <c r="F36" s="120">
        <f>IF(AND(F6&gt;=Reference_Year, F6&lt;=Terminal_Year), (1/(1+Discount_Rate))^('Standards Case DCF'!F$6-Reference_Year), 0)</f>
        <v>0</v>
      </c>
      <c r="G36" s="121">
        <f ca="1">IF(AND(G6&gt;=Reference_Year, G6&lt;=Terminal_Year), (1/(1+Discount_Rate))^('Standards Case DCF'!G$6-Reference_Year), 0)</f>
        <v>1</v>
      </c>
      <c r="H36" s="121">
        <f ca="1">IF(AND(H6&gt;=Reference_Year, H6&lt;=Terminal_Year), (1/(1+Discount_Rate))^('Standards Case DCF'!H$6-Reference_Year), 0)</f>
        <v>0.9380863039399624</v>
      </c>
      <c r="I36" s="121">
        <f ca="1">IF(AND(I6&gt;=Reference_Year, I6&lt;=Terminal_Year), (1/(1+Discount_Rate))^('Standards Case DCF'!I$6-Reference_Year), 0)</f>
        <v>0.88000591363973946</v>
      </c>
      <c r="J36" s="121">
        <f ca="1">IF(AND(J6&gt;=Reference_Year, J6&lt;=Terminal_Year), (1/(1+Discount_Rate))^('Standards Case DCF'!J$6-Reference_Year), 0)</f>
        <v>0.82552149497161298</v>
      </c>
      <c r="K36" s="121">
        <f ca="1">IF(AND(K6&gt;=Reference_Year, K6&lt;=Terminal_Year), (1/(1+Discount_Rate))^('Standards Case DCF'!K$6-Reference_Year), 0)</f>
        <v>0.77441040804091255</v>
      </c>
      <c r="L36" s="121">
        <f ca="1">IF(AND(L6&gt;=Reference_Year, L6&lt;=Terminal_Year), (1/(1+Discount_Rate))^('Standards Case DCF'!L$6-Reference_Year), 0)</f>
        <v>0.72646379741173783</v>
      </c>
      <c r="M36" s="121">
        <f ca="1">IF(AND(M6&gt;=Reference_Year, M6&lt;=Terminal_Year), (1/(1+Discount_Rate))^('Standards Case DCF'!M$6-Reference_Year), 0)</f>
        <v>0.68148573866016671</v>
      </c>
      <c r="N36" s="121">
        <f ca="1">IF(AND(N6&gt;=Reference_Year, N6&lt;=Terminal_Year), (1/(1+Discount_Rate))^('Standards Case DCF'!N$6-Reference_Year), 0)</f>
        <v>0.63929243776751099</v>
      </c>
      <c r="O36" s="121">
        <f ca="1">IF(AND(O6&gt;=Reference_Year, O6&lt;=Terminal_Year), (1/(1+Discount_Rate))^('Standards Case DCF'!O$6-Reference_Year), 0)</f>
        <v>0.59971148008209263</v>
      </c>
      <c r="P36" s="121">
        <f ca="1">IF(AND(P6&gt;=Reference_Year, P6&lt;=Terminal_Year), (1/(1+Discount_Rate))^('Standards Case DCF'!P$6-Reference_Year), 0)</f>
        <v>0.56258112578057462</v>
      </c>
      <c r="Q36" s="121">
        <f ca="1">IF(AND(Q6&gt;=Reference_Year, Q6&lt;=Terminal_Year), (1/(1+Discount_Rate))^('Standards Case DCF'!Q$6-Reference_Year), 0)</f>
        <v>0.5277496489498823</v>
      </c>
      <c r="R36" s="121">
        <f ca="1">IF(AND(R6&gt;=Reference_Year, R6&lt;=Terminal_Year), (1/(1+Discount_Rate))^('Standards Case DCF'!R$6-Reference_Year), 0)</f>
        <v>0.49507471758900778</v>
      </c>
      <c r="S36" s="121">
        <f ca="1">IF(AND(S6&gt;=Reference_Year, S6&lt;=Terminal_Year), (1/(1+Discount_Rate))^('Standards Case DCF'!S$6-Reference_Year), 0)</f>
        <v>0.46442281199719293</v>
      </c>
      <c r="T36" s="121">
        <f ca="1">IF(AND(T6&gt;=Reference_Year, T6&lt;=Terminal_Year), (1/(1+Discount_Rate))^('Standards Case DCF'!T$6-Reference_Year), 0)</f>
        <v>0.43566867917185081</v>
      </c>
      <c r="U36" s="121">
        <f ca="1">IF(AND(U6&gt;=Reference_Year, U6&lt;=Terminal_Year), (1/(1+Discount_Rate))^('Standards Case DCF'!U$6-Reference_Year), 0)</f>
        <v>0.40869482098672677</v>
      </c>
      <c r="V36" s="121">
        <f ca="1">IF(AND(V6&gt;=Reference_Year, V6&lt;=Terminal_Year), (1/(1+Discount_Rate))^('Standards Case DCF'!V$6-Reference_Year), 0)</f>
        <v>0.38339101405884313</v>
      </c>
      <c r="W36" s="121">
        <f ca="1">IF(AND(W6&gt;=Reference_Year, W6&lt;=Terminal_Year), (1/(1+Discount_Rate))^('Standards Case DCF'!W$6-Reference_Year), 0)</f>
        <v>0.35965385934225419</v>
      </c>
      <c r="X36" s="121">
        <f ca="1">IF(AND(X6&gt;=Reference_Year, X6&lt;=Terminal_Year), (1/(1+Discount_Rate))^('Standards Case DCF'!X$6-Reference_Year), 0)</f>
        <v>0.33738635960811836</v>
      </c>
      <c r="Y36" s="121">
        <f ca="1">IF(AND(Y6&gt;=Reference_Year, Y6&lt;=Terminal_Year), (1/(1+Discount_Rate))^('Standards Case DCF'!Y$6-Reference_Year), 0)</f>
        <v>0.31649752308453877</v>
      </c>
      <c r="Z36" s="121">
        <f ca="1">IF(AND(Z6&gt;=Reference_Year, Z6&lt;=Terminal_Year), (1/(1+Discount_Rate))^('Standards Case DCF'!Z$6-Reference_Year), 0)</f>
        <v>0.29690199163652792</v>
      </c>
      <c r="AA36" s="121">
        <f ca="1">IF(AND(AA6&gt;=Reference_Year, AA6&lt;=Terminal_Year), (1/(1+Discount_Rate))^('Standards Case DCF'!AA$6-Reference_Year), 0)</f>
        <v>0.27851969196672405</v>
      </c>
      <c r="AB36" s="121">
        <f ca="1">IF(AND(AB6&gt;=Reference_Year, AB6&lt;=Terminal_Year), (1/(1+Discount_Rate))^('Standards Case DCF'!AB$6-Reference_Year), 0)</f>
        <v>0.261275508411561</v>
      </c>
      <c r="AC36" s="121">
        <f ca="1">IF(AND(AC6&gt;=Reference_Year, AC6&lt;=Terminal_Year), (1/(1+Discount_Rate))^('Standards Case DCF'!AC$6-Reference_Year), 0)</f>
        <v>0.2450989759958358</v>
      </c>
      <c r="AD36" s="121">
        <f ca="1">IF(AND(AD6&gt;=Reference_Year, AD6&lt;=Terminal_Year), (1/(1+Discount_Rate))^('Standards Case DCF'!AD$6-Reference_Year), 0)</f>
        <v>0.22992399249140319</v>
      </c>
      <c r="AE36" s="121">
        <f ca="1">IF(AND(AE6&gt;=Reference_Year, AE6&lt;=Terminal_Year), (1/(1+Discount_Rate))^('Standards Case DCF'!AE$6-Reference_Year), 0)</f>
        <v>0.21568854830338002</v>
      </c>
      <c r="AF36" s="121">
        <f ca="1">IF(AND(AF6&gt;=Reference_Year, AF6&lt;=Terminal_Year), (1/(1+Discount_Rate))^('Standards Case DCF'!AF$6-Reference_Year), 0)</f>
        <v>0.20233447308009381</v>
      </c>
      <c r="AG36" s="121">
        <f ca="1">IF(AND(AG6&gt;=Reference_Year, AG6&lt;=Terminal_Year), (1/(1+Discount_Rate))^('Standards Case DCF'!AG$6-Reference_Year), 0)</f>
        <v>0.18980719801134499</v>
      </c>
      <c r="AH36" s="121">
        <f ca="1">IF(AND(AH6&gt;=Reference_Year, AH6&lt;=Terminal_Year), (1/(1+Discount_Rate))^('Standards Case DCF'!AH$6-Reference_Year), 0)</f>
        <v>0.17805553284366321</v>
      </c>
      <c r="AI36" s="121">
        <f ca="1">IF(AND(AI6&gt;=Reference_Year, AI6&lt;=Terminal_Year), (1/(1+Discount_Rate))^('Standards Case DCF'!AI$6-Reference_Year), 0)</f>
        <v>0.16703145670137259</v>
      </c>
      <c r="AJ36" s="121">
        <f ca="1">IF(AND(AJ6&gt;=Reference_Year, AJ6&lt;=Terminal_Year), (1/(1+Discount_Rate))^('Standards Case DCF'!AJ$6-Reference_Year), 0)</f>
        <v>0.15668992185869851</v>
      </c>
      <c r="AK36" s="121">
        <f ca="1">IF(AND(AK6&gt;=Reference_Year, AK6&lt;=Terminal_Year), (1/(1+Discount_Rate))^('Standards Case DCF'!AK$6-Reference_Year), 0)</f>
        <v>0.14698866966106799</v>
      </c>
      <c r="AL36" s="121">
        <f ca="1">IF(AND(AL6&gt;=Reference_Year, AL6&lt;=Terminal_Year), (1/(1+Discount_Rate))^('Standards Case DCF'!AL$6-Reference_Year), 0)</f>
        <v>0.13788805784340336</v>
      </c>
      <c r="AM36" s="121">
        <f ca="1">IF(AND(AM6&gt;=Reference_Year, AM6&lt;=Terminal_Year), (1/(1+Discount_Rate))^('Standards Case DCF'!AM$6-Reference_Year), 0)</f>
        <v>0.12935089853977796</v>
      </c>
      <c r="AN36" s="121">
        <f ca="1">IF(AND(AN6&gt;=Reference_Year, AN6&lt;=Terminal_Year), (1/(1+Discount_Rate))^('Standards Case DCF'!AN$6-Reference_Year), 0)</f>
        <v>0.12134230632249339</v>
      </c>
      <c r="AO36" s="122">
        <f ca="1">IF(AND(AO6&gt;=Reference_Year, AO6&lt;=Terminal_Year), (1/(1+Discount_Rate))^('Standards Case DCF'!AO$6-Reference_Year), 0)</f>
        <v>0.11382955564961855</v>
      </c>
      <c r="AP36" s="71"/>
    </row>
    <row r="37" spans="2:42" ht="15" customHeight="1" thickTop="1" x14ac:dyDescent="0.35">
      <c r="B37" s="68"/>
      <c r="C37" s="75" t="s">
        <v>17</v>
      </c>
      <c r="D37" s="75"/>
      <c r="E37" s="75"/>
      <c r="F37" s="108">
        <f ca="1">(F34+F35)*F36</f>
        <v>0</v>
      </c>
      <c r="G37" s="109">
        <f t="shared" ref="G37:H37" ca="1" si="63">(G34+G35)*G36</f>
        <v>20.787578931099652</v>
      </c>
      <c r="H37" s="109">
        <f t="shared" ca="1" si="63"/>
        <v>38.112766277207363</v>
      </c>
      <c r="I37" s="109">
        <f t="shared" ref="I37:AO37" ca="1" si="64">(I34+I35)*I36</f>
        <v>35.270765129114359</v>
      </c>
      <c r="J37" s="109">
        <f t="shared" ca="1" si="64"/>
        <v>41.710018624295955</v>
      </c>
      <c r="K37" s="109">
        <f t="shared" ca="1" si="64"/>
        <v>40.408893043413869</v>
      </c>
      <c r="L37" s="109">
        <f t="shared" ca="1" si="64"/>
        <v>39.504160237615636</v>
      </c>
      <c r="M37" s="109">
        <f t="shared" ca="1" si="64"/>
        <v>38.817917656649996</v>
      </c>
      <c r="N37" s="109">
        <f t="shared" ca="1" si="64"/>
        <v>38.176406651604786</v>
      </c>
      <c r="O37" s="109">
        <f t="shared" ca="1" si="64"/>
        <v>37.543943061306649</v>
      </c>
      <c r="P37" s="109">
        <f t="shared" ca="1" si="64"/>
        <v>36.864835376293847</v>
      </c>
      <c r="Q37" s="109">
        <f t="shared" ca="1" si="64"/>
        <v>36.198581202137078</v>
      </c>
      <c r="R37" s="109">
        <f t="shared" ca="1" si="64"/>
        <v>35.576030417177073</v>
      </c>
      <c r="S37" s="109">
        <f t="shared" ca="1" si="64"/>
        <v>34.837834585763538</v>
      </c>
      <c r="T37" s="109">
        <f t="shared" ca="1" si="64"/>
        <v>34.149370486074893</v>
      </c>
      <c r="U37" s="109">
        <f t="shared" ca="1" si="64"/>
        <v>33.468692585739895</v>
      </c>
      <c r="V37" s="109">
        <f t="shared" ca="1" si="64"/>
        <v>32.781112243421937</v>
      </c>
      <c r="W37" s="109">
        <f t="shared" ca="1" si="64"/>
        <v>32.213057523417625</v>
      </c>
      <c r="X37" s="109">
        <f t="shared" ca="1" si="64"/>
        <v>31.591173680075972</v>
      </c>
      <c r="Y37" s="109">
        <f t="shared" ca="1" si="64"/>
        <v>30.939210394274731</v>
      </c>
      <c r="Z37" s="109">
        <f t="shared" ca="1" si="64"/>
        <v>30.383645915812608</v>
      </c>
      <c r="AA37" s="109">
        <f t="shared" ca="1" si="64"/>
        <v>29.824689104480612</v>
      </c>
      <c r="AB37" s="109">
        <f t="shared" ca="1" si="64"/>
        <v>29.219110506141522</v>
      </c>
      <c r="AC37" s="109">
        <f t="shared" ca="1" si="64"/>
        <v>28.659893317212727</v>
      </c>
      <c r="AD37" s="109">
        <f t="shared" ca="1" si="64"/>
        <v>28.104877685995177</v>
      </c>
      <c r="AE37" s="109">
        <f t="shared" ca="1" si="64"/>
        <v>27.571229005031693</v>
      </c>
      <c r="AF37" s="109">
        <f t="shared" ca="1" si="64"/>
        <v>27.035896070377969</v>
      </c>
      <c r="AG37" s="109">
        <f t="shared" ca="1" si="64"/>
        <v>26.521952351953985</v>
      </c>
      <c r="AH37" s="109">
        <f t="shared" ca="1" si="64"/>
        <v>25.99548506190175</v>
      </c>
      <c r="AI37" s="109">
        <f t="shared" ca="1" si="64"/>
        <v>25.488078213377495</v>
      </c>
      <c r="AJ37" s="109">
        <f t="shared" ca="1" si="64"/>
        <v>25.004101695222726</v>
      </c>
      <c r="AK37" s="109">
        <f t="shared" ca="1" si="64"/>
        <v>24.51567827433567</v>
      </c>
      <c r="AL37" s="109">
        <f t="shared" ca="1" si="64"/>
        <v>24.014447127109129</v>
      </c>
      <c r="AM37" s="109">
        <f t="shared" ca="1" si="64"/>
        <v>23.579961729692204</v>
      </c>
      <c r="AN37" s="109">
        <f t="shared" ref="AN37" ca="1" si="65">(AN34+AN35)*AN36</f>
        <v>23.111452701790416</v>
      </c>
      <c r="AO37" s="110">
        <f t="shared" ca="1" si="64"/>
        <v>431.20227860826157</v>
      </c>
      <c r="AP37" s="71"/>
    </row>
    <row r="38" spans="2:42" ht="15" customHeight="1" thickBot="1" x14ac:dyDescent="0.4">
      <c r="B38" s="73"/>
      <c r="C38" s="75"/>
      <c r="D38" s="75"/>
      <c r="E38" s="75"/>
      <c r="F38" s="112"/>
      <c r="G38" s="112"/>
      <c r="H38" s="112"/>
      <c r="I38" s="112"/>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71"/>
    </row>
    <row r="39" spans="2:42" ht="15" customHeight="1" thickBot="1" x14ac:dyDescent="0.4">
      <c r="B39" s="73"/>
      <c r="C39" s="123" t="str">
        <f>"INPV at "&amp;TSL_X</f>
        <v>INPV at TSL 1</v>
      </c>
      <c r="D39" s="124">
        <f ca="1">SUM(F37:AP37)</f>
        <v>1499.1851254753822</v>
      </c>
      <c r="E39" s="75"/>
      <c r="F39" s="112"/>
      <c r="G39" s="112"/>
      <c r="H39" s="112"/>
      <c r="I39" s="112"/>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71"/>
    </row>
    <row r="40" spans="2:42" ht="15" customHeight="1" x14ac:dyDescent="0.35">
      <c r="B40" s="73"/>
      <c r="C40" s="93"/>
      <c r="D40" s="75"/>
      <c r="E40" s="75"/>
      <c r="F40" s="112"/>
      <c r="G40" s="112"/>
      <c r="H40" s="112"/>
      <c r="I40" s="112"/>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71"/>
    </row>
    <row r="41" spans="2:42" ht="15" customHeight="1" x14ac:dyDescent="0.35">
      <c r="B41" s="73"/>
      <c r="C41" s="75"/>
      <c r="D41" s="125"/>
      <c r="E41" s="125"/>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71"/>
    </row>
    <row r="42" spans="2:42" ht="15" customHeight="1" x14ac:dyDescent="0.35">
      <c r="B42" s="68"/>
      <c r="C42" s="75" t="s">
        <v>56</v>
      </c>
      <c r="D42" s="126"/>
      <c r="E42" s="126"/>
      <c r="F42" s="77">
        <f t="shared" ref="F42:AO42" ca="1" si="66">IF(F6&lt;Reference_Year,INDEX(Total_Revenues_Standards,MATCH(F$6,Dates,0))*NetPPE,OFFSET(F42,0,-1)-SUM(F24:F25)+SUM(F28:F29))</f>
        <v>67.127888287576781</v>
      </c>
      <c r="G42" s="78">
        <f t="shared" ca="1" si="66"/>
        <v>84.03919896583551</v>
      </c>
      <c r="H42" s="78">
        <f t="shared" ca="1" si="66"/>
        <v>91.860933592611801</v>
      </c>
      <c r="I42" s="78">
        <f t="shared" ca="1" si="66"/>
        <v>104.5905780195464</v>
      </c>
      <c r="J42" s="78">
        <f t="shared" ca="1" si="66"/>
        <v>104.20485228590837</v>
      </c>
      <c r="K42" s="78">
        <f t="shared" ca="1" si="66"/>
        <v>108.07132011182875</v>
      </c>
      <c r="L42" s="78">
        <f t="shared" ca="1" si="66"/>
        <v>112.11794935198029</v>
      </c>
      <c r="M42" s="78">
        <f t="shared" ca="1" si="66"/>
        <v>116.3537814130276</v>
      </c>
      <c r="N42" s="78">
        <f t="shared" ca="1" si="66"/>
        <v>120.78585829603787</v>
      </c>
      <c r="O42" s="78">
        <f t="shared" ca="1" si="66"/>
        <v>125.41990216257466</v>
      </c>
      <c r="P42" s="78">
        <f t="shared" ca="1" si="66"/>
        <v>130.26438887765988</v>
      </c>
      <c r="Q42" s="78">
        <f t="shared" ca="1" si="66"/>
        <v>135.3272975685536</v>
      </c>
      <c r="R42" s="78">
        <f t="shared" ca="1" si="66"/>
        <v>140.61184853311113</v>
      </c>
      <c r="S42" s="78">
        <f t="shared" ca="1" si="66"/>
        <v>146.13047392119086</v>
      </c>
      <c r="T42" s="78">
        <f t="shared" ca="1" si="66"/>
        <v>151.89405459924492</v>
      </c>
      <c r="U42" s="78">
        <f t="shared" ca="1" si="66"/>
        <v>157.91504968750215</v>
      </c>
      <c r="V42" s="78">
        <f t="shared" ca="1" si="66"/>
        <v>164.21072265783314</v>
      </c>
      <c r="W42" s="78">
        <f t="shared" ca="1" si="66"/>
        <v>170.78779370692448</v>
      </c>
      <c r="X42" s="78">
        <f t="shared" ca="1" si="66"/>
        <v>177.65843576170772</v>
      </c>
      <c r="Y42" s="78">
        <f t="shared" ca="1" si="66"/>
        <v>184.84225491119687</v>
      </c>
      <c r="Z42" s="78">
        <f t="shared" ca="1" si="66"/>
        <v>192.34986970671173</v>
      </c>
      <c r="AA42" s="78">
        <f t="shared" ca="1" si="66"/>
        <v>200.19159719477787</v>
      </c>
      <c r="AB42" s="78">
        <f t="shared" ca="1" si="66"/>
        <v>208.38638522432854</v>
      </c>
      <c r="AC42" s="78">
        <f t="shared" ca="1" si="66"/>
        <v>216.94979405598104</v>
      </c>
      <c r="AD42" s="78">
        <f t="shared" ca="1" si="66"/>
        <v>225.89918934592737</v>
      </c>
      <c r="AE42" s="78">
        <f t="shared" ca="1" si="66"/>
        <v>235.25056188796569</v>
      </c>
      <c r="AF42" s="78">
        <f t="shared" ca="1" si="66"/>
        <v>245.02243809989614</v>
      </c>
      <c r="AG42" s="78">
        <f t="shared" ca="1" si="66"/>
        <v>255.23124502218266</v>
      </c>
      <c r="AH42" s="78">
        <f t="shared" ca="1" si="66"/>
        <v>265.89874348097737</v>
      </c>
      <c r="AI42" s="78">
        <f t="shared" ca="1" si="66"/>
        <v>277.0466153954597</v>
      </c>
      <c r="AJ42" s="78">
        <f t="shared" ca="1" si="66"/>
        <v>288.6935443231302</v>
      </c>
      <c r="AK42" s="78">
        <f t="shared" ca="1" si="66"/>
        <v>300.86143986164473</v>
      </c>
      <c r="AL42" s="78">
        <f t="shared" ca="1" si="66"/>
        <v>313.58172401385195</v>
      </c>
      <c r="AM42" s="78">
        <f t="shared" ca="1" si="66"/>
        <v>326.86997720790998</v>
      </c>
      <c r="AN42" s="78">
        <f t="shared" ref="AN42" ca="1" si="67">IF(AN6&lt;Reference_Year,INDEX(Total_Revenues_Standards,MATCH(AN$6,Dates,0))*NetPPE,OFFSET(AN42,0,-1)-SUM(AN24:AN25)+SUM(AN28:AN29))</f>
        <v>340.75302005163752</v>
      </c>
      <c r="AO42" s="79">
        <f t="shared" ca="1" si="66"/>
        <v>355.26008529132639</v>
      </c>
      <c r="AP42" s="71"/>
    </row>
    <row r="43" spans="2:42" ht="15" customHeight="1" x14ac:dyDescent="0.35">
      <c r="B43" s="68"/>
      <c r="C43" s="75" t="s">
        <v>55</v>
      </c>
      <c r="D43" s="126"/>
      <c r="E43" s="126"/>
      <c r="F43" s="127">
        <f t="shared" ref="F43:AO43" ca="1" si="68">F42/F7</f>
        <v>0.10599999999999998</v>
      </c>
      <c r="G43" s="128">
        <f t="shared" ca="1" si="68"/>
        <v>0.12798929618010876</v>
      </c>
      <c r="H43" s="128">
        <f t="shared" ca="1" si="68"/>
        <v>0.13538619257407594</v>
      </c>
      <c r="I43" s="128">
        <f t="shared" ca="1" si="68"/>
        <v>0.14812127840755671</v>
      </c>
      <c r="J43" s="128">
        <f t="shared" ca="1" si="68"/>
        <v>0.14071275582825735</v>
      </c>
      <c r="K43" s="128">
        <f t="shared" ca="1" si="68"/>
        <v>0.13975458348228084</v>
      </c>
      <c r="L43" s="128">
        <f t="shared" ca="1" si="68"/>
        <v>0.13853252015223144</v>
      </c>
      <c r="M43" s="128">
        <f t="shared" ca="1" si="68"/>
        <v>0.13734465830576265</v>
      </c>
      <c r="N43" s="128">
        <f t="shared" ca="1" si="68"/>
        <v>0.13626327056628151</v>
      </c>
      <c r="O43" s="128">
        <f t="shared" ca="1" si="68"/>
        <v>0.13532446581726718</v>
      </c>
      <c r="P43" s="128">
        <f t="shared" ca="1" si="68"/>
        <v>0.1344460172344264</v>
      </c>
      <c r="Q43" s="128">
        <f t="shared" ca="1" si="68"/>
        <v>0.13364580109054386</v>
      </c>
      <c r="R43" s="128">
        <f t="shared" ca="1" si="68"/>
        <v>0.13304048865851403</v>
      </c>
      <c r="S43" s="128">
        <f t="shared" ca="1" si="68"/>
        <v>0.13239752986027492</v>
      </c>
      <c r="T43" s="128">
        <f t="shared" ca="1" si="68"/>
        <v>0.13177056337357287</v>
      </c>
      <c r="U43" s="128">
        <f t="shared" ca="1" si="68"/>
        <v>0.13113700258241734</v>
      </c>
      <c r="V43" s="128">
        <f t="shared" ca="1" si="68"/>
        <v>0.13041554368507757</v>
      </c>
      <c r="W43" s="128">
        <f t="shared" ca="1" si="68"/>
        <v>0.12983575244372647</v>
      </c>
      <c r="X43" s="128">
        <f t="shared" ca="1" si="68"/>
        <v>0.12928808861322105</v>
      </c>
      <c r="Y43" s="128">
        <f t="shared" ca="1" si="68"/>
        <v>0.12865180140590046</v>
      </c>
      <c r="Z43" s="128">
        <f t="shared" ca="1" si="68"/>
        <v>0.12810318253250277</v>
      </c>
      <c r="AA43" s="128">
        <f t="shared" ca="1" si="68"/>
        <v>0.12764508681246414</v>
      </c>
      <c r="AB43" s="128">
        <f t="shared" ca="1" si="68"/>
        <v>0.12714568361797787</v>
      </c>
      <c r="AC43" s="128">
        <f t="shared" ca="1" si="68"/>
        <v>0.12667256598451773</v>
      </c>
      <c r="AD43" s="128">
        <f t="shared" ca="1" si="68"/>
        <v>0.12620919180969695</v>
      </c>
      <c r="AE43" s="128">
        <f t="shared" ca="1" si="68"/>
        <v>0.12578397493545254</v>
      </c>
      <c r="AF43" s="128">
        <f t="shared" ca="1" si="68"/>
        <v>0.12537123515786494</v>
      </c>
      <c r="AG43" s="128">
        <f t="shared" ca="1" si="68"/>
        <v>0.12500542275170032</v>
      </c>
      <c r="AH43" s="128">
        <f t="shared" ca="1" si="68"/>
        <v>0.1246303172707557</v>
      </c>
      <c r="AI43" s="128">
        <f t="shared" ca="1" si="68"/>
        <v>0.12425986660088256</v>
      </c>
      <c r="AJ43" s="128">
        <f t="shared" ca="1" si="68"/>
        <v>0.1239354795225284</v>
      </c>
      <c r="AK43" s="128">
        <f t="shared" ca="1" si="68"/>
        <v>0.12362920067374875</v>
      </c>
      <c r="AL43" s="128">
        <f t="shared" ca="1" si="68"/>
        <v>0.12326050277714841</v>
      </c>
      <c r="AM43" s="128">
        <f t="shared" ca="1" si="68"/>
        <v>0.12299207895665079</v>
      </c>
      <c r="AN43" s="128">
        <f t="shared" ref="AN43" ca="1" si="69">AN42/AN7</f>
        <v>0.12272274309287744</v>
      </c>
      <c r="AO43" s="129">
        <f t="shared" ca="1" si="68"/>
        <v>0.12244381596885445</v>
      </c>
      <c r="AP43" s="71"/>
    </row>
    <row r="44" spans="2:42" s="7" customFormat="1" ht="15" customHeight="1" x14ac:dyDescent="0.35">
      <c r="B44" s="73"/>
      <c r="C44" s="69"/>
      <c r="D44" s="111"/>
      <c r="E44" s="111"/>
      <c r="F44" s="69"/>
      <c r="G44" s="69"/>
      <c r="H44" s="69"/>
      <c r="I44" s="69"/>
      <c r="J44" s="69"/>
      <c r="K44" s="69"/>
      <c r="L44" s="69"/>
      <c r="M44" s="69"/>
      <c r="N44" s="69"/>
      <c r="O44" s="69"/>
      <c r="P44" s="69"/>
      <c r="Q44" s="69"/>
      <c r="R44" s="69"/>
      <c r="S44" s="69"/>
      <c r="T44" s="69"/>
      <c r="U44" s="69"/>
      <c r="V44" s="69"/>
      <c r="W44" s="69"/>
      <c r="X44" s="69"/>
      <c r="Y44" s="69"/>
      <c r="Z44" s="69"/>
      <c r="AA44" s="69"/>
      <c r="AB44" s="69"/>
      <c r="AC44" s="69"/>
      <c r="AD44" s="69"/>
      <c r="AE44" s="69"/>
      <c r="AF44" s="69"/>
      <c r="AG44" s="69"/>
      <c r="AH44" s="69"/>
      <c r="AI44" s="69"/>
      <c r="AJ44" s="69"/>
      <c r="AK44" s="69"/>
      <c r="AL44" s="69"/>
      <c r="AM44" s="69"/>
      <c r="AN44" s="69"/>
      <c r="AO44" s="69"/>
      <c r="AP44" s="71"/>
    </row>
    <row r="45" spans="2:42" ht="15" customHeight="1" x14ac:dyDescent="0.35">
      <c r="B45" s="68"/>
      <c r="C45" s="75" t="s">
        <v>18</v>
      </c>
      <c r="D45" s="126"/>
      <c r="E45" s="126"/>
      <c r="F45" s="77">
        <f ca="1">WorkingCapital*'Standards Case DCF'!F7</f>
        <v>105.12480618620516</v>
      </c>
      <c r="G45" s="78">
        <f>WorkingCapital*'Standards Case DCF'!G7</f>
        <v>108.99745091728062</v>
      </c>
      <c r="H45" s="78">
        <f>WorkingCapital*'Standards Case DCF'!H7</f>
        <v>112.63271893867748</v>
      </c>
      <c r="I45" s="78">
        <f ca="1">WorkingCapital*'Standards Case DCF'!I7</f>
        <v>117.21500204361551</v>
      </c>
      <c r="J45" s="78">
        <f ca="1">WorkingCapital*'Standards Case DCF'!J7</f>
        <v>122.9313247234909</v>
      </c>
      <c r="K45" s="78">
        <f ca="1">WorkingCapital*'Standards Case DCF'!K7</f>
        <v>128.36673182055688</v>
      </c>
      <c r="L45" s="78">
        <f ca="1">WorkingCapital*'Standards Case DCF'!L7</f>
        <v>134.34809077303095</v>
      </c>
      <c r="M45" s="78">
        <f ca="1">WorkingCapital*'Standards Case DCF'!M7</f>
        <v>140.6296244267709</v>
      </c>
      <c r="N45" s="78">
        <f ca="1">WorkingCapital*'Standards Case DCF'!N7</f>
        <v>147.14495251594082</v>
      </c>
      <c r="O45" s="78">
        <f ca="1">WorkingCapital*'Standards Case DCF'!O7</f>
        <v>153.85025636902117</v>
      </c>
      <c r="P45" s="78">
        <f ca="1">WorkingCapital*'Standards Case DCF'!P7</f>
        <v>160.83695894082985</v>
      </c>
      <c r="Q45" s="78">
        <f ca="1">WorkingCapital*'Standards Case DCF'!Q7</f>
        <v>168.08856853767156</v>
      </c>
      <c r="R45" s="78">
        <f ca="1">WorkingCapital*'Standards Case DCF'!R7</f>
        <v>175.44709202331006</v>
      </c>
      <c r="S45" s="78">
        <f ca="1">WorkingCapital*'Standards Case DCF'!S7</f>
        <v>183.21836288424629</v>
      </c>
      <c r="T45" s="78">
        <f ca="1">WorkingCapital*'Standards Case DCF'!T7</f>
        <v>191.35087851139528</v>
      </c>
      <c r="U45" s="78">
        <f ca="1">WorkingCapital*'Standards Case DCF'!U7</f>
        <v>199.8970369301401</v>
      </c>
      <c r="V45" s="78">
        <f ca="1">WorkingCapital*'Standards Case DCF'!V7</f>
        <v>209.0163426149895</v>
      </c>
      <c r="W45" s="78">
        <f ca="1">WorkingCapital*'Standards Case DCF'!W7</f>
        <v>218.35875882983217</v>
      </c>
      <c r="X45" s="78">
        <f ca="1">WorkingCapital*'Standards Case DCF'!X7</f>
        <v>228.10531621880352</v>
      </c>
      <c r="Y45" s="78">
        <f ca="1">WorkingCapital*'Standards Case DCF'!Y7</f>
        <v>238.50279576304015</v>
      </c>
      <c r="Z45" s="78">
        <f ca="1">WorkingCapital*'Standards Case DCF'!Z7</f>
        <v>249.25281121109336</v>
      </c>
      <c r="AA45" s="78">
        <f ca="1">WorkingCapital*'Standards Case DCF'!AA7</f>
        <v>260.34535260379602</v>
      </c>
      <c r="AB45" s="78">
        <f ca="1">WorkingCapital*'Standards Case DCF'!AB7</f>
        <v>272.06696258108246</v>
      </c>
      <c r="AC45" s="78">
        <f ca="1">WorkingCapital*'Standards Case DCF'!AC7</f>
        <v>284.30517321086353</v>
      </c>
      <c r="AD45" s="78">
        <f ca="1">WorkingCapital*'Standards Case DCF'!AD7</f>
        <v>297.11992362621868</v>
      </c>
      <c r="AE45" s="78">
        <f ca="1">WorkingCapital*'Standards Case DCF'!AE7</f>
        <v>310.46556839567256</v>
      </c>
      <c r="AF45" s="78">
        <f ca="1">WorkingCapital*'Standards Case DCF'!AF7</f>
        <v>324.4262902360914</v>
      </c>
      <c r="AG45" s="78">
        <f ca="1">WorkingCapital*'Standards Case DCF'!AG7</f>
        <v>338.93238981991306</v>
      </c>
      <c r="AH45" s="78">
        <f ca="1">WorkingCapital*'Standards Case DCF'!AH7</f>
        <v>354.16094883198565</v>
      </c>
      <c r="AI45" s="78">
        <f ca="1">WorkingCapital*'Standards Case DCF'!AI7</f>
        <v>370.10934756081309</v>
      </c>
      <c r="AJ45" s="78">
        <f ca="1">WorkingCapital*'Standards Case DCF'!AJ7</f>
        <v>386.67804039866064</v>
      </c>
      <c r="AK45" s="78">
        <f ca="1">WorkingCapital*'Standards Case DCF'!AK7</f>
        <v>403.97413187868204</v>
      </c>
      <c r="AL45" s="78">
        <f ca="1">WorkingCapital*'Standards Case DCF'!AL7</f>
        <v>422.31343385328103</v>
      </c>
      <c r="AM45" s="78">
        <f ca="1">WorkingCapital*'Standards Case DCF'!AM7</f>
        <v>441.17000604272602</v>
      </c>
      <c r="AN45" s="78">
        <f ca="1">WorkingCapital*'Standards Case DCF'!AN7</f>
        <v>460.91702241175494</v>
      </c>
      <c r="AO45" s="79">
        <f ca="1">WorkingCapital*'Standards Case DCF'!AO7</f>
        <v>481.63456595767121</v>
      </c>
      <c r="AP45" s="71"/>
    </row>
    <row r="46" spans="2:42" ht="15" customHeight="1" x14ac:dyDescent="0.35">
      <c r="B46" s="68"/>
      <c r="C46" s="75" t="s">
        <v>19</v>
      </c>
      <c r="D46" s="75"/>
      <c r="E46" s="75"/>
      <c r="F46" s="130">
        <f t="shared" ref="F46:AI46" ca="1" si="70">F19/(F42+F45)</f>
        <v>0.30253067951318474</v>
      </c>
      <c r="G46" s="131">
        <f t="shared" ca="1" si="70"/>
        <v>0.21535565585916155</v>
      </c>
      <c r="H46" s="131">
        <f t="shared" ca="1" si="70"/>
        <v>0.25470331648414729</v>
      </c>
      <c r="I46" s="131">
        <f t="shared" ca="1" si="70"/>
        <v>0.25874945569263591</v>
      </c>
      <c r="J46" s="131">
        <f t="shared" ca="1" si="70"/>
        <v>0.24591528298342907</v>
      </c>
      <c r="K46" s="131">
        <f t="shared" ca="1" si="70"/>
        <v>0.26003461957367779</v>
      </c>
      <c r="L46" s="131">
        <f t="shared" ca="1" si="70"/>
        <v>0.26132075945983252</v>
      </c>
      <c r="M46" s="131">
        <f t="shared" ca="1" si="70"/>
        <v>0.26257759517950768</v>
      </c>
      <c r="N46" s="131">
        <f t="shared" ca="1" si="70"/>
        <v>0.26373995904045217</v>
      </c>
      <c r="O46" s="131">
        <f t="shared" ca="1" si="70"/>
        <v>0.26477118212658962</v>
      </c>
      <c r="P46" s="131">
        <f t="shared" ca="1" si="70"/>
        <v>0.26574670399281708</v>
      </c>
      <c r="Q46" s="131">
        <f t="shared" ca="1" si="70"/>
        <v>0.2666470953137976</v>
      </c>
      <c r="R46" s="131">
        <f t="shared" ca="1" si="70"/>
        <v>0.26736467556369564</v>
      </c>
      <c r="S46" s="131">
        <f t="shared" ca="1" si="70"/>
        <v>0.26811414514005738</v>
      </c>
      <c r="T46" s="131">
        <f t="shared" ca="1" si="70"/>
        <v>0.26884564429109137</v>
      </c>
      <c r="U46" s="131">
        <f t="shared" ca="1" si="70"/>
        <v>0.26957949583303115</v>
      </c>
      <c r="V46" s="131">
        <f t="shared" ca="1" si="70"/>
        <v>0.2703931929247182</v>
      </c>
      <c r="W46" s="131">
        <f t="shared" ca="1" si="70"/>
        <v>0.27107093868279825</v>
      </c>
      <c r="X46" s="131">
        <f t="shared" ca="1" si="70"/>
        <v>0.27171526419430192</v>
      </c>
      <c r="Y46" s="131">
        <f t="shared" ca="1" si="70"/>
        <v>0.27244037172886321</v>
      </c>
      <c r="Z46" s="131">
        <f t="shared" ca="1" si="70"/>
        <v>0.27308085693718581</v>
      </c>
      <c r="AA46" s="131">
        <f t="shared" ca="1" si="70"/>
        <v>0.27363090631226122</v>
      </c>
      <c r="AB46" s="131">
        <f t="shared" ca="1" si="70"/>
        <v>0.27421801613898145</v>
      </c>
      <c r="AC46" s="131">
        <f t="shared" ca="1" si="70"/>
        <v>0.27477740126050643</v>
      </c>
      <c r="AD46" s="131">
        <f t="shared" ca="1" si="70"/>
        <v>0.27532389804514495</v>
      </c>
      <c r="AE46" s="131">
        <f t="shared" ca="1" si="70"/>
        <v>0.27583189306262096</v>
      </c>
      <c r="AF46" s="131">
        <f t="shared" ca="1" si="70"/>
        <v>0.27632412050310573</v>
      </c>
      <c r="AG46" s="131">
        <f t="shared" ca="1" si="70"/>
        <v>0.27676874086347703</v>
      </c>
      <c r="AH46" s="131">
        <f t="shared" ca="1" si="70"/>
        <v>0.27721937450774303</v>
      </c>
      <c r="AI46" s="131">
        <f t="shared" ca="1" si="70"/>
        <v>0.27766220283231019</v>
      </c>
      <c r="AJ46" s="131">
        <f t="shared" ref="AJ46:AO46" ca="1" si="71">AJ19/(AJ42+AJ45)</f>
        <v>0.27805816522860849</v>
      </c>
      <c r="AK46" s="131">
        <f t="shared" ca="1" si="71"/>
        <v>0.27843396656168917</v>
      </c>
      <c r="AL46" s="131">
        <f t="shared" ref="AL46" ca="1" si="72">AL19/(AL42+AL45)</f>
        <v>0.27886933373356093</v>
      </c>
      <c r="AM46" s="131">
        <f t="shared" ref="AM46:AN46" ca="1" si="73">AM19/(AM42+AM45)</f>
        <v>0.27920337968664</v>
      </c>
      <c r="AN46" s="131">
        <f t="shared" ca="1" si="73"/>
        <v>0.27953517985578302</v>
      </c>
      <c r="AO46" s="132">
        <f t="shared" ca="1" si="71"/>
        <v>0.27987552304385283</v>
      </c>
      <c r="AP46" s="71"/>
    </row>
    <row r="47" spans="2:42" ht="15" customHeight="1" x14ac:dyDescent="0.35">
      <c r="B47" s="68"/>
      <c r="C47" s="75" t="s">
        <v>20</v>
      </c>
      <c r="D47" s="75"/>
      <c r="E47" s="75"/>
      <c r="F47" s="130">
        <f t="shared" ref="F47:AO47" si="74">Discount_Rate</f>
        <v>6.6000000000000003E-2</v>
      </c>
      <c r="G47" s="131">
        <f t="shared" si="74"/>
        <v>6.6000000000000003E-2</v>
      </c>
      <c r="H47" s="131">
        <f t="shared" si="74"/>
        <v>6.6000000000000003E-2</v>
      </c>
      <c r="I47" s="131">
        <f t="shared" si="74"/>
        <v>6.6000000000000003E-2</v>
      </c>
      <c r="J47" s="131">
        <f t="shared" si="74"/>
        <v>6.6000000000000003E-2</v>
      </c>
      <c r="K47" s="131">
        <f t="shared" si="74"/>
        <v>6.6000000000000003E-2</v>
      </c>
      <c r="L47" s="131">
        <f t="shared" si="74"/>
        <v>6.6000000000000003E-2</v>
      </c>
      <c r="M47" s="131">
        <f t="shared" si="74"/>
        <v>6.6000000000000003E-2</v>
      </c>
      <c r="N47" s="131">
        <f t="shared" si="74"/>
        <v>6.6000000000000003E-2</v>
      </c>
      <c r="O47" s="131">
        <f t="shared" si="74"/>
        <v>6.6000000000000003E-2</v>
      </c>
      <c r="P47" s="131">
        <f t="shared" si="74"/>
        <v>6.6000000000000003E-2</v>
      </c>
      <c r="Q47" s="131">
        <f t="shared" si="74"/>
        <v>6.6000000000000003E-2</v>
      </c>
      <c r="R47" s="131">
        <f t="shared" si="74"/>
        <v>6.6000000000000003E-2</v>
      </c>
      <c r="S47" s="131">
        <f t="shared" si="74"/>
        <v>6.6000000000000003E-2</v>
      </c>
      <c r="T47" s="131">
        <f t="shared" si="74"/>
        <v>6.6000000000000003E-2</v>
      </c>
      <c r="U47" s="131">
        <f t="shared" si="74"/>
        <v>6.6000000000000003E-2</v>
      </c>
      <c r="V47" s="131">
        <f t="shared" si="74"/>
        <v>6.6000000000000003E-2</v>
      </c>
      <c r="W47" s="131">
        <f t="shared" si="74"/>
        <v>6.6000000000000003E-2</v>
      </c>
      <c r="X47" s="131">
        <f t="shared" si="74"/>
        <v>6.6000000000000003E-2</v>
      </c>
      <c r="Y47" s="131">
        <f t="shared" si="74"/>
        <v>6.6000000000000003E-2</v>
      </c>
      <c r="Z47" s="131">
        <f t="shared" si="74"/>
        <v>6.6000000000000003E-2</v>
      </c>
      <c r="AA47" s="131">
        <f t="shared" si="74"/>
        <v>6.6000000000000003E-2</v>
      </c>
      <c r="AB47" s="131">
        <f t="shared" si="74"/>
        <v>6.6000000000000003E-2</v>
      </c>
      <c r="AC47" s="131">
        <f t="shared" si="74"/>
        <v>6.6000000000000003E-2</v>
      </c>
      <c r="AD47" s="131">
        <f t="shared" si="74"/>
        <v>6.6000000000000003E-2</v>
      </c>
      <c r="AE47" s="131">
        <f t="shared" si="74"/>
        <v>6.6000000000000003E-2</v>
      </c>
      <c r="AF47" s="131">
        <f t="shared" si="74"/>
        <v>6.6000000000000003E-2</v>
      </c>
      <c r="AG47" s="131">
        <f t="shared" si="74"/>
        <v>6.6000000000000003E-2</v>
      </c>
      <c r="AH47" s="131">
        <f t="shared" si="74"/>
        <v>6.6000000000000003E-2</v>
      </c>
      <c r="AI47" s="131">
        <f t="shared" si="74"/>
        <v>6.6000000000000003E-2</v>
      </c>
      <c r="AJ47" s="131">
        <f t="shared" si="74"/>
        <v>6.6000000000000003E-2</v>
      </c>
      <c r="AK47" s="131">
        <f t="shared" si="74"/>
        <v>6.6000000000000003E-2</v>
      </c>
      <c r="AL47" s="131">
        <f t="shared" si="74"/>
        <v>6.6000000000000003E-2</v>
      </c>
      <c r="AM47" s="131">
        <f t="shared" si="74"/>
        <v>6.6000000000000003E-2</v>
      </c>
      <c r="AN47" s="131">
        <f t="shared" si="74"/>
        <v>6.6000000000000003E-2</v>
      </c>
      <c r="AO47" s="132">
        <f t="shared" si="74"/>
        <v>6.6000000000000003E-2</v>
      </c>
      <c r="AP47" s="71"/>
    </row>
    <row r="48" spans="2:42" ht="15" customHeight="1" x14ac:dyDescent="0.35">
      <c r="B48" s="68"/>
      <c r="C48" s="75" t="s">
        <v>38</v>
      </c>
      <c r="D48" s="75"/>
      <c r="E48" s="75"/>
      <c r="F48" s="133">
        <f t="shared" ref="F48:AO48" ca="1" si="75">F15/F7</f>
        <v>0.11334482758620695</v>
      </c>
      <c r="G48" s="134">
        <f t="shared" si="75"/>
        <v>8.7206966521268081E-2</v>
      </c>
      <c r="H48" s="134">
        <f t="shared" ca="1" si="75"/>
        <v>0.10573562367926588</v>
      </c>
      <c r="I48" s="134">
        <f t="shared" ca="1" si="75"/>
        <v>0.11195414574301688</v>
      </c>
      <c r="J48" s="134">
        <f t="shared" ca="1" si="75"/>
        <v>0.10389167237483925</v>
      </c>
      <c r="K48" s="134">
        <f t="shared" ca="1" si="75"/>
        <v>0.10951346666490798</v>
      </c>
      <c r="L48" s="134">
        <f t="shared" ca="1" si="75"/>
        <v>0.10961524717134695</v>
      </c>
      <c r="M48" s="134">
        <f t="shared" ca="1" si="75"/>
        <v>0.10971282491525707</v>
      </c>
      <c r="N48" s="134">
        <f t="shared" ca="1" si="75"/>
        <v>0.10980565096223717</v>
      </c>
      <c r="O48" s="134">
        <f t="shared" ca="1" si="75"/>
        <v>0.10989261021776994</v>
      </c>
      <c r="P48" s="134">
        <f t="shared" ca="1" si="75"/>
        <v>0.10997594877109909</v>
      </c>
      <c r="Q48" s="134">
        <f t="shared" ca="1" si="75"/>
        <v>0.11005465906855302</v>
      </c>
      <c r="R48" s="134">
        <f t="shared" ca="1" si="75"/>
        <v>0.11012791078594024</v>
      </c>
      <c r="S48" s="134">
        <f t="shared" ca="1" si="75"/>
        <v>0.11019917166720711</v>
      </c>
      <c r="T48" s="134">
        <f t="shared" ca="1" si="75"/>
        <v>0.1102676569711976</v>
      </c>
      <c r="U48" s="134">
        <f t="shared" ca="1" si="75"/>
        <v>0.1103333930433969</v>
      </c>
      <c r="V48" s="134">
        <f t="shared" ca="1" si="75"/>
        <v>0.11039772078446888</v>
      </c>
      <c r="W48" s="134">
        <f t="shared" ca="1" si="75"/>
        <v>0.11045795469814443</v>
      </c>
      <c r="X48" s="134">
        <f t="shared" ca="1" si="75"/>
        <v>0.11051553858260579</v>
      </c>
      <c r="Y48" s="134">
        <f t="shared" ca="1" si="75"/>
        <v>0.11057168912617453</v>
      </c>
      <c r="Z48" s="134">
        <f t="shared" ca="1" si="75"/>
        <v>0.1106252742616108</v>
      </c>
      <c r="AA48" s="134">
        <f t="shared" ca="1" si="75"/>
        <v>0.11067544247746171</v>
      </c>
      <c r="AB48" s="134">
        <f t="shared" ca="1" si="75"/>
        <v>0.11072428071821958</v>
      </c>
      <c r="AC48" s="134">
        <f t="shared" ca="1" si="75"/>
        <v>0.11077108416180421</v>
      </c>
      <c r="AD48" s="134">
        <f t="shared" ca="1" si="75"/>
        <v>0.11081566629981711</v>
      </c>
      <c r="AE48" s="134">
        <f t="shared" ca="1" si="75"/>
        <v>0.11085857599419038</v>
      </c>
      <c r="AF48" s="134">
        <f t="shared" ca="1" si="75"/>
        <v>0.11089931170096506</v>
      </c>
      <c r="AG48" s="134">
        <f t="shared" ca="1" si="75"/>
        <v>0.11093829812593931</v>
      </c>
      <c r="AH48" s="134">
        <f t="shared" ca="1" si="75"/>
        <v>0.11097569527105483</v>
      </c>
      <c r="AI48" s="134">
        <f t="shared" ca="1" si="75"/>
        <v>0.11101128643831069</v>
      </c>
      <c r="AJ48" s="134">
        <f t="shared" ca="1" si="75"/>
        <v>0.11104535464285269</v>
      </c>
      <c r="AK48" s="134">
        <f t="shared" ca="1" si="75"/>
        <v>0.11107797131636821</v>
      </c>
      <c r="AL48" s="134">
        <f t="shared" ca="1" si="75"/>
        <v>0.11111003262382677</v>
      </c>
      <c r="AM48" s="134">
        <f t="shared" ca="1" si="75"/>
        <v>0.11113989689719726</v>
      </c>
      <c r="AN48" s="134">
        <f t="shared" ref="AN48" ca="1" si="76">AN15/AN7</f>
        <v>0.11116826986077485</v>
      </c>
      <c r="AO48" s="135">
        <f t="shared" ca="1" si="75"/>
        <v>0.11119609347527269</v>
      </c>
      <c r="AP48" s="71"/>
    </row>
    <row r="49" spans="2:42" s="7" customFormat="1" ht="15" customHeight="1" x14ac:dyDescent="0.35">
      <c r="B49" s="73"/>
      <c r="C49" s="69"/>
      <c r="D49" s="69"/>
      <c r="E49" s="69"/>
      <c r="F49" s="69"/>
      <c r="G49" s="69"/>
      <c r="H49" s="69"/>
      <c r="I49" s="69"/>
      <c r="J49" s="69"/>
      <c r="K49" s="69"/>
      <c r="L49" s="69"/>
      <c r="M49" s="69"/>
      <c r="N49" s="69"/>
      <c r="O49" s="69"/>
      <c r="P49" s="69"/>
      <c r="Q49" s="69"/>
      <c r="R49" s="69"/>
      <c r="S49" s="69"/>
      <c r="T49" s="69"/>
      <c r="U49" s="69"/>
      <c r="V49" s="69"/>
      <c r="W49" s="69"/>
      <c r="X49" s="69"/>
      <c r="Y49" s="69"/>
      <c r="Z49" s="69"/>
      <c r="AA49" s="69"/>
      <c r="AB49" s="69"/>
      <c r="AC49" s="69"/>
      <c r="AD49" s="69"/>
      <c r="AE49" s="69"/>
      <c r="AF49" s="69"/>
      <c r="AG49" s="69"/>
      <c r="AH49" s="69"/>
      <c r="AI49" s="69"/>
      <c r="AJ49" s="69"/>
      <c r="AK49" s="69"/>
      <c r="AL49" s="69"/>
      <c r="AM49" s="69"/>
      <c r="AN49" s="69"/>
      <c r="AO49" s="69"/>
      <c r="AP49" s="71"/>
    </row>
    <row r="50" spans="2:42" ht="15" customHeight="1" x14ac:dyDescent="0.35">
      <c r="B50" s="68"/>
      <c r="C50" s="136" t="s">
        <v>269</v>
      </c>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71"/>
    </row>
    <row r="51" spans="2:42" s="7" customFormat="1" ht="15" customHeight="1" thickBot="1" x14ac:dyDescent="0.4">
      <c r="B51" s="137"/>
      <c r="C51" s="138"/>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c r="AF51" s="138"/>
      <c r="AG51" s="138"/>
      <c r="AH51" s="138"/>
      <c r="AI51" s="138"/>
      <c r="AJ51" s="138"/>
      <c r="AK51" s="138"/>
      <c r="AL51" s="138"/>
      <c r="AM51" s="138"/>
      <c r="AN51" s="138"/>
      <c r="AO51" s="138"/>
      <c r="AP51" s="139"/>
    </row>
  </sheetData>
  <sheetProtection algorithmName="SHA-512" hashValue="kC15nEWn4FHV8UJo5/Gw4J+gZnScAuQK4LYLlTc841WVzNu7/pAGMAnDQhgrCu2R87oESu7ohiMzVgUJUAFM8w==" saltValue="PCmR/f8lCRqSCKxLWoX/1A==" spinCount="100000" sheet="1" objects="1" scenarios="1"/>
  <hyperlinks>
    <hyperlink ref="F2" location="Navigation!A1" display="Navigation" xr:uid="{00000000-0004-0000-1400-000000000000}"/>
  </hyperlinks>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4">
    <tabColor rgb="FFC00000"/>
    <pageSetUpPr fitToPage="1"/>
  </sheetPr>
  <dimension ref="B1:AG80"/>
  <sheetViews>
    <sheetView zoomScale="90" zoomScaleNormal="90" workbookViewId="0"/>
  </sheetViews>
  <sheetFormatPr defaultColWidth="9.453125" defaultRowHeight="0" customHeight="1" zeroHeight="1" x14ac:dyDescent="0.35"/>
  <cols>
    <col min="1" max="2" width="3.54296875" style="4" customWidth="1"/>
    <col min="3" max="3" width="15.54296875" style="4" customWidth="1"/>
    <col min="4" max="6" width="3.54296875" style="4" customWidth="1"/>
    <col min="7" max="7" width="51.54296875" style="4" bestFit="1" customWidth="1"/>
    <col min="8" max="8" width="12.54296875" style="16" bestFit="1" customWidth="1"/>
    <col min="9" max="9" width="4.1796875" style="16" customWidth="1"/>
    <col min="10" max="10" width="34.81640625" style="4" customWidth="1"/>
    <col min="11" max="11" width="15.54296875" style="4" customWidth="1"/>
    <col min="12" max="22" width="3.54296875" style="4" customWidth="1"/>
    <col min="23" max="23" width="9.453125" style="6" customWidth="1"/>
    <col min="24" max="24" width="51.453125" style="6" bestFit="1" customWidth="1"/>
    <col min="25" max="25" width="9.453125" style="6" customWidth="1"/>
    <col min="26" max="26" width="3.54296875" style="4" customWidth="1"/>
    <col min="27" max="27" width="20.453125" style="4" bestFit="1" customWidth="1"/>
    <col min="28" max="104" width="13.54296875" style="4" customWidth="1"/>
    <col min="105" max="105" width="9.453125" style="4" customWidth="1"/>
    <col min="106" max="16384" width="9.453125" style="4"/>
  </cols>
  <sheetData>
    <row r="1" spans="2:33" ht="15" customHeight="1" thickBot="1" x14ac:dyDescent="0.4">
      <c r="H1" s="4"/>
      <c r="I1" s="4"/>
      <c r="V1" s="5"/>
      <c r="W1" s="4"/>
      <c r="X1" s="4"/>
      <c r="Y1" s="4"/>
    </row>
    <row r="2" spans="2:33" ht="18" customHeight="1" thickTop="1" thickBot="1" x14ac:dyDescent="0.4">
      <c r="B2" s="820" t="s">
        <v>74</v>
      </c>
      <c r="C2" s="821"/>
      <c r="D2" s="822"/>
      <c r="F2" s="7"/>
      <c r="G2" s="10" t="s">
        <v>159</v>
      </c>
      <c r="H2" s="7"/>
      <c r="J2"/>
      <c r="K2" s="7"/>
      <c r="O2" s="7"/>
      <c r="P2" s="7"/>
      <c r="Q2" s="7"/>
      <c r="R2" s="7"/>
      <c r="S2" s="7"/>
      <c r="T2" s="7"/>
      <c r="U2" s="7"/>
      <c r="V2" s="5"/>
      <c r="W2" s="4"/>
      <c r="X2" s="4"/>
      <c r="Y2" s="4"/>
    </row>
    <row r="3" spans="2:33" s="7" customFormat="1" ht="15" customHeight="1" thickBot="1" x14ac:dyDescent="0.4">
      <c r="V3" s="5"/>
      <c r="W3" s="4"/>
      <c r="X3" s="4"/>
      <c r="Y3" s="4"/>
      <c r="Z3" s="4"/>
    </row>
    <row r="4" spans="2:33" s="7" customFormat="1" ht="15" customHeight="1" x14ac:dyDescent="0.35">
      <c r="B4" s="578"/>
      <c r="C4" s="579"/>
      <c r="D4" s="580"/>
      <c r="F4" s="578"/>
      <c r="G4" s="579"/>
      <c r="H4" s="579"/>
      <c r="I4" s="579"/>
      <c r="J4" s="579"/>
      <c r="K4" s="579"/>
      <c r="L4" s="580"/>
      <c r="V4" s="5"/>
      <c r="W4" s="603"/>
      <c r="X4" s="604"/>
      <c r="Y4" s="604"/>
      <c r="Z4" s="604"/>
      <c r="AA4" s="579"/>
      <c r="AB4" s="579"/>
      <c r="AC4" s="579"/>
      <c r="AD4" s="579"/>
      <c r="AE4" s="579"/>
      <c r="AF4" s="579"/>
      <c r="AG4" s="580"/>
    </row>
    <row r="5" spans="2:33" ht="15" customHeight="1" thickBot="1" x14ac:dyDescent="0.4">
      <c r="B5" s="581"/>
      <c r="C5" s="582" t="str">
        <f>TSL_X</f>
        <v>TSL 1</v>
      </c>
      <c r="D5" s="583"/>
      <c r="F5" s="581"/>
      <c r="G5" s="589" t="str">
        <f>Standard_Year&amp;" - Year Standards Go Into Effect"</f>
        <v>2026 - Year Standards Go Into Effect</v>
      </c>
      <c r="H5" s="585"/>
      <c r="I5" s="590"/>
      <c r="J5" s="582" t="s">
        <v>237</v>
      </c>
      <c r="K5" s="582" t="s">
        <v>90</v>
      </c>
      <c r="L5" s="583"/>
      <c r="M5" s="7"/>
      <c r="N5" s="7"/>
      <c r="O5" s="7"/>
      <c r="P5" s="7"/>
      <c r="Q5" s="7"/>
      <c r="R5" s="7"/>
      <c r="S5" s="7"/>
      <c r="T5" s="7"/>
      <c r="U5" s="7"/>
      <c r="V5" s="5"/>
      <c r="W5" s="605"/>
      <c r="X5" s="589"/>
      <c r="Y5" s="585"/>
      <c r="Z5" s="590"/>
      <c r="AA5" s="582" t="s">
        <v>237</v>
      </c>
      <c r="AB5" s="582" t="s">
        <v>90</v>
      </c>
      <c r="AC5" s="590"/>
      <c r="AD5" s="590"/>
      <c r="AE5" s="590"/>
      <c r="AF5" s="590"/>
      <c r="AG5" s="583"/>
    </row>
    <row r="6" spans="2:33" ht="15" customHeight="1" x14ac:dyDescent="0.35">
      <c r="B6" s="581"/>
      <c r="C6" s="635">
        <f ca="1">INDEX(Total_Unit_Sales_Standards,MATCH(Standard_Year,Dates))</f>
        <v>8.9699231360466918</v>
      </c>
      <c r="D6" s="583"/>
      <c r="F6" s="581"/>
      <c r="G6" s="591" t="str">
        <f>"Unit Shipments ("&amp;Standard_Year&amp;")"</f>
        <v>Unit Shipments (2026)</v>
      </c>
      <c r="H6" s="592" t="s">
        <v>153</v>
      </c>
      <c r="I6" s="593"/>
      <c r="J6" s="17">
        <v>9.0122912362700944</v>
      </c>
      <c r="K6" s="17">
        <v>8.9699231360466918</v>
      </c>
      <c r="L6" s="583"/>
      <c r="M6" s="7"/>
      <c r="N6" s="7"/>
      <c r="O6" s="7"/>
      <c r="P6" s="7"/>
      <c r="Q6" s="7"/>
      <c r="R6" s="7"/>
      <c r="S6" s="7"/>
      <c r="T6" s="7"/>
      <c r="U6" s="7"/>
      <c r="V6" s="5"/>
      <c r="W6" s="605"/>
      <c r="X6" s="600" t="s">
        <v>84</v>
      </c>
      <c r="Y6" s="592" t="s">
        <v>249</v>
      </c>
      <c r="Z6" s="596"/>
      <c r="AA6" s="646" t="str">
        <f>TEXT(J20,"0,00.0")</f>
        <v>1,522.9</v>
      </c>
      <c r="AB6" s="647" t="str">
        <f>TEXT(MIN(K20,K44),"0,00.0;(0,000.0)") &amp; " - " &amp; TEXT(MAX(K20,K44), "0,00.0;(0.000.0)")</f>
        <v>1,499.2 - 1,525.2</v>
      </c>
      <c r="AC6" s="590"/>
      <c r="AD6" s="590"/>
      <c r="AE6" s="590"/>
      <c r="AF6" s="590"/>
      <c r="AG6" s="583"/>
    </row>
    <row r="7" spans="2:33" ht="15" customHeight="1" x14ac:dyDescent="0.35">
      <c r="B7" s="581"/>
      <c r="C7" s="706">
        <f ca="1">C11/C6</f>
        <v>82.559252482410272</v>
      </c>
      <c r="D7" s="583"/>
      <c r="F7" s="581"/>
      <c r="G7" s="594" t="str">
        <f>"Price per unit (weighted avg.) ("&amp;Standard_Year&amp;")"</f>
        <v>Price per unit (weighted avg.) (2026)</v>
      </c>
      <c r="H7" s="595" t="str">
        <f>Dollar_Year&amp;"$"</f>
        <v>2021$</v>
      </c>
      <c r="I7" s="596"/>
      <c r="J7" s="716">
        <v>81.324299679089791</v>
      </c>
      <c r="K7" s="716">
        <v>82.74386784152567</v>
      </c>
      <c r="L7" s="583"/>
      <c r="M7" s="7"/>
      <c r="N7" s="7"/>
      <c r="O7" s="7"/>
      <c r="P7" s="7"/>
      <c r="Q7" s="7"/>
      <c r="R7" s="7"/>
      <c r="S7" s="7"/>
      <c r="T7" s="7"/>
      <c r="U7" s="7"/>
      <c r="V7" s="5"/>
      <c r="W7" s="605"/>
      <c r="X7" s="600" t="s">
        <v>154</v>
      </c>
      <c r="Y7" s="592" t="s">
        <v>249</v>
      </c>
      <c r="Z7" s="596"/>
      <c r="AA7" s="648" t="s">
        <v>82</v>
      </c>
      <c r="AB7" s="647" t="str">
        <f>TEXT(MIN(K21,K45),"0.0;(0.0)") &amp; " - " &amp; TEXT(MAX(K21,K45), "0.0;(0.0)")</f>
        <v>(66.7) - (40.7)</v>
      </c>
      <c r="AC7" s="590"/>
      <c r="AD7" s="590"/>
      <c r="AE7" s="590"/>
      <c r="AF7" s="590"/>
      <c r="AG7" s="583"/>
    </row>
    <row r="8" spans="2:33" ht="15" customHeight="1" x14ac:dyDescent="0.35">
      <c r="B8" s="581"/>
      <c r="C8" s="707">
        <f ca="1">SUM(INDEX(Total_Labor_Standards,MATCH(Standard_Year,Dates)),INDEX(Total_Materials_Standards,MATCH(Standard_Year,Dates)),INDEX(Total_Depreciation_Standards,MATCH(Standard_Year,Dates)),INDEX(Total_Overhead_Standards,MATCH(Standard_Year,Dates)))/C6</f>
        <v>57.06473644243151</v>
      </c>
      <c r="D8" s="583"/>
      <c r="F8" s="581"/>
      <c r="G8" s="594" t="str">
        <f>"Shipment-Weighted Avg MPC ("&amp;Standard_Year&amp;")"</f>
        <v>Shipment-Weighted Avg MPC (2026)</v>
      </c>
      <c r="H8" s="595" t="str">
        <f>Dollar_Year&amp;"$"</f>
        <v>2021$</v>
      </c>
      <c r="I8" s="596"/>
      <c r="J8" s="716">
        <v>56.085723916613652</v>
      </c>
      <c r="K8" s="716">
        <v>57.06473644243151</v>
      </c>
      <c r="L8" s="583"/>
      <c r="M8" s="7"/>
      <c r="N8" s="7"/>
      <c r="O8" s="7"/>
      <c r="P8" s="7"/>
      <c r="Q8" s="7"/>
      <c r="R8" s="7"/>
      <c r="S8" s="7"/>
      <c r="T8" s="7"/>
      <c r="U8" s="7"/>
      <c r="V8" s="5"/>
      <c r="W8" s="605"/>
      <c r="X8" s="600" t="s">
        <v>155</v>
      </c>
      <c r="Y8" s="601" t="s">
        <v>89</v>
      </c>
      <c r="Z8" s="596"/>
      <c r="AA8" s="649" t="s">
        <v>82</v>
      </c>
      <c r="AB8" s="650" t="str">
        <f>TEXT(MIN(K22,K46),"0.0%;(0.0%)") &amp; " - " &amp; TEXT(MAX(K22,K46), "0.0%;(0.0%)")</f>
        <v>(4.3%) - (2.6%)</v>
      </c>
      <c r="AC8" s="590"/>
      <c r="AD8" s="590"/>
      <c r="AE8" s="590"/>
      <c r="AF8" s="590"/>
      <c r="AG8" s="583"/>
    </row>
    <row r="9" spans="2:33" ht="15" customHeight="1" thickBot="1" x14ac:dyDescent="0.4">
      <c r="B9" s="581"/>
      <c r="C9" s="708">
        <f ca="1">(C8-
SUM(INDEX(Total_Labor_NoSTDs,MATCH(Standard_Year,Dates)),INDEX(Total_Materials_NoSTDs,MATCH(Standard_Year,Dates)),INDEX(Total_Depreciation_NoSTDs,MATCH(Standard_Year,Dates)),INDEX(Total_Overhead_NoSTDs,MATCH(Standard_Year,Dates)))/
INDEX(Total_Unit_Sales_NoSTDs,MATCH(Standard_Year,Dates)))/
(SUM(INDEX(Total_Labor_NoSTDs,MATCH(Standard_Year,Dates)),INDEX(Total_Materials_NoSTDs,MATCH(Standard_Year,Dates)),INDEX(Total_Depreciation_NoSTDs,MATCH(Standard_Year,Dates)),INDEX(Total_Overhead_NoSTDs,MATCH(Standard_Year,Dates)))/
INDEX(Total_Unit_Sales_NoSTDs,MATCH(Standard_Year,Dates)))</f>
        <v>1.7455645705374511E-2</v>
      </c>
      <c r="D9" s="583"/>
      <c r="F9" s="581"/>
      <c r="G9" s="594" t="str">
        <f>"Change in Shipment-Weighted Avg MPC ("&amp;Standard_Year&amp;")"</f>
        <v>Change in Shipment-Weighted Avg MPC (2026)</v>
      </c>
      <c r="H9" s="595" t="s">
        <v>89</v>
      </c>
      <c r="I9" s="596"/>
      <c r="J9" s="717">
        <v>0</v>
      </c>
      <c r="K9" s="718">
        <v>1.7455645705374511E-2</v>
      </c>
      <c r="L9" s="583"/>
      <c r="M9" s="7"/>
      <c r="N9" s="7"/>
      <c r="O9" s="7"/>
      <c r="P9" s="7"/>
      <c r="Q9" s="7"/>
      <c r="R9" s="7"/>
      <c r="S9" s="7"/>
      <c r="T9" s="7"/>
      <c r="U9" s="7"/>
      <c r="V9" s="5"/>
      <c r="W9" s="605"/>
      <c r="X9" s="600" t="s">
        <v>60</v>
      </c>
      <c r="Y9" s="592" t="s">
        <v>249</v>
      </c>
      <c r="Z9" s="590"/>
      <c r="AA9" s="651" t="s">
        <v>82</v>
      </c>
      <c r="AB9" s="650" t="str">
        <f>TEXT(MIN(K23,K47),"0.0") &amp; " - " &amp; TEXT(MAX(K23,K47), "0.0")</f>
        <v>6.0 - 6.0</v>
      </c>
      <c r="AC9" s="590"/>
      <c r="AD9" s="590"/>
      <c r="AE9" s="590"/>
      <c r="AF9" s="590"/>
      <c r="AG9" s="583"/>
    </row>
    <row r="10" spans="2:33" ht="15" customHeight="1" thickBot="1" x14ac:dyDescent="0.4">
      <c r="B10" s="581"/>
      <c r="C10" s="584"/>
      <c r="D10" s="583"/>
      <c r="F10" s="581"/>
      <c r="G10" s="597"/>
      <c r="H10" s="596"/>
      <c r="I10" s="596"/>
      <c r="J10" s="598"/>
      <c r="K10" s="584"/>
      <c r="L10" s="583"/>
      <c r="M10" s="7"/>
      <c r="N10" s="7"/>
      <c r="O10" s="7"/>
      <c r="P10" s="7"/>
      <c r="Q10" s="7"/>
      <c r="R10" s="7"/>
      <c r="S10" s="7"/>
      <c r="T10" s="7"/>
      <c r="U10" s="7"/>
      <c r="V10" s="5"/>
      <c r="W10" s="605"/>
      <c r="X10" s="600" t="s">
        <v>92</v>
      </c>
      <c r="Y10" s="592" t="s">
        <v>249</v>
      </c>
      <c r="Z10" s="596"/>
      <c r="AA10" s="649" t="s">
        <v>82</v>
      </c>
      <c r="AB10" s="650" t="str">
        <f>TEXT(MIN(K24,K48),"0.0") &amp; " - " &amp; TEXT(MAX(K24,K48), "0.0")</f>
        <v>20.4 - 20.4</v>
      </c>
      <c r="AC10" s="590"/>
      <c r="AD10" s="590"/>
      <c r="AE10" s="590"/>
      <c r="AF10" s="590"/>
      <c r="AG10" s="583"/>
    </row>
    <row r="11" spans="2:33" ht="15" customHeight="1" x14ac:dyDescent="0.35">
      <c r="B11" s="581"/>
      <c r="C11" s="709">
        <f ca="1">INDEX(Total_Revenues_Standards,MATCH(Standard_Year,Dates))</f>
        <v>740.55014893669215</v>
      </c>
      <c r="D11" s="583"/>
      <c r="F11" s="581"/>
      <c r="G11" s="591" t="str">
        <f>"Total Revenue ("&amp;Standard_Year&amp;")"</f>
        <v>Total Revenue (2026)</v>
      </c>
      <c r="H11" s="592" t="str">
        <f t="shared" ref="H11:H16" si="0">Dollar_Year&amp;"$ MM"</f>
        <v>2021$ MM</v>
      </c>
      <c r="I11" s="596"/>
      <c r="J11" s="719">
        <v>732.91827329366379</v>
      </c>
      <c r="K11" s="719">
        <v>742.206134517691</v>
      </c>
      <c r="L11" s="583"/>
      <c r="M11" s="7"/>
      <c r="N11" s="7"/>
      <c r="O11" s="7"/>
      <c r="P11" s="7"/>
      <c r="Q11" s="7"/>
      <c r="R11" s="7"/>
      <c r="S11" s="7"/>
      <c r="T11" s="7"/>
      <c r="U11" s="7"/>
      <c r="V11" s="5"/>
      <c r="W11" s="605"/>
      <c r="X11" s="600" t="s">
        <v>85</v>
      </c>
      <c r="Y11" s="592" t="s">
        <v>249</v>
      </c>
      <c r="Z11" s="596"/>
      <c r="AA11" s="649" t="s">
        <v>82</v>
      </c>
      <c r="AB11" s="650" t="str">
        <f>TEXT(MIN(K25,K49),"0.0") &amp; " - " &amp; TEXT(MAX(K25,K49), "0.0")</f>
        <v>26.5 - 26.5</v>
      </c>
      <c r="AC11" s="590"/>
      <c r="AD11" s="590"/>
      <c r="AE11" s="590"/>
      <c r="AF11" s="590"/>
      <c r="AG11" s="583"/>
    </row>
    <row r="12" spans="2:33" ht="15" customHeight="1" x14ac:dyDescent="0.35">
      <c r="B12" s="581"/>
      <c r="C12" s="710">
        <f ca="1">SUMIFS(Revenue_Standards,'Standards Rev &amp; Cost'!$E$21:$AN$21,"&gt;="&amp;Announcement_Year,'Standards Rev &amp; Cost'!$E$21:$AN$21,"&lt;"&amp;Standard_Year)</f>
        <v>2041.2359752986363</v>
      </c>
      <c r="D12" s="583"/>
      <c r="F12" s="581"/>
      <c r="G12" s="591" t="str">
        <f>CONCATENATE("Conversion Period Revenue (",Announcement_Year," - ",Standard_Year-1,")")</f>
        <v>Conversion Period Revenue (2023 - 2025)</v>
      </c>
      <c r="H12" s="592" t="str">
        <f t="shared" si="0"/>
        <v>2021$ MM</v>
      </c>
      <c r="I12" s="596"/>
      <c r="J12" s="720">
        <v>2038.7165700482155</v>
      </c>
      <c r="K12" s="720">
        <v>2041.2359752986363</v>
      </c>
      <c r="L12" s="583"/>
      <c r="M12" s="7"/>
      <c r="N12" s="7"/>
      <c r="O12" s="7"/>
      <c r="P12" s="7"/>
      <c r="Q12" s="7"/>
      <c r="R12" s="7"/>
      <c r="S12" s="7"/>
      <c r="T12" s="7"/>
      <c r="U12" s="7"/>
      <c r="V12" s="5"/>
      <c r="W12" s="605"/>
      <c r="X12" s="591" t="str">
        <f>"Free Cash Flow (2019) (" &amp; Standard_Year-1 &amp; ")"</f>
        <v>Free Cash Flow (2019) (2025)</v>
      </c>
      <c r="Y12" s="592" t="s">
        <v>249</v>
      </c>
      <c r="Z12" s="596"/>
      <c r="AA12" s="652">
        <f>J15</f>
        <v>50.215636160980324</v>
      </c>
      <c r="AB12" s="650" t="str">
        <f>TEXT(MIN(K15,K39),"0.0;(0.0)") &amp; " - " &amp; TEXT(MAX(K15,K39), "0.0;(0.0)")</f>
        <v>40.1 - 40.1</v>
      </c>
      <c r="AC12" s="590"/>
      <c r="AD12" s="590"/>
      <c r="AE12" s="590"/>
      <c r="AF12" s="590"/>
      <c r="AG12" s="583"/>
    </row>
    <row r="13" spans="2:33" ht="15" customHeight="1" x14ac:dyDescent="0.35">
      <c r="B13" s="581"/>
      <c r="C13" s="710">
        <f ca="1">INDEX(EBIT_Standards,MATCH(Standard_Year+1,Dates))</f>
        <v>84.686059072974331</v>
      </c>
      <c r="D13" s="583"/>
      <c r="F13" s="581"/>
      <c r="G13" s="591" t="str">
        <f>"EBIT ("&amp;Standard_Year+1&amp;")"</f>
        <v>EBIT (2027)</v>
      </c>
      <c r="H13" s="592" t="str">
        <f t="shared" si="0"/>
        <v>2021$ MM</v>
      </c>
      <c r="I13" s="596"/>
      <c r="J13" s="720">
        <v>84.932825174946174</v>
      </c>
      <c r="K13" s="720">
        <v>86.074857034073148</v>
      </c>
      <c r="L13" s="583"/>
      <c r="M13" s="7"/>
      <c r="N13" s="7"/>
      <c r="O13" s="7"/>
      <c r="P13" s="7"/>
      <c r="Q13" s="7"/>
      <c r="R13" s="7"/>
      <c r="S13" s="7"/>
      <c r="T13" s="7"/>
      <c r="U13" s="7"/>
      <c r="V13" s="5"/>
      <c r="W13" s="605"/>
      <c r="X13" s="591" t="s">
        <v>333</v>
      </c>
      <c r="Y13" s="592" t="s">
        <v>249</v>
      </c>
      <c r="Z13" s="596"/>
      <c r="AA13" s="650"/>
      <c r="AB13" s="650" t="str">
        <f>TEXT(MIN(K16,K40),"0.0;(0.0)") &amp; " - " &amp; TEXT(MAX(K16,K40), "0.0;(0.0)")</f>
        <v>(9.9) - (9.9)</v>
      </c>
      <c r="AC13" s="590"/>
      <c r="AD13" s="590"/>
      <c r="AE13" s="590"/>
      <c r="AF13" s="590"/>
      <c r="AG13" s="583"/>
    </row>
    <row r="14" spans="2:33" ht="15" customHeight="1" x14ac:dyDescent="0.35">
      <c r="B14" s="581"/>
      <c r="C14" s="710">
        <f ca="1">INDEX(NOPAT_Standards,MATCH(Standard_Year+1,Dates))</f>
        <v>61.482078886979366</v>
      </c>
      <c r="D14" s="583"/>
      <c r="F14" s="581"/>
      <c r="G14" s="594" t="str">
        <f>"Net Operating Profit After Tax ("&amp;Standard_Year+1&amp;")"</f>
        <v>Net Operating Profit After Tax (2027)</v>
      </c>
      <c r="H14" s="592" t="str">
        <f t="shared" si="0"/>
        <v>2021$ MM</v>
      </c>
      <c r="I14" s="596"/>
      <c r="J14" s="720">
        <v>61.661231077010925</v>
      </c>
      <c r="K14" s="720">
        <v>62.490346206737101</v>
      </c>
      <c r="L14" s="583"/>
      <c r="M14" s="7"/>
      <c r="N14" s="7"/>
      <c r="O14" s="7"/>
      <c r="P14" s="7"/>
      <c r="Q14" s="7"/>
      <c r="R14" s="7"/>
      <c r="S14" s="7"/>
      <c r="T14" s="7"/>
      <c r="U14" s="7"/>
      <c r="V14" s="5"/>
      <c r="W14" s="605"/>
      <c r="X14" s="591" t="s">
        <v>252</v>
      </c>
      <c r="Y14" s="592" t="s">
        <v>89</v>
      </c>
      <c r="Z14" s="596"/>
      <c r="AA14" s="650"/>
      <c r="AB14" s="650" t="str">
        <f>TEXT(MIN(K17,K50),"0.0%;(0.0%)") &amp; " - " &amp; TEXT(MAX(K17,K50), "0.0%;(0.0%)")</f>
        <v>(19.7%) - (19.7%)</v>
      </c>
      <c r="AC14" s="590"/>
      <c r="AD14" s="590"/>
      <c r="AE14" s="590"/>
      <c r="AF14" s="590"/>
      <c r="AG14" s="583"/>
    </row>
    <row r="15" spans="2:33" ht="15" customHeight="1" x14ac:dyDescent="0.35">
      <c r="B15" s="581"/>
      <c r="C15" s="710">
        <f ca="1">INDEX(FCF_Standards,MATCH(Standard_Year-1,Dates))</f>
        <v>40.080145579059888</v>
      </c>
      <c r="D15" s="583"/>
      <c r="F15" s="581"/>
      <c r="G15" s="591" t="str">
        <f>"Free Cash Flow ("&amp;Standard_Year-1&amp;")"</f>
        <v>Free Cash Flow (2025)</v>
      </c>
      <c r="H15" s="592" t="str">
        <f t="shared" si="0"/>
        <v>2021$ MM</v>
      </c>
      <c r="I15" s="596"/>
      <c r="J15" s="720">
        <v>50.215636160980324</v>
      </c>
      <c r="K15" s="720">
        <v>40.080145579059888</v>
      </c>
      <c r="L15" s="583"/>
      <c r="M15" s="7"/>
      <c r="N15" s="7"/>
      <c r="O15" s="7"/>
      <c r="P15" s="7"/>
      <c r="Q15" s="7"/>
      <c r="R15" s="7"/>
      <c r="S15" s="7"/>
      <c r="T15" s="7"/>
      <c r="U15" s="7"/>
      <c r="V15" s="5"/>
      <c r="W15" s="605"/>
      <c r="X15" s="594" t="str">
        <f>"Shipment-Weighted Avg MPC ("&amp;Standard_Year&amp;")"</f>
        <v>Shipment-Weighted Avg MPC (2026)</v>
      </c>
      <c r="Y15" s="592" t="s">
        <v>249</v>
      </c>
      <c r="Z15" s="590"/>
      <c r="AA15" s="648">
        <f>J8</f>
        <v>56.085723916613652</v>
      </c>
      <c r="AB15" s="647">
        <f>K8</f>
        <v>57.06473644243151</v>
      </c>
      <c r="AC15" s="590"/>
      <c r="AD15" s="590"/>
      <c r="AE15" s="590"/>
      <c r="AF15" s="590"/>
      <c r="AG15" s="583"/>
    </row>
    <row r="16" spans="2:33" ht="15" customHeight="1" x14ac:dyDescent="0.35">
      <c r="B16" s="581"/>
      <c r="C16" s="710">
        <f ca="1">INDEX(FCF_Standards,MATCH(Standard_Year-1,Dates))-INDEX(FCF_NoSTDs,MATCH(Standard_Year-1,Dates))</f>
        <v>-9.8595524173763636</v>
      </c>
      <c r="D16" s="583"/>
      <c r="F16" s="581"/>
      <c r="G16" s="591" t="str">
        <f>"Change in Free Cash Flow ($) ("&amp;Standard_Year-1&amp;")"</f>
        <v>Change in Free Cash Flow ($) (2025)</v>
      </c>
      <c r="H16" s="592" t="str">
        <f t="shared" si="0"/>
        <v>2021$ MM</v>
      </c>
      <c r="I16" s="596"/>
      <c r="J16" s="721">
        <v>0.27593816454407261</v>
      </c>
      <c r="K16" s="720">
        <v>-9.8595524173763636</v>
      </c>
      <c r="L16" s="583"/>
      <c r="M16" s="7"/>
      <c r="N16" s="7"/>
      <c r="O16" s="7"/>
      <c r="P16" s="7"/>
      <c r="Q16" s="7"/>
      <c r="R16" s="7"/>
      <c r="S16" s="7"/>
      <c r="T16" s="7"/>
      <c r="U16" s="7"/>
      <c r="V16" s="5"/>
      <c r="W16" s="605"/>
      <c r="X16" s="594" t="str">
        <f>"Change in Shipment-Weighted Avg MPC ("&amp;Standard_Year&amp;")"</f>
        <v>Change in Shipment-Weighted Avg MPC (2026)</v>
      </c>
      <c r="Y16" s="592" t="s">
        <v>89</v>
      </c>
      <c r="Z16" s="590"/>
      <c r="AA16" s="648"/>
      <c r="AB16" s="653">
        <f>K9</f>
        <v>1.7455645705374511E-2</v>
      </c>
      <c r="AC16" s="590"/>
      <c r="AD16" s="590"/>
      <c r="AE16" s="590"/>
      <c r="AF16" s="590"/>
      <c r="AG16" s="583"/>
    </row>
    <row r="17" spans="2:33" ht="15" customHeight="1" thickBot="1" x14ac:dyDescent="0.4">
      <c r="B17" s="581"/>
      <c r="C17" s="711">
        <f ca="1">(INDEX(FCF_Standards,MATCH(Standard_Year-1,Dates))-INDEX(FCF_NoSTDs,MATCH(Standard_Year-1,Dates)))/INDEX(FCF_NoSTDs,MATCH(Standard_Year-1,Dates))</f>
        <v>-0.19742915582068502</v>
      </c>
      <c r="D17" s="583"/>
      <c r="F17" s="581"/>
      <c r="G17" s="591" t="str">
        <f>"Change in Free Cash Flow (%) ("&amp;Standard_Year-1&amp;")"</f>
        <v>Change in Free Cash Flow (%) (2025)</v>
      </c>
      <c r="H17" s="592" t="s">
        <v>89</v>
      </c>
      <c r="I17" s="596"/>
      <c r="J17" s="722">
        <v>5.525427177468391E-3</v>
      </c>
      <c r="K17" s="723">
        <v>-0.19742915582068502</v>
      </c>
      <c r="L17" s="583"/>
      <c r="M17" s="7"/>
      <c r="N17" s="7"/>
      <c r="O17" s="7"/>
      <c r="P17" s="7"/>
      <c r="Q17" s="7"/>
      <c r="R17" s="7"/>
      <c r="S17" s="7"/>
      <c r="T17" s="7"/>
      <c r="U17" s="7"/>
      <c r="V17" s="5"/>
      <c r="W17" s="586"/>
      <c r="X17" s="587"/>
      <c r="Y17" s="587"/>
      <c r="Z17" s="587"/>
      <c r="AA17" s="587"/>
      <c r="AB17" s="587"/>
      <c r="AC17" s="587"/>
      <c r="AD17" s="587"/>
      <c r="AE17" s="587"/>
      <c r="AF17" s="587"/>
      <c r="AG17" s="588"/>
    </row>
    <row r="18" spans="2:33" ht="15" customHeight="1" x14ac:dyDescent="0.35">
      <c r="B18" s="581"/>
      <c r="C18" s="585"/>
      <c r="D18" s="583"/>
      <c r="F18" s="581"/>
      <c r="G18" s="585"/>
      <c r="H18" s="585"/>
      <c r="I18" s="596"/>
      <c r="J18" s="590"/>
      <c r="K18" s="585"/>
      <c r="L18" s="583"/>
      <c r="M18" s="7"/>
      <c r="N18" s="7"/>
      <c r="O18" s="7"/>
      <c r="P18" s="7"/>
      <c r="Q18" s="7"/>
      <c r="R18" s="7"/>
      <c r="S18" s="7"/>
      <c r="T18" s="7"/>
      <c r="U18" s="7"/>
      <c r="V18" s="5"/>
      <c r="W18" s="4"/>
      <c r="X18" s="4"/>
      <c r="Y18" s="4"/>
    </row>
    <row r="19" spans="2:33" ht="15" customHeight="1" thickBot="1" x14ac:dyDescent="0.4">
      <c r="B19" s="581"/>
      <c r="C19" s="582" t="str">
        <f>TSL_X</f>
        <v>TSL 1</v>
      </c>
      <c r="D19" s="583"/>
      <c r="F19" s="581"/>
      <c r="G19" s="599" t="str">
        <f>"Full Analysis Period ("&amp;Reference_Year&amp;" - "&amp;Terminal_Year&amp;")"</f>
        <v>Full Analysis Period (2023 - 2057)</v>
      </c>
      <c r="H19" s="585"/>
      <c r="I19" s="596"/>
      <c r="J19" s="582" t="s">
        <v>237</v>
      </c>
      <c r="K19" s="582" t="s">
        <v>90</v>
      </c>
      <c r="L19" s="583"/>
      <c r="M19" s="7"/>
      <c r="N19" s="7"/>
      <c r="O19" s="7"/>
      <c r="P19" s="7"/>
      <c r="Q19" s="7"/>
      <c r="R19" s="7"/>
      <c r="S19" s="7"/>
      <c r="T19" s="7"/>
      <c r="U19" s="7"/>
      <c r="V19" s="5"/>
      <c r="W19" s="4"/>
      <c r="X19" s="4"/>
      <c r="Y19" s="4"/>
    </row>
    <row r="20" spans="2:33" ht="15" customHeight="1" x14ac:dyDescent="0.35">
      <c r="B20" s="581"/>
      <c r="C20" s="712">
        <f ca="1">INPV_Standards</f>
        <v>1499.1851254753822</v>
      </c>
      <c r="D20" s="583"/>
      <c r="F20" s="581"/>
      <c r="G20" s="600" t="s">
        <v>84</v>
      </c>
      <c r="H20" s="592" t="str">
        <f>Dollar_Year&amp;"$ MM"</f>
        <v>2021$ MM</v>
      </c>
      <c r="I20" s="596"/>
      <c r="J20" s="719">
        <v>1522.8562600273644</v>
      </c>
      <c r="K20" s="719">
        <v>1525.2380078276362</v>
      </c>
      <c r="L20" s="583"/>
      <c r="M20" s="7"/>
      <c r="N20" s="7"/>
      <c r="O20" s="7"/>
      <c r="P20" s="7"/>
      <c r="Q20" s="7"/>
      <c r="R20" s="7"/>
      <c r="S20" s="7"/>
      <c r="T20" s="7"/>
      <c r="U20" s="7"/>
      <c r="V20" s="5"/>
      <c r="W20" s="4"/>
      <c r="X20" s="4"/>
      <c r="Y20" s="4"/>
    </row>
    <row r="21" spans="2:33" ht="15" customHeight="1" x14ac:dyDescent="0.35">
      <c r="B21" s="581"/>
      <c r="C21" s="713">
        <f ca="1">INPV_Standards-INPV_NoSTDs</f>
        <v>-66.729182702737262</v>
      </c>
      <c r="D21" s="583"/>
      <c r="F21" s="581"/>
      <c r="G21" s="600" t="s">
        <v>154</v>
      </c>
      <c r="H21" s="592" t="str">
        <f>Dollar_Year&amp;"$ MM"</f>
        <v>2021$ MM</v>
      </c>
      <c r="I21" s="596"/>
      <c r="J21" s="721">
        <v>-43.058048150754985</v>
      </c>
      <c r="K21" s="721">
        <v>-40.676300350483189</v>
      </c>
      <c r="L21" s="583"/>
      <c r="M21" s="7"/>
      <c r="N21" s="7"/>
      <c r="O21" s="7"/>
      <c r="P21" s="7"/>
      <c r="Q21" s="7"/>
      <c r="R21" s="7"/>
      <c r="S21" s="7"/>
      <c r="T21" s="7"/>
      <c r="U21" s="7"/>
      <c r="V21" s="5"/>
      <c r="W21" s="4"/>
      <c r="X21" s="4"/>
      <c r="Y21" s="4"/>
    </row>
    <row r="22" spans="2:33" ht="15" customHeight="1" x14ac:dyDescent="0.35">
      <c r="B22" s="581"/>
      <c r="C22" s="714">
        <f ca="1">C21/INPV_NoSTDs</f>
        <v>-4.2613559601721807E-2</v>
      </c>
      <c r="D22" s="583"/>
      <c r="F22" s="581"/>
      <c r="G22" s="600" t="s">
        <v>155</v>
      </c>
      <c r="H22" s="601" t="s">
        <v>89</v>
      </c>
      <c r="I22" s="596"/>
      <c r="J22" s="726">
        <v>-2.7497065405099563E-2</v>
      </c>
      <c r="K22" s="727">
        <v>-2.5976070426106834E-2</v>
      </c>
      <c r="L22" s="583"/>
      <c r="M22" s="7"/>
      <c r="N22" s="7"/>
      <c r="O22" s="7"/>
      <c r="P22" s="7"/>
      <c r="Q22" s="7"/>
      <c r="R22" s="7"/>
      <c r="S22" s="7"/>
      <c r="T22" s="7"/>
      <c r="U22" s="7"/>
      <c r="V22" s="5"/>
      <c r="W22" s="4"/>
      <c r="X22" s="4"/>
      <c r="Y22" s="4"/>
    </row>
    <row r="23" spans="2:33" ht="15" customHeight="1" x14ac:dyDescent="0.35">
      <c r="B23" s="581"/>
      <c r="C23" s="713">
        <f ca="1">ProductConversionCosts</f>
        <v>6.0433365226657978</v>
      </c>
      <c r="D23" s="583"/>
      <c r="F23" s="581"/>
      <c r="G23" s="602" t="s">
        <v>60</v>
      </c>
      <c r="H23" s="592" t="str">
        <f>Dollar_Year&amp;"$ MM"</f>
        <v>2021$ MM</v>
      </c>
      <c r="I23" s="596"/>
      <c r="J23" s="721">
        <v>0</v>
      </c>
      <c r="K23" s="720">
        <v>6.0433365226657978</v>
      </c>
      <c r="L23" s="583"/>
      <c r="M23" s="7"/>
      <c r="N23" s="7"/>
      <c r="O23" s="7"/>
      <c r="P23" s="7"/>
      <c r="Q23" s="7"/>
      <c r="R23" s="7"/>
      <c r="S23" s="7"/>
      <c r="T23" s="7"/>
      <c r="U23" s="7"/>
      <c r="V23" s="5"/>
      <c r="W23" s="4"/>
      <c r="X23" s="4"/>
      <c r="Y23" s="4"/>
    </row>
    <row r="24" spans="2:33" ht="15" customHeight="1" x14ac:dyDescent="0.35">
      <c r="B24" s="581"/>
      <c r="C24" s="713">
        <f ca="1">CapitalConversionCosts</f>
        <v>20.442382391607332</v>
      </c>
      <c r="D24" s="583"/>
      <c r="F24" s="581"/>
      <c r="G24" s="602" t="s">
        <v>92</v>
      </c>
      <c r="H24" s="592" t="str">
        <f>Dollar_Year&amp;"$ MM"</f>
        <v>2021$ MM</v>
      </c>
      <c r="I24" s="596"/>
      <c r="J24" s="721">
        <v>0</v>
      </c>
      <c r="K24" s="720">
        <v>20.442382391607332</v>
      </c>
      <c r="L24" s="583"/>
      <c r="M24" s="7"/>
      <c r="N24" s="7"/>
      <c r="O24" s="7"/>
      <c r="P24" s="7"/>
      <c r="Q24" s="7"/>
      <c r="R24" s="7"/>
      <c r="S24" s="7"/>
      <c r="T24" s="7"/>
      <c r="U24" s="7"/>
      <c r="V24" s="5"/>
      <c r="W24" s="4"/>
      <c r="X24" s="4"/>
      <c r="Y24" s="4"/>
    </row>
    <row r="25" spans="2:33" ht="15" customHeight="1" thickBot="1" x14ac:dyDescent="0.4">
      <c r="B25" s="581"/>
      <c r="C25" s="715">
        <f ca="1">SUM(C23:C24)</f>
        <v>26.485718914273129</v>
      </c>
      <c r="D25" s="583"/>
      <c r="F25" s="581"/>
      <c r="G25" s="600" t="s">
        <v>85</v>
      </c>
      <c r="H25" s="592" t="str">
        <f>Dollar_Year&amp;"$ MM"</f>
        <v>2021$ MM</v>
      </c>
      <c r="I25" s="596"/>
      <c r="J25" s="724">
        <v>0</v>
      </c>
      <c r="K25" s="725">
        <v>26.485718914273129</v>
      </c>
      <c r="L25" s="583"/>
      <c r="M25" s="7"/>
      <c r="N25" s="7"/>
      <c r="O25" s="7"/>
      <c r="P25" s="7"/>
      <c r="Q25" s="7"/>
      <c r="R25" s="7"/>
      <c r="S25" s="7"/>
      <c r="T25" s="7"/>
      <c r="U25" s="7"/>
      <c r="V25" s="5"/>
      <c r="W25" s="4"/>
      <c r="X25" s="4"/>
      <c r="Y25" s="4"/>
    </row>
    <row r="26" spans="2:33" ht="15" customHeight="1" thickBot="1" x14ac:dyDescent="0.4">
      <c r="B26" s="586"/>
      <c r="C26" s="587"/>
      <c r="D26" s="588"/>
      <c r="F26" s="586"/>
      <c r="G26" s="587"/>
      <c r="H26" s="587"/>
      <c r="I26" s="587"/>
      <c r="J26" s="587"/>
      <c r="K26" s="587"/>
      <c r="L26" s="588"/>
      <c r="M26" s="7"/>
      <c r="N26" s="7"/>
      <c r="O26" s="7"/>
      <c r="P26" s="7"/>
      <c r="Q26" s="7"/>
      <c r="R26" s="7"/>
      <c r="S26" s="7"/>
      <c r="T26" s="7"/>
      <c r="U26" s="7"/>
      <c r="W26" s="4"/>
      <c r="X26" s="4"/>
      <c r="Y26" s="4"/>
    </row>
    <row r="27" spans="2:33" ht="15" customHeight="1" thickBot="1" x14ac:dyDescent="0.4">
      <c r="H27" s="4"/>
      <c r="I27" s="4"/>
      <c r="W27" s="4"/>
      <c r="X27" s="4"/>
      <c r="Y27" s="4"/>
    </row>
    <row r="28" spans="2:33" ht="15" customHeight="1" x14ac:dyDescent="0.35">
      <c r="F28" s="578"/>
      <c r="G28" s="579"/>
      <c r="H28" s="579"/>
      <c r="I28" s="579"/>
      <c r="J28" s="579"/>
      <c r="K28" s="579"/>
      <c r="L28" s="580"/>
      <c r="W28" s="4"/>
      <c r="X28" s="4"/>
      <c r="Y28" s="4"/>
    </row>
    <row r="29" spans="2:33" ht="15" customHeight="1" x14ac:dyDescent="0.35">
      <c r="F29" s="581"/>
      <c r="G29" s="589" t="str">
        <f>Standard_Year&amp;" - Year Standards Go Into Effect"</f>
        <v>2026 - Year Standards Go Into Effect</v>
      </c>
      <c r="H29" s="585"/>
      <c r="I29" s="590"/>
      <c r="J29" s="582" t="s">
        <v>237</v>
      </c>
      <c r="K29" s="582" t="s">
        <v>90</v>
      </c>
      <c r="L29" s="583"/>
      <c r="W29" s="4"/>
      <c r="X29" s="4"/>
      <c r="Y29" s="4"/>
    </row>
    <row r="30" spans="2:33" ht="15" customHeight="1" x14ac:dyDescent="0.35">
      <c r="F30" s="581"/>
      <c r="G30" s="591" t="str">
        <f>"Unit Shipments ("&amp;Standard_Year&amp;")"</f>
        <v>Unit Shipments (2026)</v>
      </c>
      <c r="H30" s="592" t="s">
        <v>153</v>
      </c>
      <c r="I30" s="593"/>
      <c r="J30" s="17">
        <v>9.0122912362700944</v>
      </c>
      <c r="K30" s="17">
        <v>8.9699231360466918</v>
      </c>
      <c r="L30" s="583"/>
      <c r="W30" s="4"/>
      <c r="X30" s="4"/>
      <c r="Y30" s="4"/>
    </row>
    <row r="31" spans="2:33" ht="15" customHeight="1" x14ac:dyDescent="0.35">
      <c r="F31" s="581"/>
      <c r="G31" s="594" t="str">
        <f>"Price per unit (weighted avg.) ("&amp;Standard_Year&amp;")"</f>
        <v>Price per unit (weighted avg.) (2026)</v>
      </c>
      <c r="H31" s="595" t="str">
        <f>Dollar_Year&amp;"$"</f>
        <v>2021$</v>
      </c>
      <c r="I31" s="596"/>
      <c r="J31" s="716">
        <v>81.324299679089791</v>
      </c>
      <c r="K31" s="716">
        <v>82.559252482410272</v>
      </c>
      <c r="L31" s="583"/>
      <c r="W31" s="4"/>
      <c r="X31" s="4"/>
      <c r="Y31" s="4"/>
    </row>
    <row r="32" spans="2:33" ht="15" customHeight="1" x14ac:dyDescent="0.35">
      <c r="F32" s="581"/>
      <c r="G32" s="594" t="str">
        <f>"Shipment-Weighted Avg MPC ("&amp;Standard_Year&amp;")"</f>
        <v>Shipment-Weighted Avg MPC (2026)</v>
      </c>
      <c r="H32" s="595" t="str">
        <f>Dollar_Year&amp;"$"</f>
        <v>2021$</v>
      </c>
      <c r="I32" s="596"/>
      <c r="J32" s="716">
        <v>56.085723916613652</v>
      </c>
      <c r="K32" s="716">
        <v>57.06473644243151</v>
      </c>
      <c r="L32" s="583"/>
      <c r="W32" s="4"/>
      <c r="X32" s="4"/>
      <c r="Y32" s="4"/>
    </row>
    <row r="33" spans="6:25" ht="15" customHeight="1" x14ac:dyDescent="0.35">
      <c r="F33" s="581"/>
      <c r="G33" s="594" t="str">
        <f>"Change in Shipment-Weighted Avg MPC ("&amp;Standard_Year&amp;")"</f>
        <v>Change in Shipment-Weighted Avg MPC (2026)</v>
      </c>
      <c r="H33" s="595" t="s">
        <v>89</v>
      </c>
      <c r="I33" s="596"/>
      <c r="J33" s="717">
        <v>0</v>
      </c>
      <c r="K33" s="718">
        <v>1.7455645705374511E-2</v>
      </c>
      <c r="L33" s="583"/>
      <c r="W33" s="4"/>
      <c r="X33" s="4"/>
      <c r="Y33" s="4"/>
    </row>
    <row r="34" spans="6:25" ht="15" customHeight="1" x14ac:dyDescent="0.35">
      <c r="F34" s="581"/>
      <c r="G34" s="597"/>
      <c r="H34" s="596"/>
      <c r="I34" s="596"/>
      <c r="J34" s="598"/>
      <c r="K34" s="584"/>
      <c r="L34" s="583"/>
      <c r="W34" s="4"/>
      <c r="X34" s="4"/>
      <c r="Y34" s="4"/>
    </row>
    <row r="35" spans="6:25" ht="15" customHeight="1" x14ac:dyDescent="0.35">
      <c r="F35" s="581"/>
      <c r="G35" s="591" t="str">
        <f>"Total Revenue ("&amp;Standard_Year&amp;")"</f>
        <v>Total Revenue (2026)</v>
      </c>
      <c r="H35" s="592" t="str">
        <f t="shared" ref="H35:H40" si="1">Dollar_Year&amp;"$ MM"</f>
        <v>2021$ MM</v>
      </c>
      <c r="I35" s="596"/>
      <c r="J35" s="719">
        <v>732.91827329366379</v>
      </c>
      <c r="K35" s="719">
        <v>740.55014893669215</v>
      </c>
      <c r="L35" s="583"/>
      <c r="W35" s="4"/>
      <c r="X35" s="4"/>
      <c r="Y35" s="4"/>
    </row>
    <row r="36" spans="6:25" ht="15" customHeight="1" x14ac:dyDescent="0.35">
      <c r="F36" s="581"/>
      <c r="G36" s="591" t="str">
        <f>CONCATENATE("Conversion Period Revenue (",Announcement_Year," - ",Standard_Year-1,")")</f>
        <v>Conversion Period Revenue (2023 - 2025)</v>
      </c>
      <c r="H36" s="592" t="str">
        <f t="shared" si="1"/>
        <v>2021$ MM</v>
      </c>
      <c r="I36" s="596"/>
      <c r="J36" s="720">
        <v>2038.7165700482155</v>
      </c>
      <c r="K36" s="720">
        <v>2041.2359752986363</v>
      </c>
      <c r="L36" s="583"/>
      <c r="W36" s="4"/>
      <c r="X36" s="4"/>
      <c r="Y36" s="4"/>
    </row>
    <row r="37" spans="6:25" ht="15" customHeight="1" x14ac:dyDescent="0.35">
      <c r="F37" s="581"/>
      <c r="G37" s="591" t="str">
        <f>"EBIT ("&amp;Standard_Year+1&amp;")"</f>
        <v>EBIT (2027)</v>
      </c>
      <c r="H37" s="592" t="str">
        <f t="shared" si="1"/>
        <v>2021$ MM</v>
      </c>
      <c r="I37" s="596"/>
      <c r="J37" s="720">
        <v>84.932825174946174</v>
      </c>
      <c r="K37" s="720">
        <v>84.686059072974331</v>
      </c>
      <c r="L37" s="583"/>
      <c r="W37" s="4"/>
      <c r="X37" s="4"/>
      <c r="Y37" s="4"/>
    </row>
    <row r="38" spans="6:25" ht="15" customHeight="1" x14ac:dyDescent="0.35">
      <c r="F38" s="581"/>
      <c r="G38" s="594" t="str">
        <f>"Net Operating Profit After Tax ("&amp;Standard_Year+1&amp;")"</f>
        <v>Net Operating Profit After Tax (2027)</v>
      </c>
      <c r="H38" s="592" t="str">
        <f t="shared" si="1"/>
        <v>2021$ MM</v>
      </c>
      <c r="I38" s="596"/>
      <c r="J38" s="720">
        <v>61.661231077010925</v>
      </c>
      <c r="K38" s="720">
        <v>61.482078886979366</v>
      </c>
      <c r="L38" s="583"/>
      <c r="W38" s="4"/>
      <c r="X38" s="4"/>
      <c r="Y38" s="4"/>
    </row>
    <row r="39" spans="6:25" ht="15" customHeight="1" x14ac:dyDescent="0.35">
      <c r="F39" s="581"/>
      <c r="G39" s="591" t="str">
        <f>"Free Cash Flow ("&amp;Standard_Year-1&amp;")"</f>
        <v>Free Cash Flow (2025)</v>
      </c>
      <c r="H39" s="592" t="str">
        <f t="shared" si="1"/>
        <v>2021$ MM</v>
      </c>
      <c r="I39" s="596"/>
      <c r="J39" s="720">
        <v>50.215636160980324</v>
      </c>
      <c r="K39" s="720">
        <v>40.080145579059888</v>
      </c>
      <c r="L39" s="583"/>
      <c r="W39" s="4"/>
      <c r="X39" s="4"/>
      <c r="Y39" s="4"/>
    </row>
    <row r="40" spans="6:25" ht="15" customHeight="1" x14ac:dyDescent="0.35">
      <c r="F40" s="581"/>
      <c r="G40" s="591" t="str">
        <f>"Change in Free Cash Flow ($) ("&amp;Standard_Year-1&amp;")"</f>
        <v>Change in Free Cash Flow ($) (2025)</v>
      </c>
      <c r="H40" s="592" t="str">
        <f t="shared" si="1"/>
        <v>2021$ MM</v>
      </c>
      <c r="I40" s="596"/>
      <c r="J40" s="721">
        <v>0.27593816454407261</v>
      </c>
      <c r="K40" s="720">
        <v>-9.8595524173763636</v>
      </c>
      <c r="L40" s="583"/>
      <c r="W40" s="4"/>
      <c r="X40" s="4"/>
      <c r="Y40" s="4"/>
    </row>
    <row r="41" spans="6:25" ht="15" customHeight="1" x14ac:dyDescent="0.35">
      <c r="F41" s="581"/>
      <c r="G41" s="591" t="str">
        <f>"Change in Free Cash Flow (%) ("&amp;Standard_Year-1&amp;")"</f>
        <v>Change in Free Cash Flow (%) (2025)</v>
      </c>
      <c r="H41" s="592" t="s">
        <v>89</v>
      </c>
      <c r="I41" s="596"/>
      <c r="J41" s="722">
        <v>5.525427177468391E-3</v>
      </c>
      <c r="K41" s="723">
        <v>-0.19742915582068502</v>
      </c>
      <c r="L41" s="583"/>
      <c r="W41" s="4"/>
      <c r="X41" s="4"/>
      <c r="Y41" s="4"/>
    </row>
    <row r="42" spans="6:25" ht="15" customHeight="1" x14ac:dyDescent="0.35">
      <c r="F42" s="581"/>
      <c r="G42" s="585"/>
      <c r="H42" s="585"/>
      <c r="I42" s="596"/>
      <c r="J42" s="590"/>
      <c r="K42" s="585"/>
      <c r="L42" s="583"/>
      <c r="W42" s="4"/>
      <c r="X42" s="4"/>
      <c r="Y42" s="4"/>
    </row>
    <row r="43" spans="6:25" ht="15" customHeight="1" x14ac:dyDescent="0.35">
      <c r="F43" s="581"/>
      <c r="G43" s="599" t="str">
        <f>"Full Analysis Period ("&amp;Reference_Year&amp;" - "&amp;Terminal_Year&amp;")"</f>
        <v>Full Analysis Period (2023 - 2057)</v>
      </c>
      <c r="H43" s="585"/>
      <c r="I43" s="596"/>
      <c r="J43" s="582" t="s">
        <v>237</v>
      </c>
      <c r="K43" s="582" t="s">
        <v>90</v>
      </c>
      <c r="L43" s="583"/>
      <c r="W43" s="4"/>
      <c r="X43" s="4"/>
      <c r="Y43" s="4"/>
    </row>
    <row r="44" spans="6:25" ht="15" customHeight="1" x14ac:dyDescent="0.35">
      <c r="F44" s="581"/>
      <c r="G44" s="600" t="s">
        <v>84</v>
      </c>
      <c r="H44" s="592" t="str">
        <f>Dollar_Year&amp;"$ MM"</f>
        <v>2021$ MM</v>
      </c>
      <c r="I44" s="596"/>
      <c r="J44" s="719">
        <v>1522.8562600273644</v>
      </c>
      <c r="K44" s="719">
        <v>1499.1851254753822</v>
      </c>
      <c r="L44" s="583"/>
      <c r="W44" s="4"/>
      <c r="X44" s="4"/>
      <c r="Y44" s="4"/>
    </row>
    <row r="45" spans="6:25" ht="15" customHeight="1" x14ac:dyDescent="0.35">
      <c r="F45" s="581"/>
      <c r="G45" s="600" t="s">
        <v>154</v>
      </c>
      <c r="H45" s="592" t="str">
        <f>Dollar_Year&amp;"$ MM"</f>
        <v>2021$ MM</v>
      </c>
      <c r="I45" s="596"/>
      <c r="J45" s="721">
        <v>-43.058048150754985</v>
      </c>
      <c r="K45" s="721">
        <v>-66.729182702737262</v>
      </c>
      <c r="L45" s="583"/>
      <c r="W45" s="4"/>
      <c r="X45" s="4"/>
      <c r="Y45" s="4"/>
    </row>
    <row r="46" spans="6:25" ht="15" customHeight="1" x14ac:dyDescent="0.35">
      <c r="F46" s="581"/>
      <c r="G46" s="600" t="s">
        <v>155</v>
      </c>
      <c r="H46" s="601" t="s">
        <v>89</v>
      </c>
      <c r="I46" s="596"/>
      <c r="J46" s="726">
        <v>-2.7497065405099563E-2</v>
      </c>
      <c r="K46" s="727">
        <v>-4.2613559601721807E-2</v>
      </c>
      <c r="L46" s="583"/>
      <c r="W46" s="4"/>
      <c r="X46" s="4"/>
      <c r="Y46" s="4"/>
    </row>
    <row r="47" spans="6:25" ht="15" customHeight="1" x14ac:dyDescent="0.35">
      <c r="F47" s="581"/>
      <c r="G47" s="602" t="s">
        <v>60</v>
      </c>
      <c r="H47" s="592" t="str">
        <f>Dollar_Year&amp;"$ MM"</f>
        <v>2021$ MM</v>
      </c>
      <c r="I47" s="596"/>
      <c r="J47" s="721">
        <v>0</v>
      </c>
      <c r="K47" s="720">
        <v>6.0433365226657978</v>
      </c>
      <c r="L47" s="583"/>
      <c r="W47" s="4"/>
      <c r="X47" s="4"/>
      <c r="Y47" s="4"/>
    </row>
    <row r="48" spans="6:25" ht="15" customHeight="1" x14ac:dyDescent="0.35">
      <c r="F48" s="581"/>
      <c r="G48" s="602" t="s">
        <v>92</v>
      </c>
      <c r="H48" s="592" t="str">
        <f>Dollar_Year&amp;"$ MM"</f>
        <v>2021$ MM</v>
      </c>
      <c r="I48" s="596"/>
      <c r="J48" s="721">
        <v>0</v>
      </c>
      <c r="K48" s="720">
        <v>20.442382391607332</v>
      </c>
      <c r="L48" s="583"/>
      <c r="W48" s="4"/>
      <c r="X48" s="4"/>
      <c r="Y48" s="4"/>
    </row>
    <row r="49" spans="6:25" ht="15" customHeight="1" x14ac:dyDescent="0.35">
      <c r="F49" s="581"/>
      <c r="G49" s="600" t="s">
        <v>85</v>
      </c>
      <c r="H49" s="592" t="str">
        <f>Dollar_Year&amp;"$ MM"</f>
        <v>2021$ MM</v>
      </c>
      <c r="I49" s="596"/>
      <c r="J49" s="724">
        <v>0</v>
      </c>
      <c r="K49" s="725">
        <v>26.485718914273129</v>
      </c>
      <c r="L49" s="583"/>
      <c r="W49" s="4"/>
      <c r="X49" s="4"/>
      <c r="Y49" s="4"/>
    </row>
    <row r="50" spans="6:25" ht="15" customHeight="1" thickBot="1" x14ac:dyDescent="0.4">
      <c r="F50" s="586"/>
      <c r="G50" s="587"/>
      <c r="H50" s="587"/>
      <c r="I50" s="587"/>
      <c r="J50" s="587"/>
      <c r="K50" s="587"/>
      <c r="L50" s="588"/>
      <c r="W50" s="4"/>
      <c r="X50" s="4"/>
      <c r="Y50" s="4"/>
    </row>
    <row r="51" spans="6:25" ht="15" customHeight="1" x14ac:dyDescent="0.35">
      <c r="H51" s="4"/>
      <c r="I51" s="4"/>
      <c r="W51" s="4"/>
      <c r="X51" s="4"/>
      <c r="Y51" s="4"/>
    </row>
    <row r="52" spans="6:25" ht="15" customHeight="1" x14ac:dyDescent="0.35">
      <c r="H52" s="4"/>
      <c r="I52" s="4"/>
      <c r="W52" s="4"/>
      <c r="X52" s="4"/>
      <c r="Y52" s="4"/>
    </row>
    <row r="53" spans="6:25" ht="15" customHeight="1" x14ac:dyDescent="0.35">
      <c r="H53" s="4"/>
      <c r="I53" s="4"/>
      <c r="W53" s="4"/>
      <c r="X53" s="4"/>
      <c r="Y53" s="4"/>
    </row>
    <row r="54" spans="6:25" ht="15" customHeight="1" x14ac:dyDescent="0.35">
      <c r="H54" s="4"/>
      <c r="I54" s="4"/>
      <c r="W54" s="4"/>
      <c r="X54" s="4"/>
      <c r="Y54" s="4"/>
    </row>
    <row r="55" spans="6:25" ht="15" customHeight="1" x14ac:dyDescent="0.35">
      <c r="H55" s="4"/>
      <c r="I55" s="4"/>
      <c r="W55" s="4"/>
      <c r="X55" s="4"/>
      <c r="Y55" s="4"/>
    </row>
    <row r="56" spans="6:25" ht="15" customHeight="1" x14ac:dyDescent="0.35">
      <c r="H56" s="4"/>
      <c r="I56" s="4"/>
      <c r="W56" s="4"/>
      <c r="X56" s="4"/>
      <c r="Y56" s="4"/>
    </row>
    <row r="57" spans="6:25" ht="15" customHeight="1" x14ac:dyDescent="0.35">
      <c r="H57" s="4"/>
      <c r="I57" s="4"/>
      <c r="W57" s="4"/>
      <c r="X57" s="4"/>
      <c r="Y57" s="4"/>
    </row>
    <row r="58" spans="6:25" ht="15" customHeight="1" x14ac:dyDescent="0.35">
      <c r="H58" s="4"/>
      <c r="I58" s="4"/>
      <c r="W58" s="4"/>
      <c r="X58" s="4"/>
      <c r="Y58" s="4"/>
    </row>
    <row r="59" spans="6:25" ht="15" customHeight="1" x14ac:dyDescent="0.35">
      <c r="H59" s="4"/>
      <c r="I59" s="4"/>
      <c r="W59" s="4"/>
      <c r="X59" s="4"/>
      <c r="Y59" s="4"/>
    </row>
    <row r="60" spans="6:25" ht="15" customHeight="1" x14ac:dyDescent="0.35">
      <c r="H60" s="4"/>
      <c r="I60" s="4"/>
      <c r="W60" s="4"/>
      <c r="X60" s="4"/>
      <c r="Y60" s="4"/>
    </row>
    <row r="61" spans="6:25" ht="15" customHeight="1" x14ac:dyDescent="0.35">
      <c r="H61" s="4"/>
      <c r="I61" s="4"/>
      <c r="W61" s="4"/>
      <c r="X61" s="4"/>
      <c r="Y61" s="4"/>
    </row>
    <row r="62" spans="6:25" ht="15" customHeight="1" x14ac:dyDescent="0.35">
      <c r="H62" s="4"/>
      <c r="I62" s="4"/>
      <c r="W62" s="4"/>
      <c r="X62" s="4"/>
      <c r="Y62" s="4"/>
    </row>
    <row r="63" spans="6:25" ht="15" customHeight="1" x14ac:dyDescent="0.35">
      <c r="H63" s="4"/>
      <c r="I63" s="4"/>
      <c r="W63" s="4"/>
      <c r="X63" s="4"/>
      <c r="Y63" s="4"/>
    </row>
    <row r="64" spans="6:25" ht="15" customHeight="1" x14ac:dyDescent="0.35">
      <c r="H64" s="4"/>
      <c r="I64" s="4"/>
      <c r="W64" s="4"/>
      <c r="X64" s="4"/>
      <c r="Y64" s="4"/>
    </row>
    <row r="65" spans="8:25" ht="15" customHeight="1" x14ac:dyDescent="0.35">
      <c r="H65" s="4"/>
      <c r="I65" s="4"/>
      <c r="W65" s="4"/>
      <c r="X65" s="4"/>
      <c r="Y65" s="4"/>
    </row>
    <row r="66" spans="8:25" ht="15" customHeight="1" x14ac:dyDescent="0.35">
      <c r="H66" s="4"/>
      <c r="I66" s="4"/>
      <c r="W66" s="4"/>
      <c r="X66" s="4"/>
      <c r="Y66" s="4"/>
    </row>
    <row r="67" spans="8:25" ht="15" customHeight="1" x14ac:dyDescent="0.35">
      <c r="H67" s="4"/>
      <c r="I67" s="4"/>
      <c r="W67" s="4"/>
      <c r="X67" s="4"/>
      <c r="Y67" s="4"/>
    </row>
    <row r="68" spans="8:25" ht="15" customHeight="1" x14ac:dyDescent="0.35">
      <c r="H68" s="4"/>
      <c r="I68" s="4"/>
      <c r="W68" s="4"/>
      <c r="X68" s="4"/>
      <c r="Y68" s="4"/>
    </row>
    <row r="69" spans="8:25" ht="15" customHeight="1" x14ac:dyDescent="0.35">
      <c r="H69" s="4"/>
      <c r="I69" s="4"/>
      <c r="W69" s="4"/>
      <c r="X69" s="4"/>
      <c r="Y69" s="4"/>
    </row>
    <row r="70" spans="8:25" ht="15" customHeight="1" x14ac:dyDescent="0.35">
      <c r="H70" s="4"/>
      <c r="I70" s="4"/>
      <c r="W70" s="4"/>
      <c r="X70" s="4"/>
      <c r="Y70" s="4"/>
    </row>
    <row r="71" spans="8:25" ht="15" customHeight="1" x14ac:dyDescent="0.35">
      <c r="H71" s="4"/>
      <c r="I71" s="4"/>
      <c r="W71" s="4"/>
      <c r="X71" s="4"/>
      <c r="Y71" s="4"/>
    </row>
    <row r="72" spans="8:25" ht="15" customHeight="1" x14ac:dyDescent="0.35">
      <c r="H72" s="4"/>
      <c r="I72" s="4"/>
      <c r="W72" s="4"/>
      <c r="X72" s="4"/>
      <c r="Y72" s="4"/>
    </row>
    <row r="73" spans="8:25" ht="15" customHeight="1" x14ac:dyDescent="0.35">
      <c r="H73" s="4"/>
      <c r="I73" s="4"/>
      <c r="W73" s="4"/>
      <c r="X73" s="4"/>
      <c r="Y73" s="4"/>
    </row>
    <row r="74" spans="8:25" ht="15" customHeight="1" x14ac:dyDescent="0.35">
      <c r="H74" s="4"/>
      <c r="I74" s="4"/>
      <c r="W74" s="4"/>
      <c r="X74" s="4"/>
      <c r="Y74" s="4"/>
    </row>
    <row r="75" spans="8:25" ht="15" customHeight="1" x14ac:dyDescent="0.35">
      <c r="H75" s="4"/>
      <c r="I75" s="4"/>
      <c r="W75" s="4"/>
      <c r="X75" s="4"/>
      <c r="Y75" s="4"/>
    </row>
    <row r="76" spans="8:25" ht="15" customHeight="1" x14ac:dyDescent="0.35">
      <c r="H76" s="4"/>
      <c r="I76" s="4"/>
      <c r="W76" s="4"/>
      <c r="X76" s="4"/>
      <c r="Y76" s="4"/>
    </row>
    <row r="77" spans="8:25" ht="15" customHeight="1" x14ac:dyDescent="0.35">
      <c r="W77" s="4"/>
      <c r="X77" s="4"/>
      <c r="Y77" s="4"/>
    </row>
    <row r="78" spans="8:25" ht="15" customHeight="1" x14ac:dyDescent="0.35">
      <c r="W78" s="4"/>
      <c r="X78" s="4"/>
      <c r="Y78" s="4"/>
    </row>
    <row r="79" spans="8:25" ht="15" customHeight="1" x14ac:dyDescent="0.35">
      <c r="W79" s="4"/>
      <c r="X79" s="4"/>
      <c r="Y79" s="4"/>
    </row>
    <row r="80" spans="8:25" ht="15" customHeight="1" x14ac:dyDescent="0.35">
      <c r="W80" s="4"/>
      <c r="X80" s="4"/>
      <c r="Y80" s="4"/>
    </row>
  </sheetData>
  <mergeCells count="1">
    <mergeCell ref="B2:D2"/>
  </mergeCells>
  <phoneticPr fontId="11" type="noConversion"/>
  <hyperlinks>
    <hyperlink ref="G2" location="Navigation!A1" display="Navigation" xr:uid="{00000000-0004-0000-1500-000000000000}"/>
  </hyperlinks>
  <pageMargins left="0.75" right="0.75" top="1" bottom="1" header="0.5" footer="0.5"/>
  <pageSetup scale="87"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tabColor rgb="FFC00000"/>
  </sheetPr>
  <dimension ref="A1:AM68"/>
  <sheetViews>
    <sheetView showGridLines="0" zoomScale="70" zoomScaleNormal="70" workbookViewId="0"/>
  </sheetViews>
  <sheetFormatPr defaultColWidth="15.54296875" defaultRowHeight="15" customHeight="1" x14ac:dyDescent="0.35"/>
  <cols>
    <col min="1" max="2" width="3.54296875" style="4" customWidth="1"/>
    <col min="3" max="3" width="43.453125" style="4" customWidth="1"/>
    <col min="4" max="16384" width="15.54296875" style="4"/>
  </cols>
  <sheetData>
    <row r="1" spans="1:39" ht="15" customHeight="1" thickBot="1" x14ac:dyDescent="0.4">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row>
    <row r="2" spans="1:39" ht="15" customHeight="1" thickTop="1" thickBot="1" x14ac:dyDescent="0.4">
      <c r="C2" s="9" t="s">
        <v>175</v>
      </c>
      <c r="E2" s="8" t="s">
        <v>166</v>
      </c>
      <c r="G2" s="471" t="s">
        <v>157</v>
      </c>
      <c r="I2" s="472" t="s">
        <v>159</v>
      </c>
    </row>
    <row r="3" spans="1:39" ht="15" customHeight="1" thickBot="1" x14ac:dyDescent="0.4">
      <c r="B3" s="473"/>
      <c r="C3" s="473"/>
    </row>
    <row r="4" spans="1:39" ht="15" customHeight="1" x14ac:dyDescent="0.35">
      <c r="A4" s="456"/>
      <c r="B4" s="614"/>
      <c r="C4" s="615"/>
      <c r="D4" s="615"/>
      <c r="E4" s="615"/>
      <c r="F4" s="615"/>
      <c r="G4" s="615"/>
      <c r="H4" s="615"/>
      <c r="I4" s="615"/>
      <c r="J4" s="615"/>
      <c r="K4" s="615"/>
      <c r="L4" s="615"/>
      <c r="M4" s="615"/>
      <c r="N4" s="615"/>
      <c r="O4" s="615"/>
      <c r="P4" s="615"/>
      <c r="Q4" s="615"/>
      <c r="R4" s="615"/>
      <c r="S4" s="615"/>
      <c r="T4" s="615"/>
      <c r="U4" s="615"/>
      <c r="V4" s="615"/>
      <c r="W4" s="615"/>
      <c r="X4" s="615"/>
      <c r="Y4" s="615"/>
      <c r="Z4" s="615"/>
      <c r="AA4" s="615"/>
      <c r="AB4" s="615"/>
      <c r="AC4" s="615"/>
      <c r="AD4" s="615"/>
      <c r="AE4" s="615"/>
      <c r="AF4" s="615"/>
      <c r="AG4" s="615"/>
      <c r="AH4" s="615"/>
      <c r="AI4" s="615"/>
      <c r="AJ4" s="615"/>
      <c r="AK4" s="615"/>
      <c r="AL4" s="615"/>
      <c r="AM4" s="616"/>
    </row>
    <row r="5" spans="1:39" ht="15" customHeight="1" x14ac:dyDescent="0.35">
      <c r="B5" s="606"/>
      <c r="C5" s="613" t="s">
        <v>230</v>
      </c>
      <c r="D5" s="617"/>
      <c r="E5" s="617"/>
      <c r="F5" s="617"/>
      <c r="G5" s="617"/>
      <c r="H5" s="617"/>
      <c r="I5" s="617"/>
      <c r="J5" s="617"/>
      <c r="K5" s="617"/>
      <c r="L5" s="617"/>
      <c r="M5" s="617"/>
      <c r="N5" s="617"/>
      <c r="O5" s="617"/>
      <c r="P5" s="617"/>
      <c r="Q5" s="617"/>
      <c r="R5" s="617"/>
      <c r="S5" s="617"/>
      <c r="T5" s="617"/>
      <c r="U5" s="617"/>
      <c r="V5" s="617"/>
      <c r="W5" s="617"/>
      <c r="X5" s="617"/>
      <c r="Y5" s="617"/>
      <c r="Z5" s="617"/>
      <c r="AA5" s="617"/>
      <c r="AB5" s="617"/>
      <c r="AC5" s="617"/>
      <c r="AD5" s="617"/>
      <c r="AE5" s="617"/>
      <c r="AF5" s="617"/>
      <c r="AG5" s="617"/>
      <c r="AH5" s="617"/>
      <c r="AI5" s="617"/>
      <c r="AJ5" s="617"/>
      <c r="AK5" s="617"/>
      <c r="AL5" s="617"/>
      <c r="AM5" s="607"/>
    </row>
    <row r="6" spans="1:39" ht="15" customHeight="1" x14ac:dyDescent="0.35">
      <c r="B6" s="606"/>
      <c r="C6" s="612"/>
      <c r="D6" s="618" t="str">
        <f t="shared" ref="D6:AG6" si="0">IF(D7=Announcement_Year,"Ancmt Yr",
IF(D7=Reference_Year,"Ref Yr",
IF(D7=Standard_Year,"Std Yr",
IF(D7=Terminal_Year,"Term Yr",
" "))))</f>
        <v xml:space="preserve"> </v>
      </c>
      <c r="E6" s="618" t="str">
        <f t="shared" ca="1" si="0"/>
        <v>Ancmt Yr</v>
      </c>
      <c r="F6" s="618" t="str">
        <f t="shared" ca="1" si="0"/>
        <v xml:space="preserve"> </v>
      </c>
      <c r="G6" s="618" t="str">
        <f t="shared" ca="1" si="0"/>
        <v xml:space="preserve"> </v>
      </c>
      <c r="H6" s="618" t="str">
        <f t="shared" ca="1" si="0"/>
        <v>Std Yr</v>
      </c>
      <c r="I6" s="618" t="str">
        <f t="shared" ca="1" si="0"/>
        <v xml:space="preserve"> </v>
      </c>
      <c r="J6" s="618" t="str">
        <f t="shared" ca="1" si="0"/>
        <v xml:space="preserve"> </v>
      </c>
      <c r="K6" s="618" t="str">
        <f t="shared" ca="1" si="0"/>
        <v xml:space="preserve"> </v>
      </c>
      <c r="L6" s="618" t="str">
        <f t="shared" ca="1" si="0"/>
        <v xml:space="preserve"> </v>
      </c>
      <c r="M6" s="618" t="str">
        <f t="shared" ca="1" si="0"/>
        <v xml:space="preserve"> </v>
      </c>
      <c r="N6" s="618" t="str">
        <f t="shared" ca="1" si="0"/>
        <v xml:space="preserve"> </v>
      </c>
      <c r="O6" s="618" t="str">
        <f t="shared" ca="1" si="0"/>
        <v xml:space="preserve"> </v>
      </c>
      <c r="P6" s="618" t="str">
        <f t="shared" ca="1" si="0"/>
        <v xml:space="preserve"> </v>
      </c>
      <c r="Q6" s="618" t="str">
        <f t="shared" ca="1" si="0"/>
        <v xml:space="preserve"> </v>
      </c>
      <c r="R6" s="618" t="str">
        <f t="shared" ca="1" si="0"/>
        <v xml:space="preserve"> </v>
      </c>
      <c r="S6" s="618" t="str">
        <f t="shared" ca="1" si="0"/>
        <v xml:space="preserve"> </v>
      </c>
      <c r="T6" s="618" t="str">
        <f t="shared" ca="1" si="0"/>
        <v xml:space="preserve"> </v>
      </c>
      <c r="U6" s="618" t="str">
        <f t="shared" ca="1" si="0"/>
        <v xml:space="preserve"> </v>
      </c>
      <c r="V6" s="618" t="str">
        <f t="shared" ca="1" si="0"/>
        <v xml:space="preserve"> </v>
      </c>
      <c r="W6" s="618" t="str">
        <f t="shared" ca="1" si="0"/>
        <v xml:space="preserve"> </v>
      </c>
      <c r="X6" s="618" t="str">
        <f t="shared" ca="1" si="0"/>
        <v xml:space="preserve"> </v>
      </c>
      <c r="Y6" s="618" t="str">
        <f t="shared" ca="1" si="0"/>
        <v xml:space="preserve"> </v>
      </c>
      <c r="Z6" s="618" t="str">
        <f t="shared" ca="1" si="0"/>
        <v xml:space="preserve"> </v>
      </c>
      <c r="AA6" s="618" t="str">
        <f t="shared" ca="1" si="0"/>
        <v xml:space="preserve"> </v>
      </c>
      <c r="AB6" s="618" t="str">
        <f t="shared" ca="1" si="0"/>
        <v xml:space="preserve"> </v>
      </c>
      <c r="AC6" s="618" t="str">
        <f t="shared" ca="1" si="0"/>
        <v xml:space="preserve"> </v>
      </c>
      <c r="AD6" s="618" t="str">
        <f t="shared" ca="1" si="0"/>
        <v xml:space="preserve"> </v>
      </c>
      <c r="AE6" s="618" t="str">
        <f t="shared" ca="1" si="0"/>
        <v xml:space="preserve"> </v>
      </c>
      <c r="AF6" s="618" t="str">
        <f t="shared" ca="1" si="0"/>
        <v xml:space="preserve"> </v>
      </c>
      <c r="AG6" s="618" t="str">
        <f t="shared" ca="1" si="0"/>
        <v xml:space="preserve"> </v>
      </c>
      <c r="AH6" s="618"/>
      <c r="AI6" s="618" t="str">
        <f ca="1">IF(AI7=Announcement_Year,"Ancmt Yr",
IF(AI7=Reference_Year,"Ref Yr",
IF(AI7=Standard_Year,"Std Yr",
IF(AI7=Terminal_Year,"Term Yr",
" "))))</f>
        <v xml:space="preserve"> </v>
      </c>
      <c r="AJ6" s="618" t="str">
        <f ca="1">IF(AJ7=Announcement_Year,"Ancmt Yr",
IF(AJ7=Reference_Year,"Ref Yr",
IF(AJ7=Standard_Year,"Std Yr",
IF(AJ7=Terminal_Year,"Term Yr",
" "))))</f>
        <v xml:space="preserve"> </v>
      </c>
      <c r="AK6" s="618" t="str">
        <f ca="1">IF(AK7=Announcement_Year,"Ancmt Yr",
IF(AK7=Reference_Year,"Ref Yr",
IF(AK7=Standard_Year,"Std Yr",
IF(AK7=Terminal_Year,"Term Yr",
" "))))</f>
        <v xml:space="preserve"> </v>
      </c>
      <c r="AL6" s="618" t="str">
        <f ca="1">IF(AL7=Announcement_Year,"Ancmt Yr",
IF(AL7=Reference_Year,"Ref Yr",
IF(AL7=Standard_Year,"Std Yr",
IF(AL7=Terminal_Year,"Term Yr",
" "))))</f>
        <v xml:space="preserve"> </v>
      </c>
      <c r="AM6" s="607"/>
    </row>
    <row r="7" spans="1:39" ht="15" customHeight="1" thickBot="1" x14ac:dyDescent="0.4">
      <c r="B7" s="606"/>
      <c r="C7" s="619" t="str">
        <f>"Standards Case - "&amp;TSL_X</f>
        <v>Standards Case - TSL 1</v>
      </c>
      <c r="D7" s="620">
        <f>Reference_Year - 1</f>
        <v>2022</v>
      </c>
      <c r="E7" s="620">
        <f ca="1">OFFSET(E7,0,-1)+1</f>
        <v>2023</v>
      </c>
      <c r="F7" s="620">
        <f t="shared" ref="F7:AL7" ca="1" si="1">OFFSET(F7,0,-1)+1</f>
        <v>2024</v>
      </c>
      <c r="G7" s="620">
        <f t="shared" ca="1" si="1"/>
        <v>2025</v>
      </c>
      <c r="H7" s="620">
        <f t="shared" ca="1" si="1"/>
        <v>2026</v>
      </c>
      <c r="I7" s="620">
        <f t="shared" ca="1" si="1"/>
        <v>2027</v>
      </c>
      <c r="J7" s="620">
        <f t="shared" ca="1" si="1"/>
        <v>2028</v>
      </c>
      <c r="K7" s="620">
        <f t="shared" ca="1" si="1"/>
        <v>2029</v>
      </c>
      <c r="L7" s="620">
        <f t="shared" ca="1" si="1"/>
        <v>2030</v>
      </c>
      <c r="M7" s="620">
        <f t="shared" ca="1" si="1"/>
        <v>2031</v>
      </c>
      <c r="N7" s="620">
        <f t="shared" ca="1" si="1"/>
        <v>2032</v>
      </c>
      <c r="O7" s="620">
        <f t="shared" ca="1" si="1"/>
        <v>2033</v>
      </c>
      <c r="P7" s="620">
        <f t="shared" ca="1" si="1"/>
        <v>2034</v>
      </c>
      <c r="Q7" s="620">
        <f t="shared" ca="1" si="1"/>
        <v>2035</v>
      </c>
      <c r="R7" s="620">
        <f t="shared" ca="1" si="1"/>
        <v>2036</v>
      </c>
      <c r="S7" s="620">
        <f t="shared" ca="1" si="1"/>
        <v>2037</v>
      </c>
      <c r="T7" s="620">
        <f t="shared" ca="1" si="1"/>
        <v>2038</v>
      </c>
      <c r="U7" s="620">
        <f t="shared" ca="1" si="1"/>
        <v>2039</v>
      </c>
      <c r="V7" s="620">
        <f t="shared" ca="1" si="1"/>
        <v>2040</v>
      </c>
      <c r="W7" s="620">
        <f t="shared" ca="1" si="1"/>
        <v>2041</v>
      </c>
      <c r="X7" s="620">
        <f t="shared" ca="1" si="1"/>
        <v>2042</v>
      </c>
      <c r="Y7" s="620">
        <f t="shared" ca="1" si="1"/>
        <v>2043</v>
      </c>
      <c r="Z7" s="620">
        <f t="shared" ca="1" si="1"/>
        <v>2044</v>
      </c>
      <c r="AA7" s="620">
        <f t="shared" ca="1" si="1"/>
        <v>2045</v>
      </c>
      <c r="AB7" s="620">
        <f t="shared" ca="1" si="1"/>
        <v>2046</v>
      </c>
      <c r="AC7" s="620">
        <f t="shared" ca="1" si="1"/>
        <v>2047</v>
      </c>
      <c r="AD7" s="620">
        <f t="shared" ca="1" si="1"/>
        <v>2048</v>
      </c>
      <c r="AE7" s="620">
        <f t="shared" ca="1" si="1"/>
        <v>2049</v>
      </c>
      <c r="AF7" s="620">
        <f t="shared" ca="1" si="1"/>
        <v>2050</v>
      </c>
      <c r="AG7" s="620">
        <f t="shared" ca="1" si="1"/>
        <v>2051</v>
      </c>
      <c r="AH7" s="620">
        <f t="shared" ca="1" si="1"/>
        <v>2052</v>
      </c>
      <c r="AI7" s="620">
        <f t="shared" ca="1" si="1"/>
        <v>2053</v>
      </c>
      <c r="AJ7" s="620">
        <f t="shared" ca="1" si="1"/>
        <v>2054</v>
      </c>
      <c r="AK7" s="620">
        <f t="shared" ca="1" si="1"/>
        <v>2055</v>
      </c>
      <c r="AL7" s="620">
        <f t="shared" ca="1" si="1"/>
        <v>2056</v>
      </c>
      <c r="AM7" s="607"/>
    </row>
    <row r="8" spans="1:39" ht="15" customHeight="1" x14ac:dyDescent="0.35">
      <c r="B8" s="606"/>
      <c r="C8" s="621" t="s">
        <v>156</v>
      </c>
      <c r="D8" s="623">
        <f t="shared" ref="D8:AL8" ca="1" si="2">INDEX(Total_Unit_Sales_Standards,1,MATCH(D$7,Dates,0))</f>
        <v>7.5707973221489757</v>
      </c>
      <c r="E8" s="624">
        <f t="shared" ca="1" si="2"/>
        <v>7.9093524384259357</v>
      </c>
      <c r="F8" s="624">
        <f t="shared" ca="1" si="2"/>
        <v>8.1945872440194094</v>
      </c>
      <c r="G8" s="624">
        <f t="shared" ca="1" si="2"/>
        <v>8.583782715688141</v>
      </c>
      <c r="H8" s="624">
        <f t="shared" ca="1" si="2"/>
        <v>8.9699231360466918</v>
      </c>
      <c r="I8" s="624">
        <f t="shared" ca="1" si="2"/>
        <v>9.4318697097982991</v>
      </c>
      <c r="J8" s="624">
        <f t="shared" ca="1" si="2"/>
        <v>9.9329893259053517</v>
      </c>
      <c r="K8" s="624">
        <f t="shared" ca="1" si="2"/>
        <v>10.460473829673948</v>
      </c>
      <c r="L8" s="624">
        <f t="shared" ca="1" si="2"/>
        <v>11.01242309777642</v>
      </c>
      <c r="M8" s="624">
        <f t="shared" ca="1" si="2"/>
        <v>11.584656136055171</v>
      </c>
      <c r="N8" s="624">
        <f t="shared" ca="1" si="2"/>
        <v>12.17693514266746</v>
      </c>
      <c r="O8" s="624">
        <f t="shared" ca="1" si="2"/>
        <v>12.791797091782762</v>
      </c>
      <c r="P8" s="624">
        <f t="shared" ca="1" si="2"/>
        <v>13.431147370412633</v>
      </c>
      <c r="Q8" s="624">
        <f t="shared" ca="1" si="2"/>
        <v>14.101294532398612</v>
      </c>
      <c r="R8" s="624">
        <f t="shared" ca="1" si="2"/>
        <v>14.806030666074676</v>
      </c>
      <c r="S8" s="624">
        <f t="shared" ca="1" si="2"/>
        <v>15.547755933847926</v>
      </c>
      <c r="T8" s="624">
        <f t="shared" ca="1" si="2"/>
        <v>16.329137862735617</v>
      </c>
      <c r="U8" s="624">
        <f t="shared" ca="1" si="2"/>
        <v>17.148613343401536</v>
      </c>
      <c r="V8" s="624">
        <f t="shared" ca="1" si="2"/>
        <v>18.008673739701624</v>
      </c>
      <c r="W8" s="624">
        <f t="shared" ca="1" si="2"/>
        <v>18.910359226684385</v>
      </c>
      <c r="X8" s="624">
        <f t="shared" ca="1" si="2"/>
        <v>19.855207300741156</v>
      </c>
      <c r="Y8" s="624">
        <f t="shared" ca="1" si="2"/>
        <v>20.845278659044062</v>
      </c>
      <c r="Z8" s="624">
        <f t="shared" ca="1" si="2"/>
        <v>21.882691530387735</v>
      </c>
      <c r="AA8" s="624">
        <f t="shared" ca="1" si="2"/>
        <v>22.970405012822198</v>
      </c>
      <c r="AB8" s="624">
        <f t="shared" ca="1" si="2"/>
        <v>24.111169669552751</v>
      </c>
      <c r="AC8" s="624">
        <f t="shared" ca="1" si="2"/>
        <v>25.307751506572274</v>
      </c>
      <c r="AD8" s="624">
        <f t="shared" ca="1" si="2"/>
        <v>26.562917209560723</v>
      </c>
      <c r="AE8" s="624">
        <f t="shared" ca="1" si="2"/>
        <v>27.87946090536591</v>
      </c>
      <c r="AF8" s="624">
        <f t="shared" ca="1" si="2"/>
        <v>29.260263470786754</v>
      </c>
      <c r="AG8" s="624">
        <f t="shared" ca="1" si="2"/>
        <v>30.708346031531171</v>
      </c>
      <c r="AH8" s="624">
        <f t="shared" ca="1" si="2"/>
        <v>32.226910369884507</v>
      </c>
      <c r="AI8" s="624">
        <f t="shared" ca="1" si="2"/>
        <v>33.819360996908678</v>
      </c>
      <c r="AJ8" s="624">
        <f t="shared" ca="1" si="2"/>
        <v>35.489307110375229</v>
      </c>
      <c r="AK8" s="624">
        <f t="shared" ca="1" si="2"/>
        <v>37.240555971343781</v>
      </c>
      <c r="AL8" s="625">
        <f t="shared" ca="1" si="2"/>
        <v>39.077108501935967</v>
      </c>
      <c r="AM8" s="607"/>
    </row>
    <row r="9" spans="1:39" ht="15" customHeight="1" x14ac:dyDescent="0.35">
      <c r="B9" s="606"/>
      <c r="C9" s="621" t="str">
        <f>"Revenues ("&amp;Dollar_Year&amp;"$ MM)"</f>
        <v>Revenues (2021$ MM)</v>
      </c>
      <c r="D9" s="626">
        <f t="shared" ref="D9:AL9" ca="1" si="3">INDEX(Total_Revenues_Standards,1,MATCH(D$7,Dates,0))</f>
        <v>633.28196497713952</v>
      </c>
      <c r="E9" s="627">
        <f t="shared" ca="1" si="3"/>
        <v>656.61115010410003</v>
      </c>
      <c r="F9" s="627">
        <f t="shared" ca="1" si="3"/>
        <v>678.97740712259451</v>
      </c>
      <c r="G9" s="627">
        <f t="shared" ca="1" si="3"/>
        <v>706.11447014226212</v>
      </c>
      <c r="H9" s="627">
        <f t="shared" ca="1" si="3"/>
        <v>740.55014893669215</v>
      </c>
      <c r="I9" s="627">
        <f t="shared" ca="1" si="3"/>
        <v>773.29356518407758</v>
      </c>
      <c r="J9" s="627">
        <f t="shared" ca="1" si="3"/>
        <v>809.32584803030682</v>
      </c>
      <c r="K9" s="627">
        <f t="shared" ca="1" si="3"/>
        <v>847.16641220946326</v>
      </c>
      <c r="L9" s="627">
        <f t="shared" ca="1" si="3"/>
        <v>886.41537660205302</v>
      </c>
      <c r="M9" s="627">
        <f t="shared" ca="1" si="3"/>
        <v>926.80877330735632</v>
      </c>
      <c r="N9" s="627">
        <f t="shared" ca="1" si="3"/>
        <v>968.89734301704721</v>
      </c>
      <c r="O9" s="627">
        <f t="shared" ca="1" si="3"/>
        <v>1012.5817381787442</v>
      </c>
      <c r="P9" s="627">
        <f t="shared" ca="1" si="3"/>
        <v>1056.9101929115063</v>
      </c>
      <c r="Q9" s="627">
        <f t="shared" ca="1" si="3"/>
        <v>1103.7250776159415</v>
      </c>
      <c r="R9" s="627">
        <f t="shared" ca="1" si="3"/>
        <v>1152.7161356108149</v>
      </c>
      <c r="S9" s="627">
        <f t="shared" ca="1" si="3"/>
        <v>1204.1990176514464</v>
      </c>
      <c r="T9" s="627">
        <f t="shared" ca="1" si="3"/>
        <v>1259.1345940662018</v>
      </c>
      <c r="U9" s="627">
        <f t="shared" ca="1" si="3"/>
        <v>1315.414209818266</v>
      </c>
      <c r="V9" s="627">
        <f t="shared" ca="1" si="3"/>
        <v>1374.1284109566477</v>
      </c>
      <c r="W9" s="627">
        <f t="shared" ca="1" si="3"/>
        <v>1436.7638298978322</v>
      </c>
      <c r="X9" s="627">
        <f t="shared" ca="1" si="3"/>
        <v>1501.522959102972</v>
      </c>
      <c r="Y9" s="627">
        <f t="shared" ca="1" si="3"/>
        <v>1568.3454976132289</v>
      </c>
      <c r="Z9" s="627">
        <f t="shared" ca="1" si="3"/>
        <v>1638.9576059101353</v>
      </c>
      <c r="AA9" s="627">
        <f t="shared" ca="1" si="3"/>
        <v>1712.6817663305033</v>
      </c>
      <c r="AB9" s="627">
        <f t="shared" ca="1" si="3"/>
        <v>1789.8790579892691</v>
      </c>
      <c r="AC9" s="627">
        <f t="shared" ca="1" si="3"/>
        <v>1870.274508407666</v>
      </c>
      <c r="AD9" s="627">
        <f t="shared" ca="1" si="3"/>
        <v>1954.3752423860926</v>
      </c>
      <c r="AE9" s="627">
        <f t="shared" ca="1" si="3"/>
        <v>2041.7613844573075</v>
      </c>
      <c r="AF9" s="627">
        <f t="shared" ca="1" si="3"/>
        <v>2133.4996917589497</v>
      </c>
      <c r="AG9" s="627">
        <f t="shared" ca="1" si="3"/>
        <v>2229.5743828964642</v>
      </c>
      <c r="AH9" s="627">
        <f t="shared" ca="1" si="3"/>
        <v>2329.3857855341003</v>
      </c>
      <c r="AI9" s="627">
        <f t="shared" ca="1" si="3"/>
        <v>2433.5791077029039</v>
      </c>
      <c r="AJ9" s="627">
        <f t="shared" ca="1" si="3"/>
        <v>2544.0568304414519</v>
      </c>
      <c r="AK9" s="627">
        <f t="shared" ca="1" si="3"/>
        <v>2657.6506388116022</v>
      </c>
      <c r="AL9" s="628">
        <f t="shared" ca="1" si="3"/>
        <v>2776.6085687455115</v>
      </c>
      <c r="AM9" s="607"/>
    </row>
    <row r="10" spans="1:39" ht="15" customHeight="1" x14ac:dyDescent="0.35">
      <c r="B10" s="606"/>
      <c r="C10" s="621" t="str">
        <f>"FCF ("&amp;Dollar_Year&amp;"$ MM)"</f>
        <v>FCF (2021$ MM)</v>
      </c>
      <c r="D10" s="626">
        <f t="shared" ref="D10:AL10" ca="1" si="4">INDEX(FCF_Standards,1,MATCH(D$7,Dates,0))</f>
        <v>48.94531488224456</v>
      </c>
      <c r="E10" s="627">
        <f t="shared" ca="1" si="4"/>
        <v>20.787578931099652</v>
      </c>
      <c r="F10" s="627">
        <f t="shared" ca="1" si="4"/>
        <v>40.628208851503054</v>
      </c>
      <c r="G10" s="627">
        <f t="shared" ca="1" si="4"/>
        <v>40.080145579059888</v>
      </c>
      <c r="H10" s="627">
        <f t="shared" ca="1" si="4"/>
        <v>50.525660298803281</v>
      </c>
      <c r="I10" s="627">
        <f t="shared" ca="1" si="4"/>
        <v>52.180203963993009</v>
      </c>
      <c r="J10" s="627">
        <f t="shared" ca="1" si="4"/>
        <v>54.378704593899904</v>
      </c>
      <c r="K10" s="627">
        <f t="shared" ca="1" si="4"/>
        <v>56.960718991666454</v>
      </c>
      <c r="L10" s="627">
        <f t="shared" ca="1" si="4"/>
        <v>59.716656097046233</v>
      </c>
      <c r="M10" s="627">
        <f t="shared" ca="1" si="4"/>
        <v>62.603342287473595</v>
      </c>
      <c r="N10" s="627">
        <f t="shared" ca="1" si="4"/>
        <v>65.528034423736358</v>
      </c>
      <c r="O10" s="627">
        <f t="shared" ca="1" si="4"/>
        <v>68.590441081609654</v>
      </c>
      <c r="P10" s="627">
        <f t="shared" ca="1" si="4"/>
        <v>71.859921650676867</v>
      </c>
      <c r="Q10" s="627">
        <f t="shared" ca="1" si="4"/>
        <v>75.013185583946097</v>
      </c>
      <c r="R10" s="627">
        <f t="shared" ca="1" si="4"/>
        <v>78.383808886579544</v>
      </c>
      <c r="S10" s="627">
        <f t="shared" ca="1" si="4"/>
        <v>81.891648406346846</v>
      </c>
      <c r="T10" s="627">
        <f t="shared" ca="1" si="4"/>
        <v>85.503079209860317</v>
      </c>
      <c r="U10" s="627">
        <f t="shared" ca="1" si="4"/>
        <v>89.566834017379477</v>
      </c>
      <c r="V10" s="627">
        <f t="shared" ca="1" si="4"/>
        <v>93.635005626101218</v>
      </c>
      <c r="W10" s="627">
        <f t="shared" ca="1" si="4"/>
        <v>97.754984281537787</v>
      </c>
      <c r="X10" s="627">
        <f t="shared" ca="1" si="4"/>
        <v>102.33560828722477</v>
      </c>
      <c r="Y10" s="627">
        <f t="shared" ca="1" si="4"/>
        <v>107.08287408289931</v>
      </c>
      <c r="Z10" s="627">
        <f t="shared" ca="1" si="4"/>
        <v>111.83256587569471</v>
      </c>
      <c r="AA10" s="627">
        <f t="shared" ca="1" si="4"/>
        <v>116.93191781307016</v>
      </c>
      <c r="AB10" s="627">
        <f t="shared" ca="1" si="4"/>
        <v>122.23551523030383</v>
      </c>
      <c r="AC10" s="627">
        <f t="shared" ca="1" si="4"/>
        <v>127.82889597945163</v>
      </c>
      <c r="AD10" s="627">
        <f t="shared" ca="1" si="4"/>
        <v>133.61982097670449</v>
      </c>
      <c r="AE10" s="627">
        <f t="shared" ca="1" si="4"/>
        <v>139.73101457600538</v>
      </c>
      <c r="AF10" s="627">
        <f t="shared" ca="1" si="4"/>
        <v>145.99650258959588</v>
      </c>
      <c r="AG10" s="627">
        <f t="shared" ca="1" si="4"/>
        <v>152.59447960719393</v>
      </c>
      <c r="AH10" s="627">
        <f t="shared" ca="1" si="4"/>
        <v>159.57696192976078</v>
      </c>
      <c r="AI10" s="627">
        <f t="shared" ca="1" si="4"/>
        <v>166.78617699489928</v>
      </c>
      <c r="AJ10" s="627">
        <f t="shared" ca="1" si="4"/>
        <v>174.15900624535479</v>
      </c>
      <c r="AK10" s="627">
        <f t="shared" ca="1" si="4"/>
        <v>182.29453367454497</v>
      </c>
      <c r="AL10" s="628">
        <f t="shared" ca="1" si="4"/>
        <v>190.46492029224117</v>
      </c>
      <c r="AM10" s="607"/>
    </row>
    <row r="11" spans="1:39" ht="15" customHeight="1" x14ac:dyDescent="0.35">
      <c r="B11" s="606"/>
      <c r="C11" s="621" t="str">
        <f>"Investments ("&amp;Dollar_Year&amp;"$ MM)"</f>
        <v>Investments (2021$ MM)</v>
      </c>
      <c r="D11" s="626">
        <f t="shared" ref="D11:AL11" ca="1" si="5">INDEX(CapEx_Standards,1,MATCH(D$7,Dates,0))+INDEX(CapitalConversionCosts_Standards,1,MATCH(D$7,Dates,0))</f>
        <v>25.331278599085582</v>
      </c>
      <c r="E11" s="627">
        <f t="shared" ca="1" si="5"/>
        <v>39.892700931902226</v>
      </c>
      <c r="F11" s="627">
        <f t="shared" ca="1" si="5"/>
        <v>34.295248039153527</v>
      </c>
      <c r="G11" s="627">
        <f t="shared" ca="1" si="5"/>
        <v>37.443650881913783</v>
      </c>
      <c r="H11" s="627">
        <f t="shared" ca="1" si="5"/>
        <v>29.622005957467685</v>
      </c>
      <c r="I11" s="627">
        <f t="shared" ca="1" si="5"/>
        <v>30.931742607363105</v>
      </c>
      <c r="J11" s="627">
        <f t="shared" ca="1" si="5"/>
        <v>32.373033921212276</v>
      </c>
      <c r="K11" s="627">
        <f t="shared" ca="1" si="5"/>
        <v>33.886656488378534</v>
      </c>
      <c r="L11" s="627">
        <f t="shared" ca="1" si="5"/>
        <v>35.456615064082122</v>
      </c>
      <c r="M11" s="627">
        <f t="shared" ca="1" si="5"/>
        <v>37.072350932294256</v>
      </c>
      <c r="N11" s="627">
        <f t="shared" ca="1" si="5"/>
        <v>38.75589372068189</v>
      </c>
      <c r="O11" s="627">
        <f t="shared" ca="1" si="5"/>
        <v>40.503269527149769</v>
      </c>
      <c r="P11" s="627">
        <f t="shared" ca="1" si="5"/>
        <v>42.276407716460255</v>
      </c>
      <c r="Q11" s="627">
        <f t="shared" ca="1" si="5"/>
        <v>44.149003104637657</v>
      </c>
      <c r="R11" s="627">
        <f t="shared" ca="1" si="5"/>
        <v>46.108645424432602</v>
      </c>
      <c r="S11" s="627">
        <f t="shared" ca="1" si="5"/>
        <v>48.167960706057855</v>
      </c>
      <c r="T11" s="627">
        <f t="shared" ca="1" si="5"/>
        <v>50.365383762648072</v>
      </c>
      <c r="U11" s="627">
        <f t="shared" ca="1" si="5"/>
        <v>52.616568392730642</v>
      </c>
      <c r="V11" s="627">
        <f t="shared" ca="1" si="5"/>
        <v>54.965136438265908</v>
      </c>
      <c r="W11" s="627">
        <f t="shared" ca="1" si="5"/>
        <v>57.47055319591329</v>
      </c>
      <c r="X11" s="627">
        <f t="shared" ca="1" si="5"/>
        <v>60.060918364118884</v>
      </c>
      <c r="Y11" s="627">
        <f t="shared" ca="1" si="5"/>
        <v>62.733819904529156</v>
      </c>
      <c r="Z11" s="627">
        <f t="shared" ca="1" si="5"/>
        <v>65.558304236405405</v>
      </c>
      <c r="AA11" s="627">
        <f t="shared" ca="1" si="5"/>
        <v>68.507270653220132</v>
      </c>
      <c r="AB11" s="627">
        <f t="shared" ca="1" si="5"/>
        <v>71.595162319570761</v>
      </c>
      <c r="AC11" s="627">
        <f t="shared" ca="1" si="5"/>
        <v>74.810980336306642</v>
      </c>
      <c r="AD11" s="627">
        <f t="shared" ca="1" si="5"/>
        <v>78.175009695443705</v>
      </c>
      <c r="AE11" s="627">
        <f t="shared" ca="1" si="5"/>
        <v>81.670455378292303</v>
      </c>
      <c r="AF11" s="627">
        <f t="shared" ca="1" si="5"/>
        <v>85.339987670357985</v>
      </c>
      <c r="AG11" s="627">
        <f t="shared" ca="1" si="5"/>
        <v>89.18297531585857</v>
      </c>
      <c r="AH11" s="627">
        <f t="shared" ca="1" si="5"/>
        <v>93.17543142136401</v>
      </c>
      <c r="AI11" s="627">
        <f t="shared" ca="1" si="5"/>
        <v>97.343164308116158</v>
      </c>
      <c r="AJ11" s="627">
        <f t="shared" ca="1" si="5"/>
        <v>101.76227321765808</v>
      </c>
      <c r="AK11" s="627">
        <f t="shared" ca="1" si="5"/>
        <v>106.30602555246409</v>
      </c>
      <c r="AL11" s="628">
        <f t="shared" ca="1" si="5"/>
        <v>111.06434274982047</v>
      </c>
      <c r="AM11" s="607"/>
    </row>
    <row r="12" spans="1:39" ht="15" customHeight="1" x14ac:dyDescent="0.35">
      <c r="B12" s="606"/>
      <c r="C12" s="621" t="s">
        <v>207</v>
      </c>
      <c r="D12" s="629">
        <f t="shared" ref="D12:AL12" ca="1" si="6">INDEX(NetPPE_PercentRev_Standards,1,MATCH(D$7,Dates,0))</f>
        <v>0.10599999999999998</v>
      </c>
      <c r="E12" s="630">
        <f t="shared" ca="1" si="6"/>
        <v>0.12798929618010876</v>
      </c>
      <c r="F12" s="630">
        <f t="shared" ca="1" si="6"/>
        <v>0.13538619257407594</v>
      </c>
      <c r="G12" s="630">
        <f t="shared" ca="1" si="6"/>
        <v>0.14812127840755671</v>
      </c>
      <c r="H12" s="630">
        <f t="shared" ca="1" si="6"/>
        <v>0.14071275582825735</v>
      </c>
      <c r="I12" s="630">
        <f t="shared" ca="1" si="6"/>
        <v>0.13975458348228084</v>
      </c>
      <c r="J12" s="630">
        <f t="shared" ca="1" si="6"/>
        <v>0.13853252015223144</v>
      </c>
      <c r="K12" s="630">
        <f t="shared" ca="1" si="6"/>
        <v>0.13734465830576265</v>
      </c>
      <c r="L12" s="630">
        <f t="shared" ca="1" si="6"/>
        <v>0.13626327056628151</v>
      </c>
      <c r="M12" s="630">
        <f t="shared" ca="1" si="6"/>
        <v>0.13532446581726718</v>
      </c>
      <c r="N12" s="630">
        <f t="shared" ca="1" si="6"/>
        <v>0.1344460172344264</v>
      </c>
      <c r="O12" s="630">
        <f t="shared" ca="1" si="6"/>
        <v>0.13364580109054386</v>
      </c>
      <c r="P12" s="630">
        <f t="shared" ca="1" si="6"/>
        <v>0.13304048865851403</v>
      </c>
      <c r="Q12" s="630">
        <f t="shared" ca="1" si="6"/>
        <v>0.13239752986027492</v>
      </c>
      <c r="R12" s="630">
        <f t="shared" ca="1" si="6"/>
        <v>0.13177056337357287</v>
      </c>
      <c r="S12" s="630">
        <f t="shared" ca="1" si="6"/>
        <v>0.13113700258241734</v>
      </c>
      <c r="T12" s="630">
        <f t="shared" ca="1" si="6"/>
        <v>0.13041554368507757</v>
      </c>
      <c r="U12" s="630">
        <f t="shared" ca="1" si="6"/>
        <v>0.12983575244372647</v>
      </c>
      <c r="V12" s="630">
        <f t="shared" ca="1" si="6"/>
        <v>0.12928808861322105</v>
      </c>
      <c r="W12" s="630">
        <f t="shared" ca="1" si="6"/>
        <v>0.12865180140590046</v>
      </c>
      <c r="X12" s="630">
        <f t="shared" ca="1" si="6"/>
        <v>0.12810318253250277</v>
      </c>
      <c r="Y12" s="630">
        <f t="shared" ca="1" si="6"/>
        <v>0.12764508681246414</v>
      </c>
      <c r="Z12" s="630">
        <f t="shared" ca="1" si="6"/>
        <v>0.12714568361797787</v>
      </c>
      <c r="AA12" s="630">
        <f t="shared" ca="1" si="6"/>
        <v>0.12667256598451773</v>
      </c>
      <c r="AB12" s="630">
        <f t="shared" ca="1" si="6"/>
        <v>0.12620919180969695</v>
      </c>
      <c r="AC12" s="630">
        <f t="shared" ca="1" si="6"/>
        <v>0.12578397493545254</v>
      </c>
      <c r="AD12" s="630">
        <f t="shared" ca="1" si="6"/>
        <v>0.12537123515786494</v>
      </c>
      <c r="AE12" s="630">
        <f t="shared" ca="1" si="6"/>
        <v>0.12500542275170032</v>
      </c>
      <c r="AF12" s="630">
        <f t="shared" ca="1" si="6"/>
        <v>0.1246303172707557</v>
      </c>
      <c r="AG12" s="630">
        <f t="shared" ca="1" si="6"/>
        <v>0.12425986660088256</v>
      </c>
      <c r="AH12" s="630">
        <f t="shared" ca="1" si="6"/>
        <v>0.1239354795225284</v>
      </c>
      <c r="AI12" s="630">
        <f t="shared" ca="1" si="6"/>
        <v>0.12362920067374875</v>
      </c>
      <c r="AJ12" s="630">
        <f t="shared" ca="1" si="6"/>
        <v>0.12326050277714841</v>
      </c>
      <c r="AK12" s="630">
        <f t="shared" ca="1" si="6"/>
        <v>0.12299207895665079</v>
      </c>
      <c r="AL12" s="631">
        <f t="shared" ca="1" si="6"/>
        <v>0.12272274309287744</v>
      </c>
      <c r="AM12" s="607"/>
    </row>
    <row r="13" spans="1:39" ht="15" customHeight="1" thickBot="1" x14ac:dyDescent="0.4">
      <c r="B13" s="606"/>
      <c r="C13" s="621" t="str">
        <f>"Return on Invested Capital ("&amp;Dollar_Year&amp;"$ MM)"</f>
        <v>Return on Invested Capital (2021$ MM)</v>
      </c>
      <c r="D13" s="632">
        <f t="shared" ref="D13:AL13" ca="1" si="7">INDEX(ROIC_Standards,1,MATCH(D$7,Dates,0))</f>
        <v>0.30253067951318474</v>
      </c>
      <c r="E13" s="633">
        <f t="shared" ca="1" si="7"/>
        <v>0.21535565585916155</v>
      </c>
      <c r="F13" s="633">
        <f t="shared" ca="1" si="7"/>
        <v>0.25470331648414729</v>
      </c>
      <c r="G13" s="633">
        <f t="shared" ca="1" si="7"/>
        <v>0.25874945569263591</v>
      </c>
      <c r="H13" s="633">
        <f t="shared" ca="1" si="7"/>
        <v>0.24591528298342907</v>
      </c>
      <c r="I13" s="633">
        <f t="shared" ca="1" si="7"/>
        <v>0.26003461957367779</v>
      </c>
      <c r="J13" s="633">
        <f t="shared" ca="1" si="7"/>
        <v>0.26132075945983252</v>
      </c>
      <c r="K13" s="633">
        <f t="shared" ca="1" si="7"/>
        <v>0.26257759517950768</v>
      </c>
      <c r="L13" s="633">
        <f t="shared" ca="1" si="7"/>
        <v>0.26373995904045217</v>
      </c>
      <c r="M13" s="633">
        <f t="shared" ca="1" si="7"/>
        <v>0.26477118212658962</v>
      </c>
      <c r="N13" s="633">
        <f t="shared" ca="1" si="7"/>
        <v>0.26574670399281708</v>
      </c>
      <c r="O13" s="633">
        <f t="shared" ca="1" si="7"/>
        <v>0.2666470953137976</v>
      </c>
      <c r="P13" s="633">
        <f t="shared" ca="1" si="7"/>
        <v>0.26736467556369564</v>
      </c>
      <c r="Q13" s="633">
        <f t="shared" ca="1" si="7"/>
        <v>0.26811414514005738</v>
      </c>
      <c r="R13" s="633">
        <f t="shared" ca="1" si="7"/>
        <v>0.26884564429109137</v>
      </c>
      <c r="S13" s="633">
        <f t="shared" ca="1" si="7"/>
        <v>0.26957949583303115</v>
      </c>
      <c r="T13" s="633">
        <f t="shared" ca="1" si="7"/>
        <v>0.2703931929247182</v>
      </c>
      <c r="U13" s="633">
        <f t="shared" ca="1" si="7"/>
        <v>0.27107093868279825</v>
      </c>
      <c r="V13" s="633">
        <f t="shared" ca="1" si="7"/>
        <v>0.27171526419430192</v>
      </c>
      <c r="W13" s="633">
        <f t="shared" ca="1" si="7"/>
        <v>0.27244037172886321</v>
      </c>
      <c r="X13" s="633">
        <f t="shared" ca="1" si="7"/>
        <v>0.27308085693718581</v>
      </c>
      <c r="Y13" s="633">
        <f t="shared" ca="1" si="7"/>
        <v>0.27363090631226122</v>
      </c>
      <c r="Z13" s="633">
        <f t="shared" ca="1" si="7"/>
        <v>0.27421801613898145</v>
      </c>
      <c r="AA13" s="633">
        <f t="shared" ca="1" si="7"/>
        <v>0.27477740126050643</v>
      </c>
      <c r="AB13" s="633">
        <f t="shared" ca="1" si="7"/>
        <v>0.27532389804514495</v>
      </c>
      <c r="AC13" s="633">
        <f t="shared" ca="1" si="7"/>
        <v>0.27583189306262096</v>
      </c>
      <c r="AD13" s="633">
        <f t="shared" ca="1" si="7"/>
        <v>0.27632412050310573</v>
      </c>
      <c r="AE13" s="633">
        <f t="shared" ca="1" si="7"/>
        <v>0.27676874086347703</v>
      </c>
      <c r="AF13" s="633">
        <f t="shared" ca="1" si="7"/>
        <v>0.27721937450774303</v>
      </c>
      <c r="AG13" s="633">
        <f t="shared" ca="1" si="7"/>
        <v>0.27766220283231019</v>
      </c>
      <c r="AH13" s="633">
        <f t="shared" ca="1" si="7"/>
        <v>0.27805816522860849</v>
      </c>
      <c r="AI13" s="633">
        <f t="shared" ca="1" si="7"/>
        <v>0.27843396656168917</v>
      </c>
      <c r="AJ13" s="633">
        <f t="shared" ca="1" si="7"/>
        <v>0.27886933373356093</v>
      </c>
      <c r="AK13" s="633">
        <f t="shared" ca="1" si="7"/>
        <v>0.27920337968664</v>
      </c>
      <c r="AL13" s="634">
        <f t="shared" ca="1" si="7"/>
        <v>0.27953517985578302</v>
      </c>
      <c r="AM13" s="607"/>
    </row>
    <row r="14" spans="1:39" ht="15" customHeight="1" thickBot="1" x14ac:dyDescent="0.4">
      <c r="B14" s="608"/>
      <c r="C14" s="609"/>
      <c r="D14" s="622"/>
      <c r="E14" s="622"/>
      <c r="F14" s="622"/>
      <c r="G14" s="622"/>
      <c r="H14" s="622"/>
      <c r="I14" s="622"/>
      <c r="J14" s="622"/>
      <c r="K14" s="622"/>
      <c r="L14" s="622"/>
      <c r="M14" s="622"/>
      <c r="N14" s="622"/>
      <c r="O14" s="622"/>
      <c r="P14" s="622"/>
      <c r="Q14" s="622"/>
      <c r="R14" s="622"/>
      <c r="S14" s="622"/>
      <c r="T14" s="622"/>
      <c r="U14" s="622"/>
      <c r="V14" s="622"/>
      <c r="W14" s="622"/>
      <c r="X14" s="622"/>
      <c r="Y14" s="622"/>
      <c r="Z14" s="622"/>
      <c r="AA14" s="622"/>
      <c r="AB14" s="622"/>
      <c r="AC14" s="622"/>
      <c r="AD14" s="622"/>
      <c r="AE14" s="622"/>
      <c r="AF14" s="622"/>
      <c r="AG14" s="622"/>
      <c r="AH14" s="622"/>
      <c r="AI14" s="622"/>
      <c r="AJ14" s="622"/>
      <c r="AK14" s="622"/>
      <c r="AL14" s="622"/>
      <c r="AM14" s="610"/>
    </row>
    <row r="15" spans="1:39" ht="15" customHeight="1" thickBot="1" x14ac:dyDescent="0.4">
      <c r="D15" s="478"/>
      <c r="E15" s="478"/>
      <c r="F15" s="478"/>
      <c r="G15" s="478"/>
      <c r="H15" s="478"/>
      <c r="I15" s="478"/>
      <c r="J15" s="478"/>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c r="AI15" s="478"/>
      <c r="AJ15" s="478"/>
      <c r="AK15" s="478"/>
      <c r="AL15" s="478"/>
    </row>
    <row r="16" spans="1:39" ht="15" customHeight="1" x14ac:dyDescent="0.35">
      <c r="B16" s="614"/>
      <c r="C16" s="615"/>
      <c r="D16" s="615"/>
      <c r="E16" s="615"/>
      <c r="F16" s="615"/>
      <c r="G16" s="615"/>
      <c r="H16" s="615"/>
      <c r="I16" s="615"/>
      <c r="J16" s="615"/>
      <c r="K16" s="615"/>
      <c r="L16" s="615"/>
      <c r="M16" s="615"/>
      <c r="N16" s="615"/>
      <c r="O16" s="615"/>
      <c r="P16" s="615"/>
      <c r="Q16" s="615"/>
      <c r="R16" s="615"/>
      <c r="S16" s="615"/>
      <c r="T16" s="615"/>
      <c r="U16" s="615"/>
      <c r="V16" s="615"/>
      <c r="W16" s="615"/>
      <c r="X16" s="615"/>
      <c r="Y16" s="615"/>
      <c r="Z16" s="615"/>
      <c r="AA16" s="615"/>
      <c r="AB16" s="615"/>
      <c r="AC16" s="615"/>
      <c r="AD16" s="615"/>
      <c r="AE16" s="615"/>
      <c r="AF16" s="615"/>
      <c r="AG16" s="615"/>
      <c r="AH16" s="615"/>
      <c r="AI16" s="615"/>
      <c r="AJ16" s="615"/>
      <c r="AK16" s="615"/>
      <c r="AL16" s="615"/>
      <c r="AM16" s="616"/>
    </row>
    <row r="17" spans="2:39" ht="15" customHeight="1" x14ac:dyDescent="0.35">
      <c r="B17" s="606"/>
      <c r="C17" s="611" t="s">
        <v>229</v>
      </c>
      <c r="D17" s="654"/>
      <c r="E17" s="654"/>
      <c r="F17" s="654"/>
      <c r="G17" s="654"/>
      <c r="H17" s="654"/>
      <c r="I17" s="654"/>
      <c r="J17" s="654"/>
      <c r="K17" s="654"/>
      <c r="L17" s="654"/>
      <c r="M17" s="654"/>
      <c r="N17" s="654"/>
      <c r="O17" s="654"/>
      <c r="P17" s="654"/>
      <c r="Q17" s="654"/>
      <c r="R17" s="654"/>
      <c r="S17" s="654"/>
      <c r="T17" s="654"/>
      <c r="U17" s="654"/>
      <c r="V17" s="654"/>
      <c r="W17" s="654"/>
      <c r="X17" s="654"/>
      <c r="Y17" s="654"/>
      <c r="Z17" s="654"/>
      <c r="AA17" s="654"/>
      <c r="AB17" s="654"/>
      <c r="AC17" s="654"/>
      <c r="AD17" s="654"/>
      <c r="AE17" s="654"/>
      <c r="AF17" s="654"/>
      <c r="AG17" s="654"/>
      <c r="AH17" s="654"/>
      <c r="AI17" s="654"/>
      <c r="AJ17" s="654"/>
      <c r="AK17" s="654"/>
      <c r="AL17" s="654"/>
      <c r="AM17" s="607"/>
    </row>
    <row r="18" spans="2:39" ht="15" customHeight="1" x14ac:dyDescent="0.35">
      <c r="B18" s="606"/>
      <c r="C18" s="612"/>
      <c r="D18" s="618" t="str">
        <f t="shared" ref="D18:AL18" si="8">IF(D29=Announcement_Year,"Ancmt Yr",
IF(D29=Reference_Year,"Ref Yr",
IF(D29=Standard_Year,"Std Yr",
IF(D29=Terminal_Year,"Term Yr",
" "))))</f>
        <v xml:space="preserve"> </v>
      </c>
      <c r="E18" s="618" t="str">
        <f t="shared" ca="1" si="8"/>
        <v>Ancmt Yr</v>
      </c>
      <c r="F18" s="618" t="str">
        <f t="shared" ca="1" si="8"/>
        <v xml:space="preserve"> </v>
      </c>
      <c r="G18" s="618" t="str">
        <f t="shared" ca="1" si="8"/>
        <v xml:space="preserve"> </v>
      </c>
      <c r="H18" s="618" t="str">
        <f t="shared" ca="1" si="8"/>
        <v>Std Yr</v>
      </c>
      <c r="I18" s="618" t="str">
        <f t="shared" ca="1" si="8"/>
        <v xml:space="preserve"> </v>
      </c>
      <c r="J18" s="618" t="str">
        <f t="shared" ca="1" si="8"/>
        <v xml:space="preserve"> </v>
      </c>
      <c r="K18" s="618" t="str">
        <f t="shared" ca="1" si="8"/>
        <v xml:space="preserve"> </v>
      </c>
      <c r="L18" s="618" t="str">
        <f t="shared" ca="1" si="8"/>
        <v xml:space="preserve"> </v>
      </c>
      <c r="M18" s="618" t="str">
        <f t="shared" ca="1" si="8"/>
        <v xml:space="preserve"> </v>
      </c>
      <c r="N18" s="618" t="str">
        <f t="shared" ca="1" si="8"/>
        <v xml:space="preserve"> </v>
      </c>
      <c r="O18" s="618" t="str">
        <f t="shared" ca="1" si="8"/>
        <v xml:space="preserve"> </v>
      </c>
      <c r="P18" s="618" t="str">
        <f t="shared" ca="1" si="8"/>
        <v xml:space="preserve"> </v>
      </c>
      <c r="Q18" s="618" t="str">
        <f t="shared" ca="1" si="8"/>
        <v xml:space="preserve"> </v>
      </c>
      <c r="R18" s="618" t="str">
        <f t="shared" ca="1" si="8"/>
        <v xml:space="preserve"> </v>
      </c>
      <c r="S18" s="618" t="str">
        <f t="shared" ca="1" si="8"/>
        <v xml:space="preserve"> </v>
      </c>
      <c r="T18" s="618" t="str">
        <f t="shared" ca="1" si="8"/>
        <v xml:space="preserve"> </v>
      </c>
      <c r="U18" s="618" t="str">
        <f t="shared" ca="1" si="8"/>
        <v xml:space="preserve"> </v>
      </c>
      <c r="V18" s="618" t="str">
        <f t="shared" ca="1" si="8"/>
        <v xml:space="preserve"> </v>
      </c>
      <c r="W18" s="618" t="str">
        <f t="shared" ca="1" si="8"/>
        <v xml:space="preserve"> </v>
      </c>
      <c r="X18" s="618" t="str">
        <f t="shared" ca="1" si="8"/>
        <v xml:space="preserve"> </v>
      </c>
      <c r="Y18" s="618" t="str">
        <f t="shared" ca="1" si="8"/>
        <v xml:space="preserve"> </v>
      </c>
      <c r="Z18" s="618" t="str">
        <f t="shared" ca="1" si="8"/>
        <v xml:space="preserve"> </v>
      </c>
      <c r="AA18" s="618" t="str">
        <f t="shared" ca="1" si="8"/>
        <v xml:space="preserve"> </v>
      </c>
      <c r="AB18" s="618" t="str">
        <f t="shared" ca="1" si="8"/>
        <v xml:space="preserve"> </v>
      </c>
      <c r="AC18" s="618" t="str">
        <f t="shared" ca="1" si="8"/>
        <v xml:space="preserve"> </v>
      </c>
      <c r="AD18" s="618" t="str">
        <f t="shared" ca="1" si="8"/>
        <v xml:space="preserve"> </v>
      </c>
      <c r="AE18" s="618" t="str">
        <f t="shared" ca="1" si="8"/>
        <v xml:space="preserve"> </v>
      </c>
      <c r="AF18" s="618" t="str">
        <f t="shared" ca="1" si="8"/>
        <v xml:space="preserve"> </v>
      </c>
      <c r="AG18" s="618" t="str">
        <f t="shared" ca="1" si="8"/>
        <v xml:space="preserve"> </v>
      </c>
      <c r="AH18" s="618" t="str">
        <f t="shared" ca="1" si="8"/>
        <v xml:space="preserve"> </v>
      </c>
      <c r="AI18" s="618" t="str">
        <f t="shared" ca="1" si="8"/>
        <v xml:space="preserve"> </v>
      </c>
      <c r="AJ18" s="618" t="str">
        <f t="shared" ca="1" si="8"/>
        <v xml:space="preserve"> </v>
      </c>
      <c r="AK18" s="618" t="str">
        <f t="shared" ca="1" si="8"/>
        <v xml:space="preserve"> </v>
      </c>
      <c r="AL18" s="618" t="str">
        <f t="shared" ca="1" si="8"/>
        <v xml:space="preserve"> </v>
      </c>
      <c r="AM18" s="607"/>
    </row>
    <row r="19" spans="2:39" ht="15" customHeight="1" x14ac:dyDescent="0.35">
      <c r="B19" s="655"/>
      <c r="C19" s="656" t="s">
        <v>156</v>
      </c>
      <c r="D19" s="620">
        <f>Reference_Year - 1</f>
        <v>2022</v>
      </c>
      <c r="E19" s="620">
        <f ca="1">OFFSET(E19,0,-1)+1</f>
        <v>2023</v>
      </c>
      <c r="F19" s="620">
        <f t="shared" ref="F19:AL19" ca="1" si="9">OFFSET(F19,0,-1)+1</f>
        <v>2024</v>
      </c>
      <c r="G19" s="620">
        <f t="shared" ca="1" si="9"/>
        <v>2025</v>
      </c>
      <c r="H19" s="620">
        <f t="shared" ca="1" si="9"/>
        <v>2026</v>
      </c>
      <c r="I19" s="620">
        <f t="shared" ca="1" si="9"/>
        <v>2027</v>
      </c>
      <c r="J19" s="620">
        <f t="shared" ca="1" si="9"/>
        <v>2028</v>
      </c>
      <c r="K19" s="620">
        <f t="shared" ca="1" si="9"/>
        <v>2029</v>
      </c>
      <c r="L19" s="620">
        <f t="shared" ca="1" si="9"/>
        <v>2030</v>
      </c>
      <c r="M19" s="620">
        <f t="shared" ca="1" si="9"/>
        <v>2031</v>
      </c>
      <c r="N19" s="620">
        <f t="shared" ca="1" si="9"/>
        <v>2032</v>
      </c>
      <c r="O19" s="620">
        <f t="shared" ca="1" si="9"/>
        <v>2033</v>
      </c>
      <c r="P19" s="620">
        <f t="shared" ca="1" si="9"/>
        <v>2034</v>
      </c>
      <c r="Q19" s="620">
        <f t="shared" ca="1" si="9"/>
        <v>2035</v>
      </c>
      <c r="R19" s="620">
        <f t="shared" ca="1" si="9"/>
        <v>2036</v>
      </c>
      <c r="S19" s="620">
        <f t="shared" ca="1" si="9"/>
        <v>2037</v>
      </c>
      <c r="T19" s="620">
        <f t="shared" ca="1" si="9"/>
        <v>2038</v>
      </c>
      <c r="U19" s="620">
        <f t="shared" ca="1" si="9"/>
        <v>2039</v>
      </c>
      <c r="V19" s="620">
        <f t="shared" ca="1" si="9"/>
        <v>2040</v>
      </c>
      <c r="W19" s="620">
        <f t="shared" ca="1" si="9"/>
        <v>2041</v>
      </c>
      <c r="X19" s="620">
        <f t="shared" ca="1" si="9"/>
        <v>2042</v>
      </c>
      <c r="Y19" s="620">
        <f t="shared" ca="1" si="9"/>
        <v>2043</v>
      </c>
      <c r="Z19" s="620">
        <f t="shared" ca="1" si="9"/>
        <v>2044</v>
      </c>
      <c r="AA19" s="620">
        <f t="shared" ca="1" si="9"/>
        <v>2045</v>
      </c>
      <c r="AB19" s="620">
        <f t="shared" ca="1" si="9"/>
        <v>2046</v>
      </c>
      <c r="AC19" s="620">
        <f t="shared" ca="1" si="9"/>
        <v>2047</v>
      </c>
      <c r="AD19" s="620">
        <f t="shared" ca="1" si="9"/>
        <v>2048</v>
      </c>
      <c r="AE19" s="620">
        <f t="shared" ca="1" si="9"/>
        <v>2049</v>
      </c>
      <c r="AF19" s="620">
        <f t="shared" ca="1" si="9"/>
        <v>2050</v>
      </c>
      <c r="AG19" s="620">
        <f t="shared" ca="1" si="9"/>
        <v>2051</v>
      </c>
      <c r="AH19" s="620">
        <f t="shared" ca="1" si="9"/>
        <v>2052</v>
      </c>
      <c r="AI19" s="620">
        <f t="shared" ca="1" si="9"/>
        <v>2053</v>
      </c>
      <c r="AJ19" s="620">
        <f t="shared" ca="1" si="9"/>
        <v>2054</v>
      </c>
      <c r="AK19" s="620">
        <f t="shared" ca="1" si="9"/>
        <v>2055</v>
      </c>
      <c r="AL19" s="620">
        <f t="shared" ca="1" si="9"/>
        <v>2056</v>
      </c>
      <c r="AM19" s="607"/>
    </row>
    <row r="20" spans="2:39" ht="15" customHeight="1" x14ac:dyDescent="0.35">
      <c r="B20" s="606"/>
      <c r="C20" s="621" t="s">
        <v>237</v>
      </c>
      <c r="D20" s="475">
        <v>7.5707973221489757</v>
      </c>
      <c r="E20" s="475">
        <v>7.9093524384259357</v>
      </c>
      <c r="F20" s="475">
        <v>8.2127347841074965</v>
      </c>
      <c r="G20" s="475">
        <v>8.5984294340082918</v>
      </c>
      <c r="H20" s="475">
        <v>9.0122912362700944</v>
      </c>
      <c r="I20" s="475">
        <v>9.4703081184118609</v>
      </c>
      <c r="J20" s="475">
        <v>9.9670926866355813</v>
      </c>
      <c r="K20" s="475">
        <v>10.494559173428762</v>
      </c>
      <c r="L20" s="475">
        <v>11.046397652219259</v>
      </c>
      <c r="M20" s="475">
        <v>11.618404085770958</v>
      </c>
      <c r="N20" s="475">
        <v>12.210331454247907</v>
      </c>
      <c r="O20" s="475">
        <v>12.824714907367937</v>
      </c>
      <c r="P20" s="475">
        <v>13.465427859557796</v>
      </c>
      <c r="Q20" s="475">
        <v>14.136991745687819</v>
      </c>
      <c r="R20" s="475">
        <v>14.843206467369427</v>
      </c>
      <c r="S20" s="475">
        <v>15.586476240436248</v>
      </c>
      <c r="T20" s="475">
        <v>16.369473128948385</v>
      </c>
      <c r="U20" s="475">
        <v>17.190628033199836</v>
      </c>
      <c r="V20" s="475">
        <v>18.052436324644866</v>
      </c>
      <c r="W20" s="475">
        <v>18.955938520315421</v>
      </c>
      <c r="X20" s="475">
        <v>19.902673592501202</v>
      </c>
      <c r="Y20" s="475">
        <v>20.894704857773277</v>
      </c>
      <c r="Z20" s="475">
        <v>21.934412373627794</v>
      </c>
      <c r="AA20" s="475">
        <v>23.024524492715912</v>
      </c>
      <c r="AB20" s="475">
        <v>24.167797168625285</v>
      </c>
      <c r="AC20" s="475">
        <v>25.367001754271541</v>
      </c>
      <c r="AD20" s="475">
        <v>26.624910204793778</v>
      </c>
      <c r="AE20" s="475">
        <v>27.944321902036261</v>
      </c>
      <c r="AF20" s="475">
        <v>29.32812310017567</v>
      </c>
      <c r="AG20" s="475">
        <v>30.779340545114337</v>
      </c>
      <c r="AH20" s="475">
        <v>32.301181969831163</v>
      </c>
      <c r="AI20" s="475">
        <v>33.897058210285969</v>
      </c>
      <c r="AJ20" s="475">
        <v>35.570585160088655</v>
      </c>
      <c r="AK20" s="475">
        <v>37.325577124247062</v>
      </c>
      <c r="AL20" s="475">
        <v>39.166042399535925</v>
      </c>
      <c r="AM20" s="607"/>
    </row>
    <row r="21" spans="2:39" ht="15" customHeight="1" x14ac:dyDescent="0.35">
      <c r="B21" s="606"/>
      <c r="C21" s="621" t="s">
        <v>90</v>
      </c>
      <c r="D21" s="475">
        <v>7.5707973221489757</v>
      </c>
      <c r="E21" s="475">
        <v>7.9093524384259357</v>
      </c>
      <c r="F21" s="475">
        <v>8.1945872440194094</v>
      </c>
      <c r="G21" s="475">
        <v>8.583782715688141</v>
      </c>
      <c r="H21" s="475">
        <v>8.9699231360466918</v>
      </c>
      <c r="I21" s="475">
        <v>9.4318697097982991</v>
      </c>
      <c r="J21" s="475">
        <v>9.9329893259053517</v>
      </c>
      <c r="K21" s="475">
        <v>10.460473829673948</v>
      </c>
      <c r="L21" s="475">
        <v>11.01242309777642</v>
      </c>
      <c r="M21" s="475">
        <v>11.584656136055171</v>
      </c>
      <c r="N21" s="475">
        <v>12.17693514266746</v>
      </c>
      <c r="O21" s="475">
        <v>12.791797091782762</v>
      </c>
      <c r="P21" s="475">
        <v>13.431147370412633</v>
      </c>
      <c r="Q21" s="475">
        <v>14.101294532398612</v>
      </c>
      <c r="R21" s="475">
        <v>14.806030666074676</v>
      </c>
      <c r="S21" s="475">
        <v>15.547755933847926</v>
      </c>
      <c r="T21" s="475">
        <v>16.329137862735617</v>
      </c>
      <c r="U21" s="475">
        <v>17.148613343401536</v>
      </c>
      <c r="V21" s="475">
        <v>18.008673739701624</v>
      </c>
      <c r="W21" s="475">
        <v>18.910359226684385</v>
      </c>
      <c r="X21" s="475">
        <v>19.855207300741156</v>
      </c>
      <c r="Y21" s="475">
        <v>20.845278659044062</v>
      </c>
      <c r="Z21" s="475">
        <v>21.882691530387735</v>
      </c>
      <c r="AA21" s="475">
        <v>22.970405012822198</v>
      </c>
      <c r="AB21" s="475">
        <v>24.111169669552751</v>
      </c>
      <c r="AC21" s="475">
        <v>25.307751506572274</v>
      </c>
      <c r="AD21" s="475">
        <v>26.562917209560723</v>
      </c>
      <c r="AE21" s="475">
        <v>27.87946090536591</v>
      </c>
      <c r="AF21" s="475">
        <v>29.260263470786754</v>
      </c>
      <c r="AG21" s="475">
        <v>30.708346031531171</v>
      </c>
      <c r="AH21" s="475">
        <v>32.226910369884507</v>
      </c>
      <c r="AI21" s="475">
        <v>33.819360996908678</v>
      </c>
      <c r="AJ21" s="475">
        <v>35.489307110375229</v>
      </c>
      <c r="AK21" s="475">
        <v>37.240555971343781</v>
      </c>
      <c r="AL21" s="475">
        <v>39.077108501935967</v>
      </c>
      <c r="AM21" s="607"/>
    </row>
    <row r="22" spans="2:39" ht="15" customHeight="1" x14ac:dyDescent="0.35">
      <c r="B22" s="606"/>
      <c r="C22" s="612"/>
      <c r="D22" s="618"/>
      <c r="E22" s="618"/>
      <c r="F22" s="618"/>
      <c r="G22" s="618"/>
      <c r="H22" s="618"/>
      <c r="I22" s="618"/>
      <c r="J22" s="618"/>
      <c r="K22" s="618"/>
      <c r="L22" s="618"/>
      <c r="M22" s="618"/>
      <c r="N22" s="618"/>
      <c r="O22" s="618"/>
      <c r="P22" s="618"/>
      <c r="Q22" s="618"/>
      <c r="R22" s="618"/>
      <c r="S22" s="618"/>
      <c r="T22" s="618"/>
      <c r="U22" s="618"/>
      <c r="V22" s="618"/>
      <c r="W22" s="618"/>
      <c r="X22" s="618"/>
      <c r="Y22" s="618"/>
      <c r="Z22" s="618"/>
      <c r="AA22" s="618"/>
      <c r="AB22" s="618"/>
      <c r="AC22" s="618"/>
      <c r="AD22" s="618"/>
      <c r="AE22" s="618"/>
      <c r="AF22" s="618"/>
      <c r="AG22" s="618"/>
      <c r="AH22" s="618"/>
      <c r="AI22" s="618"/>
      <c r="AJ22" s="618"/>
      <c r="AK22" s="618"/>
      <c r="AL22" s="618"/>
      <c r="AM22" s="607"/>
    </row>
    <row r="23" spans="2:39" ht="15" customHeight="1" x14ac:dyDescent="0.35">
      <c r="B23" s="606"/>
      <c r="C23" s="612"/>
      <c r="D23" s="618"/>
      <c r="E23" s="618"/>
      <c r="F23" s="618"/>
      <c r="G23" s="618"/>
      <c r="H23" s="618"/>
      <c r="I23" s="618"/>
      <c r="J23" s="618"/>
      <c r="K23" s="618"/>
      <c r="L23" s="618"/>
      <c r="M23" s="618"/>
      <c r="N23" s="618"/>
      <c r="O23" s="618"/>
      <c r="P23" s="618"/>
      <c r="Q23" s="618"/>
      <c r="R23" s="618"/>
      <c r="S23" s="618"/>
      <c r="T23" s="618"/>
      <c r="U23" s="618"/>
      <c r="V23" s="618"/>
      <c r="W23" s="618"/>
      <c r="X23" s="618"/>
      <c r="Y23" s="618"/>
      <c r="Z23" s="618"/>
      <c r="AA23" s="618"/>
      <c r="AB23" s="618"/>
      <c r="AC23" s="618"/>
      <c r="AD23" s="618"/>
      <c r="AE23" s="618"/>
      <c r="AF23" s="618"/>
      <c r="AG23" s="618"/>
      <c r="AH23" s="618"/>
      <c r="AI23" s="618"/>
      <c r="AJ23" s="618"/>
      <c r="AK23" s="618"/>
      <c r="AL23" s="618"/>
      <c r="AM23" s="607"/>
    </row>
    <row r="24" spans="2:39" ht="15" customHeight="1" x14ac:dyDescent="0.35">
      <c r="B24" s="655"/>
      <c r="C24" s="656" t="str">
        <f>"Revenues ("&amp;Dollar_Year&amp;"$ MM)"</f>
        <v>Revenues (2021$ MM)</v>
      </c>
      <c r="D24" s="620">
        <f>Reference_Year - 1</f>
        <v>2022</v>
      </c>
      <c r="E24" s="620">
        <f ca="1">OFFSET(E24,0,-1)+1</f>
        <v>2023</v>
      </c>
      <c r="F24" s="620">
        <f t="shared" ref="F24:AL24" ca="1" si="10">OFFSET(F24,0,-1)+1</f>
        <v>2024</v>
      </c>
      <c r="G24" s="620">
        <f t="shared" ca="1" si="10"/>
        <v>2025</v>
      </c>
      <c r="H24" s="620">
        <f t="shared" ca="1" si="10"/>
        <v>2026</v>
      </c>
      <c r="I24" s="620">
        <f t="shared" ca="1" si="10"/>
        <v>2027</v>
      </c>
      <c r="J24" s="620">
        <f t="shared" ca="1" si="10"/>
        <v>2028</v>
      </c>
      <c r="K24" s="620">
        <f t="shared" ca="1" si="10"/>
        <v>2029</v>
      </c>
      <c r="L24" s="620">
        <f t="shared" ca="1" si="10"/>
        <v>2030</v>
      </c>
      <c r="M24" s="620">
        <f t="shared" ca="1" si="10"/>
        <v>2031</v>
      </c>
      <c r="N24" s="620">
        <f t="shared" ca="1" si="10"/>
        <v>2032</v>
      </c>
      <c r="O24" s="620">
        <f t="shared" ca="1" si="10"/>
        <v>2033</v>
      </c>
      <c r="P24" s="620">
        <f t="shared" ca="1" si="10"/>
        <v>2034</v>
      </c>
      <c r="Q24" s="620">
        <f t="shared" ca="1" si="10"/>
        <v>2035</v>
      </c>
      <c r="R24" s="620">
        <f t="shared" ca="1" si="10"/>
        <v>2036</v>
      </c>
      <c r="S24" s="620">
        <f t="shared" ca="1" si="10"/>
        <v>2037</v>
      </c>
      <c r="T24" s="620">
        <f t="shared" ca="1" si="10"/>
        <v>2038</v>
      </c>
      <c r="U24" s="620">
        <f t="shared" ca="1" si="10"/>
        <v>2039</v>
      </c>
      <c r="V24" s="620">
        <f t="shared" ca="1" si="10"/>
        <v>2040</v>
      </c>
      <c r="W24" s="620">
        <f t="shared" ca="1" si="10"/>
        <v>2041</v>
      </c>
      <c r="X24" s="620">
        <f t="shared" ca="1" si="10"/>
        <v>2042</v>
      </c>
      <c r="Y24" s="620">
        <f t="shared" ca="1" si="10"/>
        <v>2043</v>
      </c>
      <c r="Z24" s="620">
        <f t="shared" ca="1" si="10"/>
        <v>2044</v>
      </c>
      <c r="AA24" s="620">
        <f t="shared" ca="1" si="10"/>
        <v>2045</v>
      </c>
      <c r="AB24" s="620">
        <f t="shared" ca="1" si="10"/>
        <v>2046</v>
      </c>
      <c r="AC24" s="620">
        <f t="shared" ca="1" si="10"/>
        <v>2047</v>
      </c>
      <c r="AD24" s="620">
        <f t="shared" ca="1" si="10"/>
        <v>2048</v>
      </c>
      <c r="AE24" s="620">
        <f t="shared" ca="1" si="10"/>
        <v>2049</v>
      </c>
      <c r="AF24" s="620">
        <f t="shared" ca="1" si="10"/>
        <v>2050</v>
      </c>
      <c r="AG24" s="620">
        <f t="shared" ca="1" si="10"/>
        <v>2051</v>
      </c>
      <c r="AH24" s="620">
        <f t="shared" ca="1" si="10"/>
        <v>2052</v>
      </c>
      <c r="AI24" s="620">
        <f t="shared" ca="1" si="10"/>
        <v>2053</v>
      </c>
      <c r="AJ24" s="620">
        <f t="shared" ca="1" si="10"/>
        <v>2054</v>
      </c>
      <c r="AK24" s="620">
        <f t="shared" ca="1" si="10"/>
        <v>2055</v>
      </c>
      <c r="AL24" s="620">
        <f t="shared" ca="1" si="10"/>
        <v>2056</v>
      </c>
      <c r="AM24" s="607"/>
    </row>
    <row r="25" spans="2:39" ht="15" customHeight="1" x14ac:dyDescent="0.35">
      <c r="B25" s="606"/>
      <c r="C25" s="621" t="s">
        <v>237</v>
      </c>
      <c r="D25" s="442">
        <v>633.28196497713952</v>
      </c>
      <c r="E25" s="442">
        <v>656.61115010410003</v>
      </c>
      <c r="F25" s="442">
        <v>676.84807695261088</v>
      </c>
      <c r="G25" s="442">
        <v>703.5950648918415</v>
      </c>
      <c r="H25" s="442">
        <v>732.91827329366379</v>
      </c>
      <c r="I25" s="442">
        <v>764.94734714738001</v>
      </c>
      <c r="J25" s="442">
        <v>800.19811613745082</v>
      </c>
      <c r="K25" s="442">
        <v>837.48996661600631</v>
      </c>
      <c r="L25" s="442">
        <v>876.20328064140472</v>
      </c>
      <c r="M25" s="442">
        <v>916.37569706233899</v>
      </c>
      <c r="N25" s="442">
        <v>957.64200498407854</v>
      </c>
      <c r="O25" s="442">
        <v>1000.5713101624074</v>
      </c>
      <c r="P25" s="442">
        <v>1044.7098022293153</v>
      </c>
      <c r="Q25" s="442">
        <v>1090.8565948682619</v>
      </c>
      <c r="R25" s="442">
        <v>1139.6431689368528</v>
      </c>
      <c r="S25" s="442">
        <v>1190.4471257036066</v>
      </c>
      <c r="T25" s="442">
        <v>1244.2706890001464</v>
      </c>
      <c r="U25" s="442">
        <v>1300.061586548798</v>
      </c>
      <c r="V25" s="442">
        <v>1358.5418970953899</v>
      </c>
      <c r="W25" s="442">
        <v>1419.8914098699152</v>
      </c>
      <c r="X25" s="442">
        <v>1483.8979071782965</v>
      </c>
      <c r="Y25" s="442">
        <v>1550.5003546378121</v>
      </c>
      <c r="Z25" s="442">
        <v>1620.0190047244378</v>
      </c>
      <c r="AA25" s="442">
        <v>1693.082543231887</v>
      </c>
      <c r="AB25" s="442">
        <v>1769.1871937452381</v>
      </c>
      <c r="AC25" s="442">
        <v>1848.8654305169232</v>
      </c>
      <c r="AD25" s="442">
        <v>1931.9974491472371</v>
      </c>
      <c r="AE25" s="442">
        <v>2018.6399170813993</v>
      </c>
      <c r="AF25" s="442">
        <v>2109.1859563430003</v>
      </c>
      <c r="AG25" s="442">
        <v>2204.4029585585545</v>
      </c>
      <c r="AH25" s="442">
        <v>2303.4495780331035</v>
      </c>
      <c r="AI25" s="442">
        <v>2406.6043644369265</v>
      </c>
      <c r="AJ25" s="442">
        <v>2514.8434024405774</v>
      </c>
      <c r="AK25" s="442">
        <v>2627.9831454698424</v>
      </c>
      <c r="AL25" s="442">
        <v>2746.1582362224781</v>
      </c>
      <c r="AM25" s="607"/>
    </row>
    <row r="26" spans="2:39" ht="15" customHeight="1" x14ac:dyDescent="0.35">
      <c r="B26" s="606"/>
      <c r="C26" s="621" t="s">
        <v>90</v>
      </c>
      <c r="D26" s="442">
        <v>633.28196497713952</v>
      </c>
      <c r="E26" s="442">
        <v>656.61115010410003</v>
      </c>
      <c r="F26" s="442">
        <v>678.97740712259451</v>
      </c>
      <c r="G26" s="442">
        <v>706.11447014226212</v>
      </c>
      <c r="H26" s="442">
        <v>740.55014893669215</v>
      </c>
      <c r="I26" s="442">
        <v>773.29356518407758</v>
      </c>
      <c r="J26" s="442">
        <v>809.32584803030682</v>
      </c>
      <c r="K26" s="442">
        <v>847.16641220946326</v>
      </c>
      <c r="L26" s="442">
        <v>886.41537660205302</v>
      </c>
      <c r="M26" s="442">
        <v>926.80877330735632</v>
      </c>
      <c r="N26" s="442">
        <v>968.89734301704721</v>
      </c>
      <c r="O26" s="442">
        <v>1012.5817381787442</v>
      </c>
      <c r="P26" s="442">
        <v>1056.9101929115063</v>
      </c>
      <c r="Q26" s="442">
        <v>1103.7250776159415</v>
      </c>
      <c r="R26" s="442">
        <v>1152.7161356108149</v>
      </c>
      <c r="S26" s="442">
        <v>1204.1990176514464</v>
      </c>
      <c r="T26" s="442">
        <v>1259.1345940662018</v>
      </c>
      <c r="U26" s="442">
        <v>1315.414209818266</v>
      </c>
      <c r="V26" s="442">
        <v>1374.1284109566477</v>
      </c>
      <c r="W26" s="442">
        <v>1436.7638298978322</v>
      </c>
      <c r="X26" s="442">
        <v>1501.522959102972</v>
      </c>
      <c r="Y26" s="442">
        <v>1568.3454976132289</v>
      </c>
      <c r="Z26" s="442">
        <v>1638.9576059101353</v>
      </c>
      <c r="AA26" s="442">
        <v>1712.6817663305033</v>
      </c>
      <c r="AB26" s="442">
        <v>1789.8790579892691</v>
      </c>
      <c r="AC26" s="442">
        <v>1870.274508407666</v>
      </c>
      <c r="AD26" s="442">
        <v>1954.3752423860926</v>
      </c>
      <c r="AE26" s="442">
        <v>2041.7613844573075</v>
      </c>
      <c r="AF26" s="442">
        <v>2133.4996917589497</v>
      </c>
      <c r="AG26" s="442">
        <v>2229.5743828964642</v>
      </c>
      <c r="AH26" s="442">
        <v>2329.3857855341003</v>
      </c>
      <c r="AI26" s="442">
        <v>2433.5791077029039</v>
      </c>
      <c r="AJ26" s="442">
        <v>2544.0568304414519</v>
      </c>
      <c r="AK26" s="442">
        <v>2657.6506388116022</v>
      </c>
      <c r="AL26" s="442">
        <v>2776.6085687455115</v>
      </c>
      <c r="AM26" s="607"/>
    </row>
    <row r="27" spans="2:39" ht="15" customHeight="1" x14ac:dyDescent="0.35">
      <c r="B27" s="606"/>
      <c r="C27" s="612"/>
      <c r="D27" s="618"/>
      <c r="E27" s="618"/>
      <c r="F27" s="618"/>
      <c r="G27" s="618"/>
      <c r="H27" s="618"/>
      <c r="I27" s="618"/>
      <c r="J27" s="618"/>
      <c r="K27" s="618"/>
      <c r="L27" s="618"/>
      <c r="M27" s="618"/>
      <c r="N27" s="618"/>
      <c r="O27" s="618"/>
      <c r="P27" s="618"/>
      <c r="Q27" s="618"/>
      <c r="R27" s="618"/>
      <c r="S27" s="618"/>
      <c r="T27" s="618"/>
      <c r="U27" s="618"/>
      <c r="V27" s="618"/>
      <c r="W27" s="618"/>
      <c r="X27" s="618"/>
      <c r="Y27" s="618"/>
      <c r="Z27" s="618"/>
      <c r="AA27" s="618"/>
      <c r="AB27" s="618"/>
      <c r="AC27" s="618"/>
      <c r="AD27" s="618"/>
      <c r="AE27" s="618"/>
      <c r="AF27" s="618"/>
      <c r="AG27" s="618"/>
      <c r="AH27" s="618"/>
      <c r="AI27" s="618"/>
      <c r="AJ27" s="618"/>
      <c r="AK27" s="618"/>
      <c r="AL27" s="618"/>
      <c r="AM27" s="607"/>
    </row>
    <row r="28" spans="2:39" ht="15" customHeight="1" x14ac:dyDescent="0.35">
      <c r="B28" s="606"/>
      <c r="C28" s="612"/>
      <c r="D28" s="618"/>
      <c r="E28" s="618"/>
      <c r="F28" s="618"/>
      <c r="G28" s="618"/>
      <c r="H28" s="618"/>
      <c r="I28" s="618"/>
      <c r="J28" s="618"/>
      <c r="K28" s="618"/>
      <c r="L28" s="618"/>
      <c r="M28" s="618"/>
      <c r="N28" s="618"/>
      <c r="O28" s="618"/>
      <c r="P28" s="618"/>
      <c r="Q28" s="618"/>
      <c r="R28" s="618"/>
      <c r="S28" s="618"/>
      <c r="T28" s="618"/>
      <c r="U28" s="618"/>
      <c r="V28" s="618"/>
      <c r="W28" s="618"/>
      <c r="X28" s="618"/>
      <c r="Y28" s="618"/>
      <c r="Z28" s="618"/>
      <c r="AA28" s="618"/>
      <c r="AB28" s="618"/>
      <c r="AC28" s="618"/>
      <c r="AD28" s="618"/>
      <c r="AE28" s="618"/>
      <c r="AF28" s="618"/>
      <c r="AG28" s="618"/>
      <c r="AH28" s="618"/>
      <c r="AI28" s="618"/>
      <c r="AJ28" s="618"/>
      <c r="AK28" s="618"/>
      <c r="AL28" s="618"/>
      <c r="AM28" s="607"/>
    </row>
    <row r="29" spans="2:39" ht="15" customHeight="1" x14ac:dyDescent="0.35">
      <c r="B29" s="655"/>
      <c r="C29" s="656" t="str">
        <f>"FCF ("&amp;Dollar_Year&amp;"$ MM)"</f>
        <v>FCF (2021$ MM)</v>
      </c>
      <c r="D29" s="620">
        <f>Reference_Year - 1</f>
        <v>2022</v>
      </c>
      <c r="E29" s="620">
        <f ca="1">OFFSET(E29,0,-1)+1</f>
        <v>2023</v>
      </c>
      <c r="F29" s="620">
        <f t="shared" ref="F29:AL29" ca="1" si="11">OFFSET(F29,0,-1)+1</f>
        <v>2024</v>
      </c>
      <c r="G29" s="620">
        <f t="shared" ca="1" si="11"/>
        <v>2025</v>
      </c>
      <c r="H29" s="620">
        <f t="shared" ca="1" si="11"/>
        <v>2026</v>
      </c>
      <c r="I29" s="620">
        <f t="shared" ca="1" si="11"/>
        <v>2027</v>
      </c>
      <c r="J29" s="620">
        <f t="shared" ca="1" si="11"/>
        <v>2028</v>
      </c>
      <c r="K29" s="620">
        <f t="shared" ca="1" si="11"/>
        <v>2029</v>
      </c>
      <c r="L29" s="620">
        <f t="shared" ca="1" si="11"/>
        <v>2030</v>
      </c>
      <c r="M29" s="620">
        <f t="shared" ca="1" si="11"/>
        <v>2031</v>
      </c>
      <c r="N29" s="620">
        <f t="shared" ca="1" si="11"/>
        <v>2032</v>
      </c>
      <c r="O29" s="620">
        <f t="shared" ca="1" si="11"/>
        <v>2033</v>
      </c>
      <c r="P29" s="620">
        <f t="shared" ca="1" si="11"/>
        <v>2034</v>
      </c>
      <c r="Q29" s="620">
        <f t="shared" ca="1" si="11"/>
        <v>2035</v>
      </c>
      <c r="R29" s="620">
        <f t="shared" ca="1" si="11"/>
        <v>2036</v>
      </c>
      <c r="S29" s="620">
        <f t="shared" ca="1" si="11"/>
        <v>2037</v>
      </c>
      <c r="T29" s="620">
        <f t="shared" ca="1" si="11"/>
        <v>2038</v>
      </c>
      <c r="U29" s="620">
        <f t="shared" ca="1" si="11"/>
        <v>2039</v>
      </c>
      <c r="V29" s="620">
        <f t="shared" ca="1" si="11"/>
        <v>2040</v>
      </c>
      <c r="W29" s="620">
        <f t="shared" ca="1" si="11"/>
        <v>2041</v>
      </c>
      <c r="X29" s="620">
        <f t="shared" ca="1" si="11"/>
        <v>2042</v>
      </c>
      <c r="Y29" s="620">
        <f t="shared" ca="1" si="11"/>
        <v>2043</v>
      </c>
      <c r="Z29" s="620">
        <f t="shared" ca="1" si="11"/>
        <v>2044</v>
      </c>
      <c r="AA29" s="620">
        <f t="shared" ca="1" si="11"/>
        <v>2045</v>
      </c>
      <c r="AB29" s="620">
        <f t="shared" ca="1" si="11"/>
        <v>2046</v>
      </c>
      <c r="AC29" s="620">
        <f t="shared" ca="1" si="11"/>
        <v>2047</v>
      </c>
      <c r="AD29" s="620">
        <f t="shared" ca="1" si="11"/>
        <v>2048</v>
      </c>
      <c r="AE29" s="620">
        <f t="shared" ca="1" si="11"/>
        <v>2049</v>
      </c>
      <c r="AF29" s="620">
        <f t="shared" ca="1" si="11"/>
        <v>2050</v>
      </c>
      <c r="AG29" s="620">
        <f t="shared" ca="1" si="11"/>
        <v>2051</v>
      </c>
      <c r="AH29" s="620">
        <f t="shared" ca="1" si="11"/>
        <v>2052</v>
      </c>
      <c r="AI29" s="620">
        <f t="shared" ca="1" si="11"/>
        <v>2053</v>
      </c>
      <c r="AJ29" s="620">
        <f t="shared" ca="1" si="11"/>
        <v>2054</v>
      </c>
      <c r="AK29" s="620">
        <f t="shared" ca="1" si="11"/>
        <v>2055</v>
      </c>
      <c r="AL29" s="620">
        <f t="shared" ca="1" si="11"/>
        <v>2056</v>
      </c>
      <c r="AM29" s="607"/>
    </row>
    <row r="30" spans="2:39" ht="15" customHeight="1" x14ac:dyDescent="0.35">
      <c r="B30" s="606"/>
      <c r="C30" s="621" t="s">
        <v>237</v>
      </c>
      <c r="D30" s="442">
        <v>48.94531488224456</v>
      </c>
      <c r="E30" s="442">
        <v>20.787578931099652</v>
      </c>
      <c r="F30" s="442">
        <v>49.318654498974951</v>
      </c>
      <c r="G30" s="442">
        <v>50.215636160980324</v>
      </c>
      <c r="H30" s="442">
        <v>50.493367642057279</v>
      </c>
      <c r="I30" s="442">
        <v>52.519668081557128</v>
      </c>
      <c r="J30" s="442">
        <v>54.70934027806419</v>
      </c>
      <c r="K30" s="442">
        <v>57.252746150021387</v>
      </c>
      <c r="L30" s="442">
        <v>60.008871165059006</v>
      </c>
      <c r="M30" s="442">
        <v>62.871519740298588</v>
      </c>
      <c r="N30" s="442">
        <v>65.879338387581669</v>
      </c>
      <c r="O30" s="442">
        <v>68.921215784819339</v>
      </c>
      <c r="P30" s="442">
        <v>72.131881756352016</v>
      </c>
      <c r="Q30" s="442">
        <v>75.365113083559578</v>
      </c>
      <c r="R30" s="442">
        <v>78.697542925808364</v>
      </c>
      <c r="S30" s="442">
        <v>82.289211127107933</v>
      </c>
      <c r="T30" s="442">
        <v>85.947890563076029</v>
      </c>
      <c r="U30" s="442">
        <v>89.933299205206197</v>
      </c>
      <c r="V30" s="442">
        <v>94.006703054697411</v>
      </c>
      <c r="W30" s="442">
        <v>98.272017783182079</v>
      </c>
      <c r="X30" s="442">
        <v>102.77791458573842</v>
      </c>
      <c r="Y30" s="442">
        <v>107.49457978626231</v>
      </c>
      <c r="Z30" s="442">
        <v>112.38347155000537</v>
      </c>
      <c r="AA30" s="442">
        <v>117.44198003063588</v>
      </c>
      <c r="AB30" s="442">
        <v>122.81915790951516</v>
      </c>
      <c r="AC30" s="442">
        <v>128.3841416294955</v>
      </c>
      <c r="AD30" s="442">
        <v>134.23594996307651</v>
      </c>
      <c r="AE30" s="442">
        <v>140.34966831704637</v>
      </c>
      <c r="AF30" s="442">
        <v>146.69982898191381</v>
      </c>
      <c r="AG30" s="442">
        <v>153.28361363224275</v>
      </c>
      <c r="AH30" s="442">
        <v>160.30304644720508</v>
      </c>
      <c r="AI30" s="442">
        <v>167.59375343914033</v>
      </c>
      <c r="AJ30" s="442">
        <v>175.11538376660167</v>
      </c>
      <c r="AK30" s="442">
        <v>183.04625020529966</v>
      </c>
      <c r="AL30" s="442">
        <v>191.34393964734127</v>
      </c>
      <c r="AM30" s="607"/>
    </row>
    <row r="31" spans="2:39" ht="15" customHeight="1" x14ac:dyDescent="0.35">
      <c r="B31" s="606"/>
      <c r="C31" s="621" t="s">
        <v>90</v>
      </c>
      <c r="D31" s="442">
        <v>48.94531488224456</v>
      </c>
      <c r="E31" s="442">
        <v>20.787578931099652</v>
      </c>
      <c r="F31" s="442">
        <v>40.628208851503054</v>
      </c>
      <c r="G31" s="442">
        <v>40.080145579059888</v>
      </c>
      <c r="H31" s="442">
        <v>50.525660298803281</v>
      </c>
      <c r="I31" s="442">
        <v>52.180203963993009</v>
      </c>
      <c r="J31" s="442">
        <v>54.378704593899904</v>
      </c>
      <c r="K31" s="442">
        <v>56.960718991666454</v>
      </c>
      <c r="L31" s="442">
        <v>59.716656097046233</v>
      </c>
      <c r="M31" s="442">
        <v>62.603342287473595</v>
      </c>
      <c r="N31" s="442">
        <v>65.528034423736358</v>
      </c>
      <c r="O31" s="442">
        <v>68.590441081609654</v>
      </c>
      <c r="P31" s="442">
        <v>71.859921650676867</v>
      </c>
      <c r="Q31" s="442">
        <v>75.013185583946097</v>
      </c>
      <c r="R31" s="442">
        <v>78.383808886579544</v>
      </c>
      <c r="S31" s="442">
        <v>81.891648406346846</v>
      </c>
      <c r="T31" s="442">
        <v>85.503079209860317</v>
      </c>
      <c r="U31" s="442">
        <v>89.566834017379477</v>
      </c>
      <c r="V31" s="442">
        <v>93.635005626101218</v>
      </c>
      <c r="W31" s="442">
        <v>97.754984281537787</v>
      </c>
      <c r="X31" s="442">
        <v>102.33560828722477</v>
      </c>
      <c r="Y31" s="442">
        <v>107.08287408289931</v>
      </c>
      <c r="Z31" s="442">
        <v>111.83256587569471</v>
      </c>
      <c r="AA31" s="442">
        <v>116.93191781307016</v>
      </c>
      <c r="AB31" s="442">
        <v>122.23551523030383</v>
      </c>
      <c r="AC31" s="442">
        <v>127.82889597945163</v>
      </c>
      <c r="AD31" s="442">
        <v>133.61982097670449</v>
      </c>
      <c r="AE31" s="442">
        <v>139.73101457600538</v>
      </c>
      <c r="AF31" s="442">
        <v>145.99650258959588</v>
      </c>
      <c r="AG31" s="442">
        <v>152.59447960719393</v>
      </c>
      <c r="AH31" s="442">
        <v>159.57696192976078</v>
      </c>
      <c r="AI31" s="442">
        <v>166.78617699489928</v>
      </c>
      <c r="AJ31" s="442">
        <v>174.15900624535479</v>
      </c>
      <c r="AK31" s="442">
        <v>182.29453367454497</v>
      </c>
      <c r="AL31" s="442">
        <v>190.46492029224117</v>
      </c>
      <c r="AM31" s="607"/>
    </row>
    <row r="32" spans="2:39" ht="15" customHeight="1" x14ac:dyDescent="0.35">
      <c r="B32" s="606"/>
      <c r="C32" s="621"/>
      <c r="D32" s="621"/>
      <c r="E32" s="621"/>
      <c r="F32" s="621"/>
      <c r="G32" s="621"/>
      <c r="H32" s="621"/>
      <c r="I32" s="621"/>
      <c r="J32" s="621"/>
      <c r="K32" s="621"/>
      <c r="L32" s="621"/>
      <c r="M32" s="621"/>
      <c r="N32" s="621"/>
      <c r="O32" s="621"/>
      <c r="P32" s="621"/>
      <c r="Q32" s="621"/>
      <c r="R32" s="621"/>
      <c r="S32" s="621"/>
      <c r="T32" s="621"/>
      <c r="U32" s="621"/>
      <c r="V32" s="621"/>
      <c r="W32" s="621"/>
      <c r="X32" s="621"/>
      <c r="Y32" s="621"/>
      <c r="Z32" s="621"/>
      <c r="AA32" s="621"/>
      <c r="AB32" s="621"/>
      <c r="AC32" s="621"/>
      <c r="AD32" s="621"/>
      <c r="AE32" s="621"/>
      <c r="AF32" s="621"/>
      <c r="AG32" s="621"/>
      <c r="AH32" s="621"/>
      <c r="AI32" s="621"/>
      <c r="AJ32" s="621"/>
      <c r="AK32" s="621"/>
      <c r="AL32" s="621"/>
      <c r="AM32" s="607"/>
    </row>
    <row r="33" spans="2:39" ht="15" customHeight="1" x14ac:dyDescent="0.35">
      <c r="B33" s="606"/>
      <c r="C33" s="612"/>
      <c r="D33" s="618"/>
      <c r="E33" s="618"/>
      <c r="F33" s="618"/>
      <c r="G33" s="618"/>
      <c r="H33" s="618"/>
      <c r="I33" s="618"/>
      <c r="J33" s="618"/>
      <c r="K33" s="618"/>
      <c r="L33" s="618"/>
      <c r="M33" s="618"/>
      <c r="N33" s="618"/>
      <c r="O33" s="618"/>
      <c r="P33" s="618"/>
      <c r="Q33" s="618"/>
      <c r="R33" s="618"/>
      <c r="S33" s="618"/>
      <c r="T33" s="618"/>
      <c r="U33" s="618"/>
      <c r="V33" s="618"/>
      <c r="W33" s="618"/>
      <c r="X33" s="618"/>
      <c r="Y33" s="618"/>
      <c r="Z33" s="618"/>
      <c r="AA33" s="618"/>
      <c r="AB33" s="618"/>
      <c r="AC33" s="618"/>
      <c r="AD33" s="618"/>
      <c r="AE33" s="618"/>
      <c r="AF33" s="618"/>
      <c r="AG33" s="618"/>
      <c r="AH33" s="618"/>
      <c r="AI33" s="618"/>
      <c r="AJ33" s="618"/>
      <c r="AK33" s="618"/>
      <c r="AL33" s="618"/>
      <c r="AM33" s="607"/>
    </row>
    <row r="34" spans="2:39" ht="15" customHeight="1" x14ac:dyDescent="0.35">
      <c r="B34" s="655"/>
      <c r="C34" s="656" t="str">
        <f>"Investments ("&amp;Dollar_Year&amp;"$ MM)"</f>
        <v>Investments (2021$ MM)</v>
      </c>
      <c r="D34" s="620">
        <f>Reference_Year - 1</f>
        <v>2022</v>
      </c>
      <c r="E34" s="620">
        <f ca="1">OFFSET(E34,0,-1)+1</f>
        <v>2023</v>
      </c>
      <c r="F34" s="620">
        <f t="shared" ref="F34:AL34" ca="1" si="12">OFFSET(F34,0,-1)+1</f>
        <v>2024</v>
      </c>
      <c r="G34" s="620">
        <f t="shared" ca="1" si="12"/>
        <v>2025</v>
      </c>
      <c r="H34" s="620">
        <f t="shared" ca="1" si="12"/>
        <v>2026</v>
      </c>
      <c r="I34" s="620">
        <f t="shared" ca="1" si="12"/>
        <v>2027</v>
      </c>
      <c r="J34" s="620">
        <f t="shared" ca="1" si="12"/>
        <v>2028</v>
      </c>
      <c r="K34" s="620">
        <f t="shared" ca="1" si="12"/>
        <v>2029</v>
      </c>
      <c r="L34" s="620">
        <f t="shared" ca="1" si="12"/>
        <v>2030</v>
      </c>
      <c r="M34" s="620">
        <f t="shared" ca="1" si="12"/>
        <v>2031</v>
      </c>
      <c r="N34" s="620">
        <f t="shared" ca="1" si="12"/>
        <v>2032</v>
      </c>
      <c r="O34" s="620">
        <f t="shared" ca="1" si="12"/>
        <v>2033</v>
      </c>
      <c r="P34" s="620">
        <f t="shared" ca="1" si="12"/>
        <v>2034</v>
      </c>
      <c r="Q34" s="620">
        <f t="shared" ca="1" si="12"/>
        <v>2035</v>
      </c>
      <c r="R34" s="620">
        <f t="shared" ca="1" si="12"/>
        <v>2036</v>
      </c>
      <c r="S34" s="620">
        <f t="shared" ca="1" si="12"/>
        <v>2037</v>
      </c>
      <c r="T34" s="620">
        <f t="shared" ca="1" si="12"/>
        <v>2038</v>
      </c>
      <c r="U34" s="620">
        <f t="shared" ca="1" si="12"/>
        <v>2039</v>
      </c>
      <c r="V34" s="620">
        <f t="shared" ca="1" si="12"/>
        <v>2040</v>
      </c>
      <c r="W34" s="620">
        <f t="shared" ca="1" si="12"/>
        <v>2041</v>
      </c>
      <c r="X34" s="620">
        <f t="shared" ca="1" si="12"/>
        <v>2042</v>
      </c>
      <c r="Y34" s="620">
        <f t="shared" ca="1" si="12"/>
        <v>2043</v>
      </c>
      <c r="Z34" s="620">
        <f t="shared" ca="1" si="12"/>
        <v>2044</v>
      </c>
      <c r="AA34" s="620">
        <f t="shared" ca="1" si="12"/>
        <v>2045</v>
      </c>
      <c r="AB34" s="620">
        <f t="shared" ca="1" si="12"/>
        <v>2046</v>
      </c>
      <c r="AC34" s="620">
        <f t="shared" ca="1" si="12"/>
        <v>2047</v>
      </c>
      <c r="AD34" s="620">
        <f t="shared" ca="1" si="12"/>
        <v>2048</v>
      </c>
      <c r="AE34" s="620">
        <f t="shared" ca="1" si="12"/>
        <v>2049</v>
      </c>
      <c r="AF34" s="620">
        <f t="shared" ca="1" si="12"/>
        <v>2050</v>
      </c>
      <c r="AG34" s="620">
        <f t="shared" ca="1" si="12"/>
        <v>2051</v>
      </c>
      <c r="AH34" s="620">
        <f t="shared" ca="1" si="12"/>
        <v>2052</v>
      </c>
      <c r="AI34" s="620">
        <f t="shared" ca="1" si="12"/>
        <v>2053</v>
      </c>
      <c r="AJ34" s="620">
        <f t="shared" ca="1" si="12"/>
        <v>2054</v>
      </c>
      <c r="AK34" s="620">
        <f t="shared" ca="1" si="12"/>
        <v>2055</v>
      </c>
      <c r="AL34" s="620">
        <f t="shared" ca="1" si="12"/>
        <v>2056</v>
      </c>
      <c r="AM34" s="607"/>
    </row>
    <row r="35" spans="2:39" ht="15" customHeight="1" x14ac:dyDescent="0.35">
      <c r="B35" s="606"/>
      <c r="C35" s="621" t="s">
        <v>237</v>
      </c>
      <c r="D35" s="474">
        <v>25.331278599085582</v>
      </c>
      <c r="E35" s="474">
        <v>39.892700931902226</v>
      </c>
      <c r="F35" s="474">
        <v>27.140414202090962</v>
      </c>
      <c r="G35" s="474">
        <v>28.143802595673662</v>
      </c>
      <c r="H35" s="474">
        <v>29.316730931746552</v>
      </c>
      <c r="I35" s="474">
        <v>30.5978938858952</v>
      </c>
      <c r="J35" s="474">
        <v>32.007924645498036</v>
      </c>
      <c r="K35" s="474">
        <v>33.499598664640253</v>
      </c>
      <c r="L35" s="474">
        <v>35.048131225656192</v>
      </c>
      <c r="M35" s="474">
        <v>36.655027882493563</v>
      </c>
      <c r="N35" s="474">
        <v>38.305680199363145</v>
      </c>
      <c r="O35" s="474">
        <v>40.022852406496298</v>
      </c>
      <c r="P35" s="474">
        <v>41.788392089172611</v>
      </c>
      <c r="Q35" s="474">
        <v>43.634263794730479</v>
      </c>
      <c r="R35" s="474">
        <v>45.585726757474113</v>
      </c>
      <c r="S35" s="474">
        <v>47.617885028144265</v>
      </c>
      <c r="T35" s="474">
        <v>49.770827560005856</v>
      </c>
      <c r="U35" s="474">
        <v>52.002463461951919</v>
      </c>
      <c r="V35" s="474">
        <v>54.341675883815597</v>
      </c>
      <c r="W35" s="474">
        <v>56.795656394796609</v>
      </c>
      <c r="X35" s="474">
        <v>59.355916287131862</v>
      </c>
      <c r="Y35" s="474">
        <v>62.020014185512487</v>
      </c>
      <c r="Z35" s="474">
        <v>64.800760188977506</v>
      </c>
      <c r="AA35" s="474">
        <v>67.723301729275477</v>
      </c>
      <c r="AB35" s="474">
        <v>70.767487749809533</v>
      </c>
      <c r="AC35" s="474">
        <v>73.954617220676923</v>
      </c>
      <c r="AD35" s="474">
        <v>77.279897965889489</v>
      </c>
      <c r="AE35" s="474">
        <v>80.745596683255968</v>
      </c>
      <c r="AF35" s="474">
        <v>84.36743825372001</v>
      </c>
      <c r="AG35" s="474">
        <v>88.176118342342178</v>
      </c>
      <c r="AH35" s="474">
        <v>92.13798312132414</v>
      </c>
      <c r="AI35" s="474">
        <v>96.264174577477064</v>
      </c>
      <c r="AJ35" s="474">
        <v>100.59373609762309</v>
      </c>
      <c r="AK35" s="474">
        <v>105.1193258187937</v>
      </c>
      <c r="AL35" s="474">
        <v>109.84632944889913</v>
      </c>
      <c r="AM35" s="607"/>
    </row>
    <row r="36" spans="2:39" ht="15" customHeight="1" x14ac:dyDescent="0.35">
      <c r="B36" s="606"/>
      <c r="C36" s="621" t="s">
        <v>90</v>
      </c>
      <c r="D36" s="474">
        <v>25.331278599085582</v>
      </c>
      <c r="E36" s="474">
        <v>39.892700931902226</v>
      </c>
      <c r="F36" s="474">
        <v>34.295248039153527</v>
      </c>
      <c r="G36" s="474">
        <v>37.443650881913783</v>
      </c>
      <c r="H36" s="474">
        <v>29.622005957467685</v>
      </c>
      <c r="I36" s="474">
        <v>30.931742607363105</v>
      </c>
      <c r="J36" s="474">
        <v>32.373033921212276</v>
      </c>
      <c r="K36" s="474">
        <v>33.886656488378534</v>
      </c>
      <c r="L36" s="474">
        <v>35.456615064082122</v>
      </c>
      <c r="M36" s="474">
        <v>37.072350932294256</v>
      </c>
      <c r="N36" s="474">
        <v>38.75589372068189</v>
      </c>
      <c r="O36" s="474">
        <v>40.503269527149769</v>
      </c>
      <c r="P36" s="474">
        <v>42.276407716460255</v>
      </c>
      <c r="Q36" s="474">
        <v>44.149003104637657</v>
      </c>
      <c r="R36" s="474">
        <v>46.108645424432602</v>
      </c>
      <c r="S36" s="474">
        <v>48.167960706057855</v>
      </c>
      <c r="T36" s="474">
        <v>50.365383762648072</v>
      </c>
      <c r="U36" s="474">
        <v>52.616568392730642</v>
      </c>
      <c r="V36" s="474">
        <v>54.965136438265908</v>
      </c>
      <c r="W36" s="474">
        <v>57.47055319591329</v>
      </c>
      <c r="X36" s="474">
        <v>60.060918364118884</v>
      </c>
      <c r="Y36" s="474">
        <v>62.733819904529156</v>
      </c>
      <c r="Z36" s="474">
        <v>65.558304236405405</v>
      </c>
      <c r="AA36" s="474">
        <v>68.507270653220132</v>
      </c>
      <c r="AB36" s="474">
        <v>71.595162319570761</v>
      </c>
      <c r="AC36" s="474">
        <v>74.810980336306642</v>
      </c>
      <c r="AD36" s="474">
        <v>78.175009695443705</v>
      </c>
      <c r="AE36" s="474">
        <v>81.670455378292303</v>
      </c>
      <c r="AF36" s="474">
        <v>85.339987670357985</v>
      </c>
      <c r="AG36" s="474">
        <v>89.18297531585857</v>
      </c>
      <c r="AH36" s="474">
        <v>93.17543142136401</v>
      </c>
      <c r="AI36" s="474">
        <v>97.343164308116158</v>
      </c>
      <c r="AJ36" s="474">
        <v>101.76227321765808</v>
      </c>
      <c r="AK36" s="474">
        <v>106.30602555246409</v>
      </c>
      <c r="AL36" s="474">
        <v>111.06434274982047</v>
      </c>
      <c r="AM36" s="607"/>
    </row>
    <row r="37" spans="2:39" ht="15" customHeight="1" x14ac:dyDescent="0.35">
      <c r="B37" s="606"/>
      <c r="C37" s="621"/>
      <c r="D37" s="621"/>
      <c r="E37" s="621"/>
      <c r="F37" s="621"/>
      <c r="G37" s="621"/>
      <c r="H37" s="621"/>
      <c r="I37" s="621"/>
      <c r="J37" s="621"/>
      <c r="K37" s="621"/>
      <c r="L37" s="621"/>
      <c r="M37" s="621"/>
      <c r="N37" s="621"/>
      <c r="O37" s="621"/>
      <c r="P37" s="621"/>
      <c r="Q37" s="621"/>
      <c r="R37" s="621"/>
      <c r="S37" s="621"/>
      <c r="T37" s="621"/>
      <c r="U37" s="621"/>
      <c r="V37" s="621"/>
      <c r="W37" s="621"/>
      <c r="X37" s="621"/>
      <c r="Y37" s="621"/>
      <c r="Z37" s="621"/>
      <c r="AA37" s="621"/>
      <c r="AB37" s="621"/>
      <c r="AC37" s="621"/>
      <c r="AD37" s="621"/>
      <c r="AE37" s="621"/>
      <c r="AF37" s="621"/>
      <c r="AG37" s="621"/>
      <c r="AH37" s="621"/>
      <c r="AI37" s="621"/>
      <c r="AJ37" s="621"/>
      <c r="AK37" s="621"/>
      <c r="AL37" s="621"/>
      <c r="AM37" s="607"/>
    </row>
    <row r="38" spans="2:39" ht="15" customHeight="1" x14ac:dyDescent="0.35">
      <c r="B38" s="606"/>
      <c r="C38" s="612"/>
      <c r="D38" s="618"/>
      <c r="E38" s="618"/>
      <c r="F38" s="618"/>
      <c r="G38" s="618"/>
      <c r="H38" s="618"/>
      <c r="I38" s="618"/>
      <c r="J38" s="618"/>
      <c r="K38" s="618"/>
      <c r="L38" s="618"/>
      <c r="M38" s="618"/>
      <c r="N38" s="618"/>
      <c r="O38" s="618"/>
      <c r="P38" s="618"/>
      <c r="Q38" s="618"/>
      <c r="R38" s="618"/>
      <c r="S38" s="618"/>
      <c r="T38" s="618"/>
      <c r="U38" s="618"/>
      <c r="V38" s="618"/>
      <c r="W38" s="618"/>
      <c r="X38" s="618"/>
      <c r="Y38" s="618"/>
      <c r="Z38" s="618"/>
      <c r="AA38" s="618"/>
      <c r="AB38" s="618"/>
      <c r="AC38" s="618"/>
      <c r="AD38" s="618"/>
      <c r="AE38" s="618"/>
      <c r="AF38" s="618"/>
      <c r="AG38" s="618"/>
      <c r="AH38" s="618"/>
      <c r="AI38" s="618"/>
      <c r="AJ38" s="618"/>
      <c r="AK38" s="618"/>
      <c r="AL38" s="618"/>
      <c r="AM38" s="607"/>
    </row>
    <row r="39" spans="2:39" ht="15" customHeight="1" x14ac:dyDescent="0.35">
      <c r="B39" s="655"/>
      <c r="C39" s="656" t="s">
        <v>207</v>
      </c>
      <c r="D39" s="620">
        <f>Reference_Year - 1</f>
        <v>2022</v>
      </c>
      <c r="E39" s="620">
        <f ca="1">OFFSET(E39,0,-1)+1</f>
        <v>2023</v>
      </c>
      <c r="F39" s="620">
        <f t="shared" ref="F39:AL39" ca="1" si="13">OFFSET(F39,0,-1)+1</f>
        <v>2024</v>
      </c>
      <c r="G39" s="620">
        <f t="shared" ca="1" si="13"/>
        <v>2025</v>
      </c>
      <c r="H39" s="620">
        <f t="shared" ca="1" si="13"/>
        <v>2026</v>
      </c>
      <c r="I39" s="620">
        <f t="shared" ca="1" si="13"/>
        <v>2027</v>
      </c>
      <c r="J39" s="620">
        <f t="shared" ca="1" si="13"/>
        <v>2028</v>
      </c>
      <c r="K39" s="620">
        <f t="shared" ca="1" si="13"/>
        <v>2029</v>
      </c>
      <c r="L39" s="620">
        <f t="shared" ca="1" si="13"/>
        <v>2030</v>
      </c>
      <c r="M39" s="620">
        <f t="shared" ca="1" si="13"/>
        <v>2031</v>
      </c>
      <c r="N39" s="620">
        <f t="shared" ca="1" si="13"/>
        <v>2032</v>
      </c>
      <c r="O39" s="620">
        <f t="shared" ca="1" si="13"/>
        <v>2033</v>
      </c>
      <c r="P39" s="620">
        <f t="shared" ca="1" si="13"/>
        <v>2034</v>
      </c>
      <c r="Q39" s="620">
        <f t="shared" ca="1" si="13"/>
        <v>2035</v>
      </c>
      <c r="R39" s="620">
        <f t="shared" ca="1" si="13"/>
        <v>2036</v>
      </c>
      <c r="S39" s="620">
        <f t="shared" ca="1" si="13"/>
        <v>2037</v>
      </c>
      <c r="T39" s="620">
        <f t="shared" ca="1" si="13"/>
        <v>2038</v>
      </c>
      <c r="U39" s="620">
        <f t="shared" ca="1" si="13"/>
        <v>2039</v>
      </c>
      <c r="V39" s="620">
        <f t="shared" ca="1" si="13"/>
        <v>2040</v>
      </c>
      <c r="W39" s="620">
        <f t="shared" ca="1" si="13"/>
        <v>2041</v>
      </c>
      <c r="X39" s="620">
        <f t="shared" ca="1" si="13"/>
        <v>2042</v>
      </c>
      <c r="Y39" s="620">
        <f t="shared" ca="1" si="13"/>
        <v>2043</v>
      </c>
      <c r="Z39" s="620">
        <f t="shared" ca="1" si="13"/>
        <v>2044</v>
      </c>
      <c r="AA39" s="620">
        <f t="shared" ca="1" si="13"/>
        <v>2045</v>
      </c>
      <c r="AB39" s="620">
        <f t="shared" ca="1" si="13"/>
        <v>2046</v>
      </c>
      <c r="AC39" s="620">
        <f t="shared" ca="1" si="13"/>
        <v>2047</v>
      </c>
      <c r="AD39" s="620">
        <f t="shared" ca="1" si="13"/>
        <v>2048</v>
      </c>
      <c r="AE39" s="620">
        <f t="shared" ca="1" si="13"/>
        <v>2049</v>
      </c>
      <c r="AF39" s="620">
        <f t="shared" ca="1" si="13"/>
        <v>2050</v>
      </c>
      <c r="AG39" s="620">
        <f t="shared" ca="1" si="13"/>
        <v>2051</v>
      </c>
      <c r="AH39" s="620">
        <f t="shared" ca="1" si="13"/>
        <v>2052</v>
      </c>
      <c r="AI39" s="620">
        <f t="shared" ca="1" si="13"/>
        <v>2053</v>
      </c>
      <c r="AJ39" s="620">
        <f t="shared" ca="1" si="13"/>
        <v>2054</v>
      </c>
      <c r="AK39" s="620">
        <f t="shared" ca="1" si="13"/>
        <v>2055</v>
      </c>
      <c r="AL39" s="620">
        <f t="shared" ca="1" si="13"/>
        <v>2056</v>
      </c>
      <c r="AM39" s="607"/>
    </row>
    <row r="40" spans="2:39" ht="15" customHeight="1" x14ac:dyDescent="0.35">
      <c r="B40" s="606"/>
      <c r="C40" s="621" t="s">
        <v>237</v>
      </c>
      <c r="D40" s="474">
        <v>0.10599999999999998</v>
      </c>
      <c r="E40" s="474">
        <v>0.12798929618010876</v>
      </c>
      <c r="F40" s="474">
        <v>0.12484127784464435</v>
      </c>
      <c r="G40" s="474">
        <v>0.12539041201713161</v>
      </c>
      <c r="H40" s="474">
        <v>0.12537368734652773</v>
      </c>
      <c r="I40" s="474">
        <v>0.12512417166899836</v>
      </c>
      <c r="J40" s="474">
        <v>0.12461213261063575</v>
      </c>
      <c r="K40" s="474">
        <v>0.12406338910042192</v>
      </c>
      <c r="L40" s="474">
        <v>0.12358189291407579</v>
      </c>
      <c r="M40" s="474">
        <v>0.12316426422734095</v>
      </c>
      <c r="N40" s="474">
        <v>0.12285692137259177</v>
      </c>
      <c r="O40" s="474">
        <v>0.12258577056374249</v>
      </c>
      <c r="P40" s="474">
        <v>0.12240658008424524</v>
      </c>
      <c r="Q40" s="474">
        <v>0.12222838242255127</v>
      </c>
      <c r="R40" s="474">
        <v>0.12199595161010257</v>
      </c>
      <c r="S40" s="474">
        <v>0.12178960777718734</v>
      </c>
      <c r="T40" s="474">
        <v>0.12152134041301461</v>
      </c>
      <c r="U40" s="474">
        <v>0.12130636850467968</v>
      </c>
      <c r="V40" s="474">
        <v>0.12108456848761706</v>
      </c>
      <c r="W40" s="474">
        <v>0.12085284497017601</v>
      </c>
      <c r="X40" s="474">
        <v>0.1206399746919215</v>
      </c>
      <c r="Y40" s="474">
        <v>0.12045782974632238</v>
      </c>
      <c r="Z40" s="474">
        <v>0.12028871401872426</v>
      </c>
      <c r="AA40" s="474">
        <v>0.12009775677694559</v>
      </c>
      <c r="AB40" s="474">
        <v>0.11993154381810193</v>
      </c>
      <c r="AC40" s="474">
        <v>0.1197630043522195</v>
      </c>
      <c r="AD40" s="474">
        <v>0.11960971581479124</v>
      </c>
      <c r="AE40" s="474">
        <v>0.11947592207604421</v>
      </c>
      <c r="AF40" s="474">
        <v>0.11934689516469954</v>
      </c>
      <c r="AG40" s="474">
        <v>0.11919182424756221</v>
      </c>
      <c r="AH40" s="474">
        <v>0.11906666441193589</v>
      </c>
      <c r="AI40" s="474">
        <v>0.11896308506307079</v>
      </c>
      <c r="AJ40" s="474">
        <v>0.11884290546354699</v>
      </c>
      <c r="AK40" s="474">
        <v>0.11872648916986751</v>
      </c>
      <c r="AL40" s="474">
        <v>0.11861734671502819</v>
      </c>
      <c r="AM40" s="607"/>
    </row>
    <row r="41" spans="2:39" ht="15" customHeight="1" x14ac:dyDescent="0.35">
      <c r="B41" s="606"/>
      <c r="C41" s="621" t="s">
        <v>90</v>
      </c>
      <c r="D41" s="474">
        <v>0.10599999999999998</v>
      </c>
      <c r="E41" s="474">
        <v>0.12798929618010876</v>
      </c>
      <c r="F41" s="474">
        <v>0.13538619257407594</v>
      </c>
      <c r="G41" s="474">
        <v>0.14812127840755671</v>
      </c>
      <c r="H41" s="474">
        <v>0.14071275582825735</v>
      </c>
      <c r="I41" s="474">
        <v>0.13975458348228084</v>
      </c>
      <c r="J41" s="474">
        <v>0.13853252015223144</v>
      </c>
      <c r="K41" s="474">
        <v>0.13734465830576265</v>
      </c>
      <c r="L41" s="474">
        <v>0.13626327056628151</v>
      </c>
      <c r="M41" s="474">
        <v>0.13532446581726718</v>
      </c>
      <c r="N41" s="474">
        <v>0.1344460172344264</v>
      </c>
      <c r="O41" s="474">
        <v>0.13364580109054386</v>
      </c>
      <c r="P41" s="474">
        <v>0.13304048865851403</v>
      </c>
      <c r="Q41" s="474">
        <v>0.13239752986027492</v>
      </c>
      <c r="R41" s="474">
        <v>0.13177056337357287</v>
      </c>
      <c r="S41" s="474">
        <v>0.13113700258241734</v>
      </c>
      <c r="T41" s="474">
        <v>0.13041554368507757</v>
      </c>
      <c r="U41" s="474">
        <v>0.12983575244372647</v>
      </c>
      <c r="V41" s="474">
        <v>0.12928808861322105</v>
      </c>
      <c r="W41" s="474">
        <v>0.12865180140590046</v>
      </c>
      <c r="X41" s="474">
        <v>0.12810318253250277</v>
      </c>
      <c r="Y41" s="474">
        <v>0.12764508681246414</v>
      </c>
      <c r="Z41" s="474">
        <v>0.12714568361797787</v>
      </c>
      <c r="AA41" s="474">
        <v>0.12667256598451773</v>
      </c>
      <c r="AB41" s="474">
        <v>0.12620919180969695</v>
      </c>
      <c r="AC41" s="474">
        <v>0.12578397493545254</v>
      </c>
      <c r="AD41" s="474">
        <v>0.12537123515786494</v>
      </c>
      <c r="AE41" s="474">
        <v>0.12500542275170032</v>
      </c>
      <c r="AF41" s="474">
        <v>0.1246303172707557</v>
      </c>
      <c r="AG41" s="474">
        <v>0.12425986660088256</v>
      </c>
      <c r="AH41" s="474">
        <v>0.1239354795225284</v>
      </c>
      <c r="AI41" s="474">
        <v>0.12362920067374875</v>
      </c>
      <c r="AJ41" s="474">
        <v>0.12326050277714841</v>
      </c>
      <c r="AK41" s="474">
        <v>0.12299207895665079</v>
      </c>
      <c r="AL41" s="474">
        <v>0.12272274309287744</v>
      </c>
      <c r="AM41" s="607"/>
    </row>
    <row r="42" spans="2:39" ht="15" customHeight="1" x14ac:dyDescent="0.35">
      <c r="B42" s="606"/>
      <c r="C42" s="621"/>
      <c r="D42" s="621"/>
      <c r="E42" s="621"/>
      <c r="F42" s="621"/>
      <c r="G42" s="621"/>
      <c r="H42" s="621"/>
      <c r="I42" s="621"/>
      <c r="J42" s="621"/>
      <c r="K42" s="621"/>
      <c r="L42" s="621"/>
      <c r="M42" s="621"/>
      <c r="N42" s="621"/>
      <c r="O42" s="621"/>
      <c r="P42" s="621"/>
      <c r="Q42" s="621"/>
      <c r="R42" s="621"/>
      <c r="S42" s="621"/>
      <c r="T42" s="621"/>
      <c r="U42" s="621"/>
      <c r="V42" s="621"/>
      <c r="W42" s="621"/>
      <c r="X42" s="621"/>
      <c r="Y42" s="621"/>
      <c r="Z42" s="621"/>
      <c r="AA42" s="621"/>
      <c r="AB42" s="621"/>
      <c r="AC42" s="621"/>
      <c r="AD42" s="621"/>
      <c r="AE42" s="621"/>
      <c r="AF42" s="621"/>
      <c r="AG42" s="621"/>
      <c r="AH42" s="621"/>
      <c r="AI42" s="621"/>
      <c r="AJ42" s="621"/>
      <c r="AK42" s="621"/>
      <c r="AL42" s="621"/>
      <c r="AM42" s="607"/>
    </row>
    <row r="43" spans="2:39" ht="15" customHeight="1" x14ac:dyDescent="0.35">
      <c r="B43" s="606"/>
      <c r="C43" s="612"/>
      <c r="D43" s="618"/>
      <c r="E43" s="618"/>
      <c r="F43" s="618"/>
      <c r="G43" s="618"/>
      <c r="H43" s="618"/>
      <c r="I43" s="618"/>
      <c r="J43" s="618"/>
      <c r="K43" s="618"/>
      <c r="L43" s="618"/>
      <c r="M43" s="618"/>
      <c r="N43" s="618"/>
      <c r="O43" s="618"/>
      <c r="P43" s="618"/>
      <c r="Q43" s="618"/>
      <c r="R43" s="618"/>
      <c r="S43" s="618"/>
      <c r="T43" s="618"/>
      <c r="U43" s="618"/>
      <c r="V43" s="618"/>
      <c r="W43" s="618"/>
      <c r="X43" s="618"/>
      <c r="Y43" s="618"/>
      <c r="Z43" s="618"/>
      <c r="AA43" s="618"/>
      <c r="AB43" s="618"/>
      <c r="AC43" s="618"/>
      <c r="AD43" s="618"/>
      <c r="AE43" s="618"/>
      <c r="AF43" s="618"/>
      <c r="AG43" s="618"/>
      <c r="AH43" s="618"/>
      <c r="AI43" s="618"/>
      <c r="AJ43" s="618"/>
      <c r="AK43" s="618"/>
      <c r="AL43" s="618"/>
      <c r="AM43" s="607"/>
    </row>
    <row r="44" spans="2:39" ht="15" customHeight="1" x14ac:dyDescent="0.35">
      <c r="B44" s="606"/>
      <c r="C44" s="656" t="s">
        <v>244</v>
      </c>
      <c r="D44" s="620">
        <f>Reference_Year - 1</f>
        <v>2022</v>
      </c>
      <c r="E44" s="620">
        <f ca="1">OFFSET(E44,0,-1)+1</f>
        <v>2023</v>
      </c>
      <c r="F44" s="620">
        <f t="shared" ref="F44:AL44" ca="1" si="14">OFFSET(F44,0,-1)+1</f>
        <v>2024</v>
      </c>
      <c r="G44" s="620">
        <f t="shared" ca="1" si="14"/>
        <v>2025</v>
      </c>
      <c r="H44" s="620">
        <f t="shared" ca="1" si="14"/>
        <v>2026</v>
      </c>
      <c r="I44" s="620">
        <f t="shared" ca="1" si="14"/>
        <v>2027</v>
      </c>
      <c r="J44" s="620">
        <f t="shared" ca="1" si="14"/>
        <v>2028</v>
      </c>
      <c r="K44" s="620">
        <f t="shared" ca="1" si="14"/>
        <v>2029</v>
      </c>
      <c r="L44" s="620">
        <f t="shared" ca="1" si="14"/>
        <v>2030</v>
      </c>
      <c r="M44" s="620">
        <f t="shared" ca="1" si="14"/>
        <v>2031</v>
      </c>
      <c r="N44" s="620">
        <f t="shared" ca="1" si="14"/>
        <v>2032</v>
      </c>
      <c r="O44" s="620">
        <f t="shared" ca="1" si="14"/>
        <v>2033</v>
      </c>
      <c r="P44" s="620">
        <f t="shared" ca="1" si="14"/>
        <v>2034</v>
      </c>
      <c r="Q44" s="620">
        <f t="shared" ca="1" si="14"/>
        <v>2035</v>
      </c>
      <c r="R44" s="620">
        <f t="shared" ca="1" si="14"/>
        <v>2036</v>
      </c>
      <c r="S44" s="620">
        <f t="shared" ca="1" si="14"/>
        <v>2037</v>
      </c>
      <c r="T44" s="620">
        <f t="shared" ca="1" si="14"/>
        <v>2038</v>
      </c>
      <c r="U44" s="620">
        <f t="shared" ca="1" si="14"/>
        <v>2039</v>
      </c>
      <c r="V44" s="620">
        <f t="shared" ca="1" si="14"/>
        <v>2040</v>
      </c>
      <c r="W44" s="620">
        <f t="shared" ca="1" si="14"/>
        <v>2041</v>
      </c>
      <c r="X44" s="620">
        <f t="shared" ca="1" si="14"/>
        <v>2042</v>
      </c>
      <c r="Y44" s="620">
        <f t="shared" ca="1" si="14"/>
        <v>2043</v>
      </c>
      <c r="Z44" s="620">
        <f t="shared" ca="1" si="14"/>
        <v>2044</v>
      </c>
      <c r="AA44" s="620">
        <f t="shared" ca="1" si="14"/>
        <v>2045</v>
      </c>
      <c r="AB44" s="620">
        <f t="shared" ca="1" si="14"/>
        <v>2046</v>
      </c>
      <c r="AC44" s="620">
        <f t="shared" ca="1" si="14"/>
        <v>2047</v>
      </c>
      <c r="AD44" s="620">
        <f t="shared" ca="1" si="14"/>
        <v>2048</v>
      </c>
      <c r="AE44" s="620">
        <f t="shared" ca="1" si="14"/>
        <v>2049</v>
      </c>
      <c r="AF44" s="620">
        <f t="shared" ca="1" si="14"/>
        <v>2050</v>
      </c>
      <c r="AG44" s="620">
        <f t="shared" ca="1" si="14"/>
        <v>2051</v>
      </c>
      <c r="AH44" s="620">
        <f t="shared" ca="1" si="14"/>
        <v>2052</v>
      </c>
      <c r="AI44" s="620">
        <f t="shared" ca="1" si="14"/>
        <v>2053</v>
      </c>
      <c r="AJ44" s="620">
        <f t="shared" ca="1" si="14"/>
        <v>2054</v>
      </c>
      <c r="AK44" s="620">
        <f t="shared" ca="1" si="14"/>
        <v>2055</v>
      </c>
      <c r="AL44" s="620">
        <f t="shared" ca="1" si="14"/>
        <v>2056</v>
      </c>
      <c r="AM44" s="607"/>
    </row>
    <row r="45" spans="2:39" ht="15" customHeight="1" x14ac:dyDescent="0.35">
      <c r="B45" s="606"/>
      <c r="C45" s="621" t="s">
        <v>237</v>
      </c>
      <c r="D45" s="474">
        <v>0.30253067951318474</v>
      </c>
      <c r="E45" s="474">
        <v>0.21535565585916155</v>
      </c>
      <c r="F45" s="474">
        <v>0.27171959204423007</v>
      </c>
      <c r="G45" s="474">
        <v>0.28239894462535803</v>
      </c>
      <c r="H45" s="474">
        <v>0.27639782168862131</v>
      </c>
      <c r="I45" s="474">
        <v>0.27688688314001164</v>
      </c>
      <c r="J45" s="474">
        <v>0.27762938453587471</v>
      </c>
      <c r="K45" s="474">
        <v>0.27840112624077901</v>
      </c>
      <c r="L45" s="474">
        <v>0.27909813881477058</v>
      </c>
      <c r="M45" s="474">
        <v>0.27972356794651465</v>
      </c>
      <c r="N45" s="474">
        <v>0.28023038537603756</v>
      </c>
      <c r="O45" s="474">
        <v>0.28069318315711644</v>
      </c>
      <c r="P45" s="474">
        <v>0.28105572006618129</v>
      </c>
      <c r="Q45" s="474">
        <v>0.28141001402874111</v>
      </c>
      <c r="R45" s="474">
        <v>0.28181223003037653</v>
      </c>
      <c r="S45" s="474">
        <v>0.2821814946719447</v>
      </c>
      <c r="T45" s="474">
        <v>0.28260718023976322</v>
      </c>
      <c r="U45" s="474">
        <v>0.28297289459261576</v>
      </c>
      <c r="V45" s="474">
        <v>0.28333972632729432</v>
      </c>
      <c r="W45" s="474">
        <v>0.28371108526394923</v>
      </c>
      <c r="X45" s="474">
        <v>0.28405796817984602</v>
      </c>
      <c r="Y45" s="474">
        <v>0.2843684436053906</v>
      </c>
      <c r="Z45" s="474">
        <v>0.28466065171350607</v>
      </c>
      <c r="AA45" s="474">
        <v>0.28497029567334564</v>
      </c>
      <c r="AB45" s="474">
        <v>0.28525013433977026</v>
      </c>
      <c r="AC45" s="474">
        <v>0.28552790924622828</v>
      </c>
      <c r="AD45" s="474">
        <v>0.28578586513750703</v>
      </c>
      <c r="AE45" s="474">
        <v>0.2860198054751284</v>
      </c>
      <c r="AF45" s="474">
        <v>0.28624490731686814</v>
      </c>
      <c r="AG45" s="474">
        <v>0.28649282528971981</v>
      </c>
      <c r="AH45" s="474">
        <v>0.28670654054723071</v>
      </c>
      <c r="AI45" s="474">
        <v>0.28689466622856824</v>
      </c>
      <c r="AJ45" s="474">
        <v>0.28709639277324683</v>
      </c>
      <c r="AK45" s="474">
        <v>0.28729103964761993</v>
      </c>
      <c r="AL45" s="474">
        <v>0.28747513834347294</v>
      </c>
      <c r="AM45" s="607"/>
    </row>
    <row r="46" spans="2:39" ht="15" customHeight="1" x14ac:dyDescent="0.35">
      <c r="B46" s="606"/>
      <c r="C46" s="621" t="s">
        <v>90</v>
      </c>
      <c r="D46" s="474">
        <v>0.30253067951318474</v>
      </c>
      <c r="E46" s="474">
        <v>0.21535565585916155</v>
      </c>
      <c r="F46" s="474">
        <v>0.25470331648414729</v>
      </c>
      <c r="G46" s="474">
        <v>0.25874945569263591</v>
      </c>
      <c r="H46" s="474">
        <v>0.24591528298342907</v>
      </c>
      <c r="I46" s="474">
        <v>0.26003461957367779</v>
      </c>
      <c r="J46" s="474">
        <v>0.26132075945983252</v>
      </c>
      <c r="K46" s="474">
        <v>0.26257759517950768</v>
      </c>
      <c r="L46" s="474">
        <v>0.26373995904045217</v>
      </c>
      <c r="M46" s="474">
        <v>0.26477118212658962</v>
      </c>
      <c r="N46" s="474">
        <v>0.26574670399281708</v>
      </c>
      <c r="O46" s="474">
        <v>0.2666470953137976</v>
      </c>
      <c r="P46" s="474">
        <v>0.26736467556369564</v>
      </c>
      <c r="Q46" s="474">
        <v>0.26811414514005738</v>
      </c>
      <c r="R46" s="474">
        <v>0.26884564429109137</v>
      </c>
      <c r="S46" s="474">
        <v>0.26957949583303115</v>
      </c>
      <c r="T46" s="474">
        <v>0.2703931929247182</v>
      </c>
      <c r="U46" s="474">
        <v>0.27107093868279825</v>
      </c>
      <c r="V46" s="474">
        <v>0.27171526419430192</v>
      </c>
      <c r="W46" s="474">
        <v>0.27244037172886321</v>
      </c>
      <c r="X46" s="474">
        <v>0.27308085693718581</v>
      </c>
      <c r="Y46" s="474">
        <v>0.27363090631226122</v>
      </c>
      <c r="Z46" s="474">
        <v>0.27421801613898145</v>
      </c>
      <c r="AA46" s="474">
        <v>0.27477740126050643</v>
      </c>
      <c r="AB46" s="474">
        <v>0.27532389804514495</v>
      </c>
      <c r="AC46" s="474">
        <v>0.27583189306262096</v>
      </c>
      <c r="AD46" s="474">
        <v>0.27632412050310573</v>
      </c>
      <c r="AE46" s="474">
        <v>0.27676874086347703</v>
      </c>
      <c r="AF46" s="474">
        <v>0.27721937450774303</v>
      </c>
      <c r="AG46" s="474">
        <v>0.27766220283231019</v>
      </c>
      <c r="AH46" s="474">
        <v>0.27805816522860849</v>
      </c>
      <c r="AI46" s="474">
        <v>0.27843396656168917</v>
      </c>
      <c r="AJ46" s="474">
        <v>0.27886933373356093</v>
      </c>
      <c r="AK46" s="474">
        <v>0.27920337968664</v>
      </c>
      <c r="AL46" s="474">
        <v>0.27953517985578302</v>
      </c>
      <c r="AM46" s="607"/>
    </row>
    <row r="47" spans="2:39" ht="15" customHeight="1" x14ac:dyDescent="0.35">
      <c r="B47" s="606"/>
      <c r="C47" s="621"/>
      <c r="D47" s="612"/>
      <c r="E47" s="612"/>
      <c r="F47" s="612"/>
      <c r="G47" s="612"/>
      <c r="H47" s="612"/>
      <c r="I47" s="612"/>
      <c r="J47" s="612"/>
      <c r="K47" s="612"/>
      <c r="L47" s="612"/>
      <c r="M47" s="612"/>
      <c r="N47" s="612"/>
      <c r="O47" s="612"/>
      <c r="P47" s="612"/>
      <c r="Q47" s="612"/>
      <c r="R47" s="612"/>
      <c r="S47" s="612"/>
      <c r="T47" s="612"/>
      <c r="U47" s="612"/>
      <c r="V47" s="612"/>
      <c r="W47" s="612"/>
      <c r="X47" s="612"/>
      <c r="Y47" s="612"/>
      <c r="Z47" s="612"/>
      <c r="AA47" s="612"/>
      <c r="AB47" s="612"/>
      <c r="AC47" s="612"/>
      <c r="AD47" s="612"/>
      <c r="AE47" s="612"/>
      <c r="AF47" s="612"/>
      <c r="AG47" s="612"/>
      <c r="AH47" s="612"/>
      <c r="AI47" s="612"/>
      <c r="AJ47" s="612"/>
      <c r="AK47" s="612"/>
      <c r="AL47" s="612"/>
      <c r="AM47" s="607"/>
    </row>
    <row r="48" spans="2:39" ht="15" customHeight="1" thickBot="1" x14ac:dyDescent="0.4">
      <c r="B48" s="608"/>
      <c r="C48" s="609"/>
      <c r="D48" s="622"/>
      <c r="E48" s="622"/>
      <c r="F48" s="622"/>
      <c r="G48" s="622"/>
      <c r="H48" s="622"/>
      <c r="I48" s="622"/>
      <c r="J48" s="622"/>
      <c r="K48" s="622"/>
      <c r="L48" s="622"/>
      <c r="M48" s="622"/>
      <c r="N48" s="622"/>
      <c r="O48" s="622"/>
      <c r="P48" s="622"/>
      <c r="Q48" s="622"/>
      <c r="R48" s="622"/>
      <c r="S48" s="622"/>
      <c r="T48" s="622"/>
      <c r="U48" s="622"/>
      <c r="V48" s="622"/>
      <c r="W48" s="622"/>
      <c r="X48" s="622"/>
      <c r="Y48" s="622"/>
      <c r="Z48" s="622"/>
      <c r="AA48" s="622"/>
      <c r="AB48" s="622"/>
      <c r="AC48" s="622"/>
      <c r="AD48" s="622"/>
      <c r="AE48" s="622"/>
      <c r="AF48" s="622"/>
      <c r="AG48" s="622"/>
      <c r="AH48" s="622"/>
      <c r="AI48" s="622"/>
      <c r="AJ48" s="622"/>
      <c r="AK48" s="622"/>
      <c r="AL48" s="622"/>
      <c r="AM48" s="610"/>
    </row>
    <row r="51" spans="1:38" ht="15" customHeight="1" x14ac:dyDescent="0.35">
      <c r="B51" s="473"/>
      <c r="C51" s="473"/>
    </row>
    <row r="52" spans="1:38" ht="15" customHeight="1" x14ac:dyDescent="0.35">
      <c r="A52" s="456"/>
    </row>
    <row r="53" spans="1:38" ht="15" customHeight="1" x14ac:dyDescent="0.35">
      <c r="D53" s="476"/>
      <c r="E53" s="477"/>
      <c r="F53" s="477"/>
      <c r="G53" s="477"/>
      <c r="H53" s="477"/>
      <c r="I53" s="477"/>
      <c r="J53" s="477"/>
      <c r="K53" s="477"/>
      <c r="L53" s="477"/>
      <c r="M53" s="477"/>
      <c r="N53" s="477"/>
      <c r="O53" s="477"/>
      <c r="P53" s="477"/>
      <c r="Q53" s="477"/>
      <c r="R53" s="477"/>
      <c r="S53" s="477"/>
      <c r="T53" s="477"/>
      <c r="U53" s="477"/>
      <c r="V53" s="477"/>
      <c r="W53" s="477"/>
      <c r="X53" s="477"/>
      <c r="Y53" s="477"/>
      <c r="Z53" s="477"/>
      <c r="AA53" s="477"/>
      <c r="AB53" s="477"/>
      <c r="AC53" s="477"/>
      <c r="AD53" s="477"/>
      <c r="AE53" s="477"/>
      <c r="AF53" s="477"/>
      <c r="AG53" s="477"/>
      <c r="AH53" s="477"/>
      <c r="AI53" s="477"/>
      <c r="AJ53" s="477"/>
      <c r="AK53" s="477"/>
      <c r="AL53" s="477"/>
    </row>
    <row r="54" spans="1:38" ht="15" customHeight="1" x14ac:dyDescent="0.35">
      <c r="D54" s="478"/>
      <c r="E54" s="478"/>
      <c r="F54" s="478"/>
      <c r="G54" s="478"/>
      <c r="H54" s="478"/>
      <c r="I54" s="478"/>
      <c r="J54" s="478"/>
      <c r="K54" s="478"/>
      <c r="L54" s="478"/>
      <c r="M54" s="478"/>
      <c r="N54" s="478"/>
      <c r="O54" s="478"/>
      <c r="P54" s="478"/>
      <c r="Q54" s="478"/>
      <c r="R54" s="478"/>
      <c r="S54" s="478"/>
      <c r="T54" s="478"/>
      <c r="U54" s="478"/>
      <c r="V54" s="478"/>
      <c r="W54" s="478"/>
      <c r="X54" s="478"/>
      <c r="Y54" s="478"/>
      <c r="Z54" s="478"/>
      <c r="AA54" s="478"/>
      <c r="AB54" s="478"/>
      <c r="AC54" s="478"/>
      <c r="AD54" s="478"/>
      <c r="AE54" s="478"/>
      <c r="AF54" s="478"/>
      <c r="AG54" s="478"/>
      <c r="AH54" s="478"/>
      <c r="AI54" s="478"/>
      <c r="AJ54" s="478"/>
      <c r="AK54" s="478"/>
      <c r="AL54" s="478"/>
    </row>
    <row r="55" spans="1:38" ht="15" customHeight="1" x14ac:dyDescent="0.35">
      <c r="D55" s="479"/>
      <c r="E55" s="479"/>
      <c r="F55" s="479"/>
      <c r="G55" s="479"/>
      <c r="H55" s="479"/>
      <c r="I55" s="479"/>
      <c r="J55" s="479"/>
      <c r="K55" s="479"/>
      <c r="L55" s="479"/>
      <c r="M55" s="479"/>
      <c r="N55" s="479"/>
      <c r="O55" s="479"/>
      <c r="P55" s="479"/>
      <c r="Q55" s="479"/>
      <c r="R55" s="479"/>
      <c r="S55" s="479"/>
      <c r="T55" s="479"/>
      <c r="U55" s="479"/>
      <c r="V55" s="479"/>
      <c r="W55" s="479"/>
      <c r="X55" s="479"/>
      <c r="Y55" s="479"/>
      <c r="Z55" s="479"/>
      <c r="AA55" s="479"/>
      <c r="AB55" s="479"/>
      <c r="AC55" s="479"/>
      <c r="AD55" s="479"/>
      <c r="AE55" s="479"/>
      <c r="AF55" s="479"/>
      <c r="AG55" s="479"/>
      <c r="AH55" s="479"/>
      <c r="AI55" s="479"/>
      <c r="AJ55" s="479"/>
      <c r="AK55" s="479"/>
      <c r="AL55" s="479"/>
    </row>
    <row r="56" spans="1:38" ht="15" customHeight="1" x14ac:dyDescent="0.35">
      <c r="C56" s="456"/>
      <c r="D56" s="479"/>
      <c r="E56" s="479"/>
      <c r="F56" s="479"/>
      <c r="G56" s="479"/>
      <c r="H56" s="479"/>
      <c r="I56" s="479"/>
      <c r="J56" s="479"/>
      <c r="K56" s="479"/>
      <c r="L56" s="479"/>
      <c r="M56" s="479"/>
      <c r="N56" s="479"/>
      <c r="O56" s="479"/>
      <c r="P56" s="479"/>
      <c r="Q56" s="479"/>
      <c r="R56" s="479"/>
      <c r="S56" s="479"/>
      <c r="T56" s="479"/>
      <c r="U56" s="479"/>
      <c r="V56" s="479"/>
      <c r="W56" s="479"/>
      <c r="X56" s="479"/>
      <c r="Y56" s="479"/>
      <c r="Z56" s="479"/>
      <c r="AA56" s="479"/>
      <c r="AB56" s="479"/>
      <c r="AC56" s="479"/>
      <c r="AD56" s="479"/>
      <c r="AE56" s="479"/>
      <c r="AF56" s="479"/>
      <c r="AG56" s="479"/>
      <c r="AH56" s="479"/>
      <c r="AI56" s="479"/>
      <c r="AJ56" s="479"/>
      <c r="AK56" s="479"/>
      <c r="AL56" s="479"/>
    </row>
    <row r="57" spans="1:38" ht="15" customHeight="1" x14ac:dyDescent="0.35">
      <c r="D57" s="480"/>
      <c r="E57" s="480"/>
      <c r="F57" s="480"/>
      <c r="G57" s="480"/>
      <c r="H57" s="480"/>
      <c r="I57" s="480"/>
      <c r="J57" s="480"/>
      <c r="K57" s="480"/>
      <c r="L57" s="480"/>
      <c r="M57" s="480"/>
      <c r="N57" s="480"/>
      <c r="O57" s="480"/>
      <c r="P57" s="480"/>
      <c r="Q57" s="480"/>
      <c r="R57" s="480"/>
      <c r="S57" s="480"/>
      <c r="T57" s="480"/>
      <c r="U57" s="480"/>
      <c r="V57" s="480"/>
      <c r="W57" s="480"/>
      <c r="X57" s="480"/>
      <c r="Y57" s="480"/>
      <c r="Z57" s="480"/>
      <c r="AA57" s="480"/>
      <c r="AB57" s="480"/>
      <c r="AC57" s="480"/>
      <c r="AD57" s="480"/>
      <c r="AE57" s="480"/>
      <c r="AF57" s="480"/>
      <c r="AG57" s="480"/>
      <c r="AH57" s="480"/>
      <c r="AI57" s="480"/>
      <c r="AJ57" s="480"/>
      <c r="AK57" s="480"/>
      <c r="AL57" s="480"/>
    </row>
    <row r="58" spans="1:38" ht="15" customHeight="1" x14ac:dyDescent="0.35">
      <c r="D58" s="480"/>
      <c r="E58" s="480"/>
      <c r="F58" s="480"/>
      <c r="G58" s="480"/>
      <c r="H58" s="480"/>
      <c r="I58" s="480"/>
      <c r="J58" s="480"/>
      <c r="K58" s="480"/>
      <c r="L58" s="480"/>
      <c r="M58" s="480"/>
      <c r="N58" s="480"/>
      <c r="O58" s="480"/>
      <c r="P58" s="480"/>
      <c r="Q58" s="480"/>
      <c r="R58" s="480"/>
      <c r="S58" s="480"/>
      <c r="T58" s="480"/>
      <c r="U58" s="480"/>
      <c r="V58" s="480"/>
      <c r="W58" s="480"/>
      <c r="X58" s="480"/>
      <c r="Y58" s="480"/>
      <c r="Z58" s="480"/>
      <c r="AA58" s="480"/>
      <c r="AB58" s="480"/>
      <c r="AC58" s="480"/>
      <c r="AD58" s="480"/>
      <c r="AE58" s="480"/>
      <c r="AF58" s="480"/>
      <c r="AG58" s="480"/>
      <c r="AH58" s="480"/>
      <c r="AI58" s="480"/>
      <c r="AJ58" s="480"/>
      <c r="AK58" s="480"/>
      <c r="AL58" s="480"/>
    </row>
    <row r="59" spans="1:38" ht="15" customHeight="1" x14ac:dyDescent="0.35">
      <c r="D59" s="480"/>
      <c r="E59" s="480"/>
      <c r="F59" s="480"/>
      <c r="G59" s="480"/>
      <c r="H59" s="480"/>
      <c r="I59" s="480"/>
      <c r="J59" s="480"/>
      <c r="K59" s="480"/>
      <c r="L59" s="480"/>
      <c r="M59" s="480"/>
      <c r="N59" s="480"/>
      <c r="O59" s="480"/>
      <c r="P59" s="480"/>
      <c r="Q59" s="480"/>
      <c r="R59" s="480"/>
      <c r="S59" s="480"/>
      <c r="T59" s="480"/>
      <c r="U59" s="480"/>
      <c r="V59" s="480"/>
      <c r="W59" s="480"/>
      <c r="X59" s="480"/>
      <c r="Y59" s="480"/>
      <c r="Z59" s="480"/>
      <c r="AA59" s="480"/>
      <c r="AB59" s="480"/>
      <c r="AC59" s="480"/>
      <c r="AD59" s="480"/>
      <c r="AE59" s="480"/>
      <c r="AF59" s="480"/>
      <c r="AG59" s="480"/>
      <c r="AH59" s="480"/>
      <c r="AI59" s="480"/>
      <c r="AJ59" s="480"/>
      <c r="AK59" s="480"/>
      <c r="AL59" s="480"/>
    </row>
    <row r="60" spans="1:38" ht="15" customHeight="1" x14ac:dyDescent="0.35">
      <c r="E60" s="481"/>
      <c r="F60" s="481"/>
      <c r="G60" s="481"/>
      <c r="H60" s="481"/>
      <c r="I60" s="481"/>
      <c r="J60" s="481"/>
      <c r="K60" s="481"/>
      <c r="L60" s="481"/>
      <c r="M60" s="481"/>
      <c r="N60" s="481"/>
      <c r="O60" s="481"/>
      <c r="P60" s="481"/>
      <c r="Q60" s="481"/>
      <c r="R60" s="481"/>
      <c r="S60" s="481"/>
      <c r="T60" s="481"/>
      <c r="U60" s="481"/>
      <c r="V60" s="481"/>
      <c r="W60" s="481"/>
      <c r="X60" s="481"/>
      <c r="Y60" s="481"/>
      <c r="Z60" s="481"/>
      <c r="AA60" s="481"/>
      <c r="AB60" s="481"/>
      <c r="AC60" s="481"/>
      <c r="AD60" s="481"/>
      <c r="AE60" s="481"/>
      <c r="AF60" s="481"/>
      <c r="AG60" s="481"/>
      <c r="AH60" s="481"/>
      <c r="AI60" s="481"/>
      <c r="AJ60" s="481"/>
      <c r="AK60" s="481"/>
      <c r="AL60" s="481"/>
    </row>
    <row r="61" spans="1:38" ht="15" customHeight="1" x14ac:dyDescent="0.35">
      <c r="D61" s="482"/>
      <c r="E61" s="482"/>
      <c r="F61" s="482"/>
      <c r="G61" s="482"/>
      <c r="H61" s="482"/>
      <c r="I61" s="482"/>
      <c r="J61" s="482"/>
      <c r="K61" s="482"/>
      <c r="L61" s="482"/>
      <c r="M61" s="482"/>
      <c r="N61" s="482"/>
      <c r="O61" s="482"/>
      <c r="P61" s="482"/>
      <c r="Q61" s="482"/>
      <c r="R61" s="482"/>
      <c r="S61" s="482"/>
      <c r="T61" s="482"/>
      <c r="U61" s="482"/>
      <c r="V61" s="482"/>
      <c r="W61" s="482"/>
      <c r="X61" s="482"/>
      <c r="Y61" s="482"/>
      <c r="Z61" s="482"/>
      <c r="AA61" s="482"/>
      <c r="AB61" s="482"/>
      <c r="AC61" s="482"/>
      <c r="AD61" s="482"/>
      <c r="AE61" s="482"/>
      <c r="AF61" s="482"/>
      <c r="AG61" s="482"/>
      <c r="AH61" s="482"/>
      <c r="AI61" s="482"/>
      <c r="AJ61" s="482"/>
      <c r="AK61" s="482"/>
      <c r="AL61" s="482"/>
    </row>
    <row r="62" spans="1:38" ht="15" customHeight="1" x14ac:dyDescent="0.35">
      <c r="D62" s="480"/>
      <c r="E62" s="480"/>
      <c r="F62" s="480"/>
      <c r="G62" s="480"/>
      <c r="H62" s="480"/>
      <c r="I62" s="480"/>
      <c r="J62" s="480"/>
      <c r="K62" s="480"/>
      <c r="L62" s="480"/>
      <c r="M62" s="480"/>
      <c r="N62" s="480"/>
      <c r="O62" s="480"/>
      <c r="P62" s="480"/>
      <c r="Q62" s="480"/>
      <c r="R62" s="480"/>
      <c r="S62" s="480"/>
      <c r="T62" s="480"/>
      <c r="U62" s="480"/>
      <c r="V62" s="480"/>
      <c r="W62" s="480"/>
      <c r="X62" s="480"/>
      <c r="Y62" s="480"/>
      <c r="Z62" s="480"/>
      <c r="AA62" s="480"/>
      <c r="AB62" s="480"/>
      <c r="AC62" s="480"/>
      <c r="AD62" s="480"/>
      <c r="AE62" s="480"/>
      <c r="AF62" s="480"/>
      <c r="AG62" s="480"/>
      <c r="AH62" s="480"/>
      <c r="AI62" s="480"/>
      <c r="AJ62" s="480"/>
      <c r="AK62" s="480"/>
      <c r="AL62" s="480"/>
    </row>
    <row r="63" spans="1:38" ht="15" customHeight="1" x14ac:dyDescent="0.35">
      <c r="D63" s="480"/>
      <c r="E63" s="480"/>
      <c r="F63" s="480"/>
      <c r="G63" s="480"/>
      <c r="H63" s="480"/>
      <c r="I63" s="480"/>
      <c r="J63" s="480"/>
      <c r="K63" s="480"/>
      <c r="L63" s="480"/>
      <c r="M63" s="480"/>
      <c r="N63" s="480"/>
      <c r="O63" s="480"/>
      <c r="P63" s="480"/>
      <c r="Q63" s="480"/>
      <c r="R63" s="480"/>
      <c r="S63" s="480"/>
      <c r="T63" s="480"/>
      <c r="U63" s="480"/>
      <c r="V63" s="480"/>
      <c r="W63" s="480"/>
      <c r="X63" s="480"/>
      <c r="Y63" s="480"/>
      <c r="Z63" s="480"/>
      <c r="AA63" s="480"/>
      <c r="AB63" s="480"/>
      <c r="AC63" s="480"/>
      <c r="AD63" s="480"/>
      <c r="AE63" s="480"/>
      <c r="AF63" s="480"/>
      <c r="AG63" s="480"/>
      <c r="AH63" s="480"/>
      <c r="AI63" s="480"/>
      <c r="AJ63" s="480"/>
      <c r="AK63" s="480"/>
      <c r="AL63" s="480"/>
    </row>
    <row r="64" spans="1:38" ht="15" customHeight="1" x14ac:dyDescent="0.35">
      <c r="D64" s="483"/>
      <c r="E64" s="483"/>
      <c r="F64" s="483"/>
      <c r="G64" s="483"/>
      <c r="H64" s="483"/>
      <c r="I64" s="483"/>
      <c r="J64" s="483"/>
      <c r="K64" s="483"/>
      <c r="L64" s="483"/>
      <c r="M64" s="483"/>
      <c r="N64" s="483"/>
      <c r="O64" s="483"/>
      <c r="P64" s="483"/>
      <c r="Q64" s="483"/>
      <c r="R64" s="483"/>
      <c r="S64" s="483"/>
      <c r="T64" s="483"/>
      <c r="U64" s="483"/>
      <c r="V64" s="483"/>
      <c r="W64" s="483"/>
      <c r="X64" s="483"/>
      <c r="Y64" s="483"/>
      <c r="Z64" s="483"/>
      <c r="AA64" s="483"/>
      <c r="AB64" s="483"/>
      <c r="AC64" s="483"/>
      <c r="AD64" s="483"/>
      <c r="AE64" s="483"/>
      <c r="AF64" s="483"/>
      <c r="AG64" s="483"/>
      <c r="AH64" s="483"/>
      <c r="AI64" s="483"/>
      <c r="AJ64" s="483"/>
      <c r="AK64" s="483"/>
      <c r="AL64" s="483"/>
    </row>
    <row r="65" spans="4:38" ht="15" customHeight="1" x14ac:dyDescent="0.35">
      <c r="D65" s="480"/>
      <c r="E65" s="480"/>
      <c r="F65" s="480"/>
      <c r="G65" s="480"/>
      <c r="H65" s="480"/>
      <c r="I65" s="480"/>
      <c r="J65" s="480"/>
      <c r="K65" s="480"/>
      <c r="L65" s="480"/>
      <c r="M65" s="480"/>
      <c r="N65" s="480"/>
      <c r="O65" s="480"/>
      <c r="P65" s="480"/>
      <c r="Q65" s="480"/>
      <c r="R65" s="480"/>
      <c r="S65" s="480"/>
      <c r="T65" s="480"/>
      <c r="U65" s="480"/>
      <c r="V65" s="480"/>
      <c r="W65" s="480"/>
      <c r="X65" s="480"/>
      <c r="Y65" s="480"/>
      <c r="Z65" s="480"/>
      <c r="AA65" s="480"/>
      <c r="AB65" s="480"/>
      <c r="AC65" s="480"/>
      <c r="AD65" s="480"/>
      <c r="AE65" s="480"/>
      <c r="AF65" s="480"/>
      <c r="AG65" s="480"/>
      <c r="AH65" s="480"/>
      <c r="AI65" s="480"/>
      <c r="AJ65" s="480"/>
      <c r="AK65" s="480"/>
      <c r="AL65" s="480"/>
    </row>
    <row r="66" spans="4:38" ht="15" customHeight="1" x14ac:dyDescent="0.35">
      <c r="D66" s="480"/>
      <c r="E66" s="480"/>
      <c r="F66" s="480"/>
      <c r="G66" s="480"/>
      <c r="H66" s="480"/>
      <c r="I66" s="480"/>
      <c r="J66" s="480"/>
      <c r="K66" s="480"/>
      <c r="L66" s="480"/>
      <c r="M66" s="480"/>
      <c r="N66" s="480"/>
      <c r="O66" s="480"/>
      <c r="P66" s="480"/>
      <c r="Q66" s="480"/>
      <c r="R66" s="480"/>
      <c r="S66" s="480"/>
      <c r="T66" s="480"/>
      <c r="U66" s="480"/>
      <c r="V66" s="480"/>
      <c r="W66" s="480"/>
      <c r="X66" s="480"/>
      <c r="Y66" s="480"/>
      <c r="Z66" s="480"/>
      <c r="AA66" s="480"/>
      <c r="AB66" s="480"/>
      <c r="AC66" s="480"/>
      <c r="AD66" s="480"/>
      <c r="AE66" s="480"/>
      <c r="AF66" s="480"/>
      <c r="AG66" s="480"/>
      <c r="AH66" s="480"/>
      <c r="AI66" s="480"/>
      <c r="AJ66" s="480"/>
      <c r="AK66" s="480"/>
      <c r="AL66" s="480"/>
    </row>
    <row r="67" spans="4:38" ht="15" customHeight="1" x14ac:dyDescent="0.35">
      <c r="D67" s="484"/>
      <c r="E67" s="484"/>
      <c r="F67" s="484"/>
      <c r="G67" s="484"/>
      <c r="H67" s="484"/>
      <c r="I67" s="484"/>
      <c r="J67" s="484"/>
      <c r="K67" s="484"/>
      <c r="L67" s="484"/>
      <c r="M67" s="484"/>
      <c r="N67" s="484"/>
      <c r="O67" s="484"/>
      <c r="P67" s="484"/>
      <c r="Q67" s="484"/>
      <c r="R67" s="484"/>
      <c r="S67" s="484"/>
      <c r="T67" s="484"/>
      <c r="U67" s="484"/>
      <c r="V67" s="484"/>
      <c r="W67" s="484"/>
      <c r="X67" s="484"/>
      <c r="Y67" s="484"/>
      <c r="Z67" s="484"/>
      <c r="AA67" s="484"/>
      <c r="AB67" s="484"/>
      <c r="AC67" s="484"/>
      <c r="AD67" s="484"/>
      <c r="AE67" s="484"/>
      <c r="AF67" s="484"/>
      <c r="AG67" s="484"/>
      <c r="AH67" s="484"/>
      <c r="AI67" s="484"/>
      <c r="AJ67" s="484"/>
      <c r="AK67" s="484"/>
      <c r="AL67" s="484"/>
    </row>
    <row r="68" spans="4:38" ht="15" customHeight="1" x14ac:dyDescent="0.35">
      <c r="D68" s="478"/>
      <c r="E68" s="478"/>
      <c r="F68" s="478"/>
      <c r="G68" s="478"/>
      <c r="H68" s="478"/>
      <c r="I68" s="478"/>
      <c r="J68" s="478"/>
      <c r="K68" s="478"/>
      <c r="L68" s="478"/>
      <c r="M68" s="478"/>
      <c r="N68" s="478"/>
      <c r="O68" s="478"/>
      <c r="P68" s="478"/>
      <c r="Q68" s="478"/>
      <c r="R68" s="478"/>
      <c r="S68" s="478"/>
      <c r="T68" s="478"/>
      <c r="U68" s="478"/>
      <c r="V68" s="478"/>
      <c r="W68" s="478"/>
      <c r="X68" s="478"/>
      <c r="Y68" s="478"/>
      <c r="Z68" s="478"/>
      <c r="AA68" s="478"/>
      <c r="AB68" s="478"/>
      <c r="AC68" s="478"/>
      <c r="AD68" s="478"/>
      <c r="AE68" s="478"/>
      <c r="AF68" s="478"/>
      <c r="AG68" s="478"/>
      <c r="AH68" s="478"/>
      <c r="AI68" s="478"/>
      <c r="AJ68" s="478"/>
      <c r="AK68" s="478"/>
      <c r="AL68" s="478"/>
    </row>
  </sheetData>
  <phoneticPr fontId="11" type="noConversion"/>
  <hyperlinks>
    <hyperlink ref="I2" location="Navigation!A1" display="Navigation" xr:uid="{00000000-0004-0000-1700-000000000000}"/>
    <hyperlink ref="E2" location="Scenario!A1" display="Scenario" xr:uid="{00000000-0004-0000-1700-000001000000}"/>
    <hyperlink ref="G2" location="Dashboard!A1" display="Dashboard" xr:uid="{00000000-0004-0000-1700-000002000000}"/>
  </hyperlink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tabColor rgb="FFC00000"/>
  </sheetPr>
  <dimension ref="A1:N218"/>
  <sheetViews>
    <sheetView zoomScale="80" zoomScaleNormal="80" workbookViewId="0"/>
  </sheetViews>
  <sheetFormatPr defaultColWidth="0" defaultRowHeight="15" customHeight="1" zeroHeight="1" x14ac:dyDescent="0.35"/>
  <cols>
    <col min="1" max="2" width="3.54296875" style="552" customWidth="1"/>
    <col min="3" max="3" width="67.54296875" style="552" customWidth="1"/>
    <col min="4" max="4" width="3.54296875" style="552" customWidth="1"/>
    <col min="5" max="5" width="28.54296875" style="552" customWidth="1"/>
    <col min="6" max="6" width="3.54296875" style="552" customWidth="1"/>
    <col min="7" max="7" width="22.54296875" style="552" customWidth="1"/>
    <col min="8" max="8" width="3.54296875" style="552" customWidth="1"/>
    <col min="9" max="9" width="16.54296875" style="552" customWidth="1"/>
    <col min="10" max="11" width="3.54296875" style="552" customWidth="1"/>
    <col min="12" max="12" width="9.453125" style="552" customWidth="1"/>
    <col min="13" max="14" width="0" style="552" hidden="1" customWidth="1"/>
    <col min="15" max="16384" width="9.453125" style="552" hidden="1"/>
  </cols>
  <sheetData>
    <row r="1" spans="1:14" ht="16" thickBot="1" x14ac:dyDescent="0.4"/>
    <row r="2" spans="1:14" ht="16.5" thickTop="1" thickBot="1" x14ac:dyDescent="0.4">
      <c r="C2" s="553" t="s">
        <v>157</v>
      </c>
      <c r="E2" s="2" t="s">
        <v>166</v>
      </c>
      <c r="G2" s="3" t="s">
        <v>175</v>
      </c>
      <c r="I2" s="1" t="s">
        <v>159</v>
      </c>
    </row>
    <row r="3" spans="1:14" s="554" customFormat="1" ht="16" thickBot="1" x14ac:dyDescent="0.4">
      <c r="A3" s="552"/>
      <c r="B3" s="552"/>
      <c r="C3" s="552"/>
      <c r="D3" s="552"/>
      <c r="E3" s="552"/>
      <c r="F3" s="552"/>
      <c r="G3" s="552"/>
      <c r="H3" s="552"/>
      <c r="I3" s="552"/>
      <c r="J3" s="552"/>
      <c r="K3" s="552"/>
      <c r="L3" s="552"/>
    </row>
    <row r="4" spans="1:14" s="554" customFormat="1" ht="20.25" customHeight="1" x14ac:dyDescent="0.35">
      <c r="A4" s="555"/>
      <c r="B4" s="555"/>
      <c r="C4" s="669"/>
      <c r="D4" s="670"/>
      <c r="E4" s="670"/>
      <c r="F4" s="670"/>
      <c r="G4" s="670"/>
      <c r="H4" s="671"/>
      <c r="I4" s="555"/>
      <c r="J4" s="555"/>
      <c r="K4" s="555"/>
      <c r="L4" s="555"/>
      <c r="M4" s="556"/>
      <c r="N4" s="556"/>
    </row>
    <row r="5" spans="1:14" s="554" customFormat="1" ht="14.25" customHeight="1" x14ac:dyDescent="0.35">
      <c r="A5" s="555"/>
      <c r="B5" s="555"/>
      <c r="C5" s="672"/>
      <c r="D5" s="673"/>
      <c r="E5" s="674"/>
      <c r="F5" s="673"/>
      <c r="G5" s="674"/>
      <c r="H5" s="675"/>
      <c r="I5" s="557"/>
      <c r="J5" s="555"/>
      <c r="K5" s="555"/>
      <c r="L5" s="555"/>
      <c r="M5" s="556"/>
      <c r="N5" s="556"/>
    </row>
    <row r="6" spans="1:14" s="554" customFormat="1" ht="15.5" x14ac:dyDescent="0.35">
      <c r="A6" s="555"/>
      <c r="B6" s="555"/>
      <c r="C6" s="672"/>
      <c r="D6" s="673"/>
      <c r="E6" s="674"/>
      <c r="F6" s="673"/>
      <c r="G6" s="674"/>
      <c r="H6" s="675"/>
      <c r="I6" s="557"/>
      <c r="J6" s="555"/>
      <c r="K6" s="555"/>
      <c r="L6" s="555"/>
      <c r="M6" s="556"/>
      <c r="N6" s="556"/>
    </row>
    <row r="7" spans="1:14" s="554" customFormat="1" ht="15.5" x14ac:dyDescent="0.35">
      <c r="A7" s="555"/>
      <c r="B7" s="555"/>
      <c r="C7" s="672"/>
      <c r="D7" s="673"/>
      <c r="E7" s="674"/>
      <c r="F7" s="673"/>
      <c r="G7" s="674"/>
      <c r="H7" s="675"/>
      <c r="I7" s="557"/>
      <c r="J7" s="555"/>
      <c r="K7" s="555"/>
      <c r="L7" s="555"/>
      <c r="M7" s="556"/>
      <c r="N7" s="556"/>
    </row>
    <row r="8" spans="1:14" s="554" customFormat="1" ht="15.5" x14ac:dyDescent="0.35">
      <c r="A8" s="555"/>
      <c r="B8" s="555"/>
      <c r="C8" s="672"/>
      <c r="D8" s="673"/>
      <c r="E8" s="674"/>
      <c r="F8" s="673"/>
      <c r="G8" s="674"/>
      <c r="H8" s="675"/>
      <c r="I8" s="557"/>
      <c r="J8" s="555"/>
      <c r="K8" s="555"/>
      <c r="L8" s="555"/>
      <c r="M8" s="556"/>
      <c r="N8" s="556"/>
    </row>
    <row r="9" spans="1:14" s="554" customFormat="1" ht="15.5" x14ac:dyDescent="0.35">
      <c r="A9" s="555"/>
      <c r="B9" s="555"/>
      <c r="C9" s="672"/>
      <c r="D9" s="673"/>
      <c r="E9" s="674"/>
      <c r="F9" s="673"/>
      <c r="G9" s="674"/>
      <c r="H9" s="675"/>
      <c r="I9" s="557"/>
      <c r="J9" s="555"/>
      <c r="K9" s="555"/>
      <c r="L9" s="555"/>
      <c r="M9" s="556"/>
      <c r="N9" s="556"/>
    </row>
    <row r="10" spans="1:14" s="554" customFormat="1" ht="15.5" x14ac:dyDescent="0.35">
      <c r="A10" s="555"/>
      <c r="B10" s="555"/>
      <c r="C10" s="672"/>
      <c r="D10" s="673"/>
      <c r="E10" s="674"/>
      <c r="F10" s="673"/>
      <c r="G10" s="674"/>
      <c r="H10" s="675"/>
      <c r="I10" s="557"/>
      <c r="J10" s="555"/>
      <c r="K10" s="555"/>
      <c r="L10" s="555"/>
      <c r="M10" s="556"/>
      <c r="N10" s="556"/>
    </row>
    <row r="11" spans="1:14" s="554" customFormat="1" ht="15.5" x14ac:dyDescent="0.35">
      <c r="A11" s="555"/>
      <c r="B11" s="555"/>
      <c r="C11" s="672"/>
      <c r="D11" s="673"/>
      <c r="E11" s="674"/>
      <c r="F11" s="673"/>
      <c r="G11" s="674"/>
      <c r="H11" s="675"/>
      <c r="I11" s="557"/>
      <c r="J11" s="555"/>
      <c r="K11" s="555"/>
      <c r="L11" s="555"/>
      <c r="M11" s="556"/>
      <c r="N11" s="556"/>
    </row>
    <row r="12" spans="1:14" s="554" customFormat="1" ht="15.5" x14ac:dyDescent="0.35">
      <c r="A12" s="555"/>
      <c r="B12" s="555"/>
      <c r="C12" s="672"/>
      <c r="D12" s="673"/>
      <c r="E12" s="674"/>
      <c r="F12" s="673"/>
      <c r="G12" s="674"/>
      <c r="H12" s="675"/>
      <c r="I12" s="557"/>
      <c r="J12" s="555"/>
      <c r="K12" s="555"/>
      <c r="L12" s="555"/>
      <c r="M12" s="556"/>
      <c r="N12" s="556"/>
    </row>
    <row r="13" spans="1:14" s="554" customFormat="1" ht="15.5" x14ac:dyDescent="0.35">
      <c r="A13" s="555"/>
      <c r="B13" s="555"/>
      <c r="C13" s="672"/>
      <c r="D13" s="673"/>
      <c r="E13" s="674"/>
      <c r="F13" s="673"/>
      <c r="G13" s="674"/>
      <c r="H13" s="675"/>
      <c r="I13" s="557"/>
      <c r="J13" s="555"/>
      <c r="K13" s="555"/>
      <c r="L13" s="555"/>
      <c r="M13" s="556"/>
      <c r="N13" s="556"/>
    </row>
    <row r="14" spans="1:14" s="554" customFormat="1" ht="15.5" x14ac:dyDescent="0.35">
      <c r="A14" s="555"/>
      <c r="B14" s="555"/>
      <c r="C14" s="672"/>
      <c r="D14" s="673"/>
      <c r="E14" s="674"/>
      <c r="F14" s="673"/>
      <c r="G14" s="674"/>
      <c r="H14" s="675"/>
      <c r="I14" s="557"/>
      <c r="J14" s="555"/>
      <c r="K14" s="555"/>
      <c r="L14" s="555"/>
      <c r="M14" s="556"/>
      <c r="N14" s="556"/>
    </row>
    <row r="15" spans="1:14" s="554" customFormat="1" ht="15.5" x14ac:dyDescent="0.35">
      <c r="A15" s="555"/>
      <c r="B15" s="555"/>
      <c r="C15" s="672"/>
      <c r="D15" s="673"/>
      <c r="E15" s="674"/>
      <c r="F15" s="673"/>
      <c r="G15" s="674"/>
      <c r="H15" s="675"/>
      <c r="I15" s="557"/>
      <c r="J15" s="555"/>
      <c r="K15" s="555"/>
      <c r="L15" s="555"/>
      <c r="M15" s="556"/>
      <c r="N15" s="556"/>
    </row>
    <row r="16" spans="1:14" s="554" customFormat="1" ht="15.5" x14ac:dyDescent="0.35">
      <c r="A16" s="555"/>
      <c r="B16" s="555"/>
      <c r="C16" s="672"/>
      <c r="D16" s="673"/>
      <c r="E16" s="674"/>
      <c r="F16" s="673"/>
      <c r="G16" s="674"/>
      <c r="H16" s="675"/>
      <c r="I16" s="557"/>
      <c r="J16" s="555"/>
      <c r="K16" s="555"/>
      <c r="L16" s="555"/>
      <c r="M16" s="556"/>
      <c r="N16" s="556"/>
    </row>
    <row r="17" spans="1:14" s="554" customFormat="1" ht="15.5" x14ac:dyDescent="0.35">
      <c r="A17" s="555"/>
      <c r="B17" s="555"/>
      <c r="C17" s="672"/>
      <c r="D17" s="673"/>
      <c r="E17" s="674"/>
      <c r="F17" s="673"/>
      <c r="G17" s="674"/>
      <c r="H17" s="675"/>
      <c r="I17" s="557"/>
      <c r="J17" s="555"/>
      <c r="K17" s="555"/>
      <c r="L17" s="555"/>
      <c r="M17" s="556"/>
      <c r="N17" s="556"/>
    </row>
    <row r="18" spans="1:14" s="554" customFormat="1" ht="15.5" x14ac:dyDescent="0.35">
      <c r="A18" s="555"/>
      <c r="B18" s="555"/>
      <c r="C18" s="672"/>
      <c r="D18" s="673"/>
      <c r="E18" s="674"/>
      <c r="F18" s="673"/>
      <c r="G18" s="674"/>
      <c r="H18" s="675"/>
      <c r="I18" s="557"/>
      <c r="J18" s="555"/>
      <c r="K18" s="555"/>
      <c r="L18" s="555"/>
      <c r="M18" s="556"/>
      <c r="N18" s="556"/>
    </row>
    <row r="19" spans="1:14" s="554" customFormat="1" ht="15.5" x14ac:dyDescent="0.35">
      <c r="A19" s="555"/>
      <c r="B19" s="555"/>
      <c r="C19" s="672"/>
      <c r="D19" s="673"/>
      <c r="E19" s="674"/>
      <c r="F19" s="673"/>
      <c r="G19" s="674"/>
      <c r="H19" s="675"/>
      <c r="I19" s="557"/>
      <c r="J19" s="555"/>
      <c r="K19" s="555"/>
      <c r="L19" s="555"/>
      <c r="M19" s="556"/>
      <c r="N19" s="556"/>
    </row>
    <row r="20" spans="1:14" s="554" customFormat="1" ht="15.5" x14ac:dyDescent="0.35">
      <c r="A20" s="555"/>
      <c r="B20" s="555"/>
      <c r="C20" s="672"/>
      <c r="D20" s="673"/>
      <c r="E20" s="674"/>
      <c r="F20" s="673"/>
      <c r="G20" s="674"/>
      <c r="H20" s="675"/>
      <c r="I20" s="557"/>
      <c r="J20" s="555"/>
      <c r="K20" s="555"/>
      <c r="L20" s="555"/>
      <c r="M20" s="556"/>
      <c r="N20" s="556"/>
    </row>
    <row r="21" spans="1:14" s="554" customFormat="1" ht="15.5" x14ac:dyDescent="0.35">
      <c r="A21" s="555"/>
      <c r="B21" s="555"/>
      <c r="C21" s="672"/>
      <c r="D21" s="673"/>
      <c r="E21" s="674"/>
      <c r="F21" s="673"/>
      <c r="G21" s="674"/>
      <c r="H21" s="675"/>
      <c r="I21" s="557"/>
      <c r="J21" s="555"/>
      <c r="K21" s="555"/>
      <c r="L21" s="555"/>
      <c r="M21" s="556"/>
      <c r="N21" s="556"/>
    </row>
    <row r="22" spans="1:14" s="554" customFormat="1" ht="15.5" x14ac:dyDescent="0.35">
      <c r="A22" s="555"/>
      <c r="B22" s="555"/>
      <c r="C22" s="672"/>
      <c r="D22" s="673"/>
      <c r="E22" s="674"/>
      <c r="F22" s="673"/>
      <c r="G22" s="674"/>
      <c r="H22" s="675"/>
      <c r="I22" s="557"/>
      <c r="J22" s="555"/>
      <c r="K22" s="555"/>
      <c r="L22" s="555"/>
      <c r="M22" s="556"/>
      <c r="N22" s="556"/>
    </row>
    <row r="23" spans="1:14" s="554" customFormat="1" ht="15.5" x14ac:dyDescent="0.35">
      <c r="A23" s="555"/>
      <c r="B23" s="555"/>
      <c r="C23" s="672"/>
      <c r="D23" s="673"/>
      <c r="E23" s="674"/>
      <c r="F23" s="673"/>
      <c r="G23" s="674"/>
      <c r="H23" s="675"/>
      <c r="I23" s="557"/>
      <c r="J23" s="555"/>
      <c r="K23" s="555"/>
      <c r="L23" s="555"/>
      <c r="M23" s="556"/>
      <c r="N23" s="556"/>
    </row>
    <row r="24" spans="1:14" s="554" customFormat="1" ht="15.5" x14ac:dyDescent="0.35">
      <c r="A24" s="555"/>
      <c r="B24" s="555"/>
      <c r="C24" s="672"/>
      <c r="D24" s="673"/>
      <c r="E24" s="674"/>
      <c r="F24" s="673"/>
      <c r="G24" s="674"/>
      <c r="H24" s="675"/>
      <c r="I24" s="557"/>
      <c r="J24" s="555"/>
      <c r="K24" s="555"/>
      <c r="L24" s="555"/>
      <c r="M24" s="556"/>
      <c r="N24" s="556"/>
    </row>
    <row r="25" spans="1:14" s="554" customFormat="1" ht="15.5" x14ac:dyDescent="0.35">
      <c r="A25" s="555"/>
      <c r="B25" s="555"/>
      <c r="C25" s="672"/>
      <c r="D25" s="673"/>
      <c r="E25" s="674"/>
      <c r="F25" s="673"/>
      <c r="G25" s="674"/>
      <c r="H25" s="675"/>
      <c r="I25" s="557"/>
      <c r="J25" s="555"/>
      <c r="K25" s="555"/>
      <c r="L25" s="555"/>
      <c r="M25" s="556"/>
      <c r="N25" s="556"/>
    </row>
    <row r="26" spans="1:14" s="554" customFormat="1" ht="15.5" x14ac:dyDescent="0.35">
      <c r="A26" s="555"/>
      <c r="B26" s="555"/>
      <c r="C26" s="672"/>
      <c r="D26" s="673"/>
      <c r="E26" s="674"/>
      <c r="F26" s="673"/>
      <c r="G26" s="674"/>
      <c r="H26" s="675"/>
      <c r="I26" s="557"/>
      <c r="J26" s="555"/>
      <c r="K26" s="555"/>
      <c r="L26" s="555"/>
      <c r="M26" s="556"/>
      <c r="N26" s="556"/>
    </row>
    <row r="27" spans="1:14" s="554" customFormat="1" ht="15.5" x14ac:dyDescent="0.35">
      <c r="A27" s="555"/>
      <c r="B27" s="555"/>
      <c r="C27" s="672"/>
      <c r="D27" s="673"/>
      <c r="E27" s="674"/>
      <c r="F27" s="673"/>
      <c r="G27" s="674"/>
      <c r="H27" s="675"/>
      <c r="I27" s="557"/>
      <c r="J27" s="555"/>
      <c r="K27" s="555"/>
      <c r="L27" s="555"/>
      <c r="M27" s="556"/>
      <c r="N27" s="556"/>
    </row>
    <row r="28" spans="1:14" s="554" customFormat="1" ht="15.5" x14ac:dyDescent="0.35">
      <c r="A28" s="555"/>
      <c r="B28" s="555"/>
      <c r="C28" s="672"/>
      <c r="D28" s="673"/>
      <c r="E28" s="674"/>
      <c r="F28" s="673"/>
      <c r="G28" s="674"/>
      <c r="H28" s="675"/>
      <c r="I28" s="557"/>
      <c r="J28" s="555"/>
      <c r="K28" s="555"/>
      <c r="L28" s="555"/>
      <c r="M28" s="556"/>
      <c r="N28" s="556"/>
    </row>
    <row r="29" spans="1:14" s="554" customFormat="1" ht="15.5" x14ac:dyDescent="0.35">
      <c r="A29" s="555"/>
      <c r="B29" s="555"/>
      <c r="C29" s="672"/>
      <c r="D29" s="673"/>
      <c r="E29" s="674"/>
      <c r="F29" s="673"/>
      <c r="G29" s="674"/>
      <c r="H29" s="675"/>
      <c r="I29" s="557"/>
      <c r="J29" s="555"/>
      <c r="K29" s="555"/>
      <c r="L29" s="555"/>
      <c r="M29" s="556"/>
      <c r="N29" s="556"/>
    </row>
    <row r="30" spans="1:14" s="554" customFormat="1" ht="15.5" x14ac:dyDescent="0.35">
      <c r="A30" s="555"/>
      <c r="B30" s="555"/>
      <c r="C30" s="672"/>
      <c r="D30" s="673"/>
      <c r="E30" s="674"/>
      <c r="F30" s="673"/>
      <c r="G30" s="674"/>
      <c r="H30" s="675"/>
      <c r="I30" s="557"/>
      <c r="J30" s="555"/>
      <c r="K30" s="555"/>
      <c r="L30" s="555"/>
      <c r="M30" s="556"/>
      <c r="N30" s="556"/>
    </row>
    <row r="31" spans="1:14" s="554" customFormat="1" ht="15.5" x14ac:dyDescent="0.35">
      <c r="A31" s="555"/>
      <c r="B31" s="555"/>
      <c r="C31" s="672"/>
      <c r="D31" s="673"/>
      <c r="E31" s="674"/>
      <c r="F31" s="673"/>
      <c r="G31" s="674"/>
      <c r="H31" s="675"/>
      <c r="I31" s="557"/>
      <c r="J31" s="555"/>
      <c r="K31" s="555"/>
      <c r="L31" s="555"/>
      <c r="M31" s="556"/>
      <c r="N31" s="556"/>
    </row>
    <row r="32" spans="1:14" s="554" customFormat="1" ht="15.5" x14ac:dyDescent="0.35">
      <c r="A32" s="555"/>
      <c r="B32" s="555"/>
      <c r="C32" s="676"/>
      <c r="D32" s="673"/>
      <c r="E32" s="673"/>
      <c r="F32" s="673"/>
      <c r="G32" s="673"/>
      <c r="H32" s="675"/>
      <c r="I32" s="555"/>
      <c r="J32" s="555"/>
      <c r="K32" s="555"/>
      <c r="L32" s="555"/>
      <c r="M32" s="556"/>
      <c r="N32" s="556"/>
    </row>
    <row r="33" spans="1:14" s="554" customFormat="1" ht="15.5" x14ac:dyDescent="0.35">
      <c r="A33" s="555"/>
      <c r="B33" s="555"/>
      <c r="C33" s="672"/>
      <c r="D33" s="673"/>
      <c r="E33" s="674"/>
      <c r="F33" s="673"/>
      <c r="G33" s="674"/>
      <c r="H33" s="675"/>
      <c r="I33" s="557"/>
      <c r="J33" s="555"/>
      <c r="K33" s="555"/>
      <c r="L33" s="555"/>
      <c r="M33" s="556"/>
      <c r="N33" s="556"/>
    </row>
    <row r="34" spans="1:14" s="554" customFormat="1" ht="15.5" x14ac:dyDescent="0.35">
      <c r="A34" s="555"/>
      <c r="B34" s="555"/>
      <c r="C34" s="672"/>
      <c r="D34" s="673"/>
      <c r="E34" s="674"/>
      <c r="F34" s="673"/>
      <c r="G34" s="674"/>
      <c r="H34" s="675"/>
      <c r="I34" s="557"/>
      <c r="J34" s="555"/>
      <c r="K34" s="555"/>
      <c r="L34" s="555"/>
      <c r="M34" s="556"/>
      <c r="N34" s="556"/>
    </row>
    <row r="35" spans="1:14" s="554" customFormat="1" ht="15.5" x14ac:dyDescent="0.35">
      <c r="A35" s="555"/>
      <c r="B35" s="555"/>
      <c r="C35" s="672"/>
      <c r="D35" s="673"/>
      <c r="E35" s="674"/>
      <c r="F35" s="673"/>
      <c r="G35" s="674"/>
      <c r="H35" s="675"/>
      <c r="I35" s="557"/>
      <c r="J35" s="555"/>
      <c r="K35" s="555"/>
      <c r="L35" s="555"/>
      <c r="M35" s="556"/>
      <c r="N35" s="556"/>
    </row>
    <row r="36" spans="1:14" s="554" customFormat="1" ht="15.5" x14ac:dyDescent="0.35">
      <c r="A36" s="555"/>
      <c r="B36" s="555"/>
      <c r="C36" s="672"/>
      <c r="D36" s="673"/>
      <c r="E36" s="674"/>
      <c r="F36" s="673"/>
      <c r="G36" s="674"/>
      <c r="H36" s="675"/>
      <c r="I36" s="557"/>
      <c r="J36" s="555"/>
      <c r="K36" s="555"/>
      <c r="L36" s="555"/>
      <c r="M36" s="556"/>
      <c r="N36" s="556"/>
    </row>
    <row r="37" spans="1:14" s="554" customFormat="1" ht="15.5" x14ac:dyDescent="0.35">
      <c r="A37" s="555"/>
      <c r="B37" s="555"/>
      <c r="C37" s="672"/>
      <c r="D37" s="673"/>
      <c r="E37" s="674"/>
      <c r="F37" s="673"/>
      <c r="G37" s="674"/>
      <c r="H37" s="675"/>
      <c r="I37" s="557"/>
      <c r="J37" s="555"/>
      <c r="K37" s="555"/>
      <c r="L37" s="555"/>
      <c r="M37" s="556"/>
      <c r="N37" s="556"/>
    </row>
    <row r="38" spans="1:14" s="554" customFormat="1" ht="15.5" x14ac:dyDescent="0.35">
      <c r="A38" s="555"/>
      <c r="B38" s="555"/>
      <c r="C38" s="672"/>
      <c r="D38" s="673"/>
      <c r="E38" s="674"/>
      <c r="F38" s="673"/>
      <c r="G38" s="674"/>
      <c r="H38" s="675"/>
      <c r="I38" s="557"/>
      <c r="J38" s="555"/>
      <c r="K38" s="555"/>
      <c r="L38" s="555"/>
      <c r="M38" s="556"/>
      <c r="N38" s="556"/>
    </row>
    <row r="39" spans="1:14" s="554" customFormat="1" ht="15.5" x14ac:dyDescent="0.35">
      <c r="A39" s="555"/>
      <c r="B39" s="555"/>
      <c r="C39" s="672"/>
      <c r="D39" s="673"/>
      <c r="E39" s="674"/>
      <c r="F39" s="673"/>
      <c r="G39" s="674"/>
      <c r="H39" s="675"/>
      <c r="I39" s="557"/>
      <c r="J39" s="555"/>
      <c r="K39" s="555"/>
      <c r="L39" s="555"/>
      <c r="M39" s="556"/>
      <c r="N39" s="556"/>
    </row>
    <row r="40" spans="1:14" s="554" customFormat="1" ht="15.5" x14ac:dyDescent="0.35">
      <c r="A40" s="555"/>
      <c r="B40" s="555"/>
      <c r="C40" s="672"/>
      <c r="D40" s="673"/>
      <c r="E40" s="674"/>
      <c r="F40" s="673"/>
      <c r="G40" s="674"/>
      <c r="H40" s="675"/>
      <c r="I40" s="557"/>
      <c r="J40" s="555"/>
      <c r="K40" s="555"/>
      <c r="L40" s="555"/>
      <c r="M40" s="556"/>
      <c r="N40" s="556"/>
    </row>
    <row r="41" spans="1:14" s="554" customFormat="1" ht="15.5" x14ac:dyDescent="0.35">
      <c r="A41" s="555"/>
      <c r="B41" s="555"/>
      <c r="C41" s="672"/>
      <c r="D41" s="673"/>
      <c r="E41" s="674"/>
      <c r="F41" s="673"/>
      <c r="G41" s="674"/>
      <c r="H41" s="675"/>
      <c r="I41" s="557"/>
      <c r="J41" s="555"/>
      <c r="K41" s="555"/>
      <c r="L41" s="555"/>
      <c r="M41" s="556"/>
      <c r="N41" s="556"/>
    </row>
    <row r="42" spans="1:14" s="554" customFormat="1" ht="15.5" x14ac:dyDescent="0.35">
      <c r="A42" s="555"/>
      <c r="B42" s="555"/>
      <c r="C42" s="672"/>
      <c r="D42" s="673"/>
      <c r="E42" s="674"/>
      <c r="F42" s="673"/>
      <c r="G42" s="674"/>
      <c r="H42" s="675"/>
      <c r="I42" s="557"/>
      <c r="J42" s="555"/>
      <c r="K42" s="555"/>
      <c r="L42" s="555"/>
      <c r="M42" s="556"/>
      <c r="N42" s="556"/>
    </row>
    <row r="43" spans="1:14" s="554" customFormat="1" ht="15.5" x14ac:dyDescent="0.35">
      <c r="A43" s="555"/>
      <c r="B43" s="555"/>
      <c r="C43" s="672"/>
      <c r="D43" s="673"/>
      <c r="E43" s="674"/>
      <c r="F43" s="673"/>
      <c r="G43" s="674"/>
      <c r="H43" s="675"/>
      <c r="I43" s="557"/>
      <c r="J43" s="555"/>
      <c r="K43" s="555"/>
      <c r="L43" s="555"/>
      <c r="M43" s="556"/>
      <c r="N43" s="556"/>
    </row>
    <row r="44" spans="1:14" s="554" customFormat="1" ht="15.5" x14ac:dyDescent="0.35">
      <c r="A44" s="555"/>
      <c r="B44" s="555"/>
      <c r="C44" s="672"/>
      <c r="D44" s="673"/>
      <c r="E44" s="674"/>
      <c r="F44" s="673"/>
      <c r="G44" s="674"/>
      <c r="H44" s="675"/>
      <c r="I44" s="557"/>
      <c r="J44" s="555"/>
      <c r="K44" s="555"/>
      <c r="L44" s="555"/>
      <c r="M44" s="556"/>
      <c r="N44" s="556"/>
    </row>
    <row r="45" spans="1:14" s="554" customFormat="1" ht="15.5" x14ac:dyDescent="0.35">
      <c r="A45" s="555"/>
      <c r="B45" s="555"/>
      <c r="C45" s="672"/>
      <c r="D45" s="673"/>
      <c r="E45" s="674"/>
      <c r="F45" s="673"/>
      <c r="G45" s="674"/>
      <c r="H45" s="675"/>
      <c r="I45" s="557"/>
      <c r="J45" s="555"/>
      <c r="K45" s="555"/>
      <c r="L45" s="555"/>
      <c r="M45" s="556"/>
      <c r="N45" s="556"/>
    </row>
    <row r="46" spans="1:14" s="554" customFormat="1" ht="15.5" x14ac:dyDescent="0.35">
      <c r="A46" s="555"/>
      <c r="B46" s="555"/>
      <c r="C46" s="672"/>
      <c r="D46" s="673"/>
      <c r="E46" s="674"/>
      <c r="F46" s="673"/>
      <c r="G46" s="674"/>
      <c r="H46" s="675"/>
      <c r="I46" s="557"/>
      <c r="J46" s="555"/>
      <c r="K46" s="555"/>
      <c r="L46" s="555"/>
      <c r="M46" s="556"/>
      <c r="N46" s="556"/>
    </row>
    <row r="47" spans="1:14" s="554" customFormat="1" ht="15.5" x14ac:dyDescent="0.35">
      <c r="A47" s="555"/>
      <c r="B47" s="555"/>
      <c r="C47" s="672"/>
      <c r="D47" s="673"/>
      <c r="E47" s="674"/>
      <c r="F47" s="673"/>
      <c r="G47" s="674"/>
      <c r="H47" s="675"/>
      <c r="I47" s="557"/>
      <c r="J47" s="555"/>
      <c r="K47" s="555"/>
      <c r="L47" s="555"/>
      <c r="M47" s="556"/>
      <c r="N47" s="556"/>
    </row>
    <row r="48" spans="1:14" s="554" customFormat="1" ht="15.5" x14ac:dyDescent="0.35">
      <c r="A48" s="555"/>
      <c r="B48" s="555"/>
      <c r="C48" s="672"/>
      <c r="D48" s="673"/>
      <c r="E48" s="674"/>
      <c r="F48" s="673"/>
      <c r="G48" s="674"/>
      <c r="H48" s="675"/>
      <c r="I48" s="557"/>
      <c r="J48" s="555"/>
      <c r="K48" s="555"/>
      <c r="L48" s="555"/>
      <c r="M48" s="556"/>
      <c r="N48" s="556"/>
    </row>
    <row r="49" spans="1:14" s="554" customFormat="1" ht="15.5" x14ac:dyDescent="0.35">
      <c r="A49" s="555"/>
      <c r="B49" s="555"/>
      <c r="C49" s="672"/>
      <c r="D49" s="673"/>
      <c r="E49" s="674"/>
      <c r="F49" s="673"/>
      <c r="G49" s="674"/>
      <c r="H49" s="675"/>
      <c r="I49" s="557"/>
      <c r="J49" s="555"/>
      <c r="K49" s="555"/>
      <c r="L49" s="555"/>
      <c r="M49" s="556"/>
      <c r="N49" s="556"/>
    </row>
    <row r="50" spans="1:14" s="554" customFormat="1" ht="15.5" x14ac:dyDescent="0.35">
      <c r="A50" s="555"/>
      <c r="B50" s="555"/>
      <c r="C50" s="672"/>
      <c r="D50" s="673"/>
      <c r="E50" s="674"/>
      <c r="F50" s="673"/>
      <c r="G50" s="674"/>
      <c r="H50" s="675"/>
      <c r="I50" s="557"/>
      <c r="J50" s="555"/>
      <c r="K50" s="555"/>
      <c r="L50" s="555"/>
      <c r="M50" s="556"/>
      <c r="N50" s="556"/>
    </row>
    <row r="51" spans="1:14" s="554" customFormat="1" ht="15.5" x14ac:dyDescent="0.35">
      <c r="A51" s="555"/>
      <c r="B51" s="555"/>
      <c r="C51" s="672"/>
      <c r="D51" s="673"/>
      <c r="E51" s="674"/>
      <c r="F51" s="673"/>
      <c r="G51" s="674"/>
      <c r="H51" s="675"/>
      <c r="I51" s="557"/>
      <c r="J51" s="555"/>
      <c r="K51" s="555"/>
      <c r="L51" s="555"/>
      <c r="M51" s="556"/>
      <c r="N51" s="556"/>
    </row>
    <row r="52" spans="1:14" s="554" customFormat="1" ht="15.5" x14ac:dyDescent="0.35">
      <c r="A52" s="555"/>
      <c r="B52" s="555"/>
      <c r="C52" s="672"/>
      <c r="D52" s="673"/>
      <c r="E52" s="674"/>
      <c r="F52" s="673"/>
      <c r="G52" s="674"/>
      <c r="H52" s="675"/>
      <c r="I52" s="557"/>
      <c r="J52" s="555"/>
      <c r="K52" s="555"/>
      <c r="L52" s="555"/>
      <c r="M52" s="556"/>
      <c r="N52" s="556"/>
    </row>
    <row r="53" spans="1:14" s="554" customFormat="1" ht="15.5" x14ac:dyDescent="0.35">
      <c r="A53" s="555"/>
      <c r="B53" s="555"/>
      <c r="C53" s="672"/>
      <c r="D53" s="673"/>
      <c r="E53" s="674"/>
      <c r="F53" s="673"/>
      <c r="G53" s="674"/>
      <c r="H53" s="675"/>
      <c r="I53" s="557"/>
      <c r="J53" s="555"/>
      <c r="K53" s="555"/>
      <c r="L53" s="555"/>
      <c r="M53" s="556"/>
      <c r="N53" s="556"/>
    </row>
    <row r="54" spans="1:14" s="554" customFormat="1" ht="15.5" x14ac:dyDescent="0.35">
      <c r="A54" s="555"/>
      <c r="B54" s="555"/>
      <c r="C54" s="672"/>
      <c r="D54" s="673"/>
      <c r="E54" s="674"/>
      <c r="F54" s="673"/>
      <c r="G54" s="674"/>
      <c r="H54" s="675"/>
      <c r="I54" s="557"/>
      <c r="J54" s="555"/>
      <c r="K54" s="555"/>
      <c r="L54" s="555"/>
      <c r="M54" s="556"/>
      <c r="N54" s="556"/>
    </row>
    <row r="55" spans="1:14" s="554" customFormat="1" ht="15.5" x14ac:dyDescent="0.35">
      <c r="A55" s="555"/>
      <c r="B55" s="555"/>
      <c r="C55" s="672"/>
      <c r="D55" s="673"/>
      <c r="E55" s="674"/>
      <c r="F55" s="673"/>
      <c r="G55" s="674"/>
      <c r="H55" s="675"/>
      <c r="I55" s="557"/>
      <c r="J55" s="555"/>
      <c r="K55" s="555"/>
      <c r="L55" s="555"/>
      <c r="M55" s="556"/>
      <c r="N55" s="556"/>
    </row>
    <row r="56" spans="1:14" s="554" customFormat="1" ht="15.5" x14ac:dyDescent="0.35">
      <c r="A56" s="555"/>
      <c r="B56" s="555"/>
      <c r="C56" s="672"/>
      <c r="D56" s="673"/>
      <c r="E56" s="674"/>
      <c r="F56" s="673"/>
      <c r="G56" s="674"/>
      <c r="H56" s="675"/>
      <c r="I56" s="557"/>
      <c r="J56" s="555"/>
      <c r="K56" s="555"/>
      <c r="L56" s="555"/>
      <c r="M56" s="556"/>
      <c r="N56" s="556"/>
    </row>
    <row r="57" spans="1:14" s="554" customFormat="1" ht="15.5" x14ac:dyDescent="0.35">
      <c r="A57" s="555"/>
      <c r="B57" s="555"/>
      <c r="C57" s="672"/>
      <c r="D57" s="673"/>
      <c r="E57" s="674"/>
      <c r="F57" s="673"/>
      <c r="G57" s="674"/>
      <c r="H57" s="675"/>
      <c r="I57" s="557"/>
      <c r="J57" s="555"/>
      <c r="K57" s="555"/>
      <c r="L57" s="555"/>
      <c r="M57" s="556"/>
      <c r="N57" s="556"/>
    </row>
    <row r="58" spans="1:14" s="554" customFormat="1" ht="15.5" x14ac:dyDescent="0.35">
      <c r="A58" s="555"/>
      <c r="B58" s="555"/>
      <c r="C58" s="672"/>
      <c r="D58" s="673"/>
      <c r="E58" s="674"/>
      <c r="F58" s="673"/>
      <c r="G58" s="674"/>
      <c r="H58" s="675"/>
      <c r="I58" s="557"/>
      <c r="J58" s="555"/>
      <c r="K58" s="555"/>
      <c r="L58" s="555"/>
      <c r="M58" s="556"/>
      <c r="N58" s="556"/>
    </row>
    <row r="59" spans="1:14" s="554" customFormat="1" ht="15.5" x14ac:dyDescent="0.35">
      <c r="A59" s="555"/>
      <c r="B59" s="555"/>
      <c r="C59" s="672"/>
      <c r="D59" s="673"/>
      <c r="E59" s="674"/>
      <c r="F59" s="673"/>
      <c r="G59" s="674"/>
      <c r="H59" s="675"/>
      <c r="I59" s="557"/>
      <c r="J59" s="555"/>
      <c r="K59" s="555"/>
      <c r="L59" s="555"/>
      <c r="M59" s="556"/>
      <c r="N59" s="556"/>
    </row>
    <row r="60" spans="1:14" s="554" customFormat="1" ht="15.5" x14ac:dyDescent="0.35">
      <c r="A60" s="555"/>
      <c r="B60" s="555"/>
      <c r="C60" s="676"/>
      <c r="D60" s="673"/>
      <c r="E60" s="673"/>
      <c r="F60" s="673"/>
      <c r="G60" s="673"/>
      <c r="H60" s="675"/>
      <c r="I60" s="555"/>
      <c r="J60" s="555"/>
      <c r="K60" s="555"/>
      <c r="L60" s="555"/>
      <c r="M60" s="556"/>
      <c r="N60" s="556"/>
    </row>
    <row r="61" spans="1:14" s="554" customFormat="1" ht="15.5" x14ac:dyDescent="0.35">
      <c r="A61" s="552"/>
      <c r="B61" s="552"/>
      <c r="C61" s="676"/>
      <c r="D61" s="673"/>
      <c r="E61" s="673"/>
      <c r="F61" s="673"/>
      <c r="G61" s="673"/>
      <c r="H61" s="675"/>
      <c r="I61" s="555"/>
      <c r="J61" s="555"/>
      <c r="K61" s="555"/>
      <c r="L61" s="552"/>
    </row>
    <row r="62" spans="1:14" s="554" customFormat="1" ht="15.5" x14ac:dyDescent="0.35">
      <c r="A62" s="552"/>
      <c r="B62" s="552"/>
      <c r="C62" s="676"/>
      <c r="D62" s="673"/>
      <c r="E62" s="673"/>
      <c r="F62" s="673"/>
      <c r="G62" s="673"/>
      <c r="H62" s="675"/>
      <c r="I62" s="555"/>
      <c r="J62" s="555"/>
      <c r="K62" s="555"/>
      <c r="L62" s="552"/>
    </row>
    <row r="63" spans="1:14" s="554" customFormat="1" ht="15.5" x14ac:dyDescent="0.35">
      <c r="A63" s="552"/>
      <c r="B63" s="552"/>
      <c r="C63" s="676"/>
      <c r="D63" s="673"/>
      <c r="E63" s="673"/>
      <c r="F63" s="673"/>
      <c r="G63" s="673"/>
      <c r="H63" s="675"/>
      <c r="I63" s="555"/>
      <c r="J63" s="555"/>
      <c r="K63" s="555"/>
      <c r="L63" s="552"/>
    </row>
    <row r="64" spans="1:14" s="554" customFormat="1" ht="15.5" x14ac:dyDescent="0.35">
      <c r="A64" s="552"/>
      <c r="B64" s="552"/>
      <c r="C64" s="676"/>
      <c r="D64" s="673"/>
      <c r="E64" s="673"/>
      <c r="F64" s="673"/>
      <c r="G64" s="673"/>
      <c r="H64" s="675"/>
      <c r="I64" s="555"/>
      <c r="J64" s="555"/>
      <c r="K64" s="555"/>
      <c r="L64" s="552"/>
    </row>
    <row r="65" spans="1:12" s="554" customFormat="1" ht="15.5" x14ac:dyDescent="0.35">
      <c r="A65" s="552"/>
      <c r="B65" s="552"/>
      <c r="C65" s="676"/>
      <c r="D65" s="673"/>
      <c r="E65" s="673"/>
      <c r="F65" s="673"/>
      <c r="G65" s="673"/>
      <c r="H65" s="675"/>
      <c r="I65" s="555"/>
      <c r="J65" s="555"/>
      <c r="K65" s="555"/>
      <c r="L65" s="552"/>
    </row>
    <row r="66" spans="1:12" s="554" customFormat="1" ht="15.5" x14ac:dyDescent="0.35">
      <c r="A66" s="552"/>
      <c r="B66" s="552"/>
      <c r="C66" s="676"/>
      <c r="D66" s="673"/>
      <c r="E66" s="673"/>
      <c r="F66" s="673"/>
      <c r="G66" s="673"/>
      <c r="H66" s="675"/>
      <c r="I66" s="555"/>
      <c r="J66" s="555"/>
      <c r="K66" s="555"/>
      <c r="L66" s="552"/>
    </row>
    <row r="67" spans="1:12" s="554" customFormat="1" ht="15.5" x14ac:dyDescent="0.35">
      <c r="A67" s="552"/>
      <c r="B67" s="552"/>
      <c r="C67" s="676"/>
      <c r="D67" s="673"/>
      <c r="E67" s="673"/>
      <c r="F67" s="673"/>
      <c r="G67" s="673"/>
      <c r="H67" s="675"/>
      <c r="I67" s="555"/>
      <c r="J67" s="555"/>
      <c r="K67" s="555"/>
      <c r="L67" s="552"/>
    </row>
    <row r="68" spans="1:12" s="554" customFormat="1" ht="15.5" x14ac:dyDescent="0.35">
      <c r="A68" s="552"/>
      <c r="B68" s="552"/>
      <c r="C68" s="676"/>
      <c r="D68" s="673"/>
      <c r="E68" s="673"/>
      <c r="F68" s="673"/>
      <c r="G68" s="673"/>
      <c r="H68" s="675"/>
      <c r="I68" s="555"/>
      <c r="J68" s="555"/>
      <c r="K68" s="555"/>
      <c r="L68" s="552"/>
    </row>
    <row r="69" spans="1:12" s="554" customFormat="1" ht="15.5" x14ac:dyDescent="0.35">
      <c r="A69" s="552"/>
      <c r="B69" s="552"/>
      <c r="C69" s="676"/>
      <c r="D69" s="673"/>
      <c r="E69" s="673"/>
      <c r="F69" s="673"/>
      <c r="G69" s="673"/>
      <c r="H69" s="675"/>
      <c r="I69" s="555"/>
      <c r="J69" s="555"/>
      <c r="K69" s="555"/>
      <c r="L69" s="552"/>
    </row>
    <row r="70" spans="1:12" s="554" customFormat="1" ht="15.5" x14ac:dyDescent="0.35">
      <c r="A70" s="552"/>
      <c r="B70" s="552"/>
      <c r="C70" s="676"/>
      <c r="D70" s="673"/>
      <c r="E70" s="673"/>
      <c r="F70" s="673"/>
      <c r="G70" s="673"/>
      <c r="H70" s="675"/>
      <c r="I70" s="555"/>
      <c r="J70" s="555"/>
      <c r="K70" s="555"/>
      <c r="L70" s="552"/>
    </row>
    <row r="71" spans="1:12" s="554" customFormat="1" ht="15.5" x14ac:dyDescent="0.35">
      <c r="A71" s="552"/>
      <c r="B71" s="552"/>
      <c r="C71" s="676"/>
      <c r="D71" s="673"/>
      <c r="E71" s="673"/>
      <c r="F71" s="673"/>
      <c r="G71" s="673"/>
      <c r="H71" s="675"/>
      <c r="I71" s="555"/>
      <c r="J71" s="555"/>
      <c r="K71" s="555"/>
      <c r="L71" s="552"/>
    </row>
    <row r="72" spans="1:12" s="554" customFormat="1" ht="15.5" x14ac:dyDescent="0.35">
      <c r="A72" s="552"/>
      <c r="B72" s="552"/>
      <c r="C72" s="676"/>
      <c r="D72" s="673"/>
      <c r="E72" s="673"/>
      <c r="F72" s="673"/>
      <c r="G72" s="673"/>
      <c r="H72" s="675"/>
      <c r="I72" s="555"/>
      <c r="J72" s="555"/>
      <c r="K72" s="555"/>
      <c r="L72" s="552"/>
    </row>
    <row r="73" spans="1:12" s="554" customFormat="1" ht="15.5" x14ac:dyDescent="0.35">
      <c r="A73" s="552"/>
      <c r="B73" s="552"/>
      <c r="C73" s="676"/>
      <c r="D73" s="673"/>
      <c r="E73" s="673"/>
      <c r="F73" s="673"/>
      <c r="G73" s="673"/>
      <c r="H73" s="675"/>
      <c r="I73" s="555"/>
      <c r="J73" s="555"/>
      <c r="K73" s="555"/>
      <c r="L73" s="552"/>
    </row>
    <row r="74" spans="1:12" s="554" customFormat="1" ht="15.5" x14ac:dyDescent="0.35">
      <c r="A74" s="552"/>
      <c r="B74" s="552"/>
      <c r="C74" s="676"/>
      <c r="D74" s="673"/>
      <c r="E74" s="673"/>
      <c r="F74" s="673"/>
      <c r="G74" s="673"/>
      <c r="H74" s="675"/>
      <c r="I74" s="555"/>
      <c r="J74" s="555"/>
      <c r="K74" s="555"/>
      <c r="L74" s="552"/>
    </row>
    <row r="75" spans="1:12" s="554" customFormat="1" ht="15.5" x14ac:dyDescent="0.35">
      <c r="A75" s="552"/>
      <c r="B75" s="552"/>
      <c r="C75" s="676"/>
      <c r="D75" s="673"/>
      <c r="E75" s="673"/>
      <c r="F75" s="673"/>
      <c r="G75" s="673"/>
      <c r="H75" s="675"/>
      <c r="I75" s="555"/>
      <c r="J75" s="555"/>
      <c r="K75" s="555"/>
      <c r="L75" s="552"/>
    </row>
    <row r="76" spans="1:12" s="554" customFormat="1" ht="15.5" x14ac:dyDescent="0.35">
      <c r="A76" s="552"/>
      <c r="B76" s="552"/>
      <c r="C76" s="676"/>
      <c r="D76" s="673"/>
      <c r="E76" s="673"/>
      <c r="F76" s="673"/>
      <c r="G76" s="673"/>
      <c r="H76" s="675"/>
      <c r="I76" s="558"/>
      <c r="J76" s="555"/>
      <c r="K76" s="555"/>
      <c r="L76" s="552"/>
    </row>
    <row r="77" spans="1:12" s="554" customFormat="1" ht="15.5" x14ac:dyDescent="0.35">
      <c r="A77" s="552"/>
      <c r="B77" s="552"/>
      <c r="C77" s="676"/>
      <c r="D77" s="673"/>
      <c r="E77" s="673"/>
      <c r="F77" s="673"/>
      <c r="G77" s="673"/>
      <c r="H77" s="675"/>
      <c r="I77" s="555"/>
      <c r="J77" s="555"/>
      <c r="K77" s="555"/>
      <c r="L77" s="552"/>
    </row>
    <row r="78" spans="1:12" s="554" customFormat="1" ht="15.5" x14ac:dyDescent="0.35">
      <c r="A78" s="552"/>
      <c r="B78" s="552"/>
      <c r="C78" s="676"/>
      <c r="D78" s="673"/>
      <c r="E78" s="673"/>
      <c r="F78" s="673"/>
      <c r="G78" s="673"/>
      <c r="H78" s="675"/>
      <c r="I78" s="555"/>
      <c r="J78" s="555"/>
      <c r="K78" s="555"/>
      <c r="L78" s="552"/>
    </row>
    <row r="79" spans="1:12" s="554" customFormat="1" ht="15.5" x14ac:dyDescent="0.35">
      <c r="A79" s="552"/>
      <c r="B79" s="552"/>
      <c r="C79" s="676"/>
      <c r="D79" s="673"/>
      <c r="E79" s="673"/>
      <c r="F79" s="673"/>
      <c r="G79" s="673"/>
      <c r="H79" s="675"/>
      <c r="I79" s="555"/>
      <c r="J79" s="555"/>
      <c r="K79" s="555"/>
      <c r="L79" s="552"/>
    </row>
    <row r="80" spans="1:12" s="554" customFormat="1" ht="15.5" x14ac:dyDescent="0.35">
      <c r="A80" s="552"/>
      <c r="B80" s="552"/>
      <c r="C80" s="676"/>
      <c r="D80" s="673"/>
      <c r="E80" s="673"/>
      <c r="F80" s="673"/>
      <c r="G80" s="673"/>
      <c r="H80" s="675"/>
      <c r="I80" s="555"/>
      <c r="J80" s="555"/>
      <c r="K80" s="555"/>
      <c r="L80" s="552"/>
    </row>
    <row r="81" spans="1:12" s="554" customFormat="1" ht="15.5" x14ac:dyDescent="0.35">
      <c r="A81" s="552"/>
      <c r="B81" s="552"/>
      <c r="C81" s="676"/>
      <c r="D81" s="673"/>
      <c r="E81" s="673"/>
      <c r="F81" s="673"/>
      <c r="G81" s="673"/>
      <c r="H81" s="675"/>
      <c r="I81" s="555"/>
      <c r="J81" s="555"/>
      <c r="K81" s="555"/>
      <c r="L81" s="552"/>
    </row>
    <row r="82" spans="1:12" s="554" customFormat="1" ht="15.5" x14ac:dyDescent="0.35">
      <c r="A82" s="552"/>
      <c r="B82" s="552"/>
      <c r="C82" s="676"/>
      <c r="D82" s="673"/>
      <c r="E82" s="673"/>
      <c r="F82" s="673"/>
      <c r="G82" s="673"/>
      <c r="H82" s="675"/>
      <c r="I82" s="555"/>
      <c r="J82" s="555"/>
      <c r="K82" s="555"/>
      <c r="L82" s="552"/>
    </row>
    <row r="83" spans="1:12" s="554" customFormat="1" ht="15.5" x14ac:dyDescent="0.35">
      <c r="A83" s="552"/>
      <c r="B83" s="552"/>
      <c r="C83" s="676"/>
      <c r="D83" s="673"/>
      <c r="E83" s="673"/>
      <c r="F83" s="673"/>
      <c r="G83" s="673"/>
      <c r="H83" s="675"/>
      <c r="I83" s="555"/>
      <c r="J83" s="555"/>
      <c r="K83" s="555"/>
      <c r="L83" s="552"/>
    </row>
    <row r="84" spans="1:12" s="554" customFormat="1" ht="15.5" x14ac:dyDescent="0.35">
      <c r="A84" s="552"/>
      <c r="B84" s="552"/>
      <c r="C84" s="676"/>
      <c r="D84" s="673"/>
      <c r="E84" s="673"/>
      <c r="F84" s="673"/>
      <c r="G84" s="673"/>
      <c r="H84" s="675"/>
      <c r="I84" s="555"/>
      <c r="J84" s="555"/>
      <c r="K84" s="555"/>
      <c r="L84" s="552"/>
    </row>
    <row r="85" spans="1:12" s="554" customFormat="1" ht="15.5" x14ac:dyDescent="0.35">
      <c r="A85" s="552"/>
      <c r="B85" s="552"/>
      <c r="C85" s="676"/>
      <c r="D85" s="673"/>
      <c r="E85" s="673"/>
      <c r="F85" s="673"/>
      <c r="G85" s="673"/>
      <c r="H85" s="675"/>
      <c r="I85" s="555"/>
      <c r="J85" s="555"/>
      <c r="K85" s="555"/>
      <c r="L85" s="552"/>
    </row>
    <row r="86" spans="1:12" s="554" customFormat="1" ht="15.5" x14ac:dyDescent="0.35">
      <c r="A86" s="552"/>
      <c r="B86" s="552"/>
      <c r="C86" s="676"/>
      <c r="D86" s="673"/>
      <c r="E86" s="673"/>
      <c r="F86" s="673"/>
      <c r="G86" s="673"/>
      <c r="H86" s="675"/>
      <c r="I86" s="555"/>
      <c r="J86" s="555"/>
      <c r="K86" s="555"/>
      <c r="L86" s="552"/>
    </row>
    <row r="87" spans="1:12" s="554" customFormat="1" ht="15.5" x14ac:dyDescent="0.35">
      <c r="A87" s="552"/>
      <c r="B87" s="552"/>
      <c r="C87" s="676"/>
      <c r="D87" s="673"/>
      <c r="E87" s="673"/>
      <c r="F87" s="673"/>
      <c r="G87" s="673"/>
      <c r="H87" s="675"/>
      <c r="I87" s="555"/>
      <c r="J87" s="555"/>
      <c r="K87" s="555"/>
      <c r="L87" s="552"/>
    </row>
    <row r="88" spans="1:12" s="554" customFormat="1" ht="15.5" x14ac:dyDescent="0.35">
      <c r="A88" s="552"/>
      <c r="B88" s="552"/>
      <c r="C88" s="676"/>
      <c r="D88" s="673"/>
      <c r="E88" s="673"/>
      <c r="F88" s="673"/>
      <c r="G88" s="673"/>
      <c r="H88" s="675"/>
      <c r="I88" s="555"/>
      <c r="J88" s="555"/>
      <c r="K88" s="555"/>
      <c r="L88" s="552"/>
    </row>
    <row r="89" spans="1:12" s="554" customFormat="1" ht="15.5" x14ac:dyDescent="0.35">
      <c r="A89" s="552"/>
      <c r="B89" s="552"/>
      <c r="C89" s="676"/>
      <c r="D89" s="673"/>
      <c r="E89" s="673"/>
      <c r="F89" s="673"/>
      <c r="G89" s="673"/>
      <c r="H89" s="675"/>
      <c r="I89" s="555"/>
      <c r="J89" s="555"/>
      <c r="K89" s="555"/>
      <c r="L89" s="552"/>
    </row>
    <row r="90" spans="1:12" s="554" customFormat="1" ht="15.5" x14ac:dyDescent="0.35">
      <c r="A90" s="552"/>
      <c r="B90" s="552"/>
      <c r="C90" s="676"/>
      <c r="D90" s="673"/>
      <c r="E90" s="673"/>
      <c r="F90" s="673"/>
      <c r="G90" s="673"/>
      <c r="H90" s="675"/>
      <c r="I90" s="555"/>
      <c r="J90" s="555"/>
      <c r="K90" s="555"/>
      <c r="L90" s="552"/>
    </row>
    <row r="91" spans="1:12" s="554" customFormat="1" ht="15.5" x14ac:dyDescent="0.35">
      <c r="A91" s="552"/>
      <c r="B91" s="552"/>
      <c r="C91" s="676"/>
      <c r="D91" s="673"/>
      <c r="E91" s="673"/>
      <c r="F91" s="673"/>
      <c r="G91" s="673"/>
      <c r="H91" s="675"/>
      <c r="I91" s="555"/>
      <c r="J91" s="555"/>
      <c r="K91" s="555"/>
      <c r="L91" s="552"/>
    </row>
    <row r="92" spans="1:12" s="554" customFormat="1" ht="15.5" x14ac:dyDescent="0.35">
      <c r="A92" s="552"/>
      <c r="B92" s="552"/>
      <c r="C92" s="676"/>
      <c r="D92" s="673"/>
      <c r="E92" s="673"/>
      <c r="F92" s="673"/>
      <c r="G92" s="673"/>
      <c r="H92" s="675"/>
      <c r="I92" s="555"/>
      <c r="J92" s="555"/>
      <c r="K92" s="555"/>
      <c r="L92" s="552"/>
    </row>
    <row r="93" spans="1:12" s="554" customFormat="1" ht="15.5" x14ac:dyDescent="0.35">
      <c r="A93" s="552"/>
      <c r="B93" s="552"/>
      <c r="C93" s="676"/>
      <c r="D93" s="673"/>
      <c r="E93" s="673"/>
      <c r="F93" s="673"/>
      <c r="G93" s="673"/>
      <c r="H93" s="675"/>
      <c r="I93" s="555"/>
      <c r="J93" s="555"/>
      <c r="K93" s="555"/>
      <c r="L93" s="552"/>
    </row>
    <row r="94" spans="1:12" s="554" customFormat="1" ht="15.5" x14ac:dyDescent="0.35">
      <c r="A94" s="552"/>
      <c r="B94" s="552"/>
      <c r="C94" s="676"/>
      <c r="D94" s="673"/>
      <c r="E94" s="673"/>
      <c r="F94" s="673"/>
      <c r="G94" s="673"/>
      <c r="H94" s="675"/>
      <c r="I94" s="555"/>
      <c r="J94" s="555"/>
      <c r="K94" s="555"/>
      <c r="L94" s="552"/>
    </row>
    <row r="95" spans="1:12" s="554" customFormat="1" ht="15.5" x14ac:dyDescent="0.35">
      <c r="A95" s="552"/>
      <c r="B95" s="552"/>
      <c r="C95" s="676"/>
      <c r="D95" s="673"/>
      <c r="E95" s="673"/>
      <c r="F95" s="673"/>
      <c r="G95" s="673"/>
      <c r="H95" s="675"/>
      <c r="I95" s="555"/>
      <c r="J95" s="555"/>
      <c r="K95" s="555"/>
      <c r="L95" s="552"/>
    </row>
    <row r="96" spans="1:12" s="554" customFormat="1" ht="15.5" x14ac:dyDescent="0.35">
      <c r="A96" s="552"/>
      <c r="B96" s="552"/>
      <c r="C96" s="676"/>
      <c r="D96" s="673"/>
      <c r="E96" s="673"/>
      <c r="F96" s="673"/>
      <c r="G96" s="673"/>
      <c r="H96" s="675"/>
      <c r="I96" s="555"/>
      <c r="J96" s="555"/>
      <c r="K96" s="555"/>
      <c r="L96" s="552"/>
    </row>
    <row r="97" spans="1:12" s="554" customFormat="1" ht="15.5" x14ac:dyDescent="0.35">
      <c r="A97" s="552"/>
      <c r="B97" s="552"/>
      <c r="C97" s="676"/>
      <c r="D97" s="673"/>
      <c r="E97" s="673"/>
      <c r="F97" s="673"/>
      <c r="G97" s="673"/>
      <c r="H97" s="675"/>
      <c r="I97" s="555"/>
      <c r="J97" s="555"/>
      <c r="K97" s="555"/>
      <c r="L97" s="552"/>
    </row>
    <row r="98" spans="1:12" s="554" customFormat="1" ht="15.5" x14ac:dyDescent="0.35">
      <c r="A98" s="552"/>
      <c r="B98" s="552"/>
      <c r="C98" s="676"/>
      <c r="D98" s="673"/>
      <c r="E98" s="673"/>
      <c r="F98" s="673"/>
      <c r="G98" s="673"/>
      <c r="H98" s="675"/>
      <c r="I98" s="555"/>
      <c r="J98" s="555"/>
      <c r="K98" s="555"/>
      <c r="L98" s="552"/>
    </row>
    <row r="99" spans="1:12" s="554" customFormat="1" ht="15.5" x14ac:dyDescent="0.35">
      <c r="A99" s="552"/>
      <c r="B99" s="552"/>
      <c r="C99" s="676"/>
      <c r="D99" s="673"/>
      <c r="E99" s="673"/>
      <c r="F99" s="673"/>
      <c r="G99" s="673"/>
      <c r="H99" s="675"/>
      <c r="I99" s="555"/>
      <c r="J99" s="555"/>
      <c r="K99" s="555"/>
      <c r="L99" s="552"/>
    </row>
    <row r="100" spans="1:12" s="554" customFormat="1" ht="15.5" x14ac:dyDescent="0.35">
      <c r="A100" s="552"/>
      <c r="B100" s="552"/>
      <c r="C100" s="676"/>
      <c r="D100" s="673"/>
      <c r="E100" s="673"/>
      <c r="F100" s="673"/>
      <c r="G100" s="673"/>
      <c r="H100" s="675"/>
      <c r="I100" s="555"/>
      <c r="J100" s="555"/>
      <c r="K100" s="555"/>
      <c r="L100" s="552"/>
    </row>
    <row r="101" spans="1:12" s="554" customFormat="1" ht="15.5" x14ac:dyDescent="0.35">
      <c r="A101" s="552"/>
      <c r="B101" s="552"/>
      <c r="C101" s="676"/>
      <c r="D101" s="673"/>
      <c r="E101" s="673"/>
      <c r="F101" s="673"/>
      <c r="G101" s="673"/>
      <c r="H101" s="675"/>
      <c r="I101" s="555"/>
      <c r="J101" s="555"/>
      <c r="K101" s="555"/>
      <c r="L101" s="552"/>
    </row>
    <row r="102" spans="1:12" s="554" customFormat="1" ht="15.5" x14ac:dyDescent="0.35">
      <c r="A102" s="552"/>
      <c r="B102" s="552"/>
      <c r="C102" s="676"/>
      <c r="D102" s="673"/>
      <c r="E102" s="673"/>
      <c r="F102" s="673"/>
      <c r="G102" s="673"/>
      <c r="H102" s="675"/>
      <c r="I102" s="555"/>
      <c r="J102" s="555"/>
      <c r="K102" s="555"/>
      <c r="L102" s="552"/>
    </row>
    <row r="103" spans="1:12" s="554" customFormat="1" ht="15.5" x14ac:dyDescent="0.35">
      <c r="A103" s="552"/>
      <c r="B103" s="552"/>
      <c r="C103" s="676"/>
      <c r="D103" s="673"/>
      <c r="E103" s="673"/>
      <c r="F103" s="673"/>
      <c r="G103" s="673"/>
      <c r="H103" s="675"/>
      <c r="I103" s="555"/>
      <c r="J103" s="555"/>
      <c r="K103" s="555"/>
      <c r="L103" s="552"/>
    </row>
    <row r="104" spans="1:12" s="554" customFormat="1" ht="15.5" x14ac:dyDescent="0.35">
      <c r="A104" s="552"/>
      <c r="B104" s="552"/>
      <c r="C104" s="676"/>
      <c r="D104" s="673"/>
      <c r="E104" s="673"/>
      <c r="F104" s="673"/>
      <c r="G104" s="673"/>
      <c r="H104" s="675"/>
      <c r="I104" s="555"/>
      <c r="J104" s="555"/>
      <c r="K104" s="555"/>
      <c r="L104" s="552"/>
    </row>
    <row r="105" spans="1:12" s="554" customFormat="1" ht="15.5" x14ac:dyDescent="0.35">
      <c r="A105" s="552"/>
      <c r="B105" s="552"/>
      <c r="C105" s="676"/>
      <c r="D105" s="673"/>
      <c r="E105" s="673"/>
      <c r="F105" s="673"/>
      <c r="G105" s="673"/>
      <c r="H105" s="675"/>
      <c r="I105" s="555"/>
      <c r="J105" s="555"/>
      <c r="K105" s="555"/>
      <c r="L105" s="552"/>
    </row>
    <row r="106" spans="1:12" s="554" customFormat="1" ht="15.5" x14ac:dyDescent="0.35">
      <c r="A106" s="552"/>
      <c r="B106" s="552"/>
      <c r="C106" s="676"/>
      <c r="D106" s="673"/>
      <c r="E106" s="673"/>
      <c r="F106" s="673"/>
      <c r="G106" s="673"/>
      <c r="H106" s="675"/>
      <c r="I106" s="555"/>
      <c r="J106" s="555"/>
      <c r="K106" s="555"/>
      <c r="L106" s="552"/>
    </row>
    <row r="107" spans="1:12" s="554" customFormat="1" ht="15.5" x14ac:dyDescent="0.35">
      <c r="A107" s="552"/>
      <c r="B107" s="552"/>
      <c r="C107" s="676"/>
      <c r="D107" s="673"/>
      <c r="E107" s="673"/>
      <c r="F107" s="673"/>
      <c r="G107" s="673"/>
      <c r="H107" s="675"/>
      <c r="I107" s="555"/>
      <c r="J107" s="555"/>
      <c r="K107" s="555"/>
      <c r="L107" s="552"/>
    </row>
    <row r="108" spans="1:12" s="554" customFormat="1" ht="15.5" x14ac:dyDescent="0.35">
      <c r="A108" s="552"/>
      <c r="B108" s="552"/>
      <c r="C108" s="676"/>
      <c r="D108" s="673"/>
      <c r="E108" s="673"/>
      <c r="F108" s="673"/>
      <c r="G108" s="673"/>
      <c r="H108" s="675"/>
      <c r="I108" s="555"/>
      <c r="J108" s="555"/>
      <c r="K108" s="555"/>
      <c r="L108" s="552"/>
    </row>
    <row r="109" spans="1:12" s="554" customFormat="1" ht="15.5" x14ac:dyDescent="0.35">
      <c r="A109" s="552"/>
      <c r="B109" s="552"/>
      <c r="C109" s="676"/>
      <c r="D109" s="673"/>
      <c r="E109" s="673"/>
      <c r="F109" s="673"/>
      <c r="G109" s="673"/>
      <c r="H109" s="675"/>
      <c r="I109" s="555"/>
      <c r="J109" s="555"/>
      <c r="K109" s="555"/>
      <c r="L109" s="552"/>
    </row>
    <row r="110" spans="1:12" s="554" customFormat="1" ht="15.5" x14ac:dyDescent="0.35">
      <c r="A110" s="552"/>
      <c r="B110" s="552"/>
      <c r="C110" s="676"/>
      <c r="D110" s="673"/>
      <c r="E110" s="673"/>
      <c r="F110" s="673"/>
      <c r="G110" s="673"/>
      <c r="H110" s="675"/>
      <c r="I110" s="555"/>
      <c r="J110" s="555"/>
      <c r="K110" s="555"/>
      <c r="L110" s="552"/>
    </row>
    <row r="111" spans="1:12" s="554" customFormat="1" ht="15.5" x14ac:dyDescent="0.35">
      <c r="A111" s="552"/>
      <c r="B111" s="552"/>
      <c r="C111" s="676"/>
      <c r="D111" s="673"/>
      <c r="E111" s="673"/>
      <c r="F111" s="673"/>
      <c r="G111" s="673"/>
      <c r="H111" s="675"/>
      <c r="I111" s="555"/>
      <c r="J111" s="555"/>
      <c r="K111" s="555"/>
      <c r="L111" s="552"/>
    </row>
    <row r="112" spans="1:12" s="554" customFormat="1" ht="15.5" x14ac:dyDescent="0.35">
      <c r="A112" s="552"/>
      <c r="B112" s="552"/>
      <c r="C112" s="676"/>
      <c r="D112" s="673"/>
      <c r="E112" s="673"/>
      <c r="F112" s="673"/>
      <c r="G112" s="673"/>
      <c r="H112" s="675"/>
      <c r="I112" s="555"/>
      <c r="J112" s="555"/>
      <c r="K112" s="555"/>
      <c r="L112" s="552"/>
    </row>
    <row r="113" spans="1:12" s="554" customFormat="1" ht="15.5" x14ac:dyDescent="0.35">
      <c r="A113" s="552"/>
      <c r="B113" s="552"/>
      <c r="C113" s="676"/>
      <c r="D113" s="673"/>
      <c r="E113" s="673"/>
      <c r="F113" s="673"/>
      <c r="G113" s="673"/>
      <c r="H113" s="675"/>
      <c r="I113" s="555"/>
      <c r="J113" s="555"/>
      <c r="K113" s="555"/>
      <c r="L113" s="552"/>
    </row>
    <row r="114" spans="1:12" s="554" customFormat="1" ht="15.5" x14ac:dyDescent="0.35">
      <c r="A114" s="552"/>
      <c r="B114" s="552"/>
      <c r="C114" s="676"/>
      <c r="D114" s="673"/>
      <c r="E114" s="673"/>
      <c r="F114" s="673"/>
      <c r="G114" s="673"/>
      <c r="H114" s="675"/>
      <c r="I114" s="555"/>
      <c r="J114" s="555"/>
      <c r="K114" s="555"/>
      <c r="L114" s="552"/>
    </row>
    <row r="115" spans="1:12" s="554" customFormat="1" ht="15.5" x14ac:dyDescent="0.35">
      <c r="A115" s="552"/>
      <c r="B115" s="552"/>
      <c r="C115" s="676"/>
      <c r="D115" s="673"/>
      <c r="E115" s="673"/>
      <c r="F115" s="673"/>
      <c r="G115" s="673"/>
      <c r="H115" s="675"/>
      <c r="I115" s="555"/>
      <c r="J115" s="555"/>
      <c r="K115" s="555"/>
      <c r="L115" s="552"/>
    </row>
    <row r="116" spans="1:12" s="554" customFormat="1" ht="15.5" x14ac:dyDescent="0.35">
      <c r="A116" s="552"/>
      <c r="B116" s="552"/>
      <c r="C116" s="676"/>
      <c r="D116" s="673"/>
      <c r="E116" s="673"/>
      <c r="F116" s="673"/>
      <c r="G116" s="673"/>
      <c r="H116" s="675"/>
      <c r="I116" s="555"/>
      <c r="J116" s="555"/>
      <c r="K116" s="555"/>
      <c r="L116" s="552"/>
    </row>
    <row r="117" spans="1:12" s="554" customFormat="1" ht="15.5" x14ac:dyDescent="0.35">
      <c r="A117" s="552"/>
      <c r="B117" s="552"/>
      <c r="C117" s="676"/>
      <c r="D117" s="673"/>
      <c r="E117" s="673"/>
      <c r="F117" s="673"/>
      <c r="G117" s="673"/>
      <c r="H117" s="675"/>
      <c r="I117" s="555"/>
      <c r="J117" s="555"/>
      <c r="K117" s="555"/>
      <c r="L117" s="552"/>
    </row>
    <row r="118" spans="1:12" s="554" customFormat="1" ht="15.5" x14ac:dyDescent="0.35">
      <c r="A118" s="552"/>
      <c r="B118" s="552"/>
      <c r="C118" s="676"/>
      <c r="D118" s="673"/>
      <c r="E118" s="673"/>
      <c r="F118" s="673"/>
      <c r="G118" s="673"/>
      <c r="H118" s="675"/>
      <c r="I118" s="555"/>
      <c r="J118" s="555"/>
      <c r="K118" s="555"/>
      <c r="L118" s="552"/>
    </row>
    <row r="119" spans="1:12" s="554" customFormat="1" ht="15.5" x14ac:dyDescent="0.35">
      <c r="A119" s="552"/>
      <c r="B119" s="552"/>
      <c r="C119" s="676"/>
      <c r="D119" s="673"/>
      <c r="E119" s="673"/>
      <c r="F119" s="673"/>
      <c r="G119" s="673"/>
      <c r="H119" s="675"/>
      <c r="I119" s="555"/>
      <c r="J119" s="555"/>
      <c r="K119" s="555"/>
      <c r="L119" s="552"/>
    </row>
    <row r="120" spans="1:12" s="554" customFormat="1" ht="15.5" x14ac:dyDescent="0.35">
      <c r="A120" s="552"/>
      <c r="B120" s="552"/>
      <c r="C120" s="676"/>
      <c r="D120" s="673"/>
      <c r="E120" s="673"/>
      <c r="F120" s="673"/>
      <c r="G120" s="673"/>
      <c r="H120" s="675"/>
      <c r="I120" s="555"/>
      <c r="J120" s="555"/>
      <c r="K120" s="555"/>
      <c r="L120" s="552"/>
    </row>
    <row r="121" spans="1:12" s="554" customFormat="1" ht="15.5" x14ac:dyDescent="0.35">
      <c r="A121" s="552"/>
      <c r="B121" s="552"/>
      <c r="C121" s="676"/>
      <c r="D121" s="673"/>
      <c r="E121" s="673"/>
      <c r="F121" s="673"/>
      <c r="G121" s="673"/>
      <c r="H121" s="675"/>
      <c r="I121" s="555"/>
      <c r="J121" s="555"/>
      <c r="K121" s="555"/>
      <c r="L121" s="552"/>
    </row>
    <row r="122" spans="1:12" s="554" customFormat="1" ht="15.5" x14ac:dyDescent="0.35">
      <c r="A122" s="552"/>
      <c r="B122" s="552"/>
      <c r="C122" s="676"/>
      <c r="D122" s="673"/>
      <c r="E122" s="673"/>
      <c r="F122" s="673"/>
      <c r="G122" s="673"/>
      <c r="H122" s="675"/>
      <c r="I122" s="555"/>
      <c r="J122" s="555"/>
      <c r="K122" s="555"/>
      <c r="L122" s="552"/>
    </row>
    <row r="123" spans="1:12" s="554" customFormat="1" ht="15.5" x14ac:dyDescent="0.35">
      <c r="A123" s="552"/>
      <c r="B123" s="552"/>
      <c r="C123" s="676"/>
      <c r="D123" s="673"/>
      <c r="E123" s="673"/>
      <c r="F123" s="673"/>
      <c r="G123" s="673"/>
      <c r="H123" s="675"/>
      <c r="I123" s="555"/>
      <c r="J123" s="555"/>
      <c r="K123" s="555"/>
      <c r="L123" s="552"/>
    </row>
    <row r="124" spans="1:12" s="554" customFormat="1" ht="15.5" x14ac:dyDescent="0.35">
      <c r="A124" s="552"/>
      <c r="B124" s="552"/>
      <c r="C124" s="676"/>
      <c r="D124" s="673"/>
      <c r="E124" s="673"/>
      <c r="F124" s="673"/>
      <c r="G124" s="673"/>
      <c r="H124" s="675"/>
      <c r="I124" s="555"/>
      <c r="J124" s="555"/>
      <c r="K124" s="555"/>
      <c r="L124" s="552"/>
    </row>
    <row r="125" spans="1:12" s="554" customFormat="1" ht="15.5" x14ac:dyDescent="0.35">
      <c r="A125" s="552"/>
      <c r="B125" s="552"/>
      <c r="C125" s="676"/>
      <c r="D125" s="673"/>
      <c r="E125" s="673"/>
      <c r="F125" s="673"/>
      <c r="G125" s="673"/>
      <c r="H125" s="675"/>
      <c r="I125" s="555"/>
      <c r="J125" s="555"/>
      <c r="K125" s="555"/>
      <c r="L125" s="552"/>
    </row>
    <row r="126" spans="1:12" s="554" customFormat="1" ht="15.5" x14ac:dyDescent="0.35">
      <c r="A126" s="552"/>
      <c r="B126" s="552"/>
      <c r="C126" s="676"/>
      <c r="D126" s="673"/>
      <c r="E126" s="673"/>
      <c r="F126" s="673"/>
      <c r="G126" s="673"/>
      <c r="H126" s="675"/>
      <c r="I126" s="555"/>
      <c r="J126" s="555"/>
      <c r="K126" s="555"/>
      <c r="L126" s="552"/>
    </row>
    <row r="127" spans="1:12" s="554" customFormat="1" ht="15.5" x14ac:dyDescent="0.35">
      <c r="A127" s="552"/>
      <c r="B127" s="552"/>
      <c r="C127" s="676"/>
      <c r="D127" s="673"/>
      <c r="E127" s="673"/>
      <c r="F127" s="673"/>
      <c r="G127" s="673"/>
      <c r="H127" s="675"/>
      <c r="I127" s="555"/>
      <c r="J127" s="555"/>
      <c r="K127" s="555"/>
      <c r="L127" s="552"/>
    </row>
    <row r="128" spans="1:12" s="554" customFormat="1" ht="15.5" x14ac:dyDescent="0.35">
      <c r="A128" s="552"/>
      <c r="B128" s="552"/>
      <c r="C128" s="676"/>
      <c r="D128" s="673"/>
      <c r="E128" s="673"/>
      <c r="F128" s="673"/>
      <c r="G128" s="673"/>
      <c r="H128" s="675"/>
      <c r="I128" s="555"/>
      <c r="J128" s="555"/>
      <c r="K128" s="555"/>
      <c r="L128" s="552"/>
    </row>
    <row r="129" spans="1:12" s="554" customFormat="1" ht="15.5" x14ac:dyDescent="0.35">
      <c r="A129" s="552"/>
      <c r="B129" s="552"/>
      <c r="C129" s="676"/>
      <c r="D129" s="673"/>
      <c r="E129" s="673"/>
      <c r="F129" s="673"/>
      <c r="G129" s="673"/>
      <c r="H129" s="675"/>
      <c r="I129" s="555"/>
      <c r="J129" s="555"/>
      <c r="K129" s="555"/>
      <c r="L129" s="552"/>
    </row>
    <row r="130" spans="1:12" s="554" customFormat="1" ht="15.5" x14ac:dyDescent="0.35">
      <c r="A130" s="552"/>
      <c r="B130" s="552"/>
      <c r="C130" s="676"/>
      <c r="D130" s="673"/>
      <c r="E130" s="673"/>
      <c r="F130" s="673"/>
      <c r="G130" s="673"/>
      <c r="H130" s="675"/>
      <c r="I130" s="555"/>
      <c r="J130" s="555"/>
      <c r="K130" s="555"/>
      <c r="L130" s="552"/>
    </row>
    <row r="131" spans="1:12" s="554" customFormat="1" ht="15.5" x14ac:dyDescent="0.35">
      <c r="A131" s="552"/>
      <c r="B131" s="552"/>
      <c r="C131" s="676"/>
      <c r="D131" s="673"/>
      <c r="E131" s="673"/>
      <c r="F131" s="673"/>
      <c r="G131" s="673"/>
      <c r="H131" s="675"/>
      <c r="I131" s="555"/>
      <c r="J131" s="555"/>
      <c r="K131" s="555"/>
      <c r="L131" s="552"/>
    </row>
    <row r="132" spans="1:12" s="554" customFormat="1" ht="15.5" x14ac:dyDescent="0.35">
      <c r="A132" s="552"/>
      <c r="B132" s="552"/>
      <c r="C132" s="676"/>
      <c r="D132" s="673"/>
      <c r="E132" s="673"/>
      <c r="F132" s="673"/>
      <c r="G132" s="673"/>
      <c r="H132" s="675"/>
      <c r="I132" s="555"/>
      <c r="J132" s="555"/>
      <c r="K132" s="555"/>
      <c r="L132" s="552"/>
    </row>
    <row r="133" spans="1:12" s="554" customFormat="1" ht="15.5" x14ac:dyDescent="0.35">
      <c r="A133" s="552"/>
      <c r="B133" s="552"/>
      <c r="C133" s="676"/>
      <c r="D133" s="673"/>
      <c r="E133" s="673"/>
      <c r="F133" s="673"/>
      <c r="G133" s="673"/>
      <c r="H133" s="675"/>
      <c r="I133" s="555"/>
      <c r="J133" s="555"/>
      <c r="K133" s="555"/>
      <c r="L133" s="552"/>
    </row>
    <row r="134" spans="1:12" s="554" customFormat="1" ht="15.5" x14ac:dyDescent="0.35">
      <c r="A134" s="552"/>
      <c r="B134" s="552"/>
      <c r="C134" s="676"/>
      <c r="D134" s="673"/>
      <c r="E134" s="673"/>
      <c r="F134" s="673"/>
      <c r="G134" s="673"/>
      <c r="H134" s="675"/>
      <c r="I134" s="555"/>
      <c r="J134" s="555"/>
      <c r="K134" s="555"/>
      <c r="L134" s="552"/>
    </row>
    <row r="135" spans="1:12" s="554" customFormat="1" ht="15.5" x14ac:dyDescent="0.35">
      <c r="A135" s="552"/>
      <c r="B135" s="552"/>
      <c r="C135" s="676"/>
      <c r="D135" s="673"/>
      <c r="E135" s="673"/>
      <c r="F135" s="673"/>
      <c r="G135" s="673"/>
      <c r="H135" s="675"/>
      <c r="I135" s="555"/>
      <c r="J135" s="555"/>
      <c r="K135" s="555"/>
      <c r="L135" s="552"/>
    </row>
    <row r="136" spans="1:12" s="554" customFormat="1" ht="15.5" x14ac:dyDescent="0.35">
      <c r="A136" s="552"/>
      <c r="B136" s="552"/>
      <c r="C136" s="676"/>
      <c r="D136" s="673"/>
      <c r="E136" s="673"/>
      <c r="F136" s="673"/>
      <c r="G136" s="673"/>
      <c r="H136" s="675"/>
      <c r="I136" s="555"/>
      <c r="J136" s="555"/>
      <c r="K136" s="555"/>
      <c r="L136" s="552"/>
    </row>
    <row r="137" spans="1:12" s="554" customFormat="1" ht="15.5" x14ac:dyDescent="0.35">
      <c r="A137" s="552"/>
      <c r="B137" s="552"/>
      <c r="C137" s="676"/>
      <c r="D137" s="673"/>
      <c r="E137" s="673"/>
      <c r="F137" s="673"/>
      <c r="G137" s="673"/>
      <c r="H137" s="675"/>
      <c r="I137" s="555"/>
      <c r="J137" s="555"/>
      <c r="K137" s="555"/>
      <c r="L137" s="552"/>
    </row>
    <row r="138" spans="1:12" s="554" customFormat="1" ht="15.5" x14ac:dyDescent="0.35">
      <c r="A138" s="552"/>
      <c r="B138" s="552"/>
      <c r="C138" s="676"/>
      <c r="D138" s="673"/>
      <c r="E138" s="673"/>
      <c r="F138" s="673"/>
      <c r="G138" s="673"/>
      <c r="H138" s="675"/>
      <c r="I138" s="555"/>
      <c r="J138" s="555"/>
      <c r="K138" s="555"/>
      <c r="L138" s="552"/>
    </row>
    <row r="139" spans="1:12" s="554" customFormat="1" ht="15.5" x14ac:dyDescent="0.35">
      <c r="A139" s="552"/>
      <c r="B139" s="552"/>
      <c r="C139" s="676"/>
      <c r="D139" s="673"/>
      <c r="E139" s="673"/>
      <c r="F139" s="673"/>
      <c r="G139" s="673"/>
      <c r="H139" s="675"/>
      <c r="I139" s="555"/>
      <c r="J139" s="555"/>
      <c r="K139" s="555"/>
      <c r="L139" s="552"/>
    </row>
    <row r="140" spans="1:12" s="554" customFormat="1" ht="15.5" x14ac:dyDescent="0.35">
      <c r="A140" s="552"/>
      <c r="B140" s="552"/>
      <c r="C140" s="676"/>
      <c r="D140" s="673"/>
      <c r="E140" s="673"/>
      <c r="F140" s="673"/>
      <c r="G140" s="673"/>
      <c r="H140" s="675"/>
      <c r="I140" s="555"/>
      <c r="J140" s="555"/>
      <c r="K140" s="555"/>
      <c r="L140" s="552"/>
    </row>
    <row r="141" spans="1:12" s="554" customFormat="1" ht="15.5" x14ac:dyDescent="0.35">
      <c r="A141" s="552"/>
      <c r="B141" s="552"/>
      <c r="C141" s="676"/>
      <c r="D141" s="673"/>
      <c r="E141" s="673"/>
      <c r="F141" s="673"/>
      <c r="G141" s="673"/>
      <c r="H141" s="675"/>
      <c r="I141" s="555"/>
      <c r="J141" s="555"/>
      <c r="K141" s="555"/>
      <c r="L141" s="552"/>
    </row>
    <row r="142" spans="1:12" s="554" customFormat="1" ht="15.5" x14ac:dyDescent="0.35">
      <c r="A142" s="552"/>
      <c r="B142" s="552"/>
      <c r="C142" s="676"/>
      <c r="D142" s="673"/>
      <c r="E142" s="673"/>
      <c r="F142" s="673"/>
      <c r="G142" s="673"/>
      <c r="H142" s="675"/>
      <c r="I142" s="555"/>
      <c r="J142" s="555"/>
      <c r="K142" s="555"/>
      <c r="L142" s="552"/>
    </row>
    <row r="143" spans="1:12" s="554" customFormat="1" ht="15.5" x14ac:dyDescent="0.35">
      <c r="A143" s="552"/>
      <c r="B143" s="552"/>
      <c r="C143" s="676"/>
      <c r="D143" s="673"/>
      <c r="E143" s="673"/>
      <c r="F143" s="673"/>
      <c r="G143" s="673"/>
      <c r="H143" s="675"/>
      <c r="I143" s="555"/>
      <c r="J143" s="555"/>
      <c r="K143" s="555"/>
      <c r="L143" s="552"/>
    </row>
    <row r="144" spans="1:12" s="554" customFormat="1" ht="15.5" x14ac:dyDescent="0.35">
      <c r="A144" s="552"/>
      <c r="B144" s="552"/>
      <c r="C144" s="676"/>
      <c r="D144" s="673"/>
      <c r="E144" s="673"/>
      <c r="F144" s="673"/>
      <c r="G144" s="673"/>
      <c r="H144" s="675"/>
      <c r="I144" s="555"/>
      <c r="J144" s="555"/>
      <c r="K144" s="555"/>
      <c r="L144" s="552"/>
    </row>
    <row r="145" spans="1:12" s="554" customFormat="1" ht="15.5" x14ac:dyDescent="0.35">
      <c r="A145" s="552"/>
      <c r="B145" s="552"/>
      <c r="C145" s="676"/>
      <c r="D145" s="673"/>
      <c r="E145" s="673"/>
      <c r="F145" s="673"/>
      <c r="G145" s="673"/>
      <c r="H145" s="675"/>
      <c r="I145" s="555"/>
      <c r="J145" s="555"/>
      <c r="K145" s="555"/>
      <c r="L145" s="552"/>
    </row>
    <row r="146" spans="1:12" s="554" customFormat="1" ht="15.5" x14ac:dyDescent="0.35">
      <c r="A146" s="552"/>
      <c r="B146" s="552"/>
      <c r="C146" s="676"/>
      <c r="D146" s="673"/>
      <c r="E146" s="673"/>
      <c r="F146" s="673"/>
      <c r="G146" s="673"/>
      <c r="H146" s="675"/>
      <c r="I146" s="555"/>
      <c r="J146" s="555"/>
      <c r="K146" s="555"/>
      <c r="L146" s="552"/>
    </row>
    <row r="147" spans="1:12" s="554" customFormat="1" ht="15.5" x14ac:dyDescent="0.35">
      <c r="A147" s="552"/>
      <c r="B147" s="552"/>
      <c r="C147" s="676"/>
      <c r="D147" s="673"/>
      <c r="E147" s="673"/>
      <c r="F147" s="673"/>
      <c r="G147" s="673"/>
      <c r="H147" s="675"/>
      <c r="I147" s="555"/>
      <c r="J147" s="555"/>
      <c r="K147" s="555"/>
      <c r="L147" s="552"/>
    </row>
    <row r="148" spans="1:12" s="554" customFormat="1" ht="15.5" x14ac:dyDescent="0.35">
      <c r="A148" s="552"/>
      <c r="B148" s="552"/>
      <c r="C148" s="676"/>
      <c r="D148" s="673"/>
      <c r="E148" s="673"/>
      <c r="F148" s="673"/>
      <c r="G148" s="673"/>
      <c r="H148" s="675"/>
      <c r="I148" s="555"/>
      <c r="J148" s="555"/>
      <c r="K148" s="555"/>
      <c r="L148" s="552"/>
    </row>
    <row r="149" spans="1:12" s="554" customFormat="1" ht="15.5" x14ac:dyDescent="0.35">
      <c r="A149" s="552"/>
      <c r="B149" s="552"/>
      <c r="C149" s="676"/>
      <c r="D149" s="673"/>
      <c r="E149" s="673"/>
      <c r="F149" s="673"/>
      <c r="G149" s="673"/>
      <c r="H149" s="675"/>
      <c r="I149" s="555"/>
      <c r="J149" s="555"/>
      <c r="K149" s="555"/>
      <c r="L149" s="552"/>
    </row>
    <row r="150" spans="1:12" s="554" customFormat="1" ht="15.5" x14ac:dyDescent="0.35">
      <c r="A150" s="552"/>
      <c r="B150" s="552"/>
      <c r="C150" s="676"/>
      <c r="D150" s="673"/>
      <c r="E150" s="673"/>
      <c r="F150" s="673"/>
      <c r="G150" s="673"/>
      <c r="H150" s="675"/>
      <c r="I150" s="555"/>
      <c r="J150" s="555"/>
      <c r="K150" s="555"/>
      <c r="L150" s="552"/>
    </row>
    <row r="151" spans="1:12" s="554" customFormat="1" ht="15.5" x14ac:dyDescent="0.35">
      <c r="A151" s="552"/>
      <c r="B151" s="552"/>
      <c r="C151" s="676"/>
      <c r="D151" s="673"/>
      <c r="E151" s="673"/>
      <c r="F151" s="673"/>
      <c r="G151" s="673"/>
      <c r="H151" s="675"/>
      <c r="I151" s="555"/>
      <c r="J151" s="555"/>
      <c r="K151" s="555"/>
      <c r="L151" s="552"/>
    </row>
    <row r="152" spans="1:12" s="554" customFormat="1" ht="15.5" x14ac:dyDescent="0.35">
      <c r="A152" s="552"/>
      <c r="B152" s="552"/>
      <c r="C152" s="676"/>
      <c r="D152" s="673"/>
      <c r="E152" s="673"/>
      <c r="F152" s="673"/>
      <c r="G152" s="673"/>
      <c r="H152" s="675"/>
      <c r="I152" s="555"/>
      <c r="J152" s="555"/>
      <c r="K152" s="555"/>
      <c r="L152" s="552"/>
    </row>
    <row r="153" spans="1:12" s="554" customFormat="1" ht="15.5" x14ac:dyDescent="0.35">
      <c r="A153" s="552"/>
      <c r="B153" s="552"/>
      <c r="C153" s="676"/>
      <c r="D153" s="673"/>
      <c r="E153" s="673"/>
      <c r="F153" s="673"/>
      <c r="G153" s="673"/>
      <c r="H153" s="675"/>
      <c r="I153" s="555"/>
      <c r="J153" s="555"/>
      <c r="K153" s="555"/>
      <c r="L153" s="552"/>
    </row>
    <row r="154" spans="1:12" s="554" customFormat="1" ht="15.5" x14ac:dyDescent="0.35">
      <c r="A154" s="552"/>
      <c r="B154" s="552"/>
      <c r="C154" s="676"/>
      <c r="D154" s="673"/>
      <c r="E154" s="673"/>
      <c r="F154" s="673"/>
      <c r="G154" s="673"/>
      <c r="H154" s="675"/>
      <c r="I154" s="555"/>
      <c r="J154" s="555"/>
      <c r="K154" s="555"/>
      <c r="L154" s="552"/>
    </row>
    <row r="155" spans="1:12" s="554" customFormat="1" ht="15.5" x14ac:dyDescent="0.35">
      <c r="A155" s="552"/>
      <c r="B155" s="552"/>
      <c r="C155" s="676"/>
      <c r="D155" s="673"/>
      <c r="E155" s="673"/>
      <c r="F155" s="673"/>
      <c r="G155" s="673"/>
      <c r="H155" s="675"/>
      <c r="I155" s="555"/>
      <c r="J155" s="555"/>
      <c r="K155" s="555"/>
      <c r="L155" s="552"/>
    </row>
    <row r="156" spans="1:12" s="554" customFormat="1" ht="15.5" x14ac:dyDescent="0.35">
      <c r="A156" s="552"/>
      <c r="B156" s="552"/>
      <c r="C156" s="676"/>
      <c r="D156" s="673"/>
      <c r="E156" s="673"/>
      <c r="F156" s="673"/>
      <c r="G156" s="673"/>
      <c r="H156" s="675"/>
      <c r="I156" s="555"/>
      <c r="J156" s="555"/>
      <c r="K156" s="555"/>
      <c r="L156" s="552"/>
    </row>
    <row r="157" spans="1:12" s="554" customFormat="1" ht="15.5" x14ac:dyDescent="0.35">
      <c r="A157" s="552"/>
      <c r="B157" s="552"/>
      <c r="C157" s="676"/>
      <c r="D157" s="673"/>
      <c r="E157" s="673"/>
      <c r="F157" s="673"/>
      <c r="G157" s="673"/>
      <c r="H157" s="675"/>
      <c r="I157" s="555"/>
      <c r="J157" s="555"/>
      <c r="K157" s="555"/>
      <c r="L157" s="552"/>
    </row>
    <row r="158" spans="1:12" s="554" customFormat="1" ht="15.5" x14ac:dyDescent="0.35">
      <c r="A158" s="552"/>
      <c r="B158" s="552"/>
      <c r="C158" s="676"/>
      <c r="D158" s="673"/>
      <c r="E158" s="673"/>
      <c r="F158" s="673"/>
      <c r="G158" s="673"/>
      <c r="H158" s="675"/>
      <c r="I158" s="555"/>
      <c r="J158" s="555"/>
      <c r="K158" s="555"/>
      <c r="L158" s="552"/>
    </row>
    <row r="159" spans="1:12" s="554" customFormat="1" ht="15.5" x14ac:dyDescent="0.35">
      <c r="A159" s="552"/>
      <c r="B159" s="552"/>
      <c r="C159" s="676"/>
      <c r="D159" s="673"/>
      <c r="E159" s="673"/>
      <c r="F159" s="673"/>
      <c r="G159" s="673"/>
      <c r="H159" s="675"/>
      <c r="I159" s="555"/>
      <c r="J159" s="555"/>
      <c r="K159" s="555"/>
      <c r="L159" s="552"/>
    </row>
    <row r="160" spans="1:12" s="554" customFormat="1" ht="15.5" x14ac:dyDescent="0.35">
      <c r="A160" s="552"/>
      <c r="B160" s="552"/>
      <c r="C160" s="676"/>
      <c r="D160" s="673"/>
      <c r="E160" s="673"/>
      <c r="F160" s="673"/>
      <c r="G160" s="673"/>
      <c r="H160" s="675"/>
      <c r="I160" s="555"/>
      <c r="J160" s="555"/>
      <c r="K160" s="555"/>
      <c r="L160" s="552"/>
    </row>
    <row r="161" spans="1:12" s="554" customFormat="1" ht="15.5" x14ac:dyDescent="0.35">
      <c r="A161" s="552"/>
      <c r="B161" s="552"/>
      <c r="C161" s="676"/>
      <c r="D161" s="673"/>
      <c r="E161" s="673"/>
      <c r="F161" s="673"/>
      <c r="G161" s="673"/>
      <c r="H161" s="675"/>
      <c r="I161" s="555"/>
      <c r="J161" s="555"/>
      <c r="K161" s="555"/>
      <c r="L161" s="552"/>
    </row>
    <row r="162" spans="1:12" s="554" customFormat="1" ht="15.5" x14ac:dyDescent="0.35">
      <c r="A162" s="552"/>
      <c r="B162" s="552"/>
      <c r="C162" s="676"/>
      <c r="D162" s="673"/>
      <c r="E162" s="673"/>
      <c r="F162" s="673"/>
      <c r="G162" s="673"/>
      <c r="H162" s="675"/>
      <c r="I162" s="555"/>
      <c r="J162" s="555"/>
      <c r="K162" s="555"/>
      <c r="L162" s="552"/>
    </row>
    <row r="163" spans="1:12" s="554" customFormat="1" ht="15.5" x14ac:dyDescent="0.35">
      <c r="A163" s="552"/>
      <c r="B163" s="552"/>
      <c r="C163" s="676"/>
      <c r="D163" s="673"/>
      <c r="E163" s="673"/>
      <c r="F163" s="673"/>
      <c r="G163" s="673"/>
      <c r="H163" s="675"/>
      <c r="I163" s="555"/>
      <c r="J163" s="555"/>
      <c r="K163" s="555"/>
      <c r="L163" s="552"/>
    </row>
    <row r="164" spans="1:12" s="554" customFormat="1" ht="15.5" x14ac:dyDescent="0.35">
      <c r="A164" s="552"/>
      <c r="B164" s="552"/>
      <c r="C164" s="676"/>
      <c r="D164" s="673"/>
      <c r="E164" s="673"/>
      <c r="F164" s="673"/>
      <c r="G164" s="673"/>
      <c r="H164" s="675"/>
      <c r="I164" s="555"/>
      <c r="J164" s="555"/>
      <c r="K164" s="555"/>
      <c r="L164" s="552"/>
    </row>
    <row r="165" spans="1:12" s="554" customFormat="1" ht="15.5" x14ac:dyDescent="0.35">
      <c r="A165" s="552"/>
      <c r="B165" s="552"/>
      <c r="C165" s="676"/>
      <c r="D165" s="673"/>
      <c r="E165" s="673"/>
      <c r="F165" s="673"/>
      <c r="G165" s="673"/>
      <c r="H165" s="675"/>
      <c r="I165" s="555"/>
      <c r="J165" s="555"/>
      <c r="K165" s="555"/>
      <c r="L165" s="552"/>
    </row>
    <row r="166" spans="1:12" s="554" customFormat="1" ht="15.5" x14ac:dyDescent="0.35">
      <c r="A166" s="552"/>
      <c r="B166" s="552"/>
      <c r="C166" s="676"/>
      <c r="D166" s="673"/>
      <c r="E166" s="673"/>
      <c r="F166" s="673"/>
      <c r="G166" s="673"/>
      <c r="H166" s="675"/>
      <c r="I166" s="555"/>
      <c r="J166" s="555"/>
      <c r="K166" s="555"/>
      <c r="L166" s="552"/>
    </row>
    <row r="167" spans="1:12" s="554" customFormat="1" ht="15.5" x14ac:dyDescent="0.35">
      <c r="A167" s="552"/>
      <c r="B167" s="552"/>
      <c r="C167" s="676"/>
      <c r="D167" s="673"/>
      <c r="E167" s="673"/>
      <c r="F167" s="673"/>
      <c r="G167" s="673"/>
      <c r="H167" s="675"/>
      <c r="I167" s="555"/>
      <c r="J167" s="555"/>
      <c r="K167" s="555"/>
      <c r="L167" s="552"/>
    </row>
    <row r="168" spans="1:12" s="554" customFormat="1" ht="15.5" x14ac:dyDescent="0.35">
      <c r="A168" s="552"/>
      <c r="B168" s="552"/>
      <c r="C168" s="676"/>
      <c r="D168" s="673"/>
      <c r="E168" s="673"/>
      <c r="F168" s="673"/>
      <c r="G168" s="673"/>
      <c r="H168" s="675"/>
      <c r="I168" s="555"/>
      <c r="J168" s="555"/>
      <c r="K168" s="555"/>
      <c r="L168" s="552"/>
    </row>
    <row r="169" spans="1:12" s="554" customFormat="1" ht="15.5" x14ac:dyDescent="0.35">
      <c r="A169" s="552"/>
      <c r="B169" s="552"/>
      <c r="C169" s="676"/>
      <c r="D169" s="673"/>
      <c r="E169" s="673"/>
      <c r="F169" s="673"/>
      <c r="G169" s="673"/>
      <c r="H169" s="675"/>
      <c r="I169" s="555"/>
      <c r="J169" s="555"/>
      <c r="K169" s="555"/>
      <c r="L169" s="552"/>
    </row>
    <row r="170" spans="1:12" s="554" customFormat="1" ht="15.5" x14ac:dyDescent="0.35">
      <c r="A170" s="552"/>
      <c r="B170" s="552"/>
      <c r="C170" s="676"/>
      <c r="D170" s="673"/>
      <c r="E170" s="673"/>
      <c r="F170" s="673"/>
      <c r="G170" s="673"/>
      <c r="H170" s="675"/>
      <c r="I170" s="555"/>
      <c r="J170" s="555"/>
      <c r="K170" s="555"/>
      <c r="L170" s="552"/>
    </row>
    <row r="171" spans="1:12" s="554" customFormat="1" ht="15.5" x14ac:dyDescent="0.35">
      <c r="A171" s="552"/>
      <c r="B171" s="552"/>
      <c r="C171" s="676"/>
      <c r="D171" s="673"/>
      <c r="E171" s="673"/>
      <c r="F171" s="673"/>
      <c r="G171" s="673"/>
      <c r="H171" s="675"/>
      <c r="I171" s="555"/>
      <c r="J171" s="555"/>
      <c r="K171" s="555"/>
      <c r="L171" s="552"/>
    </row>
    <row r="172" spans="1:12" s="554" customFormat="1" ht="15.5" x14ac:dyDescent="0.35">
      <c r="A172" s="552"/>
      <c r="B172" s="552"/>
      <c r="C172" s="676"/>
      <c r="D172" s="673"/>
      <c r="E172" s="673"/>
      <c r="F172" s="673"/>
      <c r="G172" s="673"/>
      <c r="H172" s="675"/>
      <c r="I172" s="555"/>
      <c r="J172" s="555"/>
      <c r="K172" s="555"/>
      <c r="L172" s="552"/>
    </row>
    <row r="173" spans="1:12" s="554" customFormat="1" ht="15.5" x14ac:dyDescent="0.35">
      <c r="A173" s="552"/>
      <c r="B173" s="552"/>
      <c r="C173" s="676"/>
      <c r="D173" s="673"/>
      <c r="E173" s="673"/>
      <c r="F173" s="673"/>
      <c r="G173" s="673"/>
      <c r="H173" s="675"/>
      <c r="I173" s="555"/>
      <c r="J173" s="555"/>
      <c r="K173" s="555"/>
      <c r="L173" s="552"/>
    </row>
    <row r="174" spans="1:12" s="554" customFormat="1" ht="15.5" x14ac:dyDescent="0.35">
      <c r="A174" s="552"/>
      <c r="B174" s="552"/>
      <c r="C174" s="676"/>
      <c r="D174" s="673"/>
      <c r="E174" s="673"/>
      <c r="F174" s="673"/>
      <c r="G174" s="673"/>
      <c r="H174" s="675"/>
      <c r="I174" s="555"/>
      <c r="J174" s="555"/>
      <c r="K174" s="555"/>
      <c r="L174" s="552"/>
    </row>
    <row r="175" spans="1:12" s="554" customFormat="1" ht="15.5" x14ac:dyDescent="0.35">
      <c r="A175" s="552"/>
      <c r="B175" s="552"/>
      <c r="C175" s="676"/>
      <c r="D175" s="673"/>
      <c r="E175" s="673"/>
      <c r="F175" s="673"/>
      <c r="G175" s="673"/>
      <c r="H175" s="675"/>
      <c r="I175" s="555"/>
      <c r="J175" s="555"/>
      <c r="K175" s="555"/>
      <c r="L175" s="552"/>
    </row>
    <row r="176" spans="1:12" s="554" customFormat="1" ht="15.5" x14ac:dyDescent="0.35">
      <c r="A176" s="552"/>
      <c r="B176" s="552"/>
      <c r="C176" s="676"/>
      <c r="D176" s="673"/>
      <c r="E176" s="673"/>
      <c r="F176" s="673"/>
      <c r="G176" s="673"/>
      <c r="H176" s="675"/>
      <c r="I176" s="555"/>
      <c r="J176" s="555"/>
      <c r="K176" s="555"/>
      <c r="L176" s="552"/>
    </row>
    <row r="177" spans="1:12" s="554" customFormat="1" ht="15.5" x14ac:dyDescent="0.35">
      <c r="A177" s="552"/>
      <c r="B177" s="552"/>
      <c r="C177" s="676"/>
      <c r="D177" s="673"/>
      <c r="E177" s="673"/>
      <c r="F177" s="673"/>
      <c r="G177" s="673"/>
      <c r="H177" s="675"/>
      <c r="I177" s="555"/>
      <c r="J177" s="555"/>
      <c r="K177" s="555"/>
      <c r="L177" s="552"/>
    </row>
    <row r="178" spans="1:12" s="554" customFormat="1" ht="15.5" x14ac:dyDescent="0.35">
      <c r="A178" s="552"/>
      <c r="B178" s="552"/>
      <c r="C178" s="676"/>
      <c r="D178" s="673"/>
      <c r="E178" s="673"/>
      <c r="F178" s="673"/>
      <c r="G178" s="673"/>
      <c r="H178" s="675"/>
      <c r="I178" s="555"/>
      <c r="J178" s="555"/>
      <c r="K178" s="555"/>
      <c r="L178" s="552"/>
    </row>
    <row r="179" spans="1:12" s="554" customFormat="1" ht="15.5" x14ac:dyDescent="0.35">
      <c r="A179" s="552"/>
      <c r="B179" s="552"/>
      <c r="C179" s="676"/>
      <c r="D179" s="673"/>
      <c r="E179" s="673"/>
      <c r="F179" s="673"/>
      <c r="G179" s="673"/>
      <c r="H179" s="675"/>
      <c r="I179" s="555"/>
      <c r="J179" s="555"/>
      <c r="K179" s="555"/>
      <c r="L179" s="552"/>
    </row>
    <row r="180" spans="1:12" s="554" customFormat="1" ht="15.5" x14ac:dyDescent="0.35">
      <c r="A180" s="552"/>
      <c r="B180" s="552"/>
      <c r="C180" s="676"/>
      <c r="D180" s="673"/>
      <c r="E180" s="673"/>
      <c r="F180" s="673"/>
      <c r="G180" s="673"/>
      <c r="H180" s="675"/>
      <c r="I180" s="555"/>
      <c r="J180" s="555"/>
      <c r="K180" s="555"/>
      <c r="L180" s="552"/>
    </row>
    <row r="181" spans="1:12" s="554" customFormat="1" ht="15.5" x14ac:dyDescent="0.35">
      <c r="A181" s="552"/>
      <c r="B181" s="552"/>
      <c r="C181" s="676"/>
      <c r="D181" s="673"/>
      <c r="E181" s="673"/>
      <c r="F181" s="673"/>
      <c r="G181" s="673"/>
      <c r="H181" s="675"/>
      <c r="I181" s="555"/>
      <c r="J181" s="555"/>
      <c r="K181" s="555"/>
      <c r="L181" s="552"/>
    </row>
    <row r="182" spans="1:12" s="554" customFormat="1" ht="15.5" x14ac:dyDescent="0.35">
      <c r="A182" s="552"/>
      <c r="B182" s="552"/>
      <c r="C182" s="676"/>
      <c r="D182" s="673"/>
      <c r="E182" s="673"/>
      <c r="F182" s="673"/>
      <c r="G182" s="673"/>
      <c r="H182" s="675"/>
      <c r="I182" s="555"/>
      <c r="J182" s="555"/>
      <c r="K182" s="555"/>
      <c r="L182" s="552"/>
    </row>
    <row r="183" spans="1:12" s="554" customFormat="1" ht="15.5" x14ac:dyDescent="0.35">
      <c r="A183" s="552"/>
      <c r="B183" s="552"/>
      <c r="C183" s="676"/>
      <c r="D183" s="673"/>
      <c r="E183" s="673"/>
      <c r="F183" s="673"/>
      <c r="G183" s="673"/>
      <c r="H183" s="675"/>
      <c r="I183" s="555"/>
      <c r="J183" s="555"/>
      <c r="K183" s="555"/>
      <c r="L183" s="552"/>
    </row>
    <row r="184" spans="1:12" s="554" customFormat="1" ht="15.5" x14ac:dyDescent="0.35">
      <c r="A184" s="552"/>
      <c r="B184" s="552"/>
      <c r="C184" s="676"/>
      <c r="D184" s="673"/>
      <c r="E184" s="673"/>
      <c r="F184" s="673"/>
      <c r="G184" s="673"/>
      <c r="H184" s="675"/>
      <c r="I184" s="555"/>
      <c r="J184" s="555"/>
      <c r="K184" s="555"/>
      <c r="L184" s="552"/>
    </row>
    <row r="185" spans="1:12" s="554" customFormat="1" ht="15.5" x14ac:dyDescent="0.35">
      <c r="A185" s="552"/>
      <c r="B185" s="552"/>
      <c r="C185" s="676"/>
      <c r="D185" s="673"/>
      <c r="E185" s="673"/>
      <c r="F185" s="673"/>
      <c r="G185" s="673"/>
      <c r="H185" s="675"/>
      <c r="I185" s="555"/>
      <c r="J185" s="555"/>
      <c r="K185" s="555"/>
      <c r="L185" s="552"/>
    </row>
    <row r="186" spans="1:12" s="554" customFormat="1" ht="15.5" x14ac:dyDescent="0.35">
      <c r="A186" s="552"/>
      <c r="B186" s="552"/>
      <c r="C186" s="676"/>
      <c r="D186" s="673"/>
      <c r="E186" s="673"/>
      <c r="F186" s="673"/>
      <c r="G186" s="673"/>
      <c r="H186" s="675"/>
      <c r="I186" s="555"/>
      <c r="J186" s="555"/>
      <c r="K186" s="555"/>
      <c r="L186" s="552"/>
    </row>
    <row r="187" spans="1:12" s="554" customFormat="1" ht="15.5" x14ac:dyDescent="0.35">
      <c r="A187" s="552"/>
      <c r="B187" s="552"/>
      <c r="C187" s="676"/>
      <c r="D187" s="673"/>
      <c r="E187" s="673"/>
      <c r="F187" s="673"/>
      <c r="G187" s="673"/>
      <c r="H187" s="675"/>
      <c r="I187" s="555"/>
      <c r="J187" s="555"/>
      <c r="K187" s="555"/>
      <c r="L187" s="552"/>
    </row>
    <row r="188" spans="1:12" s="554" customFormat="1" ht="15.5" x14ac:dyDescent="0.35">
      <c r="A188" s="552"/>
      <c r="B188" s="552"/>
      <c r="C188" s="676"/>
      <c r="D188" s="673"/>
      <c r="E188" s="673"/>
      <c r="F188" s="673"/>
      <c r="G188" s="673"/>
      <c r="H188" s="675"/>
      <c r="I188" s="555"/>
      <c r="J188" s="555"/>
      <c r="K188" s="555"/>
      <c r="L188" s="552"/>
    </row>
    <row r="189" spans="1:12" s="554" customFormat="1" ht="15.5" x14ac:dyDescent="0.35">
      <c r="A189" s="552"/>
      <c r="B189" s="552"/>
      <c r="C189" s="676"/>
      <c r="D189" s="673"/>
      <c r="E189" s="673"/>
      <c r="F189" s="673"/>
      <c r="G189" s="673"/>
      <c r="H189" s="675"/>
      <c r="I189" s="555"/>
      <c r="J189" s="555"/>
      <c r="K189" s="555"/>
      <c r="L189" s="552"/>
    </row>
    <row r="190" spans="1:12" s="554" customFormat="1" ht="15.5" x14ac:dyDescent="0.35">
      <c r="A190" s="552"/>
      <c r="B190" s="552"/>
      <c r="C190" s="676"/>
      <c r="D190" s="673"/>
      <c r="E190" s="673"/>
      <c r="F190" s="673"/>
      <c r="G190" s="673"/>
      <c r="H190" s="675"/>
      <c r="I190" s="555"/>
      <c r="J190" s="555"/>
      <c r="K190" s="555"/>
      <c r="L190" s="552"/>
    </row>
    <row r="191" spans="1:12" s="554" customFormat="1" ht="15.5" x14ac:dyDescent="0.35">
      <c r="A191" s="552"/>
      <c r="B191" s="552"/>
      <c r="C191" s="676"/>
      <c r="D191" s="673"/>
      <c r="E191" s="673"/>
      <c r="F191" s="673"/>
      <c r="G191" s="673"/>
      <c r="H191" s="675"/>
      <c r="I191" s="555"/>
      <c r="J191" s="555"/>
      <c r="K191" s="555"/>
      <c r="L191" s="552"/>
    </row>
    <row r="192" spans="1:12" s="554" customFormat="1" ht="15.5" x14ac:dyDescent="0.35">
      <c r="A192" s="552"/>
      <c r="B192" s="552"/>
      <c r="C192" s="676"/>
      <c r="D192" s="673"/>
      <c r="E192" s="673"/>
      <c r="F192" s="673"/>
      <c r="G192" s="673"/>
      <c r="H192" s="675"/>
      <c r="I192" s="555"/>
      <c r="J192" s="555"/>
      <c r="K192" s="555"/>
      <c r="L192" s="552"/>
    </row>
    <row r="193" spans="1:12" s="554" customFormat="1" ht="15.5" x14ac:dyDescent="0.35">
      <c r="A193" s="552"/>
      <c r="B193" s="552"/>
      <c r="C193" s="676"/>
      <c r="D193" s="673"/>
      <c r="E193" s="673"/>
      <c r="F193" s="673"/>
      <c r="G193" s="673"/>
      <c r="H193" s="675"/>
      <c r="I193" s="555"/>
      <c r="J193" s="555"/>
      <c r="K193" s="555"/>
      <c r="L193" s="552"/>
    </row>
    <row r="194" spans="1:12" s="554" customFormat="1" ht="15.5" x14ac:dyDescent="0.35">
      <c r="A194" s="552"/>
      <c r="B194" s="552"/>
      <c r="C194" s="676"/>
      <c r="D194" s="673"/>
      <c r="E194" s="673"/>
      <c r="F194" s="673"/>
      <c r="G194" s="673"/>
      <c r="H194" s="675"/>
      <c r="I194" s="555"/>
      <c r="J194" s="555"/>
      <c r="K194" s="555"/>
      <c r="L194" s="552"/>
    </row>
    <row r="195" spans="1:12" s="554" customFormat="1" ht="15.5" x14ac:dyDescent="0.35">
      <c r="A195" s="552"/>
      <c r="B195" s="552"/>
      <c r="C195" s="676"/>
      <c r="D195" s="673"/>
      <c r="E195" s="673"/>
      <c r="F195" s="673"/>
      <c r="G195" s="673"/>
      <c r="H195" s="675"/>
      <c r="I195" s="555"/>
      <c r="J195" s="555"/>
      <c r="K195" s="555"/>
      <c r="L195" s="552"/>
    </row>
    <row r="196" spans="1:12" s="554" customFormat="1" ht="15.5" x14ac:dyDescent="0.35">
      <c r="A196" s="552"/>
      <c r="B196" s="552"/>
      <c r="C196" s="676"/>
      <c r="D196" s="673"/>
      <c r="E196" s="673"/>
      <c r="F196" s="673"/>
      <c r="G196" s="673"/>
      <c r="H196" s="675"/>
      <c r="I196" s="555"/>
      <c r="J196" s="555"/>
      <c r="K196" s="555"/>
      <c r="L196" s="552"/>
    </row>
    <row r="197" spans="1:12" s="554" customFormat="1" ht="15.5" x14ac:dyDescent="0.35">
      <c r="A197" s="552"/>
      <c r="B197" s="552"/>
      <c r="C197" s="676"/>
      <c r="D197" s="673"/>
      <c r="E197" s="673"/>
      <c r="F197" s="673"/>
      <c r="G197" s="673"/>
      <c r="H197" s="675"/>
      <c r="I197" s="555"/>
      <c r="J197" s="555"/>
      <c r="K197" s="555"/>
      <c r="L197" s="552"/>
    </row>
    <row r="198" spans="1:12" s="554" customFormat="1" ht="15.5" x14ac:dyDescent="0.35">
      <c r="A198" s="552"/>
      <c r="B198" s="552"/>
      <c r="C198" s="676"/>
      <c r="D198" s="673"/>
      <c r="E198" s="673"/>
      <c r="F198" s="673"/>
      <c r="G198" s="673"/>
      <c r="H198" s="675"/>
      <c r="I198" s="555"/>
      <c r="J198" s="555"/>
      <c r="K198" s="555"/>
      <c r="L198" s="552"/>
    </row>
    <row r="199" spans="1:12" s="554" customFormat="1" ht="15.5" x14ac:dyDescent="0.35">
      <c r="A199" s="552"/>
      <c r="B199" s="552"/>
      <c r="C199" s="676"/>
      <c r="D199" s="673"/>
      <c r="E199" s="673"/>
      <c r="F199" s="673"/>
      <c r="G199" s="673"/>
      <c r="H199" s="675"/>
      <c r="I199" s="555"/>
      <c r="J199" s="555"/>
      <c r="K199" s="555"/>
      <c r="L199" s="552"/>
    </row>
    <row r="200" spans="1:12" s="554" customFormat="1" ht="15.5" x14ac:dyDescent="0.35">
      <c r="A200" s="552"/>
      <c r="B200" s="552"/>
      <c r="C200" s="676"/>
      <c r="D200" s="673"/>
      <c r="E200" s="673"/>
      <c r="F200" s="673"/>
      <c r="G200" s="673"/>
      <c r="H200" s="675"/>
      <c r="I200" s="555"/>
      <c r="J200" s="555"/>
      <c r="K200" s="555"/>
      <c r="L200" s="552"/>
    </row>
    <row r="201" spans="1:12" s="554" customFormat="1" ht="15.5" x14ac:dyDescent="0.35">
      <c r="A201" s="552"/>
      <c r="B201" s="552"/>
      <c r="C201" s="676"/>
      <c r="D201" s="673"/>
      <c r="E201" s="673"/>
      <c r="F201" s="673"/>
      <c r="G201" s="673"/>
      <c r="H201" s="675"/>
      <c r="I201" s="555"/>
      <c r="J201" s="555"/>
      <c r="K201" s="555"/>
      <c r="L201" s="552"/>
    </row>
    <row r="202" spans="1:12" s="554" customFormat="1" ht="15.5" x14ac:dyDescent="0.35">
      <c r="A202" s="552"/>
      <c r="B202" s="552"/>
      <c r="C202" s="676"/>
      <c r="D202" s="673"/>
      <c r="E202" s="673"/>
      <c r="F202" s="673"/>
      <c r="G202" s="673"/>
      <c r="H202" s="675"/>
      <c r="I202" s="555"/>
      <c r="J202" s="555"/>
      <c r="K202" s="555"/>
      <c r="L202" s="552"/>
    </row>
    <row r="203" spans="1:12" s="554" customFormat="1" ht="15.5" x14ac:dyDescent="0.35">
      <c r="A203" s="552"/>
      <c r="B203" s="552"/>
      <c r="C203" s="676"/>
      <c r="D203" s="673"/>
      <c r="E203" s="673"/>
      <c r="F203" s="673"/>
      <c r="G203" s="673"/>
      <c r="H203" s="675"/>
      <c r="I203" s="555"/>
      <c r="J203" s="555"/>
      <c r="K203" s="555"/>
      <c r="L203" s="552"/>
    </row>
    <row r="204" spans="1:12" s="554" customFormat="1" ht="15.5" x14ac:dyDescent="0.35">
      <c r="A204" s="552"/>
      <c r="B204" s="552"/>
      <c r="C204" s="676"/>
      <c r="D204" s="673"/>
      <c r="E204" s="673"/>
      <c r="F204" s="673"/>
      <c r="G204" s="673"/>
      <c r="H204" s="675"/>
      <c r="I204" s="555"/>
      <c r="J204" s="555"/>
      <c r="K204" s="555"/>
      <c r="L204" s="552"/>
    </row>
    <row r="205" spans="1:12" s="554" customFormat="1" ht="15.5" x14ac:dyDescent="0.35">
      <c r="A205" s="552"/>
      <c r="B205" s="552"/>
      <c r="C205" s="676"/>
      <c r="D205" s="673"/>
      <c r="E205" s="673"/>
      <c r="F205" s="673"/>
      <c r="G205" s="673"/>
      <c r="H205" s="675"/>
      <c r="I205" s="555"/>
      <c r="J205" s="555"/>
      <c r="K205" s="555"/>
      <c r="L205" s="552"/>
    </row>
    <row r="206" spans="1:12" s="554" customFormat="1" ht="15.5" x14ac:dyDescent="0.35">
      <c r="A206" s="552"/>
      <c r="B206" s="552"/>
      <c r="C206" s="676"/>
      <c r="D206" s="673"/>
      <c r="E206" s="673"/>
      <c r="F206" s="673"/>
      <c r="G206" s="673"/>
      <c r="H206" s="675"/>
      <c r="I206" s="555"/>
      <c r="J206" s="555"/>
      <c r="K206" s="555"/>
      <c r="L206" s="552"/>
    </row>
    <row r="207" spans="1:12" s="554" customFormat="1" ht="15.5" x14ac:dyDescent="0.35">
      <c r="A207" s="552"/>
      <c r="B207" s="552"/>
      <c r="C207" s="676"/>
      <c r="D207" s="673"/>
      <c r="E207" s="673"/>
      <c r="F207" s="673"/>
      <c r="G207" s="673"/>
      <c r="H207" s="675"/>
      <c r="I207" s="555"/>
      <c r="J207" s="555"/>
      <c r="K207" s="555"/>
      <c r="L207" s="552"/>
    </row>
    <row r="208" spans="1:12" s="554" customFormat="1" ht="15.5" x14ac:dyDescent="0.35">
      <c r="A208" s="552"/>
      <c r="B208" s="552"/>
      <c r="C208" s="676"/>
      <c r="D208" s="673"/>
      <c r="E208" s="673"/>
      <c r="F208" s="673"/>
      <c r="G208" s="673"/>
      <c r="H208" s="675"/>
      <c r="I208" s="555"/>
      <c r="J208" s="555"/>
      <c r="K208" s="555"/>
      <c r="L208" s="552"/>
    </row>
    <row r="209" spans="1:12" s="554" customFormat="1" ht="15.5" x14ac:dyDescent="0.35">
      <c r="A209" s="552"/>
      <c r="B209" s="552"/>
      <c r="C209" s="676"/>
      <c r="D209" s="673"/>
      <c r="E209" s="673"/>
      <c r="F209" s="673"/>
      <c r="G209" s="673"/>
      <c r="H209" s="675"/>
      <c r="I209" s="555"/>
      <c r="J209" s="555"/>
      <c r="K209" s="555"/>
      <c r="L209" s="552"/>
    </row>
    <row r="210" spans="1:12" s="554" customFormat="1" ht="15.5" x14ac:dyDescent="0.35">
      <c r="A210" s="552"/>
      <c r="B210" s="552"/>
      <c r="C210" s="676"/>
      <c r="D210" s="673"/>
      <c r="E210" s="673"/>
      <c r="F210" s="673"/>
      <c r="G210" s="673"/>
      <c r="H210" s="675"/>
      <c r="I210" s="555"/>
      <c r="J210" s="555"/>
      <c r="K210" s="555"/>
      <c r="L210" s="552"/>
    </row>
    <row r="211" spans="1:12" s="554" customFormat="1" ht="15.5" x14ac:dyDescent="0.35">
      <c r="A211" s="552"/>
      <c r="B211" s="552"/>
      <c r="C211" s="676"/>
      <c r="D211" s="673"/>
      <c r="E211" s="673"/>
      <c r="F211" s="673"/>
      <c r="G211" s="673"/>
      <c r="H211" s="675"/>
      <c r="I211" s="555"/>
      <c r="J211" s="555"/>
      <c r="K211" s="555"/>
      <c r="L211" s="552"/>
    </row>
    <row r="212" spans="1:12" s="554" customFormat="1" ht="15.5" x14ac:dyDescent="0.35">
      <c r="A212" s="552"/>
      <c r="B212" s="552"/>
      <c r="C212" s="676"/>
      <c r="D212" s="673"/>
      <c r="E212" s="673"/>
      <c r="F212" s="673"/>
      <c r="G212" s="673"/>
      <c r="H212" s="675"/>
      <c r="I212" s="555"/>
      <c r="J212" s="555"/>
      <c r="K212" s="555"/>
      <c r="L212" s="552"/>
    </row>
    <row r="213" spans="1:12" s="554" customFormat="1" ht="15.5" x14ac:dyDescent="0.35">
      <c r="A213" s="552"/>
      <c r="B213" s="552"/>
      <c r="C213" s="676"/>
      <c r="D213" s="673"/>
      <c r="E213" s="673"/>
      <c r="F213" s="673"/>
      <c r="G213" s="673"/>
      <c r="H213" s="675"/>
      <c r="I213" s="555"/>
      <c r="J213" s="555"/>
      <c r="K213" s="555"/>
      <c r="L213" s="552"/>
    </row>
    <row r="214" spans="1:12" s="554" customFormat="1" ht="15.5" x14ac:dyDescent="0.35">
      <c r="A214" s="552"/>
      <c r="B214" s="552"/>
      <c r="C214" s="676"/>
      <c r="D214" s="673"/>
      <c r="E214" s="673"/>
      <c r="F214" s="673"/>
      <c r="G214" s="673"/>
      <c r="H214" s="675"/>
      <c r="I214" s="555"/>
      <c r="J214" s="555"/>
      <c r="K214" s="555"/>
      <c r="L214" s="552"/>
    </row>
    <row r="215" spans="1:12" s="554" customFormat="1" ht="16" thickBot="1" x14ac:dyDescent="0.4">
      <c r="A215" s="552"/>
      <c r="B215" s="552"/>
      <c r="C215" s="677"/>
      <c r="D215" s="678"/>
      <c r="E215" s="678"/>
      <c r="F215" s="678"/>
      <c r="G215" s="678"/>
      <c r="H215" s="679"/>
      <c r="I215" s="555"/>
      <c r="J215" s="555"/>
      <c r="K215" s="555"/>
      <c r="L215" s="552"/>
    </row>
    <row r="216" spans="1:12" ht="15.5" x14ac:dyDescent="0.35"/>
    <row r="217" spans="1:12" ht="15.5" x14ac:dyDescent="0.35"/>
    <row r="218" spans="1:12" ht="15.5" x14ac:dyDescent="0.35"/>
  </sheetData>
  <hyperlinks>
    <hyperlink ref="E2" location="Scenario!A1" display="Scenario" xr:uid="{00000000-0004-0000-1800-000000000000}"/>
    <hyperlink ref="G2" location="'Data for Graphs'!A1" display="Navigation" xr:uid="{00000000-0004-0000-1800-000001000000}"/>
    <hyperlink ref="I2" location="Navigation!A1" display="Navigation" xr:uid="{00000000-0004-0000-1800-000002000000}"/>
  </hyperlink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5070699-F215-410B-8531-D8C31680DA0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86</vt:i4>
      </vt:variant>
    </vt:vector>
  </HeadingPairs>
  <TitlesOfParts>
    <vt:vector size="111" baseType="lpstr">
      <vt:lpstr>Intro</vt:lpstr>
      <vt:lpstr>Instructions</vt:lpstr>
      <vt:lpstr>Navigation</vt:lpstr>
      <vt:lpstr>Glossary</vt:lpstr>
      <vt:lpstr>INPV Calculation</vt:lpstr>
      <vt:lpstr>NAMES</vt:lpstr>
      <vt:lpstr>Scenario</vt:lpstr>
      <vt:lpstr>Financials</vt:lpstr>
      <vt:lpstr>EL and TSL Setup</vt:lpstr>
      <vt:lpstr>MPC Breakdown</vt:lpstr>
      <vt:lpstr>Learning</vt:lpstr>
      <vt:lpstr>Shipments</vt:lpstr>
      <vt:lpstr>Conversion Costs</vt:lpstr>
      <vt:lpstr>Conversion Cost Timing</vt:lpstr>
      <vt:lpstr>Markups</vt:lpstr>
      <vt:lpstr>Employment</vt:lpstr>
      <vt:lpstr>MSP</vt:lpstr>
      <vt:lpstr>No STDs Case Rev &amp; Cost</vt:lpstr>
      <vt:lpstr>Standards Rev &amp; Cost</vt:lpstr>
      <vt:lpstr>No STDs Case DCF</vt:lpstr>
      <vt:lpstr>DCF Results</vt:lpstr>
      <vt:lpstr>Standards Case DCF</vt:lpstr>
      <vt:lpstr>Summary Report</vt:lpstr>
      <vt:lpstr>Data for Graphs</vt:lpstr>
      <vt:lpstr>Dashboard</vt:lpstr>
      <vt:lpstr>Alternate_Standard_Year</vt:lpstr>
      <vt:lpstr>Announcement_Year</vt:lpstr>
      <vt:lpstr>Capex</vt:lpstr>
      <vt:lpstr>CapEx_NoSTDs</vt:lpstr>
      <vt:lpstr>CapEx_Standards</vt:lpstr>
      <vt:lpstr>CapitalConversionCost_Table</vt:lpstr>
      <vt:lpstr>CapitalConversionCosts</vt:lpstr>
      <vt:lpstr>CapitalConversionCosts_NoSTDs</vt:lpstr>
      <vt:lpstr>CapitalConversionCosts_Standards</vt:lpstr>
      <vt:lpstr>Dates</vt:lpstr>
      <vt:lpstr>Depreciation</vt:lpstr>
      <vt:lpstr>Discount_Rate</vt:lpstr>
      <vt:lpstr>Dollar_Year</vt:lpstr>
      <vt:lpstr>EBIT_NoSTDs</vt:lpstr>
      <vt:lpstr>EBIT_Standards</vt:lpstr>
      <vt:lpstr>EL_List</vt:lpstr>
      <vt:lpstr>ELandTSLSetup_Selected</vt:lpstr>
      <vt:lpstr>FCF_NoSTDs</vt:lpstr>
      <vt:lpstr>FCF_Standards</vt:lpstr>
      <vt:lpstr>Growth_Rate</vt:lpstr>
      <vt:lpstr>INPV_NoSTDs</vt:lpstr>
      <vt:lpstr>INPV_Standards</vt:lpstr>
      <vt:lpstr>Learning_Scenario_1</vt:lpstr>
      <vt:lpstr>Learning_Scenario_2</vt:lpstr>
      <vt:lpstr>Learning_Scenario_3</vt:lpstr>
      <vt:lpstr>Learning_Scenario_4</vt:lpstr>
      <vt:lpstr>Learning_Scenario_5</vt:lpstr>
      <vt:lpstr>Learning_Scenario_List</vt:lpstr>
      <vt:lpstr>Learning_Scenario_X</vt:lpstr>
      <vt:lpstr>Learning_Selection</vt:lpstr>
      <vt:lpstr>Markup_Scenario_1</vt:lpstr>
      <vt:lpstr>Markup_Scenario_2</vt:lpstr>
      <vt:lpstr>Markup_Scenario_3</vt:lpstr>
      <vt:lpstr>Markup_Scenario_4</vt:lpstr>
      <vt:lpstr>Markup_Scenario_5</vt:lpstr>
      <vt:lpstr>Markup_Scenario_List</vt:lpstr>
      <vt:lpstr>Markup_Scenario_X</vt:lpstr>
      <vt:lpstr>Multipliers_Table</vt:lpstr>
      <vt:lpstr>NAICS_CODE</vt:lpstr>
      <vt:lpstr>NetPPE</vt:lpstr>
      <vt:lpstr>NetPPE_NoSTDs</vt:lpstr>
      <vt:lpstr>NetPPE_PercentRev_NoSTDs</vt:lpstr>
      <vt:lpstr>NetPPE_PercentRev_Standards</vt:lpstr>
      <vt:lpstr>NetPPE_Standards</vt:lpstr>
      <vt:lpstr>NOPAT_NoSTDs</vt:lpstr>
      <vt:lpstr>NOPAT_Standards</vt:lpstr>
      <vt:lpstr>OperatingCashflow_NoSTDs</vt:lpstr>
      <vt:lpstr>OperatingCashflow_Standards</vt:lpstr>
      <vt:lpstr>PC_Table</vt:lpstr>
      <vt:lpstr>ProductConversionCost_Table</vt:lpstr>
      <vt:lpstr>ProductConversionCosts</vt:lpstr>
      <vt:lpstr>ProductionHoldFactor</vt:lpstr>
      <vt:lpstr>RandD</vt:lpstr>
      <vt:lpstr>Reference_Year</vt:lpstr>
      <vt:lpstr>Revenue_NoSTDs</vt:lpstr>
      <vt:lpstr>Revenue_Standards</vt:lpstr>
      <vt:lpstr>ROIC_NoSTDs</vt:lpstr>
      <vt:lpstr>ROIC_Standards</vt:lpstr>
      <vt:lpstr>SGA</vt:lpstr>
      <vt:lpstr>Shipment_Scenario_1</vt:lpstr>
      <vt:lpstr>Shipment_Scenario_2</vt:lpstr>
      <vt:lpstr>Shipment_Scenario_3</vt:lpstr>
      <vt:lpstr>Shipment_Scenario_4</vt:lpstr>
      <vt:lpstr>Shipment_Scenario_5</vt:lpstr>
      <vt:lpstr>Shipments_Scenario_List</vt:lpstr>
      <vt:lpstr>Shipments_Scenario_X</vt:lpstr>
      <vt:lpstr>Standard_Year</vt:lpstr>
      <vt:lpstr>StrandedAssets</vt:lpstr>
      <vt:lpstr>Tax_Rate</vt:lpstr>
      <vt:lpstr>Terminal_Year</vt:lpstr>
      <vt:lpstr>Total_Depreciation_NoSTDs</vt:lpstr>
      <vt:lpstr>Total_Depreciation_Standards</vt:lpstr>
      <vt:lpstr>Total_Labor_NoSTDs</vt:lpstr>
      <vt:lpstr>Total_Labor_Standards</vt:lpstr>
      <vt:lpstr>Total_Materials_NoSTDs</vt:lpstr>
      <vt:lpstr>Total_Materials_Standards</vt:lpstr>
      <vt:lpstr>Total_Overhead_NoSTDs</vt:lpstr>
      <vt:lpstr>Total_Overhead_Standards</vt:lpstr>
      <vt:lpstr>Total_Revenues_NoSTDs</vt:lpstr>
      <vt:lpstr>Total_Revenues_Standards</vt:lpstr>
      <vt:lpstr>Total_Unit_Sales_NoSTDs</vt:lpstr>
      <vt:lpstr>Total_Unit_Sales_Standards</vt:lpstr>
      <vt:lpstr>TSL_Selection_List</vt:lpstr>
      <vt:lpstr>TSL_X</vt:lpstr>
      <vt:lpstr>USLaborPercentage</vt:lpstr>
      <vt:lpstr>WorkingCapital</vt:lpstr>
    </vt:vector>
  </TitlesOfParts>
  <Company>Navigant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NCI</dc:creator>
  <cp:lastModifiedBy>user532</cp:lastModifiedBy>
  <cp:lastPrinted>2009-02-06T23:37:08Z</cp:lastPrinted>
  <dcterms:created xsi:type="dcterms:W3CDTF">2007-03-09T16:20:37Z</dcterms:created>
  <dcterms:modified xsi:type="dcterms:W3CDTF">2023-03-21T18:43:10Z</dcterms:modified>
</cp:coreProperties>
</file>