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W:\Mission\ENR\"/>
    </mc:Choice>
  </mc:AlternateContent>
  <bookViews>
    <workbookView xWindow="-120" yWindow="-120" windowWidth="29040" windowHeight="15840"/>
  </bookViews>
  <sheets>
    <sheet name="national energy savings" sheetId="4" r:id="rId1"/>
    <sheet name="per-unit energy and $ savings" sheetId="5" r:id="rId2"/>
    <sheet name="electricity prices" sheetId="7" r:id="rId3"/>
  </sheets>
  <externalReferences>
    <externalReference r:id="rId4"/>
    <externalReference r:id="rId5"/>
  </externalReferences>
  <definedNames>
    <definedName name="ActiveModeHours">'[1]Energy and Cost Savings'!$D$50</definedName>
    <definedName name="AHAM_ESorNon">'[1]AHAM Dataset'!#REF!</definedName>
    <definedName name="AveCADR1">'[1]Energy and Cost Savings'!$D$45</definedName>
    <definedName name="AveCADR2">'[1]Energy and Cost Savings'!$D$46</definedName>
    <definedName name="AveCADR3">'[1]Energy and Cost Savings'!$D$47</definedName>
    <definedName name="AveCADR4">'[1]Energy and Cost Savings'!$D$48</definedName>
    <definedName name="CostElec">'[1]Energy and Cost Savings'!$D$52</definedName>
    <definedName name="Discount_Rate">[2]Sheet1!$A$19</definedName>
    <definedName name="EffectiveYear">'[1]Shipments and Market Share'!$D$70</definedName>
    <definedName name="EmissionsFactor">'[1]Energy and Cost Savings'!$D$55</definedName>
    <definedName name="Equal_Size_Bins">'[1]ENERGY STAR QPL'!#REF!</definedName>
    <definedName name="Equal_Smoke_Size_Bins">'[1]ENERGY STAR QPL'!#REF!</definedName>
    <definedName name="ES_Market_Share">'[1]Product Availability'!$D$76</definedName>
    <definedName name="Estimated_2020_ES_MarketShare">'[1]Energy and Cost Savings'!$D$58</definedName>
    <definedName name="Meets_Top_75__Smoke_CADR_W">'[1]ENERGY STAR QPL'!#REF!</definedName>
    <definedName name="Pollen_CADR_W">'[1]ENERGY STAR QPL'!$AO$3:$AO$237</definedName>
    <definedName name="ProductLifetime">'[1]Energy and Cost Savings'!$D$49</definedName>
    <definedName name="Reported_Dust_CADR_watt">'[1]ENERGY STAR QPL'!$Z$3:$Z$237</definedName>
    <definedName name="RevisedBrand">'[1]ENERGY STAR QPL'!$AM$3:$AM$237</definedName>
    <definedName name="Smoke_CADR_per_W">'[1]ENERGY STAR QPL'!#REF!</definedName>
    <definedName name="SmokeCADR">'[1]ENERGY STAR QPL'!$X$3:$X$237</definedName>
    <definedName name="SmokeCADRperW">'[1]ENERGY STAR QPL'!$AN$3:$AN$237</definedName>
    <definedName name="StandbyModeHours">'[1]Energy and Cost Savings'!$D$51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2" i="7" l="1"/>
  <c r="D10" i="7" s="1"/>
  <c r="J12" i="5"/>
  <c r="D5" i="7" l="1"/>
  <c r="D9" i="7"/>
  <c r="D6" i="7"/>
  <c r="D3" i="7"/>
  <c r="D4" i="7"/>
  <c r="D8" i="7"/>
  <c r="D7" i="7"/>
  <c r="D11" i="7"/>
  <c r="E12" i="7" l="1"/>
  <c r="D12" i="7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B16" i="4"/>
  <c r="K10" i="5"/>
  <c r="D14" i="5"/>
  <c r="F14" i="5" s="1"/>
  <c r="G14" i="5" s="1"/>
  <c r="D13" i="5"/>
  <c r="F13" i="5" s="1"/>
  <c r="L10" i="5" s="1"/>
  <c r="D12" i="5"/>
  <c r="F11" i="5"/>
  <c r="G11" i="5" s="1"/>
  <c r="F10" i="5"/>
  <c r="G10" i="5" s="1"/>
  <c r="F9" i="5"/>
  <c r="G9" i="5" s="1"/>
  <c r="O9" i="5" l="1"/>
  <c r="O10" i="5"/>
  <c r="P10" i="5"/>
  <c r="P9" i="5"/>
  <c r="O11" i="5"/>
  <c r="P11" i="5"/>
  <c r="O12" i="5"/>
  <c r="P12" i="5"/>
  <c r="M10" i="5"/>
  <c r="N10" i="5"/>
  <c r="K11" i="5"/>
  <c r="K9" i="5"/>
  <c r="L11" i="5"/>
  <c r="G13" i="5"/>
  <c r="F12" i="5"/>
  <c r="N11" i="5" l="1"/>
  <c r="M11" i="5"/>
  <c r="K12" i="5"/>
  <c r="M9" i="5"/>
  <c r="G12" i="5"/>
  <c r="L9" i="5"/>
  <c r="L12" i="5" s="1"/>
  <c r="B2" i="4"/>
  <c r="I27" i="4"/>
  <c r="K27" i="4"/>
  <c r="N27" i="4"/>
  <c r="O27" i="4"/>
  <c r="S27" i="4"/>
  <c r="W27" i="4"/>
  <c r="X27" i="4"/>
  <c r="AC27" i="4"/>
  <c r="AD27" i="4"/>
  <c r="AE27" i="4"/>
  <c r="AF27" i="4"/>
  <c r="AH27" i="4"/>
  <c r="AI27" i="4"/>
  <c r="AL27" i="4"/>
  <c r="AM27" i="4"/>
  <c r="H28" i="4"/>
  <c r="I28" i="4"/>
  <c r="L28" i="4"/>
  <c r="N28" i="4"/>
  <c r="S28" i="4"/>
  <c r="T28" i="4"/>
  <c r="X28" i="4"/>
  <c r="AB28" i="4"/>
  <c r="AC28" i="4"/>
  <c r="AF28" i="4"/>
  <c r="AJ28" i="4"/>
  <c r="D28" i="4"/>
  <c r="D27" i="4"/>
  <c r="AD19" i="4"/>
  <c r="AE19" i="4" s="1"/>
  <c r="AF19" i="4" s="1"/>
  <c r="AG19" i="4" s="1"/>
  <c r="AH19" i="4" s="1"/>
  <c r="AI19" i="4" s="1"/>
  <c r="AJ19" i="4" s="1"/>
  <c r="AK19" i="4" s="1"/>
  <c r="AL19" i="4" s="1"/>
  <c r="AM19" i="4" s="1"/>
  <c r="Z19" i="4"/>
  <c r="Z27" i="4" s="1"/>
  <c r="AA19" i="4"/>
  <c r="AA27" i="4" s="1"/>
  <c r="AB19" i="4"/>
  <c r="AB27" i="4" s="1"/>
  <c r="Y19" i="4"/>
  <c r="Y27" i="4" s="1"/>
  <c r="U19" i="4"/>
  <c r="U27" i="4" s="1"/>
  <c r="V19" i="4"/>
  <c r="V27" i="4" s="1"/>
  <c r="W19" i="4"/>
  <c r="T19" i="4"/>
  <c r="T27" i="4" s="1"/>
  <c r="P19" i="4"/>
  <c r="P27" i="4" s="1"/>
  <c r="Q19" i="4"/>
  <c r="Q27" i="4" s="1"/>
  <c r="R19" i="4"/>
  <c r="R27" i="4" s="1"/>
  <c r="O19" i="4"/>
  <c r="K19" i="4"/>
  <c r="L19" i="4"/>
  <c r="L27" i="4" s="1"/>
  <c r="M19" i="4"/>
  <c r="M27" i="4" s="1"/>
  <c r="J19" i="4"/>
  <c r="J27" i="4" s="1"/>
  <c r="F19" i="4"/>
  <c r="F27" i="4" s="1"/>
  <c r="G19" i="4"/>
  <c r="G27" i="4" s="1"/>
  <c r="H19" i="4"/>
  <c r="H27" i="4" s="1"/>
  <c r="E19" i="4"/>
  <c r="E27" i="4" s="1"/>
  <c r="C19" i="4"/>
  <c r="B19" i="4" s="1"/>
  <c r="Z20" i="4"/>
  <c r="Z28" i="4" s="1"/>
  <c r="AA20" i="4"/>
  <c r="AA28" i="4" s="1"/>
  <c r="AB20" i="4"/>
  <c r="Y20" i="4"/>
  <c r="Y28" i="4" s="1"/>
  <c r="U20" i="4"/>
  <c r="U28" i="4" s="1"/>
  <c r="V20" i="4"/>
  <c r="V28" i="4" s="1"/>
  <c r="W20" i="4"/>
  <c r="W28" i="4" s="1"/>
  <c r="T20" i="4"/>
  <c r="P20" i="4"/>
  <c r="P28" i="4" s="1"/>
  <c r="Q20" i="4"/>
  <c r="Q28" i="4" s="1"/>
  <c r="R20" i="4"/>
  <c r="R28" i="4" s="1"/>
  <c r="O20" i="4"/>
  <c r="O28" i="4" s="1"/>
  <c r="K20" i="4"/>
  <c r="K28" i="4" s="1"/>
  <c r="L20" i="4"/>
  <c r="M20" i="4"/>
  <c r="M28" i="4" s="1"/>
  <c r="J20" i="4"/>
  <c r="J28" i="4" s="1"/>
  <c r="F20" i="4"/>
  <c r="F28" i="4" s="1"/>
  <c r="G20" i="4"/>
  <c r="G28" i="4" s="1"/>
  <c r="H20" i="4"/>
  <c r="E20" i="4"/>
  <c r="E28" i="4" s="1"/>
  <c r="C20" i="4"/>
  <c r="B20" i="4" s="1"/>
  <c r="AD20" i="4"/>
  <c r="AE20" i="4" s="1"/>
  <c r="AF20" i="4" s="1"/>
  <c r="AG20" i="4" s="1"/>
  <c r="AH20" i="4" s="1"/>
  <c r="AI20" i="4" s="1"/>
  <c r="AJ20" i="4" s="1"/>
  <c r="AK20" i="4" s="1"/>
  <c r="AL20" i="4" s="1"/>
  <c r="AM20" i="4" s="1"/>
  <c r="AM28" i="4" s="1"/>
  <c r="N12" i="5" l="1"/>
  <c r="B6" i="4" s="1"/>
  <c r="M12" i="5"/>
  <c r="B5" i="4" s="1"/>
  <c r="N9" i="5"/>
  <c r="AI28" i="4"/>
  <c r="AH28" i="4"/>
  <c r="AK27" i="4"/>
  <c r="AG28" i="4"/>
  <c r="AJ27" i="4"/>
  <c r="AE28" i="4"/>
  <c r="AL28" i="4"/>
  <c r="AD28" i="4"/>
  <c r="AG27" i="4"/>
  <c r="AK28" i="4"/>
  <c r="B17" i="4"/>
  <c r="AM17" i="4"/>
  <c r="AK17" i="4"/>
  <c r="AI17" i="4"/>
  <c r="B18" i="4" l="1"/>
  <c r="B21" i="4" s="1"/>
  <c r="S17" i="4"/>
  <c r="S18" i="4" s="1"/>
  <c r="S21" i="4" s="1"/>
  <c r="L17" i="4"/>
  <c r="N17" i="4"/>
  <c r="M24" i="4"/>
  <c r="U17" i="4"/>
  <c r="O24" i="4"/>
  <c r="W17" i="4"/>
  <c r="Q24" i="4"/>
  <c r="Y17" i="4"/>
  <c r="Y18" i="4" s="1"/>
  <c r="Y21" i="4" s="1"/>
  <c r="S24" i="4"/>
  <c r="AA17" i="4"/>
  <c r="U24" i="4"/>
  <c r="AC17" i="4"/>
  <c r="W24" i="4"/>
  <c r="AE17" i="4"/>
  <c r="Y24" i="4"/>
  <c r="AG17" i="4"/>
  <c r="R24" i="4"/>
  <c r="Z17" i="4"/>
  <c r="P17" i="4"/>
  <c r="Z24" i="4"/>
  <c r="AH17" i="4"/>
  <c r="AH18" i="4" s="1"/>
  <c r="AH21" i="4" s="1"/>
  <c r="L24" i="4"/>
  <c r="T17" i="4"/>
  <c r="N24" i="4"/>
  <c r="V17" i="4"/>
  <c r="P24" i="4"/>
  <c r="X17" i="4"/>
  <c r="J24" i="4"/>
  <c r="R17" i="4"/>
  <c r="R18" i="4" s="1"/>
  <c r="R21" i="4" s="1"/>
  <c r="AD17" i="4"/>
  <c r="AF17" i="4"/>
  <c r="AF18" i="4" s="1"/>
  <c r="AF21" i="4" s="1"/>
  <c r="AB24" i="4"/>
  <c r="AJ17" i="4"/>
  <c r="AJ18" i="4" s="1"/>
  <c r="AJ21" i="4" s="1"/>
  <c r="K17" i="4"/>
  <c r="K18" i="4" s="1"/>
  <c r="K21" i="4" s="1"/>
  <c r="AB17" i="4"/>
  <c r="AD24" i="4"/>
  <c r="AL17" i="4"/>
  <c r="E24" i="4"/>
  <c r="M17" i="4"/>
  <c r="M18" i="4" s="1"/>
  <c r="M21" i="4" s="1"/>
  <c r="G24" i="4"/>
  <c r="O17" i="4"/>
  <c r="O18" i="4" s="1"/>
  <c r="O21" i="4" s="1"/>
  <c r="I24" i="4"/>
  <c r="Q17" i="4"/>
  <c r="AA24" i="4"/>
  <c r="AL18" i="4"/>
  <c r="AL21" i="4" s="1"/>
  <c r="AC24" i="4"/>
  <c r="AE24" i="4"/>
  <c r="AM25" i="4" s="1"/>
  <c r="D24" i="4"/>
  <c r="F24" i="4"/>
  <c r="Q18" i="4"/>
  <c r="Q21" i="4" s="1"/>
  <c r="H24" i="4"/>
  <c r="AC18" i="4"/>
  <c r="AC21" i="4" s="1"/>
  <c r="T24" i="4"/>
  <c r="AE18" i="4"/>
  <c r="AE21" i="4" s="1"/>
  <c r="V24" i="4"/>
  <c r="AG18" i="4"/>
  <c r="AG21" i="4" s="1"/>
  <c r="X24" i="4"/>
  <c r="K24" i="4"/>
  <c r="AB18" i="4"/>
  <c r="AB21" i="4" s="1"/>
  <c r="AD18" i="4"/>
  <c r="AD21" i="4" s="1"/>
  <c r="U18" i="4"/>
  <c r="U21" i="4" s="1"/>
  <c r="W18" i="4"/>
  <c r="W21" i="4" s="1"/>
  <c r="AA18" i="4"/>
  <c r="AA21" i="4" s="1"/>
  <c r="AK18" i="4"/>
  <c r="AK21" i="4" s="1"/>
  <c r="AM18" i="4"/>
  <c r="AM21" i="4" s="1"/>
  <c r="F17" i="4"/>
  <c r="F18" i="4" s="1"/>
  <c r="F21" i="4" s="1"/>
  <c r="G17" i="4"/>
  <c r="G18" i="4" s="1"/>
  <c r="G21" i="4" s="1"/>
  <c r="H17" i="4"/>
  <c r="H18" i="4" s="1"/>
  <c r="H21" i="4" s="1"/>
  <c r="I17" i="4"/>
  <c r="I18" i="4" s="1"/>
  <c r="I21" i="4" s="1"/>
  <c r="E17" i="4"/>
  <c r="E18" i="4" s="1"/>
  <c r="E21" i="4" s="1"/>
  <c r="J17" i="4"/>
  <c r="J18" i="4" s="1"/>
  <c r="J21" i="4" s="1"/>
  <c r="C17" i="4"/>
  <c r="C18" i="4" s="1"/>
  <c r="C21" i="4" s="1"/>
  <c r="D17" i="4"/>
  <c r="D18" i="4" s="1"/>
  <c r="D21" i="4" s="1"/>
  <c r="AI18" i="4"/>
  <c r="AI21" i="4" s="1"/>
  <c r="N18" i="4"/>
  <c r="N21" i="4" s="1"/>
  <c r="P18" i="4"/>
  <c r="P21" i="4" s="1"/>
  <c r="T18" i="4"/>
  <c r="T21" i="4" s="1"/>
  <c r="V18" i="4"/>
  <c r="V21" i="4" s="1"/>
  <c r="X18" i="4"/>
  <c r="X21" i="4" s="1"/>
  <c r="Z18" i="4"/>
  <c r="Z21" i="4" s="1"/>
  <c r="L18" i="4"/>
  <c r="L21" i="4" s="1"/>
  <c r="AD25" i="4" l="1"/>
  <c r="AD26" i="4" s="1"/>
  <c r="AD29" i="4" s="1"/>
  <c r="Q25" i="4"/>
  <c r="Q26" i="4" s="1"/>
  <c r="Q29" i="4" s="1"/>
  <c r="X25" i="4"/>
  <c r="X26" i="4" s="1"/>
  <c r="X29" i="4" s="1"/>
  <c r="Z25" i="4"/>
  <c r="Z26" i="4" s="1"/>
  <c r="Z29" i="4" s="1"/>
  <c r="AA25" i="4"/>
  <c r="AA26" i="4" s="1"/>
  <c r="AA29" i="4" s="1"/>
  <c r="AB25" i="4"/>
  <c r="AB26" i="4" s="1"/>
  <c r="AB29" i="4" s="1"/>
  <c r="O25" i="4"/>
  <c r="AJ25" i="4"/>
  <c r="V25" i="4"/>
  <c r="V26" i="4" s="1"/>
  <c r="V29" i="4" s="1"/>
  <c r="AK25" i="4"/>
  <c r="AG25" i="4"/>
  <c r="Y25" i="4"/>
  <c r="Y26" i="4" s="1"/>
  <c r="Y29" i="4" s="1"/>
  <c r="S25" i="4"/>
  <c r="S26" i="4" s="1"/>
  <c r="S29" i="4" s="1"/>
  <c r="P25" i="4"/>
  <c r="P26" i="4" s="1"/>
  <c r="P29" i="4" s="1"/>
  <c r="M25" i="4"/>
  <c r="T25" i="4"/>
  <c r="T26" i="4" s="1"/>
  <c r="T29" i="4" s="1"/>
  <c r="AI25" i="4"/>
  <c r="AI26" i="4" s="1"/>
  <c r="AI29" i="4" s="1"/>
  <c r="AE25" i="4"/>
  <c r="AE26" i="4" s="1"/>
  <c r="AE29" i="4" s="1"/>
  <c r="W25" i="4"/>
  <c r="W26" i="4" s="1"/>
  <c r="W29" i="4" s="1"/>
  <c r="AF25" i="4"/>
  <c r="AF26" i="4" s="1"/>
  <c r="AF29" i="4" s="1"/>
  <c r="N25" i="4"/>
  <c r="AL25" i="4"/>
  <c r="AL26" i="4" s="1"/>
  <c r="AL29" i="4" s="1"/>
  <c r="R25" i="4"/>
  <c r="R26" i="4" s="1"/>
  <c r="R29" i="4" s="1"/>
  <c r="AH25" i="4"/>
  <c r="AH26" i="4" s="1"/>
  <c r="AH29" i="4" s="1"/>
  <c r="AC25" i="4"/>
  <c r="AC26" i="4" s="1"/>
  <c r="AC29" i="4" s="1"/>
  <c r="U25" i="4"/>
  <c r="U26" i="4" s="1"/>
  <c r="U29" i="4" s="1"/>
  <c r="B31" i="4"/>
  <c r="AG26" i="4"/>
  <c r="AG29" i="4" s="1"/>
  <c r="AM26" i="4"/>
  <c r="AM29" i="4" s="1"/>
  <c r="AK26" i="4"/>
  <c r="AK29" i="4" s="1"/>
  <c r="J25" i="4"/>
  <c r="J26" i="4" s="1"/>
  <c r="J29" i="4" s="1"/>
  <c r="E25" i="4"/>
  <c r="E26" i="4" s="1"/>
  <c r="E29" i="4" s="1"/>
  <c r="K25" i="4"/>
  <c r="K26" i="4" s="1"/>
  <c r="K29" i="4" s="1"/>
  <c r="G25" i="4"/>
  <c r="G26" i="4" s="1"/>
  <c r="G29" i="4" s="1"/>
  <c r="L25" i="4"/>
  <c r="L26" i="4" s="1"/>
  <c r="L29" i="4" s="1"/>
  <c r="M26" i="4"/>
  <c r="M29" i="4" s="1"/>
  <c r="F25" i="4"/>
  <c r="F26" i="4" s="1"/>
  <c r="F29" i="4" s="1"/>
  <c r="D25" i="4"/>
  <c r="D26" i="4" s="1"/>
  <c r="D29" i="4" s="1"/>
  <c r="H25" i="4"/>
  <c r="H26" i="4" s="1"/>
  <c r="H29" i="4" s="1"/>
  <c r="I25" i="4"/>
  <c r="I26" i="4" s="1"/>
  <c r="I29" i="4" s="1"/>
  <c r="N26" i="4"/>
  <c r="N29" i="4" s="1"/>
  <c r="O26" i="4"/>
  <c r="O29" i="4" s="1"/>
  <c r="AJ26" i="4"/>
  <c r="AJ29" i="4" s="1"/>
  <c r="B32" i="4" l="1"/>
  <c r="B33" i="4" s="1"/>
</calcChain>
</file>

<file path=xl/sharedStrings.xml><?xml version="1.0" encoding="utf-8"?>
<sst xmlns="http://schemas.openxmlformats.org/spreadsheetml/2006/main" count="98" uniqueCount="77">
  <si>
    <t>10≤CADR&lt;100</t>
  </si>
  <si>
    <t>100≤CADR&lt;150</t>
  </si>
  <si>
    <t>Tier 1</t>
  </si>
  <si>
    <t>Tier 2</t>
  </si>
  <si>
    <t>Households</t>
  </si>
  <si>
    <t>East North Central</t>
  </si>
  <si>
    <t>East South Central</t>
  </si>
  <si>
    <t>Middle Atlantic</t>
  </si>
  <si>
    <t>Mountain</t>
  </si>
  <si>
    <t>New England</t>
  </si>
  <si>
    <t>Pacific</t>
  </si>
  <si>
    <t>South Atlantic</t>
  </si>
  <si>
    <t>West North Central</t>
  </si>
  <si>
    <t>West South Central</t>
  </si>
  <si>
    <t>Annual shipments (million)</t>
  </si>
  <si>
    <t>Annual increase in shipments</t>
  </si>
  <si>
    <t>Average lifetime (years)</t>
  </si>
  <si>
    <t>Annual energy savings (TWh)</t>
  </si>
  <si>
    <t>Tier 1 per-unit weighted-average savings (kWh/year)</t>
  </si>
  <si>
    <t>% of sales not meeting Tier 1</t>
  </si>
  <si>
    <t>% of sales not meeting Tier 2</t>
  </si>
  <si>
    <t>Full fuel cycle multipliers</t>
  </si>
  <si>
    <t>Heat rate (Btu/kWh)</t>
  </si>
  <si>
    <t>Affected stock (million)</t>
  </si>
  <si>
    <t>Tier 2 per-unit weighted-average savings relative to Tier 1 (kWh/year)</t>
  </si>
  <si>
    <t>Active mode hours (hrs)</t>
  </si>
  <si>
    <t>Standby mode hours (hrs)</t>
  </si>
  <si>
    <t>Average standby power (W)</t>
  </si>
  <si>
    <t>PM2.5 CADR/smoke CADR</t>
  </si>
  <si>
    <t>Sales-weighted average smoke CADR of models in bin</t>
  </si>
  <si>
    <t>smoke CADR/W</t>
  </si>
  <si>
    <t>Per-unit annual energy use (kWh)</t>
  </si>
  <si>
    <t>integrated PM2.5 CADR/W</t>
  </si>
  <si>
    <t>CADR bin</t>
  </si>
  <si>
    <t>150≤CADR</t>
  </si>
  <si>
    <t>Base case</t>
  </si>
  <si>
    <t xml:space="preserve">Tier 1 </t>
  </si>
  <si>
    <t>Per-unit annual energy use (kWh/year)</t>
  </si>
  <si>
    <t>2021 shipments (million)</t>
  </si>
  <si>
    <t>Market share</t>
  </si>
  <si>
    <t>Weighted-average</t>
  </si>
  <si>
    <t>Per-unit energy savings (kWh/year)</t>
  </si>
  <si>
    <t>Tier 2 (relative to Tier 1)</t>
  </si>
  <si>
    <t>Census region</t>
  </si>
  <si>
    <t>Total</t>
  </si>
  <si>
    <t>Marginal electricity price (2021$/kWh)</t>
  </si>
  <si>
    <t>Per-unit electricity bill savings (2021$/year)</t>
  </si>
  <si>
    <t>% of total households</t>
  </si>
  <si>
    <t>Annual full-fuel-cycle energy savings (quads)</t>
  </si>
  <si>
    <t>Tier 1 cumulative full-fuel-cycle energy savings (quads)</t>
  </si>
  <si>
    <t>Tier 2 cumulative full-cuel-cycle energy savings (quads)</t>
  </si>
  <si>
    <t>Total cumulative full-fuel-cycle energy savings (quads)</t>
  </si>
  <si>
    <t>Source:</t>
  </si>
  <si>
    <t>Joint Stakeholders assumption</t>
  </si>
  <si>
    <t>Xcel Energy Utilities -- Retail Products Platform: Product Analysis</t>
  </si>
  <si>
    <t>Determination from AHAM Verifide Directory / Manufacturer Data</t>
  </si>
  <si>
    <t>Existing and Derived Air Cleaner Data</t>
  </si>
  <si>
    <t>Heat rate (Btu/kWh) (see source above)</t>
  </si>
  <si>
    <t>Full fuel cycle multipliers (see source above)</t>
  </si>
  <si>
    <t>DOE Pre-Technical Support Document: Energy Efficiency Program for Consumer Products and Commercial and Industrial Equipment: Dehumidifiers -- June 2022</t>
  </si>
  <si>
    <t>Table 10B 2.1.</t>
  </si>
  <si>
    <t xml:space="preserve">Table 10B 4.1. </t>
  </si>
  <si>
    <t>Existing Air Cleaner Data</t>
  </si>
  <si>
    <t>Elec. $: DOE Pre-TSD Dehumidifier June 2022 -- Table 8.3.1</t>
  </si>
  <si>
    <t>Households:</t>
  </si>
  <si>
    <t>U.S. Census QuickFacts</t>
  </si>
  <si>
    <t>AHAM Verifide Directory / member data</t>
  </si>
  <si>
    <t>ENERGY STAR Certified Product Data Sets and API -- Certified Room Air Cleaners -- annual_energy_use_kwh_year</t>
  </si>
  <si>
    <t>Sources (for above calculations):</t>
  </si>
  <si>
    <t>Market Share: AHAM Verifide Directory / member data</t>
  </si>
  <si>
    <t>Sales-weighted Average Smoke CADR: Air Purifier NPD Analysis 2022</t>
  </si>
  <si>
    <t>Base case per-unit annual energy: AHAM Verifide Directory / member data</t>
  </si>
  <si>
    <t>Joint Stakeholders calculation</t>
  </si>
  <si>
    <t>Sources (for the below calculations):</t>
  </si>
  <si>
    <t>Sources:</t>
  </si>
  <si>
    <t>Air Purifier NPD Analysis 2022</t>
  </si>
  <si>
    <t>ENERGY STAR Most Efficient 2022 Update and 2023 Proposed 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</si>
</sst>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"/>
    <numFmt numFmtId="166" formatCode="#,##0.000"/>
    <numFmt numFmtId="167" formatCode="0.0"/>
    <numFmt numFmtId="168" formatCode="#,##0.0"/>
    <numFmt numFmtId="169" formatCode="#,##0.00000"/>
    <numFmt numFmtId="170" formatCode="&quot;$&quot;#,##0.00"/>
  </numFmts>
  <fonts count="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  <xf numFmtId="167" fontId="0" fillId="0" borderId="10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167" fontId="0" fillId="0" borderId="15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0" fillId="0" borderId="30" xfId="0" applyFill="1" applyBorder="1" applyAlignment="1">
      <alignment horizontal="center"/>
    </xf>
    <xf numFmtId="167" fontId="0" fillId="0" borderId="29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0" fillId="0" borderId="26" xfId="0" applyFill="1" applyBorder="1" applyAlignment="1">
      <alignment horizontal="center"/>
    </xf>
    <xf numFmtId="167" fontId="0" fillId="0" borderId="33" xfId="0" applyNumberFormat="1" applyBorder="1" applyAlignment="1">
      <alignment horizontal="center"/>
    </xf>
    <xf numFmtId="3" fontId="0" fillId="0" borderId="32" xfId="0" applyNumberFormat="1" applyBorder="1" applyAlignment="1">
      <alignment horizontal="center"/>
    </xf>
    <xf numFmtId="2" fontId="0" fillId="0" borderId="32" xfId="0" applyNumberFormat="1" applyBorder="1" applyAlignment="1">
      <alignment horizontal="center"/>
    </xf>
    <xf numFmtId="9" fontId="0" fillId="0" borderId="28" xfId="5" applyFont="1" applyBorder="1" applyAlignment="1">
      <alignment horizontal="center"/>
    </xf>
    <xf numFmtId="9" fontId="0" fillId="0" borderId="11" xfId="5" applyFont="1" applyBorder="1" applyAlignment="1">
      <alignment horizontal="center"/>
    </xf>
    <xf numFmtId="9" fontId="0" fillId="0" borderId="32" xfId="5" applyFont="1" applyBorder="1" applyAlignment="1">
      <alignment horizontal="center"/>
    </xf>
    <xf numFmtId="9" fontId="0" fillId="0" borderId="8" xfId="5" applyFont="1" applyBorder="1" applyAlignment="1">
      <alignment horizontal="center"/>
    </xf>
    <xf numFmtId="9" fontId="0" fillId="0" borderId="13" xfId="5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35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27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41" xfId="0" applyNumberFormat="1" applyBorder="1" applyAlignment="1">
      <alignment horizontal="center"/>
    </xf>
    <xf numFmtId="3" fontId="0" fillId="0" borderId="42" xfId="0" applyNumberFormat="1" applyBorder="1" applyAlignment="1">
      <alignment horizontal="center"/>
    </xf>
    <xf numFmtId="9" fontId="1" fillId="0" borderId="1" xfId="4" applyFon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9" fontId="1" fillId="0" borderId="4" xfId="4" applyFont="1" applyFill="1" applyBorder="1" applyAlignment="1">
      <alignment horizontal="center" vertical="center"/>
    </xf>
    <xf numFmtId="0" fontId="0" fillId="0" borderId="40" xfId="0" applyFill="1" applyBorder="1" applyAlignment="1">
      <alignment horizontal="center" vertical="center"/>
    </xf>
    <xf numFmtId="3" fontId="1" fillId="0" borderId="30" xfId="3" applyNumberFormat="1" applyFill="1" applyBorder="1" applyAlignment="1">
      <alignment horizontal="center" vertical="center"/>
    </xf>
    <xf numFmtId="3" fontId="1" fillId="0" borderId="3" xfId="3" applyNumberFormat="1" applyFill="1" applyBorder="1" applyAlignment="1">
      <alignment horizontal="center" vertical="center"/>
    </xf>
    <xf numFmtId="0" fontId="1" fillId="0" borderId="28" xfId="3" applyFill="1" applyBorder="1" applyAlignment="1">
      <alignment horizontal="center" vertical="center"/>
    </xf>
    <xf numFmtId="0" fontId="1" fillId="0" borderId="11" xfId="3" applyFill="1" applyBorder="1" applyAlignment="1">
      <alignment horizontal="center" vertical="center"/>
    </xf>
    <xf numFmtId="0" fontId="1" fillId="0" borderId="32" xfId="3" applyFill="1" applyBorder="1" applyAlignment="1">
      <alignment horizontal="center" vertical="center"/>
    </xf>
    <xf numFmtId="3" fontId="1" fillId="0" borderId="26" xfId="3" applyNumberFormat="1" applyFill="1" applyBorder="1" applyAlignment="1">
      <alignment horizontal="center" vertical="center"/>
    </xf>
    <xf numFmtId="9" fontId="1" fillId="0" borderId="5" xfId="4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/>
    </xf>
    <xf numFmtId="3" fontId="1" fillId="0" borderId="39" xfId="3" applyNumberFormat="1" applyFill="1" applyBorder="1" applyAlignment="1">
      <alignment horizontal="center"/>
    </xf>
    <xf numFmtId="9" fontId="1" fillId="0" borderId="37" xfId="3" applyNumberFormat="1" applyFill="1" applyBorder="1" applyAlignment="1">
      <alignment horizontal="center"/>
    </xf>
    <xf numFmtId="0" fontId="4" fillId="0" borderId="23" xfId="0" applyFont="1" applyFill="1" applyBorder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0" borderId="37" xfId="0" applyNumberFormat="1" applyFont="1" applyBorder="1" applyAlignment="1">
      <alignment horizontal="center"/>
    </xf>
    <xf numFmtId="1" fontId="3" fillId="0" borderId="38" xfId="0" applyNumberFormat="1" applyFont="1" applyBorder="1" applyAlignment="1">
      <alignment horizontal="center"/>
    </xf>
    <xf numFmtId="3" fontId="3" fillId="0" borderId="36" xfId="0" applyNumberFormat="1" applyFon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29" xfId="0" applyNumberFormat="1" applyBorder="1" applyAlignment="1">
      <alignment horizontal="center"/>
    </xf>
    <xf numFmtId="3" fontId="0" fillId="0" borderId="25" xfId="0" applyNumberFormat="1" applyBorder="1" applyAlignment="1">
      <alignment horizontal="center"/>
    </xf>
    <xf numFmtId="3" fontId="3" fillId="0" borderId="43" xfId="0" applyNumberFormat="1" applyFont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70" fontId="0" fillId="0" borderId="16" xfId="0" applyNumberFormat="1" applyBorder="1" applyAlignment="1">
      <alignment horizontal="center"/>
    </xf>
    <xf numFmtId="170" fontId="0" fillId="0" borderId="12" xfId="0" applyNumberFormat="1" applyBorder="1" applyAlignment="1">
      <alignment horizontal="center"/>
    </xf>
    <xf numFmtId="170" fontId="0" fillId="0" borderId="17" xfId="0" applyNumberForma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70" fontId="0" fillId="0" borderId="35" xfId="0" applyNumberFormat="1" applyBorder="1" applyAlignment="1">
      <alignment horizontal="center"/>
    </xf>
    <xf numFmtId="170" fontId="3" fillId="2" borderId="36" xfId="0" applyNumberFormat="1" applyFont="1" applyFill="1" applyBorder="1" applyAlignment="1">
      <alignment horizontal="center"/>
    </xf>
    <xf numFmtId="170" fontId="3" fillId="2" borderId="38" xfId="0" applyNumberFormat="1" applyFont="1" applyFill="1" applyBorder="1" applyAlignment="1">
      <alignment horizontal="center"/>
    </xf>
    <xf numFmtId="0" fontId="3" fillId="7" borderId="2" xfId="0" applyFont="1" applyFill="1" applyBorder="1"/>
    <xf numFmtId="0" fontId="3" fillId="7" borderId="44" xfId="0" applyFont="1" applyFill="1" applyBorder="1"/>
    <xf numFmtId="0" fontId="3" fillId="7" borderId="3" xfId="0" applyFont="1" applyFill="1" applyBorder="1"/>
    <xf numFmtId="0" fontId="0" fillId="0" borderId="44" xfId="0" applyBorder="1"/>
    <xf numFmtId="0" fontId="0" fillId="0" borderId="3" xfId="0" applyBorder="1"/>
    <xf numFmtId="0" fontId="0" fillId="0" borderId="2" xfId="0" applyBorder="1"/>
    <xf numFmtId="0" fontId="3" fillId="7" borderId="1" xfId="0" applyFont="1" applyFill="1" applyBorder="1"/>
    <xf numFmtId="9" fontId="3" fillId="7" borderId="44" xfId="5" applyFont="1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0" fillId="5" borderId="2" xfId="0" applyFill="1" applyBorder="1"/>
    <xf numFmtId="9" fontId="0" fillId="5" borderId="44" xfId="5" applyFont="1" applyFill="1" applyBorder="1" applyAlignment="1">
      <alignment horizontal="center"/>
    </xf>
    <xf numFmtId="0" fontId="0" fillId="5" borderId="44" xfId="0" applyFill="1" applyBorder="1"/>
    <xf numFmtId="0" fontId="0" fillId="5" borderId="3" xfId="0" applyFill="1" applyBorder="1"/>
    <xf numFmtId="0" fontId="6" fillId="0" borderId="1" xfId="0" applyFont="1" applyBorder="1" applyAlignment="1">
      <alignment horizontal="center"/>
    </xf>
    <xf numFmtId="0" fontId="0" fillId="0" borderId="1" xfId="0" applyBorder="1"/>
    <xf numFmtId="167" fontId="0" fillId="0" borderId="1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0" borderId="1" xfId="0" applyFont="1" applyBorder="1"/>
    <xf numFmtId="2" fontId="3" fillId="2" borderId="1" xfId="0" applyNumberFormat="1" applyFont="1" applyFill="1" applyBorder="1" applyAlignment="1">
      <alignment horizontal="center"/>
    </xf>
    <xf numFmtId="167" fontId="0" fillId="0" borderId="1" xfId="0" applyNumberFormat="1" applyFill="1" applyBorder="1" applyAlignment="1">
      <alignment horizontal="center"/>
    </xf>
    <xf numFmtId="164" fontId="0" fillId="0" borderId="1" xfId="5" applyNumberFormat="1" applyFont="1" applyFill="1" applyBorder="1" applyAlignment="1">
      <alignment horizontal="center"/>
    </xf>
    <xf numFmtId="0" fontId="0" fillId="0" borderId="1" xfId="5" applyNumberFormat="1" applyFont="1" applyBorder="1" applyAlignment="1">
      <alignment horizontal="center"/>
    </xf>
    <xf numFmtId="1" fontId="0" fillId="0" borderId="1" xfId="5" applyNumberFormat="1" applyFont="1" applyBorder="1" applyAlignment="1">
      <alignment horizontal="center"/>
    </xf>
    <xf numFmtId="9" fontId="0" fillId="0" borderId="1" xfId="5" applyFont="1" applyBorder="1" applyAlignment="1">
      <alignment horizontal="center"/>
    </xf>
    <xf numFmtId="0" fontId="8" fillId="5" borderId="2" xfId="6" applyFill="1" applyBorder="1"/>
    <xf numFmtId="165" fontId="0" fillId="5" borderId="44" xfId="0" applyNumberFormat="1" applyFill="1" applyBorder="1"/>
    <xf numFmtId="0" fontId="4" fillId="7" borderId="2" xfId="1" applyFont="1" applyFill="1" applyBorder="1" applyAlignment="1">
      <alignment horizontal="center" vertical="center" wrapText="1"/>
    </xf>
    <xf numFmtId="0" fontId="0" fillId="7" borderId="44" xfId="0" applyFill="1" applyBorder="1"/>
    <xf numFmtId="0" fontId="0" fillId="7" borderId="3" xfId="0" applyFill="1" applyBorder="1"/>
    <xf numFmtId="0" fontId="8" fillId="0" borderId="44" xfId="6" applyBorder="1"/>
    <xf numFmtId="0" fontId="0" fillId="5" borderId="33" xfId="0" applyFill="1" applyBorder="1"/>
    <xf numFmtId="0" fontId="0" fillId="5" borderId="45" xfId="0" applyFill="1" applyBorder="1"/>
    <xf numFmtId="0" fontId="0" fillId="5" borderId="26" xfId="0" applyFill="1" applyBorder="1"/>
    <xf numFmtId="0" fontId="0" fillId="5" borderId="25" xfId="0" applyFill="1" applyBorder="1"/>
    <xf numFmtId="0" fontId="0" fillId="5" borderId="0" xfId="0" applyFill="1" applyBorder="1"/>
    <xf numFmtId="0" fontId="0" fillId="5" borderId="46" xfId="0" applyFill="1" applyBorder="1"/>
    <xf numFmtId="0" fontId="0" fillId="5" borderId="29" xfId="0" applyFill="1" applyBorder="1"/>
    <xf numFmtId="0" fontId="0" fillId="5" borderId="47" xfId="0" applyFill="1" applyBorder="1"/>
    <xf numFmtId="0" fontId="0" fillId="5" borderId="30" xfId="0" applyFill="1" applyBorder="1"/>
    <xf numFmtId="0" fontId="7" fillId="7" borderId="23" xfId="3" applyFont="1" applyFill="1" applyBorder="1" applyAlignment="1">
      <alignment horizontal="center" vertical="center"/>
    </xf>
    <xf numFmtId="0" fontId="7" fillId="7" borderId="39" xfId="3" applyFont="1" applyFill="1" applyBorder="1" applyAlignment="1">
      <alignment horizontal="center" vertical="center"/>
    </xf>
    <xf numFmtId="0" fontId="7" fillId="7" borderId="37" xfId="3" applyFont="1" applyFill="1" applyBorder="1" applyAlignment="1">
      <alignment horizontal="center" vertical="center" wrapText="1"/>
    </xf>
    <xf numFmtId="0" fontId="7" fillId="7" borderId="38" xfId="3" applyFont="1" applyFill="1" applyBorder="1" applyAlignment="1">
      <alignment horizontal="center" vertical="center" wrapText="1"/>
    </xf>
    <xf numFmtId="165" fontId="3" fillId="2" borderId="38" xfId="0" applyNumberFormat="1" applyFont="1" applyFill="1" applyBorder="1" applyAlignment="1">
      <alignment horizontal="center"/>
    </xf>
    <xf numFmtId="0" fontId="0" fillId="7" borderId="1" xfId="0" applyFill="1" applyBorder="1"/>
    <xf numFmtId="0" fontId="0" fillId="7" borderId="3" xfId="0" applyFill="1" applyBorder="1" applyAlignment="1">
      <alignment horizontal="center"/>
    </xf>
    <xf numFmtId="0" fontId="0" fillId="5" borderId="2" xfId="0" applyFill="1" applyBorder="1" applyAlignment="1">
      <alignment horizontal="left"/>
    </xf>
    <xf numFmtId="3" fontId="0" fillId="5" borderId="1" xfId="0" applyNumberFormat="1" applyFill="1" applyBorder="1" applyAlignment="1">
      <alignment horizontal="center"/>
    </xf>
    <xf numFmtId="168" fontId="0" fillId="5" borderId="1" xfId="0" applyNumberFormat="1" applyFill="1" applyBorder="1" applyAlignment="1">
      <alignment horizontal="center"/>
    </xf>
    <xf numFmtId="169" fontId="0" fillId="5" borderId="1" xfId="0" applyNumberFormat="1" applyFill="1" applyBorder="1" applyAlignment="1">
      <alignment horizontal="center"/>
    </xf>
    <xf numFmtId="0" fontId="0" fillId="5" borderId="44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19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</cellXfs>
  <cellStyles count="7">
    <cellStyle name="Hyperlink" xfId="6" builtinId="8"/>
    <cellStyle name="Normal" xfId="0" builtinId="0"/>
    <cellStyle name="Normal 3" xfId="1"/>
    <cellStyle name="Normal 4" xfId="3"/>
    <cellStyle name="Percent" xfId="5" builtinId="5"/>
    <cellStyle name="Percent 3" xfId="2"/>
    <cellStyle name="Percent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37667\OneDrive%20-%20ICF\RACL\V2.0\Data%20and%20Analysis\TEMPLATE%20FOR%20SAVINGS%20Room%20Air%20Cleaners%20V2%20Data%20and%20Analysis%20-%200816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37667\OneDrive%20-%20ICF\EPA\Data%20Book\2019%20DB%20fuel%20pri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Key Product Criteria"/>
      <sheetName val="Energy and Cost Savings"/>
      <sheetName val="Shipments and Market Share"/>
      <sheetName val="Grow-To Savings"/>
      <sheetName val="Incremental Cost and Payback"/>
      <sheetName val="ENERGY STAR QPL"/>
      <sheetName val="AHAM Dataset"/>
      <sheetName val="Non-ES Models"/>
      <sheetName val="1. Introduction"/>
      <sheetName val="2. Version 2.0 Criteria"/>
      <sheetName val="3. Energy and Cost Savings"/>
      <sheetName val="4. Product Availability"/>
      <sheetName val="5. Incremental Cost and Payback"/>
      <sheetName val="6. ENERGY STAR QPL"/>
      <sheetName val="V2.0 Proposals CADRperW"/>
      <sheetName val="V2.0 Proposals w Standby"/>
      <sheetName val="7. AHAM Dataset"/>
      <sheetName val="8. Non-ES Models"/>
      <sheetName val="Product Availability"/>
      <sheetName val="Webscraped Filter Data Pivot"/>
      <sheetName val="Webscraped Filter Data"/>
      <sheetName val="In-Store Models (Helen of Troy)"/>
      <sheetName val="In-Store Models (ICF)"/>
      <sheetName val="HEPA Research"/>
      <sheetName val="HEPA Research (2)"/>
      <sheetName val="Reference Materials"/>
      <sheetName val="Draft Scatterplot"/>
      <sheetName val="Final Scatterplot"/>
      <sheetName val="Standby Scatter Plot"/>
      <sheetName val="Metric Crosswalk"/>
      <sheetName val="Efficency &amp; Size by Pollutants"/>
      <sheetName val="CARB Dataset"/>
      <sheetName val="CARB Dataset Pivot"/>
      <sheetName val="Consumer Reports Summary"/>
      <sheetName val="Fuel Prices"/>
    </sheetNames>
    <sheetDataSet>
      <sheetData sheetId="0"/>
      <sheetData sheetId="1"/>
      <sheetData sheetId="2">
        <row r="45">
          <cell r="D45">
            <v>75</v>
          </cell>
        </row>
        <row r="46">
          <cell r="D46">
            <v>122</v>
          </cell>
        </row>
        <row r="47">
          <cell r="D47">
            <v>171</v>
          </cell>
        </row>
        <row r="48">
          <cell r="D48">
            <v>302</v>
          </cell>
        </row>
        <row r="49">
          <cell r="D49">
            <v>9</v>
          </cell>
        </row>
        <row r="50">
          <cell r="D50">
            <v>5840</v>
          </cell>
        </row>
        <row r="51">
          <cell r="D51">
            <v>2920</v>
          </cell>
        </row>
        <row r="52">
          <cell r="D52">
            <v>0.12989999999999999</v>
          </cell>
        </row>
        <row r="55">
          <cell r="D55">
            <v>1.5589999999999999</v>
          </cell>
        </row>
        <row r="58">
          <cell r="D58">
            <v>0.25</v>
          </cell>
        </row>
      </sheetData>
      <sheetData sheetId="3">
        <row r="70">
          <cell r="D70">
            <v>2020</v>
          </cell>
        </row>
      </sheetData>
      <sheetData sheetId="4"/>
      <sheetData sheetId="5"/>
      <sheetData sheetId="6">
        <row r="3">
          <cell r="X3">
            <v>70</v>
          </cell>
          <cell r="Z3">
            <v>2.1</v>
          </cell>
          <cell r="AM3" t="str">
            <v>Filtrete</v>
          </cell>
          <cell r="AN3">
            <v>1.96</v>
          </cell>
          <cell r="AO3">
            <v>2.38</v>
          </cell>
        </row>
        <row r="4">
          <cell r="X4">
            <v>70</v>
          </cell>
          <cell r="Z4">
            <v>2.2000000000000002</v>
          </cell>
          <cell r="AM4" t="str">
            <v>Filtrete</v>
          </cell>
          <cell r="AN4">
            <v>2.0499999999999998</v>
          </cell>
          <cell r="AO4">
            <v>2.4900000000000002</v>
          </cell>
        </row>
        <row r="5">
          <cell r="X5">
            <v>68</v>
          </cell>
          <cell r="Z5">
            <v>2.2000000000000002</v>
          </cell>
          <cell r="AM5" t="str">
            <v>Filtrete</v>
          </cell>
          <cell r="AN5">
            <v>1.87</v>
          </cell>
          <cell r="AO5">
            <v>2.75</v>
          </cell>
        </row>
        <row r="6">
          <cell r="X6">
            <v>107</v>
          </cell>
          <cell r="Z6">
            <v>2.2000000000000002</v>
          </cell>
          <cell r="AM6" t="str">
            <v>Filtrete</v>
          </cell>
          <cell r="AN6">
            <v>2.14</v>
          </cell>
          <cell r="AO6">
            <v>2.7</v>
          </cell>
        </row>
        <row r="7">
          <cell r="X7">
            <v>100</v>
          </cell>
          <cell r="Z7">
            <v>2.2000000000000002</v>
          </cell>
          <cell r="AM7" t="str">
            <v>Filtrete</v>
          </cell>
          <cell r="AN7">
            <v>1.91</v>
          </cell>
          <cell r="AO7">
            <v>2.58</v>
          </cell>
        </row>
        <row r="8">
          <cell r="X8">
            <v>152</v>
          </cell>
          <cell r="Z8">
            <v>2.8</v>
          </cell>
          <cell r="AM8" t="str">
            <v>Therapure</v>
          </cell>
          <cell r="AN8">
            <v>2.82</v>
          </cell>
          <cell r="AO8">
            <v>2.95</v>
          </cell>
        </row>
        <row r="9">
          <cell r="X9">
            <v>102</v>
          </cell>
          <cell r="Z9">
            <v>2.7</v>
          </cell>
          <cell r="AM9" t="str">
            <v>GermGuardian</v>
          </cell>
          <cell r="AN9">
            <v>2.46</v>
          </cell>
          <cell r="AO9">
            <v>3.16</v>
          </cell>
        </row>
        <row r="10">
          <cell r="X10">
            <v>250</v>
          </cell>
          <cell r="Z10">
            <v>5.3</v>
          </cell>
          <cell r="AM10" t="str">
            <v>Atmosphere</v>
          </cell>
          <cell r="AN10">
            <v>5.3</v>
          </cell>
          <cell r="AO10">
            <v>5.3</v>
          </cell>
        </row>
        <row r="11">
          <cell r="X11">
            <v>300</v>
          </cell>
          <cell r="Z11">
            <v>6.7</v>
          </cell>
          <cell r="AM11" t="str">
            <v>Atmosphere</v>
          </cell>
          <cell r="AN11">
            <v>6.7</v>
          </cell>
          <cell r="AO11">
            <v>6.7</v>
          </cell>
        </row>
        <row r="12">
          <cell r="X12">
            <v>56</v>
          </cell>
          <cell r="Z12">
            <v>2</v>
          </cell>
          <cell r="AM12" t="str">
            <v>TruSens</v>
          </cell>
          <cell r="AN12">
            <v>1.33</v>
          </cell>
          <cell r="AO12">
            <v>2.2999999999999998</v>
          </cell>
        </row>
        <row r="13">
          <cell r="X13">
            <v>94.8</v>
          </cell>
          <cell r="Z13">
            <v>3.6</v>
          </cell>
          <cell r="AM13" t="str">
            <v>TruSens</v>
          </cell>
          <cell r="AN13">
            <v>3.06</v>
          </cell>
          <cell r="AO13">
            <v>3.78</v>
          </cell>
        </row>
        <row r="14">
          <cell r="X14">
            <v>155</v>
          </cell>
          <cell r="Z14">
            <v>2.1</v>
          </cell>
          <cell r="AM14" t="str">
            <v>ROWENTA</v>
          </cell>
          <cell r="AN14">
            <v>1.98</v>
          </cell>
          <cell r="AO14">
            <v>2.48</v>
          </cell>
        </row>
        <row r="15">
          <cell r="X15">
            <v>181</v>
          </cell>
          <cell r="Z15">
            <v>2.2999999999999998</v>
          </cell>
          <cell r="AM15" t="str">
            <v>Aerus</v>
          </cell>
          <cell r="AN15">
            <v>2.21</v>
          </cell>
          <cell r="AO15">
            <v>2.83</v>
          </cell>
        </row>
        <row r="16">
          <cell r="X16">
            <v>238</v>
          </cell>
          <cell r="Z16">
            <v>5.7</v>
          </cell>
          <cell r="AM16" t="str">
            <v>Airgle</v>
          </cell>
          <cell r="AN16">
            <v>5.36</v>
          </cell>
          <cell r="AO16">
            <v>5.38</v>
          </cell>
        </row>
        <row r="17">
          <cell r="X17">
            <v>196</v>
          </cell>
          <cell r="Z17">
            <v>5.6</v>
          </cell>
          <cell r="AM17" t="str">
            <v>Airgle</v>
          </cell>
          <cell r="AN17">
            <v>4.67</v>
          </cell>
          <cell r="AO17">
            <v>5.34</v>
          </cell>
        </row>
        <row r="18">
          <cell r="X18">
            <v>191</v>
          </cell>
          <cell r="Z18">
            <v>3.5</v>
          </cell>
          <cell r="AM18" t="str">
            <v>Airgle</v>
          </cell>
          <cell r="AN18">
            <v>3.39</v>
          </cell>
          <cell r="AO18">
            <v>3.39</v>
          </cell>
        </row>
        <row r="19">
          <cell r="X19">
            <v>450</v>
          </cell>
          <cell r="Z19">
            <v>2.1</v>
          </cell>
          <cell r="AM19" t="str">
            <v>Airgle</v>
          </cell>
          <cell r="AN19">
            <v>2.36</v>
          </cell>
          <cell r="AO19">
            <v>2.36</v>
          </cell>
        </row>
        <row r="20">
          <cell r="X20">
            <v>398</v>
          </cell>
          <cell r="Z20">
            <v>2.2000000000000002</v>
          </cell>
          <cell r="AM20" t="str">
            <v>Airgle</v>
          </cell>
          <cell r="AN20">
            <v>2.19</v>
          </cell>
          <cell r="AO20">
            <v>2.08</v>
          </cell>
        </row>
        <row r="21">
          <cell r="X21">
            <v>194</v>
          </cell>
          <cell r="Z21">
            <v>5.5</v>
          </cell>
          <cell r="AM21" t="str">
            <v>Alen</v>
          </cell>
          <cell r="AN21">
            <v>5.13</v>
          </cell>
          <cell r="AO21">
            <v>6.08</v>
          </cell>
        </row>
        <row r="22">
          <cell r="X22">
            <v>350</v>
          </cell>
          <cell r="Z22">
            <v>7.7</v>
          </cell>
          <cell r="AM22" t="str">
            <v>Alen</v>
          </cell>
          <cell r="AN22">
            <v>7.59</v>
          </cell>
          <cell r="AO22">
            <v>8.65</v>
          </cell>
        </row>
        <row r="23">
          <cell r="X23">
            <v>158</v>
          </cell>
          <cell r="Z23">
            <v>2</v>
          </cell>
          <cell r="AM23" t="str">
            <v>Filtrete</v>
          </cell>
          <cell r="AN23">
            <v>1.98</v>
          </cell>
          <cell r="AO23">
            <v>2.5</v>
          </cell>
        </row>
        <row r="24">
          <cell r="X24">
            <v>256</v>
          </cell>
          <cell r="Z24">
            <v>2.2999999999999998</v>
          </cell>
          <cell r="AM24" t="str">
            <v>Alen</v>
          </cell>
          <cell r="AN24">
            <v>2.11</v>
          </cell>
          <cell r="AO24">
            <v>2.48</v>
          </cell>
        </row>
        <row r="25">
          <cell r="X25">
            <v>106</v>
          </cell>
          <cell r="Z25">
            <v>2</v>
          </cell>
          <cell r="AM25" t="str">
            <v>Alen</v>
          </cell>
          <cell r="AN25">
            <v>1.93</v>
          </cell>
          <cell r="AO25">
            <v>1.6</v>
          </cell>
        </row>
        <row r="26">
          <cell r="X26">
            <v>108</v>
          </cell>
          <cell r="Z26">
            <v>2</v>
          </cell>
          <cell r="AM26" t="str">
            <v>GermGuardian</v>
          </cell>
          <cell r="AN26">
            <v>1.89</v>
          </cell>
          <cell r="AO26">
            <v>2.23</v>
          </cell>
        </row>
        <row r="27">
          <cell r="X27">
            <v>159</v>
          </cell>
          <cell r="Z27">
            <v>8.4</v>
          </cell>
          <cell r="AM27" t="str">
            <v>Nectar</v>
          </cell>
          <cell r="AN27">
            <v>8.3000000000000007</v>
          </cell>
          <cell r="AO27">
            <v>9.1300000000000008</v>
          </cell>
        </row>
        <row r="28">
          <cell r="X28">
            <v>46.6</v>
          </cell>
          <cell r="Z28">
            <v>57.1</v>
          </cell>
          <cell r="AM28" t="str">
            <v>Nectar</v>
          </cell>
          <cell r="AN28">
            <v>46.6</v>
          </cell>
          <cell r="AO28">
            <v>67</v>
          </cell>
        </row>
        <row r="29">
          <cell r="X29">
            <v>159</v>
          </cell>
          <cell r="Z29">
            <v>3.3</v>
          </cell>
          <cell r="AM29" t="str">
            <v>Febreze</v>
          </cell>
          <cell r="AN29">
            <v>2.85</v>
          </cell>
          <cell r="AO29">
            <v>3.64</v>
          </cell>
        </row>
        <row r="30">
          <cell r="X30">
            <v>159.19999999999999</v>
          </cell>
          <cell r="Z30">
            <v>2</v>
          </cell>
          <cell r="AM30" t="str">
            <v>HOMEDICS</v>
          </cell>
          <cell r="AN30">
            <v>1.97</v>
          </cell>
          <cell r="AO30">
            <v>2.06</v>
          </cell>
        </row>
        <row r="31">
          <cell r="X31">
            <v>167.5</v>
          </cell>
          <cell r="Z31">
            <v>2.2000000000000002</v>
          </cell>
          <cell r="AM31" t="str">
            <v>Life Cell</v>
          </cell>
          <cell r="AN31">
            <v>1.95</v>
          </cell>
          <cell r="AO31">
            <v>2.31</v>
          </cell>
        </row>
        <row r="32">
          <cell r="X32">
            <v>77</v>
          </cell>
          <cell r="Z32">
            <v>2.6</v>
          </cell>
          <cell r="AM32" t="str">
            <v>Whirlpool</v>
          </cell>
          <cell r="AN32">
            <v>2.33</v>
          </cell>
          <cell r="AO32">
            <v>2.6</v>
          </cell>
        </row>
        <row r="33">
          <cell r="X33">
            <v>142</v>
          </cell>
          <cell r="Z33">
            <v>3.6</v>
          </cell>
          <cell r="AM33" t="str">
            <v>Whirlpool</v>
          </cell>
          <cell r="AN33">
            <v>3.36</v>
          </cell>
          <cell r="AO33">
            <v>3.88</v>
          </cell>
        </row>
        <row r="34">
          <cell r="X34">
            <v>165</v>
          </cell>
          <cell r="Z34">
            <v>2.2999999999999998</v>
          </cell>
          <cell r="AM34" t="str">
            <v>Life Cell</v>
          </cell>
          <cell r="AN34">
            <v>1.86</v>
          </cell>
          <cell r="AO34">
            <v>2.44</v>
          </cell>
        </row>
        <row r="35">
          <cell r="X35">
            <v>168</v>
          </cell>
          <cell r="Z35">
            <v>2.0499999999999998</v>
          </cell>
          <cell r="AM35" t="str">
            <v>Bionaire</v>
          </cell>
          <cell r="AN35">
            <v>1.98</v>
          </cell>
          <cell r="AO35">
            <v>1.65</v>
          </cell>
        </row>
        <row r="36">
          <cell r="X36">
            <v>313.2</v>
          </cell>
          <cell r="Z36">
            <v>4.2</v>
          </cell>
          <cell r="AM36" t="str">
            <v>BISSELL Air Care</v>
          </cell>
          <cell r="AN36">
            <v>4.12</v>
          </cell>
          <cell r="AO36">
            <v>4.8</v>
          </cell>
        </row>
        <row r="37">
          <cell r="X37">
            <v>105</v>
          </cell>
          <cell r="Z37">
            <v>11.2</v>
          </cell>
          <cell r="AM37" t="str">
            <v>BLUE</v>
          </cell>
          <cell r="AN37">
            <v>9.8000000000000007</v>
          </cell>
          <cell r="AO37">
            <v>11.2</v>
          </cell>
        </row>
        <row r="38">
          <cell r="X38">
            <v>155</v>
          </cell>
          <cell r="Z38">
            <v>2.48</v>
          </cell>
          <cell r="AM38" t="str">
            <v>Blueair</v>
          </cell>
          <cell r="AN38">
            <v>2.48</v>
          </cell>
          <cell r="AO38">
            <v>2.48</v>
          </cell>
        </row>
        <row r="39">
          <cell r="X39">
            <v>180</v>
          </cell>
          <cell r="Z39">
            <v>2.7</v>
          </cell>
          <cell r="AM39" t="str">
            <v>Blueair</v>
          </cell>
          <cell r="AN39">
            <v>2.4300000000000002</v>
          </cell>
          <cell r="AO39">
            <v>2.7</v>
          </cell>
        </row>
        <row r="40">
          <cell r="X40">
            <v>155</v>
          </cell>
          <cell r="Z40">
            <v>2.48</v>
          </cell>
          <cell r="AM40" t="str">
            <v>Blueair</v>
          </cell>
          <cell r="AN40">
            <v>2.48</v>
          </cell>
          <cell r="AO40">
            <v>2.48</v>
          </cell>
        </row>
        <row r="41">
          <cell r="X41">
            <v>240</v>
          </cell>
          <cell r="Z41">
            <v>2.5</v>
          </cell>
          <cell r="AM41" t="str">
            <v>Blueair</v>
          </cell>
          <cell r="AN41">
            <v>2.5</v>
          </cell>
          <cell r="AO41">
            <v>2.5</v>
          </cell>
        </row>
        <row r="42">
          <cell r="X42">
            <v>280</v>
          </cell>
          <cell r="Z42">
            <v>3.6</v>
          </cell>
          <cell r="AM42" t="str">
            <v>Blueair</v>
          </cell>
          <cell r="AN42">
            <v>3.36</v>
          </cell>
          <cell r="AO42">
            <v>3.6</v>
          </cell>
        </row>
        <row r="43">
          <cell r="X43">
            <v>240</v>
          </cell>
          <cell r="Z43">
            <v>2.5</v>
          </cell>
          <cell r="AM43" t="str">
            <v>Blueair</v>
          </cell>
          <cell r="AN43">
            <v>2.5</v>
          </cell>
          <cell r="AO43">
            <v>2.5</v>
          </cell>
        </row>
        <row r="44">
          <cell r="X44">
            <v>240</v>
          </cell>
          <cell r="Z44">
            <v>2.5</v>
          </cell>
          <cell r="AM44" t="str">
            <v>Blueair</v>
          </cell>
          <cell r="AN44">
            <v>2.5</v>
          </cell>
          <cell r="AO44">
            <v>2.5</v>
          </cell>
        </row>
        <row r="45">
          <cell r="X45">
            <v>375</v>
          </cell>
          <cell r="Z45">
            <v>3.968</v>
          </cell>
          <cell r="AM45" t="str">
            <v>Blueair</v>
          </cell>
          <cell r="AN45">
            <v>3.97</v>
          </cell>
          <cell r="AO45">
            <v>3.97</v>
          </cell>
        </row>
        <row r="46">
          <cell r="X46">
            <v>450</v>
          </cell>
          <cell r="Z46">
            <v>3.9</v>
          </cell>
          <cell r="AM46" t="str">
            <v>Blueair</v>
          </cell>
          <cell r="AN46">
            <v>4.3899999999999997</v>
          </cell>
          <cell r="AO46">
            <v>4.3899999999999997</v>
          </cell>
        </row>
        <row r="47">
          <cell r="X47">
            <v>434</v>
          </cell>
          <cell r="Z47">
            <v>3.7</v>
          </cell>
          <cell r="AM47" t="str">
            <v>Blueair</v>
          </cell>
          <cell r="AN47">
            <v>3.78</v>
          </cell>
          <cell r="AO47">
            <v>4.46</v>
          </cell>
        </row>
        <row r="48">
          <cell r="X48">
            <v>450</v>
          </cell>
          <cell r="Z48">
            <v>3.9</v>
          </cell>
          <cell r="AM48" t="str">
            <v>Blueair</v>
          </cell>
          <cell r="AN48">
            <v>4.3899999999999997</v>
          </cell>
          <cell r="AO48">
            <v>4.3899999999999997</v>
          </cell>
        </row>
        <row r="49">
          <cell r="X49">
            <v>115</v>
          </cell>
          <cell r="Z49">
            <v>12.9</v>
          </cell>
          <cell r="AM49" t="str">
            <v>Blueair</v>
          </cell>
          <cell r="AN49">
            <v>12.36</v>
          </cell>
          <cell r="AO49">
            <v>13.98</v>
          </cell>
        </row>
        <row r="50">
          <cell r="X50">
            <v>450</v>
          </cell>
          <cell r="Z50">
            <v>3.6</v>
          </cell>
          <cell r="AM50" t="str">
            <v>Blueair</v>
          </cell>
          <cell r="AN50">
            <v>4.05</v>
          </cell>
          <cell r="AO50">
            <v>4.05</v>
          </cell>
        </row>
        <row r="51">
          <cell r="X51">
            <v>286.89999999999998</v>
          </cell>
          <cell r="Z51">
            <v>3.2</v>
          </cell>
          <cell r="AM51" t="str">
            <v>Blueair</v>
          </cell>
          <cell r="AN51">
            <v>3.63</v>
          </cell>
          <cell r="AO51">
            <v>4.47</v>
          </cell>
        </row>
        <row r="52">
          <cell r="X52">
            <v>450</v>
          </cell>
          <cell r="Z52">
            <v>2</v>
          </cell>
          <cell r="AM52" t="str">
            <v>Blueair</v>
          </cell>
          <cell r="AN52">
            <v>2.25</v>
          </cell>
          <cell r="AO52">
            <v>2.25</v>
          </cell>
        </row>
        <row r="53">
          <cell r="X53">
            <v>400</v>
          </cell>
          <cell r="Z53">
            <v>6.3</v>
          </cell>
          <cell r="AM53" t="str">
            <v>Blueair</v>
          </cell>
          <cell r="AN53">
            <v>6.3</v>
          </cell>
          <cell r="AO53">
            <v>6.3</v>
          </cell>
        </row>
        <row r="54">
          <cell r="X54">
            <v>350</v>
          </cell>
          <cell r="Z54">
            <v>6.3</v>
          </cell>
          <cell r="AM54" t="str">
            <v>Blueair</v>
          </cell>
          <cell r="AN54">
            <v>6.3</v>
          </cell>
          <cell r="AO54">
            <v>6.3</v>
          </cell>
        </row>
        <row r="55">
          <cell r="X55">
            <v>350</v>
          </cell>
          <cell r="Z55">
            <v>6.5</v>
          </cell>
          <cell r="AM55" t="str">
            <v>Blueair</v>
          </cell>
          <cell r="AN55">
            <v>6.5</v>
          </cell>
          <cell r="AO55">
            <v>6.5</v>
          </cell>
        </row>
        <row r="56">
          <cell r="X56">
            <v>100</v>
          </cell>
          <cell r="Z56">
            <v>4.3</v>
          </cell>
          <cell r="AM56" t="str">
            <v>Blueair</v>
          </cell>
          <cell r="AN56">
            <v>4.3</v>
          </cell>
          <cell r="AO56">
            <v>4.3</v>
          </cell>
        </row>
        <row r="57">
          <cell r="X57">
            <v>120</v>
          </cell>
          <cell r="Z57">
            <v>3.2</v>
          </cell>
          <cell r="AM57" t="str">
            <v>Blueair</v>
          </cell>
          <cell r="AN57">
            <v>2.74</v>
          </cell>
          <cell r="AO57">
            <v>3.43</v>
          </cell>
        </row>
        <row r="58">
          <cell r="X58">
            <v>450</v>
          </cell>
          <cell r="Z58">
            <v>3.3</v>
          </cell>
          <cell r="AM58" t="str">
            <v>LUX</v>
          </cell>
          <cell r="AN58">
            <v>3.71</v>
          </cell>
          <cell r="AO58">
            <v>3.71</v>
          </cell>
        </row>
        <row r="59">
          <cell r="X59">
            <v>213</v>
          </cell>
          <cell r="Z59">
            <v>4.5</v>
          </cell>
          <cell r="AM59" t="str">
            <v>Master Craft</v>
          </cell>
          <cell r="AN59">
            <v>4.13</v>
          </cell>
          <cell r="AO59">
            <v>4.87</v>
          </cell>
        </row>
        <row r="60">
          <cell r="X60">
            <v>100</v>
          </cell>
          <cell r="Z60">
            <v>2</v>
          </cell>
          <cell r="AM60" t="str">
            <v>Master Craft</v>
          </cell>
          <cell r="AN60">
            <v>2</v>
          </cell>
          <cell r="AO60">
            <v>2</v>
          </cell>
        </row>
        <row r="61">
          <cell r="X61">
            <v>150</v>
          </cell>
          <cell r="Z61">
            <v>2.1</v>
          </cell>
          <cell r="AM61" t="str">
            <v>Master Craft</v>
          </cell>
          <cell r="AN61">
            <v>2.1</v>
          </cell>
          <cell r="AO61">
            <v>2.1</v>
          </cell>
        </row>
        <row r="62">
          <cell r="X62">
            <v>113</v>
          </cell>
          <cell r="Z62">
            <v>5.5</v>
          </cell>
          <cell r="AM62" t="str">
            <v>Boneco</v>
          </cell>
          <cell r="AN62">
            <v>4.5</v>
          </cell>
          <cell r="AO62">
            <v>5.7</v>
          </cell>
        </row>
        <row r="63">
          <cell r="X63">
            <v>112</v>
          </cell>
          <cell r="Z63">
            <v>5.8</v>
          </cell>
          <cell r="AM63" t="str">
            <v>Boneco</v>
          </cell>
          <cell r="AN63">
            <v>5.2</v>
          </cell>
          <cell r="AO63">
            <v>6.12</v>
          </cell>
        </row>
        <row r="64">
          <cell r="X64">
            <v>122</v>
          </cell>
          <cell r="Z64">
            <v>5.6</v>
          </cell>
          <cell r="AM64" t="str">
            <v>Boneco</v>
          </cell>
          <cell r="AN64">
            <v>4.6500000000000004</v>
          </cell>
          <cell r="AO64">
            <v>6.44</v>
          </cell>
        </row>
        <row r="65">
          <cell r="X65">
            <v>144</v>
          </cell>
          <cell r="Z65">
            <v>5.2</v>
          </cell>
          <cell r="AM65" t="str">
            <v>Boneco</v>
          </cell>
          <cell r="AN65">
            <v>4.62</v>
          </cell>
          <cell r="AO65">
            <v>6.48</v>
          </cell>
        </row>
        <row r="66">
          <cell r="X66">
            <v>150</v>
          </cell>
          <cell r="Z66">
            <v>4.9000000000000004</v>
          </cell>
          <cell r="AM66" t="str">
            <v>Boneco</v>
          </cell>
          <cell r="AN66">
            <v>4.4000000000000004</v>
          </cell>
          <cell r="AO66">
            <v>5.55</v>
          </cell>
        </row>
        <row r="67">
          <cell r="X67">
            <v>156</v>
          </cell>
          <cell r="Z67">
            <v>2</v>
          </cell>
          <cell r="AM67" t="str">
            <v>Brondell</v>
          </cell>
          <cell r="AN67">
            <v>1.76</v>
          </cell>
          <cell r="AO67">
            <v>2.11</v>
          </cell>
        </row>
        <row r="68">
          <cell r="X68">
            <v>157</v>
          </cell>
          <cell r="Z68">
            <v>3.8</v>
          </cell>
          <cell r="AM68" t="str">
            <v>Brondell</v>
          </cell>
          <cell r="AN68">
            <v>3.66</v>
          </cell>
          <cell r="AO68">
            <v>4.01</v>
          </cell>
        </row>
        <row r="69">
          <cell r="X69">
            <v>443</v>
          </cell>
          <cell r="Z69">
            <v>6.3</v>
          </cell>
          <cell r="AM69" t="str">
            <v>CLK Corporation</v>
          </cell>
          <cell r="AN69">
            <v>6.98</v>
          </cell>
          <cell r="AO69">
            <v>7.09</v>
          </cell>
        </row>
        <row r="70">
          <cell r="X70">
            <v>275</v>
          </cell>
          <cell r="Z70">
            <v>10.5</v>
          </cell>
          <cell r="AM70" t="str">
            <v>Klarwind</v>
          </cell>
          <cell r="AN70">
            <v>10.130000000000001</v>
          </cell>
          <cell r="AO70">
            <v>12.56</v>
          </cell>
        </row>
        <row r="71">
          <cell r="X71">
            <v>378</v>
          </cell>
          <cell r="Z71">
            <v>9.9</v>
          </cell>
          <cell r="AM71" t="str">
            <v>Klarwind</v>
          </cell>
          <cell r="AN71">
            <v>9.67</v>
          </cell>
          <cell r="AO71">
            <v>11.03</v>
          </cell>
        </row>
        <row r="72">
          <cell r="X72">
            <v>60</v>
          </cell>
          <cell r="Z72">
            <v>2.4</v>
          </cell>
          <cell r="AM72" t="str">
            <v>RevitalAir</v>
          </cell>
          <cell r="AN72">
            <v>1.69</v>
          </cell>
          <cell r="AO72">
            <v>2.21</v>
          </cell>
        </row>
        <row r="73">
          <cell r="X73">
            <v>309</v>
          </cell>
          <cell r="Z73">
            <v>5.4</v>
          </cell>
          <cell r="AM73" t="str">
            <v>AIRMEGA</v>
          </cell>
          <cell r="AN73">
            <v>5.46</v>
          </cell>
          <cell r="AO73">
            <v>5.99</v>
          </cell>
        </row>
        <row r="74">
          <cell r="X74">
            <v>328.2</v>
          </cell>
          <cell r="Z74">
            <v>5.0999999999999996</v>
          </cell>
          <cell r="AM74" t="str">
            <v>Coway</v>
          </cell>
          <cell r="AN74">
            <v>5.0999999999999996</v>
          </cell>
          <cell r="AO74">
            <v>6.21</v>
          </cell>
        </row>
        <row r="75">
          <cell r="X75">
            <v>227</v>
          </cell>
          <cell r="Z75">
            <v>3.4</v>
          </cell>
          <cell r="AM75" t="str">
            <v>Coway</v>
          </cell>
          <cell r="AN75">
            <v>3.3</v>
          </cell>
          <cell r="AO75">
            <v>3.72</v>
          </cell>
        </row>
        <row r="76">
          <cell r="X76">
            <v>263.5</v>
          </cell>
          <cell r="Z76">
            <v>4.5999999999999996</v>
          </cell>
          <cell r="AM76" t="str">
            <v>Coway</v>
          </cell>
          <cell r="AN76">
            <v>4.01</v>
          </cell>
          <cell r="AO76">
            <v>5.21</v>
          </cell>
        </row>
        <row r="77">
          <cell r="X77">
            <v>177.5</v>
          </cell>
          <cell r="Z77">
            <v>3.98</v>
          </cell>
          <cell r="AM77" t="str">
            <v>Coway</v>
          </cell>
          <cell r="AN77">
            <v>3.78</v>
          </cell>
          <cell r="AO77">
            <v>4.1900000000000004</v>
          </cell>
        </row>
        <row r="78">
          <cell r="X78">
            <v>155</v>
          </cell>
          <cell r="Z78">
            <v>3.98</v>
          </cell>
          <cell r="AM78" t="str">
            <v>Coway</v>
          </cell>
          <cell r="AN78">
            <v>3.53</v>
          </cell>
          <cell r="AO78">
            <v>4.3899999999999997</v>
          </cell>
        </row>
        <row r="79">
          <cell r="X79">
            <v>145</v>
          </cell>
          <cell r="Z79">
            <v>3.98</v>
          </cell>
          <cell r="AM79" t="str">
            <v>Coway</v>
          </cell>
          <cell r="AN79">
            <v>3.36</v>
          </cell>
          <cell r="AO79">
            <v>5.1100000000000003</v>
          </cell>
        </row>
        <row r="80">
          <cell r="X80">
            <v>149</v>
          </cell>
          <cell r="Z80">
            <v>4.3</v>
          </cell>
          <cell r="AM80" t="str">
            <v>Coway</v>
          </cell>
          <cell r="AN80">
            <v>3.52</v>
          </cell>
          <cell r="AO80">
            <v>4.8</v>
          </cell>
        </row>
        <row r="81">
          <cell r="X81">
            <v>213</v>
          </cell>
          <cell r="Z81">
            <v>4.5999999999999996</v>
          </cell>
          <cell r="AM81" t="str">
            <v>Coway</v>
          </cell>
          <cell r="AN81">
            <v>4.17</v>
          </cell>
          <cell r="AO81">
            <v>5.13</v>
          </cell>
        </row>
        <row r="82">
          <cell r="X82">
            <v>134</v>
          </cell>
          <cell r="Z82">
            <v>3.8</v>
          </cell>
          <cell r="AM82" t="str">
            <v>Coway</v>
          </cell>
          <cell r="AN82">
            <v>3.37</v>
          </cell>
          <cell r="AO82">
            <v>3.93</v>
          </cell>
        </row>
        <row r="83">
          <cell r="X83">
            <v>168</v>
          </cell>
          <cell r="Z83">
            <v>3.1</v>
          </cell>
          <cell r="AM83" t="str">
            <v>Friedrich</v>
          </cell>
          <cell r="AN83">
            <v>2.98</v>
          </cell>
          <cell r="AO83">
            <v>3.12</v>
          </cell>
        </row>
        <row r="84">
          <cell r="X84">
            <v>240</v>
          </cell>
          <cell r="Z84">
            <v>3.3</v>
          </cell>
          <cell r="AM84" t="str">
            <v>Coway</v>
          </cell>
          <cell r="AN84">
            <v>3.21</v>
          </cell>
          <cell r="AO84">
            <v>3.98</v>
          </cell>
        </row>
        <row r="85">
          <cell r="X85">
            <v>109</v>
          </cell>
          <cell r="Z85">
            <v>2.2999999999999998</v>
          </cell>
          <cell r="AM85" t="str">
            <v>Coway</v>
          </cell>
          <cell r="AN85">
            <v>2.0499999999999998</v>
          </cell>
          <cell r="AO85">
            <v>2.2799999999999998</v>
          </cell>
        </row>
        <row r="86">
          <cell r="X86">
            <v>166</v>
          </cell>
          <cell r="Z86">
            <v>2.1</v>
          </cell>
          <cell r="AM86" t="str">
            <v>Woongjin</v>
          </cell>
          <cell r="AN86">
            <v>1.88</v>
          </cell>
          <cell r="AO86">
            <v>2.25</v>
          </cell>
        </row>
        <row r="87">
          <cell r="X87">
            <v>108.8</v>
          </cell>
          <cell r="Z87">
            <v>2.1</v>
          </cell>
          <cell r="AM87" t="str">
            <v>OregonScientific</v>
          </cell>
          <cell r="AN87">
            <v>1.86</v>
          </cell>
          <cell r="AO87">
            <v>1.99</v>
          </cell>
        </row>
        <row r="88">
          <cell r="X88">
            <v>110</v>
          </cell>
          <cell r="Z88">
            <v>2.7</v>
          </cell>
          <cell r="AM88" t="str">
            <v>Honeywell</v>
          </cell>
          <cell r="AN88">
            <v>2.4</v>
          </cell>
          <cell r="AO88">
            <v>2.5499999999999998</v>
          </cell>
        </row>
        <row r="89">
          <cell r="X89">
            <v>98</v>
          </cell>
          <cell r="Z89">
            <v>2.4500000000000002</v>
          </cell>
          <cell r="AM89" t="str">
            <v>Electrolux</v>
          </cell>
          <cell r="AN89">
            <v>2.4500000000000002</v>
          </cell>
          <cell r="AO89">
            <v>2.58</v>
          </cell>
        </row>
        <row r="90">
          <cell r="X90">
            <v>197</v>
          </cell>
          <cell r="Z90">
            <v>3.28</v>
          </cell>
          <cell r="AM90" t="str">
            <v>Electrolux</v>
          </cell>
          <cell r="AN90">
            <v>3.28</v>
          </cell>
          <cell r="AO90">
            <v>3.56</v>
          </cell>
        </row>
        <row r="91">
          <cell r="X91">
            <v>291</v>
          </cell>
          <cell r="Z91">
            <v>2.7</v>
          </cell>
          <cell r="AM91" t="str">
            <v>Electrolux</v>
          </cell>
          <cell r="AN91">
            <v>2.64</v>
          </cell>
          <cell r="AO91">
            <v>3.11</v>
          </cell>
        </row>
        <row r="92">
          <cell r="X92">
            <v>121.6</v>
          </cell>
          <cell r="Z92">
            <v>2.77</v>
          </cell>
          <cell r="AM92" t="str">
            <v>Frigidaire</v>
          </cell>
          <cell r="AN92">
            <v>2.04</v>
          </cell>
          <cell r="AO92">
            <v>2.98</v>
          </cell>
        </row>
        <row r="93">
          <cell r="X93">
            <v>149.5</v>
          </cell>
          <cell r="Z93">
            <v>2.2000000000000002</v>
          </cell>
          <cell r="AM93" t="str">
            <v>Frigidaire</v>
          </cell>
          <cell r="AN93">
            <v>2.14</v>
          </cell>
          <cell r="AO93">
            <v>2.61</v>
          </cell>
        </row>
        <row r="94">
          <cell r="X94">
            <v>111</v>
          </cell>
          <cell r="Z94">
            <v>2.2999999999999998</v>
          </cell>
          <cell r="AM94" t="str">
            <v>Kenmore</v>
          </cell>
          <cell r="AN94">
            <v>2.2999999999999998</v>
          </cell>
          <cell r="AO94">
            <v>2.34</v>
          </cell>
        </row>
        <row r="95">
          <cell r="X95">
            <v>182</v>
          </cell>
          <cell r="Z95">
            <v>2.1</v>
          </cell>
          <cell r="AM95" t="str">
            <v>ORANSI</v>
          </cell>
          <cell r="AN95">
            <v>1.95</v>
          </cell>
          <cell r="AO95">
            <v>2.23</v>
          </cell>
        </row>
        <row r="96">
          <cell r="X96">
            <v>120</v>
          </cell>
          <cell r="Z96">
            <v>2.6</v>
          </cell>
          <cell r="AM96" t="str">
            <v>PureGuardian</v>
          </cell>
          <cell r="AN96">
            <v>2.31</v>
          </cell>
          <cell r="AO96">
            <v>3.06</v>
          </cell>
        </row>
        <row r="97">
          <cell r="X97">
            <v>107.1</v>
          </cell>
          <cell r="Z97">
            <v>6.2</v>
          </cell>
          <cell r="AM97" t="str">
            <v>Ionic Pro Platinum</v>
          </cell>
          <cell r="AN97">
            <v>6.17</v>
          </cell>
          <cell r="AO97">
            <v>6.7</v>
          </cell>
        </row>
        <row r="98">
          <cell r="X98">
            <v>183</v>
          </cell>
          <cell r="Z98">
            <v>2.8</v>
          </cell>
          <cell r="AM98" t="str">
            <v>Winix</v>
          </cell>
          <cell r="AN98">
            <v>2.82</v>
          </cell>
          <cell r="AO98">
            <v>2.98</v>
          </cell>
        </row>
        <row r="99">
          <cell r="X99">
            <v>137</v>
          </cell>
          <cell r="Z99">
            <v>2.6</v>
          </cell>
          <cell r="AM99" t="str">
            <v>Therapure</v>
          </cell>
          <cell r="AN99">
            <v>2.7</v>
          </cell>
          <cell r="AO99">
            <v>3.05</v>
          </cell>
        </row>
        <row r="100">
          <cell r="X100">
            <v>148.5</v>
          </cell>
          <cell r="Z100">
            <v>2.5</v>
          </cell>
          <cell r="AM100" t="str">
            <v>Therapure</v>
          </cell>
          <cell r="AN100">
            <v>2.64</v>
          </cell>
          <cell r="AO100">
            <v>2.81</v>
          </cell>
        </row>
        <row r="101">
          <cell r="X101">
            <v>121</v>
          </cell>
          <cell r="Z101">
            <v>2.7</v>
          </cell>
          <cell r="AM101" t="str">
            <v>Alen</v>
          </cell>
          <cell r="AN101">
            <v>2.2999999999999998</v>
          </cell>
          <cell r="AO101">
            <v>3.02</v>
          </cell>
        </row>
        <row r="102">
          <cell r="X102">
            <v>121</v>
          </cell>
          <cell r="Z102">
            <v>2.5</v>
          </cell>
          <cell r="AM102" t="str">
            <v>Danby</v>
          </cell>
          <cell r="AN102">
            <v>2.27</v>
          </cell>
          <cell r="AO102">
            <v>2.78</v>
          </cell>
        </row>
        <row r="103">
          <cell r="X103">
            <v>120</v>
          </cell>
          <cell r="Z103">
            <v>2.2999999999999998</v>
          </cell>
          <cell r="AM103" t="str">
            <v>Fellowes</v>
          </cell>
          <cell r="AN103">
            <v>2.14</v>
          </cell>
          <cell r="AO103">
            <v>2.2599999999999998</v>
          </cell>
        </row>
        <row r="104">
          <cell r="X104">
            <v>221.3</v>
          </cell>
          <cell r="Z104">
            <v>2.2999999999999998</v>
          </cell>
          <cell r="AM104" t="str">
            <v>Fellowes</v>
          </cell>
          <cell r="AN104">
            <v>2.17</v>
          </cell>
          <cell r="AO104">
            <v>2.4900000000000002</v>
          </cell>
        </row>
        <row r="105">
          <cell r="X105">
            <v>185</v>
          </cell>
          <cell r="Z105">
            <v>3.3</v>
          </cell>
          <cell r="AM105" t="str">
            <v>Rabbit Air</v>
          </cell>
          <cell r="AN105">
            <v>3.02</v>
          </cell>
          <cell r="AO105">
            <v>3.28</v>
          </cell>
        </row>
        <row r="106">
          <cell r="X106">
            <v>450</v>
          </cell>
          <cell r="Z106">
            <v>2</v>
          </cell>
          <cell r="AM106" t="str">
            <v>Fellowes</v>
          </cell>
          <cell r="AN106">
            <v>2.25</v>
          </cell>
          <cell r="AO106">
            <v>2.25</v>
          </cell>
        </row>
        <row r="107">
          <cell r="X107">
            <v>375.7</v>
          </cell>
          <cell r="Z107">
            <v>2</v>
          </cell>
          <cell r="AM107" t="str">
            <v>Fellowes</v>
          </cell>
          <cell r="AN107">
            <v>1.89</v>
          </cell>
          <cell r="AO107">
            <v>2.2599999999999998</v>
          </cell>
        </row>
        <row r="108">
          <cell r="X108">
            <v>203.9</v>
          </cell>
          <cell r="Z108">
            <v>2.4</v>
          </cell>
          <cell r="AM108" t="str">
            <v>Fellowes</v>
          </cell>
          <cell r="AN108">
            <v>2.33</v>
          </cell>
          <cell r="AO108">
            <v>2.38</v>
          </cell>
        </row>
        <row r="109">
          <cell r="X109">
            <v>188</v>
          </cell>
          <cell r="Z109">
            <v>2.9</v>
          </cell>
          <cell r="AM109" t="str">
            <v>Alen</v>
          </cell>
          <cell r="AN109">
            <v>2.81</v>
          </cell>
          <cell r="AO109">
            <v>3.32</v>
          </cell>
        </row>
        <row r="110">
          <cell r="X110">
            <v>121</v>
          </cell>
          <cell r="Z110">
            <v>2.5</v>
          </cell>
          <cell r="AM110" t="str">
            <v>Midea</v>
          </cell>
          <cell r="AN110">
            <v>2.27</v>
          </cell>
          <cell r="AO110">
            <v>2.78</v>
          </cell>
        </row>
        <row r="111">
          <cell r="X111">
            <v>122</v>
          </cell>
          <cell r="Z111">
            <v>2.5</v>
          </cell>
          <cell r="AM111" t="str">
            <v>HOMEDICS</v>
          </cell>
          <cell r="AN111">
            <v>1.97</v>
          </cell>
          <cell r="AO111">
            <v>2.77</v>
          </cell>
        </row>
        <row r="112">
          <cell r="X112">
            <v>123</v>
          </cell>
          <cell r="Z112">
            <v>2.6</v>
          </cell>
          <cell r="AM112" t="str">
            <v>Whirlpool</v>
          </cell>
          <cell r="AN112">
            <v>2.35</v>
          </cell>
          <cell r="AO112">
            <v>2.87</v>
          </cell>
        </row>
        <row r="113">
          <cell r="X113">
            <v>127</v>
          </cell>
          <cell r="Z113">
            <v>2.2000000000000002</v>
          </cell>
          <cell r="AM113" t="str">
            <v>HOMEDICS</v>
          </cell>
          <cell r="AN113">
            <v>2.29</v>
          </cell>
          <cell r="AO113">
            <v>2.33</v>
          </cell>
        </row>
        <row r="114">
          <cell r="X114">
            <v>158</v>
          </cell>
          <cell r="Z114">
            <v>2.4</v>
          </cell>
          <cell r="AM114" t="str">
            <v>ROWENTA</v>
          </cell>
          <cell r="AN114">
            <v>2.31</v>
          </cell>
          <cell r="AO114">
            <v>2.4</v>
          </cell>
        </row>
        <row r="115">
          <cell r="X115">
            <v>157</v>
          </cell>
          <cell r="Z115">
            <v>2.4</v>
          </cell>
          <cell r="AM115" t="str">
            <v>ROWENTA</v>
          </cell>
          <cell r="AN115">
            <v>2.34</v>
          </cell>
          <cell r="AO115">
            <v>2.4900000000000002</v>
          </cell>
        </row>
        <row r="116">
          <cell r="X116">
            <v>75</v>
          </cell>
          <cell r="Z116">
            <v>2.8</v>
          </cell>
          <cell r="AM116" t="str">
            <v>ROWENTA</v>
          </cell>
          <cell r="AN116">
            <v>2.5</v>
          </cell>
          <cell r="AO116">
            <v>3.23</v>
          </cell>
        </row>
        <row r="117">
          <cell r="X117">
            <v>108</v>
          </cell>
          <cell r="Z117">
            <v>4</v>
          </cell>
          <cell r="AM117" t="str">
            <v>ROWENTA</v>
          </cell>
          <cell r="AN117">
            <v>3.86</v>
          </cell>
          <cell r="AO117">
            <v>3.93</v>
          </cell>
        </row>
        <row r="118">
          <cell r="X118">
            <v>191.6</v>
          </cell>
          <cell r="Z118">
            <v>3</v>
          </cell>
          <cell r="AM118" t="str">
            <v>TruSens</v>
          </cell>
          <cell r="AN118">
            <v>2.89</v>
          </cell>
          <cell r="AO118">
            <v>3.14</v>
          </cell>
        </row>
        <row r="119">
          <cell r="X119">
            <v>228</v>
          </cell>
          <cell r="Z119">
            <v>3.3</v>
          </cell>
          <cell r="AM119" t="str">
            <v>ROWENTA</v>
          </cell>
          <cell r="AN119">
            <v>3.42</v>
          </cell>
          <cell r="AO119">
            <v>3.72</v>
          </cell>
        </row>
        <row r="120">
          <cell r="X120">
            <v>68</v>
          </cell>
          <cell r="Z120">
            <v>3</v>
          </cell>
          <cell r="AM120" t="str">
            <v>GermGuardian</v>
          </cell>
          <cell r="AN120">
            <v>2.68</v>
          </cell>
          <cell r="AO120">
            <v>3.04</v>
          </cell>
        </row>
        <row r="121">
          <cell r="X121">
            <v>99</v>
          </cell>
          <cell r="Z121">
            <v>2</v>
          </cell>
          <cell r="AM121" t="str">
            <v>GermGuardian</v>
          </cell>
          <cell r="AN121">
            <v>1.85</v>
          </cell>
          <cell r="AO121">
            <v>2.17</v>
          </cell>
        </row>
        <row r="122">
          <cell r="X122">
            <v>97</v>
          </cell>
          <cell r="Z122">
            <v>3.3</v>
          </cell>
          <cell r="AM122" t="str">
            <v>GermGuardian</v>
          </cell>
          <cell r="AN122">
            <v>3.02</v>
          </cell>
          <cell r="AO122">
            <v>3.3</v>
          </cell>
        </row>
        <row r="123">
          <cell r="X123">
            <v>128</v>
          </cell>
          <cell r="Z123">
            <v>2.6</v>
          </cell>
          <cell r="AM123" t="str">
            <v>Therapure</v>
          </cell>
          <cell r="AN123">
            <v>2.4500000000000002</v>
          </cell>
          <cell r="AO123">
            <v>2.64</v>
          </cell>
        </row>
        <row r="124">
          <cell r="X124">
            <v>108</v>
          </cell>
          <cell r="Z124">
            <v>2.2000000000000002</v>
          </cell>
          <cell r="AM124" t="str">
            <v>GermGuardian</v>
          </cell>
          <cell r="AN124">
            <v>2.0099999999999998</v>
          </cell>
          <cell r="AO124">
            <v>2.33</v>
          </cell>
        </row>
        <row r="125">
          <cell r="X125">
            <v>97</v>
          </cell>
          <cell r="Z125">
            <v>2</v>
          </cell>
          <cell r="AM125" t="str">
            <v>GermGuardian</v>
          </cell>
          <cell r="AN125">
            <v>1.83</v>
          </cell>
          <cell r="AO125">
            <v>2.11</v>
          </cell>
        </row>
        <row r="126">
          <cell r="X126">
            <v>116</v>
          </cell>
          <cell r="Z126">
            <v>2.2000000000000002</v>
          </cell>
          <cell r="AM126" t="str">
            <v>GermGuardian</v>
          </cell>
          <cell r="AN126">
            <v>2.0699999999999998</v>
          </cell>
          <cell r="AO126">
            <v>2.29</v>
          </cell>
        </row>
        <row r="127">
          <cell r="X127">
            <v>128.69999999999999</v>
          </cell>
          <cell r="Z127">
            <v>2.5</v>
          </cell>
          <cell r="AM127" t="str">
            <v>Envion</v>
          </cell>
          <cell r="AN127">
            <v>2.35</v>
          </cell>
          <cell r="AO127">
            <v>2.64</v>
          </cell>
        </row>
        <row r="128">
          <cell r="X128">
            <v>218</v>
          </cell>
          <cell r="Z128">
            <v>2.6</v>
          </cell>
          <cell r="AM128" t="str">
            <v>GermGuardian</v>
          </cell>
          <cell r="AN128">
            <v>2.58</v>
          </cell>
          <cell r="AO128">
            <v>2.54</v>
          </cell>
        </row>
        <row r="129">
          <cell r="X129">
            <v>259</v>
          </cell>
          <cell r="Z129">
            <v>5.5</v>
          </cell>
          <cell r="AM129" t="str">
            <v>GermGuardian</v>
          </cell>
          <cell r="AN129">
            <v>5.42</v>
          </cell>
          <cell r="AO129">
            <v>5.75</v>
          </cell>
        </row>
        <row r="130">
          <cell r="X130">
            <v>110</v>
          </cell>
          <cell r="Z130">
            <v>2.5</v>
          </cell>
          <cell r="AM130" t="str">
            <v>GermGuardian</v>
          </cell>
          <cell r="AN130">
            <v>2.0699999999999998</v>
          </cell>
          <cell r="AO130">
            <v>2.73</v>
          </cell>
        </row>
        <row r="131">
          <cell r="X131">
            <v>145</v>
          </cell>
          <cell r="Z131">
            <v>2.9</v>
          </cell>
          <cell r="AM131" t="str">
            <v>GermGuardian</v>
          </cell>
          <cell r="AN131">
            <v>2.82</v>
          </cell>
          <cell r="AO131">
            <v>3.17</v>
          </cell>
        </row>
        <row r="132">
          <cell r="X132">
            <v>99</v>
          </cell>
          <cell r="Z132">
            <v>2</v>
          </cell>
          <cell r="AM132" t="str">
            <v>GermGuardian</v>
          </cell>
          <cell r="AN132">
            <v>1.85</v>
          </cell>
          <cell r="AO132">
            <v>2.17</v>
          </cell>
        </row>
        <row r="133">
          <cell r="X133">
            <v>216</v>
          </cell>
          <cell r="Z133">
            <v>4.2</v>
          </cell>
          <cell r="AM133" t="str">
            <v>GermGuardian</v>
          </cell>
          <cell r="AN133">
            <v>4.2</v>
          </cell>
          <cell r="AO133">
            <v>5.15</v>
          </cell>
        </row>
        <row r="134">
          <cell r="X134">
            <v>97</v>
          </cell>
          <cell r="Z134">
            <v>2.4</v>
          </cell>
          <cell r="AM134" t="str">
            <v>GermGuardian</v>
          </cell>
          <cell r="AN134">
            <v>2.2200000000000002</v>
          </cell>
          <cell r="AO134">
            <v>2.31</v>
          </cell>
        </row>
        <row r="135">
          <cell r="X135">
            <v>128.69999999999999</v>
          </cell>
          <cell r="Z135">
            <v>2.5</v>
          </cell>
          <cell r="AM135" t="str">
            <v>Therapure</v>
          </cell>
          <cell r="AN135">
            <v>2.35</v>
          </cell>
          <cell r="AO135">
            <v>2.64</v>
          </cell>
        </row>
        <row r="136">
          <cell r="X136">
            <v>110</v>
          </cell>
          <cell r="Z136">
            <v>2.5</v>
          </cell>
          <cell r="AM136" t="str">
            <v>PureGuardian</v>
          </cell>
          <cell r="AN136">
            <v>2.0699999999999998</v>
          </cell>
          <cell r="AO136">
            <v>2.73</v>
          </cell>
        </row>
        <row r="137">
          <cell r="X137">
            <v>145</v>
          </cell>
          <cell r="Z137">
            <v>2.9</v>
          </cell>
          <cell r="AM137" t="str">
            <v>PureGuardian</v>
          </cell>
          <cell r="AN137">
            <v>2.82</v>
          </cell>
          <cell r="AO137">
            <v>3.17</v>
          </cell>
        </row>
        <row r="138">
          <cell r="X138">
            <v>260</v>
          </cell>
          <cell r="Z138">
            <v>2.6</v>
          </cell>
          <cell r="AM138" t="str">
            <v>Intellipure</v>
          </cell>
          <cell r="AN138">
            <v>2.5099999999999998</v>
          </cell>
          <cell r="AO138">
            <v>3.03</v>
          </cell>
        </row>
        <row r="139">
          <cell r="X139">
            <v>74</v>
          </cell>
          <cell r="Z139">
            <v>2.2999999999999998</v>
          </cell>
          <cell r="AM139" t="str">
            <v>HOMEDICS</v>
          </cell>
          <cell r="AN139">
            <v>1.97</v>
          </cell>
          <cell r="AO139">
            <v>2.2400000000000002</v>
          </cell>
        </row>
        <row r="140">
          <cell r="X140">
            <v>119</v>
          </cell>
          <cell r="Z140">
            <v>2.2999999999999998</v>
          </cell>
          <cell r="AM140" t="str">
            <v>HOMEDICS</v>
          </cell>
          <cell r="AN140">
            <v>2.0299999999999998</v>
          </cell>
          <cell r="AO140">
            <v>2.44</v>
          </cell>
        </row>
        <row r="141">
          <cell r="X141">
            <v>83.2</v>
          </cell>
          <cell r="Z141">
            <v>2</v>
          </cell>
          <cell r="AM141" t="str">
            <v>HOMEDICS</v>
          </cell>
          <cell r="AN141">
            <v>2.48</v>
          </cell>
          <cell r="AO141">
            <v>1.8</v>
          </cell>
        </row>
        <row r="142">
          <cell r="X142">
            <v>110.4</v>
          </cell>
          <cell r="Z142">
            <v>2.9</v>
          </cell>
          <cell r="AM142" t="str">
            <v>HOMEDICS</v>
          </cell>
          <cell r="AN142">
            <v>3.44</v>
          </cell>
          <cell r="AO142">
            <v>2.87</v>
          </cell>
        </row>
        <row r="143">
          <cell r="X143">
            <v>137</v>
          </cell>
          <cell r="Z143">
            <v>2.9</v>
          </cell>
          <cell r="AM143" t="str">
            <v>Allergy Pro</v>
          </cell>
          <cell r="AN143">
            <v>2.5499999999999998</v>
          </cell>
          <cell r="AO143">
            <v>3.66</v>
          </cell>
        </row>
        <row r="144">
          <cell r="X144">
            <v>192.2</v>
          </cell>
          <cell r="Z144">
            <v>2.2000000000000002</v>
          </cell>
          <cell r="AM144" t="str">
            <v>Oreck</v>
          </cell>
          <cell r="AN144">
            <v>2</v>
          </cell>
          <cell r="AO144">
            <v>2.3199999999999998</v>
          </cell>
        </row>
        <row r="145">
          <cell r="X145">
            <v>143</v>
          </cell>
          <cell r="Z145">
            <v>2.5</v>
          </cell>
          <cell r="AM145" t="str">
            <v>Danby</v>
          </cell>
          <cell r="AN145">
            <v>2.4700000000000002</v>
          </cell>
          <cell r="AO145">
            <v>2.09</v>
          </cell>
        </row>
        <row r="146">
          <cell r="X146">
            <v>75</v>
          </cell>
          <cell r="Z146">
            <v>2.1</v>
          </cell>
          <cell r="AM146" t="str">
            <v>HomeTrends</v>
          </cell>
          <cell r="AN146">
            <v>1.58</v>
          </cell>
          <cell r="AO146">
            <v>2.1</v>
          </cell>
        </row>
        <row r="147">
          <cell r="X147">
            <v>143</v>
          </cell>
          <cell r="Z147">
            <v>2.6</v>
          </cell>
          <cell r="AM147" t="str">
            <v>Eureka</v>
          </cell>
          <cell r="AN147">
            <v>2.56</v>
          </cell>
          <cell r="AO147">
            <v>4.09</v>
          </cell>
        </row>
        <row r="148">
          <cell r="X148">
            <v>310</v>
          </cell>
          <cell r="Z148">
            <v>5.8</v>
          </cell>
          <cell r="AM148" t="str">
            <v>BeneLife</v>
          </cell>
          <cell r="AN148">
            <v>5.42</v>
          </cell>
          <cell r="AO148">
            <v>6.66</v>
          </cell>
        </row>
        <row r="149">
          <cell r="X149">
            <v>450</v>
          </cell>
          <cell r="Z149">
            <v>4</v>
          </cell>
          <cell r="AM149" t="str">
            <v>IQAir</v>
          </cell>
          <cell r="AN149">
            <v>4.5</v>
          </cell>
          <cell r="AO149">
            <v>4.5</v>
          </cell>
        </row>
        <row r="150">
          <cell r="X150">
            <v>450</v>
          </cell>
          <cell r="Z150">
            <v>13.2</v>
          </cell>
          <cell r="AM150" t="str">
            <v>JET</v>
          </cell>
          <cell r="AN150">
            <v>14.85</v>
          </cell>
          <cell r="AO150">
            <v>14.85</v>
          </cell>
        </row>
        <row r="151">
          <cell r="X151">
            <v>450</v>
          </cell>
          <cell r="Z151">
            <v>13.2</v>
          </cell>
          <cell r="AM151" t="str">
            <v>Powermatic</v>
          </cell>
          <cell r="AN151">
            <v>14.85</v>
          </cell>
          <cell r="AO151">
            <v>14.85</v>
          </cell>
        </row>
        <row r="152">
          <cell r="X152">
            <v>60</v>
          </cell>
          <cell r="Z152">
            <v>2.4</v>
          </cell>
          <cell r="AM152" t="str">
            <v>Febreze</v>
          </cell>
          <cell r="AN152">
            <v>1.8</v>
          </cell>
          <cell r="AO152">
            <v>2.4300000000000002</v>
          </cell>
        </row>
        <row r="153">
          <cell r="X153">
            <v>59</v>
          </cell>
          <cell r="Z153">
            <v>2.5</v>
          </cell>
          <cell r="AM153" t="str">
            <v>Febreze</v>
          </cell>
          <cell r="AN153">
            <v>1.78</v>
          </cell>
          <cell r="AO153">
            <v>2.44</v>
          </cell>
        </row>
        <row r="154">
          <cell r="X154">
            <v>205</v>
          </cell>
          <cell r="Z154">
            <v>2.2999999999999998</v>
          </cell>
          <cell r="AM154" t="str">
            <v>Kenmore</v>
          </cell>
          <cell r="AN154">
            <v>2.06</v>
          </cell>
          <cell r="AO154">
            <v>2.52</v>
          </cell>
        </row>
        <row r="155">
          <cell r="X155">
            <v>80</v>
          </cell>
          <cell r="Z155">
            <v>2.2599999999999998</v>
          </cell>
          <cell r="AM155" t="str">
            <v>Honeywell</v>
          </cell>
          <cell r="AN155">
            <v>2.62</v>
          </cell>
          <cell r="AO155">
            <v>2.88</v>
          </cell>
        </row>
        <row r="156">
          <cell r="X156">
            <v>80</v>
          </cell>
          <cell r="Z156">
            <v>2.2599999999999998</v>
          </cell>
          <cell r="AM156" t="str">
            <v>Honeywell</v>
          </cell>
          <cell r="AN156">
            <v>2.62</v>
          </cell>
          <cell r="AO156">
            <v>2.88</v>
          </cell>
        </row>
        <row r="157">
          <cell r="X157">
            <v>110</v>
          </cell>
          <cell r="Z157">
            <v>2.56</v>
          </cell>
          <cell r="AM157" t="str">
            <v>Honeywell</v>
          </cell>
          <cell r="AN157">
            <v>2.82</v>
          </cell>
          <cell r="AO157">
            <v>3.38</v>
          </cell>
        </row>
        <row r="158">
          <cell r="X158">
            <v>98</v>
          </cell>
          <cell r="Z158">
            <v>6.8</v>
          </cell>
          <cell r="AM158" t="str">
            <v>Honeywell</v>
          </cell>
          <cell r="AN158">
            <v>7.01</v>
          </cell>
          <cell r="AO158">
            <v>6.01</v>
          </cell>
        </row>
        <row r="159">
          <cell r="X159">
            <v>146</v>
          </cell>
          <cell r="Z159">
            <v>4.8</v>
          </cell>
          <cell r="AM159" t="str">
            <v>Honeywell</v>
          </cell>
          <cell r="AN159">
            <v>4.67</v>
          </cell>
          <cell r="AO159">
            <v>5.12</v>
          </cell>
        </row>
        <row r="160">
          <cell r="X160">
            <v>161</v>
          </cell>
          <cell r="Z160">
            <v>5</v>
          </cell>
          <cell r="AM160" t="str">
            <v>Honeywell</v>
          </cell>
          <cell r="AN160">
            <v>5.03</v>
          </cell>
          <cell r="AO160">
            <v>5.31</v>
          </cell>
        </row>
        <row r="161">
          <cell r="X161">
            <v>161</v>
          </cell>
          <cell r="Z161">
            <v>4</v>
          </cell>
          <cell r="AM161" t="str">
            <v>Honeywell</v>
          </cell>
          <cell r="AN161">
            <v>4.03</v>
          </cell>
          <cell r="AO161">
            <v>4.25</v>
          </cell>
        </row>
        <row r="162">
          <cell r="X162">
            <v>169</v>
          </cell>
          <cell r="Z162">
            <v>4.3</v>
          </cell>
          <cell r="AM162" t="str">
            <v>Honeywell</v>
          </cell>
          <cell r="AN162">
            <v>4.38</v>
          </cell>
          <cell r="AO162">
            <v>3.86</v>
          </cell>
        </row>
        <row r="163">
          <cell r="X163">
            <v>55</v>
          </cell>
          <cell r="Z163">
            <v>2.4</v>
          </cell>
          <cell r="AM163" t="str">
            <v>Honeywell</v>
          </cell>
          <cell r="AN163">
            <v>1.94</v>
          </cell>
          <cell r="AO163">
            <v>2.29</v>
          </cell>
        </row>
        <row r="164">
          <cell r="X164">
            <v>110</v>
          </cell>
          <cell r="Z164">
            <v>2.9</v>
          </cell>
          <cell r="AM164" t="str">
            <v>Honeywell</v>
          </cell>
          <cell r="AN164">
            <v>2.7</v>
          </cell>
          <cell r="AO164">
            <v>2.21</v>
          </cell>
        </row>
        <row r="165">
          <cell r="X165">
            <v>53</v>
          </cell>
          <cell r="Z165">
            <v>2.5</v>
          </cell>
          <cell r="AM165" t="str">
            <v>Honeywell</v>
          </cell>
          <cell r="AN165">
            <v>2.1</v>
          </cell>
          <cell r="AO165">
            <v>2.1</v>
          </cell>
        </row>
        <row r="166">
          <cell r="X166">
            <v>143</v>
          </cell>
          <cell r="Z166">
            <v>2.6</v>
          </cell>
          <cell r="AM166" t="str">
            <v>Midea</v>
          </cell>
          <cell r="AN166">
            <v>2.56</v>
          </cell>
          <cell r="AO166">
            <v>4.09</v>
          </cell>
        </row>
        <row r="167">
          <cell r="X167">
            <v>48</v>
          </cell>
          <cell r="Z167">
            <v>2.2000000000000002</v>
          </cell>
          <cell r="AM167" t="str">
            <v>Honeywell</v>
          </cell>
          <cell r="AN167">
            <v>1.7</v>
          </cell>
          <cell r="AO167">
            <v>2.66</v>
          </cell>
        </row>
        <row r="168">
          <cell r="X168">
            <v>100</v>
          </cell>
          <cell r="Z168">
            <v>2.2000000000000002</v>
          </cell>
          <cell r="AM168" t="str">
            <v>Honeywell</v>
          </cell>
          <cell r="AN168">
            <v>2.08</v>
          </cell>
          <cell r="AO168">
            <v>2.08</v>
          </cell>
        </row>
        <row r="169">
          <cell r="X169">
            <v>110</v>
          </cell>
          <cell r="Z169">
            <v>2.4</v>
          </cell>
          <cell r="AM169" t="str">
            <v>Honeywell</v>
          </cell>
          <cell r="AN169">
            <v>2.2000000000000002</v>
          </cell>
          <cell r="AO169">
            <v>2.6</v>
          </cell>
        </row>
        <row r="170">
          <cell r="X170">
            <v>200</v>
          </cell>
          <cell r="Z170">
            <v>2.5</v>
          </cell>
          <cell r="AM170" t="str">
            <v>Honeywell</v>
          </cell>
          <cell r="AN170">
            <v>2.63</v>
          </cell>
          <cell r="AO170">
            <v>2.37</v>
          </cell>
        </row>
        <row r="171">
          <cell r="X171">
            <v>220</v>
          </cell>
          <cell r="Z171">
            <v>2.7</v>
          </cell>
          <cell r="AM171" t="str">
            <v>Honeywell</v>
          </cell>
          <cell r="AN171">
            <v>2.54</v>
          </cell>
          <cell r="AO171">
            <v>2.87</v>
          </cell>
        </row>
        <row r="172">
          <cell r="X172">
            <v>300</v>
          </cell>
          <cell r="Z172">
            <v>2.7</v>
          </cell>
          <cell r="AM172" t="str">
            <v>Honeywell</v>
          </cell>
          <cell r="AN172">
            <v>2.5299999999999998</v>
          </cell>
          <cell r="AO172">
            <v>2.5299999999999998</v>
          </cell>
        </row>
        <row r="173">
          <cell r="X173">
            <v>210</v>
          </cell>
          <cell r="Z173">
            <v>4.9000000000000004</v>
          </cell>
          <cell r="AM173" t="str">
            <v>Honeywell</v>
          </cell>
          <cell r="AN173">
            <v>5.59</v>
          </cell>
          <cell r="AO173">
            <v>5.46</v>
          </cell>
        </row>
        <row r="174">
          <cell r="X174">
            <v>100</v>
          </cell>
          <cell r="Z174">
            <v>4.3</v>
          </cell>
          <cell r="AM174" t="str">
            <v>Honeywell</v>
          </cell>
          <cell r="AN174">
            <v>4.0199999999999996</v>
          </cell>
          <cell r="AO174">
            <v>4.66</v>
          </cell>
        </row>
        <row r="175">
          <cell r="X175">
            <v>194</v>
          </cell>
          <cell r="Z175">
            <v>4.0999999999999996</v>
          </cell>
          <cell r="AM175" t="str">
            <v>Honeywell</v>
          </cell>
          <cell r="AN175">
            <v>4.08</v>
          </cell>
          <cell r="AO175">
            <v>4.25</v>
          </cell>
        </row>
        <row r="176">
          <cell r="X176">
            <v>300</v>
          </cell>
          <cell r="Z176">
            <v>2.6</v>
          </cell>
          <cell r="AM176" t="str">
            <v>Honeywell</v>
          </cell>
          <cell r="AN176">
            <v>2.44</v>
          </cell>
          <cell r="AO176">
            <v>2.44</v>
          </cell>
        </row>
        <row r="177">
          <cell r="X177">
            <v>143</v>
          </cell>
          <cell r="Z177">
            <v>2.5</v>
          </cell>
          <cell r="AM177" t="str">
            <v>Midea</v>
          </cell>
          <cell r="AN177">
            <v>2.4700000000000002</v>
          </cell>
          <cell r="AO177">
            <v>2.09</v>
          </cell>
        </row>
        <row r="178">
          <cell r="X178">
            <v>182</v>
          </cell>
          <cell r="Z178">
            <v>2.2999999999999998</v>
          </cell>
          <cell r="AM178" t="str">
            <v>Kenmore</v>
          </cell>
          <cell r="AN178">
            <v>2.19</v>
          </cell>
          <cell r="AO178">
            <v>2.2999999999999998</v>
          </cell>
        </row>
        <row r="179">
          <cell r="X179">
            <v>211.7</v>
          </cell>
          <cell r="Z179">
            <v>2.1</v>
          </cell>
          <cell r="AM179" t="str">
            <v>Fellowes</v>
          </cell>
          <cell r="AN179">
            <v>1.95</v>
          </cell>
          <cell r="AO179">
            <v>2.63</v>
          </cell>
        </row>
        <row r="180">
          <cell r="X180">
            <v>135</v>
          </cell>
          <cell r="Z180">
            <v>8.8000000000000007</v>
          </cell>
          <cell r="AM180" t="str">
            <v>Ionic Comfort</v>
          </cell>
          <cell r="AN180">
            <v>7.92</v>
          </cell>
          <cell r="AO180">
            <v>9.68</v>
          </cell>
        </row>
        <row r="181">
          <cell r="X181">
            <v>85</v>
          </cell>
          <cell r="Z181">
            <v>7.9</v>
          </cell>
          <cell r="AM181" t="str">
            <v>Ionic Comfort Plus</v>
          </cell>
          <cell r="AN181">
            <v>6.72</v>
          </cell>
          <cell r="AO181">
            <v>7.9</v>
          </cell>
        </row>
        <row r="182">
          <cell r="X182">
            <v>85</v>
          </cell>
          <cell r="Z182">
            <v>7.9</v>
          </cell>
          <cell r="AM182" t="str">
            <v>Ionic Comfort Plus</v>
          </cell>
          <cell r="AN182">
            <v>6.72</v>
          </cell>
          <cell r="AO182">
            <v>7.9</v>
          </cell>
        </row>
        <row r="183">
          <cell r="X183">
            <v>170</v>
          </cell>
          <cell r="Z183">
            <v>9.1999999999999993</v>
          </cell>
          <cell r="AM183" t="str">
            <v>Ionic Comfort Plus</v>
          </cell>
          <cell r="AN183">
            <v>8.1</v>
          </cell>
          <cell r="AO183">
            <v>9.5299999999999994</v>
          </cell>
        </row>
        <row r="184">
          <cell r="X184">
            <v>170</v>
          </cell>
          <cell r="Z184">
            <v>9.1999999999999993</v>
          </cell>
          <cell r="AM184" t="str">
            <v>Ionic Comfort Plus</v>
          </cell>
          <cell r="AN184">
            <v>8.1</v>
          </cell>
          <cell r="AO184">
            <v>9.5299999999999994</v>
          </cell>
        </row>
        <row r="185">
          <cell r="X185">
            <v>123</v>
          </cell>
          <cell r="Z185">
            <v>3.5</v>
          </cell>
          <cell r="AM185" t="str">
            <v>Lasko</v>
          </cell>
          <cell r="AN185">
            <v>2.93</v>
          </cell>
          <cell r="AO185">
            <v>3.79</v>
          </cell>
        </row>
        <row r="186">
          <cell r="X186">
            <v>99</v>
          </cell>
          <cell r="Z186">
            <v>3.7</v>
          </cell>
          <cell r="AM186" t="str">
            <v>Lasko</v>
          </cell>
          <cell r="AN186">
            <v>2.84</v>
          </cell>
          <cell r="AO186">
            <v>4.0199999999999996</v>
          </cell>
        </row>
        <row r="187">
          <cell r="X187">
            <v>104</v>
          </cell>
          <cell r="Z187">
            <v>3.4</v>
          </cell>
          <cell r="AM187" t="str">
            <v>Lasko</v>
          </cell>
          <cell r="AN187">
            <v>2.83</v>
          </cell>
          <cell r="AO187">
            <v>3.54</v>
          </cell>
        </row>
        <row r="188">
          <cell r="X188">
            <v>98.2</v>
          </cell>
          <cell r="Z188">
            <v>2.9</v>
          </cell>
          <cell r="AM188" t="str">
            <v>LEVOIT</v>
          </cell>
          <cell r="AN188">
            <v>2.79</v>
          </cell>
          <cell r="AO188">
            <v>3.91</v>
          </cell>
        </row>
        <row r="189">
          <cell r="X189">
            <v>106.5</v>
          </cell>
          <cell r="Z189">
            <v>2.7</v>
          </cell>
          <cell r="AM189" t="str">
            <v>LEVOIT</v>
          </cell>
          <cell r="AN189">
            <v>2.83</v>
          </cell>
          <cell r="AO189">
            <v>3.48</v>
          </cell>
        </row>
        <row r="190">
          <cell r="X190">
            <v>160</v>
          </cell>
          <cell r="Z190">
            <v>5.0999999999999996</v>
          </cell>
          <cell r="AM190" t="str">
            <v>LG</v>
          </cell>
          <cell r="AN190">
            <v>3.98</v>
          </cell>
          <cell r="AO190">
            <v>5.35</v>
          </cell>
        </row>
        <row r="191">
          <cell r="X191">
            <v>205</v>
          </cell>
          <cell r="Z191">
            <v>6</v>
          </cell>
          <cell r="AM191" t="str">
            <v>LG</v>
          </cell>
          <cell r="AN191">
            <v>5.86</v>
          </cell>
          <cell r="AO191">
            <v>7.14</v>
          </cell>
        </row>
        <row r="192">
          <cell r="X192">
            <v>140</v>
          </cell>
          <cell r="Z192">
            <v>5.5</v>
          </cell>
          <cell r="AM192" t="str">
            <v>LG</v>
          </cell>
          <cell r="AN192">
            <v>4.4000000000000004</v>
          </cell>
          <cell r="AO192">
            <v>5.03</v>
          </cell>
        </row>
        <row r="193">
          <cell r="X193">
            <v>330</v>
          </cell>
          <cell r="Z193">
            <v>4.2</v>
          </cell>
          <cell r="AM193" t="str">
            <v>LG</v>
          </cell>
          <cell r="AN193">
            <v>4.2</v>
          </cell>
          <cell r="AO193">
            <v>4.6500000000000004</v>
          </cell>
        </row>
        <row r="194">
          <cell r="X194">
            <v>314</v>
          </cell>
          <cell r="Z194">
            <v>2.7</v>
          </cell>
          <cell r="AM194" t="str">
            <v>Idylis</v>
          </cell>
          <cell r="AN194">
            <v>2.37</v>
          </cell>
          <cell r="AO194">
            <v>3.05</v>
          </cell>
        </row>
        <row r="195">
          <cell r="X195">
            <v>215</v>
          </cell>
          <cell r="Z195">
            <v>3</v>
          </cell>
          <cell r="AM195" t="str">
            <v>Idylis</v>
          </cell>
          <cell r="AN195">
            <v>2.54</v>
          </cell>
          <cell r="AO195">
            <v>3.21</v>
          </cell>
        </row>
        <row r="196">
          <cell r="X196">
            <v>116</v>
          </cell>
          <cell r="Z196">
            <v>2.2000000000000002</v>
          </cell>
          <cell r="AM196" t="str">
            <v>Idylis</v>
          </cell>
          <cell r="AN196">
            <v>2.0699999999999998</v>
          </cell>
          <cell r="AO196">
            <v>2.29</v>
          </cell>
        </row>
        <row r="197">
          <cell r="X197">
            <v>205</v>
          </cell>
          <cell r="Z197">
            <v>2.8</v>
          </cell>
          <cell r="AM197" t="str">
            <v>Whirlpool</v>
          </cell>
          <cell r="AN197">
            <v>2.67</v>
          </cell>
          <cell r="AO197">
            <v>2.92</v>
          </cell>
        </row>
        <row r="198">
          <cell r="X198">
            <v>315</v>
          </cell>
          <cell r="Z198">
            <v>3.4</v>
          </cell>
          <cell r="AM198" t="str">
            <v>Whirlpool</v>
          </cell>
          <cell r="AN198">
            <v>3.27</v>
          </cell>
          <cell r="AO198">
            <v>3.67</v>
          </cell>
        </row>
        <row r="199">
          <cell r="X199">
            <v>315</v>
          </cell>
          <cell r="Z199">
            <v>3.3</v>
          </cell>
          <cell r="AM199" t="str">
            <v>Whirlpool</v>
          </cell>
          <cell r="AN199">
            <v>3.2</v>
          </cell>
          <cell r="AO199">
            <v>4.07</v>
          </cell>
        </row>
        <row r="200">
          <cell r="X200">
            <v>52</v>
          </cell>
          <cell r="Z200">
            <v>2.6</v>
          </cell>
          <cell r="AM200" t="str">
            <v>Whirlpool</v>
          </cell>
          <cell r="AN200">
            <v>1.78</v>
          </cell>
          <cell r="AO200">
            <v>2.39</v>
          </cell>
        </row>
        <row r="201">
          <cell r="X201">
            <v>148</v>
          </cell>
          <cell r="Z201">
            <v>2.1</v>
          </cell>
          <cell r="AM201" t="str">
            <v>Filtrete</v>
          </cell>
          <cell r="AN201">
            <v>1.83</v>
          </cell>
          <cell r="AO201">
            <v>2.2200000000000002</v>
          </cell>
        </row>
        <row r="202">
          <cell r="X202">
            <v>98</v>
          </cell>
          <cell r="Z202">
            <v>2.4500000000000002</v>
          </cell>
          <cell r="AM202" t="str">
            <v>IDEAL</v>
          </cell>
          <cell r="AN202">
            <v>2.4500000000000002</v>
          </cell>
          <cell r="AO202">
            <v>2.58</v>
          </cell>
        </row>
        <row r="203">
          <cell r="X203">
            <v>197</v>
          </cell>
          <cell r="Z203">
            <v>3.28</v>
          </cell>
          <cell r="AM203" t="str">
            <v>IDEAL</v>
          </cell>
          <cell r="AN203">
            <v>3.28</v>
          </cell>
          <cell r="AO203">
            <v>3.56</v>
          </cell>
        </row>
        <row r="204">
          <cell r="X204">
            <v>291</v>
          </cell>
          <cell r="Z204">
            <v>2.7</v>
          </cell>
          <cell r="AM204" t="str">
            <v>IDEAL</v>
          </cell>
          <cell r="AN204">
            <v>2.64</v>
          </cell>
          <cell r="AO204">
            <v>3.11</v>
          </cell>
        </row>
        <row r="205">
          <cell r="X205">
            <v>95.7</v>
          </cell>
          <cell r="Z205">
            <v>2.2000000000000002</v>
          </cell>
          <cell r="AM205" t="str">
            <v>LivePure</v>
          </cell>
          <cell r="AN205">
            <v>2.1800000000000002</v>
          </cell>
          <cell r="AO205">
            <v>2.82</v>
          </cell>
        </row>
        <row r="206">
          <cell r="X206">
            <v>323.7</v>
          </cell>
          <cell r="Z206">
            <v>3</v>
          </cell>
          <cell r="AM206" t="str">
            <v>LivePure</v>
          </cell>
          <cell r="AN206">
            <v>3.29</v>
          </cell>
          <cell r="AO206">
            <v>3.64</v>
          </cell>
        </row>
        <row r="207">
          <cell r="X207">
            <v>332</v>
          </cell>
          <cell r="Z207">
            <v>2.6</v>
          </cell>
          <cell r="AM207" t="str">
            <v>Nuwave Oxypure</v>
          </cell>
          <cell r="AN207">
            <v>2.5</v>
          </cell>
          <cell r="AO207">
            <v>2.77</v>
          </cell>
        </row>
        <row r="208">
          <cell r="X208">
            <v>372</v>
          </cell>
          <cell r="Z208">
            <v>2.23</v>
          </cell>
          <cell r="AM208" t="str">
            <v>ORANSI</v>
          </cell>
          <cell r="AN208">
            <v>2.1800000000000002</v>
          </cell>
          <cell r="AO208">
            <v>2.25</v>
          </cell>
        </row>
        <row r="209">
          <cell r="X209">
            <v>233</v>
          </cell>
          <cell r="Z209">
            <v>3.1</v>
          </cell>
          <cell r="AM209" t="str">
            <v>Coway</v>
          </cell>
          <cell r="AN209">
            <v>2.94</v>
          </cell>
          <cell r="AO209">
            <v>3.02</v>
          </cell>
        </row>
        <row r="210">
          <cell r="X210">
            <v>142</v>
          </cell>
          <cell r="Z210">
            <v>5.7</v>
          </cell>
          <cell r="AM210" t="str">
            <v>Philips</v>
          </cell>
          <cell r="AN210">
            <v>5.12</v>
          </cell>
          <cell r="AO210">
            <v>5.99</v>
          </cell>
        </row>
        <row r="211">
          <cell r="X211">
            <v>198</v>
          </cell>
          <cell r="Z211">
            <v>4.3</v>
          </cell>
          <cell r="AM211" t="str">
            <v>Philips</v>
          </cell>
          <cell r="AN211">
            <v>4.76</v>
          </cell>
          <cell r="AO211">
            <v>5.07</v>
          </cell>
        </row>
        <row r="212">
          <cell r="X212">
            <v>282</v>
          </cell>
          <cell r="Z212">
            <v>4.8</v>
          </cell>
          <cell r="AM212" t="str">
            <v>Philips</v>
          </cell>
          <cell r="AN212">
            <v>4.5999999999999996</v>
          </cell>
          <cell r="AO212">
            <v>5.44</v>
          </cell>
        </row>
        <row r="213">
          <cell r="X213">
            <v>293</v>
          </cell>
          <cell r="Z213">
            <v>6</v>
          </cell>
          <cell r="AM213" t="str">
            <v>Philips</v>
          </cell>
          <cell r="AN213">
            <v>5.78</v>
          </cell>
          <cell r="AO213">
            <v>6.75</v>
          </cell>
        </row>
        <row r="214">
          <cell r="X214">
            <v>136</v>
          </cell>
          <cell r="Z214">
            <v>5.0999999999999996</v>
          </cell>
          <cell r="AM214" t="str">
            <v>Rabbit Air</v>
          </cell>
          <cell r="AN214">
            <v>4.66</v>
          </cell>
          <cell r="AO214">
            <v>5.54</v>
          </cell>
        </row>
        <row r="215">
          <cell r="X215">
            <v>152</v>
          </cell>
          <cell r="Z215">
            <v>4.3</v>
          </cell>
          <cell r="AM215" t="str">
            <v>Rabbit Air</v>
          </cell>
          <cell r="AN215">
            <v>3.96</v>
          </cell>
          <cell r="AO215">
            <v>4.93</v>
          </cell>
        </row>
        <row r="216">
          <cell r="X216">
            <v>161</v>
          </cell>
          <cell r="Z216">
            <v>3.9</v>
          </cell>
          <cell r="AM216" t="str">
            <v>Rabbit Air</v>
          </cell>
          <cell r="AN216">
            <v>3.47</v>
          </cell>
          <cell r="AO216">
            <v>3.68</v>
          </cell>
        </row>
        <row r="217">
          <cell r="X217">
            <v>258</v>
          </cell>
          <cell r="Z217">
            <v>2.9</v>
          </cell>
          <cell r="AM217" t="str">
            <v>Winix</v>
          </cell>
          <cell r="AN217">
            <v>2.83</v>
          </cell>
          <cell r="AO217">
            <v>3.31</v>
          </cell>
        </row>
        <row r="218">
          <cell r="X218">
            <v>168.9</v>
          </cell>
          <cell r="Z218">
            <v>3.5</v>
          </cell>
          <cell r="AM218" t="str">
            <v>Rabbit Air</v>
          </cell>
          <cell r="AN218">
            <v>3.19</v>
          </cell>
          <cell r="AO218">
            <v>3.18</v>
          </cell>
        </row>
        <row r="219">
          <cell r="X219">
            <v>152</v>
          </cell>
          <cell r="Z219">
            <v>4.3</v>
          </cell>
          <cell r="AM219" t="str">
            <v>Oreck</v>
          </cell>
          <cell r="AN219">
            <v>3.84</v>
          </cell>
          <cell r="AO219">
            <v>4.83</v>
          </cell>
        </row>
        <row r="220">
          <cell r="X220">
            <v>135</v>
          </cell>
          <cell r="Z220">
            <v>5</v>
          </cell>
          <cell r="AM220" t="str">
            <v>Oreck</v>
          </cell>
          <cell r="AN220">
            <v>4.1900000000000004</v>
          </cell>
          <cell r="AO220">
            <v>5.9</v>
          </cell>
        </row>
        <row r="221">
          <cell r="X221">
            <v>90.5</v>
          </cell>
          <cell r="Z221">
            <v>2.2999999999999998</v>
          </cell>
          <cell r="AM221" t="str">
            <v>Oreck</v>
          </cell>
          <cell r="AN221">
            <v>1.79</v>
          </cell>
          <cell r="AO221">
            <v>2.36</v>
          </cell>
        </row>
        <row r="222">
          <cell r="X222">
            <v>132.6</v>
          </cell>
          <cell r="Z222">
            <v>2.5</v>
          </cell>
          <cell r="AM222" t="str">
            <v>Oreck</v>
          </cell>
          <cell r="AN222">
            <v>2.1800000000000002</v>
          </cell>
          <cell r="AO222">
            <v>2.6</v>
          </cell>
        </row>
        <row r="223">
          <cell r="X223">
            <v>309.60000000000002</v>
          </cell>
          <cell r="Z223">
            <v>3.2</v>
          </cell>
          <cell r="AM223" t="str">
            <v>Whirlpool</v>
          </cell>
          <cell r="AN223">
            <v>3.02</v>
          </cell>
          <cell r="AO223">
            <v>3.23</v>
          </cell>
        </row>
        <row r="224">
          <cell r="X224">
            <v>250.4</v>
          </cell>
          <cell r="Z224">
            <v>5.0999999999999996</v>
          </cell>
          <cell r="AM224" t="str">
            <v>Oreck</v>
          </cell>
          <cell r="AN224">
            <v>4.84</v>
          </cell>
          <cell r="AO224">
            <v>5.31</v>
          </cell>
        </row>
        <row r="225">
          <cell r="X225">
            <v>293</v>
          </cell>
          <cell r="Z225">
            <v>3.3</v>
          </cell>
          <cell r="AM225" t="str">
            <v>Sharp</v>
          </cell>
          <cell r="AN225">
            <v>3.19</v>
          </cell>
          <cell r="AO225">
            <v>3.92</v>
          </cell>
        </row>
        <row r="226">
          <cell r="X226">
            <v>133</v>
          </cell>
          <cell r="Z226">
            <v>2.4</v>
          </cell>
          <cell r="AM226" t="str">
            <v>Sharp</v>
          </cell>
          <cell r="AN226">
            <v>2.09</v>
          </cell>
          <cell r="AO226">
            <v>2.4300000000000002</v>
          </cell>
        </row>
        <row r="227">
          <cell r="X227">
            <v>181</v>
          </cell>
          <cell r="Z227">
            <v>3.7</v>
          </cell>
          <cell r="AM227" t="str">
            <v>Sharp</v>
          </cell>
          <cell r="AN227">
            <v>3.43</v>
          </cell>
          <cell r="AO227">
            <v>3.85</v>
          </cell>
        </row>
        <row r="228">
          <cell r="X228">
            <v>164</v>
          </cell>
          <cell r="Z228">
            <v>3.28</v>
          </cell>
          <cell r="AM228" t="str">
            <v>Sharp</v>
          </cell>
          <cell r="AN228">
            <v>3.28</v>
          </cell>
          <cell r="AO228">
            <v>3.48</v>
          </cell>
        </row>
        <row r="229">
          <cell r="X229">
            <v>147</v>
          </cell>
          <cell r="Z229">
            <v>4.3</v>
          </cell>
          <cell r="AM229" t="str">
            <v>Sharp</v>
          </cell>
          <cell r="AN229">
            <v>4.21</v>
          </cell>
          <cell r="AO229">
            <v>4.4400000000000004</v>
          </cell>
        </row>
        <row r="230">
          <cell r="X230">
            <v>213</v>
          </cell>
          <cell r="Z230">
            <v>4.5</v>
          </cell>
          <cell r="AM230" t="str">
            <v>SheerAIRE</v>
          </cell>
          <cell r="AN230">
            <v>4.13</v>
          </cell>
          <cell r="AO230">
            <v>4.87</v>
          </cell>
        </row>
        <row r="231">
          <cell r="X231">
            <v>100</v>
          </cell>
          <cell r="Z231">
            <v>2</v>
          </cell>
          <cell r="AM231" t="str">
            <v>SheerAIRE</v>
          </cell>
          <cell r="AN231">
            <v>2</v>
          </cell>
          <cell r="AO231">
            <v>2</v>
          </cell>
        </row>
        <row r="232">
          <cell r="X232">
            <v>150</v>
          </cell>
          <cell r="Z232">
            <v>2.1</v>
          </cell>
          <cell r="AM232" t="str">
            <v>SheerAIRE</v>
          </cell>
          <cell r="AN232">
            <v>2.1</v>
          </cell>
          <cell r="AO232">
            <v>2.1</v>
          </cell>
        </row>
        <row r="233">
          <cell r="X233">
            <v>146.69999999999999</v>
          </cell>
          <cell r="Z233">
            <v>3.7</v>
          </cell>
          <cell r="AM233" t="str">
            <v>Stadler</v>
          </cell>
          <cell r="AN233">
            <v>3.35</v>
          </cell>
          <cell r="AO233">
            <v>3.94</v>
          </cell>
        </row>
        <row r="234">
          <cell r="X234">
            <v>307</v>
          </cell>
          <cell r="Z234">
            <v>2.6</v>
          </cell>
          <cell r="AM234" t="str">
            <v>Stadler</v>
          </cell>
          <cell r="AN234">
            <v>2.4300000000000002</v>
          </cell>
          <cell r="AO234">
            <v>2.87</v>
          </cell>
        </row>
        <row r="235">
          <cell r="X235">
            <v>152</v>
          </cell>
          <cell r="Z235">
            <v>2.6</v>
          </cell>
          <cell r="AM235" t="str">
            <v>Bionaire</v>
          </cell>
          <cell r="AN235">
            <v>2.58</v>
          </cell>
          <cell r="AO235">
            <v>2.96</v>
          </cell>
        </row>
        <row r="236">
          <cell r="X236">
            <v>314</v>
          </cell>
          <cell r="Z236">
            <v>3</v>
          </cell>
          <cell r="AM236" t="str">
            <v>Whirlpool</v>
          </cell>
          <cell r="AN236">
            <v>2.75</v>
          </cell>
          <cell r="AO236">
            <v>3.01</v>
          </cell>
        </row>
        <row r="237">
          <cell r="X237">
            <v>70</v>
          </cell>
          <cell r="Z237">
            <v>2.16</v>
          </cell>
          <cell r="AM237" t="str">
            <v>Holmes</v>
          </cell>
          <cell r="AN237">
            <v>1.84</v>
          </cell>
          <cell r="AO237">
            <v>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3">
          <cell r="N3" t="str">
            <v>V2.0 Efficiency Criteria</v>
          </cell>
        </row>
      </sheetData>
      <sheetData sheetId="15"/>
      <sheetData sheetId="16"/>
      <sheetData sheetId="17"/>
      <sheetData sheetId="18"/>
      <sheetData sheetId="19">
        <row r="76">
          <cell r="D76">
            <v>0.47269303201506591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9">
          <cell r="A19">
            <v>0.04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nergystar.gov/sites/default/files/asset/document/ENERGY%20STAR%20Most%20Efficient%202023%20Proposals%20with%20Rationale.pdf" TargetMode="External"/><Relationship Id="rId1" Type="http://schemas.openxmlformats.org/officeDocument/2006/relationships/hyperlink" Target="https://www.xcelenergy.com/staticfiles/xe/PDF/Regulatory/CO-Rates-and-Regs-DSM-Cadmus-RPP-Product-Analysis-August-2015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ensus.gov/quickfacts/fact/map/US/HSD4102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3"/>
  <sheetViews>
    <sheetView tabSelected="1" zoomScaleNormal="100" workbookViewId="0">
      <selection activeCell="C8" sqref="C8"/>
    </sheetView>
  </sheetViews>
  <sheetFormatPr defaultRowHeight="15" x14ac:dyDescent="0.25"/>
  <cols>
    <col min="1" max="1" width="63" customWidth="1"/>
  </cols>
  <sheetData>
    <row r="1" spans="1:39" x14ac:dyDescent="0.25">
      <c r="A1" s="101" t="s">
        <v>56</v>
      </c>
      <c r="B1" s="101"/>
      <c r="C1" s="95" t="s">
        <v>74</v>
      </c>
      <c r="D1" s="96"/>
      <c r="E1" s="96"/>
      <c r="F1" s="96"/>
      <c r="G1" s="96"/>
      <c r="H1" s="96"/>
      <c r="I1" s="96"/>
      <c r="J1" s="96"/>
      <c r="K1" s="97"/>
    </row>
    <row r="2" spans="1:39" x14ac:dyDescent="0.25">
      <c r="A2" s="110" t="s">
        <v>38</v>
      </c>
      <c r="B2" s="119">
        <f>6481482/1000000</f>
        <v>6.4814819999999997</v>
      </c>
      <c r="C2" s="105" t="s">
        <v>75</v>
      </c>
      <c r="D2" s="107"/>
      <c r="E2" s="107"/>
      <c r="F2" s="107"/>
      <c r="G2" s="107"/>
      <c r="H2" s="107"/>
      <c r="I2" s="107"/>
      <c r="J2" s="107"/>
      <c r="K2" s="108"/>
    </row>
    <row r="3" spans="1:39" x14ac:dyDescent="0.25">
      <c r="A3" s="110" t="s">
        <v>15</v>
      </c>
      <c r="B3" s="120">
        <v>0</v>
      </c>
      <c r="C3" s="105" t="s">
        <v>53</v>
      </c>
      <c r="D3" s="107"/>
      <c r="E3" s="107"/>
      <c r="F3" s="107"/>
      <c r="G3" s="107"/>
      <c r="H3" s="107"/>
      <c r="I3" s="107"/>
      <c r="J3" s="107"/>
      <c r="K3" s="108"/>
    </row>
    <row r="4" spans="1:39" x14ac:dyDescent="0.25">
      <c r="A4" s="110" t="s">
        <v>16</v>
      </c>
      <c r="B4" s="121">
        <v>9</v>
      </c>
      <c r="C4" s="124" t="s">
        <v>54</v>
      </c>
      <c r="D4" s="107"/>
      <c r="E4" s="125"/>
      <c r="F4" s="107"/>
      <c r="G4" s="107"/>
      <c r="H4" s="107"/>
      <c r="I4" s="107"/>
      <c r="J4" s="107"/>
      <c r="K4" s="108"/>
    </row>
    <row r="5" spans="1:39" x14ac:dyDescent="0.25">
      <c r="A5" s="110" t="s">
        <v>18</v>
      </c>
      <c r="B5" s="122">
        <f>'per-unit energy and $ savings'!M12</f>
        <v>156.34733126934987</v>
      </c>
      <c r="C5" s="105" t="s">
        <v>55</v>
      </c>
      <c r="D5" s="107"/>
      <c r="E5" s="107"/>
      <c r="F5" s="107"/>
      <c r="G5" s="107"/>
      <c r="H5" s="107"/>
      <c r="I5" s="107"/>
      <c r="J5" s="107"/>
      <c r="K5" s="108"/>
    </row>
    <row r="6" spans="1:39" x14ac:dyDescent="0.25">
      <c r="A6" s="110" t="s">
        <v>24</v>
      </c>
      <c r="B6" s="122">
        <f>'per-unit energy and $ savings'!N12</f>
        <v>140.18110430233799</v>
      </c>
      <c r="C6" s="105" t="s">
        <v>55</v>
      </c>
      <c r="D6" s="107"/>
      <c r="E6" s="107"/>
      <c r="F6" s="107"/>
      <c r="G6" s="107"/>
      <c r="H6" s="107"/>
      <c r="I6" s="107"/>
      <c r="J6" s="107"/>
      <c r="K6" s="108"/>
    </row>
    <row r="7" spans="1:39" x14ac:dyDescent="0.25">
      <c r="A7" s="110" t="s">
        <v>19</v>
      </c>
      <c r="B7" s="123">
        <v>0.3</v>
      </c>
      <c r="C7" s="105" t="s">
        <v>72</v>
      </c>
      <c r="D7" s="107"/>
      <c r="E7" s="107"/>
      <c r="F7" s="107"/>
      <c r="G7" s="107"/>
      <c r="H7" s="107"/>
      <c r="I7" s="107"/>
      <c r="J7" s="107"/>
      <c r="K7" s="108"/>
    </row>
    <row r="8" spans="1:39" x14ac:dyDescent="0.25">
      <c r="A8" s="110" t="s">
        <v>20</v>
      </c>
      <c r="B8" s="123">
        <v>0.5</v>
      </c>
      <c r="C8" s="124" t="s">
        <v>76</v>
      </c>
      <c r="D8" s="107"/>
      <c r="E8" s="107"/>
      <c r="F8" s="107"/>
      <c r="G8" s="107"/>
      <c r="H8" s="107"/>
      <c r="I8" s="107"/>
      <c r="J8" s="107"/>
      <c r="K8" s="108"/>
    </row>
    <row r="10" spans="1:39" x14ac:dyDescent="0.25">
      <c r="A10" s="95" t="s">
        <v>73</v>
      </c>
      <c r="B10" s="102"/>
      <c r="C10" s="96"/>
      <c r="D10" s="96"/>
      <c r="E10" s="96"/>
      <c r="F10" s="96"/>
      <c r="G10" s="96"/>
      <c r="H10" s="96"/>
      <c r="I10" s="96"/>
      <c r="J10" s="97"/>
      <c r="K10" s="103"/>
    </row>
    <row r="11" spans="1:39" x14ac:dyDescent="0.25">
      <c r="A11" s="105" t="s">
        <v>59</v>
      </c>
      <c r="B11" s="106"/>
      <c r="C11" s="107"/>
      <c r="D11" s="107"/>
      <c r="E11" s="107"/>
      <c r="F11" s="107"/>
      <c r="G11" s="107"/>
      <c r="H11" s="107"/>
      <c r="I11" s="107"/>
      <c r="J11" s="108"/>
      <c r="K11" s="103"/>
    </row>
    <row r="12" spans="1:39" x14ac:dyDescent="0.25">
      <c r="A12" s="105" t="s">
        <v>60</v>
      </c>
      <c r="B12" s="107"/>
      <c r="C12" s="107"/>
      <c r="D12" s="107"/>
      <c r="E12" s="107"/>
      <c r="F12" s="107"/>
      <c r="G12" s="107"/>
      <c r="H12" s="107"/>
      <c r="I12" s="107"/>
      <c r="J12" s="108"/>
    </row>
    <row r="13" spans="1:39" x14ac:dyDescent="0.25">
      <c r="A13" s="105" t="s">
        <v>61</v>
      </c>
      <c r="B13" s="107"/>
      <c r="C13" s="107"/>
      <c r="D13" s="107"/>
      <c r="E13" s="107"/>
      <c r="F13" s="107"/>
      <c r="G13" s="107"/>
      <c r="H13" s="107"/>
      <c r="I13" s="107"/>
      <c r="J13" s="108"/>
    </row>
    <row r="14" spans="1:39" x14ac:dyDescent="0.25">
      <c r="A14" s="104"/>
    </row>
    <row r="15" spans="1:39" x14ac:dyDescent="0.25">
      <c r="A15" s="109" t="s">
        <v>2</v>
      </c>
      <c r="B15" s="151">
        <v>2023</v>
      </c>
      <c r="C15" s="151">
        <v>2024</v>
      </c>
      <c r="D15" s="151">
        <v>2025</v>
      </c>
      <c r="E15" s="151">
        <v>2026</v>
      </c>
      <c r="F15" s="151">
        <v>2027</v>
      </c>
      <c r="G15" s="151">
        <v>2028</v>
      </c>
      <c r="H15" s="151">
        <v>2029</v>
      </c>
      <c r="I15" s="151">
        <v>2030</v>
      </c>
      <c r="J15" s="151">
        <v>2031</v>
      </c>
      <c r="K15" s="151">
        <v>2032</v>
      </c>
      <c r="L15" s="151">
        <v>2033</v>
      </c>
      <c r="M15" s="151">
        <v>2034</v>
      </c>
      <c r="N15" s="151">
        <v>2035</v>
      </c>
      <c r="O15" s="151">
        <v>2036</v>
      </c>
      <c r="P15" s="151">
        <v>2037</v>
      </c>
      <c r="Q15" s="151">
        <v>2038</v>
      </c>
      <c r="R15" s="151">
        <v>2039</v>
      </c>
      <c r="S15" s="151">
        <v>2040</v>
      </c>
      <c r="T15" s="151">
        <v>2041</v>
      </c>
      <c r="U15" s="151">
        <v>2042</v>
      </c>
      <c r="V15" s="151">
        <v>2043</v>
      </c>
      <c r="W15" s="151">
        <v>2044</v>
      </c>
      <c r="X15" s="151">
        <v>2045</v>
      </c>
      <c r="Y15" s="151">
        <v>2046</v>
      </c>
      <c r="Z15" s="151">
        <v>2047</v>
      </c>
      <c r="AA15" s="151">
        <v>2048</v>
      </c>
      <c r="AB15" s="151">
        <v>2049</v>
      </c>
      <c r="AC15" s="151">
        <v>2050</v>
      </c>
      <c r="AD15" s="151">
        <v>2051</v>
      </c>
      <c r="AE15" s="151">
        <v>2052</v>
      </c>
      <c r="AF15" s="4">
        <v>2053</v>
      </c>
      <c r="AG15" s="4">
        <v>2054</v>
      </c>
      <c r="AH15" s="4">
        <v>2055</v>
      </c>
      <c r="AI15" s="4">
        <v>2056</v>
      </c>
      <c r="AJ15" s="4">
        <v>2057</v>
      </c>
      <c r="AK15" s="4">
        <v>2058</v>
      </c>
      <c r="AL15" s="4">
        <v>2059</v>
      </c>
      <c r="AM15" s="4">
        <v>2060</v>
      </c>
    </row>
    <row r="16" spans="1:39" x14ac:dyDescent="0.25">
      <c r="A16" s="110" t="s">
        <v>14</v>
      </c>
      <c r="B16" s="111">
        <f>$B$2*(1+$B$3)^(B15-2021)</f>
        <v>6.4814819999999997</v>
      </c>
      <c r="C16" s="111">
        <f t="shared" ref="C16:AE16" si="0">$B$2*(1+$B$3)^(C15-2021)</f>
        <v>6.4814819999999997</v>
      </c>
      <c r="D16" s="111">
        <f t="shared" si="0"/>
        <v>6.4814819999999997</v>
      </c>
      <c r="E16" s="111">
        <f t="shared" si="0"/>
        <v>6.4814819999999997</v>
      </c>
      <c r="F16" s="111">
        <f t="shared" si="0"/>
        <v>6.4814819999999997</v>
      </c>
      <c r="G16" s="111">
        <f t="shared" si="0"/>
        <v>6.4814819999999997</v>
      </c>
      <c r="H16" s="111">
        <f t="shared" si="0"/>
        <v>6.4814819999999997</v>
      </c>
      <c r="I16" s="111">
        <f t="shared" si="0"/>
        <v>6.4814819999999997</v>
      </c>
      <c r="J16" s="111">
        <f t="shared" si="0"/>
        <v>6.4814819999999997</v>
      </c>
      <c r="K16" s="111">
        <f t="shared" si="0"/>
        <v>6.4814819999999997</v>
      </c>
      <c r="L16" s="111">
        <f t="shared" si="0"/>
        <v>6.4814819999999997</v>
      </c>
      <c r="M16" s="111">
        <f t="shared" si="0"/>
        <v>6.4814819999999997</v>
      </c>
      <c r="N16" s="111">
        <f t="shared" si="0"/>
        <v>6.4814819999999997</v>
      </c>
      <c r="O16" s="111">
        <f t="shared" si="0"/>
        <v>6.4814819999999997</v>
      </c>
      <c r="P16" s="111">
        <f t="shared" si="0"/>
        <v>6.4814819999999997</v>
      </c>
      <c r="Q16" s="111">
        <f t="shared" si="0"/>
        <v>6.4814819999999997</v>
      </c>
      <c r="R16" s="111">
        <f t="shared" si="0"/>
        <v>6.4814819999999997</v>
      </c>
      <c r="S16" s="111">
        <f t="shared" si="0"/>
        <v>6.4814819999999997</v>
      </c>
      <c r="T16" s="111">
        <f t="shared" si="0"/>
        <v>6.4814819999999997</v>
      </c>
      <c r="U16" s="111">
        <f t="shared" si="0"/>
        <v>6.4814819999999997</v>
      </c>
      <c r="V16" s="111">
        <f t="shared" si="0"/>
        <v>6.4814819999999997</v>
      </c>
      <c r="W16" s="111">
        <f t="shared" si="0"/>
        <v>6.4814819999999997</v>
      </c>
      <c r="X16" s="111">
        <f t="shared" si="0"/>
        <v>6.4814819999999997</v>
      </c>
      <c r="Y16" s="111">
        <f t="shared" si="0"/>
        <v>6.4814819999999997</v>
      </c>
      <c r="Z16" s="111">
        <f t="shared" si="0"/>
        <v>6.4814819999999997</v>
      </c>
      <c r="AA16" s="111">
        <f t="shared" si="0"/>
        <v>6.4814819999999997</v>
      </c>
      <c r="AB16" s="111">
        <f t="shared" si="0"/>
        <v>6.4814819999999997</v>
      </c>
      <c r="AC16" s="111">
        <f t="shared" si="0"/>
        <v>6.4814819999999997</v>
      </c>
      <c r="AD16" s="111">
        <f t="shared" si="0"/>
        <v>6.4814819999999997</v>
      </c>
      <c r="AE16" s="111">
        <f t="shared" si="0"/>
        <v>6.4814819999999997</v>
      </c>
    </row>
    <row r="17" spans="1:41" x14ac:dyDescent="0.25">
      <c r="A17" s="110" t="s">
        <v>23</v>
      </c>
      <c r="B17" s="111">
        <f>B16</f>
        <v>6.4814819999999997</v>
      </c>
      <c r="C17" s="111">
        <f>SUM($B16:C16)</f>
        <v>12.962963999999999</v>
      </c>
      <c r="D17" s="111">
        <f>SUM($B16:D16)</f>
        <v>19.444445999999999</v>
      </c>
      <c r="E17" s="111">
        <f>SUM($B16:E16)</f>
        <v>25.925927999999999</v>
      </c>
      <c r="F17" s="111">
        <f>SUM($B16:F16)</f>
        <v>32.407409999999999</v>
      </c>
      <c r="G17" s="111">
        <f>SUM($B16:G16)</f>
        <v>38.888891999999998</v>
      </c>
      <c r="H17" s="111">
        <f>SUM($B16:H16)</f>
        <v>45.370373999999998</v>
      </c>
      <c r="I17" s="111">
        <f>SUM($B16:I16)</f>
        <v>51.851855999999998</v>
      </c>
      <c r="J17" s="111">
        <f>SUM($B16:J16)</f>
        <v>58.333337999999998</v>
      </c>
      <c r="K17" s="111">
        <f>SUM(C16:K16)</f>
        <v>58.333337999999998</v>
      </c>
      <c r="L17" s="111">
        <f>SUM(D16:L16)</f>
        <v>58.333337999999998</v>
      </c>
      <c r="M17" s="111">
        <f t="shared" ref="M17:P17" si="1">SUM(E16:M16)</f>
        <v>58.333337999999998</v>
      </c>
      <c r="N17" s="111">
        <f t="shared" si="1"/>
        <v>58.333337999999998</v>
      </c>
      <c r="O17" s="111">
        <f t="shared" si="1"/>
        <v>58.333337999999998</v>
      </c>
      <c r="P17" s="111">
        <f t="shared" si="1"/>
        <v>58.333337999999998</v>
      </c>
      <c r="Q17" s="111">
        <f t="shared" ref="Q17" si="2">SUM(I16:Q16)</f>
        <v>58.333337999999998</v>
      </c>
      <c r="R17" s="111">
        <f t="shared" ref="R17" si="3">SUM(J16:R16)</f>
        <v>58.333337999999998</v>
      </c>
      <c r="S17" s="111">
        <f t="shared" ref="S17" si="4">SUM(K16:S16)</f>
        <v>58.333337999999998</v>
      </c>
      <c r="T17" s="111">
        <f t="shared" ref="T17" si="5">SUM(L16:T16)</f>
        <v>58.333337999999998</v>
      </c>
      <c r="U17" s="111">
        <f t="shared" ref="U17" si="6">SUM(M16:U16)</f>
        <v>58.333337999999998</v>
      </c>
      <c r="V17" s="111">
        <f t="shared" ref="V17" si="7">SUM(N16:V16)</f>
        <v>58.333337999999998</v>
      </c>
      <c r="W17" s="111">
        <f t="shared" ref="W17" si="8">SUM(O16:W16)</f>
        <v>58.333337999999998</v>
      </c>
      <c r="X17" s="111">
        <f t="shared" ref="X17" si="9">SUM(P16:X16)</f>
        <v>58.333337999999998</v>
      </c>
      <c r="Y17" s="111">
        <f t="shared" ref="Y17" si="10">SUM(Q16:Y16)</f>
        <v>58.333337999999998</v>
      </c>
      <c r="Z17" s="111">
        <f t="shared" ref="Z17" si="11">SUM(R16:Z16)</f>
        <v>58.333337999999998</v>
      </c>
      <c r="AA17" s="111">
        <f t="shared" ref="AA17" si="12">SUM(S16:AA16)</f>
        <v>58.333337999999998</v>
      </c>
      <c r="AB17" s="111">
        <f t="shared" ref="AB17" si="13">SUM(T16:AB16)</f>
        <v>58.333337999999998</v>
      </c>
      <c r="AC17" s="111">
        <f t="shared" ref="AC17" si="14">SUM(U16:AC16)</f>
        <v>58.333337999999998</v>
      </c>
      <c r="AD17" s="111">
        <f t="shared" ref="AD17" si="15">SUM(V16:AD16)</f>
        <v>58.333337999999998</v>
      </c>
      <c r="AE17" s="111">
        <f t="shared" ref="AE17" si="16">SUM(W16:AE16)</f>
        <v>58.333337999999998</v>
      </c>
      <c r="AF17" s="3">
        <f t="shared" ref="AF17" si="17">SUM(X16:AF16)</f>
        <v>51.851855999999998</v>
      </c>
      <c r="AG17" s="3">
        <f t="shared" ref="AG17" si="18">SUM(Y16:AG16)</f>
        <v>45.370373999999998</v>
      </c>
      <c r="AH17" s="3">
        <f t="shared" ref="AH17" si="19">SUM(Z16:AH16)</f>
        <v>38.888891999999998</v>
      </c>
      <c r="AI17" s="3">
        <f t="shared" ref="AI17" si="20">SUM(AA16:AI16)</f>
        <v>32.407409999999999</v>
      </c>
      <c r="AJ17" s="3">
        <f t="shared" ref="AJ17" si="21">SUM(AB16:AJ16)</f>
        <v>25.925927999999999</v>
      </c>
      <c r="AK17" s="3">
        <f t="shared" ref="AK17" si="22">SUM(AC16:AK16)</f>
        <v>19.444445999999999</v>
      </c>
      <c r="AL17" s="3">
        <f t="shared" ref="AL17" si="23">SUM(AD16:AL16)</f>
        <v>12.962963999999999</v>
      </c>
      <c r="AM17" s="3">
        <f t="shared" ref="AM17" si="24">SUM(AE16:AM16)</f>
        <v>6.4814819999999997</v>
      </c>
      <c r="AN17" s="3"/>
      <c r="AO17" s="3"/>
    </row>
    <row r="18" spans="1:41" x14ac:dyDescent="0.25">
      <c r="A18" s="110" t="s">
        <v>17</v>
      </c>
      <c r="B18" s="111">
        <f>B17*$B$5*$B$7/1000</f>
        <v>0.30400872401109846</v>
      </c>
      <c r="C18" s="111">
        <f t="shared" ref="C18:AM18" si="25">C17*$B$5*$B$7/1000</f>
        <v>0.60801744802219693</v>
      </c>
      <c r="D18" s="111">
        <f t="shared" si="25"/>
        <v>0.91202617203329539</v>
      </c>
      <c r="E18" s="111">
        <f t="shared" si="25"/>
        <v>1.2160348960443939</v>
      </c>
      <c r="F18" s="111">
        <f t="shared" si="25"/>
        <v>1.5200436200554923</v>
      </c>
      <c r="G18" s="111">
        <f t="shared" si="25"/>
        <v>1.8240523440665908</v>
      </c>
      <c r="H18" s="111">
        <f t="shared" si="25"/>
        <v>2.1280610680776895</v>
      </c>
      <c r="I18" s="111">
        <f t="shared" si="25"/>
        <v>2.4320697920887877</v>
      </c>
      <c r="J18" s="111">
        <f t="shared" si="25"/>
        <v>2.7360785160998864</v>
      </c>
      <c r="K18" s="111">
        <f t="shared" si="25"/>
        <v>2.7360785160998864</v>
      </c>
      <c r="L18" s="111">
        <f t="shared" si="25"/>
        <v>2.7360785160998864</v>
      </c>
      <c r="M18" s="111">
        <f t="shared" si="25"/>
        <v>2.7360785160998864</v>
      </c>
      <c r="N18" s="111">
        <f t="shared" si="25"/>
        <v>2.7360785160998864</v>
      </c>
      <c r="O18" s="111">
        <f t="shared" si="25"/>
        <v>2.7360785160998864</v>
      </c>
      <c r="P18" s="111">
        <f t="shared" si="25"/>
        <v>2.7360785160998864</v>
      </c>
      <c r="Q18" s="111">
        <f t="shared" si="25"/>
        <v>2.7360785160998864</v>
      </c>
      <c r="R18" s="111">
        <f t="shared" si="25"/>
        <v>2.7360785160998864</v>
      </c>
      <c r="S18" s="111">
        <f t="shared" si="25"/>
        <v>2.7360785160998864</v>
      </c>
      <c r="T18" s="111">
        <f t="shared" si="25"/>
        <v>2.7360785160998864</v>
      </c>
      <c r="U18" s="111">
        <f t="shared" si="25"/>
        <v>2.7360785160998864</v>
      </c>
      <c r="V18" s="111">
        <f t="shared" si="25"/>
        <v>2.7360785160998864</v>
      </c>
      <c r="W18" s="111">
        <f t="shared" si="25"/>
        <v>2.7360785160998864</v>
      </c>
      <c r="X18" s="111">
        <f t="shared" si="25"/>
        <v>2.7360785160998864</v>
      </c>
      <c r="Y18" s="111">
        <f t="shared" si="25"/>
        <v>2.7360785160998864</v>
      </c>
      <c r="Z18" s="111">
        <f t="shared" si="25"/>
        <v>2.7360785160998864</v>
      </c>
      <c r="AA18" s="111">
        <f t="shared" si="25"/>
        <v>2.7360785160998864</v>
      </c>
      <c r="AB18" s="111">
        <f t="shared" si="25"/>
        <v>2.7360785160998864</v>
      </c>
      <c r="AC18" s="111">
        <f t="shared" si="25"/>
        <v>2.7360785160998864</v>
      </c>
      <c r="AD18" s="111">
        <f t="shared" si="25"/>
        <v>2.7360785160998864</v>
      </c>
      <c r="AE18" s="111">
        <f t="shared" si="25"/>
        <v>2.7360785160998864</v>
      </c>
      <c r="AF18" s="3">
        <f t="shared" si="25"/>
        <v>2.4320697920887877</v>
      </c>
      <c r="AG18" s="3">
        <f t="shared" si="25"/>
        <v>2.1280610680776895</v>
      </c>
      <c r="AH18" s="3">
        <f t="shared" si="25"/>
        <v>1.8240523440665908</v>
      </c>
      <c r="AI18" s="3">
        <f t="shared" si="25"/>
        <v>1.5200436200554923</v>
      </c>
      <c r="AJ18" s="3">
        <f t="shared" si="25"/>
        <v>1.2160348960443939</v>
      </c>
      <c r="AK18" s="3">
        <f t="shared" si="25"/>
        <v>0.91202617203329539</v>
      </c>
      <c r="AL18" s="3">
        <f t="shared" si="25"/>
        <v>0.60801744802219693</v>
      </c>
      <c r="AM18" s="3">
        <f t="shared" si="25"/>
        <v>0.30400872401109846</v>
      </c>
    </row>
    <row r="19" spans="1:41" x14ac:dyDescent="0.25">
      <c r="A19" s="110" t="s">
        <v>57</v>
      </c>
      <c r="B19" s="25">
        <f>C19</f>
        <v>9484</v>
      </c>
      <c r="C19" s="25">
        <f>D19</f>
        <v>9484</v>
      </c>
      <c r="D19" s="112">
        <v>9484</v>
      </c>
      <c r="E19" s="25">
        <f>$D19+(($I19-$D19)*(E15-$D15)/($I15-$D15))</f>
        <v>9439</v>
      </c>
      <c r="F19" s="25">
        <f t="shared" ref="F19:H19" si="26">$D19+(($I19-$D19)*(F15-$D15)/($I15-$D15))</f>
        <v>9394</v>
      </c>
      <c r="G19" s="25">
        <f t="shared" si="26"/>
        <v>9349</v>
      </c>
      <c r="H19" s="25">
        <f t="shared" si="26"/>
        <v>9304</v>
      </c>
      <c r="I19" s="112">
        <v>9259</v>
      </c>
      <c r="J19" s="25">
        <f>$I19+(($N19-$I19)*(J15-$I15)/($N15-$I15))</f>
        <v>9258.7999999999993</v>
      </c>
      <c r="K19" s="25">
        <f t="shared" ref="K19:M19" si="27">$I19+(($N19-$I19)*(K15-$I15)/($N15-$I15))</f>
        <v>9258.6</v>
      </c>
      <c r="L19" s="25">
        <f t="shared" si="27"/>
        <v>9258.4</v>
      </c>
      <c r="M19" s="25">
        <f t="shared" si="27"/>
        <v>9258.2000000000007</v>
      </c>
      <c r="N19" s="112">
        <v>9258</v>
      </c>
      <c r="O19" s="25">
        <f>$N19+(($S19-$N19)*(O15-$N15)/($S15-$N15))</f>
        <v>9247.6</v>
      </c>
      <c r="P19" s="25">
        <f t="shared" ref="P19:R19" si="28">$N19+(($S19-$N19)*(P15-$N15)/($S15-$N15))</f>
        <v>9237.2000000000007</v>
      </c>
      <c r="Q19" s="25">
        <f t="shared" si="28"/>
        <v>9226.7999999999993</v>
      </c>
      <c r="R19" s="25">
        <f t="shared" si="28"/>
        <v>9216.4</v>
      </c>
      <c r="S19" s="112">
        <v>9206</v>
      </c>
      <c r="T19" s="25">
        <f>$S19+(($X19-$S19)*(T15-$S15)/($X15-$S15))</f>
        <v>9195.6</v>
      </c>
      <c r="U19" s="25">
        <f t="shared" ref="U19:W19" si="29">$S19+(($X19-$S19)*(U15-$S15)/($X15-$S15))</f>
        <v>9185.2000000000007</v>
      </c>
      <c r="V19" s="25">
        <f t="shared" si="29"/>
        <v>9174.7999999999993</v>
      </c>
      <c r="W19" s="25">
        <f t="shared" si="29"/>
        <v>9164.4</v>
      </c>
      <c r="X19" s="112">
        <v>9154</v>
      </c>
      <c r="Y19" s="25">
        <f>$X19+(($AC19-$X19)*(Y15-$X15)/($AC15-$X15))</f>
        <v>9150</v>
      </c>
      <c r="Z19" s="25">
        <f t="shared" ref="Z19:AB19" si="30">$X19+(($AC19-$X19)*(Z15-$X15)/($AC15-$X15))</f>
        <v>9146</v>
      </c>
      <c r="AA19" s="25">
        <f t="shared" si="30"/>
        <v>9142</v>
      </c>
      <c r="AB19" s="25">
        <f t="shared" si="30"/>
        <v>9138</v>
      </c>
      <c r="AC19" s="112">
        <v>9134</v>
      </c>
      <c r="AD19" s="25">
        <f>AC19</f>
        <v>9134</v>
      </c>
      <c r="AE19" s="25">
        <f t="shared" ref="AE19:AM19" si="31">AD19</f>
        <v>9134</v>
      </c>
      <c r="AF19" s="6">
        <f t="shared" si="31"/>
        <v>9134</v>
      </c>
      <c r="AG19" s="6">
        <f t="shared" si="31"/>
        <v>9134</v>
      </c>
      <c r="AH19" s="6">
        <f t="shared" si="31"/>
        <v>9134</v>
      </c>
      <c r="AI19" s="6">
        <f t="shared" si="31"/>
        <v>9134</v>
      </c>
      <c r="AJ19" s="6">
        <f t="shared" si="31"/>
        <v>9134</v>
      </c>
      <c r="AK19" s="6">
        <f t="shared" si="31"/>
        <v>9134</v>
      </c>
      <c r="AL19" s="6">
        <f t="shared" si="31"/>
        <v>9134</v>
      </c>
      <c r="AM19" s="6">
        <f t="shared" si="31"/>
        <v>9134</v>
      </c>
    </row>
    <row r="20" spans="1:41" x14ac:dyDescent="0.25">
      <c r="A20" s="110" t="s">
        <v>58</v>
      </c>
      <c r="B20" s="113">
        <f>C20</f>
        <v>1.042</v>
      </c>
      <c r="C20" s="113">
        <f>D20</f>
        <v>1.042</v>
      </c>
      <c r="D20" s="114">
        <v>1.042</v>
      </c>
      <c r="E20" s="113">
        <f>$D20+(($I20-$D20)*(E15-$D15)/($I15-$D15))</f>
        <v>1.0414000000000001</v>
      </c>
      <c r="F20" s="113">
        <f t="shared" ref="F20:H20" si="32">$D20+(($I20-$D20)*(F15-$D15)/($I15-$D15))</f>
        <v>1.0407999999999999</v>
      </c>
      <c r="G20" s="113">
        <f t="shared" si="32"/>
        <v>1.0402</v>
      </c>
      <c r="H20" s="113">
        <f t="shared" si="32"/>
        <v>1.0395999999999999</v>
      </c>
      <c r="I20" s="114">
        <v>1.0389999999999999</v>
      </c>
      <c r="J20" s="113">
        <f>$I20+(($N20-$I20)*(J15-$I15)/($N15-$I15))</f>
        <v>1.0387999999999999</v>
      </c>
      <c r="K20" s="113">
        <f t="shared" ref="K20:M20" si="33">$I20+(($N20-$I20)*(K15-$I15)/($N15-$I15))</f>
        <v>1.0386</v>
      </c>
      <c r="L20" s="113">
        <f t="shared" si="33"/>
        <v>1.0384</v>
      </c>
      <c r="M20" s="113">
        <f t="shared" si="33"/>
        <v>1.0382</v>
      </c>
      <c r="N20" s="114">
        <v>1.038</v>
      </c>
      <c r="O20" s="113">
        <f>$N20+(($S20-$N20)*(O15-$N15)/($S15-$N15))</f>
        <v>1.0378000000000001</v>
      </c>
      <c r="P20" s="113">
        <f t="shared" ref="P20:R20" si="34">$N20+(($S20-$N20)*(P15-$N15)/($S15-$N15))</f>
        <v>1.0376000000000001</v>
      </c>
      <c r="Q20" s="113">
        <f t="shared" si="34"/>
        <v>1.0373999999999999</v>
      </c>
      <c r="R20" s="113">
        <f t="shared" si="34"/>
        <v>1.0371999999999999</v>
      </c>
      <c r="S20" s="114">
        <v>1.0369999999999999</v>
      </c>
      <c r="T20" s="113">
        <f>$S20+(($X20-$S20)*(T15-$S15)/($X15-$S15))</f>
        <v>1.0371999999999999</v>
      </c>
      <c r="U20" s="113">
        <f t="shared" ref="U20:W20" si="35">$S20+(($X20-$S20)*(U15-$S15)/($X15-$S15))</f>
        <v>1.0373999999999999</v>
      </c>
      <c r="V20" s="113">
        <f t="shared" si="35"/>
        <v>1.0376000000000001</v>
      </c>
      <c r="W20" s="113">
        <f t="shared" si="35"/>
        <v>1.0378000000000001</v>
      </c>
      <c r="X20" s="114">
        <v>1.038</v>
      </c>
      <c r="Y20" s="113">
        <f>$X20+(($AC20-$X20)*(Y15-$X15)/($AC15-$X15))</f>
        <v>1.0378000000000001</v>
      </c>
      <c r="Z20" s="113">
        <f t="shared" ref="Z20:AB20" si="36">$X20+(($AC20-$X20)*(Z15-$X15)/($AC15-$X15))</f>
        <v>1.0376000000000001</v>
      </c>
      <c r="AA20" s="113">
        <f t="shared" si="36"/>
        <v>1.0373999999999999</v>
      </c>
      <c r="AB20" s="113">
        <f t="shared" si="36"/>
        <v>1.0371999999999999</v>
      </c>
      <c r="AC20" s="114">
        <v>1.0369999999999999</v>
      </c>
      <c r="AD20" s="113">
        <f>AC20</f>
        <v>1.0369999999999999</v>
      </c>
      <c r="AE20" s="113">
        <f t="shared" ref="AE20:AM20" si="37">AD20</f>
        <v>1.0369999999999999</v>
      </c>
      <c r="AF20" s="5">
        <f t="shared" si="37"/>
        <v>1.0369999999999999</v>
      </c>
      <c r="AG20" s="5">
        <f t="shared" si="37"/>
        <v>1.0369999999999999</v>
      </c>
      <c r="AH20" s="5">
        <f t="shared" si="37"/>
        <v>1.0369999999999999</v>
      </c>
      <c r="AI20" s="5">
        <f t="shared" si="37"/>
        <v>1.0369999999999999</v>
      </c>
      <c r="AJ20" s="5">
        <f t="shared" si="37"/>
        <v>1.0369999999999999</v>
      </c>
      <c r="AK20" s="5">
        <f t="shared" si="37"/>
        <v>1.0369999999999999</v>
      </c>
      <c r="AL20" s="5">
        <f t="shared" si="37"/>
        <v>1.0369999999999999</v>
      </c>
      <c r="AM20" s="5">
        <f t="shared" si="37"/>
        <v>1.0369999999999999</v>
      </c>
    </row>
    <row r="21" spans="1:41" x14ac:dyDescent="0.25">
      <c r="A21" s="110" t="s">
        <v>48</v>
      </c>
      <c r="B21" s="115">
        <f>B18*B19*B20/1000000</f>
        <v>3.0043139255391507E-3</v>
      </c>
      <c r="C21" s="115">
        <f t="shared" ref="C21:M21" si="38">C18*C19*C20/1000000</f>
        <v>6.0086278510783015E-3</v>
      </c>
      <c r="D21" s="115">
        <f t="shared" si="38"/>
        <v>9.0129417766174526E-3</v>
      </c>
      <c r="E21" s="115">
        <f t="shared" si="38"/>
        <v>1.1953348933850824E-2</v>
      </c>
      <c r="F21" s="115">
        <f t="shared" si="38"/>
        <v>1.4861884789286788E-2</v>
      </c>
      <c r="G21" s="115">
        <f t="shared" si="38"/>
        <v>1.7738598592338638E-2</v>
      </c>
      <c r="H21" s="115">
        <f t="shared" si="38"/>
        <v>2.0583539592419656E-2</v>
      </c>
      <c r="I21" s="115">
        <f t="shared" si="38"/>
        <v>2.3396757038943138E-2</v>
      </c>
      <c r="J21" s="115">
        <f t="shared" si="38"/>
        <v>2.6315716550942409E-2</v>
      </c>
      <c r="K21" s="115">
        <f t="shared" si="38"/>
        <v>2.6310081651960079E-2</v>
      </c>
      <c r="L21" s="115">
        <f t="shared" si="38"/>
        <v>2.6304446971864022E-2</v>
      </c>
      <c r="M21" s="115">
        <f t="shared" si="38"/>
        <v>2.6298812510654249E-2</v>
      </c>
      <c r="N21" s="115">
        <f t="shared" ref="N21" si="39">N18*N19*N20/1000000</f>
        <v>2.6293178268330754E-2</v>
      </c>
      <c r="O21" s="115">
        <f t="shared" ref="O21" si="40">O18*O19*O20/1000000</f>
        <v>2.6258581321596655E-2</v>
      </c>
      <c r="P21" s="115">
        <f t="shared" ref="P21" si="41">P18*P19*P20/1000000</f>
        <v>2.6223995756949184E-2</v>
      </c>
      <c r="Q21" s="115">
        <f t="shared" ref="Q21" si="42">Q18*Q19*Q20/1000000</f>
        <v>2.6189421574388333E-2</v>
      </c>
      <c r="R21" s="115">
        <f t="shared" ref="R21" si="43">R18*R19*R20/1000000</f>
        <v>2.6154858773914116E-2</v>
      </c>
      <c r="S21" s="115">
        <f t="shared" ref="S21" si="44">S18*S19*S20/1000000</f>
        <v>2.6120307355526531E-2</v>
      </c>
      <c r="T21" s="115">
        <f t="shared" ref="T21" si="45">T18*T19*T20/1000000</f>
        <v>2.6095831272666622E-2</v>
      </c>
      <c r="U21" s="115">
        <f t="shared" ref="U21" si="46">U18*U19*U20/1000000</f>
        <v>2.6071343807720092E-2</v>
      </c>
      <c r="V21" s="115">
        <f t="shared" ref="V21" si="47">V18*V19*V20/1000000</f>
        <v>2.6046844960686936E-2</v>
      </c>
      <c r="W21" s="115">
        <f t="shared" ref="W21:X21" si="48">W18*W19*W20/1000000</f>
        <v>2.6022334731567148E-2</v>
      </c>
      <c r="X21" s="115">
        <f t="shared" si="48"/>
        <v>2.599781312036074E-2</v>
      </c>
      <c r="Y21" s="115">
        <f t="shared" ref="Y21" si="49">Y18*Y19*Y20/1000000</f>
        <v>2.598144589867743E-2</v>
      </c>
      <c r="Z21" s="115">
        <f t="shared" ref="Z21" si="50">Z18*Z19*Z20/1000000</f>
        <v>2.5965083054719746E-2</v>
      </c>
      <c r="AA21" s="115">
        <f t="shared" ref="AA21" si="51">AA18*AA19*AA20/1000000</f>
        <v>2.5948724588487682E-2</v>
      </c>
      <c r="AB21" s="115">
        <f t="shared" ref="AB21" si="52">AB18*AB19*AB20/1000000</f>
        <v>2.5932370499981251E-2</v>
      </c>
      <c r="AC21" s="115">
        <f t="shared" ref="AC21" si="53">AC18*AC19*AC20/1000000</f>
        <v>2.5916020789200443E-2</v>
      </c>
      <c r="AD21" s="115">
        <f t="shared" ref="AD21" si="54">AD18*AD19*AD20/1000000</f>
        <v>2.5916020789200443E-2</v>
      </c>
      <c r="AE21" s="115">
        <f t="shared" ref="AE21" si="55">AE18*AE19*AE20/1000000</f>
        <v>2.5916020789200443E-2</v>
      </c>
      <c r="AF21" s="2">
        <f t="shared" ref="AF21" si="56">AF18*AF19*AF20/1000000</f>
        <v>2.3036462923733729E-2</v>
      </c>
      <c r="AG21" s="2">
        <f t="shared" ref="AG21" si="57">AG18*AG19*AG20/1000000</f>
        <v>2.0156905058267012E-2</v>
      </c>
      <c r="AH21" s="2">
        <f t="shared" ref="AH21:AI21" si="58">AH18*AH19*AH20/1000000</f>
        <v>1.7277347192800298E-2</v>
      </c>
      <c r="AI21" s="2">
        <f t="shared" si="58"/>
        <v>1.4397789327333581E-2</v>
      </c>
      <c r="AJ21" s="2">
        <f t="shared" ref="AJ21" si="59">AJ18*AJ19*AJ20/1000000</f>
        <v>1.1518231461866865E-2</v>
      </c>
      <c r="AK21" s="2">
        <f t="shared" ref="AK21" si="60">AK18*AK19*AK20/1000000</f>
        <v>8.6386735964001492E-3</v>
      </c>
      <c r="AL21" s="2">
        <f t="shared" ref="AL21" si="61">AL18*AL19*AL20/1000000</f>
        <v>5.7591157309334323E-3</v>
      </c>
      <c r="AM21" s="2">
        <f t="shared" ref="AM21" si="62">AM18*AM19*AM20/1000000</f>
        <v>2.8795578654667161E-3</v>
      </c>
    </row>
    <row r="23" spans="1:41" x14ac:dyDescent="0.25">
      <c r="A23" s="109" t="s">
        <v>3</v>
      </c>
      <c r="B23" s="110"/>
      <c r="C23" s="110"/>
      <c r="D23" s="152">
        <v>2025</v>
      </c>
      <c r="E23" s="152">
        <v>2026</v>
      </c>
      <c r="F23" s="152">
        <v>2027</v>
      </c>
      <c r="G23" s="152">
        <v>2028</v>
      </c>
      <c r="H23" s="152">
        <v>2029</v>
      </c>
      <c r="I23" s="152">
        <v>2030</v>
      </c>
      <c r="J23" s="152">
        <v>2031</v>
      </c>
      <c r="K23" s="152">
        <v>2032</v>
      </c>
      <c r="L23" s="152">
        <v>2033</v>
      </c>
      <c r="M23" s="152">
        <v>2034</v>
      </c>
      <c r="N23" s="152">
        <v>2035</v>
      </c>
      <c r="O23" s="152">
        <v>2036</v>
      </c>
      <c r="P23" s="152">
        <v>2037</v>
      </c>
      <c r="Q23" s="152">
        <v>2038</v>
      </c>
      <c r="R23" s="152">
        <v>2039</v>
      </c>
      <c r="S23" s="152">
        <v>2040</v>
      </c>
      <c r="T23" s="152">
        <v>2041</v>
      </c>
      <c r="U23" s="152">
        <v>2042</v>
      </c>
      <c r="V23" s="152">
        <v>2043</v>
      </c>
      <c r="W23" s="152">
        <v>2044</v>
      </c>
      <c r="X23" s="152">
        <v>2045</v>
      </c>
      <c r="Y23" s="152">
        <v>2046</v>
      </c>
      <c r="Z23" s="152">
        <v>2047</v>
      </c>
      <c r="AA23" s="152">
        <v>2048</v>
      </c>
      <c r="AB23" s="152">
        <v>2049</v>
      </c>
      <c r="AC23" s="152">
        <v>2050</v>
      </c>
      <c r="AD23" s="152">
        <v>2051</v>
      </c>
      <c r="AE23" s="152">
        <v>2052</v>
      </c>
      <c r="AF23" s="4">
        <v>2053</v>
      </c>
      <c r="AG23" s="4">
        <v>2054</v>
      </c>
      <c r="AH23" s="4">
        <v>2055</v>
      </c>
      <c r="AI23" s="4">
        <v>2056</v>
      </c>
      <c r="AJ23" s="4">
        <v>2057</v>
      </c>
      <c r="AK23" s="4">
        <v>2058</v>
      </c>
      <c r="AL23" s="4">
        <v>2059</v>
      </c>
      <c r="AM23" s="4">
        <v>2060</v>
      </c>
    </row>
    <row r="24" spans="1:41" x14ac:dyDescent="0.25">
      <c r="A24" s="110" t="s">
        <v>14</v>
      </c>
      <c r="B24" s="110"/>
      <c r="C24" s="110"/>
      <c r="D24" s="111">
        <f>D16</f>
        <v>6.4814819999999997</v>
      </c>
      <c r="E24" s="111">
        <f t="shared" ref="E24:AE24" si="63">E16</f>
        <v>6.4814819999999997</v>
      </c>
      <c r="F24" s="111">
        <f t="shared" si="63"/>
        <v>6.4814819999999997</v>
      </c>
      <c r="G24" s="111">
        <f t="shared" si="63"/>
        <v>6.4814819999999997</v>
      </c>
      <c r="H24" s="111">
        <f t="shared" si="63"/>
        <v>6.4814819999999997</v>
      </c>
      <c r="I24" s="111">
        <f t="shared" si="63"/>
        <v>6.4814819999999997</v>
      </c>
      <c r="J24" s="111">
        <f t="shared" si="63"/>
        <v>6.4814819999999997</v>
      </c>
      <c r="K24" s="111">
        <f t="shared" si="63"/>
        <v>6.4814819999999997</v>
      </c>
      <c r="L24" s="111">
        <f t="shared" si="63"/>
        <v>6.4814819999999997</v>
      </c>
      <c r="M24" s="111">
        <f t="shared" si="63"/>
        <v>6.4814819999999997</v>
      </c>
      <c r="N24" s="111">
        <f t="shared" si="63"/>
        <v>6.4814819999999997</v>
      </c>
      <c r="O24" s="111">
        <f t="shared" si="63"/>
        <v>6.4814819999999997</v>
      </c>
      <c r="P24" s="111">
        <f t="shared" si="63"/>
        <v>6.4814819999999997</v>
      </c>
      <c r="Q24" s="111">
        <f t="shared" si="63"/>
        <v>6.4814819999999997</v>
      </c>
      <c r="R24" s="111">
        <f t="shared" si="63"/>
        <v>6.4814819999999997</v>
      </c>
      <c r="S24" s="111">
        <f t="shared" si="63"/>
        <v>6.4814819999999997</v>
      </c>
      <c r="T24" s="111">
        <f t="shared" si="63"/>
        <v>6.4814819999999997</v>
      </c>
      <c r="U24" s="111">
        <f t="shared" si="63"/>
        <v>6.4814819999999997</v>
      </c>
      <c r="V24" s="111">
        <f t="shared" si="63"/>
        <v>6.4814819999999997</v>
      </c>
      <c r="W24" s="111">
        <f t="shared" si="63"/>
        <v>6.4814819999999997</v>
      </c>
      <c r="X24" s="111">
        <f t="shared" si="63"/>
        <v>6.4814819999999997</v>
      </c>
      <c r="Y24" s="111">
        <f t="shared" si="63"/>
        <v>6.4814819999999997</v>
      </c>
      <c r="Z24" s="111">
        <f t="shared" si="63"/>
        <v>6.4814819999999997</v>
      </c>
      <c r="AA24" s="111">
        <f t="shared" si="63"/>
        <v>6.4814819999999997</v>
      </c>
      <c r="AB24" s="111">
        <f t="shared" si="63"/>
        <v>6.4814819999999997</v>
      </c>
      <c r="AC24" s="111">
        <f t="shared" si="63"/>
        <v>6.4814819999999997</v>
      </c>
      <c r="AD24" s="111">
        <f t="shared" si="63"/>
        <v>6.4814819999999997</v>
      </c>
      <c r="AE24" s="111">
        <f t="shared" si="63"/>
        <v>6.4814819999999997</v>
      </c>
    </row>
    <row r="25" spans="1:41" x14ac:dyDescent="0.25">
      <c r="A25" s="110" t="s">
        <v>23</v>
      </c>
      <c r="B25" s="110"/>
      <c r="C25" s="110"/>
      <c r="D25" s="111">
        <f>D24</f>
        <v>6.4814819999999997</v>
      </c>
      <c r="E25" s="111">
        <f>SUM($D24:E24)</f>
        <v>12.962963999999999</v>
      </c>
      <c r="F25" s="111">
        <f>SUM($D24:F24)</f>
        <v>19.444445999999999</v>
      </c>
      <c r="G25" s="111">
        <f>SUM($D24:G24)</f>
        <v>25.925927999999999</v>
      </c>
      <c r="H25" s="111">
        <f>SUM($D24:H24)</f>
        <v>32.407409999999999</v>
      </c>
      <c r="I25" s="111">
        <f>SUM($D24:I24)</f>
        <v>38.888891999999998</v>
      </c>
      <c r="J25" s="111">
        <f>SUM($D24:J24)</f>
        <v>45.370373999999998</v>
      </c>
      <c r="K25" s="111">
        <f>SUM($D24:K24)</f>
        <v>51.851855999999998</v>
      </c>
      <c r="L25" s="111">
        <f>SUM($D24:L24)</f>
        <v>58.333337999999998</v>
      </c>
      <c r="M25" s="111">
        <f>SUM(E24:M24)</f>
        <v>58.333337999999998</v>
      </c>
      <c r="N25" s="111">
        <f t="shared" ref="N25:AM25" si="64">SUM(F24:N24)</f>
        <v>58.333337999999998</v>
      </c>
      <c r="O25" s="111">
        <f t="shared" si="64"/>
        <v>58.333337999999998</v>
      </c>
      <c r="P25" s="111">
        <f t="shared" si="64"/>
        <v>58.333337999999998</v>
      </c>
      <c r="Q25" s="111">
        <f t="shared" si="64"/>
        <v>58.333337999999998</v>
      </c>
      <c r="R25" s="111">
        <f t="shared" si="64"/>
        <v>58.333337999999998</v>
      </c>
      <c r="S25" s="111">
        <f t="shared" si="64"/>
        <v>58.333337999999998</v>
      </c>
      <c r="T25" s="111">
        <f t="shared" si="64"/>
        <v>58.333337999999998</v>
      </c>
      <c r="U25" s="111">
        <f t="shared" si="64"/>
        <v>58.333337999999998</v>
      </c>
      <c r="V25" s="111">
        <f t="shared" si="64"/>
        <v>58.333337999999998</v>
      </c>
      <c r="W25" s="111">
        <f t="shared" si="64"/>
        <v>58.333337999999998</v>
      </c>
      <c r="X25" s="111">
        <f t="shared" si="64"/>
        <v>58.333337999999998</v>
      </c>
      <c r="Y25" s="111">
        <f t="shared" si="64"/>
        <v>58.333337999999998</v>
      </c>
      <c r="Z25" s="111">
        <f t="shared" si="64"/>
        <v>58.333337999999998</v>
      </c>
      <c r="AA25" s="111">
        <f t="shared" si="64"/>
        <v>58.333337999999998</v>
      </c>
      <c r="AB25" s="111">
        <f t="shared" si="64"/>
        <v>58.333337999999998</v>
      </c>
      <c r="AC25" s="111">
        <f t="shared" si="64"/>
        <v>58.333337999999998</v>
      </c>
      <c r="AD25" s="111">
        <f t="shared" si="64"/>
        <v>58.333337999999998</v>
      </c>
      <c r="AE25" s="111">
        <f t="shared" si="64"/>
        <v>58.333337999999998</v>
      </c>
      <c r="AF25" s="3">
        <f t="shared" si="64"/>
        <v>51.851855999999998</v>
      </c>
      <c r="AG25" s="3">
        <f t="shared" si="64"/>
        <v>45.370373999999998</v>
      </c>
      <c r="AH25" s="3">
        <f t="shared" si="64"/>
        <v>38.888891999999998</v>
      </c>
      <c r="AI25" s="3">
        <f t="shared" si="64"/>
        <v>32.407409999999999</v>
      </c>
      <c r="AJ25" s="3">
        <f t="shared" si="64"/>
        <v>25.925927999999999</v>
      </c>
      <c r="AK25" s="3">
        <f t="shared" si="64"/>
        <v>19.444445999999999</v>
      </c>
      <c r="AL25" s="3">
        <f t="shared" si="64"/>
        <v>12.962963999999999</v>
      </c>
      <c r="AM25" s="3">
        <f t="shared" si="64"/>
        <v>6.4814819999999997</v>
      </c>
    </row>
    <row r="26" spans="1:41" x14ac:dyDescent="0.25">
      <c r="A26" s="110" t="s">
        <v>17</v>
      </c>
      <c r="B26" s="110"/>
      <c r="C26" s="110"/>
      <c r="D26" s="111">
        <f>D25*$B$6*$B$8/1000</f>
        <v>0.45429065213786313</v>
      </c>
      <c r="E26" s="111">
        <f t="shared" ref="E26:AM26" si="65">E25*$B$6*$B$8/1000</f>
        <v>0.90858130427572625</v>
      </c>
      <c r="F26" s="111">
        <f t="shared" si="65"/>
        <v>1.3628719564135892</v>
      </c>
      <c r="G26" s="111">
        <f t="shared" si="65"/>
        <v>1.8171626085514525</v>
      </c>
      <c r="H26" s="111">
        <f t="shared" si="65"/>
        <v>2.2714532606893152</v>
      </c>
      <c r="I26" s="111">
        <f t="shared" si="65"/>
        <v>2.7257439128271783</v>
      </c>
      <c r="J26" s="111">
        <f t="shared" si="65"/>
        <v>3.1800345649650419</v>
      </c>
      <c r="K26" s="111">
        <f t="shared" si="65"/>
        <v>3.634325217102905</v>
      </c>
      <c r="L26" s="111">
        <f t="shared" si="65"/>
        <v>4.0886158692407681</v>
      </c>
      <c r="M26" s="111">
        <f t="shared" si="65"/>
        <v>4.0886158692407681</v>
      </c>
      <c r="N26" s="111">
        <f t="shared" si="65"/>
        <v>4.0886158692407681</v>
      </c>
      <c r="O26" s="111">
        <f t="shared" si="65"/>
        <v>4.0886158692407681</v>
      </c>
      <c r="P26" s="111">
        <f t="shared" si="65"/>
        <v>4.0886158692407681</v>
      </c>
      <c r="Q26" s="111">
        <f t="shared" si="65"/>
        <v>4.0886158692407681</v>
      </c>
      <c r="R26" s="111">
        <f t="shared" si="65"/>
        <v>4.0886158692407681</v>
      </c>
      <c r="S26" s="111">
        <f t="shared" si="65"/>
        <v>4.0886158692407681</v>
      </c>
      <c r="T26" s="111">
        <f t="shared" si="65"/>
        <v>4.0886158692407681</v>
      </c>
      <c r="U26" s="111">
        <f t="shared" si="65"/>
        <v>4.0886158692407681</v>
      </c>
      <c r="V26" s="111">
        <f t="shared" si="65"/>
        <v>4.0886158692407681</v>
      </c>
      <c r="W26" s="111">
        <f t="shared" si="65"/>
        <v>4.0886158692407681</v>
      </c>
      <c r="X26" s="111">
        <f t="shared" si="65"/>
        <v>4.0886158692407681</v>
      </c>
      <c r="Y26" s="111">
        <f t="shared" si="65"/>
        <v>4.0886158692407681</v>
      </c>
      <c r="Z26" s="111">
        <f t="shared" si="65"/>
        <v>4.0886158692407681</v>
      </c>
      <c r="AA26" s="111">
        <f t="shared" si="65"/>
        <v>4.0886158692407681</v>
      </c>
      <c r="AB26" s="111">
        <f t="shared" si="65"/>
        <v>4.0886158692407681</v>
      </c>
      <c r="AC26" s="111">
        <f t="shared" si="65"/>
        <v>4.0886158692407681</v>
      </c>
      <c r="AD26" s="111">
        <f t="shared" si="65"/>
        <v>4.0886158692407681</v>
      </c>
      <c r="AE26" s="111">
        <f t="shared" si="65"/>
        <v>4.0886158692407681</v>
      </c>
      <c r="AF26" s="3">
        <f t="shared" si="65"/>
        <v>3.634325217102905</v>
      </c>
      <c r="AG26" s="3">
        <f t="shared" si="65"/>
        <v>3.1800345649650419</v>
      </c>
      <c r="AH26" s="3">
        <f t="shared" si="65"/>
        <v>2.7257439128271783</v>
      </c>
      <c r="AI26" s="3">
        <f t="shared" si="65"/>
        <v>2.2714532606893152</v>
      </c>
      <c r="AJ26" s="3">
        <f t="shared" si="65"/>
        <v>1.8171626085514525</v>
      </c>
      <c r="AK26" s="3">
        <f t="shared" si="65"/>
        <v>1.3628719564135892</v>
      </c>
      <c r="AL26" s="3">
        <f t="shared" si="65"/>
        <v>0.90858130427572625</v>
      </c>
      <c r="AM26" s="3">
        <f t="shared" si="65"/>
        <v>0.45429065213786313</v>
      </c>
    </row>
    <row r="27" spans="1:41" x14ac:dyDescent="0.25">
      <c r="A27" s="110" t="s">
        <v>22</v>
      </c>
      <c r="B27" s="110"/>
      <c r="C27" s="110"/>
      <c r="D27" s="25">
        <f>D19</f>
        <v>9484</v>
      </c>
      <c r="E27" s="25">
        <f t="shared" ref="E27:AM27" si="66">E19</f>
        <v>9439</v>
      </c>
      <c r="F27" s="25">
        <f t="shared" si="66"/>
        <v>9394</v>
      </c>
      <c r="G27" s="25">
        <f t="shared" si="66"/>
        <v>9349</v>
      </c>
      <c r="H27" s="25">
        <f t="shared" si="66"/>
        <v>9304</v>
      </c>
      <c r="I27" s="25">
        <f t="shared" si="66"/>
        <v>9259</v>
      </c>
      <c r="J27" s="25">
        <f t="shared" si="66"/>
        <v>9258.7999999999993</v>
      </c>
      <c r="K27" s="25">
        <f t="shared" si="66"/>
        <v>9258.6</v>
      </c>
      <c r="L27" s="25">
        <f t="shared" si="66"/>
        <v>9258.4</v>
      </c>
      <c r="M27" s="25">
        <f t="shared" si="66"/>
        <v>9258.2000000000007</v>
      </c>
      <c r="N27" s="25">
        <f t="shared" si="66"/>
        <v>9258</v>
      </c>
      <c r="O27" s="25">
        <f t="shared" si="66"/>
        <v>9247.6</v>
      </c>
      <c r="P27" s="25">
        <f t="shared" si="66"/>
        <v>9237.2000000000007</v>
      </c>
      <c r="Q27" s="25">
        <f t="shared" si="66"/>
        <v>9226.7999999999993</v>
      </c>
      <c r="R27" s="25">
        <f t="shared" si="66"/>
        <v>9216.4</v>
      </c>
      <c r="S27" s="25">
        <f t="shared" si="66"/>
        <v>9206</v>
      </c>
      <c r="T27" s="25">
        <f t="shared" si="66"/>
        <v>9195.6</v>
      </c>
      <c r="U27" s="25">
        <f t="shared" si="66"/>
        <v>9185.2000000000007</v>
      </c>
      <c r="V27" s="25">
        <f t="shared" si="66"/>
        <v>9174.7999999999993</v>
      </c>
      <c r="W27" s="25">
        <f t="shared" si="66"/>
        <v>9164.4</v>
      </c>
      <c r="X27" s="25">
        <f t="shared" si="66"/>
        <v>9154</v>
      </c>
      <c r="Y27" s="25">
        <f t="shared" si="66"/>
        <v>9150</v>
      </c>
      <c r="Z27" s="25">
        <f t="shared" si="66"/>
        <v>9146</v>
      </c>
      <c r="AA27" s="25">
        <f t="shared" si="66"/>
        <v>9142</v>
      </c>
      <c r="AB27" s="25">
        <f t="shared" si="66"/>
        <v>9138</v>
      </c>
      <c r="AC27" s="25">
        <f t="shared" si="66"/>
        <v>9134</v>
      </c>
      <c r="AD27" s="25">
        <f t="shared" si="66"/>
        <v>9134</v>
      </c>
      <c r="AE27" s="25">
        <f t="shared" si="66"/>
        <v>9134</v>
      </c>
      <c r="AF27" s="6">
        <f t="shared" si="66"/>
        <v>9134</v>
      </c>
      <c r="AG27" s="6">
        <f t="shared" si="66"/>
        <v>9134</v>
      </c>
      <c r="AH27" s="6">
        <f t="shared" si="66"/>
        <v>9134</v>
      </c>
      <c r="AI27" s="6">
        <f t="shared" si="66"/>
        <v>9134</v>
      </c>
      <c r="AJ27" s="6">
        <f t="shared" si="66"/>
        <v>9134</v>
      </c>
      <c r="AK27" s="6">
        <f t="shared" si="66"/>
        <v>9134</v>
      </c>
      <c r="AL27" s="6">
        <f t="shared" si="66"/>
        <v>9134</v>
      </c>
      <c r="AM27" s="6">
        <f t="shared" si="66"/>
        <v>9134</v>
      </c>
    </row>
    <row r="28" spans="1:41" x14ac:dyDescent="0.25">
      <c r="A28" s="110" t="s">
        <v>21</v>
      </c>
      <c r="B28" s="110"/>
      <c r="C28" s="110"/>
      <c r="D28" s="116">
        <f>D20</f>
        <v>1.042</v>
      </c>
      <c r="E28" s="116">
        <f t="shared" ref="E28:AM28" si="67">E20</f>
        <v>1.0414000000000001</v>
      </c>
      <c r="F28" s="116">
        <f t="shared" si="67"/>
        <v>1.0407999999999999</v>
      </c>
      <c r="G28" s="116">
        <f t="shared" si="67"/>
        <v>1.0402</v>
      </c>
      <c r="H28" s="116">
        <f t="shared" si="67"/>
        <v>1.0395999999999999</v>
      </c>
      <c r="I28" s="116">
        <f t="shared" si="67"/>
        <v>1.0389999999999999</v>
      </c>
      <c r="J28" s="116">
        <f t="shared" si="67"/>
        <v>1.0387999999999999</v>
      </c>
      <c r="K28" s="116">
        <f t="shared" si="67"/>
        <v>1.0386</v>
      </c>
      <c r="L28" s="116">
        <f t="shared" si="67"/>
        <v>1.0384</v>
      </c>
      <c r="M28" s="116">
        <f t="shared" si="67"/>
        <v>1.0382</v>
      </c>
      <c r="N28" s="116">
        <f t="shared" si="67"/>
        <v>1.038</v>
      </c>
      <c r="O28" s="116">
        <f t="shared" si="67"/>
        <v>1.0378000000000001</v>
      </c>
      <c r="P28" s="116">
        <f t="shared" si="67"/>
        <v>1.0376000000000001</v>
      </c>
      <c r="Q28" s="116">
        <f t="shared" si="67"/>
        <v>1.0373999999999999</v>
      </c>
      <c r="R28" s="116">
        <f t="shared" si="67"/>
        <v>1.0371999999999999</v>
      </c>
      <c r="S28" s="116">
        <f t="shared" si="67"/>
        <v>1.0369999999999999</v>
      </c>
      <c r="T28" s="116">
        <f t="shared" si="67"/>
        <v>1.0371999999999999</v>
      </c>
      <c r="U28" s="116">
        <f t="shared" si="67"/>
        <v>1.0373999999999999</v>
      </c>
      <c r="V28" s="116">
        <f t="shared" si="67"/>
        <v>1.0376000000000001</v>
      </c>
      <c r="W28" s="116">
        <f t="shared" si="67"/>
        <v>1.0378000000000001</v>
      </c>
      <c r="X28" s="116">
        <f t="shared" si="67"/>
        <v>1.038</v>
      </c>
      <c r="Y28" s="116">
        <f t="shared" si="67"/>
        <v>1.0378000000000001</v>
      </c>
      <c r="Z28" s="116">
        <f t="shared" si="67"/>
        <v>1.0376000000000001</v>
      </c>
      <c r="AA28" s="116">
        <f t="shared" si="67"/>
        <v>1.0373999999999999</v>
      </c>
      <c r="AB28" s="116">
        <f t="shared" si="67"/>
        <v>1.0371999999999999</v>
      </c>
      <c r="AC28" s="116">
        <f t="shared" si="67"/>
        <v>1.0369999999999999</v>
      </c>
      <c r="AD28" s="116">
        <f t="shared" si="67"/>
        <v>1.0369999999999999</v>
      </c>
      <c r="AE28" s="116">
        <f t="shared" si="67"/>
        <v>1.0369999999999999</v>
      </c>
      <c r="AF28" s="7">
        <f t="shared" si="67"/>
        <v>1.0369999999999999</v>
      </c>
      <c r="AG28" s="7">
        <f t="shared" si="67"/>
        <v>1.0369999999999999</v>
      </c>
      <c r="AH28" s="7">
        <f t="shared" si="67"/>
        <v>1.0369999999999999</v>
      </c>
      <c r="AI28" s="7">
        <f t="shared" si="67"/>
        <v>1.0369999999999999</v>
      </c>
      <c r="AJ28" s="7">
        <f t="shared" si="67"/>
        <v>1.0369999999999999</v>
      </c>
      <c r="AK28" s="7">
        <f t="shared" si="67"/>
        <v>1.0369999999999999</v>
      </c>
      <c r="AL28" s="7">
        <f t="shared" si="67"/>
        <v>1.0369999999999999</v>
      </c>
      <c r="AM28" s="7">
        <f t="shared" si="67"/>
        <v>1.0369999999999999</v>
      </c>
    </row>
    <row r="29" spans="1:41" x14ac:dyDescent="0.25">
      <c r="A29" s="110" t="s">
        <v>48</v>
      </c>
      <c r="B29" s="110"/>
      <c r="C29" s="110"/>
      <c r="D29" s="115">
        <f t="shared" ref="D29" si="68">D26*D27*D28/1000000</f>
        <v>4.4894492317602641E-3</v>
      </c>
      <c r="E29" s="115">
        <f t="shared" ref="E29" si="69">E26*E27*E28/1000000</f>
        <v>8.9311494268044089E-3</v>
      </c>
      <c r="F29" s="115">
        <f t="shared" ref="F29" si="70">F26*F27*F28/1000000</f>
        <v>1.3325174180218067E-2</v>
      </c>
      <c r="G29" s="115">
        <f t="shared" ref="G29" si="71">G26*G27*G28/1000000</f>
        <v>1.7671597087086897E-2</v>
      </c>
      <c r="H29" s="115">
        <f t="shared" ref="H29" si="72">H26*H27*H28/1000000</f>
        <v>2.1970491742496538E-2</v>
      </c>
      <c r="I29" s="115">
        <f t="shared" ref="I29" si="73">I26*I27*I28/1000000</f>
        <v>2.6221931741532652E-2</v>
      </c>
      <c r="J29" s="115">
        <f t="shared" ref="J29" si="74">J26*J27*J28/1000000</f>
        <v>3.0585704226466139E-2</v>
      </c>
      <c r="K29" s="115">
        <f t="shared" ref="K29" si="75">K26*K27*K28/1000000</f>
        <v>3.4947605724434616E-2</v>
      </c>
      <c r="L29" s="115">
        <f t="shared" ref="L29" si="76">L26*L27*L28/1000000</f>
        <v>3.9307636344467829E-2</v>
      </c>
      <c r="M29" s="115">
        <f t="shared" ref="M29" si="77">M26*M27*M28/1000000</f>
        <v>3.9299216576035988E-2</v>
      </c>
      <c r="N29" s="115">
        <f t="shared" ref="N29" si="78">N26*N27*N28/1000000</f>
        <v>3.9290797134693405E-2</v>
      </c>
      <c r="O29" s="115">
        <f t="shared" ref="O29" si="79">O26*O27*O28/1000000</f>
        <v>3.9239097731839312E-2</v>
      </c>
      <c r="P29" s="115">
        <f t="shared" ref="P29" si="80">P26*P27*P28/1000000</f>
        <v>3.9187415337627214E-2</v>
      </c>
      <c r="Q29" s="115">
        <f t="shared" ref="Q29" si="81">Q26*Q27*Q28/1000000</f>
        <v>3.9135749952057132E-2</v>
      </c>
      <c r="R29" s="115">
        <f t="shared" ref="R29" si="82">R26*R27*R28/1000000</f>
        <v>3.9084101575129079E-2</v>
      </c>
      <c r="S29" s="115">
        <f t="shared" ref="S29" si="83">S26*S27*S28/1000000</f>
        <v>3.9032470206843035E-2</v>
      </c>
      <c r="T29" s="115">
        <f t="shared" ref="T29" si="84">T26*T27*T28/1000000</f>
        <v>3.8995894757633889E-2</v>
      </c>
      <c r="U29" s="115">
        <f t="shared" ref="U29" si="85">U26*U27*U28/1000000</f>
        <v>3.8959302299782721E-2</v>
      </c>
      <c r="V29" s="115">
        <f t="shared" ref="V29" si="86">V26*V27*V28/1000000</f>
        <v>3.8922692833289543E-2</v>
      </c>
      <c r="W29" s="115">
        <f t="shared" ref="W29" si="87">W26*W27*W28/1000000</f>
        <v>3.888606635815435E-2</v>
      </c>
      <c r="X29" s="115">
        <f t="shared" ref="X29" si="88">X26*X27*X28/1000000</f>
        <v>3.8849422874377128E-2</v>
      </c>
      <c r="Y29" s="115">
        <f t="shared" ref="Y29" si="89">Y26*Y27*Y28/1000000</f>
        <v>3.8824964774247329E-2</v>
      </c>
      <c r="Z29" s="115">
        <f t="shared" ref="Z29" si="90">Z26*Z27*Z28/1000000</f>
        <v>3.8800513215902922E-2</v>
      </c>
      <c r="AA29" s="115">
        <f t="shared" ref="AA29" si="91">AA26*AA27*AA28/1000000</f>
        <v>3.8776068199343906E-2</v>
      </c>
      <c r="AB29" s="115">
        <f t="shared" ref="AB29" si="92">AB26*AB27*AB28/1000000</f>
        <v>3.8751629724570281E-2</v>
      </c>
      <c r="AC29" s="115">
        <f t="shared" ref="AC29" si="93">AC26*AC27*AC28/1000000</f>
        <v>3.8727197791582048E-2</v>
      </c>
      <c r="AD29" s="115">
        <f t="shared" ref="AD29" si="94">AD26*AD27*AD28/1000000</f>
        <v>3.8727197791582048E-2</v>
      </c>
      <c r="AE29" s="115">
        <f t="shared" ref="AE29" si="95">AE26*AE27*AE28/1000000</f>
        <v>3.8727197791582048E-2</v>
      </c>
      <c r="AF29" s="2">
        <f t="shared" ref="AF29" si="96">AF26*AF27*AF28/1000000</f>
        <v>3.4424175814739597E-2</v>
      </c>
      <c r="AG29" s="2">
        <f t="shared" ref="AG29" si="97">AG26*AG27*AG28/1000000</f>
        <v>3.0121153837897145E-2</v>
      </c>
      <c r="AH29" s="2">
        <f t="shared" ref="AH29" si="98">AH26*AH27*AH28/1000000</f>
        <v>2.581813186105469E-2</v>
      </c>
      <c r="AI29" s="2">
        <f t="shared" ref="AI29" si="99">AI26*AI27*AI28/1000000</f>
        <v>2.1515109884212246E-2</v>
      </c>
      <c r="AJ29" s="2">
        <f t="shared" ref="AJ29" si="100">AJ26*AJ27*AJ28/1000000</f>
        <v>1.7212087907369798E-2</v>
      </c>
      <c r="AK29" s="2">
        <f t="shared" ref="AK29" si="101">AK26*AK27*AK28/1000000</f>
        <v>1.2909065930527345E-2</v>
      </c>
      <c r="AL29" s="2">
        <f t="shared" ref="AL29" si="102">AL26*AL27*AL28/1000000</f>
        <v>8.6060439536848991E-3</v>
      </c>
      <c r="AM29" s="2">
        <f t="shared" ref="AM29" si="103">AM26*AM27*AM28/1000000</f>
        <v>4.3030219768424496E-3</v>
      </c>
    </row>
    <row r="31" spans="1:41" x14ac:dyDescent="0.25">
      <c r="A31" s="110" t="s">
        <v>49</v>
      </c>
      <c r="B31" s="115">
        <f>SUM(B21:AM21)</f>
        <v>0.78450335069547095</v>
      </c>
      <c r="D31" s="1"/>
    </row>
    <row r="32" spans="1:41" x14ac:dyDescent="0.25">
      <c r="A32" s="110" t="s">
        <v>50</v>
      </c>
      <c r="B32" s="115">
        <f>SUM(D29:AM29)</f>
        <v>1.092576527797869</v>
      </c>
    </row>
    <row r="33" spans="1:2" x14ac:dyDescent="0.25">
      <c r="A33" s="117" t="s">
        <v>51</v>
      </c>
      <c r="B33" s="118">
        <f>SUM(B31:B32)</f>
        <v>1.87707987849334</v>
      </c>
    </row>
  </sheetData>
  <hyperlinks>
    <hyperlink ref="C4" r:id="rId1"/>
    <hyperlink ref="C8" r:id="rId2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J8" sqref="J8"/>
    </sheetView>
  </sheetViews>
  <sheetFormatPr defaultRowHeight="15" x14ac:dyDescent="0.25"/>
  <cols>
    <col min="1" max="1" width="10" customWidth="1"/>
    <col min="2" max="2" width="17.42578125" customWidth="1"/>
    <col min="3" max="3" width="10.140625" customWidth="1"/>
    <col min="4" max="4" width="20.85546875" customWidth="1"/>
    <col min="5" max="5" width="11.28515625" customWidth="1"/>
    <col min="6" max="6" width="17.85546875" customWidth="1"/>
    <col min="7" max="7" width="16.140625" customWidth="1"/>
    <col min="9" max="9" width="20.140625" customWidth="1"/>
    <col min="10" max="12" width="13.140625" style="9" customWidth="1"/>
    <col min="13" max="14" width="22.85546875" style="9" customWidth="1"/>
    <col min="15" max="16" width="22.85546875" customWidth="1"/>
  </cols>
  <sheetData>
    <row r="1" spans="1:16" x14ac:dyDescent="0.25">
      <c r="A1" s="95" t="s">
        <v>62</v>
      </c>
      <c r="B1" s="97"/>
      <c r="C1" s="144"/>
      <c r="D1" s="95" t="s">
        <v>74</v>
      </c>
      <c r="E1" s="127"/>
      <c r="F1" s="127"/>
      <c r="G1" s="127"/>
      <c r="H1" s="127"/>
      <c r="I1" s="127"/>
      <c r="J1" s="145"/>
    </row>
    <row r="2" spans="1:16" x14ac:dyDescent="0.25">
      <c r="A2" s="146" t="s">
        <v>25</v>
      </c>
      <c r="B2" s="33"/>
      <c r="C2" s="147">
        <v>5840</v>
      </c>
      <c r="D2" s="146" t="s">
        <v>67</v>
      </c>
      <c r="E2" s="150"/>
      <c r="F2" s="107"/>
      <c r="G2" s="107"/>
      <c r="H2" s="107"/>
      <c r="I2" s="107"/>
      <c r="J2" s="33"/>
    </row>
    <row r="3" spans="1:16" x14ac:dyDescent="0.25">
      <c r="A3" s="146" t="s">
        <v>26</v>
      </c>
      <c r="B3" s="33"/>
      <c r="C3" s="147">
        <v>2920</v>
      </c>
      <c r="D3" s="146" t="s">
        <v>67</v>
      </c>
      <c r="E3" s="150"/>
      <c r="F3" s="107"/>
      <c r="G3" s="107"/>
      <c r="H3" s="107"/>
      <c r="I3" s="107"/>
      <c r="J3" s="33"/>
    </row>
    <row r="4" spans="1:16" x14ac:dyDescent="0.25">
      <c r="A4" s="146" t="s">
        <v>27</v>
      </c>
      <c r="B4" s="33"/>
      <c r="C4" s="148">
        <v>1.4</v>
      </c>
      <c r="D4" s="146" t="s">
        <v>66</v>
      </c>
      <c r="E4" s="150"/>
      <c r="F4" s="107"/>
      <c r="G4" s="107"/>
      <c r="H4" s="107"/>
      <c r="I4" s="107"/>
      <c r="J4" s="33"/>
    </row>
    <row r="5" spans="1:16" x14ac:dyDescent="0.25">
      <c r="A5" s="146" t="s">
        <v>28</v>
      </c>
      <c r="B5" s="33"/>
      <c r="C5" s="149">
        <v>1.01027</v>
      </c>
      <c r="D5" s="146" t="s">
        <v>66</v>
      </c>
      <c r="E5" s="150"/>
      <c r="F5" s="107"/>
      <c r="G5" s="107"/>
      <c r="H5" s="107"/>
      <c r="I5" s="107"/>
      <c r="J5" s="33"/>
    </row>
    <row r="6" spans="1:16" ht="15.75" thickBot="1" x14ac:dyDescent="0.3">
      <c r="A6" s="8"/>
      <c r="B6" s="10"/>
      <c r="C6" s="9"/>
      <c r="D6" s="9"/>
      <c r="E6" s="9"/>
    </row>
    <row r="7" spans="1:16" ht="15" customHeight="1" x14ac:dyDescent="0.25">
      <c r="A7" s="167"/>
      <c r="B7" s="169" t="s">
        <v>33</v>
      </c>
      <c r="C7" s="173" t="s">
        <v>39</v>
      </c>
      <c r="D7" s="171" t="s">
        <v>29</v>
      </c>
      <c r="E7" s="175" t="s">
        <v>30</v>
      </c>
      <c r="F7" s="173" t="s">
        <v>31</v>
      </c>
      <c r="G7" s="173" t="s">
        <v>32</v>
      </c>
      <c r="I7" s="158" t="s">
        <v>33</v>
      </c>
      <c r="J7" s="164" t="s">
        <v>37</v>
      </c>
      <c r="K7" s="165"/>
      <c r="L7" s="166"/>
      <c r="M7" s="160" t="s">
        <v>41</v>
      </c>
      <c r="N7" s="161"/>
      <c r="O7" s="162" t="s">
        <v>46</v>
      </c>
      <c r="P7" s="163"/>
    </row>
    <row r="8" spans="1:16" ht="15.75" thickBot="1" x14ac:dyDescent="0.3">
      <c r="A8" s="168"/>
      <c r="B8" s="170"/>
      <c r="C8" s="174"/>
      <c r="D8" s="172"/>
      <c r="E8" s="176"/>
      <c r="F8" s="174"/>
      <c r="G8" s="174"/>
      <c r="I8" s="159"/>
      <c r="J8" s="53" t="s">
        <v>35</v>
      </c>
      <c r="K8" s="20" t="s">
        <v>36</v>
      </c>
      <c r="L8" s="21" t="s">
        <v>3</v>
      </c>
      <c r="M8" s="59" t="s">
        <v>2</v>
      </c>
      <c r="N8" s="21" t="s">
        <v>42</v>
      </c>
      <c r="O8" s="57" t="s">
        <v>2</v>
      </c>
      <c r="P8" s="58" t="s">
        <v>42</v>
      </c>
    </row>
    <row r="9" spans="1:16" x14ac:dyDescent="0.25">
      <c r="A9" s="153" t="s">
        <v>2</v>
      </c>
      <c r="B9" s="35" t="s">
        <v>0</v>
      </c>
      <c r="C9" s="45">
        <v>0.26</v>
      </c>
      <c r="D9" s="36">
        <v>87</v>
      </c>
      <c r="E9" s="37">
        <v>1.7</v>
      </c>
      <c r="F9" s="38">
        <f t="shared" ref="F9:F14" si="0">((D9/$E9*$C$2)+($C$3*$C$4))/1000</f>
        <v>302.95858823529414</v>
      </c>
      <c r="G9" s="39">
        <f t="shared" ref="G9:G14" si="1">$D9*$C$5/(F9/($C$2/1000))</f>
        <v>1.6942843066107267</v>
      </c>
      <c r="I9" s="22" t="s">
        <v>0</v>
      </c>
      <c r="J9" s="54">
        <v>359</v>
      </c>
      <c r="K9" s="24">
        <f>F9</f>
        <v>302.95858823529414</v>
      </c>
      <c r="L9" s="26">
        <f>F12</f>
        <v>271.49852631578949</v>
      </c>
      <c r="M9" s="60">
        <f>J9-K9</f>
        <v>56.041411764705856</v>
      </c>
      <c r="N9" s="83">
        <f>K9-L9</f>
        <v>31.460061919504653</v>
      </c>
      <c r="O9" s="87">
        <f>M9*'electricity prices'!$E$12</f>
        <v>8.4218625057676029</v>
      </c>
      <c r="P9" s="88">
        <f>N9*'electricity prices'!$E$12</f>
        <v>4.72779517085376</v>
      </c>
    </row>
    <row r="10" spans="1:16" x14ac:dyDescent="0.25">
      <c r="A10" s="154"/>
      <c r="B10" s="29" t="s">
        <v>1</v>
      </c>
      <c r="C10" s="46">
        <v>0.24</v>
      </c>
      <c r="D10" s="31">
        <v>113</v>
      </c>
      <c r="E10" s="14">
        <v>1.9</v>
      </c>
      <c r="F10" s="15">
        <f t="shared" si="0"/>
        <v>351.41431578947373</v>
      </c>
      <c r="G10" s="16">
        <f t="shared" si="1"/>
        <v>1.897183320213417</v>
      </c>
      <c r="I10" s="23" t="s">
        <v>1</v>
      </c>
      <c r="J10" s="55">
        <v>371</v>
      </c>
      <c r="K10" s="25">
        <f>F10</f>
        <v>351.41431578947373</v>
      </c>
      <c r="L10" s="27">
        <f>F13</f>
        <v>279.05466666666666</v>
      </c>
      <c r="M10" s="61">
        <f t="shared" ref="M10:M11" si="2">J10-K10</f>
        <v>19.585684210526267</v>
      </c>
      <c r="N10" s="84">
        <f t="shared" ref="N10:N11" si="3">K10-L10</f>
        <v>72.35964912280707</v>
      </c>
      <c r="O10" s="89">
        <f>M10*'electricity prices'!$E$12</f>
        <v>2.9433223451789945</v>
      </c>
      <c r="P10" s="90">
        <f>N10*'electricity prices'!$E$12</f>
        <v>10.874155319935436</v>
      </c>
    </row>
    <row r="11" spans="1:16" ht="15.75" thickBot="1" x14ac:dyDescent="0.3">
      <c r="A11" s="155"/>
      <c r="B11" s="40" t="s">
        <v>34</v>
      </c>
      <c r="C11" s="47">
        <v>0.5</v>
      </c>
      <c r="D11" s="41">
        <v>253</v>
      </c>
      <c r="E11" s="42">
        <v>2</v>
      </c>
      <c r="F11" s="43">
        <f t="shared" si="0"/>
        <v>742.84799999999996</v>
      </c>
      <c r="G11" s="44">
        <f t="shared" si="1"/>
        <v>2.0094206761006292</v>
      </c>
      <c r="I11" s="50" t="s">
        <v>34</v>
      </c>
      <c r="J11" s="56">
        <v>1017</v>
      </c>
      <c r="K11" s="51">
        <f>F11</f>
        <v>742.84799999999996</v>
      </c>
      <c r="L11" s="52">
        <f>F14</f>
        <v>513.57765517241376</v>
      </c>
      <c r="M11" s="62">
        <f t="shared" si="2"/>
        <v>274.15200000000004</v>
      </c>
      <c r="N11" s="85">
        <f t="shared" si="3"/>
        <v>229.2703448275862</v>
      </c>
      <c r="O11" s="91">
        <f>M11*'electricity prices'!$E$12</f>
        <v>41.199362702980594</v>
      </c>
      <c r="P11" s="92">
        <f>N11*'electricity prices'!$E$12</f>
        <v>34.454580282431472</v>
      </c>
    </row>
    <row r="12" spans="1:16" ht="15.75" thickBot="1" x14ac:dyDescent="0.3">
      <c r="A12" s="156" t="s">
        <v>3</v>
      </c>
      <c r="B12" s="28" t="s">
        <v>0</v>
      </c>
      <c r="C12" s="48">
        <v>0.26</v>
      </c>
      <c r="D12" s="32">
        <f>D9</f>
        <v>87</v>
      </c>
      <c r="E12" s="11">
        <v>1.9</v>
      </c>
      <c r="F12" s="12">
        <f t="shared" si="0"/>
        <v>271.49852631578949</v>
      </c>
      <c r="G12" s="13">
        <f t="shared" si="1"/>
        <v>1.8906105626627419</v>
      </c>
      <c r="I12" s="78" t="s">
        <v>40</v>
      </c>
      <c r="J12" s="79">
        <f>SUMPRODUCT($C9:$C11,J9:J11)</f>
        <v>690.88</v>
      </c>
      <c r="K12" s="80">
        <f t="shared" ref="K12:L12" si="4">SUMPRODUCT($C9:$C11,K9:K11)</f>
        <v>534.53266873065013</v>
      </c>
      <c r="L12" s="81">
        <f t="shared" si="4"/>
        <v>394.35156442831214</v>
      </c>
      <c r="M12" s="82">
        <f t="shared" ref="M12" si="5">J12-K12</f>
        <v>156.34733126934987</v>
      </c>
      <c r="N12" s="86">
        <f t="shared" ref="N12" si="6">K12-L12</f>
        <v>140.18110430233799</v>
      </c>
      <c r="O12" s="93">
        <f>M12*'electricity prices'!$E$12</f>
        <v>23.495762965832835</v>
      </c>
      <c r="P12" s="94">
        <f>N12*'electricity prices'!$E$12</f>
        <v>21.066314162422216</v>
      </c>
    </row>
    <row r="13" spans="1:16" x14ac:dyDescent="0.25">
      <c r="A13" s="154"/>
      <c r="B13" s="29" t="s">
        <v>1</v>
      </c>
      <c r="C13" s="46">
        <v>0.24</v>
      </c>
      <c r="D13" s="33">
        <f>D10</f>
        <v>113</v>
      </c>
      <c r="E13" s="14">
        <v>2.4</v>
      </c>
      <c r="F13" s="15">
        <f t="shared" si="0"/>
        <v>279.05466666666666</v>
      </c>
      <c r="G13" s="16">
        <f t="shared" si="1"/>
        <v>2.3891282176491107</v>
      </c>
    </row>
    <row r="14" spans="1:16" ht="15.75" thickBot="1" x14ac:dyDescent="0.3">
      <c r="A14" s="157"/>
      <c r="B14" s="30" t="s">
        <v>34</v>
      </c>
      <c r="C14" s="49">
        <v>0.5</v>
      </c>
      <c r="D14" s="34">
        <f>D11</f>
        <v>253</v>
      </c>
      <c r="E14" s="17">
        <v>2.9</v>
      </c>
      <c r="F14" s="18">
        <f t="shared" si="0"/>
        <v>513.57765517241376</v>
      </c>
      <c r="G14" s="19">
        <f t="shared" si="1"/>
        <v>2.9064623730541506</v>
      </c>
    </row>
    <row r="15" spans="1:16" x14ac:dyDescent="0.25">
      <c r="A15" s="9"/>
      <c r="B15" s="9"/>
      <c r="C15" s="9"/>
      <c r="D15" s="9"/>
      <c r="E15" s="9"/>
    </row>
    <row r="16" spans="1:16" x14ac:dyDescent="0.25">
      <c r="A16" s="95" t="s">
        <v>68</v>
      </c>
      <c r="B16" s="127"/>
      <c r="C16" s="127"/>
      <c r="D16" s="127"/>
      <c r="E16" s="128"/>
    </row>
    <row r="17" spans="1:5" x14ac:dyDescent="0.25">
      <c r="A17" s="105" t="s">
        <v>69</v>
      </c>
      <c r="B17" s="107"/>
      <c r="C17" s="107"/>
      <c r="D17" s="107"/>
      <c r="E17" s="108"/>
    </row>
    <row r="18" spans="1:5" x14ac:dyDescent="0.25">
      <c r="A18" s="105" t="s">
        <v>70</v>
      </c>
      <c r="B18" s="107"/>
      <c r="C18" s="107"/>
      <c r="D18" s="107"/>
      <c r="E18" s="108"/>
    </row>
    <row r="19" spans="1:5" x14ac:dyDescent="0.25">
      <c r="A19" s="105" t="s">
        <v>71</v>
      </c>
      <c r="B19" s="107"/>
      <c r="C19" s="107"/>
      <c r="D19" s="107"/>
      <c r="E19" s="108"/>
    </row>
  </sheetData>
  <mergeCells count="13">
    <mergeCell ref="A9:A11"/>
    <mergeCell ref="A12:A14"/>
    <mergeCell ref="I7:I8"/>
    <mergeCell ref="M7:N7"/>
    <mergeCell ref="O7:P7"/>
    <mergeCell ref="J7:L7"/>
    <mergeCell ref="A7:A8"/>
    <mergeCell ref="B7:B8"/>
    <mergeCell ref="D7:D8"/>
    <mergeCell ref="G7:G8"/>
    <mergeCell ref="C7:C8"/>
    <mergeCell ref="E7:E8"/>
    <mergeCell ref="F7:F8"/>
  </mergeCells>
  <pageMargins left="0.7" right="0.7" top="0.75" bottom="0.75" header="0.3" footer="0.3"/>
  <pageSetup orientation="portrait" horizontalDpi="0" verticalDpi="0" r:id="rId1"/>
  <ignoredErrors>
    <ignoredError sqref="J12:L1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2"/>
  <sheetViews>
    <sheetView workbookViewId="0">
      <selection activeCell="C2" sqref="C2"/>
    </sheetView>
  </sheetViews>
  <sheetFormatPr defaultRowHeight="15" x14ac:dyDescent="0.25"/>
  <cols>
    <col min="2" max="2" width="19.28515625" customWidth="1"/>
    <col min="3" max="3" width="16.140625" customWidth="1"/>
    <col min="4" max="4" width="13.7109375" customWidth="1"/>
    <col min="5" max="5" width="19.28515625" customWidth="1"/>
  </cols>
  <sheetData>
    <row r="1" spans="2:11" ht="15.75" thickBot="1" x14ac:dyDescent="0.3"/>
    <row r="2" spans="2:11" ht="33.75" customHeight="1" thickBot="1" x14ac:dyDescent="0.3">
      <c r="B2" s="139" t="s">
        <v>43</v>
      </c>
      <c r="C2" s="140" t="s">
        <v>4</v>
      </c>
      <c r="D2" s="141" t="s">
        <v>47</v>
      </c>
      <c r="E2" s="142" t="s">
        <v>45</v>
      </c>
      <c r="F2" s="126" t="s">
        <v>52</v>
      </c>
      <c r="G2" s="127"/>
      <c r="H2" s="127"/>
      <c r="I2" s="127"/>
      <c r="J2" s="127"/>
      <c r="K2" s="128"/>
    </row>
    <row r="3" spans="2:11" x14ac:dyDescent="0.25">
      <c r="B3" s="69" t="s">
        <v>5</v>
      </c>
      <c r="C3" s="67">
        <v>18562400</v>
      </c>
      <c r="D3" s="65">
        <f>C3/C$12</f>
        <v>0.15171033865207378</v>
      </c>
      <c r="E3" s="66">
        <v>0.13200000000000001</v>
      </c>
      <c r="F3" s="100" t="s">
        <v>63</v>
      </c>
      <c r="G3" s="98"/>
      <c r="H3" s="98"/>
      <c r="I3" s="98"/>
      <c r="J3" s="98"/>
      <c r="K3" s="99"/>
    </row>
    <row r="4" spans="2:11" x14ac:dyDescent="0.25">
      <c r="B4" s="70" t="s">
        <v>6</v>
      </c>
      <c r="C4" s="68">
        <v>7392661</v>
      </c>
      <c r="D4" s="63">
        <f t="shared" ref="D4:D11" si="0">C4/C$12</f>
        <v>6.042015600622648E-2</v>
      </c>
      <c r="E4" s="64">
        <v>0.105</v>
      </c>
      <c r="F4" s="100" t="s">
        <v>64</v>
      </c>
      <c r="G4" s="98"/>
      <c r="H4" s="129" t="s">
        <v>65</v>
      </c>
      <c r="I4" s="98"/>
      <c r="J4" s="98"/>
      <c r="K4" s="99"/>
    </row>
    <row r="5" spans="2:11" x14ac:dyDescent="0.25">
      <c r="B5" s="70" t="s">
        <v>7</v>
      </c>
      <c r="C5" s="68">
        <v>15795879</v>
      </c>
      <c r="D5" s="63">
        <f t="shared" si="0"/>
        <v>0.12909958585081566</v>
      </c>
      <c r="E5" s="64">
        <v>0.16800000000000001</v>
      </c>
      <c r="F5" s="130"/>
      <c r="G5" s="131"/>
      <c r="H5" s="131"/>
      <c r="I5" s="131"/>
      <c r="J5" s="131"/>
      <c r="K5" s="132"/>
    </row>
    <row r="6" spans="2:11" x14ac:dyDescent="0.25">
      <c r="B6" s="70" t="s">
        <v>8</v>
      </c>
      <c r="C6" s="68">
        <v>9025521</v>
      </c>
      <c r="D6" s="63">
        <f t="shared" si="0"/>
        <v>7.3765507015332257E-2</v>
      </c>
      <c r="E6" s="64">
        <v>0.122</v>
      </c>
      <c r="F6" s="133"/>
      <c r="G6" s="134"/>
      <c r="H6" s="134"/>
      <c r="I6" s="134"/>
      <c r="J6" s="134"/>
      <c r="K6" s="135"/>
    </row>
    <row r="7" spans="2:11" x14ac:dyDescent="0.25">
      <c r="B7" s="70" t="s">
        <v>9</v>
      </c>
      <c r="C7" s="68">
        <v>5818666</v>
      </c>
      <c r="D7" s="63">
        <f t="shared" si="0"/>
        <v>4.7555908145676611E-2</v>
      </c>
      <c r="E7" s="64">
        <v>0.224</v>
      </c>
      <c r="F7" s="133"/>
      <c r="G7" s="134"/>
      <c r="H7" s="134"/>
      <c r="I7" s="134"/>
      <c r="J7" s="134"/>
      <c r="K7" s="135"/>
    </row>
    <row r="8" spans="2:11" x14ac:dyDescent="0.25">
      <c r="B8" s="70" t="s">
        <v>10</v>
      </c>
      <c r="C8" s="68">
        <v>18374620</v>
      </c>
      <c r="D8" s="63">
        <f t="shared" si="0"/>
        <v>0.15017561429573589</v>
      </c>
      <c r="E8" s="64">
        <v>0.28100000000000003</v>
      </c>
      <c r="F8" s="133"/>
      <c r="G8" s="134"/>
      <c r="H8" s="134"/>
      <c r="I8" s="134"/>
      <c r="J8" s="134"/>
      <c r="K8" s="135"/>
    </row>
    <row r="9" spans="2:11" x14ac:dyDescent="0.25">
      <c r="B9" s="70" t="s">
        <v>11</v>
      </c>
      <c r="C9" s="68">
        <v>24562793</v>
      </c>
      <c r="D9" s="63">
        <f t="shared" si="0"/>
        <v>0.20075150003613687</v>
      </c>
      <c r="E9" s="64">
        <v>0.108</v>
      </c>
      <c r="F9" s="133"/>
      <c r="G9" s="134"/>
      <c r="H9" s="134"/>
      <c r="I9" s="134"/>
      <c r="J9" s="134"/>
      <c r="K9" s="135"/>
    </row>
    <row r="10" spans="2:11" x14ac:dyDescent="0.25">
      <c r="B10" s="70" t="s">
        <v>12</v>
      </c>
      <c r="C10" s="68">
        <v>8499540</v>
      </c>
      <c r="D10" s="63">
        <f t="shared" si="0"/>
        <v>6.9466668738247597E-2</v>
      </c>
      <c r="E10" s="64">
        <v>0.114</v>
      </c>
      <c r="F10" s="133"/>
      <c r="G10" s="134"/>
      <c r="H10" s="134"/>
      <c r="I10" s="134"/>
      <c r="J10" s="134"/>
      <c r="K10" s="135"/>
    </row>
    <row r="11" spans="2:11" ht="15.75" thickBot="1" x14ac:dyDescent="0.3">
      <c r="B11" s="71" t="s">
        <v>13</v>
      </c>
      <c r="C11" s="72">
        <v>14322139</v>
      </c>
      <c r="D11" s="73">
        <f t="shared" si="0"/>
        <v>0.11705472125975484</v>
      </c>
      <c r="E11" s="74">
        <v>9.1999999999999998E-2</v>
      </c>
      <c r="F11" s="133"/>
      <c r="G11" s="134"/>
      <c r="H11" s="134"/>
      <c r="I11" s="134"/>
      <c r="J11" s="134"/>
      <c r="K11" s="135"/>
    </row>
    <row r="12" spans="2:11" ht="15.75" thickBot="1" x14ac:dyDescent="0.3">
      <c r="B12" s="75" t="s">
        <v>44</v>
      </c>
      <c r="C12" s="76">
        <f>SUM(C3:C11)</f>
        <v>122354219</v>
      </c>
      <c r="D12" s="77">
        <f>SUM(D3:D11)</f>
        <v>0.99999999999999989</v>
      </c>
      <c r="E12" s="143">
        <f>SUMPRODUCT(D3:D11,E3:E11)</f>
        <v>0.15027927099922886</v>
      </c>
      <c r="F12" s="136"/>
      <c r="G12" s="137"/>
      <c r="H12" s="137"/>
      <c r="I12" s="137"/>
      <c r="J12" s="137"/>
      <c r="K12" s="138"/>
    </row>
  </sheetData>
  <hyperlinks>
    <hyperlink ref="H4" r:id="rId1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national energy savings</vt:lpstr>
      <vt:lpstr>per-unit energy and $ savings</vt:lpstr>
      <vt:lpstr>electricity 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Girdharry, Kevin</dc:creator>
  <cp:lastModifiedBy>Girdharry, Kevin</cp:lastModifiedBy>
  <dcterms:created xsi:type="dcterms:W3CDTF">2022-08-09T16:46:12Z</dcterms:created>
  <dcterms:modified xsi:type="dcterms:W3CDTF">2022-08-17T15:39:07Z</dcterms:modified>
</cp:coreProperties>
</file>